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ovomet\Desktop\DPR\"/>
    </mc:Choice>
  </mc:AlternateContent>
  <bookViews>
    <workbookView xWindow="0" yWindow="0" windowWidth="20490" windowHeight="6150" firstSheet="30" activeTab="30"/>
  </bookViews>
  <sheets>
    <sheet name="Summary R9A4 January 2021" sheetId="4" r:id="rId1"/>
    <sheet name="Summary R9A February 2021" sheetId="5" r:id="rId2"/>
    <sheet name="Summary R9A March 2021" sheetId="8" r:id="rId3"/>
    <sheet name="Summary R9A April 2021" sheetId="13" r:id="rId4"/>
    <sheet name="Summary R9A May 2021" sheetId="15" r:id="rId5"/>
    <sheet name="Summary R9A June 2021" sheetId="16" r:id="rId6"/>
    <sheet name="Summary R9A July 2021" sheetId="17" r:id="rId7"/>
    <sheet name="Summary R9A Aug 2021" sheetId="18" r:id="rId8"/>
    <sheet name="Summary R9A Sep 2021" sheetId="19" r:id="rId9"/>
    <sheet name="Summary R9A Oct 2021 " sheetId="21" r:id="rId10"/>
    <sheet name="Summary R9A Nov 2021 " sheetId="22" r:id="rId11"/>
    <sheet name="Summary R9A Dec 2021 " sheetId="23" r:id="rId12"/>
    <sheet name="Summary R9A January 2022 " sheetId="24" r:id="rId13"/>
    <sheet name="Summary R9A February 2022 " sheetId="25" r:id="rId14"/>
    <sheet name="Summary R9A March 2022 " sheetId="26" r:id="rId15"/>
    <sheet name="Summary R9A April 2022 " sheetId="27" r:id="rId16"/>
    <sheet name="Summary R9A May 2022 " sheetId="28" r:id="rId17"/>
    <sheet name="Summary R9A June 2022 " sheetId="29" r:id="rId18"/>
    <sheet name="Summary R9A July 2022 " sheetId="30" r:id="rId19"/>
    <sheet name="Summary R9A August 2022 " sheetId="31" r:id="rId20"/>
    <sheet name="Summary R9A Sep 2022 " sheetId="32" r:id="rId21"/>
    <sheet name="Summary R9A Oct 2022 " sheetId="33" r:id="rId22"/>
    <sheet name="Summary R9A November2022" sheetId="35" r:id="rId23"/>
    <sheet name="Summary R9A December 2022 " sheetId="34" r:id="rId24"/>
    <sheet name="Summary R9A January 2023" sheetId="36" r:id="rId25"/>
    <sheet name="Summary R9A Feb 2023" sheetId="37" r:id="rId26"/>
    <sheet name="Summary R9A March 2023" sheetId="38" r:id="rId27"/>
    <sheet name="Summary R9A April 2023" sheetId="39" r:id="rId28"/>
    <sheet name="Summary R9A May 2023" sheetId="40" r:id="rId29"/>
    <sheet name="Summary R9A June 2023" sheetId="41" r:id="rId30"/>
    <sheet name="Summary R9A July 2023" sheetId="42" r:id="rId31"/>
    <sheet name="R9A#1" sheetId="12" r:id="rId32"/>
    <sheet name="R9A#2" sheetId="10" r:id="rId33"/>
    <sheet name="R9A4" sheetId="2" r:id="rId34"/>
    <sheet name="Start_Stop Counter R9A#1" sheetId="14" r:id="rId35"/>
    <sheet name="Start_Stop Counter R9A#2" sheetId="11" r:id="rId36"/>
    <sheet name="Start_Stop Counter R9A4" sheetId="3" r:id="rId37"/>
    <sheet name="Start_Stop Counter R9A5" sheetId="7" r:id="rId38"/>
    <sheet name="R9A5" sheetId="6" r:id="rId39"/>
  </sheets>
  <externalReferences>
    <externalReference r:id="rId40"/>
  </externalReferences>
  <definedNames>
    <definedName name="_16_11_2001_22_00" localSheetId="33">#REF!</definedName>
    <definedName name="_16_11_2001_22_00" localSheetId="38">#REF!</definedName>
    <definedName name="_16_11_2001_22_00" localSheetId="15">#REF!</definedName>
    <definedName name="_16_11_2001_22_00" localSheetId="19">#REF!</definedName>
    <definedName name="_16_11_2001_22_00" localSheetId="13">#REF!</definedName>
    <definedName name="_16_11_2001_22_00" localSheetId="18">#REF!</definedName>
    <definedName name="_16_11_2001_22_00" localSheetId="5">#REF!</definedName>
    <definedName name="_16_11_2001_22_00" localSheetId="2">#REF!</definedName>
    <definedName name="_16_11_2001_22_00" localSheetId="14">#REF!</definedName>
    <definedName name="_16_11_2001_22_00" localSheetId="4">#REF!</definedName>
    <definedName name="_16_11_2001_22_00" localSheetId="9">#REF!</definedName>
    <definedName name="_16_11_2001_22_00" localSheetId="8">#REF!</definedName>
    <definedName name="_16_11_2001_22_00">#REF!</definedName>
    <definedName name="a" localSheetId="15">'[1]COVER SHEET'!#REF!</definedName>
    <definedName name="a" localSheetId="19">'[1]COVER SHEET'!#REF!</definedName>
    <definedName name="a" localSheetId="13">'[1]COVER SHEET'!#REF!</definedName>
    <definedName name="a" localSheetId="18">'[1]COVER SHEET'!#REF!</definedName>
    <definedName name="a" localSheetId="5">'[1]COVER SHEET'!#REF!</definedName>
    <definedName name="a" localSheetId="2">'[1]COVER SHEET'!#REF!</definedName>
    <definedName name="a" localSheetId="14">'[1]COVER SHEET'!#REF!</definedName>
    <definedName name="a" localSheetId="4">'[1]COVER SHEET'!#REF!</definedName>
    <definedName name="a" localSheetId="9">'[1]COVER SHEET'!#REF!</definedName>
    <definedName name="a" localSheetId="8">'[1]COVER SHEET'!#REF!</definedName>
    <definedName name="a">'[1]COVER SHEET'!#REF!</definedName>
    <definedName name="API" localSheetId="33">[1]!API</definedName>
    <definedName name="API" localSheetId="38">[1]!API</definedName>
    <definedName name="API" localSheetId="37">[1]!API</definedName>
    <definedName name="API" localSheetId="15">[1]!API</definedName>
    <definedName name="API" localSheetId="19">[1]!API</definedName>
    <definedName name="API" localSheetId="13">[1]!API</definedName>
    <definedName name="API" localSheetId="18">[1]!API</definedName>
    <definedName name="API" localSheetId="5">[1]!API</definedName>
    <definedName name="API" localSheetId="2">[1]!API</definedName>
    <definedName name="API" localSheetId="14">[1]!API</definedName>
    <definedName name="API" localSheetId="4">[1]!API</definedName>
    <definedName name="API" localSheetId="9">[1]!API</definedName>
    <definedName name="API" localSheetId="8">[1]!API</definedName>
    <definedName name="API">[1]!API</definedName>
    <definedName name="BasePress" localSheetId="33">'[1]WT DATA'!#REF!</definedName>
    <definedName name="BasePress" localSheetId="38">'[1]WT DATA'!#REF!</definedName>
    <definedName name="BasePress" localSheetId="15">'[1]WT DATA'!#REF!</definedName>
    <definedName name="BasePress" localSheetId="19">'[1]WT DATA'!#REF!</definedName>
    <definedName name="BasePress" localSheetId="13">'[1]WT DATA'!#REF!</definedName>
    <definedName name="BasePress" localSheetId="18">'[1]WT DATA'!#REF!</definedName>
    <definedName name="BasePress" localSheetId="5">'[1]WT DATA'!#REF!</definedName>
    <definedName name="BasePress" localSheetId="2">'[1]WT DATA'!#REF!</definedName>
    <definedName name="BasePress" localSheetId="14">'[1]WT DATA'!#REF!</definedName>
    <definedName name="BasePress" localSheetId="4">'[1]WT DATA'!#REF!</definedName>
    <definedName name="BasePress" localSheetId="9">'[1]WT DATA'!#REF!</definedName>
    <definedName name="BasePress" localSheetId="8">'[1]WT DATA'!#REF!</definedName>
    <definedName name="BasePress">'[1]WT DATA'!#REF!</definedName>
    <definedName name="BaseTemp" localSheetId="33">'[1]WT DATA'!#REF!</definedName>
    <definedName name="BaseTemp" localSheetId="38">'[1]WT DATA'!#REF!</definedName>
    <definedName name="BaseTemp" localSheetId="15">'[1]WT DATA'!#REF!</definedName>
    <definedName name="BaseTemp" localSheetId="19">'[1]WT DATA'!#REF!</definedName>
    <definedName name="BaseTemp" localSheetId="13">'[1]WT DATA'!#REF!</definedName>
    <definedName name="BaseTemp" localSheetId="18">'[1]WT DATA'!#REF!</definedName>
    <definedName name="BaseTemp" localSheetId="5">'[1]WT DATA'!#REF!</definedName>
    <definedName name="BaseTemp" localSheetId="2">'[1]WT DATA'!#REF!</definedName>
    <definedName name="BaseTemp" localSheetId="14">'[1]WT DATA'!#REF!</definedName>
    <definedName name="BaseTemp" localSheetId="4">'[1]WT DATA'!#REF!</definedName>
    <definedName name="BaseTemp" localSheetId="9">'[1]WT DATA'!#REF!</definedName>
    <definedName name="BaseTemp" localSheetId="8">'[1]WT DATA'!#REF!</definedName>
    <definedName name="BaseTemp">'[1]WT DATA'!#REF!</definedName>
    <definedName name="ching" localSheetId="33">'[1]WT DATA'!#REF!</definedName>
    <definedName name="ching" localSheetId="38">'[1]WT DATA'!#REF!</definedName>
    <definedName name="ching" localSheetId="15">'[1]WT DATA'!#REF!</definedName>
    <definedName name="ching" localSheetId="19">'[1]WT DATA'!#REF!</definedName>
    <definedName name="ching" localSheetId="13">'[1]WT DATA'!#REF!</definedName>
    <definedName name="ching" localSheetId="18">'[1]WT DATA'!#REF!</definedName>
    <definedName name="ching" localSheetId="5">'[1]WT DATA'!#REF!</definedName>
    <definedName name="ching" localSheetId="2">'[1]WT DATA'!#REF!</definedName>
    <definedName name="ching" localSheetId="14">'[1]WT DATA'!#REF!</definedName>
    <definedName name="ching" localSheetId="4">'[1]WT DATA'!#REF!</definedName>
    <definedName name="ching" localSheetId="9">'[1]WT DATA'!#REF!</definedName>
    <definedName name="ching" localSheetId="8">'[1]WT DATA'!#REF!</definedName>
    <definedName name="ching">'[1]WT DATA'!#REF!</definedName>
    <definedName name="ChtY" localSheetId="33">OFFSET(ChtX,0,1,,)</definedName>
    <definedName name="ChtY" localSheetId="38">OFFSET(ChtX,0,1,,)</definedName>
    <definedName name="ChtY" localSheetId="36">OFFSET(ChtX,0,1,,)</definedName>
    <definedName name="ChtY" localSheetId="37">OFFSET(ChtX,0,1,,)</definedName>
    <definedName name="ChtY" localSheetId="15">OFFSET(ChtX,0,1,,)</definedName>
    <definedName name="ChtY" localSheetId="19">OFFSET(ChtX,0,1,,)</definedName>
    <definedName name="ChtY" localSheetId="13">OFFSET(ChtX,0,1,,)</definedName>
    <definedName name="ChtY" localSheetId="18">OFFSET(ChtX,0,1,,)</definedName>
    <definedName name="ChtY" localSheetId="5">OFFSET(ChtX,0,1,,)</definedName>
    <definedName name="ChtY" localSheetId="2">OFFSET(ChtX,0,1,,)</definedName>
    <definedName name="ChtY" localSheetId="14">OFFSET(ChtX,0,1,,)</definedName>
    <definedName name="ChtY" localSheetId="4">OFFSET(ChtX,0,1,,)</definedName>
    <definedName name="ChtY" localSheetId="9">OFFSET(ChtX,0,1,,)</definedName>
    <definedName name="ChtY" localSheetId="8">OFFSET(ChtX,0,1,,)</definedName>
    <definedName name="ChtY">OFFSET(ChtX,0,1,,)</definedName>
    <definedName name="_xlnm.Criteria" localSheetId="33">#REF!</definedName>
    <definedName name="_xlnm.Criteria" localSheetId="38">#REF!</definedName>
    <definedName name="_xlnm.Criteria" localSheetId="15">#REF!</definedName>
    <definedName name="_xlnm.Criteria" localSheetId="19">#REF!</definedName>
    <definedName name="_xlnm.Criteria" localSheetId="13">#REF!</definedName>
    <definedName name="_xlnm.Criteria" localSheetId="18">#REF!</definedName>
    <definedName name="_xlnm.Criteria" localSheetId="5">#REF!</definedName>
    <definedName name="_xlnm.Criteria" localSheetId="2">#REF!</definedName>
    <definedName name="_xlnm.Criteria" localSheetId="14">#REF!</definedName>
    <definedName name="_xlnm.Criteria" localSheetId="4">#REF!</definedName>
    <definedName name="_xlnm.Criteria" localSheetId="9">#REF!</definedName>
    <definedName name="_xlnm.Criteria" localSheetId="8">#REF!</definedName>
    <definedName name="_xlnm.Criteria">#REF!</definedName>
    <definedName name="d">'[1]Front page'!$A$3</definedName>
    <definedName name="_xlnm.Database" localSheetId="33">#REF!</definedName>
    <definedName name="_xlnm.Database" localSheetId="38">#REF!</definedName>
    <definedName name="_xlnm.Database" localSheetId="15">#REF!</definedName>
    <definedName name="_xlnm.Database" localSheetId="19">#REF!</definedName>
    <definedName name="_xlnm.Database" localSheetId="13">#REF!</definedName>
    <definedName name="_xlnm.Database" localSheetId="18">#REF!</definedName>
    <definedName name="_xlnm.Database" localSheetId="5">#REF!</definedName>
    <definedName name="_xlnm.Database" localSheetId="2">#REF!</definedName>
    <definedName name="_xlnm.Database" localSheetId="14">#REF!</definedName>
    <definedName name="_xlnm.Database" localSheetId="4">#REF!</definedName>
    <definedName name="_xlnm.Database" localSheetId="9">#REF!</definedName>
    <definedName name="_xlnm.Database" localSheetId="8">#REF!</definedName>
    <definedName name="_xlnm.Database">#REF!</definedName>
    <definedName name="Fah" localSheetId="33">[1]!Fah</definedName>
    <definedName name="Fah" localSheetId="38">[1]!Fah</definedName>
    <definedName name="Fah" localSheetId="37">[1]!Fah</definedName>
    <definedName name="Fah" localSheetId="15">[1]!Fah</definedName>
    <definedName name="Fah" localSheetId="19">[1]!Fah</definedName>
    <definedName name="Fah" localSheetId="13">[1]!Fah</definedName>
    <definedName name="Fah" localSheetId="18">[1]!Fah</definedName>
    <definedName name="Fah" localSheetId="5">[1]!Fah</definedName>
    <definedName name="Fah" localSheetId="2">[1]!Fah</definedName>
    <definedName name="Fah" localSheetId="14">[1]!Fah</definedName>
    <definedName name="Fah" localSheetId="4">[1]!Fah</definedName>
    <definedName name="Fah" localSheetId="9">[1]!Fah</definedName>
    <definedName name="Fah" localSheetId="8">[1]!Fah</definedName>
    <definedName name="Fah">[1]!Fah</definedName>
    <definedName name="Fb" localSheetId="33">[1]!Fb</definedName>
    <definedName name="Fb" localSheetId="38">[1]!Fb</definedName>
    <definedName name="Fb" localSheetId="37">[1]!Fb</definedName>
    <definedName name="Fb" localSheetId="15">[1]!Fb</definedName>
    <definedName name="Fb" localSheetId="19">[1]!Fb</definedName>
    <definedName name="Fb" localSheetId="13">[1]!Fb</definedName>
    <definedName name="Fb" localSheetId="18">[1]!Fb</definedName>
    <definedName name="Fb" localSheetId="5">[1]!Fb</definedName>
    <definedName name="Fb" localSheetId="2">[1]!Fb</definedName>
    <definedName name="Fb" localSheetId="14">[1]!Fb</definedName>
    <definedName name="Fb" localSheetId="4">[1]!Fb</definedName>
    <definedName name="Fb" localSheetId="9">[1]!Fb</definedName>
    <definedName name="Fb" localSheetId="8">[1]!Fb</definedName>
    <definedName name="Fb">[1]!Fb</definedName>
    <definedName name="Fpv" localSheetId="33">[1]!Fpv</definedName>
    <definedName name="Fpv" localSheetId="38">[1]!Fpv</definedName>
    <definedName name="Fpv" localSheetId="37">[1]!Fpv</definedName>
    <definedName name="Fpv" localSheetId="15">[1]!Fpv</definedName>
    <definedName name="Fpv" localSheetId="19">[1]!Fpv</definedName>
    <definedName name="Fpv" localSheetId="13">[1]!Fpv</definedName>
    <definedName name="Fpv" localSheetId="18">[1]!Fpv</definedName>
    <definedName name="Fpv" localSheetId="5">[1]!Fpv</definedName>
    <definedName name="Fpv" localSheetId="2">[1]!Fpv</definedName>
    <definedName name="Fpv" localSheetId="14">[1]!Fpv</definedName>
    <definedName name="Fpv" localSheetId="4">[1]!Fpv</definedName>
    <definedName name="Fpv" localSheetId="9">[1]!Fpv</definedName>
    <definedName name="Fpv" localSheetId="8">[1]!Fpv</definedName>
    <definedName name="Fpv">[1]!Fpv</definedName>
    <definedName name="Fr" localSheetId="33">[1]!Fr</definedName>
    <definedName name="Fr" localSheetId="38">[1]!Fr</definedName>
    <definedName name="Fr" localSheetId="37">[1]!Fr</definedName>
    <definedName name="Fr" localSheetId="15">[1]!Fr</definedName>
    <definedName name="Fr" localSheetId="19">[1]!Fr</definedName>
    <definedName name="Fr" localSheetId="13">[1]!Fr</definedName>
    <definedName name="Fr" localSheetId="18">[1]!Fr</definedName>
    <definedName name="Fr" localSheetId="5">[1]!Fr</definedName>
    <definedName name="Fr" localSheetId="2">[1]!Fr</definedName>
    <definedName name="Fr" localSheetId="14">[1]!Fr</definedName>
    <definedName name="Fr" localSheetId="4">[1]!Fr</definedName>
    <definedName name="Fr" localSheetId="9">[1]!Fr</definedName>
    <definedName name="Fr" localSheetId="8">[1]!Fr</definedName>
    <definedName name="Fr">[1]!Fr</definedName>
    <definedName name="K" localSheetId="33">[1]!K</definedName>
    <definedName name="K" localSheetId="38">[1]!K</definedName>
    <definedName name="K" localSheetId="37">[1]!K</definedName>
    <definedName name="K" localSheetId="15">[1]!K</definedName>
    <definedName name="K" localSheetId="19">[1]!K</definedName>
    <definedName name="K" localSheetId="13">[1]!K</definedName>
    <definedName name="K" localSheetId="18">[1]!K</definedName>
    <definedName name="K" localSheetId="5">[1]!K</definedName>
    <definedName name="K" localSheetId="2">[1]!K</definedName>
    <definedName name="K" localSheetId="14">[1]!K</definedName>
    <definedName name="K" localSheetId="4">[1]!K</definedName>
    <definedName name="K" localSheetId="9">[1]!K</definedName>
    <definedName name="K" localSheetId="8">[1]!K</definedName>
    <definedName name="K">[1]!K</definedName>
    <definedName name="nov" localSheetId="33">#REF!</definedName>
    <definedName name="nov" localSheetId="38">#REF!</definedName>
    <definedName name="nov" localSheetId="15">#REF!</definedName>
    <definedName name="nov" localSheetId="19">#REF!</definedName>
    <definedName name="nov" localSheetId="13">#REF!</definedName>
    <definedName name="nov" localSheetId="18">#REF!</definedName>
    <definedName name="nov" localSheetId="5">#REF!</definedName>
    <definedName name="nov" localSheetId="2">#REF!</definedName>
    <definedName name="nov" localSheetId="14">#REF!</definedName>
    <definedName name="nov" localSheetId="4">#REF!</definedName>
    <definedName name="nov" localSheetId="9">#REF!</definedName>
    <definedName name="nov" localSheetId="8">#REF!</definedName>
    <definedName name="nov">#REF!</definedName>
    <definedName name="oiur" localSheetId="33">[1]!Y</definedName>
    <definedName name="oiur" localSheetId="38">[1]!Y</definedName>
    <definedName name="oiur" localSheetId="37">[1]!Y</definedName>
    <definedName name="oiur" localSheetId="15">[1]!Y</definedName>
    <definedName name="oiur" localSheetId="19">[1]!Y</definedName>
    <definedName name="oiur" localSheetId="13">[1]!Y</definedName>
    <definedName name="oiur" localSheetId="18">[1]!Y</definedName>
    <definedName name="oiur" localSheetId="5">[1]!Y</definedName>
    <definedName name="oiur" localSheetId="2">[1]!Y</definedName>
    <definedName name="oiur" localSheetId="14">[1]!Y</definedName>
    <definedName name="oiur" localSheetId="4">[1]!Y</definedName>
    <definedName name="oiur" localSheetId="9">[1]!Y</definedName>
    <definedName name="oiur" localSheetId="8">[1]!Y</definedName>
    <definedName name="oiur">[1]!Y</definedName>
    <definedName name="P" localSheetId="33">[1]!K</definedName>
    <definedName name="P" localSheetId="38">[1]!K</definedName>
    <definedName name="P" localSheetId="37">[1]!K</definedName>
    <definedName name="P" localSheetId="15">[1]!K</definedName>
    <definedName name="P" localSheetId="19">[1]!K</definedName>
    <definedName name="P" localSheetId="13">[1]!K</definedName>
    <definedName name="P" localSheetId="18">[1]!K</definedName>
    <definedName name="P" localSheetId="5">[1]!K</definedName>
    <definedName name="P" localSheetId="2">[1]!K</definedName>
    <definedName name="P" localSheetId="14">[1]!K</definedName>
    <definedName name="P" localSheetId="4">[1]!K</definedName>
    <definedName name="P" localSheetId="9">[1]!K</definedName>
    <definedName name="P" localSheetId="8">[1]!K</definedName>
    <definedName name="P">[1]!K</definedName>
    <definedName name="Packer" localSheetId="33">'[1]COVER SHEET'!#REF!</definedName>
    <definedName name="Packer" localSheetId="38">'[1]COVER SHEET'!#REF!</definedName>
    <definedName name="Packer" localSheetId="15">'[1]COVER SHEET'!#REF!</definedName>
    <definedName name="Packer" localSheetId="19">'[1]COVER SHEET'!#REF!</definedName>
    <definedName name="Packer" localSheetId="13">'[1]COVER SHEET'!#REF!</definedName>
    <definedName name="Packer" localSheetId="18">'[1]COVER SHEET'!#REF!</definedName>
    <definedName name="Packer" localSheetId="5">'[1]COVER SHEET'!#REF!</definedName>
    <definedName name="Packer" localSheetId="2">'[1]COVER SHEET'!#REF!</definedName>
    <definedName name="Packer" localSheetId="14">'[1]COVER SHEET'!#REF!</definedName>
    <definedName name="Packer" localSheetId="4">'[1]COVER SHEET'!#REF!</definedName>
    <definedName name="Packer" localSheetId="9">'[1]COVER SHEET'!#REF!</definedName>
    <definedName name="Packer" localSheetId="8">'[1]COVER SHEET'!#REF!</definedName>
    <definedName name="Packer">'[1]COVER SHEET'!#REF!</definedName>
    <definedName name="Ready" localSheetId="33">#REF!</definedName>
    <definedName name="Ready" localSheetId="38">#REF!</definedName>
    <definedName name="Ready" localSheetId="15">#REF!</definedName>
    <definedName name="Ready" localSheetId="19">#REF!</definedName>
    <definedName name="Ready" localSheetId="13">#REF!</definedName>
    <definedName name="Ready" localSheetId="18">#REF!</definedName>
    <definedName name="Ready" localSheetId="5">#REF!</definedName>
    <definedName name="Ready" localSheetId="2">#REF!</definedName>
    <definedName name="Ready" localSheetId="14">#REF!</definedName>
    <definedName name="Ready" localSheetId="4">#REF!</definedName>
    <definedName name="Ready" localSheetId="9">#REF!</definedName>
    <definedName name="Ready" localSheetId="8">#REF!</definedName>
    <definedName name="Ready">#REF!</definedName>
    <definedName name="s" localSheetId="33">#REF!</definedName>
    <definedName name="s" localSheetId="38">#REF!</definedName>
    <definedName name="s" localSheetId="15">#REF!</definedName>
    <definedName name="s" localSheetId="19">#REF!</definedName>
    <definedName name="s" localSheetId="13">#REF!</definedName>
    <definedName name="s" localSheetId="18">#REF!</definedName>
    <definedName name="s" localSheetId="5">#REF!</definedName>
    <definedName name="s" localSheetId="2">#REF!</definedName>
    <definedName name="s" localSheetId="14">#REF!</definedName>
    <definedName name="s" localSheetId="4">#REF!</definedName>
    <definedName name="s" localSheetId="9">#REF!</definedName>
    <definedName name="s" localSheetId="8">#REF!</definedName>
    <definedName name="s">#REF!</definedName>
    <definedName name="s_e" localSheetId="33">#REF!</definedName>
    <definedName name="s_e" localSheetId="38">#REF!</definedName>
    <definedName name="s_e" localSheetId="15">#REF!</definedName>
    <definedName name="s_e" localSheetId="19">#REF!</definedName>
    <definedName name="s_e" localSheetId="13">#REF!</definedName>
    <definedName name="s_e" localSheetId="18">#REF!</definedName>
    <definedName name="s_e" localSheetId="5">#REF!</definedName>
    <definedName name="s_e" localSheetId="2">#REF!</definedName>
    <definedName name="s_e" localSheetId="14">#REF!</definedName>
    <definedName name="s_e" localSheetId="4">#REF!</definedName>
    <definedName name="s_e" localSheetId="9">#REF!</definedName>
    <definedName name="s_e" localSheetId="8">#REF!</definedName>
    <definedName name="s_e">#REF!</definedName>
    <definedName name="Shrinkage" localSheetId="33">[1]!Shrinkage</definedName>
    <definedName name="Shrinkage" localSheetId="38">[1]!Shrinkage</definedName>
    <definedName name="Shrinkage" localSheetId="37">[1]!Shrinkage</definedName>
    <definedName name="Shrinkage" localSheetId="15">[1]!Shrinkage</definedName>
    <definedName name="Shrinkage" localSheetId="19">[1]!Shrinkage</definedName>
    <definedName name="Shrinkage" localSheetId="13">[1]!Shrinkage</definedName>
    <definedName name="Shrinkage" localSheetId="18">[1]!Shrinkage</definedName>
    <definedName name="Shrinkage" localSheetId="5">[1]!Shrinkage</definedName>
    <definedName name="Shrinkage" localSheetId="2">[1]!Shrinkage</definedName>
    <definedName name="Shrinkage" localSheetId="14">[1]!Shrinkage</definedName>
    <definedName name="Shrinkage" localSheetId="4">[1]!Shrinkage</definedName>
    <definedName name="Shrinkage" localSheetId="9">[1]!Shrinkage</definedName>
    <definedName name="Shrinkage" localSheetId="8">[1]!Shrinkage</definedName>
    <definedName name="Shrinkage">[1]!Shrinkage</definedName>
    <definedName name="Summary" localSheetId="33">#REF!</definedName>
    <definedName name="Summary" localSheetId="38">#REF!</definedName>
    <definedName name="Summary" localSheetId="15">#REF!</definedName>
    <definedName name="Summary" localSheetId="19">#REF!</definedName>
    <definedName name="Summary" localSheetId="13">#REF!</definedName>
    <definedName name="Summary" localSheetId="18">#REF!</definedName>
    <definedName name="Summary" localSheetId="5">#REF!</definedName>
    <definedName name="Summary" localSheetId="2">#REF!</definedName>
    <definedName name="Summary" localSheetId="14">#REF!</definedName>
    <definedName name="Summary" localSheetId="4">#REF!</definedName>
    <definedName name="Summary" localSheetId="9">#REF!</definedName>
    <definedName name="Summary" localSheetId="8">#REF!</definedName>
    <definedName name="Summary">#REF!</definedName>
    <definedName name="trt" localSheetId="33">#REF!</definedName>
    <definedName name="trt" localSheetId="38">#REF!</definedName>
    <definedName name="trt" localSheetId="15">#REF!</definedName>
    <definedName name="trt" localSheetId="19">#REF!</definedName>
    <definedName name="trt" localSheetId="13">#REF!</definedName>
    <definedName name="trt" localSheetId="18">#REF!</definedName>
    <definedName name="trt" localSheetId="5">#REF!</definedName>
    <definedName name="trt" localSheetId="2">#REF!</definedName>
    <definedName name="trt" localSheetId="14">#REF!</definedName>
    <definedName name="trt" localSheetId="4">#REF!</definedName>
    <definedName name="trt" localSheetId="9">#REF!</definedName>
    <definedName name="trt" localSheetId="8">#REF!</definedName>
    <definedName name="trt">#REF!</definedName>
    <definedName name="WELL1" localSheetId="33">#REF!</definedName>
    <definedName name="WELL1" localSheetId="38">#REF!</definedName>
    <definedName name="WELL1" localSheetId="15">#REF!</definedName>
    <definedName name="WELL1" localSheetId="19">#REF!</definedName>
    <definedName name="WELL1" localSheetId="13">#REF!</definedName>
    <definedName name="WELL1" localSheetId="18">#REF!</definedName>
    <definedName name="WELL1" localSheetId="5">#REF!</definedName>
    <definedName name="WELL1" localSheetId="2">#REF!</definedName>
    <definedName name="WELL1" localSheetId="14">#REF!</definedName>
    <definedName name="WELL1" localSheetId="4">#REF!</definedName>
    <definedName name="WELL1" localSheetId="9">#REF!</definedName>
    <definedName name="WELL1" localSheetId="8">#REF!</definedName>
    <definedName name="WELL1">#REF!</definedName>
    <definedName name="Y" localSheetId="33">[1]!Y</definedName>
    <definedName name="Y" localSheetId="38">[1]!Y</definedName>
    <definedName name="Y" localSheetId="37">[1]!Y</definedName>
    <definedName name="Y" localSheetId="15">[1]!Y</definedName>
    <definedName name="Y" localSheetId="19">[1]!Y</definedName>
    <definedName name="Y" localSheetId="13">[1]!Y</definedName>
    <definedName name="Y" localSheetId="18">[1]!Y</definedName>
    <definedName name="Y" localSheetId="5">[1]!Y</definedName>
    <definedName name="Y" localSheetId="2">[1]!Y</definedName>
    <definedName name="Y" localSheetId="14">[1]!Y</definedName>
    <definedName name="Y" localSheetId="4">[1]!Y</definedName>
    <definedName name="Y" localSheetId="9">[1]!Y</definedName>
    <definedName name="Y" localSheetId="8">[1]!Y</definedName>
    <definedName name="Y">[1]!Y</definedName>
  </definedNames>
  <calcPr calcId="162913"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108" i="42" l="1"/>
  <c r="D108" i="42"/>
  <c r="C108" i="42"/>
  <c r="E104" i="42" l="1"/>
  <c r="D104" i="42"/>
  <c r="C104" i="42"/>
  <c r="E100" i="42" l="1"/>
  <c r="D100" i="42"/>
  <c r="C100" i="42"/>
  <c r="E96" i="42" l="1"/>
  <c r="D96" i="42"/>
  <c r="C96" i="42"/>
  <c r="E92" i="42" l="1"/>
  <c r="D92" i="42"/>
  <c r="C92" i="42"/>
  <c r="E88" i="42"/>
  <c r="D88" i="42"/>
  <c r="C88" i="42"/>
  <c r="E84" i="42" l="1"/>
  <c r="D84" i="42"/>
  <c r="C84" i="42"/>
  <c r="E80" i="42" l="1"/>
  <c r="D80" i="42"/>
  <c r="C80" i="42"/>
  <c r="E76" i="42" l="1"/>
  <c r="D76" i="42"/>
  <c r="C76" i="42"/>
  <c r="E72" i="42" l="1"/>
  <c r="D72" i="42"/>
  <c r="C72" i="42"/>
  <c r="E68" i="42" l="1"/>
  <c r="D68" i="42"/>
  <c r="C68" i="42"/>
  <c r="E64" i="42" l="1"/>
  <c r="D64" i="42"/>
  <c r="C64" i="42"/>
  <c r="E60" i="42" l="1"/>
  <c r="D60" i="42"/>
  <c r="C60" i="42"/>
  <c r="E56" i="42" l="1"/>
  <c r="D56" i="42"/>
  <c r="C56" i="42"/>
  <c r="E52" i="42" l="1"/>
  <c r="D52" i="42"/>
  <c r="C52" i="42"/>
  <c r="E48" i="42" l="1"/>
  <c r="D48" i="42"/>
  <c r="C48" i="42"/>
  <c r="E44" i="42" l="1"/>
  <c r="D44" i="42"/>
  <c r="C44" i="42"/>
  <c r="E40" i="42" l="1"/>
  <c r="D40" i="42"/>
  <c r="C40" i="42"/>
  <c r="E36" i="42" l="1"/>
  <c r="D36" i="42"/>
  <c r="C36" i="42"/>
  <c r="E32" i="42" l="1"/>
  <c r="D32" i="42"/>
  <c r="C32" i="42"/>
  <c r="E28" i="42" l="1"/>
  <c r="D28" i="42"/>
  <c r="C28" i="42"/>
  <c r="E24" i="42" l="1"/>
  <c r="D24" i="42"/>
  <c r="C24" i="42"/>
  <c r="E20" i="42" l="1"/>
  <c r="D20" i="42"/>
  <c r="C20" i="42"/>
  <c r="E16" i="42" l="1"/>
  <c r="D16" i="42"/>
  <c r="C16" i="42"/>
  <c r="E12" i="42" l="1"/>
  <c r="D12" i="42"/>
  <c r="C12" i="42"/>
  <c r="E8" i="42" l="1"/>
  <c r="D8" i="42"/>
  <c r="C8" i="42"/>
  <c r="E129" i="42" l="1"/>
  <c r="D129" i="42"/>
  <c r="C129" i="42"/>
  <c r="E128" i="42"/>
  <c r="D128" i="42"/>
  <c r="C128" i="42"/>
  <c r="E127" i="42"/>
  <c r="D127" i="42"/>
  <c r="E4" i="42"/>
  <c r="D4" i="42"/>
  <c r="C4" i="42"/>
  <c r="C127" i="42" s="1"/>
  <c r="E120" i="41" l="1"/>
  <c r="D120" i="41"/>
  <c r="C120" i="41"/>
  <c r="E116" i="41" l="1"/>
  <c r="D116" i="41"/>
  <c r="C116" i="41"/>
  <c r="E112" i="41" l="1"/>
  <c r="C112" i="41"/>
  <c r="D112" i="41" l="1"/>
  <c r="D108" i="41" l="1"/>
  <c r="E108" i="41" l="1"/>
  <c r="C108" i="41"/>
  <c r="E104" i="41" l="1"/>
  <c r="D104" i="41"/>
  <c r="C104" i="41"/>
  <c r="E100" i="41" l="1"/>
  <c r="D100" i="41"/>
  <c r="C100" i="41"/>
  <c r="E96" i="41" l="1"/>
  <c r="D96" i="41"/>
  <c r="C96" i="41"/>
  <c r="E92" i="41" l="1"/>
  <c r="D92" i="41"/>
  <c r="C92" i="41"/>
  <c r="D88" i="41" l="1"/>
  <c r="E88" i="41"/>
  <c r="C88" i="41"/>
  <c r="D84" i="41" l="1"/>
  <c r="E84" i="41"/>
  <c r="C84" i="41"/>
  <c r="E80" i="41" l="1"/>
  <c r="D80" i="41"/>
  <c r="C80" i="41"/>
  <c r="E76" i="41" l="1"/>
  <c r="D76" i="41"/>
  <c r="C76" i="41"/>
  <c r="E72" i="41" l="1"/>
  <c r="D72" i="41"/>
  <c r="C72" i="41"/>
  <c r="D68" i="41" l="1"/>
  <c r="E68" i="41"/>
  <c r="C68" i="41"/>
  <c r="D64" i="41"/>
  <c r="E64" i="41" l="1"/>
  <c r="C64" i="41"/>
  <c r="E60" i="41" l="1"/>
  <c r="D60" i="41"/>
  <c r="C60" i="41"/>
  <c r="E56" i="41" l="1"/>
  <c r="D56" i="41"/>
  <c r="C56" i="41" l="1"/>
  <c r="E52" i="41" l="1"/>
  <c r="D52" i="41"/>
  <c r="C52" i="41"/>
  <c r="E48" i="41" l="1"/>
  <c r="D48" i="41"/>
  <c r="C48" i="41"/>
  <c r="D44" i="41" l="1"/>
  <c r="E44" i="41" l="1"/>
  <c r="C44" i="41"/>
  <c r="E40" i="41" l="1"/>
  <c r="D40" i="41"/>
  <c r="C40" i="41"/>
  <c r="D36" i="41" l="1"/>
  <c r="E36" i="41" l="1"/>
  <c r="C36" i="41"/>
  <c r="E32" i="41" l="1"/>
  <c r="D32" i="41"/>
  <c r="C32" i="41"/>
  <c r="E28" i="41" l="1"/>
  <c r="D28" i="41"/>
  <c r="C28" i="41"/>
  <c r="E24" i="41" l="1"/>
  <c r="D24" i="41"/>
  <c r="C24" i="41"/>
  <c r="D20" i="41" l="1"/>
  <c r="E20" i="41"/>
  <c r="C20" i="41"/>
  <c r="E16" i="41" l="1"/>
  <c r="D16" i="41"/>
  <c r="C16" i="41"/>
  <c r="E12" i="41" l="1"/>
  <c r="C12" i="41" l="1"/>
  <c r="D12" i="41" l="1"/>
  <c r="C8" i="41" l="1"/>
  <c r="D8" i="41"/>
  <c r="E8" i="41" l="1"/>
  <c r="E4" i="41" l="1"/>
  <c r="D4" i="41"/>
  <c r="C4" i="41"/>
  <c r="E129" i="41"/>
  <c r="D129" i="41"/>
  <c r="C129" i="41"/>
  <c r="E128" i="41"/>
  <c r="D128" i="41"/>
  <c r="C128" i="41"/>
  <c r="E127" i="41"/>
  <c r="D127" i="41"/>
  <c r="C127" i="41"/>
  <c r="D124" i="40" l="1"/>
  <c r="C120" i="40"/>
  <c r="C124" i="40" l="1"/>
  <c r="E124" i="40"/>
  <c r="E120" i="40" l="1"/>
  <c r="D120" i="40" l="1"/>
  <c r="E116" i="40"/>
  <c r="D116" i="40"/>
  <c r="C116" i="40"/>
  <c r="E112" i="40" l="1"/>
  <c r="D112" i="40"/>
  <c r="C112" i="40"/>
  <c r="E108" i="40" l="1"/>
  <c r="D108" i="40"/>
  <c r="C108" i="40"/>
  <c r="E104" i="40" l="1"/>
  <c r="D104" i="40"/>
  <c r="C104" i="40"/>
  <c r="E100" i="40" l="1"/>
  <c r="D100" i="40"/>
  <c r="C100" i="40"/>
  <c r="E96" i="40" l="1"/>
  <c r="D96" i="40"/>
  <c r="C96" i="40"/>
  <c r="D92" i="40" l="1"/>
  <c r="E92" i="40" l="1"/>
  <c r="C92" i="40"/>
  <c r="E88" i="40" l="1"/>
  <c r="C88" i="40"/>
  <c r="D88" i="40" l="1"/>
  <c r="E84" i="40"/>
  <c r="D84" i="40"/>
  <c r="C84" i="40"/>
  <c r="E80" i="40" l="1"/>
  <c r="C80" i="40"/>
  <c r="D80" i="40" l="1"/>
  <c r="D76" i="40"/>
  <c r="E76" i="40" l="1"/>
  <c r="C76" i="40"/>
  <c r="E72" i="40" l="1"/>
  <c r="C72" i="40"/>
  <c r="D72" i="40" l="1"/>
  <c r="D68" i="40" l="1"/>
  <c r="E68" i="40" l="1"/>
  <c r="C68" i="40"/>
  <c r="D64" i="40" l="1"/>
  <c r="E64" i="40" l="1"/>
  <c r="C64" i="40"/>
  <c r="E60" i="40" l="1"/>
  <c r="C60" i="40"/>
  <c r="D60" i="40" l="1"/>
  <c r="D56" i="40" l="1"/>
  <c r="E56" i="40" l="1"/>
  <c r="C56" i="40"/>
  <c r="D52" i="40" l="1"/>
  <c r="E52" i="40" l="1"/>
  <c r="C52" i="40"/>
  <c r="E48" i="40" l="1"/>
  <c r="D48" i="40"/>
  <c r="C48" i="40"/>
  <c r="E44" i="40" l="1"/>
  <c r="D44" i="40"/>
  <c r="C44" i="40"/>
  <c r="E40" i="40" l="1"/>
  <c r="D40" i="40"/>
  <c r="C40" i="40"/>
  <c r="E36" i="40" l="1"/>
  <c r="D36" i="40"/>
  <c r="C36" i="40"/>
  <c r="E32" i="40" l="1"/>
  <c r="D32" i="40"/>
  <c r="C32" i="40"/>
  <c r="E28" i="40" l="1"/>
  <c r="D28" i="40"/>
  <c r="C28" i="40"/>
  <c r="E24" i="40" l="1"/>
  <c r="D24" i="40"/>
  <c r="C24" i="40"/>
  <c r="E20" i="40" l="1"/>
  <c r="D20" i="40"/>
  <c r="C20" i="40"/>
  <c r="E16" i="40" l="1"/>
  <c r="D16" i="40"/>
  <c r="C16" i="40"/>
  <c r="E12" i="40" l="1"/>
  <c r="D12" i="40"/>
  <c r="C12" i="40"/>
  <c r="E8" i="40" l="1"/>
  <c r="D8" i="40"/>
  <c r="C8" i="40"/>
  <c r="F129" i="40" l="1"/>
  <c r="E129" i="40"/>
  <c r="D129" i="40"/>
  <c r="C129" i="40"/>
  <c r="F128" i="40"/>
  <c r="E128" i="40"/>
  <c r="D128" i="40"/>
  <c r="C128" i="40"/>
  <c r="E127" i="40"/>
  <c r="C127" i="40"/>
  <c r="F127" i="40"/>
  <c r="E4" i="40"/>
  <c r="D4" i="40"/>
  <c r="D127" i="40" s="1"/>
  <c r="C4" i="40"/>
  <c r="E120" i="39" l="1"/>
  <c r="D120" i="39"/>
  <c r="C120" i="39"/>
  <c r="E116" i="39" l="1"/>
  <c r="D116" i="39"/>
  <c r="C116" i="39"/>
  <c r="E112" i="39" l="1"/>
  <c r="D112" i="39"/>
  <c r="C112" i="39"/>
  <c r="E108" i="39" l="1"/>
  <c r="D108" i="39"/>
  <c r="C108" i="39"/>
  <c r="E104" i="39" l="1"/>
  <c r="D104" i="39"/>
  <c r="C104" i="39"/>
  <c r="E100" i="39" l="1"/>
  <c r="D100" i="39"/>
  <c r="C100" i="39"/>
  <c r="E96" i="39" l="1"/>
  <c r="D96" i="39"/>
  <c r="C96" i="39"/>
  <c r="E92" i="39" l="1"/>
  <c r="D92" i="39"/>
  <c r="C92" i="39"/>
  <c r="E88" i="39" l="1"/>
  <c r="D88" i="39"/>
  <c r="C88" i="39"/>
  <c r="E84" i="39" l="1"/>
  <c r="D84" i="39"/>
  <c r="C84" i="39"/>
  <c r="E80" i="39" l="1"/>
  <c r="D80" i="39"/>
  <c r="C80" i="39"/>
  <c r="E76" i="39" l="1"/>
  <c r="D76" i="39"/>
  <c r="C76" i="39"/>
  <c r="E72" i="39" l="1"/>
  <c r="D72" i="39"/>
  <c r="C72" i="39"/>
  <c r="E68" i="39" l="1"/>
  <c r="D68" i="39"/>
  <c r="C68" i="39"/>
  <c r="E64" i="39" l="1"/>
  <c r="D64" i="39"/>
  <c r="C64" i="39"/>
  <c r="E60" i="39" l="1"/>
  <c r="D60" i="39"/>
  <c r="C60" i="39"/>
  <c r="E56" i="39" l="1"/>
  <c r="D56" i="39"/>
  <c r="C56" i="39"/>
  <c r="E52" i="39" l="1"/>
  <c r="D52" i="39"/>
  <c r="C52" i="39"/>
  <c r="E48" i="39" l="1"/>
  <c r="D48" i="39"/>
  <c r="C48" i="39"/>
  <c r="E44" i="39" l="1"/>
  <c r="D44" i="39"/>
  <c r="C44" i="39"/>
  <c r="E40" i="39" l="1"/>
  <c r="D40" i="39"/>
  <c r="C40" i="39"/>
  <c r="E36" i="39" l="1"/>
  <c r="D36" i="39"/>
  <c r="C36" i="39"/>
  <c r="E32" i="39" l="1"/>
  <c r="D32" i="39"/>
  <c r="C32" i="39"/>
  <c r="E28" i="39" l="1"/>
  <c r="D28" i="39"/>
  <c r="C28" i="39"/>
  <c r="E24" i="39" l="1"/>
  <c r="D24" i="39"/>
  <c r="C24" i="39"/>
  <c r="E20" i="39" l="1"/>
  <c r="D20" i="39"/>
  <c r="C20" i="39"/>
  <c r="E16" i="39" l="1"/>
  <c r="D16" i="39"/>
  <c r="C16" i="39"/>
  <c r="F12" i="39" l="1"/>
  <c r="E12" i="39"/>
  <c r="D12" i="39"/>
  <c r="C12" i="39"/>
  <c r="F8" i="39" l="1"/>
  <c r="E8" i="39"/>
  <c r="D8" i="39"/>
  <c r="C8" i="39"/>
  <c r="F129" i="39" l="1"/>
  <c r="E129" i="39"/>
  <c r="D129" i="39"/>
  <c r="C129" i="39"/>
  <c r="F128" i="39"/>
  <c r="E128" i="39"/>
  <c r="D128" i="39"/>
  <c r="C128" i="39"/>
  <c r="F127" i="39"/>
  <c r="E127" i="39"/>
  <c r="C127" i="39"/>
  <c r="F4" i="39"/>
  <c r="E4" i="39"/>
  <c r="D4" i="39"/>
  <c r="D127" i="39" s="1"/>
  <c r="C4" i="39"/>
  <c r="F124" i="38" l="1"/>
  <c r="E124" i="38"/>
  <c r="D124" i="38"/>
  <c r="C124" i="38"/>
  <c r="F120" i="38" l="1"/>
  <c r="E120" i="38"/>
  <c r="D120" i="38"/>
  <c r="C120" i="38"/>
  <c r="F116" i="38" l="1"/>
  <c r="E116" i="38"/>
  <c r="D116" i="38"/>
  <c r="C116" i="38"/>
  <c r="F112" i="38" l="1"/>
  <c r="E112" i="38"/>
  <c r="D112" i="38"/>
  <c r="C112" i="38"/>
  <c r="F108" i="38" l="1"/>
  <c r="E108" i="38"/>
  <c r="D108" i="38"/>
  <c r="C108" i="38"/>
  <c r="F104" i="38" l="1"/>
  <c r="E104" i="38"/>
  <c r="D104" i="38"/>
  <c r="C104" i="38"/>
  <c r="F100" i="38" l="1"/>
  <c r="E100" i="38"/>
  <c r="D100" i="38"/>
  <c r="C100" i="38"/>
  <c r="F96" i="38" l="1"/>
  <c r="E96" i="38"/>
  <c r="D96" i="38"/>
  <c r="C96" i="38"/>
  <c r="D92" i="38" l="1"/>
  <c r="F92" i="38" l="1"/>
  <c r="E92" i="38"/>
  <c r="C92" i="38"/>
  <c r="C88" i="38"/>
  <c r="F88" i="38"/>
  <c r="E88" i="38"/>
  <c r="D88" i="38" l="1"/>
  <c r="D84" i="38" l="1"/>
  <c r="F84" i="38" l="1"/>
  <c r="E84" i="38"/>
  <c r="C84" i="38"/>
  <c r="F80" i="38" l="1"/>
  <c r="E80" i="38"/>
  <c r="D80" i="38"/>
  <c r="C80" i="38"/>
  <c r="D76" i="38" l="1"/>
  <c r="F76" i="38" l="1"/>
  <c r="E76" i="38"/>
  <c r="C76" i="38"/>
  <c r="D72" i="38" l="1"/>
  <c r="D68" i="38"/>
  <c r="C72" i="38"/>
  <c r="F72" i="38" l="1"/>
  <c r="E72" i="38"/>
  <c r="F68" i="38"/>
  <c r="E68" i="38"/>
  <c r="C68" i="38"/>
  <c r="D64" i="38" l="1"/>
  <c r="D60" i="38"/>
  <c r="F64" i="38" l="1"/>
  <c r="E64" i="38"/>
  <c r="C64" i="38"/>
  <c r="F60" i="38" l="1"/>
  <c r="E60" i="38"/>
  <c r="C60" i="38"/>
  <c r="D56" i="38" l="1"/>
  <c r="F56" i="38" l="1"/>
  <c r="E56" i="38"/>
  <c r="C56" i="38"/>
  <c r="F52" i="38" l="1"/>
  <c r="E52" i="38"/>
  <c r="C52" i="38"/>
  <c r="D52" i="38" l="1"/>
  <c r="D48" i="38"/>
  <c r="F48" i="38" l="1"/>
  <c r="E48" i="38"/>
  <c r="C48" i="38"/>
  <c r="C44" i="38" l="1"/>
  <c r="F44" i="38" l="1"/>
  <c r="E44" i="38"/>
  <c r="D44" i="38" l="1"/>
  <c r="D40" i="38"/>
  <c r="F40" i="38" l="1"/>
  <c r="E40" i="38"/>
  <c r="C40" i="38"/>
  <c r="F36" i="38" l="1"/>
  <c r="E36" i="38"/>
  <c r="C36" i="38"/>
  <c r="D36" i="38" l="1"/>
  <c r="D32" i="38"/>
  <c r="F32" i="38" l="1"/>
  <c r="E32" i="38"/>
  <c r="C32" i="38"/>
  <c r="F28" i="38"/>
  <c r="E28" i="38"/>
  <c r="D28" i="38"/>
  <c r="C28" i="38"/>
  <c r="D24" i="38"/>
  <c r="C24" i="38" l="1"/>
  <c r="F24" i="38"/>
  <c r="E24" i="38"/>
  <c r="F20" i="38" l="1"/>
  <c r="E20" i="38"/>
  <c r="D20" i="38"/>
  <c r="C20" i="38"/>
  <c r="F16" i="38"/>
  <c r="E16" i="38"/>
  <c r="D16" i="38"/>
  <c r="C16" i="38"/>
  <c r="F12" i="38" l="1"/>
  <c r="E12" i="38"/>
  <c r="C12" i="38"/>
  <c r="D12" i="38" l="1"/>
  <c r="D8" i="38"/>
  <c r="F8" i="38" l="1"/>
  <c r="E8" i="38"/>
  <c r="C8" i="38" l="1"/>
  <c r="F4" i="38" l="1"/>
  <c r="E4" i="38"/>
  <c r="D4" i="38"/>
  <c r="C4" i="38"/>
  <c r="F129" i="38"/>
  <c r="E129" i="38"/>
  <c r="D129" i="38"/>
  <c r="C129" i="38"/>
  <c r="F128" i="38"/>
  <c r="E128" i="38"/>
  <c r="D128" i="38"/>
  <c r="C128" i="38"/>
  <c r="F127" i="38"/>
  <c r="E127" i="38"/>
  <c r="D127" i="38"/>
  <c r="C127" i="38"/>
  <c r="F112" i="37" l="1"/>
  <c r="E112" i="37"/>
  <c r="D112" i="37"/>
  <c r="C112" i="37"/>
  <c r="F108" i="37" l="1"/>
  <c r="E108" i="37"/>
  <c r="D108" i="37"/>
  <c r="C108" i="37"/>
  <c r="D104" i="37" l="1"/>
  <c r="F104" i="37" l="1"/>
  <c r="E104" i="37"/>
  <c r="C104" i="37"/>
  <c r="F100" i="37" l="1"/>
  <c r="E100" i="37"/>
  <c r="C100" i="37"/>
  <c r="D100" i="37" l="1"/>
  <c r="F96" i="37" l="1"/>
  <c r="E96" i="37"/>
  <c r="D96" i="37"/>
  <c r="C96" i="37"/>
  <c r="F92" i="37" l="1"/>
  <c r="E92" i="37"/>
  <c r="C92" i="37"/>
  <c r="D92" i="37" l="1"/>
  <c r="F88" i="37" l="1"/>
  <c r="E88" i="37"/>
  <c r="D88" i="37"/>
  <c r="C88" i="37"/>
  <c r="F84" i="37" l="1"/>
  <c r="E84" i="37"/>
  <c r="D84" i="37"/>
  <c r="C84" i="37"/>
  <c r="F80" i="37" l="1"/>
  <c r="E80" i="37"/>
  <c r="D80" i="37"/>
  <c r="C80" i="37"/>
  <c r="F76" i="37" l="1"/>
  <c r="E76" i="37"/>
  <c r="D76" i="37"/>
  <c r="C76" i="37"/>
  <c r="F72" i="37" l="1"/>
  <c r="E72" i="37"/>
  <c r="D72" i="37"/>
  <c r="C72" i="37"/>
  <c r="F68" i="37"/>
  <c r="E68" i="37"/>
  <c r="C68" i="37"/>
  <c r="D68" i="37" l="1"/>
  <c r="F64" i="37" l="1"/>
  <c r="E64" i="37"/>
  <c r="D64" i="37"/>
  <c r="C64" i="37"/>
  <c r="C60" i="37" l="1"/>
  <c r="F60" i="37"/>
  <c r="E60" i="37"/>
  <c r="D60" i="37" l="1"/>
  <c r="D56" i="37" l="1"/>
  <c r="C56" i="37"/>
  <c r="F56" i="37" l="1"/>
  <c r="E56" i="37"/>
  <c r="F52" i="37" l="1"/>
  <c r="E52" i="37"/>
  <c r="D52" i="37"/>
  <c r="C52" i="37"/>
  <c r="F48" i="37" l="1"/>
  <c r="E48" i="37"/>
  <c r="D48" i="37"/>
  <c r="C48" i="37"/>
  <c r="F44" i="37" l="1"/>
  <c r="E44" i="37"/>
  <c r="D44" i="37"/>
  <c r="C44" i="37"/>
  <c r="F40" i="37" l="1"/>
  <c r="E40" i="37"/>
  <c r="D40" i="37"/>
  <c r="C40" i="37"/>
  <c r="F36" i="37" l="1"/>
  <c r="E36" i="37"/>
  <c r="D36" i="37"/>
  <c r="C36" i="37"/>
  <c r="F32" i="37" l="1"/>
  <c r="E32" i="37"/>
  <c r="D32" i="37"/>
  <c r="C32" i="37"/>
  <c r="F28" i="37"/>
  <c r="E28" i="37"/>
  <c r="D28" i="37"/>
  <c r="C28" i="37"/>
  <c r="F24" i="37"/>
  <c r="E24" i="37"/>
  <c r="D24" i="37"/>
  <c r="C24" i="37"/>
  <c r="F20" i="37"/>
  <c r="E20" i="37"/>
  <c r="D20" i="37"/>
  <c r="C20" i="37"/>
  <c r="F16" i="37"/>
  <c r="E16" i="37"/>
  <c r="D16" i="37"/>
  <c r="C16" i="37"/>
  <c r="F12" i="37"/>
  <c r="E12" i="37"/>
  <c r="D12" i="37"/>
  <c r="C12" i="37"/>
  <c r="F8" i="37"/>
  <c r="E8" i="37"/>
  <c r="D8" i="37"/>
  <c r="C8" i="37"/>
  <c r="F129" i="37"/>
  <c r="E129" i="37"/>
  <c r="D129" i="37"/>
  <c r="C129" i="37"/>
  <c r="F128" i="37"/>
  <c r="E128" i="37"/>
  <c r="D128" i="37"/>
  <c r="C128" i="37"/>
  <c r="F4" i="37"/>
  <c r="F127" i="37"/>
  <c r="E4" i="37"/>
  <c r="E127" i="37"/>
  <c r="D4" i="37"/>
  <c r="C4" i="37"/>
  <c r="C127" i="37"/>
  <c r="F124" i="36"/>
  <c r="E124" i="36"/>
  <c r="D124" i="36"/>
  <c r="C124" i="36"/>
  <c r="F120" i="36"/>
  <c r="E120" i="36"/>
  <c r="D120" i="36"/>
  <c r="C120" i="36"/>
  <c r="F116" i="36"/>
  <c r="E116" i="36"/>
  <c r="D116" i="36"/>
  <c r="C116" i="36"/>
  <c r="F112" i="36"/>
  <c r="E112" i="36"/>
  <c r="D112" i="36"/>
  <c r="C112" i="36"/>
  <c r="F108" i="36"/>
  <c r="E108" i="36"/>
  <c r="D108" i="36"/>
  <c r="C108" i="36"/>
  <c r="F104" i="36"/>
  <c r="E104" i="36"/>
  <c r="D104" i="36"/>
  <c r="C104" i="36"/>
  <c r="F100" i="36"/>
  <c r="E100" i="36"/>
  <c r="D100" i="36"/>
  <c r="C100" i="36"/>
  <c r="F96" i="36"/>
  <c r="E96" i="36"/>
  <c r="D96" i="36"/>
  <c r="C96" i="36"/>
  <c r="F92" i="36"/>
  <c r="E92" i="36"/>
  <c r="D92" i="36"/>
  <c r="C92" i="36"/>
  <c r="F88" i="36"/>
  <c r="E88" i="36"/>
  <c r="D88" i="36"/>
  <c r="C88" i="36"/>
  <c r="F84" i="36"/>
  <c r="E84" i="36"/>
  <c r="D84" i="36"/>
  <c r="C84" i="36"/>
  <c r="F80" i="36"/>
  <c r="E80" i="36"/>
  <c r="D80" i="36"/>
  <c r="C80" i="36"/>
  <c r="F76" i="36"/>
  <c r="E76" i="36"/>
  <c r="D76" i="36"/>
  <c r="C76" i="36"/>
  <c r="F72" i="36"/>
  <c r="E72" i="36"/>
  <c r="D72" i="36"/>
  <c r="C72" i="36"/>
  <c r="F68" i="36"/>
  <c r="E68" i="36"/>
  <c r="D68" i="36"/>
  <c r="C68" i="36"/>
  <c r="F64" i="36"/>
  <c r="E64" i="36"/>
  <c r="D64" i="36"/>
  <c r="C64" i="36"/>
  <c r="F60" i="36"/>
  <c r="E60" i="36"/>
  <c r="D60" i="36"/>
  <c r="C60" i="36"/>
  <c r="F56" i="36"/>
  <c r="E56" i="36"/>
  <c r="D56" i="36"/>
  <c r="C56" i="36"/>
  <c r="F52" i="36"/>
  <c r="E52" i="36"/>
  <c r="D52" i="36"/>
  <c r="C52" i="36"/>
  <c r="D48" i="36"/>
  <c r="F48" i="36"/>
  <c r="E48" i="36"/>
  <c r="C48" i="36"/>
  <c r="F44" i="36"/>
  <c r="E44" i="36"/>
  <c r="D44" i="36"/>
  <c r="C44" i="36"/>
  <c r="D40" i="36"/>
  <c r="F40" i="36"/>
  <c r="E40" i="36"/>
  <c r="C40" i="36"/>
  <c r="F36" i="36"/>
  <c r="E36" i="36"/>
  <c r="D36" i="36"/>
  <c r="C36" i="36"/>
  <c r="F32" i="36"/>
  <c r="E32" i="36"/>
  <c r="D32" i="36"/>
  <c r="C32" i="36"/>
  <c r="F28" i="36"/>
  <c r="E28" i="36"/>
  <c r="D28" i="36"/>
  <c r="C28" i="36"/>
  <c r="F24" i="36"/>
  <c r="E24" i="36"/>
  <c r="D24" i="36"/>
  <c r="C24" i="36"/>
  <c r="F20" i="36"/>
  <c r="E20" i="36"/>
  <c r="D20" i="36"/>
  <c r="C20" i="36"/>
  <c r="F16" i="36"/>
  <c r="E16" i="36"/>
  <c r="D16" i="36"/>
  <c r="C16" i="36"/>
  <c r="F12" i="36"/>
  <c r="E12" i="36"/>
  <c r="D12" i="36"/>
  <c r="C12" i="36"/>
  <c r="F8" i="36"/>
  <c r="E8" i="36"/>
  <c r="D8" i="36"/>
  <c r="C8" i="36"/>
  <c r="F129" i="36"/>
  <c r="E129" i="36"/>
  <c r="D129" i="36"/>
  <c r="C129" i="36"/>
  <c r="F128" i="36"/>
  <c r="E128" i="36"/>
  <c r="D128" i="36"/>
  <c r="C128" i="36"/>
  <c r="F4" i="36"/>
  <c r="E4" i="36"/>
  <c r="D4" i="36"/>
  <c r="C4" i="36"/>
  <c r="F127" i="36"/>
  <c r="C127" i="36"/>
  <c r="E127" i="36"/>
  <c r="D127" i="36"/>
  <c r="F124" i="34"/>
  <c r="E124" i="34"/>
  <c r="D124" i="34"/>
  <c r="C124" i="34"/>
  <c r="F120" i="34"/>
  <c r="E120" i="34"/>
  <c r="D120" i="34"/>
  <c r="C120" i="34"/>
  <c r="F116" i="34"/>
  <c r="E116" i="34"/>
  <c r="D116" i="34"/>
  <c r="C116" i="34"/>
  <c r="C112" i="34"/>
  <c r="F112" i="34"/>
  <c r="E112" i="34"/>
  <c r="D112" i="34"/>
  <c r="F108" i="34"/>
  <c r="E108" i="34"/>
  <c r="D108" i="34"/>
  <c r="C108" i="34"/>
  <c r="F104" i="34"/>
  <c r="E104" i="34"/>
  <c r="D104" i="34"/>
  <c r="C104" i="34"/>
  <c r="F100" i="34"/>
  <c r="E100" i="34"/>
  <c r="D100" i="34"/>
  <c r="C100" i="34"/>
  <c r="F96" i="34"/>
  <c r="E96" i="34"/>
  <c r="D96" i="34"/>
  <c r="C96" i="34"/>
  <c r="F92" i="34"/>
  <c r="E92" i="34"/>
  <c r="D92" i="34"/>
  <c r="C92" i="34"/>
  <c r="F88" i="34"/>
  <c r="E88" i="34"/>
  <c r="D88" i="34"/>
  <c r="C88" i="34"/>
  <c r="F84" i="34"/>
  <c r="E84" i="34"/>
  <c r="D84" i="34"/>
  <c r="C84" i="34"/>
  <c r="F80" i="34"/>
  <c r="E80" i="34"/>
  <c r="D80" i="34"/>
  <c r="C80" i="34"/>
  <c r="F76" i="34"/>
  <c r="E76" i="34"/>
  <c r="D76" i="34"/>
  <c r="C76" i="34"/>
  <c r="F72" i="34"/>
  <c r="E72" i="34"/>
  <c r="D72" i="34"/>
  <c r="C72" i="34"/>
  <c r="F68" i="34"/>
  <c r="E68" i="34"/>
  <c r="D68" i="34"/>
  <c r="C68" i="34"/>
  <c r="F64" i="34"/>
  <c r="E64" i="34"/>
  <c r="D64" i="34"/>
  <c r="C64" i="34"/>
  <c r="F60" i="34"/>
  <c r="E60" i="34"/>
  <c r="D60" i="34"/>
  <c r="C60" i="34"/>
  <c r="F56" i="34"/>
  <c r="E56" i="34"/>
  <c r="D56" i="34"/>
  <c r="C56" i="34"/>
  <c r="F52" i="34"/>
  <c r="E52" i="34"/>
  <c r="D52" i="34"/>
  <c r="C52" i="34"/>
  <c r="F48" i="34"/>
  <c r="E48" i="34"/>
  <c r="D48" i="34"/>
  <c r="C48" i="34"/>
  <c r="F44" i="34"/>
  <c r="E44" i="34"/>
  <c r="D44" i="34"/>
  <c r="C44" i="34"/>
  <c r="F40" i="34"/>
  <c r="E40" i="34"/>
  <c r="D40" i="34"/>
  <c r="C40" i="34"/>
  <c r="E36" i="34"/>
  <c r="F36" i="34"/>
  <c r="D36" i="34"/>
  <c r="C36" i="34"/>
  <c r="F32" i="34"/>
  <c r="D32" i="34"/>
  <c r="C32" i="34"/>
  <c r="F28" i="34"/>
  <c r="D28" i="34"/>
  <c r="C28" i="34"/>
  <c r="F24" i="34"/>
  <c r="D24" i="34"/>
  <c r="C24" i="34"/>
  <c r="F20" i="34"/>
  <c r="E20" i="34"/>
  <c r="D20" i="34"/>
  <c r="C20" i="34"/>
  <c r="F16" i="34"/>
  <c r="E16" i="34"/>
  <c r="D16" i="34"/>
  <c r="C16" i="34"/>
  <c r="F129" i="35"/>
  <c r="E129" i="35"/>
  <c r="D129" i="35"/>
  <c r="C129" i="35"/>
  <c r="F128" i="35"/>
  <c r="E128" i="35"/>
  <c r="D128" i="35"/>
  <c r="C128" i="35"/>
  <c r="F120" i="35"/>
  <c r="E120" i="35"/>
  <c r="D120" i="35"/>
  <c r="C120" i="35"/>
  <c r="F116" i="35"/>
  <c r="E116" i="35"/>
  <c r="D116" i="35"/>
  <c r="C116" i="35"/>
  <c r="F112" i="35"/>
  <c r="F127" i="35"/>
  <c r="E112" i="35"/>
  <c r="E127" i="35"/>
  <c r="D112" i="35"/>
  <c r="D127" i="35"/>
  <c r="C112" i="35"/>
  <c r="C127" i="35"/>
  <c r="F108" i="35"/>
  <c r="E108" i="35"/>
  <c r="D108" i="35"/>
  <c r="C108" i="35"/>
  <c r="F104" i="35"/>
  <c r="E104" i="35"/>
  <c r="D104" i="35"/>
  <c r="C104" i="35"/>
  <c r="F100" i="35"/>
  <c r="E100" i="35"/>
  <c r="D100" i="35"/>
  <c r="C100" i="35"/>
  <c r="F96" i="35"/>
  <c r="E96" i="35"/>
  <c r="D96" i="35"/>
  <c r="C96" i="35"/>
  <c r="F92" i="35"/>
  <c r="E92" i="35"/>
  <c r="D92" i="35"/>
  <c r="C92" i="35"/>
  <c r="F88" i="35"/>
  <c r="E88" i="35"/>
  <c r="D88" i="35"/>
  <c r="C88" i="35"/>
  <c r="F84" i="35"/>
  <c r="E84" i="35"/>
  <c r="D84" i="35"/>
  <c r="C84" i="35"/>
  <c r="F80" i="35"/>
  <c r="F76" i="35"/>
  <c r="E76" i="35"/>
  <c r="C76" i="35"/>
  <c r="F72" i="35"/>
  <c r="E72" i="35"/>
  <c r="D72" i="35"/>
  <c r="C72" i="35"/>
  <c r="F68" i="35"/>
  <c r="E68" i="35"/>
  <c r="D68" i="35"/>
  <c r="C68" i="35"/>
  <c r="F64" i="35"/>
  <c r="E64" i="35"/>
  <c r="D64" i="35"/>
  <c r="C64" i="35"/>
  <c r="F60" i="35"/>
  <c r="E60" i="35"/>
  <c r="D60" i="35"/>
  <c r="C60" i="35"/>
  <c r="F56" i="35"/>
  <c r="E56" i="35"/>
  <c r="D56" i="35"/>
  <c r="C56" i="35"/>
  <c r="F52" i="35"/>
  <c r="E52" i="35"/>
  <c r="D52" i="35"/>
  <c r="C52" i="35"/>
  <c r="F48" i="35"/>
  <c r="E48" i="35"/>
  <c r="D48" i="35"/>
  <c r="C48" i="35"/>
  <c r="F44" i="35"/>
  <c r="E44" i="35"/>
  <c r="D44" i="35"/>
  <c r="C44" i="35"/>
  <c r="F40" i="35"/>
  <c r="E40" i="35"/>
  <c r="D40" i="35"/>
  <c r="C40" i="35"/>
  <c r="F36" i="35"/>
  <c r="E36" i="35"/>
  <c r="D36" i="35"/>
  <c r="C36" i="35"/>
  <c r="F32" i="35"/>
  <c r="E32" i="35"/>
  <c r="D32" i="35"/>
  <c r="C32" i="35"/>
  <c r="F28" i="35"/>
  <c r="E28" i="35"/>
  <c r="D28" i="35"/>
  <c r="C28" i="35"/>
  <c r="F24" i="35"/>
  <c r="E24" i="35"/>
  <c r="D24" i="35"/>
  <c r="C24" i="35"/>
  <c r="F20" i="35"/>
  <c r="E20" i="35"/>
  <c r="D20" i="35"/>
  <c r="C20" i="35"/>
  <c r="F16" i="35"/>
  <c r="E16" i="35"/>
  <c r="D16" i="35"/>
  <c r="C16" i="35"/>
  <c r="F12" i="35"/>
  <c r="E12" i="35"/>
  <c r="D12" i="35"/>
  <c r="C12" i="35"/>
  <c r="F8" i="35"/>
  <c r="E8" i="35"/>
  <c r="D8" i="35"/>
  <c r="C8" i="35"/>
  <c r="F4" i="35"/>
  <c r="E4" i="35"/>
  <c r="D4" i="35"/>
  <c r="C4" i="35"/>
  <c r="F12" i="34"/>
  <c r="E12" i="34"/>
  <c r="D12" i="34"/>
  <c r="C12" i="34"/>
  <c r="F8" i="34"/>
  <c r="E8" i="34"/>
  <c r="D8" i="34"/>
  <c r="C8" i="34"/>
  <c r="C4" i="34"/>
  <c r="D4" i="34"/>
  <c r="E4" i="34"/>
  <c r="F4" i="34"/>
  <c r="F129" i="34"/>
  <c r="E129" i="34"/>
  <c r="D129" i="34"/>
  <c r="C129" i="34"/>
  <c r="F128" i="34"/>
  <c r="E128" i="34"/>
  <c r="D128" i="34"/>
  <c r="C128" i="34"/>
  <c r="F127" i="34"/>
  <c r="E127" i="34"/>
  <c r="D127" i="34"/>
  <c r="C127" i="34"/>
  <c r="D124" i="33"/>
  <c r="F124" i="33"/>
  <c r="E124" i="33"/>
  <c r="C124" i="33"/>
  <c r="F120" i="33"/>
  <c r="E120" i="33"/>
  <c r="D120" i="33"/>
  <c r="C120" i="33"/>
  <c r="F116" i="33"/>
  <c r="E116" i="33"/>
  <c r="D116" i="33"/>
  <c r="C116" i="33"/>
  <c r="F112" i="33"/>
  <c r="E112" i="33"/>
  <c r="D112" i="33"/>
  <c r="C112" i="33"/>
  <c r="D108" i="33"/>
  <c r="F108" i="33"/>
  <c r="E108" i="33"/>
  <c r="C108" i="33"/>
  <c r="F104" i="33"/>
  <c r="E104" i="33"/>
  <c r="D104" i="33"/>
  <c r="C104" i="33"/>
  <c r="F100" i="33"/>
  <c r="E100" i="33"/>
  <c r="D100" i="33"/>
  <c r="C100" i="33"/>
  <c r="D96" i="33"/>
  <c r="F96" i="33"/>
  <c r="E96" i="33"/>
  <c r="C96" i="33"/>
  <c r="D92" i="33"/>
  <c r="F92" i="33"/>
  <c r="E92" i="33"/>
  <c r="C92" i="33"/>
  <c r="F88" i="33"/>
  <c r="E88" i="33"/>
  <c r="D88" i="33"/>
  <c r="C88" i="33"/>
  <c r="F84" i="33"/>
  <c r="E84" i="33"/>
  <c r="D84" i="33"/>
  <c r="C84" i="33"/>
  <c r="F80" i="33"/>
  <c r="E80" i="33"/>
  <c r="D80" i="33"/>
  <c r="C80" i="33"/>
  <c r="D76" i="33"/>
  <c r="D72" i="33"/>
  <c r="F76" i="33"/>
  <c r="E76" i="33"/>
  <c r="C76" i="33"/>
  <c r="F72" i="33"/>
  <c r="E72" i="33"/>
  <c r="C72" i="33"/>
  <c r="F68" i="33"/>
  <c r="E68" i="33"/>
  <c r="D68" i="33"/>
  <c r="C68" i="33"/>
  <c r="F64" i="33"/>
  <c r="E64" i="33"/>
  <c r="D64" i="33"/>
  <c r="C64" i="33"/>
  <c r="F60" i="33"/>
  <c r="E60" i="33"/>
  <c r="D60" i="33"/>
  <c r="C60" i="33"/>
  <c r="F56" i="33"/>
  <c r="E56" i="33"/>
  <c r="D56" i="33"/>
  <c r="C56" i="33"/>
  <c r="D52" i="33"/>
  <c r="D48" i="33"/>
  <c r="F52" i="33"/>
  <c r="E52" i="33"/>
  <c r="C52" i="33"/>
  <c r="F48" i="33"/>
  <c r="E48" i="33"/>
  <c r="C48" i="33"/>
  <c r="F44" i="33"/>
  <c r="E44" i="33"/>
  <c r="D44" i="33"/>
  <c r="C44" i="33"/>
  <c r="D40" i="33"/>
  <c r="F40" i="33"/>
  <c r="E40" i="33"/>
  <c r="C40" i="33"/>
  <c r="F36" i="33"/>
  <c r="E36" i="33"/>
  <c r="D36" i="33"/>
  <c r="C36" i="33"/>
  <c r="D32" i="33"/>
  <c r="D28" i="33"/>
  <c r="F32" i="33"/>
  <c r="E32" i="33"/>
  <c r="C32" i="33"/>
  <c r="F28" i="33"/>
  <c r="E28" i="33"/>
  <c r="C28" i="33"/>
  <c r="F24" i="33"/>
  <c r="E24" i="33"/>
  <c r="D24" i="33"/>
  <c r="C24" i="33"/>
  <c r="F20" i="33"/>
  <c r="E20" i="33"/>
  <c r="D20" i="33"/>
  <c r="C20" i="33"/>
  <c r="D16" i="33"/>
  <c r="F16" i="33"/>
  <c r="E16" i="33"/>
  <c r="C16" i="33"/>
  <c r="F12" i="33"/>
  <c r="E12" i="33"/>
  <c r="D12" i="33"/>
  <c r="C12" i="33"/>
  <c r="F8" i="33"/>
  <c r="E8" i="33"/>
  <c r="D8" i="33"/>
  <c r="C8" i="33"/>
  <c r="F4" i="33"/>
  <c r="E4" i="33"/>
  <c r="D4" i="33"/>
  <c r="C4" i="33"/>
  <c r="F129" i="33"/>
  <c r="E129" i="33"/>
  <c r="D129" i="33"/>
  <c r="C129" i="33"/>
  <c r="F128" i="33"/>
  <c r="E128" i="33"/>
  <c r="D128" i="33"/>
  <c r="C128" i="33"/>
  <c r="F127" i="33"/>
  <c r="E127" i="33"/>
  <c r="D127" i="33"/>
  <c r="C127" i="33"/>
  <c r="F120" i="32"/>
  <c r="E120" i="32"/>
  <c r="D120" i="32"/>
  <c r="C120" i="32"/>
  <c r="F116" i="32"/>
  <c r="E116" i="32"/>
  <c r="D116" i="32"/>
  <c r="C116" i="32"/>
  <c r="F112" i="32"/>
  <c r="E112" i="32"/>
  <c r="D112" i="32"/>
  <c r="C112" i="32"/>
  <c r="F108" i="32"/>
  <c r="E108" i="32"/>
  <c r="D108" i="32"/>
  <c r="C108" i="32"/>
  <c r="F104" i="32"/>
  <c r="E104" i="32"/>
  <c r="D104" i="32"/>
  <c r="C104" i="32"/>
  <c r="F100" i="32"/>
  <c r="E100" i="32"/>
  <c r="D100" i="32"/>
  <c r="C100" i="32"/>
  <c r="F96" i="32"/>
  <c r="E96" i="32"/>
  <c r="D96" i="32"/>
  <c r="C96" i="32"/>
  <c r="F92" i="32"/>
  <c r="E92" i="32"/>
  <c r="D92" i="32"/>
  <c r="C92" i="32"/>
  <c r="F88" i="32"/>
  <c r="E88" i="32"/>
  <c r="D88" i="32"/>
  <c r="C88" i="32"/>
  <c r="F84" i="32"/>
  <c r="E84" i="32"/>
  <c r="D84" i="32"/>
  <c r="C84" i="32"/>
  <c r="F80" i="32"/>
  <c r="E80" i="32"/>
  <c r="D80" i="32"/>
  <c r="C80" i="32"/>
  <c r="D76" i="32"/>
  <c r="F76" i="32"/>
  <c r="E76" i="32"/>
  <c r="C76" i="32"/>
  <c r="F72" i="32"/>
  <c r="E72" i="32"/>
  <c r="D72" i="32"/>
  <c r="C72" i="32"/>
  <c r="D68" i="32"/>
  <c r="D64" i="32"/>
  <c r="D60" i="32"/>
  <c r="F68" i="32"/>
  <c r="E68" i="32"/>
  <c r="C68" i="32"/>
  <c r="C64" i="32"/>
  <c r="F64" i="32"/>
  <c r="E64" i="32"/>
  <c r="F60" i="32"/>
  <c r="E60" i="32"/>
  <c r="C60" i="32"/>
  <c r="F56" i="32"/>
  <c r="E56" i="32"/>
  <c r="D56" i="32"/>
  <c r="C56" i="32"/>
  <c r="D52" i="32"/>
  <c r="F52" i="32"/>
  <c r="E52" i="32"/>
  <c r="C52" i="32"/>
  <c r="F48" i="32"/>
  <c r="E48" i="32"/>
  <c r="D48" i="32"/>
  <c r="C48" i="32"/>
  <c r="F44" i="32"/>
  <c r="E44" i="32"/>
  <c r="D44" i="32"/>
  <c r="C44" i="32"/>
  <c r="D40" i="32"/>
  <c r="F40" i="32"/>
  <c r="E40" i="32"/>
  <c r="C40" i="32"/>
  <c r="F36" i="32"/>
  <c r="E36" i="32"/>
  <c r="D36" i="32"/>
  <c r="C36" i="32"/>
  <c r="F32" i="32"/>
  <c r="E32" i="32"/>
  <c r="D32" i="32"/>
  <c r="C32" i="32"/>
  <c r="F28" i="32"/>
  <c r="E28" i="32"/>
  <c r="D28" i="32"/>
  <c r="C28" i="32"/>
  <c r="F24" i="32"/>
  <c r="E24" i="32"/>
  <c r="D24" i="32"/>
  <c r="C24" i="32"/>
  <c r="F20" i="32"/>
  <c r="E20" i="32"/>
  <c r="D20" i="32"/>
  <c r="C20" i="32"/>
  <c r="F16" i="32"/>
  <c r="E16" i="32"/>
  <c r="D16" i="32"/>
  <c r="C16" i="32"/>
  <c r="F12" i="32"/>
  <c r="E12" i="32"/>
  <c r="D12" i="32"/>
  <c r="C12" i="32"/>
  <c r="D8" i="32"/>
  <c r="C8" i="32"/>
  <c r="F8" i="32"/>
  <c r="E8" i="32"/>
  <c r="F4" i="32"/>
  <c r="E4" i="32"/>
  <c r="D4" i="32"/>
  <c r="C4" i="32"/>
  <c r="F129" i="32"/>
  <c r="E129" i="32"/>
  <c r="D129" i="32"/>
  <c r="C129" i="32"/>
  <c r="F128" i="32"/>
  <c r="E128" i="32"/>
  <c r="D128" i="32"/>
  <c r="C128" i="32"/>
  <c r="F127" i="32"/>
  <c r="E127" i="32"/>
  <c r="D127" i="32"/>
  <c r="C127" i="32"/>
  <c r="F124" i="31"/>
  <c r="E124" i="31"/>
  <c r="D124" i="31"/>
  <c r="C124" i="31"/>
  <c r="F120" i="31"/>
  <c r="E120" i="31"/>
  <c r="D120" i="31"/>
  <c r="C120" i="31"/>
  <c r="F116" i="31"/>
  <c r="E116" i="31"/>
  <c r="D116" i="31"/>
  <c r="C116" i="31"/>
  <c r="F112" i="31"/>
  <c r="E112" i="31"/>
  <c r="D112" i="31"/>
  <c r="C112" i="31"/>
  <c r="F108" i="31"/>
  <c r="E108" i="31"/>
  <c r="D108" i="31"/>
  <c r="C108" i="31"/>
  <c r="F104" i="31"/>
  <c r="E104" i="31"/>
  <c r="D104" i="31"/>
  <c r="C104" i="31"/>
  <c r="F100" i="31"/>
  <c r="E100" i="31"/>
  <c r="D100" i="31"/>
  <c r="C100" i="31"/>
  <c r="F96" i="31"/>
  <c r="E96" i="31"/>
  <c r="D96" i="31"/>
  <c r="C96" i="31"/>
  <c r="F92" i="31"/>
  <c r="E92" i="31"/>
  <c r="D92" i="31"/>
  <c r="C92" i="31"/>
  <c r="F88" i="31"/>
  <c r="E88" i="31"/>
  <c r="D88" i="31"/>
  <c r="C88" i="31"/>
  <c r="F84" i="31"/>
  <c r="E84" i="31"/>
  <c r="D84" i="31"/>
  <c r="C84" i="31"/>
  <c r="F80" i="31"/>
  <c r="E80" i="31"/>
  <c r="D80" i="31"/>
  <c r="C80" i="31"/>
  <c r="F76" i="31"/>
  <c r="E76" i="31"/>
  <c r="D76" i="31"/>
  <c r="C76" i="31"/>
  <c r="F72" i="31"/>
  <c r="E72" i="31"/>
  <c r="D72" i="31"/>
  <c r="C72" i="31"/>
  <c r="F68" i="31"/>
  <c r="E68" i="31"/>
  <c r="D68" i="31"/>
  <c r="C68" i="31"/>
  <c r="D64" i="31"/>
  <c r="F64" i="31"/>
  <c r="E64" i="31"/>
  <c r="C64" i="31"/>
  <c r="F60" i="31"/>
  <c r="E60" i="31"/>
  <c r="D60" i="31"/>
  <c r="C60" i="31"/>
  <c r="D40" i="31"/>
  <c r="F40" i="31"/>
  <c r="E40" i="31"/>
  <c r="C40" i="31"/>
  <c r="F56" i="31"/>
  <c r="E56" i="31"/>
  <c r="D56" i="31"/>
  <c r="C56" i="31"/>
  <c r="F52" i="31"/>
  <c r="E52" i="31"/>
  <c r="D52" i="31"/>
  <c r="C52" i="31"/>
  <c r="F48" i="31"/>
  <c r="E48" i="31"/>
  <c r="D48" i="31"/>
  <c r="C48" i="31"/>
  <c r="D44" i="31"/>
  <c r="F44" i="31"/>
  <c r="E44" i="31"/>
  <c r="C44" i="31"/>
  <c r="F36" i="31"/>
  <c r="E36" i="31"/>
  <c r="D36" i="31"/>
  <c r="C36" i="31"/>
  <c r="F32" i="31"/>
  <c r="E32" i="31"/>
  <c r="D32" i="31"/>
  <c r="C32" i="31"/>
  <c r="F28" i="31"/>
  <c r="E28" i="31"/>
  <c r="D28" i="31"/>
  <c r="C28" i="31"/>
  <c r="F24" i="31"/>
  <c r="E24" i="31"/>
  <c r="D24" i="31"/>
  <c r="C24" i="31"/>
  <c r="F20" i="31"/>
  <c r="E20" i="31"/>
  <c r="D20" i="31"/>
  <c r="C20" i="31"/>
  <c r="F16" i="31"/>
  <c r="E16" i="31"/>
  <c r="D16" i="31"/>
  <c r="C16" i="31"/>
  <c r="F12" i="31"/>
  <c r="E12" i="31"/>
  <c r="D12" i="31"/>
  <c r="C12" i="31"/>
  <c r="F8" i="31"/>
  <c r="E8" i="31"/>
  <c r="D8" i="31"/>
  <c r="C8" i="31"/>
  <c r="F129" i="31"/>
  <c r="E129" i="31"/>
  <c r="D129" i="31"/>
  <c r="C129" i="31"/>
  <c r="F128" i="31"/>
  <c r="E128" i="31"/>
  <c r="D128" i="31"/>
  <c r="C128" i="31"/>
  <c r="F4" i="31"/>
  <c r="F127" i="31"/>
  <c r="E4" i="31"/>
  <c r="E127" i="31"/>
  <c r="D4" i="31"/>
  <c r="D127" i="31"/>
  <c r="C4" i="31"/>
  <c r="C127" i="31"/>
  <c r="F124" i="30"/>
  <c r="E124" i="30"/>
  <c r="D124" i="30"/>
  <c r="C124" i="30"/>
  <c r="F120" i="30"/>
  <c r="E120" i="30"/>
  <c r="D120" i="30"/>
  <c r="C120" i="30"/>
  <c r="F116" i="30"/>
  <c r="E116" i="30"/>
  <c r="D116" i="30"/>
  <c r="C116" i="30"/>
  <c r="F112" i="30"/>
  <c r="E112" i="30"/>
  <c r="D112" i="30"/>
  <c r="C112" i="30"/>
  <c r="F108" i="30"/>
  <c r="E108" i="30"/>
  <c r="D108" i="30"/>
  <c r="C108" i="30"/>
  <c r="F104" i="30"/>
  <c r="E104" i="30"/>
  <c r="D104" i="30"/>
  <c r="C104" i="30"/>
  <c r="F100" i="30"/>
  <c r="E100" i="30"/>
  <c r="D100" i="30"/>
  <c r="C100" i="30"/>
  <c r="F96" i="30"/>
  <c r="E96" i="30"/>
  <c r="D96" i="30"/>
  <c r="C96" i="30"/>
  <c r="F92" i="30"/>
  <c r="E92" i="30"/>
  <c r="D92" i="30"/>
  <c r="C92" i="30"/>
  <c r="F88" i="30"/>
  <c r="E88" i="30"/>
  <c r="D88" i="30"/>
  <c r="C88" i="30"/>
  <c r="F84" i="30"/>
  <c r="E84" i="30"/>
  <c r="D84" i="30"/>
  <c r="C84" i="30"/>
  <c r="F80" i="30"/>
  <c r="E80" i="30"/>
  <c r="D80" i="30"/>
  <c r="C80" i="30"/>
  <c r="F76" i="30"/>
  <c r="E76" i="30"/>
  <c r="D76" i="30"/>
  <c r="C76" i="30"/>
  <c r="F72" i="30"/>
  <c r="E72" i="30"/>
  <c r="D72" i="30"/>
  <c r="C72" i="30"/>
  <c r="F68" i="30"/>
  <c r="E68" i="30"/>
  <c r="D68" i="30"/>
  <c r="C68" i="30"/>
  <c r="F64" i="30"/>
  <c r="E64" i="30"/>
  <c r="D64" i="30"/>
  <c r="C64" i="30"/>
  <c r="F60" i="30"/>
  <c r="E60" i="30"/>
  <c r="D60" i="30"/>
  <c r="C60" i="30"/>
  <c r="F56" i="30"/>
  <c r="E56" i="30"/>
  <c r="D56" i="30"/>
  <c r="C56" i="30"/>
  <c r="F52" i="30"/>
  <c r="E52" i="30"/>
  <c r="D52" i="30"/>
  <c r="C52" i="30"/>
  <c r="F48" i="30"/>
  <c r="E48" i="30"/>
  <c r="D48" i="30"/>
  <c r="C48" i="30"/>
  <c r="F44" i="30"/>
  <c r="E44" i="30"/>
  <c r="D44" i="30"/>
  <c r="C44" i="30"/>
  <c r="F40" i="30"/>
  <c r="E40" i="30"/>
  <c r="D40" i="30"/>
  <c r="C40" i="30"/>
  <c r="F36" i="30"/>
  <c r="E36" i="30"/>
  <c r="D36" i="30"/>
  <c r="C36" i="30"/>
  <c r="F32" i="30"/>
  <c r="E32" i="30"/>
  <c r="D32" i="30"/>
  <c r="C32" i="30"/>
  <c r="F28" i="30"/>
  <c r="E28" i="30"/>
  <c r="D28" i="30"/>
  <c r="C28" i="30"/>
  <c r="F24" i="30"/>
  <c r="E24" i="30"/>
  <c r="D24" i="30"/>
  <c r="C24" i="30"/>
  <c r="F20" i="30"/>
  <c r="E20" i="30"/>
  <c r="D20" i="30"/>
  <c r="C20" i="30"/>
  <c r="F16" i="30"/>
  <c r="E16" i="30"/>
  <c r="D16" i="30"/>
  <c r="C16" i="30"/>
  <c r="F12" i="30"/>
  <c r="E12" i="30"/>
  <c r="D12" i="30"/>
  <c r="C12" i="30"/>
  <c r="F8" i="30"/>
  <c r="E8" i="30"/>
  <c r="D8" i="30"/>
  <c r="C8" i="30"/>
  <c r="F4" i="30"/>
  <c r="E4" i="30"/>
  <c r="D4" i="30"/>
  <c r="C4" i="30"/>
  <c r="F129" i="30"/>
  <c r="E129" i="30"/>
  <c r="D129" i="30"/>
  <c r="C129" i="30"/>
  <c r="F128" i="30"/>
  <c r="E128" i="30"/>
  <c r="D128" i="30"/>
  <c r="C128" i="30"/>
  <c r="F127" i="30"/>
  <c r="E127" i="30"/>
  <c r="D127" i="30"/>
  <c r="C127" i="30"/>
  <c r="D120" i="29"/>
  <c r="F120" i="29"/>
  <c r="E120" i="29"/>
  <c r="C128" i="29"/>
  <c r="C120" i="29"/>
  <c r="F116" i="29"/>
  <c r="E116" i="29"/>
  <c r="D116" i="29"/>
  <c r="C116" i="29"/>
  <c r="F112" i="29"/>
  <c r="E112" i="29"/>
  <c r="D112" i="29"/>
  <c r="C112" i="29"/>
  <c r="F108" i="29"/>
  <c r="E108" i="29"/>
  <c r="D108" i="29"/>
  <c r="C108" i="29"/>
  <c r="F104" i="29"/>
  <c r="E104" i="29"/>
  <c r="D104" i="29"/>
  <c r="C104" i="29"/>
  <c r="F100" i="29"/>
  <c r="E100" i="29"/>
  <c r="D100" i="29"/>
  <c r="C100" i="29"/>
  <c r="F96" i="29"/>
  <c r="E96" i="29"/>
  <c r="D96" i="29"/>
  <c r="C96" i="29"/>
  <c r="F92" i="29"/>
  <c r="E92" i="29"/>
  <c r="D92" i="29"/>
  <c r="C92" i="29"/>
  <c r="F88" i="29"/>
  <c r="E88" i="29"/>
  <c r="D88" i="29"/>
  <c r="C88" i="29"/>
  <c r="F84" i="29"/>
  <c r="E84" i="29"/>
  <c r="D84" i="29"/>
  <c r="C84" i="29"/>
  <c r="F80" i="29"/>
  <c r="E80" i="29"/>
  <c r="D80" i="29"/>
  <c r="C80" i="29"/>
  <c r="F76" i="29"/>
  <c r="E76" i="29"/>
  <c r="D76" i="29"/>
  <c r="C76" i="29"/>
  <c r="F72" i="29"/>
  <c r="E72" i="29"/>
  <c r="D72" i="29"/>
  <c r="C72" i="29"/>
  <c r="F68" i="29"/>
  <c r="E68" i="29"/>
  <c r="D68" i="29"/>
  <c r="C68" i="29"/>
  <c r="C56" i="29"/>
  <c r="F64" i="29"/>
  <c r="E64" i="29"/>
  <c r="D64" i="29"/>
  <c r="C64" i="29"/>
  <c r="F60" i="29"/>
  <c r="E60" i="29"/>
  <c r="D60" i="29"/>
  <c r="C60" i="29"/>
  <c r="F56" i="29"/>
  <c r="E56" i="29"/>
  <c r="D56" i="29"/>
  <c r="F52" i="29"/>
  <c r="E52" i="29"/>
  <c r="D52" i="29"/>
  <c r="C52" i="29"/>
  <c r="F48" i="29"/>
  <c r="E48" i="29"/>
  <c r="D48" i="29"/>
  <c r="C48" i="29"/>
  <c r="F44" i="29"/>
  <c r="E44" i="29"/>
  <c r="D44" i="29"/>
  <c r="C44" i="29"/>
  <c r="F40" i="29"/>
  <c r="E40" i="29"/>
  <c r="D40" i="29"/>
  <c r="C40" i="29"/>
  <c r="F36" i="29"/>
  <c r="E36" i="29"/>
  <c r="D36" i="29"/>
  <c r="C36" i="29"/>
  <c r="F32" i="29"/>
  <c r="E32" i="29"/>
  <c r="D32" i="29"/>
  <c r="C32" i="29"/>
  <c r="F28" i="29"/>
  <c r="E28" i="29"/>
  <c r="D28" i="29"/>
  <c r="C28" i="29"/>
  <c r="F24" i="29"/>
  <c r="E24" i="29"/>
  <c r="D24" i="29"/>
  <c r="C24" i="29"/>
  <c r="F20" i="29"/>
  <c r="E20" i="29"/>
  <c r="D20" i="29"/>
  <c r="C20" i="29"/>
  <c r="F16" i="29"/>
  <c r="E16" i="29"/>
  <c r="D16" i="29"/>
  <c r="C16" i="29"/>
  <c r="F12" i="29"/>
  <c r="E12" i="29"/>
  <c r="D12" i="29"/>
  <c r="C12" i="29"/>
  <c r="F8" i="29"/>
  <c r="E8" i="29"/>
  <c r="D8" i="29"/>
  <c r="C8" i="29"/>
  <c r="C4" i="29"/>
  <c r="D4" i="29"/>
  <c r="F4" i="29"/>
  <c r="E4" i="29"/>
  <c r="F129" i="29"/>
  <c r="E129" i="29"/>
  <c r="D129" i="29"/>
  <c r="C129" i="29"/>
  <c r="F128" i="29"/>
  <c r="E128" i="29"/>
  <c r="D128" i="29"/>
  <c r="F127" i="29"/>
  <c r="E127" i="29"/>
  <c r="D127" i="29"/>
  <c r="C127" i="29"/>
  <c r="D124" i="28"/>
  <c r="F124" i="28"/>
  <c r="E124" i="28"/>
  <c r="C124" i="28"/>
  <c r="F120" i="28"/>
  <c r="E120" i="28"/>
  <c r="D120" i="28"/>
  <c r="C120" i="28"/>
  <c r="F116" i="28"/>
  <c r="E116" i="28"/>
  <c r="D116" i="28"/>
  <c r="C116" i="28"/>
  <c r="F112" i="28"/>
  <c r="E112" i="28"/>
  <c r="D112" i="28"/>
  <c r="C112" i="28"/>
  <c r="F108" i="28"/>
  <c r="E108" i="28"/>
  <c r="D108" i="28"/>
  <c r="C108" i="28"/>
  <c r="F104" i="28"/>
  <c r="E104" i="28"/>
  <c r="D104" i="28"/>
  <c r="C104" i="28"/>
  <c r="F100" i="28"/>
  <c r="E100" i="28"/>
  <c r="D100" i="28"/>
  <c r="C100" i="28"/>
  <c r="C96" i="28"/>
  <c r="F96" i="28"/>
  <c r="E96" i="28"/>
  <c r="D96" i="28"/>
  <c r="F92" i="28"/>
  <c r="E92" i="28"/>
  <c r="D92" i="28"/>
  <c r="C92" i="28"/>
  <c r="D88" i="28"/>
  <c r="F88" i="28"/>
  <c r="E88" i="28"/>
  <c r="C88" i="28"/>
  <c r="F84" i="28"/>
  <c r="E84" i="28"/>
  <c r="D84" i="28"/>
  <c r="C84" i="28"/>
  <c r="F80" i="28"/>
  <c r="E80" i="28"/>
  <c r="D80" i="28"/>
  <c r="C80" i="28"/>
  <c r="F76" i="28"/>
  <c r="E76" i="28"/>
  <c r="D76" i="28"/>
  <c r="C76" i="28"/>
  <c r="F72" i="28"/>
  <c r="E72" i="28"/>
  <c r="D72" i="28"/>
  <c r="C72" i="28"/>
  <c r="F68" i="28"/>
  <c r="E68" i="28"/>
  <c r="D68" i="28"/>
  <c r="C68" i="28"/>
  <c r="F64" i="28"/>
  <c r="E64" i="28"/>
  <c r="D64" i="28"/>
  <c r="C64" i="28"/>
  <c r="C60" i="28"/>
  <c r="F60" i="28"/>
  <c r="E60" i="28"/>
  <c r="D60" i="28"/>
  <c r="F56" i="28"/>
  <c r="E56" i="28"/>
  <c r="D56" i="28"/>
  <c r="C56" i="28"/>
  <c r="C52" i="28"/>
  <c r="F52" i="28"/>
  <c r="E52" i="28"/>
  <c r="D52" i="28"/>
  <c r="D48" i="28"/>
  <c r="F48" i="28"/>
  <c r="E48" i="28"/>
  <c r="D44" i="28"/>
  <c r="F44" i="28"/>
  <c r="E44" i="28"/>
  <c r="E40" i="28"/>
  <c r="D40" i="28"/>
  <c r="F40" i="28"/>
  <c r="F36" i="28"/>
  <c r="E36" i="28"/>
  <c r="F32" i="28"/>
  <c r="E32" i="28"/>
  <c r="F28" i="28"/>
  <c r="E28" i="28"/>
  <c r="C24" i="28"/>
  <c r="F24" i="28"/>
  <c r="E24" i="28"/>
  <c r="D20" i="28"/>
  <c r="F20" i="28"/>
  <c r="E20" i="28"/>
  <c r="F16" i="28"/>
  <c r="E16" i="28"/>
  <c r="D12" i="28"/>
  <c r="F12" i="28"/>
  <c r="E12" i="28"/>
  <c r="F8" i="28"/>
  <c r="E8" i="28"/>
  <c r="F4" i="28"/>
  <c r="E4" i="28"/>
  <c r="F129" i="28"/>
  <c r="E129" i="28"/>
  <c r="D129" i="28"/>
  <c r="C129" i="28"/>
  <c r="F128" i="28"/>
  <c r="E128" i="28"/>
  <c r="D128" i="28"/>
  <c r="C128" i="28"/>
  <c r="F127" i="28"/>
  <c r="E127" i="28"/>
  <c r="D127" i="28"/>
  <c r="C127" i="28"/>
  <c r="D120" i="27"/>
  <c r="F120" i="27"/>
  <c r="E120" i="27"/>
  <c r="F116" i="27"/>
  <c r="E116" i="27"/>
  <c r="F112" i="27"/>
  <c r="E112" i="27"/>
  <c r="D92" i="27"/>
  <c r="D96" i="27"/>
  <c r="D100" i="27"/>
  <c r="F92" i="27"/>
  <c r="E92" i="27"/>
  <c r="F96" i="27"/>
  <c r="E96" i="27"/>
  <c r="F100" i="27"/>
  <c r="E100" i="27"/>
  <c r="F108" i="27"/>
  <c r="E108" i="27"/>
  <c r="F104" i="27"/>
  <c r="E104" i="27"/>
  <c r="F88" i="27"/>
  <c r="E88" i="27"/>
  <c r="F84" i="27"/>
  <c r="E84" i="27"/>
  <c r="F76" i="27"/>
  <c r="E76" i="27"/>
  <c r="F72" i="27"/>
  <c r="E72" i="27"/>
  <c r="D68" i="27"/>
  <c r="F68" i="27"/>
  <c r="E68" i="27"/>
  <c r="F64" i="27"/>
  <c r="E64" i="27"/>
  <c r="F60" i="27"/>
  <c r="E60" i="27"/>
  <c r="F56" i="27"/>
  <c r="E56" i="27"/>
  <c r="F52" i="27"/>
  <c r="E52" i="27"/>
  <c r="F48" i="27"/>
  <c r="E48" i="27"/>
  <c r="F44" i="27"/>
  <c r="E44" i="27"/>
  <c r="D44" i="27"/>
  <c r="C44" i="27"/>
  <c r="F36" i="27"/>
  <c r="E36" i="27"/>
  <c r="E32" i="27"/>
  <c r="F32" i="27"/>
  <c r="F28" i="27"/>
  <c r="E28" i="27"/>
  <c r="D24" i="27"/>
  <c r="F24" i="27"/>
  <c r="E24" i="27"/>
  <c r="F20" i="27"/>
  <c r="E20" i="27"/>
  <c r="C20" i="27"/>
  <c r="F16" i="27"/>
  <c r="E16" i="27"/>
  <c r="D16" i="27"/>
  <c r="C16" i="27"/>
  <c r="C12" i="27"/>
  <c r="F12" i="27"/>
  <c r="E12" i="27"/>
  <c r="F8" i="27"/>
  <c r="E8" i="27"/>
  <c r="C8" i="27"/>
  <c r="F129" i="27"/>
  <c r="E129" i="27"/>
  <c r="D129" i="27"/>
  <c r="C129" i="27"/>
  <c r="F128" i="27"/>
  <c r="E128" i="27"/>
  <c r="D128" i="27"/>
  <c r="C128" i="27"/>
  <c r="F4" i="27"/>
  <c r="F127" i="27"/>
  <c r="E4" i="27"/>
  <c r="E127" i="27"/>
  <c r="D4" i="27"/>
  <c r="D127" i="27"/>
  <c r="C4" i="27"/>
  <c r="C127" i="27"/>
  <c r="D108" i="26"/>
  <c r="C76" i="26"/>
  <c r="F124" i="26"/>
  <c r="E124" i="26"/>
  <c r="D124" i="26"/>
  <c r="C124" i="26"/>
  <c r="F120" i="26"/>
  <c r="E120" i="26"/>
  <c r="D120" i="26"/>
  <c r="C120" i="26"/>
  <c r="F116" i="26"/>
  <c r="E116" i="26"/>
  <c r="D116" i="26"/>
  <c r="C116" i="26"/>
  <c r="F112" i="26"/>
  <c r="E112" i="26"/>
  <c r="D112" i="26"/>
  <c r="C112" i="26"/>
  <c r="D128" i="26"/>
  <c r="E128" i="26"/>
  <c r="F128" i="26"/>
  <c r="D129" i="26"/>
  <c r="E129" i="26"/>
  <c r="F129" i="26"/>
  <c r="C129" i="26"/>
  <c r="C128" i="26"/>
  <c r="F108" i="26"/>
  <c r="E108" i="26"/>
  <c r="C108" i="26"/>
  <c r="F104" i="26"/>
  <c r="E104" i="26"/>
  <c r="D104" i="26"/>
  <c r="C104" i="26"/>
  <c r="F100" i="26"/>
  <c r="E100" i="26"/>
  <c r="D100" i="26"/>
  <c r="C100" i="26"/>
  <c r="F96" i="26"/>
  <c r="E96" i="26"/>
  <c r="D96" i="26"/>
  <c r="C96" i="26"/>
  <c r="F92" i="26"/>
  <c r="E92" i="26"/>
  <c r="D92" i="26"/>
  <c r="C92" i="26"/>
  <c r="F88" i="26"/>
  <c r="E88" i="26"/>
  <c r="D88" i="26"/>
  <c r="C88" i="26"/>
  <c r="C84" i="26"/>
  <c r="D84" i="26"/>
  <c r="E84" i="26"/>
  <c r="F84" i="26"/>
  <c r="F80" i="26"/>
  <c r="E80" i="26"/>
  <c r="D80" i="26"/>
  <c r="C80" i="26"/>
  <c r="F76" i="26"/>
  <c r="E76" i="26"/>
  <c r="D76" i="26"/>
  <c r="F72" i="26"/>
  <c r="E72" i="26"/>
  <c r="D72" i="26"/>
  <c r="C72" i="26"/>
  <c r="F68" i="26"/>
  <c r="E68" i="26"/>
  <c r="D68" i="26"/>
  <c r="C68" i="26"/>
  <c r="F64" i="26"/>
  <c r="E64" i="26"/>
  <c r="D64" i="26"/>
  <c r="C64" i="26"/>
  <c r="D60" i="26"/>
  <c r="F60" i="26"/>
  <c r="E60" i="26"/>
  <c r="C60" i="26"/>
  <c r="F56" i="26"/>
  <c r="E56" i="26"/>
  <c r="D56" i="26"/>
  <c r="C56" i="26"/>
  <c r="F52" i="26"/>
  <c r="E52" i="26"/>
  <c r="D52" i="26"/>
  <c r="C52" i="26"/>
  <c r="F48" i="26"/>
  <c r="E48" i="26"/>
  <c r="D48" i="26"/>
  <c r="C48" i="26"/>
  <c r="F44" i="26"/>
  <c r="E44" i="26"/>
  <c r="D44" i="26"/>
  <c r="C44" i="26"/>
  <c r="F40" i="26"/>
  <c r="E40" i="26"/>
  <c r="D40" i="26"/>
  <c r="C40" i="26"/>
  <c r="F36" i="26"/>
  <c r="E36" i="26"/>
  <c r="D36" i="26"/>
  <c r="C36" i="26"/>
  <c r="F32" i="26"/>
  <c r="E32" i="26"/>
  <c r="D32" i="26"/>
  <c r="C32" i="26"/>
  <c r="F28" i="26"/>
  <c r="E28" i="26"/>
  <c r="D28" i="26"/>
  <c r="C28" i="26"/>
  <c r="F24" i="26"/>
  <c r="E24" i="26"/>
  <c r="D24" i="26"/>
  <c r="C24" i="26"/>
  <c r="F20" i="26"/>
  <c r="E20" i="26"/>
  <c r="D20" i="26"/>
  <c r="C20" i="26"/>
  <c r="F16" i="26"/>
  <c r="E16" i="26"/>
  <c r="D16" i="26"/>
  <c r="C16" i="26"/>
  <c r="F12" i="26"/>
  <c r="E12" i="26"/>
  <c r="D12" i="26"/>
  <c r="C12" i="26"/>
  <c r="F8" i="26"/>
  <c r="E8" i="26"/>
  <c r="D8" i="26"/>
  <c r="C8" i="26"/>
  <c r="F4" i="26"/>
  <c r="F127" i="26"/>
  <c r="E4" i="26"/>
  <c r="E127" i="26"/>
  <c r="D4" i="26"/>
  <c r="D127" i="26"/>
  <c r="C4" i="26"/>
  <c r="C127" i="26"/>
  <c r="C116" i="25"/>
  <c r="F112" i="25"/>
  <c r="E112" i="25"/>
  <c r="D112" i="25"/>
  <c r="C112" i="25"/>
  <c r="F108" i="25"/>
  <c r="E108" i="25"/>
  <c r="D108" i="25"/>
  <c r="C108" i="25"/>
  <c r="F104" i="25"/>
  <c r="E104" i="25"/>
  <c r="D104" i="25"/>
  <c r="C104" i="25"/>
  <c r="F100" i="25"/>
  <c r="E100" i="25"/>
  <c r="D100" i="25"/>
  <c r="C100" i="25"/>
  <c r="F96" i="25"/>
  <c r="E96" i="25"/>
  <c r="D96" i="25"/>
  <c r="C96" i="25"/>
  <c r="F92" i="25"/>
  <c r="E92" i="25"/>
  <c r="D92" i="25"/>
  <c r="C92" i="25"/>
  <c r="F88" i="25"/>
  <c r="E88" i="25"/>
  <c r="D88" i="25"/>
  <c r="C88" i="25"/>
  <c r="F84" i="25"/>
  <c r="E84" i="25"/>
  <c r="D84" i="25"/>
  <c r="C84" i="25"/>
  <c r="F80" i="25"/>
  <c r="E80" i="25"/>
  <c r="D80" i="25"/>
  <c r="C80" i="25"/>
  <c r="F76" i="25"/>
  <c r="E76" i="25"/>
  <c r="D76" i="25"/>
  <c r="C76" i="25"/>
  <c r="F72" i="25"/>
  <c r="E72" i="25"/>
  <c r="D72" i="25"/>
  <c r="C72" i="25"/>
  <c r="F68" i="25"/>
  <c r="E68" i="25"/>
  <c r="D68" i="25"/>
  <c r="F64" i="25"/>
  <c r="E64" i="25"/>
  <c r="D64" i="25"/>
  <c r="F60" i="25"/>
  <c r="E60" i="25"/>
  <c r="D60" i="25"/>
  <c r="C60" i="25"/>
  <c r="F56" i="25"/>
  <c r="E56" i="25"/>
  <c r="D56" i="25"/>
  <c r="C56" i="25"/>
  <c r="F52" i="25"/>
  <c r="E52" i="25"/>
  <c r="D52" i="25"/>
  <c r="C52" i="25"/>
  <c r="F48" i="25"/>
  <c r="E48" i="25"/>
  <c r="D48" i="25"/>
  <c r="C48" i="25"/>
  <c r="C44" i="25"/>
  <c r="F44" i="25"/>
  <c r="E44" i="25"/>
  <c r="D44" i="25"/>
  <c r="F40" i="25"/>
  <c r="E40" i="25"/>
  <c r="D40" i="25"/>
  <c r="C40" i="25"/>
  <c r="F36" i="25"/>
  <c r="E36" i="25"/>
  <c r="D36" i="25"/>
  <c r="C36" i="25"/>
  <c r="F32" i="25"/>
  <c r="E32" i="25"/>
  <c r="D32" i="25"/>
  <c r="C32" i="25"/>
  <c r="F28" i="25"/>
  <c r="E28" i="25"/>
  <c r="D28" i="25"/>
  <c r="C28" i="25"/>
  <c r="F24" i="25"/>
  <c r="E24" i="25"/>
  <c r="D24" i="25"/>
  <c r="C24" i="25"/>
  <c r="F20" i="25"/>
  <c r="E20" i="25"/>
  <c r="D20" i="25"/>
  <c r="C20" i="25"/>
  <c r="F16" i="25"/>
  <c r="E16" i="25"/>
  <c r="D16" i="25"/>
  <c r="C16" i="25"/>
  <c r="F12" i="25"/>
  <c r="E12" i="25"/>
  <c r="D12" i="25"/>
  <c r="C12" i="25"/>
  <c r="C8" i="25"/>
  <c r="F8" i="25"/>
  <c r="E8" i="25"/>
  <c r="D8" i="25"/>
  <c r="F4" i="25"/>
  <c r="E4" i="25"/>
  <c r="D4" i="25"/>
  <c r="D115" i="25"/>
  <c r="C4" i="25"/>
  <c r="C115" i="25"/>
  <c r="F117" i="25"/>
  <c r="F116" i="25"/>
  <c r="F115" i="25"/>
  <c r="E117" i="25"/>
  <c r="E116" i="25"/>
  <c r="E115" i="25"/>
  <c r="D117" i="25"/>
  <c r="D116" i="25"/>
  <c r="C117" i="25"/>
  <c r="F127" i="24"/>
  <c r="F128" i="24"/>
  <c r="F129" i="24"/>
  <c r="E129" i="24"/>
  <c r="D129" i="24"/>
  <c r="C129" i="24"/>
  <c r="E128" i="24"/>
  <c r="D128" i="24"/>
  <c r="C128" i="24"/>
  <c r="E127" i="24"/>
  <c r="D127" i="24"/>
  <c r="C127" i="24"/>
  <c r="E129" i="23"/>
  <c r="D129" i="23"/>
  <c r="C129" i="23"/>
  <c r="E128" i="23"/>
  <c r="D128" i="23"/>
  <c r="C128" i="23"/>
  <c r="E127" i="23"/>
  <c r="D127" i="23"/>
  <c r="C127" i="23"/>
  <c r="E128" i="22"/>
  <c r="D128" i="22"/>
  <c r="E127" i="22"/>
  <c r="D127" i="22"/>
  <c r="E126" i="22"/>
  <c r="D126" i="22"/>
  <c r="C127" i="22"/>
  <c r="F128" i="21"/>
  <c r="E128" i="21"/>
  <c r="D128" i="21"/>
  <c r="C128" i="21"/>
  <c r="F127" i="21"/>
  <c r="E127" i="21"/>
  <c r="D127" i="21"/>
  <c r="C127" i="21"/>
  <c r="F126" i="21"/>
  <c r="E126" i="21"/>
  <c r="D126" i="21"/>
  <c r="C126" i="21"/>
  <c r="C126" i="22"/>
  <c r="C128" i="22"/>
  <c r="F128" i="19"/>
  <c r="E128" i="19"/>
  <c r="D128" i="19"/>
  <c r="C128" i="19"/>
  <c r="F127" i="19"/>
  <c r="E127" i="19"/>
  <c r="D127" i="19"/>
  <c r="C127" i="19"/>
  <c r="F126" i="19"/>
  <c r="E126" i="19"/>
  <c r="D126" i="19"/>
  <c r="C126" i="19"/>
  <c r="F128" i="18"/>
  <c r="E128" i="18"/>
  <c r="D128" i="18"/>
  <c r="C128" i="18"/>
  <c r="F127" i="18"/>
  <c r="E127" i="18"/>
  <c r="D127" i="18"/>
  <c r="C127" i="18"/>
  <c r="F126" i="18"/>
  <c r="E126" i="18"/>
  <c r="D126" i="18"/>
  <c r="C126" i="18"/>
  <c r="C126" i="17"/>
  <c r="D126" i="17"/>
  <c r="F126" i="17"/>
  <c r="E126" i="17"/>
  <c r="C127" i="17"/>
  <c r="D127" i="17"/>
  <c r="E127" i="17"/>
  <c r="F128" i="17"/>
  <c r="E128" i="17"/>
  <c r="D128" i="17"/>
  <c r="C128" i="17"/>
  <c r="F127" i="17"/>
  <c r="F128" i="16"/>
  <c r="E128" i="16"/>
  <c r="D128" i="16"/>
  <c r="C128" i="16"/>
  <c r="F127" i="16"/>
  <c r="E127" i="16"/>
  <c r="D127" i="16"/>
  <c r="C127" i="16"/>
  <c r="F126" i="16"/>
  <c r="E126" i="16"/>
  <c r="D126" i="16"/>
  <c r="C126" i="16"/>
  <c r="C127" i="15"/>
  <c r="C126" i="15"/>
  <c r="D126" i="15"/>
  <c r="E126" i="15"/>
  <c r="F127" i="15"/>
  <c r="F128" i="15"/>
  <c r="E128" i="15"/>
  <c r="D128" i="15"/>
  <c r="C128" i="15"/>
  <c r="E127" i="15"/>
  <c r="D127" i="15"/>
  <c r="F126" i="15"/>
  <c r="F128" i="13"/>
  <c r="E126" i="13"/>
  <c r="F126" i="13"/>
  <c r="D126" i="13"/>
  <c r="C126" i="13"/>
  <c r="D128" i="13"/>
  <c r="E128" i="13"/>
  <c r="D127" i="13"/>
  <c r="E127" i="13"/>
  <c r="C128" i="13"/>
  <c r="F127" i="13"/>
  <c r="C127" i="13"/>
  <c r="F128" i="8"/>
  <c r="E128" i="8"/>
  <c r="F127" i="8"/>
  <c r="E127" i="8"/>
  <c r="F126" i="8"/>
  <c r="E126" i="8"/>
  <c r="D114" i="5"/>
  <c r="D115" i="5"/>
  <c r="D116" i="5"/>
  <c r="C115" i="5"/>
  <c r="C116" i="5"/>
  <c r="C114" i="5"/>
  <c r="C126" i="4"/>
  <c r="C128" i="4"/>
  <c r="C127" i="4"/>
  <c r="D127" i="37" l="1"/>
</calcChain>
</file>

<file path=xl/sharedStrings.xml><?xml version="1.0" encoding="utf-8"?>
<sst xmlns="http://schemas.openxmlformats.org/spreadsheetml/2006/main" count="24796" uniqueCount="6070">
  <si>
    <t>ASSET</t>
  </si>
  <si>
    <t>NH</t>
  </si>
  <si>
    <t>Motor temp. Setpoint</t>
  </si>
  <si>
    <t>Overload Setpoint</t>
  </si>
  <si>
    <t>Underload Setpoint</t>
  </si>
  <si>
    <t>S/UP XFMR Tap setting</t>
  </si>
  <si>
    <t>S/UP XFMR Tap Range</t>
  </si>
  <si>
    <t>1100-3000 V</t>
  </si>
  <si>
    <t>Field &amp; Platform</t>
  </si>
  <si>
    <t>Dis.Press. Setpoint</t>
  </si>
  <si>
    <t>NA</t>
  </si>
  <si>
    <t>Well Number</t>
  </si>
  <si>
    <t xml:space="preserve">S/UP XFMR          </t>
  </si>
  <si>
    <t>130KVA</t>
  </si>
  <si>
    <t xml:space="preserve">S/DN XFMR          </t>
  </si>
  <si>
    <t>S/DN XFMR Tap Range</t>
  </si>
  <si>
    <t>N/A</t>
  </si>
  <si>
    <t>Run #</t>
  </si>
  <si>
    <t>Motor</t>
  </si>
  <si>
    <t xml:space="preserve"> N512AM72 1692V </t>
  </si>
  <si>
    <t>XFMR Ratio</t>
  </si>
  <si>
    <t>Pump description /stages</t>
  </si>
  <si>
    <t>Choke Size (inches)</t>
  </si>
  <si>
    <t>1/2"</t>
  </si>
  <si>
    <t>Penetrator Type</t>
  </si>
  <si>
    <t>RMS</t>
  </si>
  <si>
    <t>1st Installation Date</t>
  </si>
  <si>
    <t>Motor Amps</t>
  </si>
  <si>
    <t xml:space="preserve">25.7 A </t>
  </si>
  <si>
    <t>Setting Depth</t>
  </si>
  <si>
    <t>Design Frequency</t>
  </si>
  <si>
    <t>1st Commission Date</t>
  </si>
  <si>
    <t>Motor Voltage</t>
  </si>
  <si>
    <t xml:space="preserve"> 1692V </t>
  </si>
  <si>
    <t>MPP description / stage</t>
  </si>
  <si>
    <t>N406 MPP940 13stg</t>
  </si>
  <si>
    <t>Surface Drive</t>
  </si>
  <si>
    <t>130KVA (Triol)</t>
  </si>
  <si>
    <t>Desired Flow Rate</t>
  </si>
  <si>
    <t>Perforation Interval</t>
  </si>
  <si>
    <t>Measured Flow Rate</t>
  </si>
  <si>
    <t>Data Recorded Date</t>
  </si>
  <si>
    <t>TIME</t>
  </si>
  <si>
    <t>Frequency</t>
  </si>
  <si>
    <t>ESM 
Active
Curr.</t>
  </si>
  <si>
    <t xml:space="preserve">Total
ESM
Curr. </t>
  </si>
  <si>
    <t>Pi</t>
  </si>
  <si>
    <t>Pd</t>
  </si>
  <si>
    <t>Ti</t>
  </si>
  <si>
    <t>TM</t>
  </si>
  <si>
    <t>Vibration, Vx/Vy/Vz</t>
  </si>
  <si>
    <t>Prodn header P.</t>
  </si>
  <si>
    <t>FTHP</t>
  </si>
  <si>
    <t>Flow Arm Temp</t>
  </si>
  <si>
    <t>A Sec pressure
(kg/cm2)</t>
  </si>
  <si>
    <t>B Sec  pressure
(kg/cm2)</t>
  </si>
  <si>
    <t>C Sec  pressure
(kg/cm2)</t>
  </si>
  <si>
    <t>Choke size</t>
  </si>
  <si>
    <t xml:space="preserve">Monitoring Field Engineer </t>
  </si>
  <si>
    <t>Hr</t>
  </si>
  <si>
    <t>Hz</t>
  </si>
  <si>
    <t>Amps</t>
  </si>
  <si>
    <t>psia</t>
  </si>
  <si>
    <t>Deg C</t>
  </si>
  <si>
    <t>Bar</t>
  </si>
  <si>
    <t>PSI</t>
  </si>
  <si>
    <t>Counter</t>
  </si>
  <si>
    <t>Stop date</t>
  </si>
  <si>
    <t>time (Hrs)</t>
  </si>
  <si>
    <t>Start date</t>
  </si>
  <si>
    <t>Run duration</t>
  </si>
  <si>
    <t>Shutdown duration (Hrs)</t>
  </si>
  <si>
    <t>Reason/Comment</t>
  </si>
  <si>
    <t>R9A</t>
  </si>
  <si>
    <t>TAP(2-5) Wye= 2197V</t>
  </si>
  <si>
    <t>53 Hz</t>
  </si>
  <si>
    <t>3034 m-3064 m</t>
  </si>
  <si>
    <t>etion</t>
  </si>
  <si>
    <t>ESP started at 19:09 hrs in Reverse rotation</t>
  </si>
  <si>
    <t>.027/.026/.063</t>
  </si>
  <si>
    <t xml:space="preserve"> NA</t>
  </si>
  <si>
    <t>3/8</t>
  </si>
  <si>
    <t>Mikhail</t>
  </si>
  <si>
    <t>.019/.02/.04</t>
  </si>
  <si>
    <t>1/2</t>
  </si>
  <si>
    <t>72 hrs test run completed at 19:00 hrs</t>
  </si>
  <si>
    <t>ESP stopped at 11:37 for redirect flow to Production pipe, started at 14:45</t>
  </si>
  <si>
    <t>3/4</t>
  </si>
  <si>
    <t>5/8</t>
  </si>
  <si>
    <t>ESP stoped at 19:16 and started at 19:19 in Direct rotation, increase freq. +3Hz/7hrs up to 40Hz</t>
  </si>
  <si>
    <t>.02/.015/.033</t>
  </si>
  <si>
    <t>.064/.028/.077</t>
  </si>
  <si>
    <t>ESP 1st start-up in Reverse rotation</t>
  </si>
  <si>
    <t>ESP stopped manually for changing rotation to Direct</t>
  </si>
  <si>
    <t>ESP stopped manually for redirect flow to production pipe line</t>
  </si>
  <si>
    <t>.06/.022/.029</t>
  </si>
  <si>
    <t>.055/.02/.03</t>
  </si>
  <si>
    <t>.066/.028/.08</t>
  </si>
  <si>
    <t>Date</t>
  </si>
  <si>
    <t>Well No.</t>
  </si>
  <si>
    <t>A4</t>
  </si>
  <si>
    <t>Reason for Shutdown</t>
  </si>
  <si>
    <t>Running hours</t>
  </si>
  <si>
    <t>Shutdown due to ONGC</t>
  </si>
  <si>
    <t>Shutdown due to Novomet</t>
  </si>
  <si>
    <t>Total running hours January 2021</t>
  </si>
  <si>
    <t>Total shutdown hours due to ONGC January 2021</t>
  </si>
  <si>
    <t>Total shutdown hours due to Novomet January 2021</t>
  </si>
  <si>
    <t xml:space="preserve">NOTE# Time cycle calculated from 6hrs to 6hrs </t>
  </si>
  <si>
    <t>.071/.029/.083</t>
  </si>
  <si>
    <t>680psi</t>
  </si>
  <si>
    <t>685psi</t>
  </si>
  <si>
    <t>.093/.032/.076</t>
  </si>
  <si>
    <t>.082/.04/.09</t>
  </si>
  <si>
    <t>.078/.036/.102</t>
  </si>
  <si>
    <t>.078/.034/.099</t>
  </si>
  <si>
    <t>.076/.028/.087</t>
  </si>
  <si>
    <t>700psi</t>
  </si>
  <si>
    <t>.126/.034/.09</t>
  </si>
  <si>
    <t>.113/.036/.097</t>
  </si>
  <si>
    <t>.115/.032/.093</t>
  </si>
  <si>
    <t>.112/.03/.103</t>
  </si>
  <si>
    <t>.103/.035/.093</t>
  </si>
  <si>
    <t>.083/.031/.095</t>
  </si>
  <si>
    <t>.074/.032/.107</t>
  </si>
  <si>
    <t>.087/.031/.095</t>
  </si>
  <si>
    <t>.067/.034/.083</t>
  </si>
  <si>
    <t>.074/.035/.094</t>
  </si>
  <si>
    <t>.095/.034/.084</t>
  </si>
  <si>
    <t>.071/.029/.091</t>
  </si>
  <si>
    <t>.077/.085/.030</t>
  </si>
  <si>
    <t>Total running hours February 2021</t>
  </si>
  <si>
    <t>Total shutdown hours due to ONGC  February 2021</t>
  </si>
  <si>
    <t>Total shutdown hours due to Novomet  February 2021</t>
  </si>
  <si>
    <t>Ameer/Melwin</t>
  </si>
  <si>
    <t>.066/.032/.097</t>
  </si>
  <si>
    <t>Motor load</t>
  </si>
  <si>
    <t>%</t>
  </si>
  <si>
    <t>Curr..             IA / IB / C</t>
  </si>
  <si>
    <t>.081/.039/.093</t>
  </si>
  <si>
    <t>melwin</t>
  </si>
  <si>
    <t>53/52/52</t>
  </si>
  <si>
    <t>-</t>
  </si>
  <si>
    <t>.077/.033/.101</t>
  </si>
  <si>
    <t>52/52/51</t>
  </si>
  <si>
    <t>.085/.031/.078</t>
  </si>
  <si>
    <t>.095/.034/.096</t>
  </si>
  <si>
    <t>53/54/53</t>
  </si>
  <si>
    <t>Freq. increase +1Hz</t>
  </si>
  <si>
    <t>ESP stopped manually for connection three VSD to DG distribution panel.</t>
  </si>
  <si>
    <t>.101/.035/.104</t>
  </si>
  <si>
    <t>53/53/52</t>
  </si>
  <si>
    <t>.088/.034/.081</t>
  </si>
  <si>
    <t>.138/.033/.084</t>
  </si>
  <si>
    <t>53/52/53</t>
  </si>
  <si>
    <t>.107/.036/.084</t>
  </si>
  <si>
    <t>1091-3024 V</t>
  </si>
  <si>
    <t>A5</t>
  </si>
  <si>
    <t>Well #5</t>
  </si>
  <si>
    <t>Well #4</t>
  </si>
  <si>
    <t>.09/.05/.011</t>
  </si>
  <si>
    <t>ESP started at 19:53 hrs in Reverse rotation</t>
  </si>
  <si>
    <t>ESP stoped at 20:03 and started at 20:10 in Direct rotation</t>
  </si>
  <si>
    <t>.08/.06/.01</t>
  </si>
  <si>
    <t>.063/.014/.04</t>
  </si>
  <si>
    <t>.099/.017/.047</t>
  </si>
  <si>
    <t>57/58/57</t>
  </si>
  <si>
    <t>53/54/52</t>
  </si>
  <si>
    <t>Well #5: 72 hrs run performance test was started at 20:10 on the 9th February 2021.</t>
  </si>
  <si>
    <t>54/53/52</t>
  </si>
  <si>
    <t>.128/.03/.095</t>
  </si>
  <si>
    <t>.139/.016/.078</t>
  </si>
  <si>
    <t>56/56/55</t>
  </si>
  <si>
    <t>.112/.021/.069</t>
  </si>
  <si>
    <t>58/58/58</t>
  </si>
  <si>
    <t>.098/.032//09</t>
  </si>
  <si>
    <t>.094/.032/.068</t>
  </si>
  <si>
    <t>54/54/53</t>
  </si>
  <si>
    <t>.127/.027/.133</t>
  </si>
  <si>
    <t>59/59/59</t>
  </si>
  <si>
    <t>.131/.031/.121</t>
  </si>
  <si>
    <t>59/60/59</t>
  </si>
  <si>
    <t>.153/.037/.045</t>
  </si>
  <si>
    <t>53/53/53</t>
  </si>
  <si>
    <t>Well #5: 72 hrs run performance test was completed at 20:10 on the 12th February 2021.</t>
  </si>
  <si>
    <t>.105/.03/.094</t>
  </si>
  <si>
    <t>.233/.035/.201</t>
  </si>
  <si>
    <t>Well #5: ESP stopped manually for redirect flow to production pipe line at 09:45 and started at 19:15</t>
  </si>
  <si>
    <t>69/70/69</t>
  </si>
  <si>
    <t>1686-1703</t>
  </si>
  <si>
    <t>.142/.029/.12</t>
  </si>
  <si>
    <t>.086/.036/.092</t>
  </si>
  <si>
    <t>.176/.03/.2</t>
  </si>
  <si>
    <t>.091/.036/.101</t>
  </si>
  <si>
    <t>.072/.03/.092</t>
  </si>
  <si>
    <t>52/53/54</t>
  </si>
  <si>
    <t>.159/.028/.195</t>
  </si>
  <si>
    <t>60/59/61</t>
  </si>
  <si>
    <t>.06/.035/.077</t>
  </si>
  <si>
    <t>53/53/54</t>
  </si>
  <si>
    <t>.133/.039/.176</t>
  </si>
  <si>
    <t>.062/.036/.085</t>
  </si>
  <si>
    <t>.151/.035/0.172</t>
  </si>
  <si>
    <t>66/67/65</t>
  </si>
  <si>
    <t>ESP tripped due to overload at 07:22</t>
  </si>
  <si>
    <t>ESP shutdown due to OVERLOAD</t>
  </si>
  <si>
    <t>ESP was stopped due to Overload</t>
  </si>
  <si>
    <t>Well #5 stoppped due to Overload at 07:22</t>
  </si>
  <si>
    <t>.058/.032/.088</t>
  </si>
  <si>
    <t>.083/.031/.091</t>
  </si>
  <si>
    <t>52/53/52</t>
  </si>
  <si>
    <t>.065/.034/.095</t>
  </si>
  <si>
    <t>.109/.033/.098</t>
  </si>
  <si>
    <t>.061/.031/.091</t>
  </si>
  <si>
    <t>Acid job, 10% HCl 25b.</t>
  </si>
  <si>
    <t>.096/.037/.1</t>
  </si>
  <si>
    <t>0.122/0.036/0.091</t>
  </si>
  <si>
    <t>0.109/0.031/0.11</t>
  </si>
  <si>
    <t>Arun</t>
  </si>
  <si>
    <t>0.072/0.072/0.033</t>
  </si>
  <si>
    <t>0.123/0.032/0.09</t>
  </si>
  <si>
    <t>0.066/0.037/0.085</t>
  </si>
  <si>
    <t>0.068/0.036/0.082</t>
  </si>
  <si>
    <t>NH-ER(1500-2500)H =63*2=126 STAGES</t>
  </si>
  <si>
    <t>718 bbl/day</t>
  </si>
  <si>
    <t>NH-ER(1500-2500)H =63+53=116 STAGES</t>
  </si>
  <si>
    <t>528 bbl/day</t>
  </si>
  <si>
    <t>0.077/0.028/0.089</t>
  </si>
  <si>
    <t>0.083/0.034/0.98</t>
  </si>
  <si>
    <t>0.078/0.037/0.078</t>
  </si>
  <si>
    <t>ESP stopped manually @ 0945 hrs and restared @ 1715hrs to redirect flow to production pipe line</t>
  </si>
  <si>
    <t>0.92/0.34/0.98</t>
  </si>
  <si>
    <t>0.131/0.033/0.084</t>
  </si>
  <si>
    <t>0.099/0.033/0.088</t>
  </si>
  <si>
    <t>0.085/0.033/0.084</t>
  </si>
  <si>
    <t>0.097/0.031/0.084</t>
  </si>
  <si>
    <t>Pranav A</t>
  </si>
  <si>
    <t>0.074/0.033/0.082</t>
  </si>
  <si>
    <t>0.073/0.032/0.093</t>
  </si>
  <si>
    <t>A2</t>
  </si>
  <si>
    <t>0.072/0.032/0.079</t>
  </si>
  <si>
    <t>TAP(1-5) Wye= 1890V</t>
  </si>
  <si>
    <t xml:space="preserve"> N512AM51 1320V </t>
  </si>
  <si>
    <t xml:space="preserve">23.4 A </t>
  </si>
  <si>
    <t>48 Hz</t>
  </si>
  <si>
    <t xml:space="preserve"> 1320V </t>
  </si>
  <si>
    <t>N406MPP940 CMP AR2 CRI I14 13 STG</t>
  </si>
  <si>
    <t>Well R9A #2</t>
  </si>
  <si>
    <t xml:space="preserve">ESP 1st start-up </t>
  </si>
  <si>
    <t>ESP stopped manually for checking another rotation</t>
  </si>
  <si>
    <t>ESP manually stopped for changing original rotation</t>
  </si>
  <si>
    <t>0.054/0.022/0.051</t>
  </si>
  <si>
    <t>65/64/65</t>
  </si>
  <si>
    <t>0.068/0.034/0.089</t>
  </si>
  <si>
    <t>53/53/51</t>
  </si>
  <si>
    <t>0.029/0.015/0.029</t>
  </si>
  <si>
    <t>62/63/63</t>
  </si>
  <si>
    <t>Time (Hrs)</t>
  </si>
  <si>
    <t>15/3/2021</t>
  </si>
  <si>
    <t>6 Hrs</t>
  </si>
  <si>
    <t>0.064/0.035/0.071</t>
  </si>
  <si>
    <t>1526 Hrs</t>
  </si>
  <si>
    <t>1800 Hrs</t>
  </si>
  <si>
    <t>ESP manually shutdown as per ONGC request @1526 Hrs. on 18/03/21for connecting flowline to the well testing separator.restarted @1800 Hrs. on 18/03/21</t>
  </si>
  <si>
    <t>ESP manually shutdown as per ONGC request  @1526 Hrs. on 18/03/21for connecting flowline to the well testing separator.restarted @1800 Hrs. on 18/03/21</t>
  </si>
  <si>
    <t>0.061/0.021/0.071</t>
  </si>
  <si>
    <t>61/62/62</t>
  </si>
  <si>
    <t>0512 Hrs</t>
  </si>
  <si>
    <t>0523 Hrs</t>
  </si>
  <si>
    <t>0535 Hrs</t>
  </si>
  <si>
    <t>0.087/0.039/0.099</t>
  </si>
  <si>
    <t>Well testing on 5/8"choke size,( Superior Energy service)</t>
  </si>
  <si>
    <t>0845 Hrs</t>
  </si>
  <si>
    <t>1141 Hrs</t>
  </si>
  <si>
    <t>0.053/0.021/0.071</t>
  </si>
  <si>
    <t>ESP manually shutdown as per ONGC request  @0845 Hrs. on 19/03/21 for  redirect flowline to the production header from well testing separator .restarted @1041 Hrs. on 19/03/21</t>
  </si>
  <si>
    <t>0.069/0.036/0.085</t>
  </si>
  <si>
    <t>0945 Hrs</t>
  </si>
  <si>
    <t>1102 Hrs</t>
  </si>
  <si>
    <t>ESP manually shutdown as per ONGC request @ 0945 Hrs. On 20/03/21 for changing the choke size to 1/2 "from 3/8 ".ESP restarted @1102 Hrs.on 20/03/21</t>
  </si>
  <si>
    <t>ESP manually shutdown as per ONGC request @ 0945 Hrs. On 20/03/21 for changing the choke size to 1/2 "from 3/8 .ESP restarted @1102 Hrs.on 20/03/21</t>
  </si>
  <si>
    <t>0.059/0.018/0.054</t>
  </si>
  <si>
    <t>0.077/0.039/0.093</t>
  </si>
  <si>
    <t>55/54/53</t>
  </si>
  <si>
    <t>0.031/0.022/0.056</t>
  </si>
  <si>
    <t>61/61/61</t>
  </si>
  <si>
    <t>406 NH-ER(1500-2500)H 116STG</t>
  </si>
  <si>
    <t>0.082/0.038/0.084</t>
  </si>
  <si>
    <t>0.037/0.019/0.050</t>
  </si>
  <si>
    <t>0.084/0.034/0.084</t>
  </si>
  <si>
    <t>0.076/0.021/0.077</t>
  </si>
  <si>
    <t>KG/CM2</t>
  </si>
  <si>
    <t>59/60/60</t>
  </si>
  <si>
    <t>0.088/0.037/0.081</t>
  </si>
  <si>
    <t>0.050/0.024/0.053</t>
  </si>
  <si>
    <t>0.095/0.036/0.086</t>
  </si>
  <si>
    <t>0.041/0.022/0.064</t>
  </si>
  <si>
    <t>0.097/0.037/0.079</t>
  </si>
  <si>
    <t>0.057/0.026/0.061</t>
  </si>
  <si>
    <t>0.082/0.036/0.084</t>
  </si>
  <si>
    <t>0.063/0.022/0.078</t>
  </si>
  <si>
    <t>60/60/61</t>
  </si>
  <si>
    <t>0.084/0.036/0.096</t>
  </si>
  <si>
    <t>0.1/0.022/0.092</t>
  </si>
  <si>
    <t>0.142/0.031/0.148</t>
  </si>
  <si>
    <t>67/68/68</t>
  </si>
  <si>
    <t>46Hz</t>
  </si>
  <si>
    <t>0.080/0.021/0.052</t>
  </si>
  <si>
    <t>0.1/0.023/0.087</t>
  </si>
  <si>
    <t>0.088/0.038/0.085</t>
  </si>
  <si>
    <t>A1</t>
  </si>
  <si>
    <t>0.012/0.038/0.061</t>
  </si>
  <si>
    <t>0.15/0.029/0.081</t>
  </si>
  <si>
    <t>0.081/0.036/0.096</t>
  </si>
  <si>
    <t>0.12/0.029/0.119</t>
  </si>
  <si>
    <t>0.969/0.189/0.471</t>
  </si>
  <si>
    <t>0.079/0.036/0.096</t>
  </si>
  <si>
    <t>Well R9A #1</t>
  </si>
  <si>
    <t>0.084/0.022/0.078</t>
  </si>
  <si>
    <t>ESP tripped on Low intake pressure @0137 Hrs on 02/04/2021, ESP stared @0415 Hrs. Suddenly tripped on Overload. ESP restarted @14:09 Hrs. on 02/04/2021</t>
  </si>
  <si>
    <t>0137 Hrs</t>
  </si>
  <si>
    <t>0415 Hrs</t>
  </si>
  <si>
    <t>1409 Hrs</t>
  </si>
  <si>
    <t>1.75+8.15</t>
  </si>
  <si>
    <t>R9A#1 ESP tripped on Low intake pressure @0137 Hrs on 02/04/2021, ESP stared @0415 Hrs. Suddenly tripped on Overload. ESP restarted @14:09 Hrs. on 02/04/2021</t>
  </si>
  <si>
    <t>Total running hours April 2021</t>
  </si>
  <si>
    <t>Total shutdown hours due to ONGC  April 2021</t>
  </si>
  <si>
    <t>Total shutdown hours due to Novomet  April 2021</t>
  </si>
  <si>
    <t>0.085/0.019/0.058</t>
  </si>
  <si>
    <t>0.117/0.02/0.103</t>
  </si>
  <si>
    <t>0.069/0.034/0.074</t>
  </si>
  <si>
    <t>0.088/0.021/0.06</t>
  </si>
  <si>
    <t>Frequency increased to 48 Hz from 46 Hz as per instruction from Novomet Base.</t>
  </si>
  <si>
    <t>0.1/0.021/0.91</t>
  </si>
  <si>
    <t>0.087/0.035/0.077</t>
  </si>
  <si>
    <t>0.131/0.021/0.05</t>
  </si>
  <si>
    <t>0.115/0.017/0.09</t>
  </si>
  <si>
    <t>0.087/0.035/0.079</t>
  </si>
  <si>
    <t>0.123/0.021/0.046</t>
  </si>
  <si>
    <t>66/67/67</t>
  </si>
  <si>
    <t>0.118/0.019/0.09</t>
  </si>
  <si>
    <t>0.081/0.029/0.079</t>
  </si>
  <si>
    <t>1520 Hrs</t>
  </si>
  <si>
    <t>1125 Hrs</t>
  </si>
  <si>
    <t>ESP tripped on Underload @ 1125 Hrs on 07/04/2021, suspecting lowflow in condition.Requested to change the choke from 1/2" to 3/8 "and Frequency to 50 HZ as per Novomet Base instruction.ESP restarted @ 1520 Hrs.</t>
  </si>
  <si>
    <t>0.106/0.022/0.129</t>
  </si>
  <si>
    <t>0.07/0.02/0.088</t>
  </si>
  <si>
    <t>0.086/0.034/0.12</t>
  </si>
  <si>
    <t>R9A#1 ESP tripped on Underload @ 1125 Hrs on 07/04/2021, suspecting lowflow in condition.Requested to change the choke from 1/2" to 3/8 "and Frequency to 50 HZ as per Novomet Base instruction.ESP restarted @ 1520 Hrs.</t>
  </si>
  <si>
    <t>0.012/0.06/0.125</t>
  </si>
  <si>
    <t>0.0116/0.058/0.125</t>
  </si>
  <si>
    <t>0.07/0.02/0.059</t>
  </si>
  <si>
    <t>3/8"</t>
  </si>
  <si>
    <t>0.072/0.034/0.03</t>
  </si>
  <si>
    <t>0.125/0.068/0.365</t>
  </si>
  <si>
    <t>0.09/0.15/0.069</t>
  </si>
  <si>
    <t>0.089/0.034/0.03</t>
  </si>
  <si>
    <t>0.15/0.78/.325</t>
  </si>
  <si>
    <t>0.08/0.015/0.069</t>
  </si>
  <si>
    <t>1437 Hrs</t>
  </si>
  <si>
    <t>1536 Hrs</t>
  </si>
  <si>
    <t>ESP tripped on Underload due to gas effect @1437 Hrs on 11/04/2021 ,ESP restarted @ 1536 Hrs on 11/04/2021</t>
  </si>
  <si>
    <t>0.98 Hrs</t>
  </si>
  <si>
    <t>R9A#2 ESP tripped on Underload due to gas effect @1437 Hrs on 11/04/2021 ,ESP restarted @ 1536 Hrs on 11/04/2021</t>
  </si>
  <si>
    <t>0.23/0.54/.18</t>
  </si>
  <si>
    <t>0.02/0.023/0.033</t>
  </si>
  <si>
    <t>0.124/0.018/0.063</t>
  </si>
  <si>
    <t>61/62/63</t>
  </si>
  <si>
    <t>0.051/0.021/0.07</t>
  </si>
  <si>
    <t>0.068/0.034/0.065</t>
  </si>
  <si>
    <t>1404 Hrs</t>
  </si>
  <si>
    <t>1434 Hrs</t>
  </si>
  <si>
    <t>0.50 Hrs</t>
  </si>
  <si>
    <t>Noticed FAT went down,ESP parameters are dropped and found Pump not producing . Suspected gas lock.ESP Manually shutdown @1404 Hrs , ESP restarted @1434 Hrs. on 14/04/2021.</t>
  </si>
  <si>
    <t>0.198/0.036/0.146</t>
  </si>
  <si>
    <t>0.03/0.018/0.044</t>
  </si>
  <si>
    <t>0.065/0.036/0.084</t>
  </si>
  <si>
    <t>R9A#2 Noticed FAT went down,ESP parameters are dropped and found Pump not producing . Suspected gas lock.ESP Manually shutdown @1404 Hrs , ESP restarted @1434 Hrs. on 14/04/2021.</t>
  </si>
  <si>
    <t xml:space="preserve">Frequency increased to 51 Hz from 50 Hz </t>
  </si>
  <si>
    <t>0.101/0.26/.081</t>
  </si>
  <si>
    <t>Frequency increased to 53 Hz from 51 Hz  on 15/04/2021</t>
  </si>
  <si>
    <t>``</t>
  </si>
  <si>
    <t>0.03/0.018/0.06</t>
  </si>
  <si>
    <t>c</t>
  </si>
  <si>
    <t>0.079/0.03/0.078</t>
  </si>
  <si>
    <t>0.110/0.019/0.093</t>
  </si>
  <si>
    <t xml:space="preserve">Low Intake pressure , Gradually reducing </t>
  </si>
  <si>
    <t>0.044/0.021/0.057</t>
  </si>
  <si>
    <t>0.088/0.028/0.088</t>
  </si>
  <si>
    <t xml:space="preserve">Low Intake pressure , ESP running below Bubble point pressure </t>
  </si>
  <si>
    <t>0.136/0.023/0.09</t>
  </si>
  <si>
    <t>0.04/0.02/0.046</t>
  </si>
  <si>
    <t>0.071/0.028/0.064</t>
  </si>
  <si>
    <t>0.132/0.26/0.126</t>
  </si>
  <si>
    <t>0.049/0.019/0.057</t>
  </si>
  <si>
    <t>0.069/0.32/.072</t>
  </si>
  <si>
    <t>0.151/0.26/0.081</t>
  </si>
  <si>
    <t>0.037/0.02/0.057</t>
  </si>
  <si>
    <t>0.069/0.27/.074</t>
  </si>
  <si>
    <t>0.156/0.036/0.116</t>
  </si>
  <si>
    <t>0.037/0.02/0.052</t>
  </si>
  <si>
    <t>2200 Hrs</t>
  </si>
  <si>
    <t>1215 Hrs</t>
  </si>
  <si>
    <t>Noticed that FAT and load factor are reducing, Suspected Gas lock. Increased frequency to 56 Hz. Found no improvements in ESP parameters. ESP tripped on Underload @ 2200 Hrs. on 20/04/2021.  After equalization of pressure ESP restarted at 0015 Hrs. on 21/04/2021.</t>
  </si>
  <si>
    <t>0.126/0.0230.113</t>
  </si>
  <si>
    <t>0.03/0.019/0.032</t>
  </si>
  <si>
    <t>0.071/0.032/0.079</t>
  </si>
  <si>
    <t>0.138/0.02/0.17</t>
  </si>
  <si>
    <t>0.027/0.02/.0.054</t>
  </si>
  <si>
    <t>0.067/0.027/.0.077</t>
  </si>
  <si>
    <t>High MLP: Frequency increased to 55 Hz from 54 Hz</t>
  </si>
  <si>
    <t xml:space="preserve"> High MLP ; Frequency increased to 52 Hz from 50 Hz</t>
  </si>
  <si>
    <t>High MLP: 33.56 Kg/CM2</t>
  </si>
  <si>
    <t>0.134/0.021/0.117</t>
  </si>
  <si>
    <t>0.039/0.031/0.054</t>
  </si>
  <si>
    <t>High MLP</t>
  </si>
  <si>
    <t>0.074/0.023/0.076</t>
  </si>
  <si>
    <t>0351 Hrs</t>
  </si>
  <si>
    <t>0558 Hrs</t>
  </si>
  <si>
    <t>ESP tripped @ 0351 Hrs on 24/04/2021 due to Underload alarm because of High MLP .Well restated @0558 Hrs.</t>
  </si>
  <si>
    <t>0.183/0.032/0.189</t>
  </si>
  <si>
    <t>0.021/0.019/.029</t>
  </si>
  <si>
    <t>0.073/0.029/0.089</t>
  </si>
  <si>
    <t>0711 Hrs</t>
  </si>
  <si>
    <t>0915 Hrs</t>
  </si>
  <si>
    <t>ESP tripped @ 0711 Hrs on 25/04/2021 due to Underload alarm because of High MLP and well is running below Bubble point pressure .ESP restated @0915 Hrs.</t>
  </si>
  <si>
    <t>R9A#1 ESP tripped on High Motor Temperature @ 02:37 Hrs on 26/04/2021.ESP is running below bubble point pressure and facing high backpressure from main line.Main line pressure fluctuating from 33 Kg/Cm2 to 35.5 Kg/Cm2 because of maintenance going on Heera end( normal MLP-28.5 Kg/Cm2).Noticed that gradual increasing of  Intake pressure.After pressure equalization ESP restarted @ 0730 Hrs.On 26/04/2021.</t>
  </si>
  <si>
    <t>0.0160/0.027/0.0173</t>
  </si>
  <si>
    <t>R9A#1 ESP tripped on High Motor Temperature @ 02:37 Hrs on 26/04/2021.ESP is running below bubble point pressure and facing high backpressure from main lineESP restarted @ 0730 Hrs.On 26/04/2021.</t>
  </si>
  <si>
    <t>0.372/0.021/0.061</t>
  </si>
  <si>
    <t>0.065/0.03/0.08</t>
  </si>
  <si>
    <t>0237 Hrs</t>
  </si>
  <si>
    <t>0730 Hrs</t>
  </si>
  <si>
    <t>3.38+1.5</t>
  </si>
  <si>
    <t>0.02/0.021/0.03</t>
  </si>
  <si>
    <t>0.014/0.032/0.089</t>
  </si>
  <si>
    <t>0409 Hrs</t>
  </si>
  <si>
    <t>0700 hrs</t>
  </si>
  <si>
    <t>1.85+1</t>
  </si>
  <si>
    <t>ESP tripped on High Motor temperature @0409 Hrs.ESP is running below bubble point pressure and facing high backpressure from main line.ESP restarted @ 0700 Hrs.On 27/04/2021.</t>
  </si>
  <si>
    <t>R9A#1 ESP tripped on High Motor temperature @0409 Hrs.ESP is running below bubble point pressure and facing high backpressure from main line.ESP restarted @ 0700 Hrs.On 27/04/2021.</t>
  </si>
  <si>
    <t>High MLP: Frequency increased to 42 Hz from 41 Hz.</t>
  </si>
  <si>
    <t>0.172/0.021/0.198</t>
  </si>
  <si>
    <t>0.103/0.023/0.122</t>
  </si>
  <si>
    <t>0.019/0.019/0.031</t>
  </si>
  <si>
    <t>0.021/0.028/0.111</t>
  </si>
  <si>
    <t xml:space="preserve">High MLP: </t>
  </si>
  <si>
    <t xml:space="preserve"> ESP  tripped on High motor temperature @01 :09 Hrs. after equalization of pressure ESP restarted @ 04:19Hrs. but found  ESP not stable , FAT max. reached at 40 Deg C for few minutes and starting to reduce. ESP again tripped at 09:00 Hrs. Suspecting no flow at surface.Kept shutdown for pressure build up.</t>
  </si>
  <si>
    <t>0109 Hrs</t>
  </si>
  <si>
    <t>0419 Hrs</t>
  </si>
  <si>
    <t>R9A#1 ESP tripped on High Motor temperature @0109 Hrs on 28/04/2021.ESP is running below bubble point pressure and facing high backpressure from main line.ESP restarted @ 0419 Hrs.On 28/04/2021.ESP again tripped on High motor temperature @ 0900 Hrs.Well kept shutdown for pressure build up.</t>
  </si>
  <si>
    <t>1/4"</t>
  </si>
  <si>
    <t>Changed choke to 1/4"from 3/8".ESP restarted @13:24 hrs. On29/04/2021</t>
  </si>
  <si>
    <t>1324 Hrs</t>
  </si>
  <si>
    <t>0900 Hrs</t>
  </si>
  <si>
    <t>After changing the choke from 3/8"to 1/4",ESP restarted @ 1324 Hrs. on 29/04/2021</t>
  </si>
  <si>
    <t>0.017/0.023/0.029</t>
  </si>
  <si>
    <t>0.088/0.032/0.086</t>
  </si>
  <si>
    <t>R9A#1 After changing the choke from 3/8"to 1/4",ESP restarted @ 1324 Hrs. on 29/04/2021</t>
  </si>
  <si>
    <t xml:space="preserve"> R9A#1 ESP  tripped on High motor temperature @01 :09 Hrs on28/04/2021. after equalization of pressure ESP restarted @ 04:19Hrs. but found  ESP not stable , FAT max. reached at 40 Deg C for few minutes and starting to reduce. ESP again tripped at 09:00 Hrs. Suspecting no flow at surface.Kept shutdown for pressure build up.</t>
  </si>
  <si>
    <t>0.140/0.024/0.0258</t>
  </si>
  <si>
    <t>0.013/0.029/0.249</t>
  </si>
  <si>
    <t>0.026/0.019/0.037</t>
  </si>
  <si>
    <t>0.081/0.032/0.083</t>
  </si>
  <si>
    <t>R9_A#1 tripped @ 2034hrs due to high intake temperature, started @ 2225hrs, well was flowing through test separator.</t>
  </si>
  <si>
    <t>0.099/0.03/0.095</t>
  </si>
  <si>
    <t>Arun Nair</t>
  </si>
  <si>
    <t>0.019/0.016/0.033</t>
  </si>
  <si>
    <t>0.216/0.03/0.140</t>
  </si>
  <si>
    <t>20:34 hrs</t>
  </si>
  <si>
    <t>22:25 hrs</t>
  </si>
  <si>
    <t>Total running hours May 2021</t>
  </si>
  <si>
    <t>Total shutdown hours due to ONGC  May 2021</t>
  </si>
  <si>
    <t>Total shutdown hours due to Novomet  May 2021</t>
  </si>
  <si>
    <t>07:12 hrs</t>
  </si>
  <si>
    <t>11:12 hrs</t>
  </si>
  <si>
    <t>R9_A#1 tripped @ 0712 hrs on high intake temperature, started @ 1112 hrs and observed flow on surface, again found increase in temperature trends and decided to manually shutdown @ 1950 hrs</t>
  </si>
  <si>
    <t>0.14/0.06/0.16</t>
  </si>
  <si>
    <t>0.097/0.027/0.088</t>
  </si>
  <si>
    <t>0.12/0.03/0.16</t>
  </si>
  <si>
    <t>0.103/0.030/0.127</t>
  </si>
  <si>
    <t>ESP under observation @ 50Hz to remove suspected gas lock</t>
  </si>
  <si>
    <t>ESP parameters improved after removing gas lock</t>
  </si>
  <si>
    <t>23:38 hrs</t>
  </si>
  <si>
    <t>19:50 hrs</t>
  </si>
  <si>
    <t>R9_A#1 manually shut down at 1950 hrs on 02.05.2021 as per M/S Novomet base and restarted at 2338 hrs on 02.05.2021 after gas bleed off.</t>
  </si>
  <si>
    <t>0.021/0.021/0.032</t>
  </si>
  <si>
    <t>0.096/0.03/0.086</t>
  </si>
  <si>
    <t>R9_A#1 tripped on high intake temperature @ 0712hrs. and restarted @ 1112hrs. On 02/05/2021. ESP#1 manually shut down at 1950 hrs on 02.05.2021 as per M/S Novomet based and restarted at 2338 hrs on 02/05 after gas bleed off.</t>
  </si>
  <si>
    <t>0.147/0.026/0.157</t>
  </si>
  <si>
    <t>69/68/68</t>
  </si>
  <si>
    <t>Intake pressure on decreasing trend, high MLP</t>
  </si>
  <si>
    <t>0.027/0.022/0.026</t>
  </si>
  <si>
    <t>0.13/0.024/0.087</t>
  </si>
  <si>
    <t>0.09/0.03/0.115</t>
  </si>
  <si>
    <t>54/55/54</t>
  </si>
  <si>
    <t>Suspecting gas interference again, less flow, high MLP</t>
  </si>
  <si>
    <t>0.029/0.021/0.02</t>
  </si>
  <si>
    <t>0.083/0.032/0.06</t>
  </si>
  <si>
    <t>1900 hrs</t>
  </si>
  <si>
    <t>2218 hrs</t>
  </si>
  <si>
    <t>R9_A#1 manually shut down @ 1900 hrs due to low flow on surface, suspected gas lock. Restarted @ 2218hrs after bleeding out gas</t>
  </si>
  <si>
    <t>0.121/0.041/0.206</t>
  </si>
  <si>
    <t>70/70/69</t>
  </si>
  <si>
    <t>R9_A#1 manually switched off @ 1900 hrs, 06/05/2021, restarted @ 2218 hrs after bleeding out gas</t>
  </si>
  <si>
    <t>0.02/0.014/0.03</t>
  </si>
  <si>
    <t>62/62/62</t>
  </si>
  <si>
    <t>0.078/0.032/0.088</t>
  </si>
  <si>
    <t>High MLP: Downhole parameters fluctuating trend</t>
  </si>
  <si>
    <t>0.14/0.04/0.23</t>
  </si>
  <si>
    <t>68/69/68</t>
  </si>
  <si>
    <t>0.015/0.014/0.032</t>
  </si>
  <si>
    <t>0.08/0.03/0.08</t>
  </si>
  <si>
    <t>0.11/0.04/0.2</t>
  </si>
  <si>
    <t>0.03/0.015/0.02</t>
  </si>
  <si>
    <t>52/52/52</t>
  </si>
  <si>
    <t>R9_A#1 manually switched off @ 0905 hrs, 09/05/2021 due to no flow on surface</t>
  </si>
  <si>
    <t>0905 hrs</t>
  </si>
  <si>
    <t>R9_A#1 manually shut down @ 0905 hrs due to no flow on surface, suspected gas lock due to high MLP</t>
  </si>
  <si>
    <t>0.024/0.024/0.036</t>
  </si>
  <si>
    <t>0.146/0.03/0.08</t>
  </si>
  <si>
    <t>0.022/0.021/0.04</t>
  </si>
  <si>
    <t>63/64/63</t>
  </si>
  <si>
    <t>52/51/51</t>
  </si>
  <si>
    <t>0.03/0.03/0.05</t>
  </si>
  <si>
    <t>0.1/0.03/0.1</t>
  </si>
  <si>
    <t>0.02/0.02/0.03</t>
  </si>
  <si>
    <t>0.08/0.03/0.1</t>
  </si>
  <si>
    <t>0.01/0.01/0.03</t>
  </si>
  <si>
    <t>0.15/0.02/0.09</t>
  </si>
  <si>
    <t>0.01/0.02/0.02</t>
  </si>
  <si>
    <t>0.03/0.02/0.03</t>
  </si>
  <si>
    <t>63/63/62</t>
  </si>
  <si>
    <t>0.01/0.02/0.1</t>
  </si>
  <si>
    <t>0.01/0.02/0.09</t>
  </si>
  <si>
    <t>65/66/66</t>
  </si>
  <si>
    <t>_</t>
  </si>
  <si>
    <t>R9_A#2 tripped @ 1629 hrs on 17/05/2021 due to powershutdown of DG, downhole Sensor not giving any readings, restarted @ 1747 hrs.</t>
  </si>
  <si>
    <t>1629 hrs</t>
  </si>
  <si>
    <t>1747 hrs</t>
  </si>
  <si>
    <t>1.3 hrs</t>
  </si>
  <si>
    <t>22.7 hrs</t>
  </si>
  <si>
    <t>0.11/0.03/0.1</t>
  </si>
  <si>
    <t>55/55/56</t>
  </si>
  <si>
    <t>R9_A#4 tripped @ 1628 hrs on 17/05/2021 due to powershutdown of DG and restarted @ 1717 hrs.</t>
  </si>
  <si>
    <t>1628 hrs</t>
  </si>
  <si>
    <t>1717 hrs</t>
  </si>
  <si>
    <t>0.09/0.03/0.09</t>
  </si>
  <si>
    <t>0.1/0.03/0.12</t>
  </si>
  <si>
    <t>54/53/53</t>
  </si>
  <si>
    <t>0.07/0.02/0.09</t>
  </si>
  <si>
    <t>0.08/0.03/0.13</t>
  </si>
  <si>
    <t>0.03/0.03/0.04</t>
  </si>
  <si>
    <t>0.01/0.03/0.11</t>
  </si>
  <si>
    <t>51/51/52</t>
  </si>
  <si>
    <t>0.04/0.02/0.03</t>
  </si>
  <si>
    <t>62/62/63</t>
  </si>
  <si>
    <t>0.09/0.03/0.11</t>
  </si>
  <si>
    <t>0.02/0.03/0.03</t>
  </si>
  <si>
    <t>0.02/0.02/0.02</t>
  </si>
  <si>
    <t>51/50/50</t>
  </si>
  <si>
    <t>0.03/0.02/0.02</t>
  </si>
  <si>
    <t>0.07/0.03/0.09</t>
  </si>
  <si>
    <t>54/54/530</t>
  </si>
  <si>
    <t>63/63/63</t>
  </si>
  <si>
    <t>0.07/0.03/0.10</t>
  </si>
  <si>
    <t>63/64/64</t>
  </si>
  <si>
    <t>0.01/0.02/0.03</t>
  </si>
  <si>
    <t>55/54/55</t>
  </si>
  <si>
    <t>R9_A#1 manually switched off @ 1900hrs, 06/05/21, restarted @ 2218hrs after gas bleed off.</t>
  </si>
  <si>
    <t>R9_A#1 manually switched off @ 0905 hrs on 09/05/21 due to no flow, suspected gas lock due to high MLP</t>
  </si>
  <si>
    <t>R9_A#2 and R9_A#4 tripped @ 1629hrs on 17/05/21 due to power failure. R9_A#2 restarted @ 1747hrs and R9_A#4 restarted @ 1717hrs on 17/05/21. Downhole sensor of R9_A#2 stopped giving readings temporarily. Sensor readings came back automatically on 18/05/21, timing to be confirmed from data log.</t>
  </si>
  <si>
    <t>R9_A#1 tripped on high intake temperature @ 0712hrs on 02.05.21, restarted @ 1112hrs on 02.05.21. ESP#1 manually shut down @ 1950hrs on 02.05.21 as per Novomet base, restarted @ 2338hrs on 02.05.21 after gas bleed off.</t>
  </si>
  <si>
    <t>287 bbl/day</t>
  </si>
  <si>
    <t>869 bbl/day</t>
  </si>
  <si>
    <t>528.36 bbl/day as tested on 29.05.21</t>
  </si>
  <si>
    <t>503.2 bbl/day as tested on 29.05.21</t>
  </si>
  <si>
    <t>0.08/0.03/0.11</t>
  </si>
  <si>
    <t>55/55/54</t>
  </si>
  <si>
    <t>0.02/0.01/0.04</t>
  </si>
  <si>
    <t>55/54/54</t>
  </si>
  <si>
    <t>Total running hours June 2021</t>
  </si>
  <si>
    <t>Total shutdown hours due to ONGC  June 2021</t>
  </si>
  <si>
    <t>Total shutdown hours due to Novomet  June 2021</t>
  </si>
  <si>
    <t>64/63/63</t>
  </si>
  <si>
    <t>R-9A#01 ESP restarted @ 1033 HRS. Well stable and producing.</t>
  </si>
  <si>
    <t>1033 hrs</t>
  </si>
  <si>
    <t>R9_A#1 ESP restarted @ 1033 hrs on 01.06.21. Well stable and producing.</t>
  </si>
  <si>
    <t>62/62/61</t>
  </si>
  <si>
    <t>60/61/61</t>
  </si>
  <si>
    <t>0.08/0.03/0.09</t>
  </si>
  <si>
    <t>53/54/54</t>
  </si>
  <si>
    <t>0.18/0.04/0.24</t>
  </si>
  <si>
    <t>61/61/60</t>
  </si>
  <si>
    <t>0.03/0.10/0.81</t>
  </si>
  <si>
    <t>462 bbl/day as measured on 02.06.2021</t>
  </si>
  <si>
    <t>0.16/0.03/0.12</t>
  </si>
  <si>
    <t>0.02/0.03/0.02</t>
  </si>
  <si>
    <t>0.16/0.03/0.19</t>
  </si>
  <si>
    <t>R-9A#01 ESP restarted @ 1033 HRS. ESP running @ 50Hz, well stable and producing.</t>
  </si>
  <si>
    <t>FAT on decreasing trend, suspected gas ingress.Frequency ramped up to 53hz from 50hz</t>
  </si>
  <si>
    <t>0.11/0.03/0.21</t>
  </si>
  <si>
    <t>66/66/65</t>
  </si>
  <si>
    <t>0.02/0.01/0.03</t>
  </si>
  <si>
    <t>0.09/0.03/0.12</t>
  </si>
  <si>
    <t>0.14/0.02/0.17</t>
  </si>
  <si>
    <t>65/66/65</t>
  </si>
  <si>
    <t>52/54/52</t>
  </si>
  <si>
    <t>0.08/0.02/0.25</t>
  </si>
  <si>
    <t>65/65/64</t>
  </si>
  <si>
    <t>0.07/0.03/0.13</t>
  </si>
  <si>
    <t>52/52/53</t>
  </si>
  <si>
    <t>0.13/0.02/0.25</t>
  </si>
  <si>
    <t>0.08/0.03/0.10</t>
  </si>
  <si>
    <t>ESP manually switched off @0740hrs on 09.06.2021 due to no flow</t>
  </si>
  <si>
    <t>ESP manually switched off @0740hrs on 09.06.2021 due to no flow as per Novomet base</t>
  </si>
  <si>
    <t>0740 hrs</t>
  </si>
  <si>
    <t>0.09/0.03/0.13</t>
  </si>
  <si>
    <t>51/52/51</t>
  </si>
  <si>
    <t>ESP manually switched off @0740hrs on 09.06.2021 as per Novomet base instruction due to no flow.</t>
  </si>
  <si>
    <t>0513 hrs</t>
  </si>
  <si>
    <t>0.10/0.03/0.12</t>
  </si>
  <si>
    <t>50/51/51</t>
  </si>
  <si>
    <t>0.03/0.02/0.04</t>
  </si>
  <si>
    <t>0.09/0.03/0.10</t>
  </si>
  <si>
    <t>51/50/51</t>
  </si>
  <si>
    <t>R9_A#2 tripped on under load @ 0513hrs on 11.06.2021 and restarted @ 2340hrs on 11.06.2021</t>
  </si>
  <si>
    <t>R9_A#2 ESP tripped on under load @ 0513hrs on 11.06.2021 and restarted ESP @ 2340hrs on 11.06.2021</t>
  </si>
  <si>
    <t>R9_A#2 tripped on under load @ 0513hrs on 11.06.2021 and restarted @ 2340hrs  on 11.06.2021</t>
  </si>
  <si>
    <t>2340hrs</t>
  </si>
  <si>
    <t>18.45hrs</t>
  </si>
  <si>
    <t>5.55hrs</t>
  </si>
  <si>
    <t>0.04/0.03/0.05</t>
  </si>
  <si>
    <t>50/50/51</t>
  </si>
  <si>
    <t>0.081/0.02/0.088</t>
  </si>
  <si>
    <t>Arun Nair/ Pranav</t>
  </si>
  <si>
    <t>0.07/0.02/0.1</t>
  </si>
  <si>
    <t>Arun/ Pranav</t>
  </si>
  <si>
    <t>0.088/0.027/0.106</t>
  </si>
  <si>
    <t>1545 hrs</t>
  </si>
  <si>
    <t>14.25 hrs</t>
  </si>
  <si>
    <t>9.75 hrs</t>
  </si>
  <si>
    <t>R9_A#2  ESP manually shutdown @ 15:45 Hrs on 17/06/21 ,for choke change,Found leakage in the bean housing flange .ESP not yet started.</t>
  </si>
  <si>
    <t>0.088/0.028/0.111</t>
  </si>
  <si>
    <t>0855 Hrs</t>
  </si>
  <si>
    <t>10:36 Hrs</t>
  </si>
  <si>
    <t>1325 Hrs</t>
  </si>
  <si>
    <t>1350 Hrs</t>
  </si>
  <si>
    <t>1625 Hrs</t>
  </si>
  <si>
    <t>1634 Hrs</t>
  </si>
  <si>
    <t>ESP shutdown</t>
  </si>
  <si>
    <t>0.084/0.028/0.09</t>
  </si>
  <si>
    <t>0.11/0.02/0.1</t>
  </si>
  <si>
    <t>5/8"</t>
  </si>
  <si>
    <t>50/50/50</t>
  </si>
  <si>
    <t>R9_A#2  ESP manually shutdown @ 15:45 Hrs on 17/06/21, for choke change, Found leakage in the bean housing flange. after choke change, ESP restarted @0855 Hrs. on 19/06/2021. Found no flow at the surface and motor temperature starting to increase.ESP manually shutdown @ 1036 Hrs. on 19/06/2021.ESP again restarted @ 1325 Hrs. on 19/06/2021.No flow, ESP manually shutdown @1350 Hrs.ESP started with reverse rotation @1625 Hrs.@40 Hz and increased frequency to 52 HZ. No flow, ESP manually shutdown @1634Hrs. On 19/06/2021.Suspected SSSV Shutdown.ESP again started with forward direction @1940 Hrs on 19/06/21, No flow Manually shutdown @ 2245 Hrs .ESP started in forward direction @ 1600hrs on 20.06.2021 and switched off @ 1725hrs due to persistent no flow conditions. Restarted ESP against closed wing valve @ 1930hrs on 20.06.2021 and established flow at surface @ 50hz, well under monitoring. Ramped up to 54hz @ 0600hrs on 21.06.2021</t>
  </si>
  <si>
    <t>1940 Hrs</t>
  </si>
  <si>
    <t>2245 Hrs</t>
  </si>
  <si>
    <t>5.32 Hrs</t>
  </si>
  <si>
    <t>18.68 Hrs</t>
  </si>
  <si>
    <t>1600 Hrs</t>
  </si>
  <si>
    <t>1725 Hrs</t>
  </si>
  <si>
    <t>1930 Hrs</t>
  </si>
  <si>
    <t>11.92 Hrs</t>
  </si>
  <si>
    <t>12.08 Hrs</t>
  </si>
  <si>
    <t>0.11/30.029/0.1</t>
  </si>
  <si>
    <t>66/67/66</t>
  </si>
  <si>
    <t>0.094/0.026/0.099</t>
  </si>
  <si>
    <t xml:space="preserve"> Pranav A</t>
  </si>
  <si>
    <t>Ocean terquise started the Acid job</t>
  </si>
  <si>
    <t>0.126/0.026/0.138</t>
  </si>
  <si>
    <t>0.072/0.021/0.081</t>
  </si>
  <si>
    <t>0.101/0.032/0.122</t>
  </si>
  <si>
    <t>0.089/0.028/0.094</t>
  </si>
  <si>
    <t>0.031/0.032/0.28</t>
  </si>
  <si>
    <t>0.117/0.023/0.128</t>
  </si>
  <si>
    <t>0.099/0.027/0.091</t>
  </si>
  <si>
    <t>0.099/0.026/0.08</t>
  </si>
  <si>
    <t xml:space="preserve">R9A#5 After the acid job, ESP started with reverse rotation (soft start-up) @ 09:54 Hrs. on 24/06/2021.ESP immediately tripped on overload. during the time maximum frequency reached 8.6 Hz and Amps reached 54 A. Tried different start up mode (Jogging, Swinging, and Hard start up) in both rotations in multiple times. ESP tripping in overload within one minute. Confirmed downhole status and surface equipment working status. Tried multiple start up by changing the settings, no improvements in ESP parameters.  </t>
  </si>
  <si>
    <t>0.106/0.021/0.135</t>
  </si>
  <si>
    <t>0.088/0.028/0.09</t>
  </si>
  <si>
    <t>0.099/0.029/0.11</t>
  </si>
  <si>
    <t>0.104/0.024/0.084</t>
  </si>
  <si>
    <t>0.249/0.029/0.32</t>
  </si>
  <si>
    <t>0.0.96/0.026/0.083</t>
  </si>
  <si>
    <t>0.083/0.022/0.105</t>
  </si>
  <si>
    <t>0.0.94/0.028/0.079</t>
  </si>
  <si>
    <t>0.159/0.028/0.118</t>
  </si>
  <si>
    <t>0.0.96/0.029/0.085</t>
  </si>
  <si>
    <t>Total running hours July 2021</t>
  </si>
  <si>
    <t>Total shutdown hours due to ONGC  July 2021</t>
  </si>
  <si>
    <t>Total shutdown hours due to Novomet  July 2021</t>
  </si>
  <si>
    <t>0.097/0.024/0.121</t>
  </si>
  <si>
    <t>0.0.88/0.026/0.085</t>
  </si>
  <si>
    <t>0.185/0.027/0.292</t>
  </si>
  <si>
    <t>42,81</t>
  </si>
  <si>
    <t>17.3/17.3/17</t>
  </si>
  <si>
    <t>ESP restarted @1350 Hrs.on 03/07/2021.</t>
  </si>
  <si>
    <t>0.129/0.029/0.145</t>
  </si>
  <si>
    <t>0.0.81/0.026/0.08</t>
  </si>
  <si>
    <t>0.104/0.027/0.199</t>
  </si>
  <si>
    <t>Intake pressure on decreasing trend.</t>
  </si>
  <si>
    <t>0.208/0.017/0.207</t>
  </si>
  <si>
    <t>0.0.83/0.03/0.093</t>
  </si>
  <si>
    <t>0.111/0.023/0.123</t>
  </si>
  <si>
    <t>16.7/16.6/16.7</t>
  </si>
  <si>
    <t>Frequency reduced to 52 Hz@ 2150 Hrs on 04/07/21. as per ONGC instruction</t>
  </si>
  <si>
    <t>0.228/0.024/0.268</t>
  </si>
  <si>
    <t>0.0.83/0.23/0.08</t>
  </si>
  <si>
    <t xml:space="preserve">R9A#1 ESP restarted @1350 Hrs. on 03/07/2021 as per ONGC instruction. </t>
  </si>
  <si>
    <t xml:space="preserve">1350 Hrs </t>
  </si>
  <si>
    <t>7.83 Hrs</t>
  </si>
  <si>
    <t>0.083/.023/0.119</t>
  </si>
  <si>
    <t>1007,7</t>
  </si>
  <si>
    <t>0.82/0.022/0.089</t>
  </si>
  <si>
    <t>0.082/0.26/0.089</t>
  </si>
  <si>
    <t>35;.5</t>
  </si>
  <si>
    <t>Frequenccy reduced to 51 hzas per ONGC request.</t>
  </si>
  <si>
    <t>0.013/.031/0.214</t>
  </si>
  <si>
    <t>15./15.9/15.8</t>
  </si>
  <si>
    <t>0.188/0.0190.224</t>
  </si>
  <si>
    <t>16.2/16.1/16.2</t>
  </si>
  <si>
    <t>0.111/0.27/0.104</t>
  </si>
  <si>
    <t>11.9/12/12</t>
  </si>
  <si>
    <t>Frequency increased to 43 Hz from 42 Hz  for Optimaization</t>
  </si>
  <si>
    <t>0.077/.022/0.092</t>
  </si>
  <si>
    <t>Frequenccy reduced to 51.5Hz</t>
  </si>
  <si>
    <t>0.198/0.017.263</t>
  </si>
  <si>
    <t>33.`13</t>
  </si>
  <si>
    <t>0.103/0.023/0.109</t>
  </si>
  <si>
    <t>0.114/.032/0.022</t>
  </si>
  <si>
    <t>37,72</t>
  </si>
  <si>
    <t>Frequenccy increased to 53 Hz because of low FAT.</t>
  </si>
  <si>
    <t>0.185/0.026/0.295</t>
  </si>
  <si>
    <t>0.098/0.026/0.096</t>
  </si>
  <si>
    <t>0.135/0.019/0.053</t>
  </si>
  <si>
    <t>0.115/0.027/0.107</t>
  </si>
  <si>
    <t>ESP tripped on Underload @ 0708 Hrs. on 09/08/21  Kept shutdown for pressure build up. Target Intake pressure-1200 PSI.</t>
  </si>
  <si>
    <t>0708 Hrs</t>
  </si>
  <si>
    <t>R9A#1 ESP tripped on Underload @ 0708 Hrs. on 09/08/21  Kept shutdown for pressure build up. Target Intake pressure-1200 PSI.</t>
  </si>
  <si>
    <t>1.14 Hrs</t>
  </si>
  <si>
    <t>R9A#1 ESP tripped on Underload @ 0708 Hrs. on 09/08/21 due to low flow condition,  Kept shutdown for pressure build up. Target Intake pressure-1200 PSI.</t>
  </si>
  <si>
    <t>0.221/0.018/0.233</t>
  </si>
  <si>
    <t>0.115/0.027/0.101</t>
  </si>
  <si>
    <t>0.184/.041/0.362</t>
  </si>
  <si>
    <t>ESP restarted @1600Hrs.on 11/07/2021.</t>
  </si>
  <si>
    <t xml:space="preserve">R9A#1 ESP restarted @1600 Hrs. on 11/07/2021 as per ONGC instruction. </t>
  </si>
  <si>
    <t>10 Hrs</t>
  </si>
  <si>
    <t>0.087/.022/0.13</t>
  </si>
  <si>
    <t>16.4/16.3/16.3</t>
  </si>
  <si>
    <t>0.189/0.023/0.09</t>
  </si>
  <si>
    <t>16.1/16/16</t>
  </si>
  <si>
    <t>0.096/0.021/0.11</t>
  </si>
  <si>
    <t>0.226/.022/0.103</t>
  </si>
  <si>
    <t>0.196/0.018/0.227</t>
  </si>
  <si>
    <t>0.108/0.028/0.124</t>
  </si>
  <si>
    <t>0.132/0.03/0.13</t>
  </si>
  <si>
    <t>16.3/16.4/16.4</t>
  </si>
  <si>
    <t>0.214/0.018/0.257</t>
  </si>
  <si>
    <t>0.117/0.023/0.108</t>
  </si>
  <si>
    <t>Frequency increased to 44 Hz from 44 Hz  for Optimaization</t>
  </si>
  <si>
    <t>0.177/0.026/0.113</t>
  </si>
  <si>
    <t>0.251/0.021/0.253</t>
  </si>
  <si>
    <t>0.108/0.028/0.155</t>
  </si>
  <si>
    <t>0.091/0.022/0.21</t>
  </si>
  <si>
    <t>0.1091/0.017/0.108</t>
  </si>
  <si>
    <t>0.106/0.024/0.163</t>
  </si>
  <si>
    <t xml:space="preserve">ESP tripped on Underload @ 2142 Hrs. on 16/07/21. Kept shutdown </t>
  </si>
  <si>
    <t>0.0341/0.016/0.032</t>
  </si>
  <si>
    <t>0.103/0.026/0.155</t>
  </si>
  <si>
    <t>2142 Hrs</t>
  </si>
  <si>
    <t>8.3 Hrs</t>
  </si>
  <si>
    <t>R9A#1 ESP tripped on Underload @2142 Hrs. on 16/07/21.</t>
  </si>
  <si>
    <t>0.071/0.028/0.034</t>
  </si>
  <si>
    <t>0.1/0.026/0.153</t>
  </si>
  <si>
    <t>2234 Hrs</t>
  </si>
  <si>
    <t>2326 Hrs</t>
  </si>
  <si>
    <t>2318 Hrs</t>
  </si>
  <si>
    <t>2231 Hrs</t>
  </si>
  <si>
    <t>0.78 Hrs</t>
  </si>
  <si>
    <t>1829 Hrs</t>
  </si>
  <si>
    <t>1922 Hrs</t>
  </si>
  <si>
    <t>R9A#2 ESP tripped @ 2234 Hrs. on 17/07/2021 due to power failure alarm ( DG shutdown).ESP restarted @ 2326 Hrs. on 17/07/2021</t>
  </si>
  <si>
    <t>R9A#4 ESP tripped @ 2231 Hrs. on 17/07/2021 due to low voltage alarm ( DG shutdown).ESP restarted @ 2318 Hrs. on 17/07/2021</t>
  </si>
  <si>
    <t>R9A#2 ESP tripped @ 2234 Hrs. on 17/06/2021 due to powerfailure alarm ( DG tshutdown).ESP restarted @ 2326 Hrs. on 17/07/2021                R9A#4 ESP tripped @ 2231 Hrs. on 17/06/2021 due toLow volt alarm ( DG tshutdown).ESP restarted @ 2318 Hrs. on 17/07/2021</t>
  </si>
  <si>
    <t>R9A#2 Observed that after restarting the ESP all parameters are fluctuating with FTHP and FAT, Suspecting the pump gets the gas lock, removed gas lock by performing up/down the frequency multiple times. but ESP performance improved for only for few hours. After decided to manually shutdown the ESP @ 1829 Hrs. on 18/07/2021 and released the gas. Restarted the ESP @1922 Hrs. on 18/07/2021.</t>
  </si>
  <si>
    <t>0.104/0.018/0.126</t>
  </si>
  <si>
    <t>0.086/0.023/0.163</t>
  </si>
  <si>
    <t>0.103/0.024/0.128</t>
  </si>
  <si>
    <t>15.1/15.1/15.2</t>
  </si>
  <si>
    <t>0.09/0.028/0.155</t>
  </si>
  <si>
    <t>0.122/0.023/0.152</t>
  </si>
  <si>
    <t>0.095/0.024/0.165</t>
  </si>
  <si>
    <t>12.2/12.1/12.2</t>
  </si>
  <si>
    <t>0.086/0.023/0.073</t>
  </si>
  <si>
    <t>18/18.1/18</t>
  </si>
  <si>
    <t>0.116/023/0.153</t>
  </si>
  <si>
    <t>0.128/0.024/0.109</t>
  </si>
  <si>
    <t>0.086/026/0.156</t>
  </si>
  <si>
    <t>0.096/0.021/0.119</t>
  </si>
  <si>
    <t>0.106/027/0.147</t>
  </si>
  <si>
    <t>0.108/0.022/0.148</t>
  </si>
  <si>
    <t>0.119/028/0.127</t>
  </si>
  <si>
    <t>0.98/0.011/0.111</t>
  </si>
  <si>
    <t>0.117/024/0.161</t>
  </si>
  <si>
    <t>0.99/0.021/0.13</t>
  </si>
  <si>
    <t>0.129/027/0.13</t>
  </si>
  <si>
    <t>0.99/0.021/0.103</t>
  </si>
  <si>
    <t>0.109/026/0.103</t>
  </si>
  <si>
    <t>0.145/0.022/0.142</t>
  </si>
  <si>
    <t>0.105/028/0.157</t>
  </si>
  <si>
    <t>0.111/0.019/0.145</t>
  </si>
  <si>
    <t>0.127/03/0.36</t>
  </si>
  <si>
    <t>0.083/0.014/0.102</t>
  </si>
  <si>
    <t>0.132/029/0.122</t>
  </si>
  <si>
    <t>0.083/0.018/0.109</t>
  </si>
  <si>
    <t>0.103/02940.104</t>
  </si>
  <si>
    <t>1220 Hrs</t>
  </si>
  <si>
    <t>ESP tripped on Underload @2142 Hrs. on 16/07/21.ESP restarted  @ 1220 Hrs. on 24/07/2021.</t>
  </si>
  <si>
    <t>6.33 Hrs</t>
  </si>
  <si>
    <t>1658 Hrs</t>
  </si>
  <si>
    <t>18.02 Hrs</t>
  </si>
  <si>
    <t>2033 Hrs</t>
  </si>
  <si>
    <t>ESP tripped on Underload alarm @1658 Hrs. on 28/07/2021. ONGC platform incharge restarted the ESP @1802 Hrs. ( With out Informing Novomet Engineer).ESP again tripped on Underload alarm .@2033 Hrs on 28/07/21.</t>
  </si>
  <si>
    <t>9.45 Hrs</t>
  </si>
  <si>
    <t>1722 Hrs</t>
  </si>
  <si>
    <t>2.03 Hrs</t>
  </si>
  <si>
    <t>ESP tripped on Underload @ 1520 Hrs. on 21/07/21 . After releasing the gas ESP restarted @ 1722 Hrs. on 21/07/2021</t>
  </si>
  <si>
    <t>0358 Hrs</t>
  </si>
  <si>
    <t>0949 Hrs</t>
  </si>
  <si>
    <t>2.03+3.82</t>
  </si>
  <si>
    <t>ESP tripped on Underload @ 0358 Hrs. on 22/07/21 . After releasing the gas ESP restarted @ 0949 Hrs. on 22/07/2021</t>
  </si>
  <si>
    <t>0313 Hrs</t>
  </si>
  <si>
    <t>0854 Hrs</t>
  </si>
  <si>
    <t>2.78+2.9</t>
  </si>
  <si>
    <t>ESP tripped on Underload @ 0313 Hrs. on 23/07/21 . After releasing the gas ESP restarted @ 0854 Hrs. on 23/07/2021</t>
  </si>
  <si>
    <t>R9A#2 ESP tripped on Underload @ 1520 Hrs. on 21/07/21 . After releasing the gas ESP restarted @ 1722 Hrs. on 21/07/2021</t>
  </si>
  <si>
    <t>R9A#2 ESP tripped on Underload @ 0358 Hrs. on 22/07/21 . After releasing the gas ESP restarted @ 0949 Hrs. on 22/07/2021</t>
  </si>
  <si>
    <t>R9A#2 ESP tripped on Underload @ 0313 Hrs. on 23/07/21 . After releasing the gas ESP restarted @ 0854 Hrs. on 23/07/2021</t>
  </si>
  <si>
    <t>R9A#1 ESP tripped on Underload alarm @1658 Hrs. on 28/07/2021. ONGC platform incharge restarted the ESP @1802 Hrs. ( With out Informing Novomet Engineer).ESP again tripped on Underload alarm .@2033 Hrs on 28/07/21.</t>
  </si>
  <si>
    <t>R9A#1 ESP restarted  @ 1220 Hrs. on 24/07/2021.</t>
  </si>
  <si>
    <t>0.239/0.245</t>
  </si>
  <si>
    <t>16.3/16.2/16.3</t>
  </si>
  <si>
    <t>0.1/0.019/0.113</t>
  </si>
  <si>
    <t>0.118/026/0.114</t>
  </si>
  <si>
    <t>1711 Hrs</t>
  </si>
  <si>
    <t>ESP restarted @1711 Hrs on 02/08/2021. as per SAM Ratna Instruction.</t>
  </si>
  <si>
    <t>0.173/0.188</t>
  </si>
  <si>
    <t>0.141/0.02/0.106</t>
  </si>
  <si>
    <t>0.113/024/0.114</t>
  </si>
  <si>
    <t>11.18 Hrs</t>
  </si>
  <si>
    <t>ESP restarted@ 1711 Hrs. on 02/08/2021. as per ONGC Instruction.</t>
  </si>
  <si>
    <t>R9A#1 ESP restarted@ 1711 Hrs. on 02/08/2021. as per ONGC Instruction.</t>
  </si>
  <si>
    <t>Frequency increased to 45 Hz from 44 Hz. As per Novomet base instruction.</t>
  </si>
  <si>
    <t>0.101/0.071</t>
  </si>
  <si>
    <t>15.9/16/16.1</t>
  </si>
  <si>
    <t>0.038/0.028/0.089</t>
  </si>
  <si>
    <t>0.095/025/0.155</t>
  </si>
  <si>
    <t>Frequency increased to 46 Hz from 45 Hz. As per Novomet base instruction.</t>
  </si>
  <si>
    <t>0336 Hrs</t>
  </si>
  <si>
    <t>0513 Hrs</t>
  </si>
  <si>
    <t>1.62 Hrs</t>
  </si>
  <si>
    <t>R9A#2 ESP tripped on the Underload alarm due to gas interference, @ 0336 Hrs.0n 04/08/2021. Released the gas for 45 minutes and restarted the ESP @ 0513 Hrs. on 04/08/2021.ESP running below bubble point pressure.</t>
  </si>
  <si>
    <t>0.247/0.149</t>
  </si>
  <si>
    <t>0.118/0.019/0.165</t>
  </si>
  <si>
    <t>15.5/15.6/15.6</t>
  </si>
  <si>
    <t>0.087/027/0.128</t>
  </si>
  <si>
    <t>13.1/13/13.1</t>
  </si>
  <si>
    <t>0758 Hrs</t>
  </si>
  <si>
    <t>1.96 Hrs</t>
  </si>
  <si>
    <t>0055 Hrs</t>
  </si>
  <si>
    <t>0212 Hrs</t>
  </si>
  <si>
    <t>1.28 Hrs</t>
  </si>
  <si>
    <t>ESP tripped on Underload @ 0055 Hrs. on 05/08/21 . After releasing the gas ESP restarted @ 0212 Hrs. on 05/08/2021</t>
  </si>
  <si>
    <t>ESP tripped  @ 0758 Hrs on 05/08/2021 due to Underload alarm. Well kept shutdown</t>
  </si>
  <si>
    <t>R9A#2 ESP tripped on Underload @ 0055 Hrs. on 05/08/21 . After releasing the gas ESP restarted @ 0212 Hrs. on 05/08/2021</t>
  </si>
  <si>
    <t>0.151/0.024/0.218</t>
  </si>
  <si>
    <t>0.1//003/0.228</t>
  </si>
  <si>
    <t>12.4/12.3/12.4</t>
  </si>
  <si>
    <t>2204 Hrs</t>
  </si>
  <si>
    <t>ESP tripped on Underload @ 1930 Hrs. on 05/08/21 . After releasing the gas ESP restarted @ 2204 Hrs. on 05/08/2021</t>
  </si>
  <si>
    <t>R9A#1 ESP tripped  @ 0758 Hrs on 05/08/2021 due to Underload alarm. Well kept shutdown.         R9A#2 ESP tripped on Underload @ 1930 Hrs. on 05/08/21 . After releasing the gas ESP restarted @ 2204 Hrs. on 05/08/2021</t>
  </si>
  <si>
    <t>0.126/0.021/0.144</t>
  </si>
  <si>
    <t>0.092//026/0.215</t>
  </si>
  <si>
    <t>R9A#2 ESP tripped on Underload @ 1610 Hrs. on 07/08/21 .Already requested for step down the choke to 1/2". ONGC restarted the ESP  @ 2145 Hrs. on 07/08/2021.</t>
  </si>
  <si>
    <t>0.113/0.024/0.139</t>
  </si>
  <si>
    <t>0.079//026/0.187</t>
  </si>
  <si>
    <t>2145 Hrs</t>
  </si>
  <si>
    <t>2.17/3.12</t>
  </si>
  <si>
    <t>1939 Hrs</t>
  </si>
  <si>
    <t>2.42 Hrs</t>
  </si>
  <si>
    <t>ESP tripped on Underload @ 1939 Hrs. on 05/08/21 . After releasing the gas ESP restarted @ 2204 Hrs. on 05/08/2021</t>
  </si>
  <si>
    <t>0314 Hrs</t>
  </si>
  <si>
    <t>0427 Hrs</t>
  </si>
  <si>
    <t>1.22 Hrs</t>
  </si>
  <si>
    <t>R9A#2 ESP tripped on Underload @ 0314 Hrs. on 07/08/21 . After releasing the gas ESP restarted @ 0427 Hrs. on 07/08/2021</t>
  </si>
  <si>
    <t>1618Hrs</t>
  </si>
  <si>
    <t>5.45 Hrs</t>
  </si>
  <si>
    <t>R9A#2 ESP tripped on Underload @ 1618 Hrs. on 07/08/21 .Already requested for step down the choke to 1/2". ONGC restarted the ESP  @ 2145 Hrs. on 07/08/2021.</t>
  </si>
  <si>
    <t>0949Hrs</t>
  </si>
  <si>
    <t>1414 Hrs</t>
  </si>
  <si>
    <t xml:space="preserve">R9A#2 ESP tripped on Undeload alarm due to gas interference, @ 0949 Hrs.Restarted the ESP @ 1414 Hrs on 09/08/21 after the step down the choke from 5/8" to 1/2". </t>
  </si>
  <si>
    <t>20.18 Hrs</t>
  </si>
  <si>
    <t>8.23 Hrs</t>
  </si>
  <si>
    <t>R9A#1 ESP restarted @ 1735 Hrs on 09/08/2021. as per instruction from ONGC.</t>
  </si>
  <si>
    <t>ESP tripped  @ 0758 Hrs on 05/08/2021 due to Underload alarm. Well kept shutdown.R9A#1 ESP restarted @ 1735 Hrs on 09/08/2021. as per instruction from ONGC.</t>
  </si>
  <si>
    <t>1735 Hrs</t>
  </si>
  <si>
    <t>22.04 Hrs</t>
  </si>
  <si>
    <t>11.58  Hrs</t>
  </si>
  <si>
    <t>.R9A#1 ESP restarted @ 1735 Hrs on 09/08/2021. as per instruction from ONGC.</t>
  </si>
  <si>
    <t>0.094//024/0.187</t>
  </si>
  <si>
    <t>0.192/0.261</t>
  </si>
  <si>
    <t>0.146/0.026/0.126</t>
  </si>
  <si>
    <t>0.108//024/0.249</t>
  </si>
  <si>
    <t>Higher MLP: Ratna flowline is diverted to the HUT line at Heera on 2245 Hrs. On 09/09/2021.</t>
  </si>
  <si>
    <t>0.105/0.182</t>
  </si>
  <si>
    <t>0.095/0.02/0.128</t>
  </si>
  <si>
    <t>0.093//025/0.205</t>
  </si>
  <si>
    <t>Higher MLP: Ratna flowline is diverted to the HUT line at Heera on 2245 Hrs. On 09/09/2021. FAT is reducing and Found FTHP fluctuating. Suspected intermeasdet flow.Frequency Increased to 53 Hz from 52 Hz.</t>
  </si>
  <si>
    <t>ESP shutdown due to OVERLOADSuspected Overload trip due to pump stuck condition. Stop Date – 11th July 2021</t>
  </si>
  <si>
    <t>On 11/07/2021 Checked VSD and Transformer with no load and shorted out put test( Load test), Checked out put voltage and current from VSD and transformer ,Found all surface equipments are in good condition.Checked downhole equipment Phase to Phase 6.6 ohm balanced,and Phase to ground -340 M ohm ( 3 Minutes @1000V).Tried to start the ESP with Soft start , Jogging Mode, Swinging Mode and Hard start up with the both direction - ESP tripped on overload alarm ( Max. Total ESM Current 82 A).Tried to start with ESP with Low frequency 15-20 Hz: Current from 45 A to 55 A, nominal nameplate current 25.7 A.Suspected Overload trip due to pump stuck condition. Stop Date – 11th July 2021</t>
  </si>
  <si>
    <t>0.0194/0.021/0.254</t>
  </si>
  <si>
    <t>0.113//026/0.195</t>
  </si>
  <si>
    <t>2119 Hrs</t>
  </si>
  <si>
    <t>0.14/0.21</t>
  </si>
  <si>
    <t>0.15/0.26</t>
  </si>
  <si>
    <t>0.12/0.022/0.08</t>
  </si>
  <si>
    <t>16.3/16.4/16.5</t>
  </si>
  <si>
    <t>Litto</t>
  </si>
  <si>
    <t>13/8/2021</t>
  </si>
  <si>
    <t>08:35hrs</t>
  </si>
  <si>
    <t>09:45 hrs</t>
  </si>
  <si>
    <t>1.1 Hrs</t>
  </si>
  <si>
    <t>R9A#2:Esp tripped due to underload alarm @08:45hrs.1 hrs bleeded the gas and restarted at 09:45hrs.</t>
  </si>
  <si>
    <t xml:space="preserve"> R9A#1 ESP tripped on the Underload alarm at 2120 Hrs on 12/08/2021. ESP was running below bubble point pressure and intake pressure is too low. ESP has not yet started.</t>
  </si>
  <si>
    <t>Comment</t>
  </si>
  <si>
    <t>Static reading</t>
  </si>
  <si>
    <t>Divert back to Heera line</t>
  </si>
  <si>
    <t>1.57/1.72</t>
  </si>
  <si>
    <t>mm/s</t>
  </si>
  <si>
    <t>15.8/15.9/15.7</t>
  </si>
  <si>
    <t>Esp started at 11:10hrs on 14/08/21.Temperorly frequency kept 50 hz.Actual running frequency is 53hz. Static: Pi-1223,Pd-1232,Ti-101 Degc,Tm-101 Degc</t>
  </si>
  <si>
    <t>0.094/0.030/0.106</t>
  </si>
  <si>
    <t>15.5/15.6/15.7</t>
  </si>
  <si>
    <t>0.121/0.031/0.241</t>
  </si>
  <si>
    <t>12.7/12.7/12.6</t>
  </si>
  <si>
    <t>14/8/2021</t>
  </si>
  <si>
    <t>R9A#1: Esp restarted at 11:10hrs on 14/8/2021.</t>
  </si>
  <si>
    <t>Esp tripped due to underload alarm @08:35hrs.1 hrs bled the gas and restarted at 09:45hrs.</t>
  </si>
  <si>
    <t>Esp tripped due to underload alarm @08:35hrs.1 hrs bleeded the gas and restarted at 09:45hrs.</t>
  </si>
  <si>
    <t>Static reading:Pi-1031,pd-1037,Ti-105.1,Tm-104.7</t>
  </si>
  <si>
    <t>14.5/14.6/14.7</t>
  </si>
  <si>
    <t>Motor current dropped to 13 amps.FAT dropped.Gas bled until well  stable.</t>
  </si>
  <si>
    <t>12.2/12.4/12.2</t>
  </si>
  <si>
    <t>0.107/0.028/0.206</t>
  </si>
  <si>
    <t xml:space="preserve"> R9A#1 ESP tripped on the Underload alarm at 2100 Hrs on 15/08/2021. ESP was running below bubble point pressure and intake pressure is too low.Esp kept shutdown for further action.</t>
  </si>
  <si>
    <t>FAT is dropped, frequency is increased to 52hz.Esp tripped on underload at 21:00hrs on 15/08/2021.Esp kept shutdown for further action.</t>
  </si>
  <si>
    <t>Static reading:Pi-1139,pd-1147,Ti-101.5,Tm-101.5</t>
  </si>
  <si>
    <t>0.084/0.024/0.117</t>
  </si>
  <si>
    <t>12.4/12.3/12.2</t>
  </si>
  <si>
    <t>0.106/0.025/0.187</t>
  </si>
  <si>
    <t>Static reading:Pi-1211,pd-1120,Ti-101.1,Tm-101.1</t>
  </si>
  <si>
    <t>0.094/0.032/0.212</t>
  </si>
  <si>
    <t>12.5/12.5/12.4</t>
  </si>
  <si>
    <t>0.103/0.034/0.1</t>
  </si>
  <si>
    <t>16.1/16.2/16.2</t>
  </si>
  <si>
    <t>Pd,Motor current,Motor load are fluctating</t>
  </si>
  <si>
    <t>R9A#1: Esp tripped on underload at 21:00hrs on 15/8/2021.</t>
  </si>
  <si>
    <t>12.1/12.3/12</t>
  </si>
  <si>
    <t>0.093/0.31/0.219</t>
  </si>
  <si>
    <t>15.8/15.9/15.9</t>
  </si>
  <si>
    <t>0.230/0.026/0.346</t>
  </si>
  <si>
    <t>1 kg/cm2 Production Header pressure increased</t>
  </si>
  <si>
    <t>1 kg/cm2 Production Header pressure increased.Pd,Motor current,Motor load are fluctating.FAT dropped .</t>
  </si>
  <si>
    <t>15.4/15.5/15.6</t>
  </si>
  <si>
    <t>0.078/0.19/0.109</t>
  </si>
  <si>
    <t>12.6/12.7/12.5</t>
  </si>
  <si>
    <t>0.098/0.031/0.220</t>
  </si>
  <si>
    <t>Static reading:Pi-1269,pd-1127,Ti-100.8,Tm-101</t>
  </si>
  <si>
    <t>Static reading:Pi-1317,pd-1325,Ti-100.7,Tm-100.8</t>
  </si>
  <si>
    <t xml:space="preserve"> NHV(790-1000)H  84*3=252STG</t>
  </si>
  <si>
    <t>15.9/16/16</t>
  </si>
  <si>
    <t>0.168/0.025/0.184</t>
  </si>
  <si>
    <t>12.1/12.1/12</t>
  </si>
  <si>
    <t>0.101/0.29/0.267</t>
  </si>
  <si>
    <t>Static reading:Pi-1359,pd-1368,Ti-100.6,Tm-100.7</t>
  </si>
  <si>
    <t>High production pressure.FAT is decreasing trend.</t>
  </si>
  <si>
    <t>Static reading:Pi-1594,pd-1598,Ti-93.6,Tm-93.9</t>
  </si>
  <si>
    <t>Performed Acid job for the reservoir</t>
  </si>
  <si>
    <t>0.094/0.022/0.104</t>
  </si>
  <si>
    <t>12.3/12.4/12.4</t>
  </si>
  <si>
    <t>0.116/0.026/0.255</t>
  </si>
  <si>
    <t>Around 200 psi discharge pressure reduced.FAT is  increased.</t>
  </si>
  <si>
    <t>FAT is increased</t>
  </si>
  <si>
    <t>Installation Date</t>
  </si>
  <si>
    <t>Commission Date</t>
  </si>
  <si>
    <t>R9#A1:After Acid job Esp started at 08:35hrs for flow back through vessel burner and manually shutdown at 09:30hrs due to the leakage of Vessel Hose.Restarted at 09:55hrs.</t>
  </si>
  <si>
    <t>16.7/16.8/16.4</t>
  </si>
  <si>
    <t>After Acid job Esp started at 08:35hrs for flow back through vessel burner and manually shutdown at 09:30hrs due to the leakage of Vessel Hose.Restarted at 09:55hrs.</t>
  </si>
  <si>
    <t>1.22/0.81</t>
  </si>
  <si>
    <t>16.1/16.2/16.3</t>
  </si>
  <si>
    <t>0.076/0.021/0.103</t>
  </si>
  <si>
    <t>12.6/12.9/12.8</t>
  </si>
  <si>
    <t>0.080/0.023/0.202</t>
  </si>
  <si>
    <t>15.5/15.7/15.5</t>
  </si>
  <si>
    <t>1.73/2.89</t>
  </si>
  <si>
    <t>4% motor load decreased.Z axis vibration increased to 2.89 mm/s.</t>
  </si>
  <si>
    <t>0.088/0.022/0.110</t>
  </si>
  <si>
    <t>15.9/15.6/15.6</t>
  </si>
  <si>
    <t>12.5/12.6/12.5</t>
  </si>
  <si>
    <t>0.117/0.030/0.254</t>
  </si>
  <si>
    <t>12.6/12.5/12.3</t>
  </si>
  <si>
    <t>0.111/0.030/0.265</t>
  </si>
  <si>
    <r>
      <t xml:space="preserve">R9#A2: </t>
    </r>
    <r>
      <rPr>
        <sz val="11"/>
        <rFont val="Calibri"/>
        <family val="2"/>
        <scheme val="minor"/>
      </rPr>
      <t>Esp tripped due to underload alarm at 21:23hrs and restarted at 23:12 hrs</t>
    </r>
  </si>
  <si>
    <t>1.6/1.27</t>
  </si>
  <si>
    <t>FAT dropped.Freq increased from 50Hz to 52hz.</t>
  </si>
  <si>
    <t>Esp tripped due to underload alarm at 21:23hrs and restarted at 23:12 hrs</t>
  </si>
  <si>
    <t>18.1/18.2/18.2</t>
  </si>
  <si>
    <t>1.49 hrs</t>
  </si>
  <si>
    <t>Static reading:Pi-1106psi,Pd-1114psi,Ti-103.1,Tm-103.4</t>
  </si>
  <si>
    <t>22;30</t>
  </si>
  <si>
    <t>0.103/0.018/0.119</t>
  </si>
  <si>
    <t>15.9/16.2/16.3</t>
  </si>
  <si>
    <t>0.109/0.023/0.241</t>
  </si>
  <si>
    <t>13.2/13.1/12.9</t>
  </si>
  <si>
    <t>Production header pressure back to normal.</t>
  </si>
  <si>
    <t>Static reading:Pi-1210psi,Pd-1220psi,Ti-101.2,Tm-101.3</t>
  </si>
  <si>
    <t>Esp manually shutdown due to no flow at 15:00hrs.Well kept shutdown for intake pressure buildup.</t>
  </si>
  <si>
    <t>0.083/0.027/0.068</t>
  </si>
  <si>
    <t>15/15/15.1</t>
  </si>
  <si>
    <t>0.116/0.024/0.204</t>
  </si>
  <si>
    <t>13.1/13.1/13</t>
  </si>
  <si>
    <t>Production header pressure back to normal.Esp tripped on underload at 03:40hrs and restarted at 04:20hrs on 26/08/2021 as per ongc time cycle on 25/08/2020.</t>
  </si>
  <si>
    <r>
      <t>R9 #A1:</t>
    </r>
    <r>
      <rPr>
        <sz val="11"/>
        <rFont val="Calibri"/>
        <family val="2"/>
        <scheme val="minor"/>
      </rPr>
      <t xml:space="preserve">Esp manually shutdown due to no flow at 15:00hrs.Well kept shutdown for buildup intake pressure.                                                                               </t>
    </r>
    <r>
      <rPr>
        <b/>
        <sz val="11"/>
        <rFont val="Calibri"/>
        <family val="2"/>
        <scheme val="minor"/>
      </rPr>
      <t>R9 #A2:</t>
    </r>
    <r>
      <rPr>
        <sz val="11"/>
        <rFont val="Calibri"/>
        <family val="2"/>
        <scheme val="minor"/>
      </rPr>
      <t>Esp tripped on underload at 03:40hrs and restarted at 04:20hrs on 26/08/2021 as per ongc time cycle on 25/08/2020.</t>
    </r>
  </si>
  <si>
    <t>R9 #A1:After Acid job Esp started at 08:35hrs for flow back through vessel burner and manually shutdown at 09:30hrs due to the leakage of Vessel Hose.Restarted at 09:55hrs.</t>
  </si>
  <si>
    <t xml:space="preserve">R9 #A1:Esp manually shutdown due to no flow at 15:00hrs.Well kept shutdown for buildup intake pressure. </t>
  </si>
  <si>
    <t>R9 #A2:Esp tripped on underload at 03:40hrs and restarted at 04:20hrs on 26/08/2021 as per ongc time cycle on 25/08/2020.</t>
  </si>
  <si>
    <t>40 min</t>
  </si>
  <si>
    <t>PH pressure decreased.Freq reduced to 51hz.Motor current are fluctuating.</t>
  </si>
  <si>
    <t>Static reading:Pi-1277psi,Pd-1286psi,Ti-100.8,Tm-100.9</t>
  </si>
  <si>
    <t>0.117/0.028/0.214</t>
  </si>
  <si>
    <t>12.8/12.8/12.9</t>
  </si>
  <si>
    <t>0.102/0.019/0.078</t>
  </si>
  <si>
    <t>15.4/15.5/15.5</t>
  </si>
  <si>
    <t>12.3/12.4/12.5</t>
  </si>
  <si>
    <t>0.129/0.032/0.245</t>
  </si>
  <si>
    <t>Static reading:Pi-1328psi,Pd-1337psi,Ti-100.6,Tm-100.7</t>
  </si>
  <si>
    <t>0.129/0.021/0.153</t>
  </si>
  <si>
    <t>15.1/14.8/15</t>
  </si>
  <si>
    <r>
      <t>R9#A2:</t>
    </r>
    <r>
      <rPr>
        <sz val="11"/>
        <rFont val="Calibri"/>
        <family val="2"/>
        <scheme val="minor"/>
      </rPr>
      <t>Esp tripped on underload at 03:10hrs and restarted at 04:00hrs on 29/08/21.</t>
    </r>
  </si>
  <si>
    <t>Static reading:Pi-1373psi,Pd-1382psi,Ti-100.5,Tm-100.6</t>
  </si>
  <si>
    <t>15.1/15.2/15.6</t>
  </si>
  <si>
    <t>0.047/0.026/0.076</t>
  </si>
  <si>
    <t>12.9/12.8/12.7</t>
  </si>
  <si>
    <t>0.122/0.024/0.233</t>
  </si>
  <si>
    <t>Esp tripped on underload at 03:10hrs and restarted at 04:00hrs on 29/08/21.</t>
  </si>
  <si>
    <t>3Hrs</t>
  </si>
  <si>
    <t>Static reading:Pi-1395psi,Pd-1392psi,Ti-100,Tm-100.5</t>
  </si>
  <si>
    <t>0.021/0.023/0.147</t>
  </si>
  <si>
    <t>15.9/16.1/15.9</t>
  </si>
  <si>
    <t>0.11/0.033/0.207</t>
  </si>
  <si>
    <t>12.9/12.8/13</t>
  </si>
  <si>
    <t>Esp tripped on underload at 14:45hrs and restarted at 17:45hrs on 29/08/21. High MLP.Increased freq from 51 hz to 52hz. Esp tripped again on same alarm at 01:00hrs and started at 05:00hrs on 30/08/21.</t>
  </si>
  <si>
    <t>4Hrs</t>
  </si>
  <si>
    <r>
      <t>R9#A2:</t>
    </r>
    <r>
      <rPr>
        <sz val="11"/>
        <rFont val="Calibri"/>
        <family val="2"/>
        <scheme val="minor"/>
      </rPr>
      <t>Esp tripped on underload at 14:45hrs and restarted at 17:45hrs on 29/08/21. High MLP.Increased freq from 51 hz to 52hz. Esp tripped again on same alarm at 01:00hrs and started at 05:00hrs on 30/08/21.</t>
    </r>
  </si>
  <si>
    <t>16.3/16.5/16.2</t>
  </si>
  <si>
    <t>0.092/0.017/0.134</t>
  </si>
  <si>
    <t>15.6/15.8/15.9</t>
  </si>
  <si>
    <t>0.098/0.024/0.185</t>
  </si>
  <si>
    <t>13.2/13.3/13.1</t>
  </si>
  <si>
    <t>Esp started at 11:50hrs.</t>
  </si>
  <si>
    <t>0.124/0.192</t>
  </si>
  <si>
    <r>
      <rPr>
        <b/>
        <sz val="11"/>
        <color theme="1"/>
        <rFont val="Calibri"/>
        <family val="2"/>
        <scheme val="minor"/>
      </rPr>
      <t>R9A1:</t>
    </r>
    <r>
      <rPr>
        <sz val="11"/>
        <color theme="1"/>
        <rFont val="Calibri"/>
        <family val="2"/>
        <scheme val="minor"/>
      </rPr>
      <t>Esp started at 11:50hrs .Static reading:Pi-1430,Pd-1439,Ti-100.4,Tm-100.5.started with 48hz but FAT increased max 37kg/cm2.freq increased to 50hz.</t>
    </r>
  </si>
  <si>
    <r>
      <t>R9#A1:</t>
    </r>
    <r>
      <rPr>
        <sz val="11"/>
        <rFont val="Calibri"/>
        <family val="2"/>
        <scheme val="minor"/>
      </rPr>
      <t>Esp started at 11:50hrs .Static reading:Pi-1430,Pd-1439,Ti-100.4,Tm-100.5.started with 48hz but FAT increased max 37kg/cm2.freq increased to 50hz.</t>
    </r>
  </si>
  <si>
    <t>Total running hours Sep 2021</t>
  </si>
  <si>
    <t>Total shutdown hours due to ONGC  Sep 2021</t>
  </si>
  <si>
    <t>Total shutdown hours due to Novomet  Sep 2021</t>
  </si>
  <si>
    <t>0.103/0.099</t>
  </si>
  <si>
    <t>15.7/15.8/15.5</t>
  </si>
  <si>
    <t>0.089/0.020/0.105</t>
  </si>
  <si>
    <t>15.5/15.4/15.4</t>
  </si>
  <si>
    <t>0.107/0.032/0.237</t>
  </si>
  <si>
    <t>13/13.1/12.9</t>
  </si>
  <si>
    <t>FAT decreasing trend.</t>
  </si>
  <si>
    <t>0.067/0.017/0.099</t>
  </si>
  <si>
    <t>15.5/15.5/15.6</t>
  </si>
  <si>
    <t>0.124/0.031/0.250</t>
  </si>
  <si>
    <t>Esp tripped on underload alarm at 22:45hrs on 02/9/21.kept shutdown for intake pressure build up.</t>
  </si>
  <si>
    <t>Static reading:Pi-1168psi,Pd-1177psi,Ti-101.5Degc,Tm-101.6Degc</t>
  </si>
  <si>
    <t>0.071/0.011/0.098</t>
  </si>
  <si>
    <t>0.108/0.031/0.219</t>
  </si>
  <si>
    <t>12.5/12.7/12.9</t>
  </si>
  <si>
    <r>
      <t>R9#A1:</t>
    </r>
    <r>
      <rPr>
        <sz val="11"/>
        <rFont val="Calibri"/>
        <family val="2"/>
        <scheme val="minor"/>
      </rPr>
      <t>Esp tripped on underload alarm at 22:45hrs on 02/9/21.kept shutdown for intake pressure build up.</t>
    </r>
  </si>
  <si>
    <t>MLP increasing trend.</t>
  </si>
  <si>
    <t>16.1/16.1/16.2</t>
  </si>
  <si>
    <t>0.099/0.018/0.094</t>
  </si>
  <si>
    <t>12.8/12.8/12.6</t>
  </si>
  <si>
    <t>0.128/0.029/0.244</t>
  </si>
  <si>
    <t>Static reading:Pi-1245psi,Pd-1255psi,Ti-101Degc,Tm-101.Degc</t>
  </si>
  <si>
    <t>Static reading:Pi-1305psi,Pd-1314psi,Ti-100.8Degc,Tm-100.8Degc</t>
  </si>
  <si>
    <t>13/12.7/12.7</t>
  </si>
  <si>
    <t>0.124/0.024/0.219</t>
  </si>
  <si>
    <t>0.260/0.021/0.251</t>
  </si>
  <si>
    <t>16/16.1/16.1</t>
  </si>
  <si>
    <t>Static reading:Pi-1354psi,Pd-1363psi,Ti-100.6Degc,Tm-100.7Degc</t>
  </si>
  <si>
    <t>0.033/0.020/0.107</t>
  </si>
  <si>
    <t>0.124/0.033/0.221</t>
  </si>
  <si>
    <t>12.6/12.4/12.3</t>
  </si>
  <si>
    <t>15.6/15.5/15.4</t>
  </si>
  <si>
    <t>Static reading:Pi-1390psi,Pd-1394psi,Ti-100.5Degc,Tm-100.6Degc</t>
  </si>
  <si>
    <t>0.038/0.022/0.054</t>
  </si>
  <si>
    <t>12.5/12.6/12.4</t>
  </si>
  <si>
    <t>0.123/0.035/0.291</t>
  </si>
  <si>
    <t>FAT dropped.Motor load and current are decreasing.suspected due to gas lock.</t>
  </si>
  <si>
    <t>0.099/0.067</t>
  </si>
  <si>
    <t>15.9/15.9/15.8</t>
  </si>
  <si>
    <t>0.076/0.034/0.096</t>
  </si>
  <si>
    <t>14.9/15/14.9</t>
  </si>
  <si>
    <t>0.136/0.028/0.265</t>
  </si>
  <si>
    <t>12.5/12.6/12.6</t>
  </si>
  <si>
    <r>
      <t>R9#A2</t>
    </r>
    <r>
      <rPr>
        <sz val="11"/>
        <rFont val="Calibri"/>
        <family val="2"/>
        <scheme val="minor"/>
      </rPr>
      <t>:Esp tripped due to underload at 00:17 hrs and restartedt 01:10hrs on 08-Sep-21.</t>
    </r>
  </si>
  <si>
    <t>53 min</t>
  </si>
  <si>
    <t>Esp tripped due to underload at 00:17 hrs and restartedt 01:10hrs on 08-Sep-21. As per ongc time cycke on 07/09/21.</t>
  </si>
  <si>
    <t>14.9/15.1/14.8</t>
  </si>
  <si>
    <t>1.31/1.03</t>
  </si>
  <si>
    <t>0.099/0.015/0.068</t>
  </si>
  <si>
    <t>15.,3/15.4/15.5</t>
  </si>
  <si>
    <t>12.7/12.7/12.7</t>
  </si>
  <si>
    <t>0.116/0.028/0.246</t>
  </si>
  <si>
    <r>
      <t>R9#A2:</t>
    </r>
    <r>
      <rPr>
        <sz val="11"/>
        <rFont val="Calibri"/>
        <family val="2"/>
        <scheme val="minor"/>
      </rPr>
      <t>Esp tripped due to underload at 07:00 hrs and restarted after gas  bled off at 10:16hrs.</t>
    </r>
  </si>
  <si>
    <r>
      <t>R9#A1</t>
    </r>
    <r>
      <rPr>
        <sz val="11"/>
        <rFont val="Calibri"/>
        <family val="2"/>
        <scheme val="minor"/>
      </rPr>
      <t xml:space="preserve">:Esp started at 10:25hrs </t>
    </r>
    <r>
      <rPr>
        <b/>
        <sz val="11"/>
        <rFont val="Calibri"/>
        <family val="2"/>
        <scheme val="minor"/>
      </rPr>
      <t xml:space="preserve">                                 R9#A2:</t>
    </r>
    <r>
      <rPr>
        <sz val="11"/>
        <rFont val="Calibri"/>
        <family val="2"/>
        <scheme val="minor"/>
      </rPr>
      <t>Esp tripped due to underload at 11:55 hrs and restarted after gas  bled off at 14:12hrs.Tripped again on same alarm at 02:18hrs and restarted at 03:05 hrs.</t>
    </r>
  </si>
  <si>
    <t>Esp tripped due to underload at 11:55 hrs and restarted after gas  bled off at 14:12hrs.Tripped again on same alarm at 02:18hrs and restarted at 03:05 hrs.</t>
  </si>
  <si>
    <t>Esp tripped due to underload at 07:00 hrs and restarted after gas  bled off at 10:16hrs.</t>
  </si>
  <si>
    <t>2Hrs17 min</t>
  </si>
  <si>
    <t>3hrs 16min</t>
  </si>
  <si>
    <t>Esp tripped due to underload at 11:55 hrs and restarted after gas  bled off at 14:12hrs.Tripped again on same alarm at 02:18hrs and restarted at 03:05 hrs on 09-Sep-21</t>
  </si>
  <si>
    <t>47 min</t>
  </si>
  <si>
    <t>FAT dropped</t>
  </si>
  <si>
    <t>16/16/16.1</t>
  </si>
  <si>
    <t>0.097/0.028/0.052</t>
  </si>
  <si>
    <t>13/12.6/12.6</t>
  </si>
  <si>
    <t>0.107/0.025/0.221</t>
  </si>
  <si>
    <r>
      <t>R9#A1:</t>
    </r>
    <r>
      <rPr>
        <sz val="11"/>
        <rFont val="Calibri"/>
        <family val="2"/>
        <scheme val="minor"/>
      </rPr>
      <t>Esp tripped on underload alarm at18:25hrs. Well kept shutdown for buildup intake pressure.</t>
    </r>
  </si>
  <si>
    <t>Esp tripped on underload alarm at18:25hrs. Well kept shutdown for buildup intake pressure.</t>
  </si>
  <si>
    <t>Static reading:Pi-1226psi,Pd-1235psi,Ti-101.5Degc,Tm-101.6Degc</t>
  </si>
  <si>
    <t>15.4/15.6/15.6</t>
  </si>
  <si>
    <t>0.092/0.019/0.094</t>
  </si>
  <si>
    <t>0.134/0.028/0.251</t>
  </si>
  <si>
    <t>FAT is decreasing trend.</t>
  </si>
  <si>
    <t>15.6/15.8/15.8</t>
  </si>
  <si>
    <t>0.096/0.030/0.108</t>
  </si>
  <si>
    <t>12.6/12.5/12.5</t>
  </si>
  <si>
    <t>0.131/0.026/0.267</t>
  </si>
  <si>
    <t>Static reading:Pi-1290psi,Pd-1298psi,Ti-101Degc,Tm-101Degc</t>
  </si>
  <si>
    <r>
      <t>R9#A2:</t>
    </r>
    <r>
      <rPr>
        <sz val="11"/>
        <rFont val="Calibri"/>
        <family val="2"/>
        <scheme val="minor"/>
      </rPr>
      <t>Esp tripped due to underload at 10:00 hrs and restarted after gas  bled off at 01:00hrs.</t>
    </r>
  </si>
  <si>
    <t>Esp tripped due to underload at 10:00 hrs and restarted after gas  bled off at 01:00hrs.</t>
  </si>
  <si>
    <t>3hrs</t>
  </si>
  <si>
    <t>Esp tripped due to underload at 10:00 hrs and restarted after gas  bled off at 01:00hrs</t>
  </si>
  <si>
    <t>15.9/16/15.8</t>
  </si>
  <si>
    <t>1.06/0.68</t>
  </si>
  <si>
    <t>15.7/15.9/15.9</t>
  </si>
  <si>
    <t>0.083/0.022/0.069</t>
  </si>
  <si>
    <t>12.2/12.3/12.2</t>
  </si>
  <si>
    <t>0.136/0.029/0.283</t>
  </si>
  <si>
    <t>R9#A1:Esp restarted at 07:45hrs</t>
  </si>
  <si>
    <t>Esp tripped on underload alarm at18:25hrs. Well kept shutdown for buildup intake pressure.Esp restarted at 07:45hrs on 13-Sep-21</t>
  </si>
  <si>
    <t>PH pressure increasing trend</t>
  </si>
  <si>
    <t>PH pressure increasing trend.FAT is reducing.</t>
  </si>
  <si>
    <t>Esp restarted  by ongc at 07:45hrs.PH pressure increasing trend.FAT is reducing.</t>
  </si>
  <si>
    <t>14.9/15.1/14.9</t>
  </si>
  <si>
    <t>15.3/15.5/15.5</t>
  </si>
  <si>
    <t>0.034/0.022/0.085</t>
  </si>
  <si>
    <t>12.8/12.5/12.6</t>
  </si>
  <si>
    <t>0.118/0.025/0.271</t>
  </si>
  <si>
    <t>0.040/0.021/0.030</t>
  </si>
  <si>
    <t>13/13/13</t>
  </si>
  <si>
    <t>12.7/12.4/12.4</t>
  </si>
  <si>
    <t>0.116/0.029/0.215</t>
  </si>
  <si>
    <t>Motor current and load are decreasing.Esp tripped on underload at 01 :00hrs on 15/09/21.</t>
  </si>
  <si>
    <t>Static reading:Pi-1105psi,Pd-1111psi,Ti-108.2Degc,Tm-107.9Degc</t>
  </si>
  <si>
    <r>
      <t>R9#A1:</t>
    </r>
    <r>
      <rPr>
        <sz val="11"/>
        <rFont val="Calibri"/>
        <family val="2"/>
        <scheme val="minor"/>
      </rPr>
      <t xml:space="preserve">Esp tripped due to underload at 01:00hrs on 15-sep-21.kept shutdown for intake pressure buildup. </t>
    </r>
  </si>
  <si>
    <t>FAT,motor load and current decresing trend.Suspecting well is not flowing.</t>
  </si>
  <si>
    <t>15.4/15.5/15.2</t>
  </si>
  <si>
    <t>1.06/1.03</t>
  </si>
  <si>
    <t xml:space="preserve">FAT dropped .1  Freq increased </t>
  </si>
  <si>
    <t>15.6/15.7/15.8</t>
  </si>
  <si>
    <t>0.076/0.027/0.100</t>
  </si>
  <si>
    <t>12.6/12.6/12.5</t>
  </si>
  <si>
    <t>0.111/0.152</t>
  </si>
  <si>
    <t>0.091/0.017/0.030</t>
  </si>
  <si>
    <t>0.13/0.028/0.273</t>
  </si>
  <si>
    <t xml:space="preserve">Esp started by Ongc with out our knowledge  at 11:30hrs </t>
  </si>
  <si>
    <t>Esp tripped on underload at 02:30hrs and restarted 05:00hrs</t>
  </si>
  <si>
    <r>
      <t>R9#A2:</t>
    </r>
    <r>
      <rPr>
        <sz val="11"/>
        <rFont val="Calibri"/>
        <family val="2"/>
        <scheme val="minor"/>
      </rPr>
      <t xml:space="preserve">Esp tripped on underload at 02:30hrs and restarted 05:00hrs.                                                            </t>
    </r>
    <r>
      <rPr>
        <b/>
        <sz val="11"/>
        <rFont val="Calibri"/>
        <family val="2"/>
        <scheme val="minor"/>
      </rPr>
      <t>R9#A1:</t>
    </r>
    <r>
      <rPr>
        <sz val="11"/>
        <rFont val="Calibri"/>
        <family val="2"/>
        <scheme val="minor"/>
      </rPr>
      <t>Esp started at 11:30hrs</t>
    </r>
  </si>
  <si>
    <t>2 hrs 40 min</t>
  </si>
  <si>
    <t xml:space="preserve">Esp tripped due to underload at 01:00hrs on 15-sep-21.kept shutdown for intake pressure buildup. Esp started by Ongc without informing us at 11:30hrs on 16-Sep -21 </t>
  </si>
  <si>
    <t>Static reading:Pi-1111psi,Pd-1116psi,Ti-106.9Degc,Tm-106.9Degc</t>
  </si>
  <si>
    <t>12.3/12.2/12.1</t>
  </si>
  <si>
    <t>0.119/0.023/0.223</t>
  </si>
  <si>
    <t>Esp tripped on undrload at 19:00hrs .Esp kept shutdown for buildup pressure.</t>
  </si>
  <si>
    <t>0.30/0.026/0.045</t>
  </si>
  <si>
    <t>16.1/16.2/16</t>
  </si>
  <si>
    <r>
      <t>R9#A1:</t>
    </r>
    <r>
      <rPr>
        <sz val="11"/>
        <rFont val="Calibri"/>
        <family val="2"/>
        <scheme val="minor"/>
      </rPr>
      <t xml:space="preserve">Esp tripped on undrload at 19:00hrs .Esp kept shutdown for buildup pressure.                 </t>
    </r>
    <r>
      <rPr>
        <b/>
        <sz val="11"/>
        <rFont val="Calibri"/>
        <family val="2"/>
        <scheme val="minor"/>
      </rPr>
      <t>R9#A2</t>
    </r>
    <r>
      <rPr>
        <sz val="11"/>
        <rFont val="Calibri"/>
        <family val="2"/>
        <scheme val="minor"/>
      </rPr>
      <t>:Esp tripped on underload at 04:30hrs and restarted at 05:30hrs on 19/08/21.</t>
    </r>
  </si>
  <si>
    <r>
      <t>R9#A4:</t>
    </r>
    <r>
      <rPr>
        <sz val="11"/>
        <rFont val="Calibri"/>
        <family val="2"/>
        <scheme val="minor"/>
      </rPr>
      <t xml:space="preserve">Esp tripped due to DG trip at 22:30hrs and restarted at 23:00hrs.  </t>
    </r>
    <r>
      <rPr>
        <b/>
        <sz val="11"/>
        <rFont val="Calibri"/>
        <family val="2"/>
        <scheme val="minor"/>
      </rPr>
      <t xml:space="preserve">                                                R9#A2:</t>
    </r>
    <r>
      <rPr>
        <sz val="11"/>
        <rFont val="Calibri"/>
        <family val="2"/>
        <scheme val="minor"/>
      </rPr>
      <t>Esp tripped on underload at 16:00hrs and restarted at 18:00hrs. Esp tripped again due to DG trip at 22:30hrs and restarted at 22:50hrs.</t>
    </r>
  </si>
  <si>
    <t>Esp tripped on underload at 16:00hrs and restarted at 18:00hrs. Esp tripped again due to DG trip at 22:30hrs and restarted at 22:50hrs.</t>
  </si>
  <si>
    <t>Esp tripped on underload at 04:30hrs and restarted at 05:30hrs on 19/08/21.</t>
  </si>
  <si>
    <t>1 Hrs</t>
  </si>
  <si>
    <t>2 hrs 20 min</t>
  </si>
  <si>
    <t>Esp tripped due to DG trip at 22:30hrs and restarted at 23:00hrs.</t>
  </si>
  <si>
    <t>30 min</t>
  </si>
  <si>
    <t>Esp tripped on underload at 16:00hrs and restarted at 18:00hrs. Esp tripped again due to DG trip at 22:30hrs and restarted at 22:50hrs</t>
  </si>
  <si>
    <t>17.9/18.1/18.1</t>
  </si>
  <si>
    <t>0.084/0.022/0.086</t>
  </si>
  <si>
    <t>Static reading:Pi-1190psi,Pd-1195psi,Ti-102.2Degc,Tm-102.3Degc</t>
  </si>
  <si>
    <t>Esp tripped due to DG trip at 22:30hrs and restarted at 23:00hrs</t>
  </si>
  <si>
    <t>Static reading:Pi-1250psi,Pd-1256psi,Ti-101.6Degc,Tm-101.7Degc</t>
  </si>
  <si>
    <t>0.124/0.032/0.260</t>
  </si>
  <si>
    <t>15.9/15.9/16</t>
  </si>
  <si>
    <t>0.109/0.023/0.162</t>
  </si>
  <si>
    <t>4 hrs</t>
  </si>
  <si>
    <t>Esp tripped on underload at 10:00hrs and restarted at 14:00hrs.bleed off the gas for 4hrs before and after the startup.</t>
  </si>
  <si>
    <r>
      <t>R9#A2:</t>
    </r>
    <r>
      <rPr>
        <sz val="11"/>
        <rFont val="Calibri"/>
        <family val="2"/>
        <scheme val="minor"/>
      </rPr>
      <t>Esp tripped on underload at 10:00hrs and restarted at 14:00hrs.bleed off the gas for 4hrs before and after the startup.</t>
    </r>
  </si>
  <si>
    <t>Static reading:Pi-1300psi,Pd-1306psi,Ti-101.4Degc,Tm-101.5Degc</t>
  </si>
  <si>
    <t>15.5/15.7/15.8</t>
  </si>
  <si>
    <t>0.059/0.017/0.109</t>
  </si>
  <si>
    <t>12.6/12.3/12.2</t>
  </si>
  <si>
    <t>0.121/0.029/0.247</t>
  </si>
  <si>
    <t>16.1/16.3/16</t>
  </si>
  <si>
    <t>1.3/1.83</t>
  </si>
  <si>
    <t>0.042/0.024/0.073</t>
  </si>
  <si>
    <t>12.2/12.5/12.2</t>
  </si>
  <si>
    <t>0.124/0.028/0.276</t>
  </si>
  <si>
    <r>
      <t>R9#A1:</t>
    </r>
    <r>
      <rPr>
        <sz val="11"/>
        <rFont val="Calibri"/>
        <family val="2"/>
        <scheme val="minor"/>
      </rPr>
      <t>Esp started at 21:00hrs.</t>
    </r>
    <r>
      <rPr>
        <b/>
        <sz val="11"/>
        <rFont val="Calibri"/>
        <family val="2"/>
        <scheme val="minor"/>
      </rPr>
      <t xml:space="preserve">                                    R9#A2:</t>
    </r>
    <r>
      <rPr>
        <sz val="11"/>
        <rFont val="Calibri"/>
        <family val="2"/>
        <scheme val="minor"/>
      </rPr>
      <t>Esp manually shutdown for changing bean house at 17:50hrs.1/4" Choke was stuck inside  the bean house,can't remove. Esp temporarily  started with same choke at 21:45hrs.</t>
    </r>
  </si>
  <si>
    <t xml:space="preserve">Esp started at 21:00hrs. </t>
  </si>
  <si>
    <t>Esp manually shutdown for changing bean house at 17:50hrs.1/4" Choke was stuck inside  the bean house,can't remove. Esp temporarily  started with same choke at 21:45hrs.</t>
  </si>
  <si>
    <t>Esp tripped on undrload at 19:00hrs .Esp kept shutdown for buildup pressure.Esp started at 21:00hrs.</t>
  </si>
  <si>
    <t>Esp manually shutdown for changing bean house at 17:50hrs.1/4" Choke is stuck inside bean house,cannot remove. Esp temporarily  started with same choke at 21:45hrs.</t>
  </si>
  <si>
    <t>15.3/15.4/15.1</t>
  </si>
  <si>
    <t>0.97/1.67</t>
  </si>
  <si>
    <t>12.4/12.2/12.1</t>
  </si>
  <si>
    <t>0.12/0.026/0.246</t>
  </si>
  <si>
    <t>Esp manually shutdown for changing  choke to 3/8" at 10:10hrs and restarted at 16:30hrs.</t>
  </si>
  <si>
    <r>
      <t>R9#A2:</t>
    </r>
    <r>
      <rPr>
        <sz val="11"/>
        <rFont val="Calibri"/>
        <family val="2"/>
        <scheme val="minor"/>
      </rPr>
      <t>Esp manually shutdown for changing  choke to 3/8" at 10:10hrs and restarted at 16:30hrs.</t>
    </r>
  </si>
  <si>
    <t>6 hrs 20 min</t>
  </si>
  <si>
    <t>16.8/16.9/16.6</t>
  </si>
  <si>
    <t>1.34/0.85</t>
  </si>
  <si>
    <t>12.3/12.2/12.3</t>
  </si>
  <si>
    <t>0.12/0.029/0.245</t>
  </si>
  <si>
    <t>0.081/0.021/0.095</t>
  </si>
  <si>
    <t>Static reading:Pi-1210psi,Pd-1217psi,Ti-102.3Degc,Tm-102.3Degc</t>
  </si>
  <si>
    <t>0.026/0.020/0.134</t>
  </si>
  <si>
    <t>12/12/11.9</t>
  </si>
  <si>
    <t>0.13/0.034/0.244</t>
  </si>
  <si>
    <t>Esp tripped due to underload alarm at 00:05  on 25/09/21.Esp kept shutdown for pussure buildup.</t>
  </si>
  <si>
    <r>
      <t>R9#A1:</t>
    </r>
    <r>
      <rPr>
        <sz val="11"/>
        <rFont val="Calibri"/>
        <family val="2"/>
        <scheme val="minor"/>
      </rPr>
      <t>Esp tripped due to underload alarm at 00:05  on 25/09/21.Esp kept shutdown for pussure buildup.</t>
    </r>
  </si>
  <si>
    <t>Static reading:Pi-1275psi,Pd-1281psi,Ti-101.6Degc,Tm-101.6Degc</t>
  </si>
  <si>
    <t>15.7/15.8/15.8</t>
  </si>
  <si>
    <t>0.03/0.026/0.097</t>
  </si>
  <si>
    <t>12.2/12.2/12.1</t>
  </si>
  <si>
    <t>0.13/0.023/0.224</t>
  </si>
  <si>
    <t>Static reading:Pi-1326psi,Pd-1332psi,Ti-101.3Degc,Tm-101.4Degc</t>
  </si>
  <si>
    <t>14.1/14.1/14.2</t>
  </si>
  <si>
    <t>FAT decreasing due to high MLP.</t>
  </si>
  <si>
    <t>12.1/12.1/12.2</t>
  </si>
  <si>
    <t>0.113/0.023/0.232</t>
  </si>
  <si>
    <t>16.4/16.6/16.2</t>
  </si>
  <si>
    <t>0.155/0.204</t>
  </si>
  <si>
    <t>0.086/0.022/0.095</t>
  </si>
  <si>
    <t>11.9/12/11.9</t>
  </si>
  <si>
    <t>0.139/0.029/0.284</t>
  </si>
  <si>
    <t>R9#A1:Esp started at 17:30hrs</t>
  </si>
  <si>
    <t>Esp tripped due to underload alarm at 00:05  on 25/09/21.Esp kept shutdown for pussure buildup.Esp restarted at 17:30hrs on 28/09/21.</t>
  </si>
  <si>
    <t>Esp started at 17:30hrs.High MLP</t>
  </si>
  <si>
    <t>High MLP,Temporarily 1 frequency increased.</t>
  </si>
  <si>
    <t>Esp tripped on underload at 17:55hrs.</t>
  </si>
  <si>
    <t>Static reading:Pi-1102psi,Pd-1109psi,Ti-104.1Degc,Tm-104Degc</t>
  </si>
  <si>
    <t>0.144/0.295</t>
  </si>
  <si>
    <t>15.4/15.5/15.3</t>
  </si>
  <si>
    <t>14/14/14</t>
  </si>
  <si>
    <t>0.048/0.025/0.030</t>
  </si>
  <si>
    <t>12.1/12.1/12.1</t>
  </si>
  <si>
    <t>0.121/0.027/0.219</t>
  </si>
  <si>
    <t>R9#A1:Esp tripped on underload at 17:55hrs.</t>
  </si>
  <si>
    <t xml:space="preserve"> R9A#1 ESP tripped on the Underload alarm at 2113 Hrs on 11/08/2021. ESP was running below bubble point pressure and intake pressure is too low. ESP has not yet started.</t>
  </si>
  <si>
    <t xml:space="preserve"> R9A#1 ESP tripped on the Underload alarm at 2113 Hrs on 11/08/2021. ESP was running below bubble point pressure and intake pressure is too low. ESP restarted at 11:10hrs on 14/8/21.</t>
  </si>
  <si>
    <t>Static reading:Pi-1207psi,Pd-1212psi,Ti-101.8Degc,Tm-101.9Degc</t>
  </si>
  <si>
    <t>16.2/16.3/16.3</t>
  </si>
  <si>
    <t>0.072/0.019/0.120</t>
  </si>
  <si>
    <t>0.149/0.028/0.293</t>
  </si>
  <si>
    <t>11.7/11.8/11.8</t>
  </si>
  <si>
    <t>High production pressure.</t>
  </si>
  <si>
    <t>Static reading:Pi-1273psi,Pd-1282psi,Ti-101.2Degc,Tm-101.3Degc</t>
  </si>
  <si>
    <t>18.2/18.3/18.3</t>
  </si>
  <si>
    <t>11.8/11.8/11.8</t>
  </si>
  <si>
    <t>0.142/0.030/0.324</t>
  </si>
  <si>
    <t>Esp started at 19:00hrs as per ongc instruction.High MLP</t>
  </si>
  <si>
    <t>16.6/16.7/16.6</t>
  </si>
  <si>
    <t>1.4/1.64</t>
  </si>
  <si>
    <t>Esp tripped on underload at 15:25hrs and restarted after bleed off the gas at 16:30hrs</t>
  </si>
  <si>
    <t>1 hrs 5 min</t>
  </si>
  <si>
    <r>
      <t>R9#A2</t>
    </r>
    <r>
      <rPr>
        <sz val="11"/>
        <rFont val="Calibri"/>
        <family val="2"/>
        <scheme val="minor"/>
      </rPr>
      <t xml:space="preserve">:Esp tripped on underload at 15:25hrs and restarted after bleed off the gas at 16:30hrs   </t>
    </r>
    <r>
      <rPr>
        <b/>
        <sz val="11"/>
        <rFont val="Calibri"/>
        <family val="2"/>
        <scheme val="minor"/>
      </rPr>
      <t>R9#A1</t>
    </r>
    <r>
      <rPr>
        <sz val="11"/>
        <rFont val="Calibri"/>
        <family val="2"/>
        <scheme val="minor"/>
      </rPr>
      <t>:Esp started at 19:00hrs as per Ongc instruction.</t>
    </r>
  </si>
  <si>
    <t>11.8/11.8/11.9</t>
  </si>
  <si>
    <t>0.178/0.028/0.429</t>
  </si>
  <si>
    <t>Esp tripped on underload due to high MLP at 15:25hrs and restarted after bleed off the gas at 16:30hrs.</t>
  </si>
  <si>
    <t>16.3/16.4/16.2</t>
  </si>
  <si>
    <t>0.91/0.85</t>
  </si>
  <si>
    <t>low intake pressure</t>
  </si>
  <si>
    <t>0.090/0.025/0.113</t>
  </si>
  <si>
    <t>11.9/12.1/12</t>
  </si>
  <si>
    <t>0.134/0.033/0.288</t>
  </si>
  <si>
    <t>Static reading:Pi-1079psi,Pd-1084psi,Ti-103.1Degc,Tm-101.1Degc</t>
  </si>
  <si>
    <t>Esp tripped due to underload alarm at 14:10 Hrs .Esp kept shutdown for pussure buildup.</t>
  </si>
  <si>
    <r>
      <t>R9A1:</t>
    </r>
    <r>
      <rPr>
        <sz val="11"/>
        <rFont val="Calibri"/>
        <family val="2"/>
        <scheme val="minor"/>
      </rPr>
      <t>Esp tripped due to underload alarm at 14:10 Hrs .Esp kept shutdown for pressure buildup.</t>
    </r>
  </si>
  <si>
    <t>12/12.1/12</t>
  </si>
  <si>
    <t>0.140/0.026/0.3</t>
  </si>
  <si>
    <t>0.091/0.028/0.186</t>
  </si>
  <si>
    <t>Static reading:Pi-1178psi,Pd-1185psi,Ti-101.6Degc,Tm-101.7Degc</t>
  </si>
  <si>
    <t>17.1/17.2/17.2</t>
  </si>
  <si>
    <t>0.245/0.024/0.320</t>
  </si>
  <si>
    <t>13/12.5/12.4</t>
  </si>
  <si>
    <t>0.12/0.028/0.165</t>
  </si>
  <si>
    <t>Esp manually shutdown as per Ongc instruction for changing scrapper tee valve at 11:45 hrs and restarted 16:12 hrs.</t>
  </si>
  <si>
    <r>
      <t>R9A2 &amp; R9A4:</t>
    </r>
    <r>
      <rPr>
        <sz val="11"/>
        <rFont val="Calibri"/>
        <family val="2"/>
        <scheme val="minor"/>
      </rPr>
      <t>Esp manually shutdown as per Ongc instruction for changing scrapper tee valve at 11:45 hrs and restarted 16:12 hrs.</t>
    </r>
  </si>
  <si>
    <t>Static reading:Pi-1246psi,Pd-1255psi,Ti-101.2Degc,Tm-101.2Degc</t>
  </si>
  <si>
    <t>17.9/18/18.1</t>
  </si>
  <si>
    <t>0.256/0.022/0.291</t>
  </si>
  <si>
    <t>12.6/12.4/12.5</t>
  </si>
  <si>
    <t>0.114/0.027/0.218</t>
  </si>
  <si>
    <t>16.5/16.6/16.3</t>
  </si>
  <si>
    <t>0.91/1.71</t>
  </si>
  <si>
    <t>0.074/0.027/0.068</t>
  </si>
  <si>
    <t>12.1/12.3/12.2</t>
  </si>
  <si>
    <t>0.135/0.029/0.230</t>
  </si>
  <si>
    <t>Esp started as per Ongc instruction during pigging at 13:35hrs</t>
  </si>
  <si>
    <r>
      <t>R9A1:</t>
    </r>
    <r>
      <rPr>
        <sz val="11"/>
        <rFont val="Calibri"/>
        <family val="2"/>
        <scheme val="minor"/>
      </rPr>
      <t xml:space="preserve">Esp started as per Ongc instruction during pigging at 13:35hrs.   </t>
    </r>
    <r>
      <rPr>
        <b/>
        <sz val="11"/>
        <rFont val="Calibri"/>
        <family val="2"/>
        <scheme val="minor"/>
      </rPr>
      <t xml:space="preserve">                                                                                    R9A2:</t>
    </r>
    <r>
      <rPr>
        <sz val="11"/>
        <rFont val="Calibri"/>
        <family val="2"/>
        <scheme val="minor"/>
      </rPr>
      <t>Esp tripped on underload at 07:15hrs and restarted after bleed off the gas at 09:00hrs.</t>
    </r>
  </si>
  <si>
    <t>14/14.1/14.2</t>
  </si>
  <si>
    <t>2.03/1.45</t>
  </si>
  <si>
    <t>0.091/0.024/0.133</t>
  </si>
  <si>
    <t>12.9/12.7/12.7</t>
  </si>
  <si>
    <t>0.101/0.033/0.176</t>
  </si>
  <si>
    <t>Static reading:Pi-1157psi,Pd-1163psi,Ti-101.7Degc,Tm-101.8Degc</t>
  </si>
  <si>
    <t>0.082/0.023/0.092</t>
  </si>
  <si>
    <t>13.2/13/13.1</t>
  </si>
  <si>
    <t>0.116/0.032/0.195</t>
  </si>
  <si>
    <r>
      <t>R9A1:</t>
    </r>
    <r>
      <rPr>
        <sz val="11"/>
        <rFont val="Calibri"/>
        <family val="2"/>
        <scheme val="minor"/>
      </rPr>
      <t>Esp tripped due to underload alarm at 00:30 Hrs .Esp kept shutdown for pressure buildup.</t>
    </r>
  </si>
  <si>
    <t>Esp tripped due to underload alarm at 00:30 Hrs .Esp kept shutdown for pressure buildup.</t>
  </si>
  <si>
    <t>0.093/0.028/0.113</t>
  </si>
  <si>
    <t>12.8/12.8/12.8</t>
  </si>
  <si>
    <t>0.126/0.024/0.209</t>
  </si>
  <si>
    <t>Static reading:Pi-1225psi,Pd-1233psi,Ti-101.2Degc,Tm-101.2Degc</t>
  </si>
  <si>
    <t>Static reading:Pi-1279psi,Pd-1287psi,Ti-101.0Degc,Tm-101.1Degc</t>
  </si>
  <si>
    <t>0.13/0.021/0.066</t>
  </si>
  <si>
    <t>13.8/13.9/14</t>
  </si>
  <si>
    <t>mtor load and current dropping.suspecting gas issue</t>
  </si>
  <si>
    <t>0.119/0.027/0.238</t>
  </si>
  <si>
    <t>13.1/12.9/12.9</t>
  </si>
  <si>
    <t>Pigging done from R10A to R12A.PH decreased.</t>
  </si>
  <si>
    <t>Esp started at 12:00hrs.</t>
  </si>
  <si>
    <t>2.05/1.2</t>
  </si>
  <si>
    <t>15.5/15.6/15.4</t>
  </si>
  <si>
    <t>0.071/0.024/0.119</t>
  </si>
  <si>
    <t>15.4/15.4/15.6</t>
  </si>
  <si>
    <t>0.104/0.027/0.185</t>
  </si>
  <si>
    <t>13.1/13/13</t>
  </si>
  <si>
    <t>Esp tripped due to underload alarm at 14:10 Hrs .Esp kept shutdown for pressure buildup.Esp restarted at 13:35hrs.</t>
  </si>
  <si>
    <t>Esp tripped due to underload alarm at 00:30 Hrs .Esp kept shutdown for pressure buildup.Esp restarted at 12:00 hrs on 14 sep</t>
  </si>
  <si>
    <t>R9A1:Esp restarted at 12:00hrs.</t>
  </si>
  <si>
    <t>15.5/15.6/15.3</t>
  </si>
  <si>
    <t>0.96/0.63</t>
  </si>
  <si>
    <t>0.091/0.017/0.091</t>
  </si>
  <si>
    <t>15.6/15.7/5.8</t>
  </si>
  <si>
    <t>0.113/0.026/0.202</t>
  </si>
  <si>
    <t>Static reading:Pi-1325psi,Pd-1334psi,Ti-100.8Degc,Tm-101Degc</t>
  </si>
  <si>
    <t>Static reading:Pi-1110psi,Pd-1116psi,Ti-103Degc,Tm-103Degc</t>
  </si>
  <si>
    <t>0.090/0.025/0.108</t>
  </si>
  <si>
    <t>15.4/15.4/15.5</t>
  </si>
  <si>
    <t>12.3/12.3/12.4</t>
  </si>
  <si>
    <t>0.117/0.027/0.202</t>
  </si>
  <si>
    <t>Esp tripped due to 14:05hrs.Esp kept shutdown for buildup pressure.</t>
  </si>
  <si>
    <t>Static reading:Pi-1205psi,Pd-1211psi,Ti-101.6Degc,Tm-101.6Degc</t>
  </si>
  <si>
    <t>0.53/0.025/0.092</t>
  </si>
  <si>
    <t>0.113/0.024/0.197</t>
  </si>
  <si>
    <t>R9A1:Esp tripped due to 14:05hrs.Esp kept shutdown for buildup pressure.</t>
  </si>
  <si>
    <t>Static reading:Pi-1263psi,Pd-1269psi,Ti-101.2Degc,Tm-101.2Degc</t>
  </si>
  <si>
    <t>0.123/0.021/0.184</t>
  </si>
  <si>
    <t>15.6/15.6/15.7</t>
  </si>
  <si>
    <t>12.8/12.6//12.4</t>
  </si>
  <si>
    <t>0.130/0.029/0.210</t>
  </si>
  <si>
    <t>Static reading:Pi-1310psi,Pd-1315psi,Ti-101.1Degc,Tm-101.1Degc</t>
  </si>
  <si>
    <t>16.6/16.6/16.7</t>
  </si>
  <si>
    <t>0.180/0.023/0.163</t>
  </si>
  <si>
    <t>12.2/12.1/12.3</t>
  </si>
  <si>
    <t>0.112/0.028/0.170</t>
  </si>
  <si>
    <t>16/16.1/15.9</t>
  </si>
  <si>
    <t>1.38/0.58</t>
  </si>
  <si>
    <t>0.082/0.026/0.092</t>
  </si>
  <si>
    <t>12.5/12.4/12.4</t>
  </si>
  <si>
    <t>0.119/0.026/0.186</t>
  </si>
  <si>
    <t>Esp started as per ongc request at  13:15hrs.</t>
  </si>
  <si>
    <t>R9A1:Esp started as per ongc request at 13:15hrs</t>
  </si>
  <si>
    <t>1.03/0.9</t>
  </si>
  <si>
    <t>15.2/15.4/16.2</t>
  </si>
  <si>
    <t>0.252/0.027/0.261</t>
  </si>
  <si>
    <t>0.111/0.026/0.159</t>
  </si>
  <si>
    <t>Static reading:Pi-1117psi,Pd-1123psi,Ti-102.2Degc,Tm-102.3Degc</t>
  </si>
  <si>
    <t>15.7/15.8/15.9</t>
  </si>
  <si>
    <t>0.076/0.029/0.121</t>
  </si>
  <si>
    <t>12.3/12.2/12.2</t>
  </si>
  <si>
    <t>0.105/0.028/0.169</t>
  </si>
  <si>
    <t>Esp tripped on underload at 08:35hrs.Esp kept shutdown for buildup pressure.</t>
  </si>
  <si>
    <r>
      <t>R9A1:</t>
    </r>
    <r>
      <rPr>
        <sz val="11"/>
        <rFont val="Calibri"/>
        <family val="2"/>
        <scheme val="minor"/>
      </rPr>
      <t>Esp tripped on underload at 08:35hrs and kept shutdown for buildup pressure.</t>
    </r>
    <r>
      <rPr>
        <b/>
        <sz val="11"/>
        <rFont val="Calibri"/>
        <family val="2"/>
        <scheme val="minor"/>
      </rPr>
      <t xml:space="preserve">                     R9A2:</t>
    </r>
    <r>
      <rPr>
        <sz val="11"/>
        <rFont val="Calibri"/>
        <family val="2"/>
        <scheme val="minor"/>
      </rPr>
      <t>Esp tripped on underload at 06:15hrs restarted after bleed off gas at 11:00 hrs.</t>
    </r>
  </si>
  <si>
    <t>Esp tripped on underload at 06:15hrs restarted after bleed off gas at 11:00 hrs.</t>
  </si>
  <si>
    <t>Static reading:Pi-1207psi,Pd-1212psi,Ti-101.4Degc,Tm-101.5Degc</t>
  </si>
  <si>
    <t>18.9/19.1/19.1</t>
  </si>
  <si>
    <t>0.111/0.025/0.206</t>
  </si>
  <si>
    <t>Esp tripped on underload at 07:15hrs and restarted after bleed off the gas at 09:00hrs.</t>
  </si>
  <si>
    <t>Esp tripped on underload at 21:55hrs and restarted 22:35hrs.</t>
  </si>
  <si>
    <t>Esp tripped on underload at 21:53hrs restarted  at 22:35 hrs.</t>
  </si>
  <si>
    <r>
      <t>R9A2:</t>
    </r>
    <r>
      <rPr>
        <sz val="11"/>
        <rFont val="Calibri"/>
        <family val="2"/>
        <scheme val="minor"/>
      </rPr>
      <t>Esp tripped on underload at 21:55hrs restarted  at 22:35 hrs.</t>
    </r>
  </si>
  <si>
    <t>Static reading:Pi-1270psi,Pd-1278psi,Ti-101.1Degc,Tm-101.1Degc</t>
  </si>
  <si>
    <t>13.1/12.9/13</t>
  </si>
  <si>
    <t>0.099/0.027/0.180</t>
  </si>
  <si>
    <t>0.15/0.024/0.174</t>
  </si>
  <si>
    <t>Esp tripped due to 14:05hrs.Esp kept shutdown for buildup pressure.Esp started as per ongc request at  13:15hrs on 20 0ct 21</t>
  </si>
  <si>
    <t>Static reading:Pi-1317psi,Pd-1325psi,Ti-100.8Degc,Tm-101Degc</t>
  </si>
  <si>
    <t>0.117/0.029/0.200</t>
  </si>
  <si>
    <t>0.081/0.029/0.098</t>
  </si>
  <si>
    <t>17.5/17.6/17.6</t>
  </si>
  <si>
    <t>Esp tripped on underload at 07:20hrs restarted after bleed the gas at 12:15 hrs.Esp tripped again on underload at 21:40hrs and restarted at 22:35hrs.</t>
  </si>
  <si>
    <t>Esp tripped on underload at 07:20hrs restarted after bleed the gas at 12:15 hrs.</t>
  </si>
  <si>
    <t>4 Hrs 55 min</t>
  </si>
  <si>
    <t>55 min</t>
  </si>
  <si>
    <t>1.03/1.56</t>
  </si>
  <si>
    <t>16.8/16.7/16.7</t>
  </si>
  <si>
    <t>ESP restarted @1710 Hrs. on 26/10/2021</t>
  </si>
  <si>
    <t>0.284/0.017/0.154</t>
  </si>
  <si>
    <t>13.8/13.6/13.7</t>
  </si>
  <si>
    <t>0.112/0.022/0.213</t>
  </si>
  <si>
    <t>12./7/12.8/12.7</t>
  </si>
  <si>
    <t>Esp tripped on underload at 08:35hrs.Esp kept shutdown for buildup pressure.ESP restarted @ 1710 Hrs on 26/10/2021</t>
  </si>
  <si>
    <t>1710 Hrs</t>
  </si>
  <si>
    <r>
      <t>R9A2:</t>
    </r>
    <r>
      <rPr>
        <sz val="11"/>
        <rFont val="Calibri"/>
        <family val="2"/>
        <scheme val="minor"/>
      </rPr>
      <t>Esp tripped on underload at 07:20hrs restarted after bleed the gas at 12:15 hrs.Esp tripped again on underload at 21:40hrs and restarted at 22:35hrs.ESP again tripped on Underload @ 0302 Hrs. on 26/`10/2021. after bleed the gas ESP restarted @0956 Hrs</t>
    </r>
  </si>
  <si>
    <t>.ESP again tripped on Underload @ 0302 Hrs. on 26/10/2021. after bleeding the gas ESP restarted @0956 Hrs. Noticed that All parameters fluctuated due to gas interference.</t>
  </si>
  <si>
    <t>Esp tripped again on underload at 21:40hrs and restarted at 22:35hrs..ESP again tripped on Underload @ 0302 Hrs. on 26/10/2021. after bleeding the gas ESP restarted @0956 Hrs. Noticed that All parameters fluctuated due to gas interference.</t>
  </si>
  <si>
    <t>1.32/1.8</t>
  </si>
  <si>
    <t>15.3/15.4/15.2</t>
  </si>
  <si>
    <t>MLP is high, MLP fluctuating from 30 Kg/Cm2 to 34.8 Kg/cm2</t>
  </si>
  <si>
    <t>0.097/0.023/0.102</t>
  </si>
  <si>
    <t>15.2/15.3/15.2</t>
  </si>
  <si>
    <t>0715 Hrs</t>
  </si>
  <si>
    <t>4.98+1.25</t>
  </si>
  <si>
    <t>12.1/12/12.3</t>
  </si>
  <si>
    <t>R9#A2: ESP tripped at 0101 Hrs. on 27/10/21 due to underload alarm, after bleeding the gas ESP restarted the ESP: @ 0715Hrs.On 27/10/2021. Found high amount of gas through tubing during bleeding. Noticed that during the shutdown period maximum static pressure reached 1283 PSI.</t>
  </si>
  <si>
    <t>2.30/3.05</t>
  </si>
  <si>
    <t>0.029/0.021/0.027</t>
  </si>
  <si>
    <t>14.1/14.3/14.2</t>
  </si>
  <si>
    <t>0.106/0.028/0.184</t>
  </si>
  <si>
    <t>1546 Hrs</t>
  </si>
  <si>
    <t>1646 Hrs</t>
  </si>
  <si>
    <t>R9#A2: ESP manually shutdown due to SSSV shutdown @1546 Hrs. on 28/10/2021.found minor leakage in the isolation valve. replaced the valve. After activation of SSSV, restarted the ESP @ 1646 Hrs. on 28/10/2021.</t>
  </si>
  <si>
    <t>Frequency increased to 52 Hz for tackle the high back pressure.</t>
  </si>
  <si>
    <t>2.53/2.16</t>
  </si>
  <si>
    <t>0.080/0.021/0.091</t>
  </si>
  <si>
    <t>15.5/15.6/15.2</t>
  </si>
  <si>
    <t>1848 Hrs</t>
  </si>
  <si>
    <t>2140 Hrs</t>
  </si>
  <si>
    <t>0.116/0.027/0.184</t>
  </si>
  <si>
    <t>2.87 Hrs</t>
  </si>
  <si>
    <t>R9#A2:ESP tripped @ 1848 Hrs. on 29/10/2021 due to underload because of high gas interference and high backpressure. After bleeding off the accumulated gas through the tubing, ESP restarted @ 2140 Hrs. on 29/10/2021.</t>
  </si>
  <si>
    <t>0.082/0.022/0.081</t>
  </si>
  <si>
    <t>16.7/16.4/16.6</t>
  </si>
  <si>
    <t>0.120/0.026/0.197</t>
  </si>
  <si>
    <t>13.4/13.1/13.7</t>
  </si>
  <si>
    <t>0207 Hrs</t>
  </si>
  <si>
    <t>11:21 Hrs</t>
  </si>
  <si>
    <t>3.88+5.35</t>
  </si>
  <si>
    <t>R9#A2:ESP tripped on Underload @ 0207 Hrs. on 30/10/2021, due to high back pressure ( MLP reached 41.5 Kg/cm2). The pigging job was going on R10 A to R12 A-line. That’s the reason for higher MLP. After reducing the MLP, restarted the ESP @ 1121 hrs on 30/10/2021</t>
  </si>
  <si>
    <t>R9A#4: Frequency increased temporarily to 47 Hz for tackle the high back pressure. Pigging was going on R10A to R12A line, that’s the reason for the higher MLP.</t>
  </si>
  <si>
    <t>R9#A2:ESP tripped on Underload @ 0207 Hrs. on 30/10/2021, due to high back pressure ( MLP reached 41.5 Kg/cm2). The pigging job was going on R10 A to R12 A-line. That’s the reason for higher MLP. After reducing the MLP, restarted the ESP @ 1121 hrs on 30/10/2021                                         R9A#1: ESP tripped @ 0505 Hrs. on 30/10/2021on Underload alarm because of high backpressure ( MLP reached 41.5 Kg/cm2). The pigging job was going on R10 A to R12 A-line.ESP kept shutdown for pressure build-up.</t>
  </si>
  <si>
    <t>R9A#1: ESP tripped @ 0505 Hrs. on 30/10/2021on Underload alarm because of high backpressure ( MLP reached 41.5 Kg/cm2). The pigging job was going on R10 A to R12 A-line.ESP kept shutdown for pressure build-up.</t>
  </si>
  <si>
    <t>0.024/0.018/0.031</t>
  </si>
  <si>
    <t>0.115/0.027/0.152</t>
  </si>
  <si>
    <t>12.8/13/12.9</t>
  </si>
  <si>
    <t>HIGH MLP</t>
  </si>
  <si>
    <t>R9A#2: ESP tripped @ 0006 Hrs. on 31/10/2021 due to the Underload alarm. ESP frequently tripped on Underload due to gas interference. Bleed off the gas for two hours. Restarted the ESP @ 0210 Hrs. on 31/10/2021. ESP again tripped on Underload at 0636 Hrs. on 31/10/2021. Bleed off the gas for 5 Hrs. and restarted the ESP at 1238 Hrs. Noticed again ESP and DH parameters started to fluctuate. Bleed the gas and Down/ Up the frequency, and run it for 48 Hz frequency. Stable for a few hours and again started the fluctuation and FAT went down. Increased the frequency to 50 Hz.</t>
  </si>
  <si>
    <t>0006 Hrs</t>
  </si>
  <si>
    <t>0210 Hrs</t>
  </si>
  <si>
    <t>0636 Hrs</t>
  </si>
  <si>
    <t>1238 Hrs</t>
  </si>
  <si>
    <t>0223 Hrs</t>
  </si>
  <si>
    <t>0529 Hrs</t>
  </si>
  <si>
    <t xml:space="preserve">Static Reading
 Intake Pressure-1241 PSI
Discharge Pressure-1247 PSI
Intake Temp.-101.4 Deg. C
Motor Temp.-101.5 Deg. C
</t>
  </si>
  <si>
    <t xml:space="preserve">Static Reading    
Intake Pressure-1184 PSI
Discharge Pressure-1190 PSI
Intake Temp.-101.7 Deg. C
Motor Temp.-101.8 Deg. C
</t>
  </si>
  <si>
    <t>0.078/0.021/0.101</t>
  </si>
  <si>
    <t>0.125/0.032/0.185</t>
  </si>
  <si>
    <t>58,39</t>
  </si>
  <si>
    <t>R9#A2: ESP tripped at 0223 Hrs. on 01/11/21 due to underload alarm,restarted the ESP: @ 0529 Hrs.On 01/11/2021.</t>
  </si>
  <si>
    <t>R9A#2: ESP tripped @ 0006 Hrs. on 31/10/2021 due to the Underload alarm. ESP frequently tripped on Underload due to gas interference. Bleed off the gas for two hours. Restarted the ESP @ 0210 Hrs. on 31/10/2021. ESP again tripped on Underload at 0636 Hrs. on 31/10/2021. Bleed off the gas for 5 Hrs. and restarted the ESP at 1238 Hrs. Noticed again ESP and DH parameters started to fluctuate. Bleed the gas and Down/ Up the frequency, and run it for 48 Hz frequency. Stable for a few hours and again started the fluctuation and FAT went down. Increased the frequency to 50 Hz.R9#A2: ESP tripped at 0223 Hrs. on 01/11/21 due to underload alarm,restarted the ESP: @ 0529 Hrs.On 01/11/2021.</t>
  </si>
  <si>
    <t>0.071/0.022/0.088</t>
  </si>
  <si>
    <t>0.126/0.022/0.178</t>
  </si>
  <si>
    <t>Frequency returned to 46 Hz.</t>
  </si>
  <si>
    <t xml:space="preserve">Static Reading
 Intake Pressure-1292 PSI
Discharge Pressure-1301PSI
Intake Temp.-101 Deg. C
Motor Temp.-101.1 Deg. C
</t>
  </si>
  <si>
    <t xml:space="preserve">Static Reading:
 Intake Pressure-1322 PSI
Discharge Pressure-1340PSI
Intake Temp.-100.8 Deg. C
Motor Temp.-101 Deg. C
</t>
  </si>
  <si>
    <t>0.064/0.017/0.079</t>
  </si>
  <si>
    <t>0.139/0.028/0.164</t>
  </si>
  <si>
    <t>12.4/12.4/12.3</t>
  </si>
  <si>
    <t>Total running hours November 2021</t>
  </si>
  <si>
    <t>Total shutdown hours due to ONGC  November 2021</t>
  </si>
  <si>
    <t>Total shutdown hours due to Novomet  November 2021</t>
  </si>
  <si>
    <t xml:space="preserve">Static Reading:
 Intake Pressure-1369 PSI
Discharge Pressure-1378PSI
Intake Temp.-100.8 Deg. C
Motor Temp.-100.8 Deg. C
</t>
  </si>
  <si>
    <t>0.062/0.021/0.084</t>
  </si>
  <si>
    <t>15.3/15.4/15.6</t>
  </si>
  <si>
    <t>0.112/0.032/0.167</t>
  </si>
  <si>
    <t>12.5/12.5/12.6</t>
  </si>
  <si>
    <t>1.16/1.66</t>
  </si>
  <si>
    <t>16,5/16.4/16.6</t>
  </si>
  <si>
    <t>0.064/0.020/0.081</t>
  </si>
  <si>
    <t>16.9/17/16.8</t>
  </si>
  <si>
    <t>0.133/0.029/0.199</t>
  </si>
  <si>
    <t>1.31/.088</t>
  </si>
  <si>
    <t>16.1/16/16.5</t>
  </si>
  <si>
    <t>0.104/0.031/0.193</t>
  </si>
  <si>
    <t>1724 Hrs</t>
  </si>
  <si>
    <t>R9A#1: ESP tripped @ 0505 Hrs. on 30/10/2021on Underload alarm because of high backpressure ( MLP reached 41.5 Kg/cm2). The pigging job was going on R10 A to R12 A-line.ESP kept shutdown for pressure build-up.ESP restarted by ONGC @1724 Hrs. on 05/11/2021</t>
  </si>
  <si>
    <t>ESP restarted by ONGC @1724 Hrs. on 05/11/2021</t>
  </si>
  <si>
    <t>1530 Hrs</t>
  </si>
  <si>
    <t>2258 Hrs</t>
  </si>
  <si>
    <t>R9A#2 ESP tripped on Underload @ 1530 Hrs.on 05/11/2021.after bleeding  off the gas restarted the ESP @2258 Hrs.on 05/11/2021.</t>
  </si>
  <si>
    <t>1837 Hrs</t>
  </si>
  <si>
    <t>R9A#1: ESP restarted by ONGC @1724 Hrs. on 05/11/2021                                                                             R9A#2 ESP tripped on Underload @ 1530 Hrs.on 05/11/2021.after bleeding  off the gas restarted the ESP @2258 Hrs.on 05/11/2021.</t>
  </si>
  <si>
    <t>R9A#2 ESP tripped on Underload @ 1837 Hrs.on 06/11/2021. ESP has not yet started.</t>
  </si>
  <si>
    <t>104,7</t>
  </si>
  <si>
    <t>1,06/0.082</t>
  </si>
  <si>
    <t>0.080/0.027/0.088</t>
  </si>
  <si>
    <t>0.116/0.025/0.165</t>
  </si>
  <si>
    <t>Current IA / IB / IC</t>
  </si>
  <si>
    <t>R9A#2 ESP tripped on Underload @ 1837 Hrs.on 06/11/2021. ESP restarted @ 1030 Hrs. on 07/11/2021</t>
  </si>
  <si>
    <t>1030 Hrs</t>
  </si>
  <si>
    <t>11.38+4.5</t>
  </si>
  <si>
    <t>1,06/2.09</t>
  </si>
  <si>
    <t>15.1/15/15.4</t>
  </si>
  <si>
    <t>0.075/0.020/0.090</t>
  </si>
  <si>
    <t>15/15.3/15.3</t>
  </si>
  <si>
    <t>0.107/0.026/0.208</t>
  </si>
  <si>
    <t>13/12.9/13</t>
  </si>
  <si>
    <t>`103.8</t>
  </si>
  <si>
    <t>0.88/0.73</t>
  </si>
  <si>
    <t>0.080/0.022/0.095</t>
  </si>
  <si>
    <t>0.106/0.028/0.210</t>
  </si>
  <si>
    <t>ESP tripped @ 0940 Hrs.on 10/11/2021 due to Underload alarm.ESP kept shutdown for build up pressure</t>
  </si>
  <si>
    <t>0.066/0.022/0.078</t>
  </si>
  <si>
    <t>0.121/0.031/0.175</t>
  </si>
  <si>
    <t>0940 Hrs</t>
  </si>
  <si>
    <t>R9A#1: ESP tripped on underload at 0940 Hrs. on 10/11/2021, due to gas interference and low inflow.ESP kept shutdown for buildup pressure.</t>
  </si>
  <si>
    <t xml:space="preserve">Static Reading:
 Intake Pressure-1141 PSI
Discharge Pressure-1149PSI
Intake Temp.-101.8 Deg. C
Motor Temp.-102 Deg. C
</t>
  </si>
  <si>
    <t>0.051/0.021/0.080</t>
  </si>
  <si>
    <t>0.110/0.026/0.187</t>
  </si>
  <si>
    <t xml:space="preserve">Static Reading:
 Intake Pressure-1206 PSI
Discharge Pressure-1214 PSI
Intake Temp.-101.5 Deg. C
Motor Temp.-101.6 Deg. C
</t>
  </si>
  <si>
    <t>0.060/0.025/0.076</t>
  </si>
  <si>
    <t>0.110/0.029/0.169</t>
  </si>
  <si>
    <t xml:space="preserve">Static Reading:
 Intake Pressure-1256 PSI
Discharge Pressure-1263 PSI
Intake Temp.-101.4 Deg. C
Motor Temp.-101.4 Deg. C
</t>
  </si>
  <si>
    <t>0.044/0.020/0.042</t>
  </si>
  <si>
    <t>0.124/0.031/0.139</t>
  </si>
  <si>
    <t>12.3/12.3/12.5</t>
  </si>
  <si>
    <t>0652 Hrs</t>
  </si>
  <si>
    <t>1752 Hrs</t>
  </si>
  <si>
    <t>R9A#2 ESP tripped on Underload @ 0652 Hrs.on 13/11/2021.kept shutdown for pressure build up to reach intake pressure to above 1270 PSI . ESP restarted @ 1752  Hrs. on 13/11/2021</t>
  </si>
  <si>
    <t>11 Hrs</t>
  </si>
  <si>
    <t xml:space="preserve">Static Reading:
 Intake Pressure-1299 PSI
Discharge Pressure-1308 PSI
Intake Temp.-100.8 Deg. C
Motor Temp.-101 Deg. C
</t>
  </si>
  <si>
    <t>0.08/0.025/0.041</t>
  </si>
  <si>
    <t>13.6/13.6/13.8</t>
  </si>
  <si>
    <t>High MLP: Ratna flowline directly connected to HUT line at Heera.Pigging Job going on along R7A to R10 A line.Frequency increased to 52 Hz for tackle the high back pressure.</t>
  </si>
  <si>
    <t>0.103/0.027/0.183</t>
  </si>
  <si>
    <t>11.8/11.8/11.6</t>
  </si>
  <si>
    <t>High MLP: Ratna flowline directly connected to HUT line at Heera.Pigging Job going on along R7A to R10 A line.Frequency increased to 47 Hz for tackle the high back pressure.</t>
  </si>
  <si>
    <t xml:space="preserve">Static Reading:
 Intake Pressure-1337 PSI
Discharge Pressure-1346 PSI
Intake Temp.-100.8 Deg. C
Motor Temp.-100.8 Deg. C
</t>
  </si>
  <si>
    <t>0.063/0.023/0.078</t>
  </si>
  <si>
    <t>15.2/15.3/15.1</t>
  </si>
  <si>
    <t>Frequency returned to 51 Hz.</t>
  </si>
  <si>
    <t>12.1`</t>
  </si>
  <si>
    <t>0.125/0.0320.148</t>
  </si>
  <si>
    <t>12.1/12/12.5</t>
  </si>
  <si>
    <t xml:space="preserve">Static Reading:
 Intake Pressure-1372 PSI
Discharge Pressure-1380 PSI
Intake Temp.-100.7 Deg. C
Motor Temp.-100.8 Deg. C
</t>
  </si>
  <si>
    <t>0.109/0.030/0.184</t>
  </si>
  <si>
    <t>12.5/12.4/12.7</t>
  </si>
  <si>
    <t xml:space="preserve">Noticed that FAT and ESP parameters are went down, Suspected pump gets the gas lock. Up/Down that frequency but no improvement on the parameters. ESP  ESP tripped on underload @ 1915 Hrs. on 16/11/2021 due to high gas interference.ESP has not yet started.
</t>
  </si>
  <si>
    <t>0.74/0.194</t>
  </si>
  <si>
    <t>16.8/16.9/16.7</t>
  </si>
  <si>
    <t>0.052/0.019/0.043</t>
  </si>
  <si>
    <t>14.5/14.7/14.9</t>
  </si>
  <si>
    <t>0.132/0.031/0.150</t>
  </si>
  <si>
    <t>2105 Hrs</t>
  </si>
  <si>
    <t>Esp tripped on underload at 0940 Hrs. on 10/11/2021..Esp kept shutdown for buildup pressure.ESP restarted by ONGC  @ 2105 Hrs. on 17/11/2021</t>
  </si>
  <si>
    <t>ESP restarted by ONGC  @ 2105 Hrs. on 17/11/2021</t>
  </si>
  <si>
    <t>0.97/0.94</t>
  </si>
  <si>
    <t>0.078/0.029/0.089</t>
  </si>
  <si>
    <t>15.6/15.7/15.7</t>
  </si>
  <si>
    <t>0.099/0.031/0.204</t>
  </si>
  <si>
    <t>12.5/12.5/12.5</t>
  </si>
  <si>
    <t>0728 Hrs</t>
  </si>
  <si>
    <t>1728 Hrs</t>
  </si>
  <si>
    <t>R9A#1: ESP restarted by ONGC  @ 2105 Hrs. on 17/11/2021.</t>
  </si>
  <si>
    <t>ESP tripped on Underload @ 0728 Hrs. on 18/11/2021.due to high gas interference. ESP restarted @ 1728  Hrs. on 18/11/2021</t>
  </si>
  <si>
    <t>1.20/2.49</t>
  </si>
  <si>
    <t>0.075/0.020/0.093</t>
  </si>
  <si>
    <t>14.7/14.7/14.9</t>
  </si>
  <si>
    <t>0.096/0.035/0.206</t>
  </si>
  <si>
    <t>12.8/12.8/12.7</t>
  </si>
  <si>
    <t>R9A#2:ESP tripped on Underload @ 0728 Hrs. on 18/11/2021.due to high gas interference. ESP restarted @ 1728  Hrs. on 18/11/2021</t>
  </si>
  <si>
    <t>1.27/2.57</t>
  </si>
  <si>
    <t>12.,6</t>
  </si>
  <si>
    <t>0.098/0.026/0.193</t>
  </si>
  <si>
    <t>2.96/2.26</t>
  </si>
  <si>
    <t>15.7/15.7/15.5</t>
  </si>
  <si>
    <t>0.092/0.027/0.213</t>
  </si>
  <si>
    <t>12.8/12.7/12.9</t>
  </si>
  <si>
    <t>R9A#2: ESP tripped on Underload alarm due to gas interference @ 1949 Hrs. on 20/11/2021.ESP restarted 0016 Hrs.on 21/11/2021</t>
  </si>
  <si>
    <t>0016 Hrs</t>
  </si>
  <si>
    <t>1949 Hrs</t>
  </si>
  <si>
    <t>4.45 Hrs</t>
  </si>
  <si>
    <t>1453 Hrs</t>
  </si>
  <si>
    <t>R9A#2: ESP tripped on Underload alarm due to gas interference @ 1453 Hrs. on 21/11/2021.ESP has not yet started.</t>
  </si>
  <si>
    <t>ESP tripped on Underload @ 0203 Hrs.on 22.11.2021.</t>
  </si>
  <si>
    <t>0.134/0.022/0.142</t>
  </si>
  <si>
    <t>15.5/15.4/15.6</t>
  </si>
  <si>
    <t>0.103/0.028/0.198</t>
  </si>
  <si>
    <t>12.7/12.5/12.6</t>
  </si>
  <si>
    <t>0203 Hrs</t>
  </si>
  <si>
    <t>0939 Hrs</t>
  </si>
  <si>
    <t>R9A#2: ESP tripped on Underload alarm due to gas interference @ 1453 Hrs. on 21/11/2021.ESP restarted @ 0939 Hrs.on 22/11/2021</t>
  </si>
  <si>
    <t>15.12+3.65</t>
  </si>
  <si>
    <t>ESP restarted @ 0939 Hrs.on 22/11/2021</t>
  </si>
  <si>
    <t>R9A#2: ESP tripped on Underload alarm due to gas interference @ 1453 Hrs. on 21/11/2021.ESP restarted @ 0939 Hrs.on 22/11/2021                           R9A#1:ESP tripped on underload at 0203 Hrs. on 22/11/2021.</t>
  </si>
  <si>
    <t>0.109/0.018/0.106</t>
  </si>
  <si>
    <t>15.8/15.8/15.6</t>
  </si>
  <si>
    <t>0.110/0.028/0.165</t>
  </si>
  <si>
    <t>12.3/12.6/12.4</t>
  </si>
  <si>
    <t>0.079/0.023/0.123</t>
  </si>
  <si>
    <t>14.9/15/15.1</t>
  </si>
  <si>
    <t>0.085/0.024/0.207</t>
  </si>
  <si>
    <t>12.8/12,7/12.6</t>
  </si>
  <si>
    <t>R9A#2: ESP tripped on Underload @0537 Hrs. on 25/11/2021</t>
  </si>
  <si>
    <t>0.097/0.032/0.202</t>
  </si>
  <si>
    <t>0537 Hrs</t>
  </si>
  <si>
    <t>0.036/0.028/0.093</t>
  </si>
  <si>
    <t>0.105/0.027/0.202</t>
  </si>
  <si>
    <t>R9A#2: ESP tripped on Underload @0533 Hrs. on 25/11/2021. Changed choke to 1/4" , Restarted the ESP @ 1257 Hrs.on 26/11/2021</t>
  </si>
  <si>
    <t>0.45+24+6.95</t>
  </si>
  <si>
    <t>0.098/0.021/0.123</t>
  </si>
  <si>
    <t>15.4/15.4/15.2</t>
  </si>
  <si>
    <t>0.100/0.032/0.232</t>
  </si>
  <si>
    <t>12.4/12.3/12.6</t>
  </si>
  <si>
    <t>0.091/0.031/0.178</t>
  </si>
  <si>
    <t>0.106/0.014/0.105</t>
  </si>
  <si>
    <t>16.4/16.3/16.4</t>
  </si>
  <si>
    <t>0.033/0.018/0.034</t>
  </si>
  <si>
    <t>13.7/13.4/13.6</t>
  </si>
  <si>
    <t>Frequency temporarily reduced to 50 Hz for maintaining the intake pressure as per Novomet base instruction.</t>
  </si>
  <si>
    <t>0.114/0.028/0.208</t>
  </si>
  <si>
    <t>0620 Hrs</t>
  </si>
  <si>
    <t>1257 Hrs</t>
  </si>
  <si>
    <t>0504 Hrs</t>
  </si>
  <si>
    <t>R9A#2: ESP tripped on Underload @0504 Hrs. on 30/11/2021.Restarted the ESP @ 0620 Hrs.on 30/11/2021</t>
  </si>
  <si>
    <t>0.93+0.33</t>
  </si>
  <si>
    <t>0.048/0.019/0.05</t>
  </si>
  <si>
    <t>48.61`</t>
  </si>
  <si>
    <t>15.3/15.6/15.6</t>
  </si>
  <si>
    <t>0.108/0.029/0.205</t>
  </si>
  <si>
    <t>0.11/0.03/0.171</t>
  </si>
  <si>
    <t>13/12.7/12.8</t>
  </si>
  <si>
    <t>Total shutdown hours due to ONGC  December 2021</t>
  </si>
  <si>
    <t>Total running hours December 2021</t>
  </si>
  <si>
    <t>Total shutdown hours due to Novomet  December 2021</t>
  </si>
  <si>
    <t>0.03/0.021/0.05</t>
  </si>
  <si>
    <t>0.128/0.029/0.191</t>
  </si>
  <si>
    <t>0.116/0.028/0.209</t>
  </si>
  <si>
    <t>2024 Hrs</t>
  </si>
  <si>
    <t>0833 Hrs</t>
  </si>
  <si>
    <t>9.6+2.55</t>
  </si>
  <si>
    <t>R9A#2: ESP tripped on Underload @2024 Hrs. on 30/11/2021.Restarted the ESP @ 0833 Hrs.on 01/12/2021</t>
  </si>
  <si>
    <t>1422 Hrs</t>
  </si>
  <si>
    <t>1058 Hrs</t>
  </si>
  <si>
    <t>15.63+4.97</t>
  </si>
  <si>
    <t>0.126/0.034/0.193</t>
  </si>
  <si>
    <t>R9A#2: ESP tripped on Underload @ 1422 Hrs. on 01/12/2021.After bleeding the gas restarted the ESP @ 1058 Hrs.on 02/12/2021</t>
  </si>
  <si>
    <t>1020 Hrs</t>
  </si>
  <si>
    <t>R9A#2: ESP tripped on Underload @ 0109 Hrs. on 03/12/2021.after bleeding off the gas restarted the ESP @ 1020 Hrs.on 03/12/2021</t>
  </si>
  <si>
    <t>4.85+4.33</t>
  </si>
  <si>
    <t>1554 Hrs</t>
  </si>
  <si>
    <t>1811 Hrs</t>
  </si>
  <si>
    <t>R9A#2: ESP tripped on Underload @ 01554 Hrs. on 03/12/2021.after bleeding off the gas restarted the ESP @1811 Hrs.on 03/12/2021</t>
  </si>
  <si>
    <t>2257 Hrs</t>
  </si>
  <si>
    <t>R9A#2: ESP tripped on Underload @ 2257Hrs. on 03/12/2021.ESP has not yet started.</t>
  </si>
  <si>
    <t>R9A#2: ESP tripped on Underload @ 2257Hrs. on 03/12/2021.ESP restarted @ 1311 Hrs.on 05/12/2021. observed Gradual decresing of FAT incrased frequency to 54 Hz. Flow increased for few hours. Found FAT reduced to 43 Deg C.Increased frequency to 56 Hz, after  few minutes ESP tripped on Overload alarm.ESP has not yet started.</t>
  </si>
  <si>
    <t>0.109/0.028/0.195</t>
  </si>
  <si>
    <t>0.057/0.020/0.045</t>
  </si>
  <si>
    <t>0.094/0.027/0.181</t>
  </si>
  <si>
    <t>14.3/14.1/14.2</t>
  </si>
  <si>
    <t>1311 Hrs</t>
  </si>
  <si>
    <t>1642  Hrs</t>
  </si>
  <si>
    <t>2027 Hrs</t>
  </si>
  <si>
    <t>7.05+24+</t>
  </si>
  <si>
    <t>16.73+10.7</t>
  </si>
  <si>
    <t>ESP tripped on Underload @ 2257Hrs. on 03/12/2021. ESP restarted @ 1311 Hrs.on 05/12/2021. observed Gradual decreasing of FAT increased frequency to 54 Hz. Flow increased for a few hours. Found FAT reduced to 43 Deg C.Increased frequency to 56 Hz, after few minutes ESP tripped on Overload alarm @ 2027 Hrs. on 05/12/2021. Checked DH cable integrity found Good, Phase to Phase 8 Ohm balanced and Phase to ground 650 M Ohm ( 3 Min @1000V). Restarted the ESP @ 1642 Hrs. on 06/12/2021</t>
  </si>
  <si>
    <t>0.096/0.030/0.052</t>
  </si>
  <si>
    <t>0.099/0.024/0.204</t>
  </si>
  <si>
    <t>0.108/0.028/0.239</t>
  </si>
  <si>
    <t>12.1/12.2/12</t>
  </si>
  <si>
    <t>0527 Hrs</t>
  </si>
  <si>
    <t>R9A#2: ESP tripped on Underload @ 0527 Hrs. on 08/12/2021.ESP has not yet started</t>
  </si>
  <si>
    <t xml:space="preserve"> ESP tripped on Underload @ 0527 Hrs. on 08/12/2021.ESP has not yet started</t>
  </si>
  <si>
    <t>0.136/0.027/0.172</t>
  </si>
  <si>
    <t>0.113/0.029/0.176</t>
  </si>
  <si>
    <t>R9A#4: ESP frequency temporarily increased to 47 Hz @ 00:30 Hrs. on 10/12/2021 to tackle the high backpressure. MLP reached 35.8 Kg/cm2.</t>
  </si>
  <si>
    <t>0.110/0.033/0.227</t>
  </si>
  <si>
    <t>0.089/0.032/0.180</t>
  </si>
  <si>
    <t>0.112/0.029/0.194</t>
  </si>
  <si>
    <t>13.3/13/13</t>
  </si>
  <si>
    <t>0.0811/0.031/0.210</t>
  </si>
  <si>
    <t>13/12.8/12.9</t>
  </si>
  <si>
    <t>0.085/0.027/0.201</t>
  </si>
  <si>
    <t>0.127/0.033/0.192</t>
  </si>
  <si>
    <t>12.9/13/12.8</t>
  </si>
  <si>
    <t>1.39/0.89</t>
  </si>
  <si>
    <t>16.4/16.5/16.4</t>
  </si>
  <si>
    <t>0.031/0.019/0.039</t>
  </si>
  <si>
    <t>14.8/14.9/14.3</t>
  </si>
  <si>
    <t>0.123/0.024/0.236</t>
  </si>
  <si>
    <t>13.2/12.9/12.9</t>
  </si>
  <si>
    <t>1734 Hrs</t>
  </si>
  <si>
    <t>Esp tripped on underload at 0203 Hrs. on 22/11/2021.ESP restarted as per SAM Ratna Instruction @ 1734 Hrs.on 17/12/2021.</t>
  </si>
  <si>
    <t>1738 Hrs</t>
  </si>
  <si>
    <t>ESP tripped @ 0527 Hrs. on 08/12/2021 due to the underload alarm. Requested to ONGC for revert the choke size to 3/8".As per SAM Ratna Instruction restarted the ESP @ 1738 Hrs. on 17/12/2021, during pigging job.</t>
  </si>
  <si>
    <t>R9A#1: ESP was kept shutdown from 22 Nov 2021.Restarted the ESP @ 1734 Hrs. on 17/12/2021,as per SAM Ratna Instruction during pigging job ( R9A to R10 A line).                                     R9A#2 :ESP tripped @ 0527 Hrs. on 08/12/2021 due to the underload alarm. Requested to ONGC for revert the choke size to 3/8".As per SAM Ratna Instruction restarted the ESP @ 1738 Hrs. on 17/12/2021, during pigging job.</t>
  </si>
  <si>
    <t>1.23/0.96</t>
  </si>
  <si>
    <t>0.021/0.020/0.047</t>
  </si>
  <si>
    <t>13.9/14/14</t>
  </si>
  <si>
    <t>0.102/0.032/0.202</t>
  </si>
  <si>
    <t>13.1/12.8/12.9</t>
  </si>
  <si>
    <t>0.90/1.29</t>
  </si>
  <si>
    <t>0.065/0.019/0.078</t>
  </si>
  <si>
    <t>0.097/0.037/0.167</t>
  </si>
  <si>
    <t>13.8/12.9/12,8</t>
  </si>
  <si>
    <t>1.12/2.08</t>
  </si>
  <si>
    <t>15/15.1/14.9</t>
  </si>
  <si>
    <t>0.065/0.020/0.064</t>
  </si>
  <si>
    <t>14.2/14.2/14.3</t>
  </si>
  <si>
    <t>0.127/0.030/0.209</t>
  </si>
  <si>
    <t>13.1/12.7/12.5</t>
  </si>
  <si>
    <t>1.42/1.41</t>
  </si>
  <si>
    <t>14.7/14.8/14.6</t>
  </si>
  <si>
    <t>0.068/0.018/0.070</t>
  </si>
  <si>
    <t>14/14/14.1</t>
  </si>
  <si>
    <t>0.123/0.034/0.181</t>
  </si>
  <si>
    <t>1445 Hrs</t>
  </si>
  <si>
    <t>1854 Hrs</t>
  </si>
  <si>
    <t>R9A#1: ESP tripped @ 1445 Hrs. on 21/12/2021 due to Low intake alarm. Found Intake pressure came to zero and returned to normal value ( sensor faults alarm). The ESP was run at low intake pressure and below the bubble point. ONGC platform incharge restarted the ESP at 1854 Hrs. without sufficient intake pressure. This kind of start-up will badly affect the ESP operation and will lead to the premature failure of ESP.</t>
  </si>
  <si>
    <t>R9A#1: ESP tripped @ 1445 Hrs. on 21/12/2021 due to Low intake alarm. Found Intake pressure came to zero and returned to normal value ( sensor faults alarm). The ESP was run at low intake pressure and below the bubble point. ONGC platform incharge restarted the ESP at 1854 Hrs. without sufficient intake pressure. This kind of start-up will badly affect the ESP operation and lead to the premature failure of ESP.</t>
  </si>
  <si>
    <t>1.11/1.32</t>
  </si>
  <si>
    <t>15.1/15.2/15</t>
  </si>
  <si>
    <t>0.084/0.015/0.117</t>
  </si>
  <si>
    <t>13.3/13.3/13.4</t>
  </si>
  <si>
    <t>0.103/0.029/0.173</t>
  </si>
  <si>
    <t>12.8/12.6/12.6</t>
  </si>
  <si>
    <t>1.32/2.39</t>
  </si>
  <si>
    <t>0.021/0.015/0.032</t>
  </si>
  <si>
    <t>13.2/13.1/13.2</t>
  </si>
  <si>
    <t>0.113/0.030/0.177</t>
  </si>
  <si>
    <t>12.9/12.6/12.6</t>
  </si>
  <si>
    <t>1.60/1.1</t>
  </si>
  <si>
    <t>0.062/0.017/0.062</t>
  </si>
  <si>
    <t>13.2/13.1/13</t>
  </si>
  <si>
    <t>0.086/0.033/0.221</t>
  </si>
  <si>
    <t>13.1/13.2/12.8</t>
  </si>
  <si>
    <t>0951 Hrs</t>
  </si>
  <si>
    <t>1242 Hrs</t>
  </si>
  <si>
    <t>ESP tripped on Underload @ 0951 Hrs.on 24/12/2021 after releasing the gas through the tubing restarted the ESP @ 1242 Hrs. on 24/12/2021</t>
  </si>
  <si>
    <t>R9A#2: ESP tripped on Underload @ 0951 Hrs.on 24/12/2021 after releasing the gas through the tubing restarted the ESP @ 1242 Hrs. on 24/12/2021</t>
  </si>
  <si>
    <t>ESP tripped @ 0552 Hrs. on 25/12/2021 due to Underload alarm. ESP has not yet started.</t>
  </si>
  <si>
    <t>0.029/0.016/0.029</t>
  </si>
  <si>
    <t>12.9/12.9/13</t>
  </si>
  <si>
    <t>0.098/0.030/0.223</t>
  </si>
  <si>
    <t>13.5/13.3/13.2</t>
  </si>
  <si>
    <t>0552 Hrs</t>
  </si>
  <si>
    <t>R9A#1: ESP tripped on underload at 0552 Hrs. on 25/12/2021.ESP has not yet started.</t>
  </si>
  <si>
    <t>0.027/0.020/0.039</t>
  </si>
  <si>
    <t>0.109/0.030/0.181</t>
  </si>
  <si>
    <t>12.5/12.6/12.78</t>
  </si>
  <si>
    <t>0.020/0.017/0.031</t>
  </si>
  <si>
    <t>13/13/13.1</t>
  </si>
  <si>
    <t>13/12.9/12.9</t>
  </si>
  <si>
    <t>0.023/0.019/0.041</t>
  </si>
  <si>
    <t>12.9/13.1/13</t>
  </si>
  <si>
    <t>0.114/0.035/0.182</t>
  </si>
  <si>
    <t>1.08/1.55</t>
  </si>
  <si>
    <t>16.1/16.2/15.9</t>
  </si>
  <si>
    <t>0.068/0.033/0.198</t>
  </si>
  <si>
    <t>13.1/13.1/12.8</t>
  </si>
  <si>
    <t>1626 Hrs</t>
  </si>
  <si>
    <t>Esp tripped on underload at 0552 Hrs. on 25/12/2021.As per ONGC instruction ESP restarted @ 1626 Hrs. on 29/12/2021.</t>
  </si>
  <si>
    <t>0.13++++10.42</t>
  </si>
  <si>
    <t>0943 Hrs</t>
  </si>
  <si>
    <t>1119 Hrs</t>
  </si>
  <si>
    <t>ESP tripped on Underload @ 0943 Hrs.on 29/12/2021. restarted the ESP @ 1242 Hrs. on 24/12/2021ESP again tripped on Underload @ 2312Hrs.on 29/12/2021.ESP has not yet started.</t>
  </si>
  <si>
    <t>1.09/0.83</t>
  </si>
  <si>
    <t>15.6/15.7/15.3</t>
  </si>
  <si>
    <t>0.076/0.022/0.084</t>
  </si>
  <si>
    <t>0.107/0.033/0.203</t>
  </si>
  <si>
    <t>13.2/12.8/13</t>
  </si>
  <si>
    <t>0858 Hrs</t>
  </si>
  <si>
    <t>2313Hrs</t>
  </si>
  <si>
    <t>6.78+2.97</t>
  </si>
  <si>
    <t>ESP tripped on Underload @ 2313Hrs.on 29/12/2021.bleed off the accumalated gas through the tubing. Restarted the ESP @ 0858 Hrs. on 30/12/2021</t>
  </si>
  <si>
    <t>R9A#1:.As per ONGC instruction ESP restarted @ 1626 Hrs. on 29/12/2021.                                                                R9A#2: ESP tripped on Underload @ 2313Hrs.on 29/12/2021.bleed off the accumalated gas through the tubing. Restarted the ESP @ 0858 Hrs. on 30/12/2021</t>
  </si>
  <si>
    <t>0.99/1.95</t>
  </si>
  <si>
    <t>0.074/0.029/0.076</t>
  </si>
  <si>
    <t>15.5/15.5/15.5</t>
  </si>
  <si>
    <t>0.100/0.030/0.166</t>
  </si>
  <si>
    <t>1.31/1.66</t>
  </si>
  <si>
    <t>0.069/0.027/0.082</t>
  </si>
  <si>
    <t>15/15.2/15.2</t>
  </si>
  <si>
    <t>0.111/0.028/0.195</t>
  </si>
  <si>
    <t>13/13/13.2</t>
  </si>
  <si>
    <t>15.,4</t>
  </si>
  <si>
    <t>1.45/3.63</t>
  </si>
  <si>
    <t>15.4/15.1/15.1</t>
  </si>
  <si>
    <t>18:00</t>
  </si>
  <si>
    <t>0.037/0.022/0.078</t>
  </si>
  <si>
    <t>14.8/14.3/14.9</t>
  </si>
  <si>
    <t>1.81/0.87</t>
  </si>
  <si>
    <t>13.7/13.9/13.7</t>
  </si>
  <si>
    <t>0.070/0.025/0.077</t>
  </si>
  <si>
    <t>15/15.2/15.1</t>
  </si>
  <si>
    <t>0828 Hrs</t>
  </si>
  <si>
    <t>1128 Hrs</t>
  </si>
  <si>
    <t>ESP tripped @ 0828 Hrs. on 02.01.2022 due to phase fail alarm because of DG trip.As per ONGC instruction ESP restarted @ 1128 Hrs. on 02.01.2022</t>
  </si>
  <si>
    <t>3 Hrs</t>
  </si>
  <si>
    <t>2019 Hrs</t>
  </si>
  <si>
    <t>1024 Hrs</t>
  </si>
  <si>
    <t>ESP tripped on Underload @ 2019 Hrs. on 02.01.2022.As per ONGC instruction restarted the ESP @1024 Hrs.on 03.01.2022</t>
  </si>
  <si>
    <t>9.68+4.4</t>
  </si>
  <si>
    <t>1038 Hrs</t>
  </si>
  <si>
    <t>ESP tripped @ 0828 Hrs. on 02.01.2022 due to phase fail alarm because of DG trip. Bleed off the gas and ESP restarted @ 1038 Hrs. on 02.01.2022.</t>
  </si>
  <si>
    <t>0.21/102</t>
  </si>
  <si>
    <t>0.08/0.027/0.074</t>
  </si>
  <si>
    <t>13.3/13.5/13.6</t>
  </si>
  <si>
    <t>0.102/0.023/0.131</t>
  </si>
  <si>
    <t>1.19/2.69</t>
  </si>
  <si>
    <t>18/17.8/18.2</t>
  </si>
  <si>
    <t>1.19/1.94</t>
  </si>
  <si>
    <t>0.080/0.028/0.084</t>
  </si>
  <si>
    <t>14.9/15/15</t>
  </si>
  <si>
    <t>1.13/2.71</t>
  </si>
  <si>
    <t>17.9/17.9/18</t>
  </si>
  <si>
    <t>1009Hrs</t>
  </si>
  <si>
    <t>1451 Hrs</t>
  </si>
  <si>
    <t>ESP tripped on Underload @1009Hrs.on 06.01.2022.bleed off the accumalated gas through the tubing. Restarted the ESP @ 1451 Hrs. on 06.01.2022</t>
  </si>
  <si>
    <t>R9A#4: ESP tripped @ 0828 Hrs. on 02.01.2022 due to phase fail alarm because of DG trip ESP restarted @ 1128 Hrs. on 02.01.2022. Suddenly tripped on the overload alarm. Confirmed DH resistance Phase to Phase and Phase to Ground value is OK. Tried with different modes of start-up and tried both forward and Reverse rotations but No changes, ESP tripped on overload. Performed the Diesel flushing job on 04.01.2022. and tried to start the ESP on different modes of startup and both Reverse and forward directions. on 05.01.2022 @ 1901 ESP started to run. Observed flow to the surface but diverted to production header found Motor temperature gradually increased. Decided to check other rotations. Shutdown the ESP @ 1423 Hrs on 06.01.2022. After changing the rotation restarted the ESP and found the good flow to the surface and all parameters came to previous.</t>
  </si>
  <si>
    <t>1.99/1.18</t>
  </si>
  <si>
    <t>16/15.8/16</t>
  </si>
  <si>
    <t>0.030/0.023/0.026</t>
  </si>
  <si>
    <t>13.4/13.3/13.5</t>
  </si>
  <si>
    <t>0.98/2.73</t>
  </si>
  <si>
    <t>17.8/17.8/17.8</t>
  </si>
  <si>
    <t>1440 Hrs</t>
  </si>
  <si>
    <t>1934 Hrs</t>
  </si>
  <si>
    <t>R9A#1: ESP tripped @ 1440 Hrs. on 08.01.2022 on High motor temperature due to less flow because of High MLP ( MLP reached 36.5Kg/cm2) . As per ONGC instruction restarted the ESP @1934 Hrs. on 08.01.2022.</t>
  </si>
  <si>
    <t>1.59/1.42</t>
  </si>
  <si>
    <t>1.84/2.63</t>
  </si>
  <si>
    <t>17.7/17.6/17.7</t>
  </si>
  <si>
    <t>0426 Hrs</t>
  </si>
  <si>
    <t>0932 Hrs</t>
  </si>
  <si>
    <t>1.57+3.53</t>
  </si>
  <si>
    <t>2116Hrs</t>
  </si>
  <si>
    <t>2343 Hrs</t>
  </si>
  <si>
    <t>R9A#2: ESP tripped on Underload @0426Hrs.on 09.01.2022 due to high MLP.bleed off the accumulated gas through the tubing. Restarted the ESP @ 0932 Hrs. on 09.01.2022. ESP again tripped on Underload @2116 Hrs. on 09.01.2022 due to high MLP. Restarted the ESP @ 2343 Hrs. on 09.01.2022</t>
  </si>
  <si>
    <t>0.065/0.016/0.062</t>
  </si>
  <si>
    <t>15.7/15.7/16</t>
  </si>
  <si>
    <t>2.06/4.07</t>
  </si>
  <si>
    <t>14/13.9/14.1</t>
  </si>
  <si>
    <t>0.037/0.016/0.058</t>
  </si>
  <si>
    <t>17/17.1/17.1</t>
  </si>
  <si>
    <t>1.17/2.53</t>
  </si>
  <si>
    <t>17.7/17.5/17.5</t>
  </si>
  <si>
    <t>0843 Hrs</t>
  </si>
  <si>
    <t>0.8+2.72</t>
  </si>
  <si>
    <t>ESP tripped on Underload @0512Hrs.on 10.01.2022.bleed off the accumalated gas through the tubing. Restarted the ESP @ 0843 Hrs. on 10.01.2022</t>
  </si>
  <si>
    <t>R9A#2: ESP tripped on Underload @0512Hrs.on 10.01.2022.bleed off the accumalated gas through the tubing. Restarted the ESP @ 0843 Hrs. on 10.01.2022</t>
  </si>
  <si>
    <t>ESP tripped on Underload @ 0943 Hrs.on 29/12/2021. restarted the ESP @ 1119 Hrs. on 29/12/2021</t>
  </si>
  <si>
    <t>ESP tripped on Underload alarm at2117 Hrs. Intake pressure was tool low. ESP has not yet started</t>
  </si>
  <si>
    <t>2.28/3.37</t>
  </si>
  <si>
    <t>17.6/17.6/17.7</t>
  </si>
  <si>
    <t>2117 Hrs</t>
  </si>
  <si>
    <t>8.72+</t>
  </si>
  <si>
    <t>0634 Hrs</t>
  </si>
  <si>
    <t>0838Hrs</t>
  </si>
  <si>
    <t>0.145/0.022/0.156</t>
  </si>
  <si>
    <t>14.8/15/15</t>
  </si>
  <si>
    <t>R9A#2: ESP tripped on Underload @00634 Hrs. on 11.01.2022.bleed off the accumulated gas through the tubing. Restarted the ESP @ 0838 Hrs. on 11.01.2022.                                                                          R9A#1:ESP tripped on Underload alarm at 2117 Hrs. Intake pressure was too low. ESP has not yet started</t>
  </si>
  <si>
    <t xml:space="preserve">R9A#2: ESP tripped on Underload @00634 Hrs. on 11.01.2022.bleed off the accumulated gas through the tubing. Restarted the ESP @ 0838 Hrs. on 11.01.2022.   </t>
  </si>
  <si>
    <t>0.128/0.030/0.126</t>
  </si>
  <si>
    <t>13.9/13.8/13.8</t>
  </si>
  <si>
    <t>1.22/2.03</t>
  </si>
  <si>
    <t>17.6/17.5/17.6</t>
  </si>
  <si>
    <t xml:space="preserve">ESP parameters and FAT fluctuating badly. ramp down frequency to 40 Hz and run it for 10 minutes but no changes in the performance . Temporarily frequency increased to 54 Hz. ESP is almost stable.               </t>
  </si>
  <si>
    <t>Static reading: Intake Pressure-1152 PSI, Discharge Pressure-1160 PSI, Intake temp.-102.6 Deg C,Motor Temp.-103 Deg C</t>
  </si>
  <si>
    <t>1.39/3.59</t>
  </si>
  <si>
    <t>13.9/14.1/13.9</t>
  </si>
  <si>
    <t>0.034/0.013/0.032</t>
  </si>
  <si>
    <t>13.1/13.1/13.2</t>
  </si>
  <si>
    <t>1.2/2.19</t>
  </si>
  <si>
    <t>17.5/17.5/17.6</t>
  </si>
  <si>
    <t>0211 Hrs</t>
  </si>
  <si>
    <t>0722Hrs</t>
  </si>
  <si>
    <t xml:space="preserve">R9A#2: ESP tripped on Underload @ 0211Hrs. on 13.01.2022.bleed off the accumulated gas through the tubing. Restarted the ESP @ 0722Hrs. on 13.01.2022.   </t>
  </si>
  <si>
    <t>3.82+1.37</t>
  </si>
  <si>
    <t>ESP tripped on Underload alarm at 2117 Hrs. Intake pressure was tool low. ESP restarted @ 0749 Hrs. on 13.01.2022 as per Ratna OIM instruction.</t>
  </si>
  <si>
    <t>R9A#1: ESP restarted @ 0749 Hrs. on 13.01.2022 as per Ratna OIM instruction.                                                  R9A#2: ESP tripped on Underload @ 0211Hrs. on 13.01.2022.bleed off the accumulated gas through the tubing. Restarted the ESP @ 0722Hrs. on 13.01.2022.</t>
  </si>
  <si>
    <t xml:space="preserve">R9A#2:ESP parameters and FAT fluctuating badly. Diverted the flow to the test separator and depressurized the separator through the CCD. Observed the high amount of gas for 5 Minutes at open end. after 5 Minutes found gas with less oil. Noticed that ESP parameters are came back to normally. motors load increased to 70% from 55 %. after few hours again ESP and FAT parameters starting to fluctuate went dawn. Did the same procedure parameters are came back for few hours only. this fluctuation due to the gas interference. Performed Frequency ramp down / ramp up for removing gas lock. 
R9A#1: ESP restarted @ 0749 Hrs. on 13.01.2022 as per Ratna OIM instruction.  Static Intake pressure was 1171 PSI .ESP flowing less FAT and header pressure is high.    </t>
  </si>
  <si>
    <t xml:space="preserve">R9A#1: ESP restarted @ 0749 Hrs. on 13.01.2022 as per Ratna OIM instruction.  Static Intake pressure was 1171 PSI .ESP flowing less FAT and header pressure is high. </t>
  </si>
  <si>
    <t>2.51/0.99</t>
  </si>
  <si>
    <t>14.4/14.7/14.6</t>
  </si>
  <si>
    <t>0.149/0.019/0.183</t>
  </si>
  <si>
    <t>1.1./2.17</t>
  </si>
  <si>
    <t>Frequency reduced to 50 Hz from 51 Hz for maitaining the intakle pressure.</t>
  </si>
  <si>
    <t>1204 Hrs</t>
  </si>
  <si>
    <t>1337Hrs</t>
  </si>
  <si>
    <t>1541 Hrs</t>
  </si>
  <si>
    <t>2118Hrs</t>
  </si>
  <si>
    <t>1.55 Hrs</t>
  </si>
  <si>
    <t xml:space="preserve">R9A#2:ESP tripped on Underload @ 1204Hrs. on 14.01.2022, bleed off the accumulated gas. Restarted the ESP @ 1337Hrs. on 14.01.2022.noticed that ESP parameters and FAT , FTHP parameters are fluctuating. Increased frequency to 53 Hz . but no improvement in the ESP and Downhole parameters. found the FAT gradually dropped. FTHP is below the main line pressure. ESP manually stopped @ 1541 Hrs. and kept for pressure build up. Restarted the ESP @ 2118 Hrs. on 14.01.2022. </t>
  </si>
  <si>
    <t>R9A#2:ESP tripped on Underload @ 1204Hrs. on 14.01.2022, bleed off the accumulated gas. Restarted the ESP @ 1337Hrs. on 14.01.2022.noticed that ESP parameters and FAT , FTHP parameters are fluctuating. Increased frequency to 53 Hz . but no improvement in the ESP and Downhole parameters. found the FAT gradually dropped. FTHP is below the main line pressure. ESP manually stopped @ 1541 Hrs. and kept for pressure build up. Restarted the ESP @ 2118 Hrs. on 14.01.2022.</t>
  </si>
  <si>
    <t>1.21/2.38</t>
  </si>
  <si>
    <t>17.5/17.5/17.5</t>
  </si>
  <si>
    <t>0749 Hrs</t>
  </si>
  <si>
    <t>1517 Hrs</t>
  </si>
  <si>
    <t>ESP tripped High Motor temperature @ 1517 Hrs. on 15.01.2022. because of less flow due to High MLP and low intake pressure.ESP has kept shutdown for pressure build up.</t>
  </si>
  <si>
    <t>0338 Hrs</t>
  </si>
  <si>
    <t>1118 Hrs</t>
  </si>
  <si>
    <t>2.37+5.3</t>
  </si>
  <si>
    <t>2252 Hrs</t>
  </si>
  <si>
    <t>R9A#2: ESP tripped on Underload @ 0338 Hrs. on 15.01.2022.bleed off the accumulated gas through the tubing. Restarted the ESP @ 1118 Hrs. on 15.01.2022. Mainline pressure is High. Noticed that ESP parameters, FTHP, and FAT  fluctuating trend. Run the ESP at 46 Hz. Parameters were stable for 45 Min and again started to fluctuate. and FAT started to reduce. checked flow at sample point found less flow with gas. increased frequency to 48 Hz. parameters came for a while. no improvements in the performance.increased frequency to 52 Hz. but changes in the performance. tried to release the gas through on separator (2" line). opened the MOV and within one min ESP parameters came to normal. motor load reached 71 %.   . diverted back to production header . all parameters starting to fluctuate and FAT reducing trend. found no flow at the surface.ESP manually shut down at 2252 Hrs. on 15.01.2022. ESP kept shut down for pressure build up. Suspected production of the Gas rate increased. During the High MLP Pump gets the gas lock, because of FTHP is also high. Maximum FTHP observed 43 Kg/Cm2. Recommended to change the choke to 1/2 " from 3/8".</t>
  </si>
  <si>
    <t>R9A#1:ESP tripped High Motor temperature @ 1517 Hrs. on 15.01.2022. because of less flow due to High MLP and low intake pressure.ESP has kept shutdown for pressure build up.                                   R9A#2: ESP tripped on Underload @ 0338 Hrs. on 15.01.2022.bleed off the accumulated gas through the tubing. Restarted the ESP @ 1118 Hrs. on 15.01.2022. Mainline pressure is High. Noticed that ESP parameters, FTHP, and FAT  fluctuating trend. Run the ESP at 46 Hz. Parameters were stable for 45 Min and again started to fluctuate. and FAT started to reduce. checked flow at sample point found less flow with gas. increased frequency to 48 Hz. parameters came for a while. no improvements in the performance.increased frequency to 52 Hz. but changes in the performance. tried to release the gas through on separator (2" line). opened the MOV and within one min ESP parameters came to normal. motor load reached 71 %.   . diverted back to production header . all parameters starting to fluctuate and FAT reducing trend. found no flow at the surface.ESP manually shut down at 2252 Hrs. on 15.01.2022. ESP kept shut down for pressure build up. Suspected production of the Gas rate increased. During the High MLP Pump gets the gas lock, because of FTHP is also high. Maximum FTHP observed 43 Kg/Cm2. Recommended to change the choke to 1/2 " from 3/8".</t>
  </si>
  <si>
    <t>1.60/1.19</t>
  </si>
  <si>
    <t>0.058/0.026/0.078</t>
  </si>
  <si>
    <t>12.8/12.7/12.5</t>
  </si>
  <si>
    <t>1.3/2.60</t>
  </si>
  <si>
    <t>17.5/17.4/17.4</t>
  </si>
  <si>
    <t>0602 Hrs</t>
  </si>
  <si>
    <t>14.72+0.03</t>
  </si>
  <si>
    <t>ESP tripped High Motor temperature @ 1517 Hrs. on 15.01.2022. because of less flow due to High MLP and low intake pressure.ESP has kept shutdown for pressure build up.ESP restarted @ 0602 Hrs,.on 16.01.2022. started with 50 Hz frequency found FAT is very less. Increased frequency to 52 HZ. noticed that continous flow and intake pressure almost stable at 925 PSI.</t>
  </si>
  <si>
    <t>ESP restarted @ 0602 Hrs,.on 16.01.2022. started with 50 Hz frequency found FAT is very less. Increased frequency to 52 HZ. noticed that continous flow and intake pressure almost stable at 925 PSI.</t>
  </si>
  <si>
    <t>0604 Hrs</t>
  </si>
  <si>
    <t>7.13+0.07</t>
  </si>
  <si>
    <t>1132 Hrs</t>
  </si>
  <si>
    <t>1411 Hrs</t>
  </si>
  <si>
    <t>2210 Hrs</t>
  </si>
  <si>
    <t>2336 Hrs</t>
  </si>
  <si>
    <t>R9A#2 : ESP restarted @ 0604 Hrs. on 16.01.2022. started with low frequency 46 Hz. Observed that less flow and parameters starting to fluctuate. Increased the frequency to 48 Hz, 50 Hz , 54 Hz and tried higher frequency 58 Hz. But no changes in the ESP performance. FTHP reached 45 Kg/ cm2 pressure because of higher main line pressure. For avoiding the Higher FTHP choke changed to ½” from 3/8”. restarted the ESP, tried to run the ESP with 45 Hz,48 Hz , 52 Hz and 54 Hz . all frequency ESP has same performance. Noticed that ESP run no flow condition. Manually stopped the ESP @ 2110 Hrs. on 16.01.2022. bleed off the gas through the test separator. Closed the wing valve and Started the ESP @ 2210 Hrs. observed the increasing the discharge pressure and gradually opened the wing valve. Increased the frequency to 50 Hz to 51 Hz. Parameters again started to fluctuate FAT reducing trend.  Manually shutdown the ESP and closed the wing valve and waited for pressure equalization. After equalization of pressure. Restarted the ESP @ 2336 Hrs. gradually open the wing valve. After 20 Min ESP parametrs and FAT started to fluctuate. Mainline pressure is 37.8 Kg/cm2@ 2230 Hrs.</t>
  </si>
  <si>
    <t>R9A#1: ESP restarted @ 0602 Hrs,.on 16.01.2022. R9A#2 : ESP restarted @ 0604 Hrs. on 16.01.2022. Noticed that ESP run no flow condition. Manually stopped the ESP @ 2110 Hrs. on 16.01.2022. bleed off the gas through the test separator. Closed the wing valve and Started the ESP @ 2210 Hrs. observed the increasing the discharge pressure and gradually opened the wing valve. Increased the frequency to 50 Hz to 51 Hz. Parameters again started to fluctuate FAT reducing trend.  Manually shutdown the ESP and closed the wing valve and waited for pressure equalization. After equalization of pressure. Restarted the ESP @ 2236 Hrs. gradually open the wing valve. After 20 Min ESP parameters and FAT started to fluctuate</t>
  </si>
  <si>
    <t>2.62/2.14</t>
  </si>
  <si>
    <t>16.6/16.7/16.5</t>
  </si>
  <si>
    <t>0.078/0.020/0.086</t>
  </si>
  <si>
    <t>1.48/2.70</t>
  </si>
  <si>
    <t>ESP manually stoped @ 1444 Hrs. on 17.01.2022 due to no flow because of High MLP and Low intake pressure. ONGC restarted the ESP @ 1736 Hrs. on 17.01.2022</t>
  </si>
  <si>
    <t>0343 Hrs</t>
  </si>
  <si>
    <t>1009 Hrs</t>
  </si>
  <si>
    <t>2.28+4.15</t>
  </si>
  <si>
    <t>R9A#1:ESP manually stopped @ 1444 Hrs. on 17.01.2022 due to no flow because of High MLP and Low intake pressure. ONGC restarted the ESP @ 1736 Hrs. on 17.01.2022</t>
  </si>
  <si>
    <t>ESP tripped on the Underload alarm at 0343 Hrs. Restarted the ESP @1009 Hrs 0n 17.01.2022. Running frequency 50 Hz.</t>
  </si>
  <si>
    <t>2.2/3.2</t>
  </si>
  <si>
    <t>14.1/14.2/14</t>
  </si>
  <si>
    <t>0.113/0.029/0.099</t>
  </si>
  <si>
    <t>15.1/15.2/15.1</t>
  </si>
  <si>
    <t>1.14/2.47</t>
  </si>
  <si>
    <t>17.5/17.4/17.5</t>
  </si>
  <si>
    <t>2.99/3.15</t>
  </si>
  <si>
    <t>14.6/14.7/14.4</t>
  </si>
  <si>
    <t>0.117/0.028/0.114</t>
  </si>
  <si>
    <t>14.4/14.4/14.5</t>
  </si>
  <si>
    <t>1.43/2.84</t>
  </si>
  <si>
    <t>0435 Hrs</t>
  </si>
  <si>
    <t>1555Hrs</t>
  </si>
  <si>
    <t>ESP tripped on Underload alarm @ 0435 Hrs. 19.01.2022. ESP was running low intake pressure and High MLP. ONGC restarted the ESP @ 1555 Hrs.</t>
  </si>
  <si>
    <t>1.42+9.92</t>
  </si>
  <si>
    <t>0717 Hrs</t>
  </si>
  <si>
    <t>0947 Hrs</t>
  </si>
  <si>
    <t>ESP tripped on the Underload alarm at 0717 Hrs.on 19.01.2022 Restarted the ESP @0947 Hrs 0n 19.01.2022.ESP again tripped on Underload alarm @ 1529 Hrs. on 19.01.2022.restarted the ESP @ 1752 Hrs. on 19.01.2022</t>
  </si>
  <si>
    <t>1529 Hrs</t>
  </si>
  <si>
    <t>R9A#1:ESP tripped on Underload alarm @ 0435 Hrs. 19.01.2022. ESP was running low intake pressure and High MLP. ONGC restarted the ESP @ 1555 Hrs.                                                                                            R9A#2 ESP tripped on the Underload alarm at 0717 Hrs.on 19.01.2022 Restarted the ESP @0947 Hrs 0n 19.01.2022.ESP again tripped on Underload alarm @ 1529 Hrs. on 19.01.2022.restarted the ESP @ 1752 Hrs. on 19.01.2022</t>
  </si>
  <si>
    <t>2.51/</t>
  </si>
  <si>
    <t>14/14.1/14</t>
  </si>
  <si>
    <t>0.127/0.026/0.145</t>
  </si>
  <si>
    <t>15,1/15.2/15.3</t>
  </si>
  <si>
    <t>1.18/1.87</t>
  </si>
  <si>
    <t>17.6/17.6/17.5</t>
  </si>
  <si>
    <t>0.087/0.023/0.092</t>
  </si>
  <si>
    <t>15.1/15.4/15.1</t>
  </si>
  <si>
    <t>1.13/2.47</t>
  </si>
  <si>
    <t>R9A#1 ESP tripped on High Motor temperature @ 0008 Hrs. on 21.01.2022 ESP is running below bubble point pressure and facing high backpressure from main line.ESP Kept shutdown for pressure build up. Target Intake pressure - 1400 PSI.</t>
  </si>
  <si>
    <t>0.073/0.028/0.099</t>
  </si>
  <si>
    <t>1.20/2.15</t>
  </si>
  <si>
    <t>17.6/17.5/17.5</t>
  </si>
  <si>
    <t>1.02/0.085</t>
  </si>
  <si>
    <t>17/16.9/16.6</t>
  </si>
  <si>
    <t>1540 Hrs</t>
  </si>
  <si>
    <t>VSD software updated to 33.67 version.Confirmed DH integrity . Phase to Phase - 6.5 Ohm balanced and Phase to Ground-366 M ohm ( 1000V @3 Min).Updated the setting as per MNP( 72 HP, 1692V, 25.7A @60 Hz). Performed no load test and confirmed the downhole voltage.Modes of start up changed to Swinging mode. Changed Direct acceleration rate to 14 Hz.Restarted the ESP @ 1434 Hrs. on 22.01.2022. starting frequency 40 Hz. Found VSD Amps  and Downhole Amps are different and Intake pressure reading lost and sensor parameters are freeze.ESP manually stopped @ 1444 Hrs. on 22.01.2022.after troubleshooting the sensor and VSD,ESP @ 1540 Hrs. 22.01.2022 with soft mode at 40 Hz.gradually increased to 50 Hz.</t>
  </si>
  <si>
    <t>VSD software updated to 33.67 version.Confirmed DH integrity. Phase to Phase - 6.5 Ohm balanced and Phase to Ground-366 M ohm ( 1000V @3 Min). Updated the setting as per MNP( 72 HP, 1692V, 25.7A @60 Hz). Performed no-load test and confirmed the downhole voltage. Modes of start up changed to Swinging mode. Changed Direct acceleration rate to 14 Hz. Restarted the ESP @ 1434 Hrs. on 22.01.2022. starting frequency 40 Hz. Found VSD Amps and Downhole Amps are different and Intake pressure reading lost and sensor parameters are freeze.ESP manually stopped @ 1444 Hrs. on 22.01.2022. after troubleshooting the sensor and VSD, ESP @ 1540 Hrs. 22.01.2022 with soft mode at 40 Hz.gradually increased to 50 Hz.</t>
  </si>
  <si>
    <t>Intake pressure-1177 PSI,
discharge pressure-1184 PSI,
Intake temp-102.5 Deg C,
Motor temp-102.7 Deg C,</t>
  </si>
  <si>
    <t>0.116/0.020/0.106</t>
  </si>
  <si>
    <t>15/14.9/14.9</t>
  </si>
  <si>
    <t>1.24/2.43</t>
  </si>
  <si>
    <t>0.068/0.052</t>
  </si>
  <si>
    <t>17/17/16.6</t>
  </si>
  <si>
    <t>High MLP, FAT fluctuating</t>
  </si>
  <si>
    <t>Intake pressure-1224 PSI
discharge pressure-1231 PSI
Intake temp-102.3 Deg C
Motor temp-102.5 Deg C</t>
  </si>
  <si>
    <t>1.37/0.81</t>
  </si>
  <si>
    <t>14.8/14.9/14.7</t>
  </si>
  <si>
    <t>0.087/0.024/0.08</t>
  </si>
  <si>
    <t>14.7/14.8/14.9</t>
  </si>
  <si>
    <t>1/2.04</t>
  </si>
  <si>
    <t>17.7/17.7/17.8</t>
  </si>
  <si>
    <t>0.57/0,46</t>
  </si>
  <si>
    <t>17.1/17.1/16.7</t>
  </si>
  <si>
    <t>14:32 Hrs</t>
  </si>
  <si>
    <t>ESP tripped on High Motor temperature @ 0008 Hrs. on 21.01.2022 ESP is running below bubble point pressure and facing high backpressure from main line.ESP Kept shutdown for pressure build up. Target Intake pressure - 1400 PSI.As per SAM ratna instruction ESP restarted @ 1432 Hrs. on 24.01.2022</t>
  </si>
  <si>
    <t>R9A#1:As per SAM Ratna instruction ESP restarted @ 1432 Hrson 24.01.2022. Intake pressure was 1249 PSI.</t>
  </si>
  <si>
    <t>2.24/2.13</t>
  </si>
  <si>
    <t>15.4/15.7/15.4</t>
  </si>
  <si>
    <t>0.033/0.029/0.030</t>
  </si>
  <si>
    <t>13.2/13.8/13.4</t>
  </si>
  <si>
    <t>0.94/1.61</t>
  </si>
  <si>
    <t>1.14/0.61</t>
  </si>
  <si>
    <t>16.7/16.7/16.4</t>
  </si>
  <si>
    <t xml:space="preserve">R9A#1 ESP tripped  @ 0554 Hrs.on25.01.2022on the Underload alarm.trips due to the High MLP. ( MLP reached above 40 Kg/cm2).Restarted the ESP @ 1730 Hrs. on 25.01.2022. </t>
  </si>
  <si>
    <t>0554 Hrs</t>
  </si>
  <si>
    <t>1730 Hrs</t>
  </si>
  <si>
    <t>0.1+11.5</t>
  </si>
  <si>
    <t>2.35/2.58</t>
  </si>
  <si>
    <t>15.6/15.7/15.4</t>
  </si>
  <si>
    <t>0.094/0.020/0.087</t>
  </si>
  <si>
    <t>15.3/15.4/15.5</t>
  </si>
  <si>
    <t>1.10/2.24</t>
  </si>
  <si>
    <t>0.87/0.54</t>
  </si>
  <si>
    <t>16.8/16.7/16.4</t>
  </si>
  <si>
    <t>0408  Hrs</t>
  </si>
  <si>
    <t>1327  Hrs</t>
  </si>
  <si>
    <t>ESP tripped on the Underload alarm at 0408 Hrs.on 26.01.2022 .due to High MLP. MLP reached above 41 Kg/cm2.Restarted the ESP during the decreasing trend of MLP  @1327 Hrs 0n 26.01.2022. Running frequency 51 Hz.</t>
  </si>
  <si>
    <t xml:space="preserve">1.87+7.45 </t>
  </si>
  <si>
    <t>R9A#2: ESP tripped on the Underload alarm at 0408 Hrs.on 26.01.2022 .due to High MLP. MLP reached above 41 Kg/cm2.Restarted the ESP during the decreasing trend of MLP  @1327 Hrs 0n 26.01.2022. Running frequency 51 Hz.</t>
  </si>
  <si>
    <t>2.50/3.6</t>
  </si>
  <si>
    <t xml:space="preserve">FAT is fluctuating </t>
  </si>
  <si>
    <t>0.088/0.022/0081</t>
  </si>
  <si>
    <t>15.2/15.2/15.3</t>
  </si>
  <si>
    <t>1.27/2.52</t>
  </si>
  <si>
    <t>0.97/0.55</t>
  </si>
  <si>
    <t>17.1/16.9/16.7</t>
  </si>
  <si>
    <t>3.02/3.72</t>
  </si>
  <si>
    <t>14.6/14.8/14.4</t>
  </si>
  <si>
    <t>0.116/0.028/0.088</t>
  </si>
  <si>
    <t>17.7/16.8/16.9</t>
  </si>
  <si>
    <t>1/2.23</t>
  </si>
  <si>
    <t>18/18/18</t>
  </si>
  <si>
    <t>0.62/065</t>
  </si>
  <si>
    <t>17.3/17.1/16.8</t>
  </si>
  <si>
    <t>R9A#4: ESP tripped @ 0828 Hrs. on 02.01.2022 due to phase fail alarm because of DG trip ESP restarted @ 1128 Hrs. on 02.01.2022. Suddenly tripped on the overload alarm. Confirmed DH resistance Phase to Phase and Phase to Ground value is OK. Tried with different modes of start-up and tried both forward and Reverse rotations but No changes, ESP tripped on overload. Performed the Diesel flushing job on 04.01.2022. and tried to start the ESP on different modes of startup and both Reverse and forward directions. on 05.01.2022 @ 1901 ESP started to run. Observed flow to the surface but diverted to production header found Motor temperature gradually increased. Decided to check other rotations. Shutdown the ESP @ 1423 Hrs on 06.01.2022. After changing the rotation restarted the ESP @1509 06.01.2022and found the good flow to the surface and all parameters came to previous.</t>
  </si>
  <si>
    <t>13:55 Hrs</t>
  </si>
  <si>
    <t>15:20 Hrs</t>
  </si>
  <si>
    <t>0.107/0.025/0.082</t>
  </si>
  <si>
    <t>R9A#1 ESP tripped on Underload @10:30 Hrs. on 29.01.2022 ESP is running below bubble point pressure and facing high backpressure from main line.ESP Kept shutdown for pressure build up. Target Intake pressure - 1400 PSI.</t>
  </si>
  <si>
    <t>R9A#2: ESP tripped on Underload @13:55Hrs.due to high MLP.bleed off the accumulated gas through the tubing. Restarted the ESP @ 15:20 Hrs. on 09.01.2022</t>
  </si>
  <si>
    <t>Static:Pi-1162 psi,Pd-1169 psi,Ti-102.5 Degc,Tm-102.8 Degc</t>
  </si>
  <si>
    <t>0.167/0.031/0.194</t>
  </si>
  <si>
    <t>15.3/15.2/15.1</t>
  </si>
  <si>
    <t>0.088/0.237</t>
  </si>
  <si>
    <t>16.3/16.5/16.4</t>
  </si>
  <si>
    <t>R9 to R10 pigging is going on.High MLP, FAT fluctuating</t>
  </si>
  <si>
    <t>0.066/0.055</t>
  </si>
  <si>
    <t>16.4/16.5/16.5</t>
  </si>
  <si>
    <t>R9A#1:ESP tripped on Underload @ 10:30 Hrs. on 29.01.2022 ESP is running below bubble point pressure and facing high backpressure from main line.ESP Kept shutdown for pressure build up. Target Intake pressure - 1400 PSI.                                R9A#2: ESP tripped on Underload @13:55Hrs.on 29.01.2022 due to high MLP.bleed off the gas and restarted at 15:20 Hrs. on 29.01.2022</t>
  </si>
  <si>
    <t>R9A#4:ESP tripped @ 0828 Hrs. on 02.01.2022 due to phase fail alarm because of DG trip ESP restarted @ 1128 Hrs. on 02.01.2022. Suddenly tripped on the overload alarm. Confirmed DH resistance Phase to Phase and Phase to Ground value is OK. Tried with different modes of start-up and tried both forward and Reverse rotations but No changes, ESP tripped on overload. Performed the Diesel flushing job on 04.01.2022. and tried to start the ESP on different modes of startup and both Reverse and forward directions. on 05.01.2022 @ 1901 ESP started to run. Observed flow to the surface but diverted to production header found Motor temperature gradually increased. Decided to check other rotations. Shutdown the ESP @ 1423 Hrs on 06.01.2022. After changing the rotation restarted the ESP @1509 06.01.2022and found the good flow to the surface and all parameters came to previous.                                                                                          R9A#2: ESP tripped on Underload @1009Hrs.on 06.01.2022.bleed off the accumalated gas through the tubing. Restarted the ESP @ 1451 Hrs. on 06.01.2022</t>
  </si>
  <si>
    <t>2.79/3.68</t>
  </si>
  <si>
    <t>Esp started at 09:45 hrs during pigging job as per Ongc request.</t>
  </si>
  <si>
    <t>1.69/2.95</t>
  </si>
  <si>
    <t>0.81/0.53</t>
  </si>
  <si>
    <t>16.7/16.6/16.3</t>
  </si>
  <si>
    <t xml:space="preserve">R9A#4: ESP tripped on High Motor Oil temp @06:45Hrs on 31.01.2022  due to High back pressure during pigging restarted at 08:55 Hrs. on 31.01.2022 </t>
  </si>
  <si>
    <t>06:45 Hrs</t>
  </si>
  <si>
    <t>0.177/0.023/0.188</t>
  </si>
  <si>
    <t>16.5/16.7/16.6</t>
  </si>
  <si>
    <t>High MLP.R9A#2: ESP tripped on Underload @20:00Hrs.on 31.01.2022 due to high MLP.Restarted at 22:00 Hrs. on 31.01.2022.Esp tripped on underload due to high Back pressure again at 01:40hrson 01/02/2022 and restarted at 06:00hrs on 01/02/2022.</t>
  </si>
  <si>
    <t>R9A#1:Esp started during pigging job at 09:45hrs as per Ongc request on 31.01.2022.                                                                                                             R9A#4: ESP tripped on High Motor Oil temp @06:45Hrs on 31.01.2022  due to High back pressure during pigging restarted at 08:55 Hrs. on 31.01.2022                                                              .R9A#2: ESP tripped on Underload @20:00Hrs.on 31.01.2022 due to high MLP.Restarted at 22:00 Hrs. on 31.01.2022.Esp tripped on underload due to high Back pressure again at 01:40hrson 01/02/2022 and restarted at 06:00hrs on 01/02/2022.</t>
  </si>
  <si>
    <t>R9A#2: ESP tripped on Underload @20:00Hrs.on 31.01.2022 due to high MLP.Restarted at 22:00 Hrs. on 31.01.2022.Esp tripped on underload due to high Back pressure again at 01:40hrson 01/02/2022 and restarted at 06:00hrs on 01/02/2022.</t>
  </si>
  <si>
    <t>R9A#2: ESP tripped on Underload @13:55Hrs.on 29.01.2022 due to high MLP.bleed off the gas and restarted at 15:20 Hrs. on 29.01.2022</t>
  </si>
  <si>
    <t>1.25 hrs</t>
  </si>
  <si>
    <t>2+4.20 Hrs</t>
  </si>
  <si>
    <t>Total shutdown hours due to Novomet  Feb 2022</t>
  </si>
  <si>
    <t>Total shutdown hours due to ONGC  Feb 2022</t>
  </si>
  <si>
    <t>Total running hours Feb 2022</t>
  </si>
  <si>
    <t>0.106/0.024/0.085</t>
  </si>
  <si>
    <t>0.93/2.03</t>
  </si>
  <si>
    <t>17.1/17/17</t>
  </si>
  <si>
    <t>1.56/0.90</t>
  </si>
  <si>
    <t>17/16.9/16.5</t>
  </si>
  <si>
    <t>R9A#1 ESP tripped on Underload @04:55 Hrs. on02.02.2022 ESP is running below bubble point pressure and facing high backpressure from main line.ESP Kept shutdown for pressure build up. Target Intake pressure - 1400 PSI.</t>
  </si>
  <si>
    <t>Static:Pi-1092 psi,Pd-1098 psi,Ti-103 Degc,Tm-103 Degc</t>
  </si>
  <si>
    <t>0.024/0.022/0.048</t>
  </si>
  <si>
    <t>15.1/15/15.1</t>
  </si>
  <si>
    <t>0.091/0.236</t>
  </si>
  <si>
    <t>17/16.9/17</t>
  </si>
  <si>
    <t>0.123/0.083</t>
  </si>
  <si>
    <t>17/17.1/16.9</t>
  </si>
  <si>
    <t>Static:Pi-1156 psi,Pd-1163psi,Ti-102.3 Degc,Tm-102.5Degc</t>
  </si>
  <si>
    <t>0.094/0.019/0.091</t>
  </si>
  <si>
    <t>1.11/2.36</t>
  </si>
  <si>
    <t>17/16.8/16.9</t>
  </si>
  <si>
    <t>0.087/0.72</t>
  </si>
  <si>
    <t>16.9/16.9/16.5</t>
  </si>
  <si>
    <t>Static:Pi-1208 psi,Pd-1214psi,Ti-102 Degc,Tm-102.2Degc</t>
  </si>
  <si>
    <t>1.11/2.01</t>
  </si>
  <si>
    <t>17.1/16.9/17</t>
  </si>
  <si>
    <t>0.86/0.80</t>
  </si>
  <si>
    <t>17.1/16.9/16.6</t>
  </si>
  <si>
    <t>R9A#2 ESP tripped on Underload @19:42 Hrs. on04.02.2022. Esp restarted at 22:30 hrs.</t>
  </si>
  <si>
    <t>2.48 hrs</t>
  </si>
  <si>
    <t>R9A#2 ESP tripped on Underload @19:42 Hrs Esp restarted at 22:30 hrs on 04.02.2022.</t>
  </si>
  <si>
    <t>Static:Pi-1254 psi,Pd-1260psi,Ti-101.8 Degc,Tm-102.1Degc</t>
  </si>
  <si>
    <t>15.3/15.3/15.4</t>
  </si>
  <si>
    <t>1.19/2.36</t>
  </si>
  <si>
    <t>0.89/0.92</t>
  </si>
  <si>
    <t>1.38/1</t>
  </si>
  <si>
    <t>0.0093/0.023/0.109</t>
  </si>
  <si>
    <t>1.03/2.10</t>
  </si>
  <si>
    <t>R9#A1:Esp restarted at 10:35 hrs on 06.02.2022.</t>
  </si>
  <si>
    <t>R9A#2 ESP tripped on Underload at 19:42 Hrs due to high MLP. Esp restarted at 22:30 hrs on 06.02.2022.                                                                            R9#A1:Esp restarted at 10:35 hrs on 06.02.2022.</t>
  </si>
  <si>
    <t xml:space="preserve">R9A#2 ESP tripped on Underload at 19:42 Hrs due to high MLP. Esp restarted at 22:30 hrs on 06.02.2022. </t>
  </si>
  <si>
    <t>Static:Pi-1084psi,Pd-1090psi,Ti-103.2 Degc,Tm-103.5Degc</t>
  </si>
  <si>
    <t>0.091/0.022/0.091</t>
  </si>
  <si>
    <t>R9A#1 ESP tripped on Underload @14:00 Hrs. on07.02.2022 ESP is running below bubble point pressure and facing high backpressure from main line.ESP Kept shutdown for pressure build up.</t>
  </si>
  <si>
    <t>Static:Pi-1166psi,Pd-1174psi,Ti-102 Degc,Tm-102.2Degc</t>
  </si>
  <si>
    <t>0.113/0.022/0.095</t>
  </si>
  <si>
    <t>15.8/15.8/16</t>
  </si>
  <si>
    <t>1/2.3</t>
  </si>
  <si>
    <t>1.68/1.48</t>
  </si>
  <si>
    <t>16.8/16.6/16.4</t>
  </si>
  <si>
    <t>R9#A2:Esp tripped on underload alarm at 12:20 hrs and restarted at 16:00 Hrs on 08.02.2022</t>
  </si>
  <si>
    <t>R9A#1 ESP tripped on Underload @13:55 Hrs. on07.02.2022 ESP is running below bubble point pressure and facing high backpressure from main line.ESP Kept shutdown for pressure build up.</t>
  </si>
  <si>
    <t>3.40 Hrs</t>
  </si>
  <si>
    <t>Static:Pi-1223psi,Pd-1230psi,Ti-101.8 Degc,Tm-102Degc</t>
  </si>
  <si>
    <t>0.091/0.025/0.097</t>
  </si>
  <si>
    <t>1.1/2.32</t>
  </si>
  <si>
    <t>17.6/17.4/17.5</t>
  </si>
  <si>
    <t>1.79/1.35</t>
  </si>
  <si>
    <t>17.2/17/16.7</t>
  </si>
  <si>
    <t>Static:Pi-1267psi,Pd-1274psi,Ti-101.6 Degc,Tm-101.8Degc</t>
  </si>
  <si>
    <t>0.094/0.027/0.083</t>
  </si>
  <si>
    <t>14.9/14.9/15</t>
  </si>
  <si>
    <t>1.14/2.4</t>
  </si>
  <si>
    <t>17.1/16.8/16.9</t>
  </si>
  <si>
    <t>0.63/0.54</t>
  </si>
  <si>
    <t>17.4/17.3/17</t>
  </si>
  <si>
    <t>R9#A2:Esp tripped on underload alarm at 06:25 hrs and restarted at 09:25 Hrs on 09.02.2022 tripped again due to high MLP at 03:20 hrs and restarted at 06:00 hrs on 10.02.2022.</t>
  </si>
  <si>
    <t>3 +2.40</t>
  </si>
  <si>
    <t>1.49/2.73</t>
  </si>
  <si>
    <t>16.5/16.6/16.4</t>
  </si>
  <si>
    <t>0.104/0.023/0.108</t>
  </si>
  <si>
    <t>15.1/15.2/15.3</t>
  </si>
  <si>
    <t>1.02/2.47</t>
  </si>
  <si>
    <t>17/16.9/16.9</t>
  </si>
  <si>
    <t>R9A1:Esp restarted as per Ongc request at 11:45hrs</t>
  </si>
  <si>
    <t>Static:Pi-1081psi,Pd-1088psi,Ti-103 Degc,Tm-103 Degc</t>
  </si>
  <si>
    <t>0.088/0.029/0.114</t>
  </si>
  <si>
    <t>17.4/17.6/17.5</t>
  </si>
  <si>
    <t>1.05/2.29</t>
  </si>
  <si>
    <t>17/16.8/16.8</t>
  </si>
  <si>
    <t>16.9/16.8/16.5</t>
  </si>
  <si>
    <t>R9A#1:ESP tripped on Underload @14:03 Hrs. on12.02.2022 ESP is running below bubble point pressure.ESP Kept shutdown for pressure build up.</t>
  </si>
  <si>
    <t>Static:Pi-1174psi,Pd-11181psi,Ti-101.8 Degc,Tm-102 Degc</t>
  </si>
  <si>
    <t>0.109/0.027/0.116</t>
  </si>
  <si>
    <t>16/16.3/16</t>
  </si>
  <si>
    <t>1.14/2.62</t>
  </si>
  <si>
    <t>17.8/17.6/17.7</t>
  </si>
  <si>
    <t>17.2/17.1/16.8</t>
  </si>
  <si>
    <t>R9A2:Esp tripped on underload alarm at 05:00 hrs due to high MLP and restarted at 09:45 hrs.</t>
  </si>
  <si>
    <t>R9A#1:ESP tripped on Underload @14:03 Hrs. on12.02.2022 ESP is running below bubble point pressure and facing high backpressure from main line.ESP Kept shutdown for pressure build up.                                                                                              R9#A2:Esp tripped on underload alarm at 05:00 hrs on 13.02.2022 due to high MLP and restarted at 09:45 hrs on 13.02.2022.</t>
  </si>
  <si>
    <t>Static:Pi-1230psi,Pd-1238psi,Ti-101.6 Degc,Tm-101.8 Degc</t>
  </si>
  <si>
    <t>0.165/0.025/0.150</t>
  </si>
  <si>
    <t>1.66/2.85</t>
  </si>
  <si>
    <t>17.3/17.1/17.1</t>
  </si>
  <si>
    <t>0.107/0.030/0.113</t>
  </si>
  <si>
    <t>1.6/2.95</t>
  </si>
  <si>
    <t>17.2/17/17.1</t>
  </si>
  <si>
    <t>1.11/1.35</t>
  </si>
  <si>
    <t>16.8/16.8/16.4</t>
  </si>
  <si>
    <t xml:space="preserve">Due to high MLP.Increased one freq </t>
  </si>
  <si>
    <t>Static:Pi-1272psi,Pd-1280psi,Ti-101.4 Degc,Tm-101.6 Degc</t>
  </si>
  <si>
    <t xml:space="preserve">R9#A2:Esp tripped on underload at 09:45 hrs due to high MLP and restarted at 11:00 Hrs on 15.02.2022. </t>
  </si>
  <si>
    <t xml:space="preserve">R9#A2:Esp tripped on underload at 09:45 hrs due to high MLP and restarted at 11:00 Hrs on 15.02.2022. Due to high MLP.Increased one freq </t>
  </si>
  <si>
    <t>1:15 hrs</t>
  </si>
  <si>
    <t>1.51/4.10</t>
  </si>
  <si>
    <t>17.1/17.2/17</t>
  </si>
  <si>
    <t>0.116/0.024/0.100</t>
  </si>
  <si>
    <t>15/15/15.3</t>
  </si>
  <si>
    <t>0.096/2.73</t>
  </si>
  <si>
    <t>17.3/17.1/17.2</t>
  </si>
  <si>
    <t>3.01/0.093</t>
  </si>
  <si>
    <t>17.2/17.1/16.7</t>
  </si>
  <si>
    <t>R9A1:Esp restarted as per Ongc SAM request at 19:15hrs.</t>
  </si>
  <si>
    <t>2.36/4.53</t>
  </si>
  <si>
    <t>14.5/14.7/14.4</t>
  </si>
  <si>
    <t>0.122/0.028/0.113</t>
  </si>
  <si>
    <t>1.41/2.47</t>
  </si>
  <si>
    <t>2.77/1.65</t>
  </si>
  <si>
    <t>R9#A2 Esp tripped on underload at 06:40 Hrs due to high MLPand restarted at 10:50hrs on 17.02.2022.</t>
  </si>
  <si>
    <t>0.123/0.176</t>
  </si>
  <si>
    <t>0.206/0.104</t>
  </si>
  <si>
    <t>17.1/17/16.7</t>
  </si>
  <si>
    <t>0.063/0.020/0.049</t>
  </si>
  <si>
    <t>68.3</t>
  </si>
  <si>
    <t>0.138/0.186</t>
  </si>
  <si>
    <t>15.1/15.3/15.1</t>
  </si>
  <si>
    <t>1.63/3.97</t>
  </si>
  <si>
    <t>15.6/15.8/15.5</t>
  </si>
  <si>
    <t>0.101/0.0121/0.095</t>
  </si>
  <si>
    <t>15.3/15.4/15.3</t>
  </si>
  <si>
    <t>65.8</t>
  </si>
  <si>
    <t>1.22/2.13</t>
  </si>
  <si>
    <t>2.11/2.41</t>
  </si>
  <si>
    <t>2.01/3.67</t>
  </si>
  <si>
    <t>0.210/0.019/0.194</t>
  </si>
  <si>
    <t>66.6</t>
  </si>
  <si>
    <t>1.33/2.18</t>
  </si>
  <si>
    <t>2.83/1.8</t>
  </si>
  <si>
    <t>R9#A1 tripped on underload at 18:35 hrs on 21.02.2020.ESP is running below bubble point pressure.ESP Kept shutdown for pressure build up.Target intake pressur-1400Psi.</t>
  </si>
  <si>
    <t>Static:Pi-1029psi,Pd-1038psi,Ti-105.8 Degc,Tm-105.5 Degc</t>
  </si>
  <si>
    <t>Static:Pi-1107psi,Pd-1115psi,Ti-102 Degc,Tm-102 Degc</t>
  </si>
  <si>
    <t>0.184/0.022/0.187</t>
  </si>
  <si>
    <t>1.13/2.6</t>
  </si>
  <si>
    <t>3.12/1.34</t>
  </si>
  <si>
    <t>MLP is normal,1 freq reduced</t>
  </si>
  <si>
    <t>Static:Pi-1167psi,Pd-1176psi,Ti-101.5 Degc,Tm-101.6 Degc</t>
  </si>
  <si>
    <t>1.09/2.34</t>
  </si>
  <si>
    <t>0.084/0.026/0.069</t>
  </si>
  <si>
    <t>13/13.1/13.2</t>
  </si>
  <si>
    <t>55.1</t>
  </si>
  <si>
    <t>Motor current  decreasing trend.</t>
  </si>
  <si>
    <t>Static:Pi-1214psi,Pd-1223psi,Ti-101.2 Degc,Tm-101.3 Degc</t>
  </si>
  <si>
    <t>0.156/0.26/0.160</t>
  </si>
  <si>
    <t>67.5</t>
  </si>
  <si>
    <t>1.14/2.42</t>
  </si>
  <si>
    <t>16.9/16.8/16.8</t>
  </si>
  <si>
    <t>1.59/0.91</t>
  </si>
  <si>
    <t>16.9/16.8/16.4</t>
  </si>
  <si>
    <t>Static:Pi-1255psi,Pd-1264psi,Ti-101.1 Degc,Tm-101.2 Degc</t>
  </si>
  <si>
    <t>0.107/0,026/0.,118</t>
  </si>
  <si>
    <t>15.8/15.8/15.9</t>
  </si>
  <si>
    <t>67.9</t>
  </si>
  <si>
    <t>1.17/3.45</t>
  </si>
  <si>
    <t>17.1/16.9/16.9</t>
  </si>
  <si>
    <t>1.99/1.20</t>
  </si>
  <si>
    <t>17.1/17.1/16.8</t>
  </si>
  <si>
    <t>Static:Pi-1289psi,Pd-1298psi,Ti-101 Degc,Tm-101.1 Degc</t>
  </si>
  <si>
    <t>0.106/0.023/0.084</t>
  </si>
  <si>
    <t>1.24/2.54</t>
  </si>
  <si>
    <t>17.1/6.9/17</t>
  </si>
  <si>
    <t>2.45/1.06</t>
  </si>
  <si>
    <t>R9#A2 Esp tripped on underload at 13:58 Hrs due to high MLPand restarted at 17:28hrs on 26.02.2022.</t>
  </si>
  <si>
    <t>1.23/2.5</t>
  </si>
  <si>
    <t>16.7/16.7/16.5</t>
  </si>
  <si>
    <t>0.115/0.0260.096</t>
  </si>
  <si>
    <t>1.55/3.59</t>
  </si>
  <si>
    <t>R9#A1:Esp restarted at 14:30 hrs as per ongc request.              R9#A2 :Esp tripped on underload at 14:18 Hrs and restarted at 17:00hrs on 27.02.2022.</t>
  </si>
  <si>
    <t>0.146/0.022/0.137</t>
  </si>
  <si>
    <t>1.11/2.6</t>
  </si>
  <si>
    <t>0.58/1.07</t>
  </si>
  <si>
    <t>R9#A1 tripped on underload at 15:15 hrs on 28.02.2020.ESP is running below bubble point pressure.ESP Kept shutdown for pressure build up.Target intake pressur-1400Psi.</t>
  </si>
  <si>
    <t>Static:Pi-1189psi,Pd-1196psi,Ti-101.8 Degc,Tm-102.1egc</t>
  </si>
  <si>
    <t>1.08/2.63</t>
  </si>
  <si>
    <t>66.`1</t>
  </si>
  <si>
    <t>1.12/1.35</t>
  </si>
  <si>
    <t>17.3/17.1/16.9</t>
  </si>
  <si>
    <t>2/4.49</t>
  </si>
  <si>
    <t>16.8/16.8/16.6</t>
  </si>
  <si>
    <t>Static:Pi-1201psi,Pd-1201psi,Ti-101.8 Degc,Tm-102.1egc</t>
  </si>
  <si>
    <t>Static:Pi-1236psi,Pd-1235psi,Ti-101.8 Degc,Tm-102.1egc</t>
  </si>
  <si>
    <t>0.141/0.025/0.101</t>
  </si>
  <si>
    <t>17.3/17.4/17.5</t>
  </si>
  <si>
    <t>74.3</t>
  </si>
  <si>
    <t>1.09/2.86</t>
  </si>
  <si>
    <t>17.1/17/17.1</t>
  </si>
  <si>
    <t>temperorily increase 1 Hz due to high MLP</t>
  </si>
  <si>
    <t>17.1/17/16.8</t>
  </si>
  <si>
    <r>
      <t xml:space="preserve">R9#A5: </t>
    </r>
    <r>
      <rPr>
        <sz val="11"/>
        <rFont val="Calibri"/>
        <family val="2"/>
        <charset val="204"/>
        <scheme val="minor"/>
      </rPr>
      <t>Esp manually shutdown at 12:09 hrs,Chikson flow line replaced with permanent flow arm line and restarted Esp at 18:10 hrs.</t>
    </r>
  </si>
  <si>
    <r>
      <t xml:space="preserve">R9A4: </t>
    </r>
    <r>
      <rPr>
        <sz val="11"/>
        <rFont val="Calibri"/>
        <family val="2"/>
        <charset val="204"/>
        <scheme val="minor"/>
      </rPr>
      <t xml:space="preserve">Esp manually shutdown at 09:20 hrs,Chikson flow line replaced with permanent flow arm line and restarted Esp at 15:30 hrs.        </t>
    </r>
    <r>
      <rPr>
        <b/>
        <sz val="11"/>
        <rFont val="Calibri"/>
        <family val="2"/>
        <scheme val="minor"/>
      </rPr>
      <t xml:space="preserve">                                                                                                   R9A1:</t>
    </r>
    <r>
      <rPr>
        <sz val="11"/>
        <rFont val="Calibri"/>
        <family val="2"/>
        <charset val="204"/>
        <scheme val="minor"/>
      </rPr>
      <t xml:space="preserve"> Esp restarted as per Ongc request at 15:32 Hrs on 03-Mar-22.                                                                                                              </t>
    </r>
    <r>
      <rPr>
        <b/>
        <sz val="11"/>
        <rFont val="Calibri"/>
        <family val="2"/>
        <charset val="204"/>
        <scheme val="minor"/>
      </rPr>
      <t>R9#A2:</t>
    </r>
    <r>
      <rPr>
        <sz val="11"/>
        <rFont val="Calibri"/>
        <family val="2"/>
        <charset val="204"/>
        <scheme val="minor"/>
      </rPr>
      <t xml:space="preserve">  Esp tripped on underload at 17:20 hrs and restarted Esp at 20:30 hrs.</t>
    </r>
  </si>
  <si>
    <r>
      <t xml:space="preserve">R9A2: </t>
    </r>
    <r>
      <rPr>
        <sz val="11"/>
        <rFont val="Calibri"/>
        <family val="2"/>
        <charset val="204"/>
        <scheme val="minor"/>
      </rPr>
      <t>Esp tripped on underload at 07:50 hrs,Chikson flow line replaced with permanent flow arm line and restarted Esp at 16:50 hrs.</t>
    </r>
  </si>
  <si>
    <t>15/15.1/14.8</t>
  </si>
  <si>
    <t>0.108/0.26/0.108</t>
  </si>
  <si>
    <t>64.9</t>
  </si>
  <si>
    <t>1.26/2.67</t>
  </si>
  <si>
    <t>1.55/2.29</t>
  </si>
  <si>
    <r>
      <t>R9#A2:</t>
    </r>
    <r>
      <rPr>
        <sz val="11"/>
        <rFont val="Calibri"/>
        <family val="2"/>
        <charset val="204"/>
        <scheme val="minor"/>
      </rPr>
      <t>Esp is tripped underload at 1015 hrs and restarted at 1600hrs dated 04.03.2022.</t>
    </r>
  </si>
  <si>
    <t>Static:Pi-1137psi,Pd-1145psi,Ti-103.4 Degc,Tm-103.7egc</t>
  </si>
  <si>
    <t>0.131/0.024/0.108</t>
  </si>
  <si>
    <t>67</t>
  </si>
  <si>
    <t>1.12/2.9</t>
  </si>
  <si>
    <t>0.72/1.10</t>
  </si>
  <si>
    <t>R9#A1 tripped on underload at 08:45 hrs on 05.03.2020.ESP is running below bubble point pressure.ESP Kept shutdown for pressure build up.Target intake pressur-1400Psi.</t>
  </si>
  <si>
    <t>0.129/0.021/0.109</t>
  </si>
  <si>
    <t>66.2</t>
  </si>
  <si>
    <t>1.08/2.29</t>
  </si>
  <si>
    <t>17.7/17.6/17.6</t>
  </si>
  <si>
    <t>0.083/0.97</t>
  </si>
  <si>
    <t>17.4/17.3/17.1</t>
  </si>
  <si>
    <t>Static:Pi-1200psi,Pd-1207psi,Ti-102.2 Degc,Tm-102.3 Degc</t>
  </si>
  <si>
    <t>0.073/0.031/0.074</t>
  </si>
  <si>
    <t>17.8/18/18</t>
  </si>
  <si>
    <t>76.4</t>
  </si>
  <si>
    <t>1.22/2.82</t>
  </si>
  <si>
    <t>17.8/17.6/17.6</t>
  </si>
  <si>
    <t>3.05/2.52</t>
  </si>
  <si>
    <t>17.5/17.4/17.1</t>
  </si>
  <si>
    <t xml:space="preserve">R9#A2:Esp tripped on underload due to high back pressure at 06:05 hrs and restarted at 10:10 hrs.Esp tripped again on underload at 18:15 hrs and restarted at 21:05 Hrs on 07.03.2022  </t>
  </si>
  <si>
    <t>R9#A2:Esp tripped on underload due to high back pressure at 06:05 hrs and restarted at 10:10 hrs.Esp tripped again on underload at 18:15 hrs and restarted at 21:05 Hrs on 07.03.2022</t>
  </si>
  <si>
    <t>Static:Pi-1286psi,Pd-1293psi,Ti-101.6 Degc,Tm-101.7 Degc</t>
  </si>
  <si>
    <t>0.140/0.027/0.116</t>
  </si>
  <si>
    <t>15.8/15.9/16</t>
  </si>
  <si>
    <t>1.37/2.65</t>
  </si>
  <si>
    <t>17.2/17.1/17.1</t>
  </si>
  <si>
    <t>17/16.8/16.6</t>
  </si>
  <si>
    <t>Static:Pi-1319psi,Pd-1328psi,Ti-101.4 Degc,Tm-101.6 Degc</t>
  </si>
  <si>
    <t>0.212/0.28/0.21</t>
  </si>
  <si>
    <t>13.8/13.8/13.9</t>
  </si>
  <si>
    <t>59.4</t>
  </si>
  <si>
    <t>1.32/2.96</t>
  </si>
  <si>
    <t>Static:Pi-1349psi,Pd-1358psi,Ti-101. Degc,Tm-101.2 Degc</t>
  </si>
  <si>
    <t>0.099/0.029/0.079</t>
  </si>
  <si>
    <t>75.6</t>
  </si>
  <si>
    <t>1.66/3.48</t>
  </si>
  <si>
    <t>17.3/17.2/16.9</t>
  </si>
  <si>
    <t xml:space="preserve">R9#A2:Esp tripped on underload due to high back pressure at 01:30 hrs and restarted at 20:00 hrs on 10.03.2022.  </t>
  </si>
  <si>
    <t>6.30 Hrs</t>
  </si>
  <si>
    <t>1.85/3.2</t>
  </si>
  <si>
    <t>16.2/16.2/16.1</t>
  </si>
  <si>
    <t>R9A1:Esp started at 17:25 Hrs as per Ongc request.</t>
  </si>
  <si>
    <t>R9#A1 tripped on underload at 08:45 hrs on 05.03.2020.ESP is running below bubble point pressure.ESP Kept shutdown for pressure build up.Target intake pressur-1400Psi.Esp started at 17:25 Hrs as per Ongc request on 11.03.2022</t>
  </si>
  <si>
    <t>69.6</t>
  </si>
  <si>
    <t>Motor temperature increasing trend.</t>
  </si>
  <si>
    <t>4.22/2.93</t>
  </si>
  <si>
    <t>0.232/0.022/0.115</t>
  </si>
  <si>
    <t>1.34/3.11</t>
  </si>
  <si>
    <t>1.49/2.36</t>
  </si>
  <si>
    <t>17.5/17.3/17.1</t>
  </si>
  <si>
    <t>Esp tripped on underload at 15:15 hrs on 28.02.2020.ESP is running below bubble point pressure.ESP Kept shutdown for pressure build up.Target intake pressur-1400Psi.Esp restarted as per Ongc request at 15:32 Hrs on 03-Mar-22.</t>
  </si>
  <si>
    <t>Static:Pi-1062psi,Pd-1072psi,Ti-106.9 Degc,Tm-107.2 Degc</t>
  </si>
  <si>
    <t>Static:Pi-1163psi,Pd-1168psi,Ti-102 Degc,Tm-102.2 Degc</t>
  </si>
  <si>
    <t>0.084/0.024/0.074</t>
  </si>
  <si>
    <t>13.2/13.4/13.3</t>
  </si>
  <si>
    <t>58</t>
  </si>
  <si>
    <t>1.26/2.57</t>
  </si>
  <si>
    <t>3.85/2.42</t>
  </si>
  <si>
    <t>17.3/17.2/17</t>
  </si>
  <si>
    <t>1.14/2.37</t>
  </si>
  <si>
    <t>Static:Pi-1223psi,Pd-1229psi,Ti-101.6 Degc,Tm-101. 6Degc</t>
  </si>
  <si>
    <t xml:space="preserve">R9#A2:Esp tripped on underload due to high back pressure at 19:35 hrs and restarted at 23:25 hrs on 10.03.2022. </t>
  </si>
  <si>
    <t>3.50 Hrs</t>
  </si>
  <si>
    <t>Static:Pi-1267psi,Pd-1273psi,Ti-101.3 Degc,Tm-101. 5Degc</t>
  </si>
  <si>
    <t>0.143/0.29/0.109</t>
  </si>
  <si>
    <t>1.27/2.87</t>
  </si>
  <si>
    <t xml:space="preserve">R9#A2:Esp tripped on underload due to high back pressure at 10:20 hrs and restarted at 17:00 hrs on 16.03.2022. </t>
  </si>
  <si>
    <t>Static:Pi-1304psi,Pd-1310psi,Ti-101.2 Degc,Tm-101. 4Degc</t>
  </si>
  <si>
    <t>0.151/0.029/0.126</t>
  </si>
  <si>
    <t>15.6/15.6/15.8</t>
  </si>
  <si>
    <t>0.93/2.47</t>
  </si>
  <si>
    <t xml:space="preserve">R9#A2:Esp tripped on underload due to high back pressure at 06:47 hrs and restarted at 14:50 hrs on 17.03.2022. </t>
  </si>
  <si>
    <t>2.4/0.78</t>
  </si>
  <si>
    <t>0.141/0.35/0.116</t>
  </si>
  <si>
    <t>14.8/14.9/14.9</t>
  </si>
  <si>
    <t>63.6</t>
  </si>
  <si>
    <t>1.13/2.59</t>
  </si>
  <si>
    <t>17.6/17.4/17.2</t>
  </si>
  <si>
    <t xml:space="preserve">R9#A1 tripped on underload at 20:30 hrs on 13.03.2020.ESP is running below bubble point pressure.ESP Kept shutdown for pressure build up.Target intake pressur-1400Psi.Esp started at 12:10 Hrs as per Ongc request. </t>
  </si>
  <si>
    <t xml:space="preserve">R9#A2:Esp tripped on underload due to high back pressure at 06:00 hrs and restarted at 12:08 hrs on 18.03.2022. </t>
  </si>
  <si>
    <t>6.08 Hrs</t>
  </si>
  <si>
    <t>Static:Pi-1238psi,Pd-1243psi,Ti-102.5 Degc,Tm-102. 7Degc</t>
  </si>
  <si>
    <t>0.118/0.030/0.078</t>
  </si>
  <si>
    <t>55.5</t>
  </si>
  <si>
    <t>1.03/2.69</t>
  </si>
  <si>
    <t>high MLP</t>
  </si>
  <si>
    <t>0.201/0.030/0.201</t>
  </si>
  <si>
    <t>R9#A1 tripped on underload at 20:37 hrs on 13.03.2020.ESP is running below bubble point pressure.ESP Kept shutdown for pressure build up.Target intake pressur-1400Psi.</t>
  </si>
  <si>
    <t>2.19/1.11</t>
  </si>
  <si>
    <t>16.2/16.3/16</t>
  </si>
  <si>
    <t>0.242/0.032/0.231</t>
  </si>
  <si>
    <t>13.4/13.4/13.5</t>
  </si>
  <si>
    <t>1.49/3.33</t>
  </si>
  <si>
    <t>R9#A1 tripped on underload at 06:30 hrs on 19.03.2020.ESP is running below bubble point pressure.ESP Kept shutdown for pressure build up.Target intake pressur-1400Psi.Esp started at 08:45 Hrs as per Ongc request on 21.03.2022.</t>
  </si>
  <si>
    <t>Static:Pi-1191psi,Pd-1198psi,Ti-102.2 Degc,Tm-102.3Degc</t>
  </si>
  <si>
    <t>0.151/0.027/0.11</t>
  </si>
  <si>
    <t>15.7/15.7/15.8</t>
  </si>
  <si>
    <t>1.03/2.24</t>
  </si>
  <si>
    <t>Static:Pi-1248psi,Pd-1255psi,Ti-101.6Degc,Tm-101.8Degc</t>
  </si>
  <si>
    <t>0.147/0.027/0.115</t>
  </si>
  <si>
    <t>17.1/17/16.6</t>
  </si>
  <si>
    <t>3.03/1.39</t>
  </si>
  <si>
    <t>0.068/0.026/0.070</t>
  </si>
  <si>
    <t>13.2/13.3/13.2</t>
  </si>
  <si>
    <t>56.8</t>
  </si>
  <si>
    <t>1.05/2.32</t>
  </si>
  <si>
    <t>17/16.8/17</t>
  </si>
  <si>
    <t>2.74/6.16</t>
  </si>
  <si>
    <t>0.136/0.022/0.118</t>
  </si>
  <si>
    <t>1.62/3.55</t>
  </si>
  <si>
    <t>1.57/1.78</t>
  </si>
  <si>
    <t>1.46/2.68</t>
  </si>
  <si>
    <t>17.2/17/17</t>
  </si>
  <si>
    <t>17.2/17.1/16.9</t>
  </si>
  <si>
    <t>2.13/2.63</t>
  </si>
  <si>
    <t>14.5/14.5/14.3</t>
  </si>
  <si>
    <t>0.135/0.031/0.11</t>
  </si>
  <si>
    <t>Freqency changed by Ongc platform incharge without informing novomet person on board.</t>
  </si>
  <si>
    <t>0.81/2.06</t>
  </si>
  <si>
    <t>Esp tripped on underload alarm at 00:25 hrs on 22.03.2022 and restarted at 07:00 hrs on 23.03.2022.</t>
  </si>
  <si>
    <t>Esp tripped on underload alarm due to high MLP at 09:06 hrs on 22.03.2022 and restarted at 18:28 hrs on 24.03.2022.</t>
  </si>
  <si>
    <t>Static:Pi-1084psi,Pd-1090psi,Ti-102.9Degc,Tm-103.1Degc</t>
  </si>
  <si>
    <t>1.17/3.34</t>
  </si>
  <si>
    <t>17.5/17.3/17.4</t>
  </si>
  <si>
    <t>Total running hours March 2022</t>
  </si>
  <si>
    <t>Total shutdown hours due to ONGC  March 2022</t>
  </si>
  <si>
    <t>Total shutdown hours due to Novomet  March 2022</t>
  </si>
  <si>
    <t>1.73/5.12</t>
  </si>
  <si>
    <t>16.5/16.5/16.4</t>
  </si>
  <si>
    <t>0.2/0.028/0.177</t>
  </si>
  <si>
    <t>1.13/2.69</t>
  </si>
  <si>
    <t>16.9/16.7/16.8</t>
  </si>
  <si>
    <t>1.53/2.06</t>
  </si>
  <si>
    <t>R9A#1:Esp started by ongc at 16:45 hrs on 31.03.2022.</t>
  </si>
  <si>
    <t xml:space="preserve">R9#A2:Esp tripped on underload due to high back pressure at 19:33 hrs and restarted at 23:25 hrs on 15.03.2022. </t>
  </si>
  <si>
    <t xml:space="preserve">R9#A2:Esp tripped on underload due to high back pressure at 10:15 hrs and restarted at 16:56 hrs on 16.03.2022. </t>
  </si>
  <si>
    <r>
      <t>R9#A2:</t>
    </r>
    <r>
      <rPr>
        <sz val="11"/>
        <rFont val="Calibri"/>
        <family val="2"/>
        <charset val="204"/>
        <scheme val="minor"/>
      </rPr>
      <t xml:space="preserve">Esp tripped on underload due to high back pressure at 06:47 hrs and restarted at 14:45 hrs on 17.03.2022. Esp trip again on underload due to high back pressure at 05:49 hrs and restarted at 12:05 hrs on 18.03.2022. </t>
    </r>
    <r>
      <rPr>
        <b/>
        <sz val="11"/>
        <rFont val="Calibri"/>
        <family val="2"/>
        <scheme val="minor"/>
      </rPr>
      <t xml:space="preserve">                                           R9A#2 </t>
    </r>
    <r>
      <rPr>
        <sz val="11"/>
        <rFont val="Calibri"/>
        <family val="2"/>
        <charset val="204"/>
        <scheme val="minor"/>
      </rPr>
      <t xml:space="preserve">Esp tripped on underload due to high back pressure at 01:36 hrs and restarted at 09:21 hrs on 19.03.2022.      </t>
    </r>
    <r>
      <rPr>
        <b/>
        <sz val="11"/>
        <rFont val="Calibri"/>
        <family val="2"/>
        <scheme val="minor"/>
      </rPr>
      <t xml:space="preserve">                                 R9A1:</t>
    </r>
    <r>
      <rPr>
        <sz val="11"/>
        <rFont val="Calibri"/>
        <family val="2"/>
        <charset val="204"/>
        <scheme val="minor"/>
      </rPr>
      <t xml:space="preserve">Esp started at 12:07 Hrs as per Ongc request on 18.03.2022. Esp tripped on underload at 06:33 hrs on 19.03.2020.ESP is running below bubble point pressure.ESP Kept shutdown for pressure build up.Target intake pressur-1400Psi.                                                                                                              </t>
    </r>
    <r>
      <rPr>
        <b/>
        <sz val="11"/>
        <rFont val="Calibri"/>
        <family val="2"/>
        <charset val="204"/>
        <scheme val="minor"/>
      </rPr>
      <t>R9A#2</t>
    </r>
    <r>
      <rPr>
        <sz val="11"/>
        <rFont val="Calibri"/>
        <family val="2"/>
        <charset val="204"/>
        <scheme val="minor"/>
      </rPr>
      <t xml:space="preserve"> Esp tripped on underload due to high back pressure at 00:30 hrs and restarted at 10:02 hrs.Esp tripped again at 23:28 hrs on 20.03.2022 and restarted at 08:42 hrs on 21.03.2022 </t>
    </r>
    <r>
      <rPr>
        <b/>
        <sz val="11"/>
        <rFont val="Calibri"/>
        <family val="2"/>
        <scheme val="minor"/>
      </rPr>
      <t xml:space="preserve">    </t>
    </r>
  </si>
  <si>
    <r>
      <t>R9A1:</t>
    </r>
    <r>
      <rPr>
        <sz val="11"/>
        <rFont val="Calibri"/>
        <family val="2"/>
        <charset val="204"/>
        <scheme val="minor"/>
      </rPr>
      <t xml:space="preserve">Esp started at 08:45 Hrs as per Ongc request on 21.03.2022 and tripped on underload at 20:21 hrs on 22.03.2020.ESP is running below bubble point pressure.ESP Kept shutdown for pressure build up.Target intake pressur-1400Psi.                                                                                                        </t>
    </r>
    <r>
      <rPr>
        <b/>
        <sz val="11"/>
        <rFont val="Calibri"/>
        <family val="2"/>
        <charset val="204"/>
        <scheme val="minor"/>
      </rPr>
      <t>R9A#2</t>
    </r>
    <r>
      <rPr>
        <sz val="11"/>
        <rFont val="Calibri"/>
        <family val="2"/>
        <charset val="204"/>
        <scheme val="minor"/>
      </rPr>
      <t>:Esp tripped on underload alarm at 00:22 hrs on 22.03.2022 and restarted at 06:57 hrs on 23.03.2022.</t>
    </r>
  </si>
  <si>
    <t>R9A#1:Esp started at 18:07 hrs on 25.03.2022                                R9A#2:Esp tripped on underload alarm due to high MLP at 04:01 hrs  and restarted at 06:06 hrs on 26.03.2022.Esp tripped again at 00:37 hrs on 27.03.2022 and restarted at 09:23 hrs on 27.03.2022.</t>
  </si>
  <si>
    <t>R9A2:Esp tripped on underload alarm due to high MLP at 13:14 hrs  and restarted at 18:16 hrs on 28.03.2022.</t>
  </si>
  <si>
    <t>R9A1:Esp tripped on underload at 03:18 hrs on 30.03.2020.ESP is running below bubble point pressure.ESP Kept shutdown for pressure build up.Target intake pressur-1400Psi.                    R9A2:Esp tripped on underload alarm due to high MLP at 12:55 hrs  and restarted at 16:27 hrs on 29.03.2022. Esp tripped again at 02:55 hrs on 30.03.2022 and restarted at 08:19 hrs on 30.3.2022.</t>
  </si>
  <si>
    <t>R9A#2:Esp tripped on underload alarm due to high MLP at 09:03 hrs restarted at 18:24 hrs on 24.03.2022.</t>
  </si>
  <si>
    <t>Esp tripped on underload alarm due to high MLP at 12:55 hrs  and restarted at 16:27 hrs on 29.03.2022. Esp tripped again at 02:55 hrs on 30.03.2022 and restarted at 08:19 hrs on 30.3.2022.</t>
  </si>
  <si>
    <t>Esp tripped on underload alarm due to high MLP at 13:14 hrs  and restarted at 18:16 hrs on 28.03.2022.</t>
  </si>
  <si>
    <t>Esp tripped on underload alarm due to high MLP at 04:01 hrs  and restarted at 06:06 hrs on 26.03.2022.Esp tripped again at 00:37 hrs on 27.03.2022 and restarted at 09:23 hrs on 27.03.2022.</t>
  </si>
  <si>
    <t>Total running hours April 2022</t>
  </si>
  <si>
    <t>Total shutdown hours due to ONGC  April 2022</t>
  </si>
  <si>
    <t>Total shutdown hours due to Novomet April 2022</t>
  </si>
  <si>
    <t>1.46/1.10</t>
  </si>
  <si>
    <t>0.191/0.025/0.160</t>
  </si>
  <si>
    <t>15.9/16.1/16.1</t>
  </si>
  <si>
    <t>1.07/2.39</t>
  </si>
  <si>
    <t>3.49/2.36</t>
  </si>
  <si>
    <t>1.90/1.10</t>
  </si>
  <si>
    <t>16/15.8/15.6</t>
  </si>
  <si>
    <t>0.158/0.027/0.143</t>
  </si>
  <si>
    <t>2.64/1.05</t>
  </si>
  <si>
    <t>1.55/1.10</t>
  </si>
  <si>
    <t>1247 Hrs</t>
  </si>
  <si>
    <t>1447 Hrs</t>
  </si>
  <si>
    <t>2 Hrs</t>
  </si>
  <si>
    <t>R9A#2:ESP tripped @ 1247 Hrs. on 02.04.2022 due to the Underload alarm because of high mainline pressure/ gas interference. Restarted the ESP @ 1447 Hrs. on 02.04.2022.</t>
  </si>
  <si>
    <t>R9A#2: ESP tripped @ 1247 Hrs. on 02.04.2022 due to the Underload alarm because of high mainline pressure/ gas interference. Restarted the ESP @ 1447 Hrs. on 02.04.2022.</t>
  </si>
  <si>
    <t>ESP tripped @ 1247 Hrs. on 02.04.2022 due to the Underload alarm because of high mainline pressure/ gas interference. Restarted the ESP @ 1447 Hrs. on 02.04.2022.</t>
  </si>
  <si>
    <t>1.87/3.2</t>
  </si>
  <si>
    <t>15/15.2/15</t>
  </si>
  <si>
    <t>0.192/0.031/0.188</t>
  </si>
  <si>
    <t>13.6/13.7/13.2</t>
  </si>
  <si>
    <t>57.2</t>
  </si>
  <si>
    <t>1.21/2.85</t>
  </si>
  <si>
    <t>2.58/1.32</t>
  </si>
  <si>
    <t>R9A#2: ESP tripped @ 0935 Hrs. on 03.04.2022 due to the Underload alarm because  gas interference. Restarted the ESP @ 1211 Hrs. on 03.04.2022.</t>
  </si>
  <si>
    <t>0935 Hrs</t>
  </si>
  <si>
    <t>1211 Hrs</t>
  </si>
  <si>
    <t>2236 Hrs</t>
  </si>
  <si>
    <t>0001 Hrs</t>
  </si>
  <si>
    <t>R9A#2: ESP tripped @ 0935 Hrs. on 03.04.2022 due to the Underload alarm because  gas interference. Restarted the ESP @ 1211 Hrs. on 03.04.2022.ESP again tripped @ 2236 Hrs. restarted @ 0001 Hrs. on 04.04.2022</t>
  </si>
  <si>
    <t>2.86/3.25</t>
  </si>
  <si>
    <t>15.2/15.3/15</t>
  </si>
  <si>
    <t>FAT is slightly fluctuating from 31 Deg C to 36 Deg C due to inflow issue.Max. MLP observed 37.8 Kg/cm2. low Intake pressure</t>
  </si>
  <si>
    <t>0.122/0.025/0.101</t>
  </si>
  <si>
    <t>13.9/13.9/14</t>
  </si>
  <si>
    <t>58.5</t>
  </si>
  <si>
    <t>Running Frequency temporarily set to 48 Hz for preventing sudden drop of Intake pressure. FAT is fluctuating from 44 Deg. C to 51 Deg. C. DH/ ESP parameters are still fluctuating.</t>
  </si>
  <si>
    <t>0256 Hrs</t>
  </si>
  <si>
    <t>0544 Hrs</t>
  </si>
  <si>
    <t>R9A#2:ESP tripped @ 0256 Hrs. on 04.04.2022 due to the Underload alarm. Restarted the ESP @ 0544 Hrs. on 04.04.2022.</t>
  </si>
  <si>
    <t>2.8 Hrs</t>
  </si>
  <si>
    <t>R9A#2: ESP tripped @ 0935 Hrs. on 03.04.2022 due to the Underload alarm because of gas interference. Restarted the ESP @ 1211 Hrs. on 03.04.2022.ESP again tripped @ 2236 Hrs. restarted @ 0001 Hrs. on 04.04.2022. ESP again tripped @ 0256 Hrs. on 04.04.2022 due to the Underload alarm. Restarted the ESP @ 0544 Hrs. on 04.04.2022.</t>
  </si>
  <si>
    <t>1.02/2.73</t>
  </si>
  <si>
    <t>0.454/0.344</t>
  </si>
  <si>
    <t>2.53/3.66</t>
  </si>
  <si>
    <t>14.3/14.6/14.1</t>
  </si>
  <si>
    <t>Intake pressure starting to increase and ESP parameters are fluctuating due to the low in flow.</t>
  </si>
  <si>
    <t>1.10/2.81</t>
  </si>
  <si>
    <t>3.59/2.40</t>
  </si>
  <si>
    <t>0934 Hrs</t>
  </si>
  <si>
    <t>1244 Hrs</t>
  </si>
  <si>
    <t>2328 Hrs</t>
  </si>
  <si>
    <t>0649 Hrs</t>
  </si>
  <si>
    <t>2.75 Hrs</t>
  </si>
  <si>
    <t>10.73 Hrs</t>
  </si>
  <si>
    <t xml:space="preserve"> ESP  tripped on Underload @ 1244 Hrs. on 05.04.2022.Due to frequennt trip of underload ESP kept shutdown for pressure build up as per Novomet base instruction. Target Intake pressure 1400 PSI. ESP restarted @2328 Hrs. on 05.04.2022. ( Static Intake pressure 1365 PSI).ESP is running with 50 Hz frequency.</t>
  </si>
  <si>
    <t>R9A#2ESP tripped on Underload @ 0649 Hrs. on 05.04.2022. Restarted the ESP @ 0934 Hrs. on 05.04.2022. ESP again tripped on Underload @ 1244 Hrs. on 05.04.2022. Due to frequent trips of underload ESP was kept shutdown for pressure build up as per Novomet base instruction. Target Intake pressure 1400 PSI. ESP restafrted @2328 Hrs. on 05.04.2022. ( Static Intake pressure 1365 PSI).ESP is running with 50 Hz frequency.</t>
  </si>
  <si>
    <t>0.089/0.025/0.064</t>
  </si>
  <si>
    <t>14.6/14.7/14.8</t>
  </si>
  <si>
    <t>62.3</t>
  </si>
  <si>
    <t>1.23/2.62</t>
  </si>
  <si>
    <t>3.81/3.26</t>
  </si>
  <si>
    <r>
      <rPr>
        <b/>
        <sz val="11"/>
        <color rgb="FFFF0000"/>
        <rFont val="Calibri"/>
        <family val="2"/>
        <charset val="204"/>
        <scheme val="minor"/>
      </rPr>
      <t xml:space="preserve">R9A#2: </t>
    </r>
    <r>
      <rPr>
        <b/>
        <sz val="11"/>
        <rFont val="Calibri"/>
        <family val="2"/>
        <scheme val="minor"/>
      </rPr>
      <t xml:space="preserve">ESP tripped on Underload @ 0649 Hrs. on 05.04.2022. Restarted the ESP @ 0934 Hrs. on 05.04.2022. ESP again tripped on Underload @ 1244 Hrs. on 05.04.2022. Due to frequent trips of underload ESP was kept shutdown for pressure build up as per Novomet base instruction. Target Intake pressure 1400 PSI. ESP restarted @2328 Hrs. on 05.04.2022. ( Static Intake pressure 1365 PSI).ESP is running with 50 Hz frequency.                                                                                               </t>
    </r>
    <r>
      <rPr>
        <b/>
        <sz val="11"/>
        <color rgb="FFFF0000"/>
        <rFont val="Calibri"/>
        <family val="2"/>
        <charset val="204"/>
        <scheme val="minor"/>
      </rPr>
      <t>R9A#1</t>
    </r>
    <r>
      <rPr>
        <b/>
        <sz val="11"/>
        <rFont val="Calibri"/>
        <family val="2"/>
        <scheme val="minor"/>
      </rPr>
      <t xml:space="preserve">:ESP tripped @23:31 Hrs. on 05.04.2022  on Underload alarm. Kept shutdown for the pressure build up. </t>
    </r>
  </si>
  <si>
    <t>ESP tripped @23:31 Hrs. on 05.04.2022  on the Underload alarm. Kept shutdown for the pressure build up.Static Intake pressure:1118 PSI.</t>
  </si>
  <si>
    <t>ESP tripped @23:31 Hrs. on 05.04.2022  on the Underload alarm. Kept shutdown for the pressure build up.Static Intake pressure:1167 PSI.</t>
  </si>
  <si>
    <t>0.082/0.019/0.066</t>
  </si>
  <si>
    <t>69.2</t>
  </si>
  <si>
    <t>1.35/2.9</t>
  </si>
  <si>
    <t>4.65/2.65</t>
  </si>
  <si>
    <t>17.8/17.6/17.4</t>
  </si>
  <si>
    <t>1036 Hrs</t>
  </si>
  <si>
    <t>12 Hrs</t>
  </si>
  <si>
    <t>R9A#2 : ESP tripped on Underload @ 1036 Hrs. on 07.04.2022. ESP kept shutdown for the pressure build up. Intake pressure reached 1320 PSI ,restarted the ESP @ 2236 Hrs. on 07.04.2022</t>
  </si>
  <si>
    <t>R9A#2 : ESP tripped on Underload @ 1036 Hrs. on 07.04.2022. ESP kept shutdown for the pressure build up. Intake pressure reached 1320 PSI ,restarted the ESP @ 2236 Hrs. on 07.04.2022. Running frequency set to 48 Hz for avoiding sudden drop of Intake pressure.</t>
  </si>
  <si>
    <t>Frequency increased to 48 Hz from 47 hz for tackle the back pressure.</t>
  </si>
  <si>
    <t>Frequency ramp up to 52.5 for tackle the back pressure.</t>
  </si>
  <si>
    <t>ESP tripped @23:31 Hrs. on 05.04.2022  on the Underload alarm. Kept shutdown for the pressure build up.Static Intake pressure:1209 PSI.</t>
  </si>
  <si>
    <t>1.62/2.54</t>
  </si>
  <si>
    <t>Frequency ramp down  to 47.5Hz from 48 hz.</t>
  </si>
  <si>
    <t>3.54/3.83</t>
  </si>
  <si>
    <t>17.3/17/17.3</t>
  </si>
  <si>
    <t>Frequency ramp  to 52 Hz from 52.5 HZ</t>
  </si>
  <si>
    <t>0.176/0.027/0.079</t>
  </si>
  <si>
    <t>16.9/17/17</t>
  </si>
  <si>
    <t>71.4</t>
  </si>
  <si>
    <t>1342 Hrs</t>
  </si>
  <si>
    <t>1905 Hrs</t>
  </si>
  <si>
    <t>2335 Hrs</t>
  </si>
  <si>
    <t>R9A#2 ESP tripped on underload @ 0935 Hrs. on 08.04.2022. Restarted the ESP at 1342 Hrs. on 08.04.2022.ESP again tripped @ 1905 Hrs. on 08.04.2022 due to underload alarm. Restarted the ESP @ 2335 Hrs. on 08.04.2022</t>
  </si>
  <si>
    <t>4.12 Hrs</t>
  </si>
  <si>
    <t>4.5 Hrs</t>
  </si>
  <si>
    <t>ESP tripped @23:31 Hrs. on 05.04.2022  on the Underload alarm. Kept shutdown for the pressure build up.Static Intake pressure:1246 PSI.</t>
  </si>
  <si>
    <t>0.080/0/.024/0.078</t>
  </si>
  <si>
    <t>1.88/3.42</t>
  </si>
  <si>
    <t>17.2/17.1/17.2</t>
  </si>
  <si>
    <t>2.49/2.33</t>
  </si>
  <si>
    <t>17.8/17.6/17.3</t>
  </si>
  <si>
    <t>0410 Hrs</t>
  </si>
  <si>
    <t>1041 Hrs</t>
  </si>
  <si>
    <t>1.83+4.68</t>
  </si>
  <si>
    <t>1523 Hrs</t>
  </si>
  <si>
    <t>2213 Hrs</t>
  </si>
  <si>
    <t>2322 Hrs</t>
  </si>
  <si>
    <t>R9A#2 ESP tripped on underload@ 0410 Hrs. on 09.04.2022.restarted @ 1041 Hrs.on 09.04.2022</t>
  </si>
  <si>
    <t>R9A#2 ESP tripped on underload@ 1523 Hrs. on 09.04.2022.restarted @ 1725 Hrs.on 09.04.2022. ESP again tripped on Underload @ 2213 Hrs. on 09.04.2022. restarted the ESP @ 2322 Hrs. on 09.04.2022</t>
  </si>
  <si>
    <r>
      <rPr>
        <b/>
        <sz val="11"/>
        <color rgb="FFFF0000"/>
        <rFont val="Calibri"/>
        <family val="2"/>
        <charset val="204"/>
        <scheme val="minor"/>
      </rPr>
      <t xml:space="preserve">R9A#2 </t>
    </r>
    <r>
      <rPr>
        <b/>
        <sz val="11"/>
        <rFont val="Calibri"/>
        <family val="2"/>
        <scheme val="minor"/>
      </rPr>
      <t xml:space="preserve">ESP tripped on underload@ 0410 Hrs. on 09.04.2022.restarted @ 1041 Hrs.on 09.04.2022                                   </t>
    </r>
    <r>
      <rPr>
        <b/>
        <sz val="11"/>
        <color rgb="FFFF0000"/>
        <rFont val="Calibri"/>
        <family val="2"/>
        <charset val="204"/>
        <scheme val="minor"/>
      </rPr>
      <t>R9A#2</t>
    </r>
    <r>
      <rPr>
        <b/>
        <sz val="11"/>
        <rFont val="Calibri"/>
        <family val="2"/>
        <scheme val="minor"/>
      </rPr>
      <t xml:space="preserve"> ESP tripped on underload@ 1523 Hrs. on 09.04.2022.restarted @ 1725 Hrs.on 09.04.2022. ESP again tripped on Underload @ 2213 Hrs. on 09.04.2022. restarted the ESP @ 2322 Hrs. on 09.04.2022</t>
    </r>
  </si>
  <si>
    <t>1.58/3.42</t>
  </si>
  <si>
    <t>16.4/16.5/16.3</t>
  </si>
  <si>
    <t>0.080/0/.025/0.080</t>
  </si>
  <si>
    <t>17/17.2/17.1</t>
  </si>
  <si>
    <t>73.5</t>
  </si>
  <si>
    <t>1.01/2.50</t>
  </si>
  <si>
    <t>3.85/3.05</t>
  </si>
  <si>
    <t>0305 Hrs</t>
  </si>
  <si>
    <t>0802 Hrs</t>
  </si>
  <si>
    <t>1226 Hrs</t>
  </si>
  <si>
    <t>10.04.2022</t>
  </si>
  <si>
    <t>1623 Hrs</t>
  </si>
  <si>
    <t>1655 Hrs</t>
  </si>
  <si>
    <t>0.53 Hrs</t>
  </si>
  <si>
    <t>1622 Hrs.</t>
  </si>
  <si>
    <t>1643 Hrs</t>
  </si>
  <si>
    <t>0.35 Hrs</t>
  </si>
  <si>
    <t>2.92+2.03</t>
  </si>
  <si>
    <t xml:space="preserve">0011 Hrs </t>
  </si>
  <si>
    <t>R9A#2: ESP tripped again 0305 Hrs. On 10.04.2022. restarted the ESP at 0802 Hrs. on 10.04.2022. again tripped @ 1226 hrs. on 10.04.2022. Kept shutdown for pressure build up (Target pressure-1400 PSI) restarted the ESP @0011 Hrs. on 11.04.2022</t>
  </si>
  <si>
    <t>11.04.2022</t>
  </si>
  <si>
    <t>0015 Hrs</t>
  </si>
  <si>
    <r>
      <rPr>
        <b/>
        <sz val="11"/>
        <color rgb="FFFF0000"/>
        <rFont val="Calibri"/>
        <family val="2"/>
        <charset val="204"/>
        <scheme val="minor"/>
      </rPr>
      <t xml:space="preserve">R9A#1 </t>
    </r>
    <r>
      <rPr>
        <b/>
        <sz val="11"/>
        <rFont val="Calibri"/>
        <family val="2"/>
        <scheme val="minor"/>
      </rPr>
      <t xml:space="preserve">ESP restarted @ 0015 Hrs. on11.04.2022.                               </t>
    </r>
    <r>
      <rPr>
        <b/>
        <sz val="11"/>
        <color rgb="FFFF0000"/>
        <rFont val="Calibri"/>
        <family val="2"/>
        <charset val="204"/>
        <scheme val="minor"/>
      </rPr>
      <t>R9A#2:</t>
    </r>
    <r>
      <rPr>
        <b/>
        <sz val="11"/>
        <rFont val="Calibri"/>
        <family val="2"/>
        <scheme val="minor"/>
      </rPr>
      <t xml:space="preserve"> ESP tripped again 0305 Hrs. On 10.04.2022. restarted the ESP at 0802 Hrs. on 10.04.2022. again tripped @ 1226 hrs. on 10.04.2022. Kept shutdown for pressure build up (Target pressure-1400 PSI) restarted the ESP @0011 Hrs. on 11.04.2022.                                                                                                 </t>
    </r>
    <r>
      <rPr>
        <b/>
        <sz val="11"/>
        <color rgb="FFFF0000"/>
        <rFont val="Calibri"/>
        <family val="2"/>
        <charset val="204"/>
        <scheme val="minor"/>
      </rPr>
      <t xml:space="preserve">R9A#4: </t>
    </r>
    <r>
      <rPr>
        <b/>
        <sz val="11"/>
        <rFont val="Calibri"/>
        <family val="2"/>
        <scheme val="minor"/>
      </rPr>
      <t xml:space="preserve">ESP tripped @ 1623 Hrs. on 10.04.2022 due to Power failure (DG shutdown). Restarted the ESP @ 1655 Hrs. on 10.04.2022.                                                                                                           </t>
    </r>
    <r>
      <rPr>
        <b/>
        <sz val="11"/>
        <color rgb="FFFF0000"/>
        <rFont val="Calibri"/>
        <family val="2"/>
        <charset val="204"/>
        <scheme val="minor"/>
      </rPr>
      <t>R9A#5:</t>
    </r>
    <r>
      <rPr>
        <b/>
        <sz val="11"/>
        <rFont val="Calibri"/>
        <family val="2"/>
        <scheme val="minor"/>
      </rPr>
      <t xml:space="preserve"> ESP tripped @ 1622 Hrs. on 10.04.2022 due to Power failure (DG shutdown). Restarted the ESP @ 1643 Hrs. on 10.04.2022.</t>
    </r>
  </si>
  <si>
    <t xml:space="preserve">R9A#4: ESP tripped @ 1623 Hrs. on 10.04.2022 due to Power failure (DG shutdown) . Restarted the ESP @ 1655 Hrs. on 10.04.2022. </t>
  </si>
  <si>
    <t xml:space="preserve">R9A#5: ESP tripped @ 1622 Hrs. on 10.04.2022 due to Power failure (DG shutdown) . Restarted the ESP @ 1643  Hrs. on 10.04.2022. </t>
  </si>
  <si>
    <t>1.68/1.96</t>
  </si>
  <si>
    <t>16/16.1/16</t>
  </si>
  <si>
    <t>0.114/0.022/0.090</t>
  </si>
  <si>
    <t>14.8/14.7/14.7</t>
  </si>
  <si>
    <t>1.32/2.59</t>
  </si>
  <si>
    <t>1.34/1.58</t>
  </si>
  <si>
    <t>17.4/17.1/17.4</t>
  </si>
  <si>
    <t>2331 Hrs</t>
  </si>
  <si>
    <t>R9A#1:ESP tripped @23:31 Hrs. on 05.04.2022  on Underload alarm. Kept shutdown for the pressure build up. ESP restarted @ 0015 Hrs. on 11.04.2022.</t>
  </si>
  <si>
    <t>0.109/0.021/0.094</t>
  </si>
  <si>
    <t>14.8/14.7/14.8</t>
  </si>
  <si>
    <t>1.26/3</t>
  </si>
  <si>
    <t>2.95/1.62</t>
  </si>
  <si>
    <t>1442 Hrs</t>
  </si>
  <si>
    <t>R9A#1:ESP tripped @ 1442 Hrs. on 12.04.2022  on Underload alarm. Kept shutdown for the pressure build up</t>
  </si>
  <si>
    <r>
      <rPr>
        <b/>
        <sz val="11"/>
        <color rgb="FFFF0000"/>
        <rFont val="Calibri"/>
        <family val="2"/>
        <charset val="204"/>
        <scheme val="minor"/>
      </rPr>
      <t>R9A#1:</t>
    </r>
    <r>
      <rPr>
        <b/>
        <sz val="11"/>
        <rFont val="Calibri"/>
        <family val="2"/>
        <scheme val="minor"/>
      </rPr>
      <t>ESP tripped @ 1442 Hrs. on 12.04.2022  on Underload alarm. Kept shutdown for the pressure build up</t>
    </r>
  </si>
  <si>
    <t>2325 Hrs</t>
  </si>
  <si>
    <t>1444 Hrs</t>
  </si>
  <si>
    <t xml:space="preserve">R9A#2 ESP tripped on underload@ 2325 Hrs. on 12.04.2022.restarted @ 1444 Hrs.on 13.04.2022. ESP again tripped on Underload @ 2210 Hrs. on 13.04.2022. </t>
  </si>
  <si>
    <t>1.32/3.33</t>
  </si>
  <si>
    <t>3.2/1.83</t>
  </si>
  <si>
    <t>17.4/71.3/17</t>
  </si>
  <si>
    <t>2.46/1.1</t>
  </si>
  <si>
    <t>2.87/2.60</t>
  </si>
  <si>
    <t>17.7/17.6/17.4</t>
  </si>
  <si>
    <t>0.082/0.027/0.069</t>
  </si>
  <si>
    <t>16.3/16.4/16.3</t>
  </si>
  <si>
    <t>0723 Hrs</t>
  </si>
  <si>
    <t>1800Hrs</t>
  </si>
  <si>
    <t>R9A#1:ESP tripped @ 1442 Hrs. on 12.04.2022  on Underload alarm. Kept shutdown for the pressure build up. Static Intake pressure-1251 PSI</t>
  </si>
  <si>
    <t>1.33/2.47</t>
  </si>
  <si>
    <t>0.99/2.74</t>
  </si>
  <si>
    <t>36,72</t>
  </si>
  <si>
    <t>23:42 Hrs</t>
  </si>
  <si>
    <t>2209 Hrs</t>
  </si>
  <si>
    <t>1719 Hrs</t>
  </si>
  <si>
    <t>ESP tripped on underload @ 1719 Hrs on 15.04.2022. Restarted the ESP 2325 Hrs. on 15.04.2022. Running frequency set to 46 Hz, for the suuden drop of Intake pressure</t>
  </si>
  <si>
    <t>R9A#2: ESP tripped on underload @ 1719 Hrs on 15.04.2022. Restarted the ESP 2325 Hrs. on 15.04.2022. Running frequency set to 46 Hz, for the suuden drop of Intake pressure</t>
  </si>
  <si>
    <t>R9A#1:ESP tripped @ 1442 Hrs. on 12.04.2022  on Underload alarm. Kept shutdown for the pressure build up. Static Intake pressure-1288 PSI</t>
  </si>
  <si>
    <t>1.08/2.60</t>
  </si>
  <si>
    <t>1.48/1.71</t>
  </si>
  <si>
    <t>0.07/0.025/0.068</t>
  </si>
  <si>
    <t>17.3/17.5/17.5</t>
  </si>
  <si>
    <t>73.9</t>
  </si>
  <si>
    <t>1337 Hrs</t>
  </si>
  <si>
    <t>R9A#2 ESP tripped on Underload @ 1337 Hrs. on 16.04.2022  Restarted the ESP @ 2341 Hrs. on 16.04.2022.</t>
  </si>
  <si>
    <t>2.41/1.53</t>
  </si>
  <si>
    <t>0.047/0.025/0.074</t>
  </si>
  <si>
    <t>12.9/12.8/12.9</t>
  </si>
  <si>
    <t>54.8</t>
  </si>
  <si>
    <t>1.54/2.97</t>
  </si>
  <si>
    <t>3.82/1.11</t>
  </si>
  <si>
    <t>R9A#1:ESP tripped @ 1442 Hrs. on 12.04.2022  on Underload alarm. Kept shutdown for the pressure build up. ESP restarted at 2335 Hrs. on 18.04.2022</t>
  </si>
  <si>
    <t>15.3 Hrs++17.57</t>
  </si>
  <si>
    <t>1.21/2.29</t>
  </si>
  <si>
    <t>2.58/2.51</t>
  </si>
  <si>
    <t>17.7/17.5/17.3</t>
  </si>
  <si>
    <t>R9A#1:ESP tripped @ 2017 Hrs. on 18.04.2022  on Underload alarm.</t>
  </si>
  <si>
    <t>0626 Hrs</t>
  </si>
  <si>
    <t>1332 Hrs</t>
  </si>
  <si>
    <t>1929 Hrs</t>
  </si>
  <si>
    <t>R9A#2: ESP tripped on Underload @ 0626 Hrs. on 18.04.2022. restarted the ESP @ 1332 Hrs. ESP again tripped on 1929 Hrs. 18.04.2022. ESP not yet started.</t>
  </si>
  <si>
    <t>R9A#1:ESP tripped @ 2017 Hrs. on 18.04.2022  on Underload alarm.Static Intake pressure-1230 PSI</t>
  </si>
  <si>
    <t>0.127/0.028/0.111</t>
  </si>
  <si>
    <t>14.7/14.6/14.7</t>
  </si>
  <si>
    <t>61.9</t>
  </si>
  <si>
    <t>ESP is running with 49 Hz</t>
  </si>
  <si>
    <t>1.64/3.43</t>
  </si>
  <si>
    <t>1.46/1.33</t>
  </si>
  <si>
    <t>Frequency increased to 53 Hz as per base instruction</t>
  </si>
  <si>
    <t>1918  Hrs</t>
  </si>
  <si>
    <t>R9A#1:ESP tripped @ 1918 Hrs. on 18.04.2022  on Underload alarm.</t>
  </si>
  <si>
    <t>R9A#1:ESP restarted at 2335 Hrs. on 18.04.2022</t>
  </si>
  <si>
    <t>0741 Hrs</t>
  </si>
  <si>
    <t>10.52+1.68</t>
  </si>
  <si>
    <t>R9A#2: ESP tripped on Underload @ 0626 Hrs. on 18.04.2022. restarted the ESP @ 1332 Hrs. ESP again tripped on 1929 Hrs. 18.04.2022. ESP restarted @ 0741 Hrs. on 19.04.2022</t>
  </si>
  <si>
    <t>R9A#1:ESP tripped @ 2017 Hrs. on 18.04.2022  on Underload alarm.Static Intake pressure-1281 PSI</t>
  </si>
  <si>
    <t>0.091/0.030/0.078</t>
  </si>
  <si>
    <t>14.6/14.6/14.7</t>
  </si>
  <si>
    <t>1.67/3.19</t>
  </si>
  <si>
    <t>17/16.9/16.7</t>
  </si>
  <si>
    <t>1.23/2.35</t>
  </si>
  <si>
    <t>16.6/16.8/16.6</t>
  </si>
  <si>
    <t>1.50/3.02</t>
  </si>
  <si>
    <t>17.2/17/  17</t>
  </si>
  <si>
    <t>2.18/2.40</t>
  </si>
  <si>
    <t>17/16.9/ 16.9</t>
  </si>
  <si>
    <t>R9A#2 : ESP tripped on Underload.ESP not yet started</t>
  </si>
  <si>
    <t>1.02/0.96</t>
  </si>
  <si>
    <t>16/16.2/16</t>
  </si>
  <si>
    <t>0.142/0.022/0.122</t>
  </si>
  <si>
    <t>14.7/14.9/14.9</t>
  </si>
  <si>
    <t>1.08/2.30</t>
  </si>
  <si>
    <t>1.33/1.40</t>
  </si>
  <si>
    <t>0.129/0.025/0.091</t>
  </si>
  <si>
    <t>14.3/14.3/14.4</t>
  </si>
  <si>
    <t>61.1</t>
  </si>
  <si>
    <t>1.31/2.30</t>
  </si>
  <si>
    <t>3.67/2.70</t>
  </si>
  <si>
    <t>17.5/17.4/17.2</t>
  </si>
  <si>
    <t>0.138/0.024/0.104</t>
  </si>
  <si>
    <t>62.8</t>
  </si>
  <si>
    <t>1.22/2.29</t>
  </si>
  <si>
    <t>2.96/2.73</t>
  </si>
  <si>
    <t>17/17/16.7</t>
  </si>
  <si>
    <t>0.126/0.028/0.106</t>
  </si>
  <si>
    <t>14.5/14.5/14.6</t>
  </si>
  <si>
    <t>1.33/2.07</t>
  </si>
  <si>
    <t>1.73/2.68</t>
  </si>
  <si>
    <t>17.04.2022</t>
  </si>
  <si>
    <t>1328 Hrs</t>
  </si>
  <si>
    <t>21.04.2022</t>
  </si>
  <si>
    <t>R9A#1:ESP tripped @ 1918 Hrs. on 18.04.2022  on Underload alarm.ESP restarted @ 1328 Hrs. on 21/04/2022</t>
  </si>
  <si>
    <t>0.15/0.025/0.153</t>
  </si>
  <si>
    <t>1.41/3.21</t>
  </si>
  <si>
    <t>17.9/17.7/17.8</t>
  </si>
  <si>
    <t>1.69/2.33</t>
  </si>
  <si>
    <t>18:51 Hrs</t>
  </si>
  <si>
    <t>20:01 Hrs</t>
  </si>
  <si>
    <t>Esp tripped due to Power failure ( DG tripped) @ 1851 Hrs. on 20/04/2022. Restarted the ESP @ 2001 Hrs. on 20/04/2022</t>
  </si>
  <si>
    <t>1.17 Hrs</t>
  </si>
  <si>
    <t>1850 Hrs</t>
  </si>
  <si>
    <t>1959 Hrs</t>
  </si>
  <si>
    <t>R9A#5: ESP  tripped due to Power failure ( DG tripped) @ 1850 Hrs. on 20/04/2022. Restarted the ESP @ 1959 Hrs. on 20/04/2022</t>
  </si>
  <si>
    <t>1852 Hrs</t>
  </si>
  <si>
    <t>2128 Hrs</t>
  </si>
  <si>
    <t>R9A#2: ESP  tripped due to Power failure ( DG tripped) @ 1852 Hrs. on 20/04/2022. Restarted the ESP @ 2128 Hrs. on 20/04/2022</t>
  </si>
  <si>
    <r>
      <rPr>
        <b/>
        <sz val="11"/>
        <color rgb="FFFF0000"/>
        <rFont val="Calibri"/>
        <family val="2"/>
        <charset val="204"/>
        <scheme val="minor"/>
      </rPr>
      <t>R9A#4:</t>
    </r>
    <r>
      <rPr>
        <b/>
        <sz val="11"/>
        <rFont val="Calibri"/>
        <family val="2"/>
        <scheme val="minor"/>
      </rPr>
      <t xml:space="preserve">ESP tripped due to Power failure ( DG tripped) @ 1851 Hrs. on 20/04/2022. Restarted the ESP @ 2001 Hrs. on 20/04/2022                                                                                                             </t>
    </r>
    <r>
      <rPr>
        <b/>
        <sz val="11"/>
        <color rgb="FFFF0000"/>
        <rFont val="Calibri"/>
        <family val="2"/>
        <charset val="204"/>
        <scheme val="minor"/>
      </rPr>
      <t xml:space="preserve">R9A#5: </t>
    </r>
    <r>
      <rPr>
        <b/>
        <sz val="11"/>
        <rFont val="Calibri"/>
        <family val="2"/>
        <scheme val="minor"/>
      </rPr>
      <t xml:space="preserve">ESP  tripped due to Power failure ( DG tripped) @ 1850 Hrs. on 20/04/2022. Restarted the ESP @ 1959 Hrs. on 20/04/2022                                                                                             </t>
    </r>
    <r>
      <rPr>
        <b/>
        <sz val="11"/>
        <color rgb="FFFF0000"/>
        <rFont val="Calibri"/>
        <family val="2"/>
        <charset val="204"/>
        <scheme val="minor"/>
      </rPr>
      <t xml:space="preserve">R9A#2: </t>
    </r>
    <r>
      <rPr>
        <b/>
        <sz val="11"/>
        <rFont val="Calibri"/>
        <family val="2"/>
        <scheme val="minor"/>
      </rPr>
      <t>ESP  tripped due to Power failure ( DG tripped) @ 1852 Hrs. on 20/04/2022. Restarted the ESP @ 2128 Hrs. on 20/04/2022</t>
    </r>
  </si>
  <si>
    <t>0830 Hrs</t>
  </si>
  <si>
    <t>R9A#2: ESP tripped on Underload @ 0211 Hrs. on 21/04/2022. Restarted the ESP @ 0830 Hrs. on 21.04.2022</t>
  </si>
  <si>
    <t>3.82+2.5</t>
  </si>
  <si>
    <r>
      <rPr>
        <b/>
        <sz val="11"/>
        <color rgb="FFFF0000"/>
        <rFont val="Calibri"/>
        <family val="2"/>
        <charset val="204"/>
        <scheme val="minor"/>
      </rPr>
      <t>R9A#1</t>
    </r>
    <r>
      <rPr>
        <b/>
        <sz val="11"/>
        <rFont val="Calibri"/>
        <family val="2"/>
        <scheme val="minor"/>
      </rPr>
      <t xml:space="preserve">:ESP restarted @ 1328 Hrs. on 21/04/2022.                           </t>
    </r>
    <r>
      <rPr>
        <b/>
        <sz val="11"/>
        <color rgb="FFFF0000"/>
        <rFont val="Calibri"/>
        <family val="2"/>
        <charset val="204"/>
        <scheme val="minor"/>
      </rPr>
      <t>R9A#2</t>
    </r>
    <r>
      <rPr>
        <b/>
        <sz val="11"/>
        <rFont val="Calibri"/>
        <family val="2"/>
        <scheme val="minor"/>
      </rPr>
      <t>: ESP tripped on Underload @ 0211 Hrs. on 21/04/2022. Restarted the ESP @ 0830 Hrs. on 21.04.2022</t>
    </r>
  </si>
  <si>
    <t>R9A#1 : ESP tripped on Underload @ 1837 Hrs. on 23/04/2022. ESP kept shutdown for pressure build up</t>
  </si>
  <si>
    <t>R9A#1 : ESP tripped on Underload @ 1837 Hrs. on 23/04/2022. ESP kept shutdown for pressure build up. Static Intake pressure:1240 PSI.</t>
  </si>
  <si>
    <t>R9A#1 : ESP tripped on Underload @ 1837 Hrs. on 23/04/2022. ESP kept shutdown for pressure build up. Static Intake pressure:1271 PSI.</t>
  </si>
  <si>
    <t>0.136/0.029/0.106</t>
  </si>
  <si>
    <t>14.6/14.9/14.6</t>
  </si>
  <si>
    <t>64</t>
  </si>
  <si>
    <t>1.13/3.51</t>
  </si>
  <si>
    <t xml:space="preserve">R9A#1 : ESP tripped on Underload @ 1837 Hrs. on 23/04/2022. </t>
  </si>
  <si>
    <t>2124 Hrs</t>
  </si>
  <si>
    <t>0906 Hrs</t>
  </si>
  <si>
    <t>1428 Hrs</t>
  </si>
  <si>
    <t>1840 HRs</t>
  </si>
  <si>
    <t>R9A#1 : ESP tripped on Underload @ 1837 Hrs. on 23/04/2022. ESP kept shutdown for pressure build up. Static Intake pressure:1297 PSI.</t>
  </si>
  <si>
    <t>0.155/0.021/0.104</t>
  </si>
  <si>
    <t>14.1/14.2/14.2</t>
  </si>
  <si>
    <t>60.6</t>
  </si>
  <si>
    <t>1.11/2.37</t>
  </si>
  <si>
    <t>R9A#2: ESP tripped on Underload @ 2124 Hrs. on 21/04/2022. Restarted the ESP @ 0906 Hrs. on 22.04.2022</t>
  </si>
  <si>
    <t>R9A#2: ESP tripped on Underload @ 1428 Hrs. on 24/04/2022. Restarted the ESP @ 1840 Hrs. on 24/04/2022</t>
  </si>
  <si>
    <t>8.6+3.1</t>
  </si>
  <si>
    <t>0139 Hrs</t>
  </si>
  <si>
    <t>1154 Hrs</t>
  </si>
  <si>
    <t>4.35+5.9</t>
  </si>
  <si>
    <t>R9A#2: ESP tripped on Underload @ 0139 Hrs. on 27/04/2022. Restarted the ESP @ 1154 Hrs. on 27.04.2022</t>
  </si>
  <si>
    <t>1.24/0.88</t>
  </si>
  <si>
    <t>0.135/0.025/0.111</t>
  </si>
  <si>
    <t>14.6/14.7/14.7</t>
  </si>
  <si>
    <t>1.64/3.19</t>
  </si>
  <si>
    <t>1217 Hrs</t>
  </si>
  <si>
    <t>R9A#2: ESP tripped on Underload @ 0410 Hrs. on 29/04/2022. Restarted the ESP @ 1217 Hrs. on 29/04/2022</t>
  </si>
  <si>
    <t>1.83+6.28</t>
  </si>
  <si>
    <t>28.04.2023</t>
  </si>
  <si>
    <t>2216 Hrs</t>
  </si>
  <si>
    <t>R9A#1 : ESP tripped on Underload @ 1837 Hrs. on 23/04/2022. ESP restarted @ 2216 Hrs. on 28/04/2022</t>
  </si>
  <si>
    <t>16.25 Hrs</t>
  </si>
  <si>
    <t>R9A#2: ESP tripped on Underload @ 0410 Hrs. on 29/04/2022. Restarted the ESP @ 1217 Hrs. on 29/04/202</t>
  </si>
  <si>
    <t>R9A#1:ESP restarted @ 2216 Hrs. on 28/04/2022</t>
  </si>
  <si>
    <t>0.020/0.050/0.068</t>
  </si>
  <si>
    <t>14.2/14.3/14.3</t>
  </si>
  <si>
    <t>61.5</t>
  </si>
  <si>
    <t>0.9/2.09</t>
  </si>
  <si>
    <t xml:space="preserve">R9A#1:ESP tripped @ 1728 Hrs. on 30.04.2022 </t>
  </si>
  <si>
    <t>12.53 Hrs</t>
  </si>
  <si>
    <t>R9A#1: ESP tripped @1782 Hrs. on 30.04.2022 on Underload alarm.kept shutdown for pressure build up.</t>
  </si>
  <si>
    <t>0.021/0.109/0.115</t>
  </si>
  <si>
    <t>68.8</t>
  </si>
  <si>
    <t>0.96/1.99</t>
  </si>
  <si>
    <t>Total running hours May 2022</t>
  </si>
  <si>
    <t>Total shutdown hours due to ONGC  May  2022</t>
  </si>
  <si>
    <t>Total shutdown hours due to Novomet May 2022</t>
  </si>
  <si>
    <t>R9A#1: ESP tripped @1782 Hrs. on 30.04.2022 on Underload alarm.kept shutdown for pressure build up. Static pressure-1199 PSI</t>
  </si>
  <si>
    <t>0.021/0.112/0.152</t>
  </si>
  <si>
    <t>15/15/15</t>
  </si>
  <si>
    <t>Frequency increased to 50 Hz for tackle the backpressure.</t>
  </si>
  <si>
    <t>1.33/3.08</t>
  </si>
  <si>
    <t>17.1/17/16.9</t>
  </si>
  <si>
    <t>0230 Hrs</t>
  </si>
  <si>
    <t>0815 Hrs</t>
  </si>
  <si>
    <t>3.5+2.25</t>
  </si>
  <si>
    <t xml:space="preserve">Found FAT is reducing trend ,frequency ramp up to 48.5 . ESP facing back pressure due to pigging job. Frequency return back to 47.5 Hz after normalize the pressure.  </t>
  </si>
  <si>
    <t>R9A#1: ESP tripped @1782 Hrs. on 30.04.2022 on Underload alarm.kept shutdown for pressure build up. Static pressure- 1244PSI</t>
  </si>
  <si>
    <t>0.190/0.025/0.114</t>
  </si>
  <si>
    <t>1.16/2.02</t>
  </si>
  <si>
    <t>6.6+8.72</t>
  </si>
  <si>
    <t xml:space="preserve">R9A#2 ESP tripped on underload@ 2325 Hrs. on 12.04.2022.restarted @ 1444 Hrs.on 13.04.2022. </t>
  </si>
  <si>
    <t>ESP again tripped on Underload @ 2209 Hrs. on 13.04.2022. Restarted the ESP @ 0723 Hrs. on 14.04.2022. ESP again tripped  on Underload @ 1800 Hrs on 14.04.2022. Restarted the ESP @ 2342 Hrs. on 14.04.2022</t>
  </si>
  <si>
    <t>7.85+1.38</t>
  </si>
  <si>
    <t>R9A#2: ESP again tripped on Underload @ 2209 Hrs. on 13.04.2022. Restarted the ESP @ 0723 Hrs. on 14.04.2022. ESP again tripped  on Underload @ 1800 Hrs on 14.04.2022. Restarted the ESP @ 2342 Hrs. on 14.04.2022</t>
  </si>
  <si>
    <t>R9A#1: ESP tripped @1782 Hrs. on 30.04.2022 on Underload alarm.kept shutdown for pressure build up. Static pressure- 1278 PSI</t>
  </si>
  <si>
    <t>0.115/0.024/0.101</t>
  </si>
  <si>
    <t>1.69/3.20</t>
  </si>
  <si>
    <t>1.07/0.98</t>
  </si>
  <si>
    <t>3.64/1.79</t>
  </si>
  <si>
    <t>0.022/0.067/0.048</t>
  </si>
  <si>
    <t>14.1/13.8/14.1</t>
  </si>
  <si>
    <t>63.1</t>
  </si>
  <si>
    <t>0657 Hrs</t>
  </si>
  <si>
    <t>1349 Hrs</t>
  </si>
  <si>
    <t>R9A#2: ESP tripped on Underload @ 0657 Hrs. on 04/05/2022. Restarted the ESP @ 1349 Hrs. on 04/05/2022</t>
  </si>
  <si>
    <t>0819 Hrs</t>
  </si>
  <si>
    <t>2.3 Hrs</t>
  </si>
  <si>
    <t>R9A#1:ESP tripped @ 1728 Hrs. on 30.04.2022. ONGC restarted the well at 0819 Hrs. on 05.05.2022</t>
  </si>
  <si>
    <t>R9A#1: ONGC restarted the well at 0819 Hrs. on 05.05.2022</t>
  </si>
  <si>
    <t>0.87/0.94</t>
  </si>
  <si>
    <t>1.19/2.97</t>
  </si>
  <si>
    <t>0.032/0.097/0.038</t>
  </si>
  <si>
    <t>54.5</t>
  </si>
  <si>
    <t>12.9/13.1/12.8</t>
  </si>
  <si>
    <t>0.113/0.022/0.081</t>
  </si>
  <si>
    <t>1.05/2.01</t>
  </si>
  <si>
    <t>1713 Hrs</t>
  </si>
  <si>
    <t xml:space="preserve">R9A#1:ESP tripped @ 1713 Hrs. on 07.05.2022. </t>
  </si>
  <si>
    <t>12.78 Hrs</t>
  </si>
  <si>
    <t>2007 Hrs</t>
  </si>
  <si>
    <t>0957 Hrs</t>
  </si>
  <si>
    <t>9.88+3.95</t>
  </si>
  <si>
    <t>R9A#2: ESP tripped on Underload @ 2007 Hrs. on 06/05/2022. ONGC Restarted the ESP @ 0957 Hrs. on 07/05/2022</t>
  </si>
  <si>
    <r>
      <rPr>
        <b/>
        <sz val="11"/>
        <color rgb="FFFF0000"/>
        <rFont val="Calibri"/>
        <family val="2"/>
        <charset val="204"/>
        <scheme val="minor"/>
      </rPr>
      <t>R9A#2:</t>
    </r>
    <r>
      <rPr>
        <b/>
        <sz val="11"/>
        <rFont val="Calibri"/>
        <family val="2"/>
        <scheme val="minor"/>
      </rPr>
      <t xml:space="preserve"> ESP tripped on Underload @ 2007 Hrs. on 06/05/2022. ONGC Restarted the ESP @ 0957 Hrs. on 07/05/2022                 </t>
    </r>
    <r>
      <rPr>
        <b/>
        <sz val="11"/>
        <color rgb="FFFF0000"/>
        <rFont val="Calibri"/>
        <family val="2"/>
        <charset val="204"/>
        <scheme val="minor"/>
      </rPr>
      <t>R9A#1:</t>
    </r>
    <r>
      <rPr>
        <b/>
        <sz val="11"/>
        <rFont val="Calibri"/>
        <family val="2"/>
        <scheme val="minor"/>
      </rPr>
      <t xml:space="preserve">ESP tripped @ 1713 Hrs. on 07.05.2022. </t>
    </r>
  </si>
  <si>
    <t>0.051/0.021/0.036</t>
  </si>
  <si>
    <t>14.2/14.1/14.2</t>
  </si>
  <si>
    <t>60.2</t>
  </si>
  <si>
    <t>4.10/1.94</t>
  </si>
  <si>
    <t>1750 Hrs</t>
  </si>
  <si>
    <t>R9A#2: ESP tripped on Underload @ 1020 Hrs. on 08/05/2022. Restarted the ESP @ 1750 Hrs. on 08/05/2022</t>
  </si>
  <si>
    <t>1.13/2.80</t>
  </si>
  <si>
    <t>0.056/0.022/0.06</t>
  </si>
  <si>
    <t>14.3/14.2/14.4</t>
  </si>
  <si>
    <t>0.051/0.020/0.052</t>
  </si>
  <si>
    <t>15.6/15.8/15.4</t>
  </si>
  <si>
    <t>66</t>
  </si>
  <si>
    <t>Frequency set to 48 Hz for maitaining Intake pressure</t>
  </si>
  <si>
    <t>1.16/1.93</t>
  </si>
  <si>
    <t>Sensor readings got freeze</t>
  </si>
  <si>
    <t>2100 Hrs</t>
  </si>
  <si>
    <t>0035 Hrs</t>
  </si>
  <si>
    <t>R9A#2: ESP tripped on Underload @ 2100 Hrs. on 09/05/2022. Restarted the ESP @ 0035Hrs. on 10/05/2022</t>
  </si>
  <si>
    <t>R9A#1:ESP tripped @ 1713 Hrs. on 07.05.2022. Static Intake pressure-1260 PSI</t>
  </si>
  <si>
    <t>1.31/3.13</t>
  </si>
  <si>
    <t>17.6/17.5/17.2</t>
  </si>
  <si>
    <t>0150 Hrs</t>
  </si>
  <si>
    <t>4.17+3.75</t>
  </si>
  <si>
    <t>R9A#2: ESP tripped on Underload @ 0150 Hrs. on 11/05/2022. Restarted the ESP @ 0945Hrs. on 11/05/2022. ESP again tripped underload at1629 Hrs. on 11.05.2022. ESP not yet started . Wating for pressure build up.</t>
  </si>
  <si>
    <t>R9A#1:ESP tripped @ 1713 Hrs. on 07.05.2022. Static Intake pressure-1294 PSI</t>
  </si>
  <si>
    <t>0.058/0.029/0.060</t>
  </si>
  <si>
    <t>17.2/17.3/17.4</t>
  </si>
  <si>
    <t>1.06/2.15</t>
  </si>
  <si>
    <t>0030 Hrs</t>
  </si>
  <si>
    <t>1140 Hrs</t>
  </si>
  <si>
    <t>1720 Hrs</t>
  </si>
  <si>
    <t>2305 Hrs</t>
  </si>
  <si>
    <t>0755 Hrs</t>
  </si>
  <si>
    <t>R9A#2: ESP tripped on Underload @ 0150 Hrs. on 11/05/2022. Restarted the ESP @ 0945Hrs. on 11/05/2022. ESP again tripped  on underload at 1625 Hrs. on 11.05.2022. ESP not yet started . Wating for pressure build up.ESP restarted  @ 0030 Hrs. on 12/05/2022.</t>
  </si>
  <si>
    <t>R9A#2: ESP tripped on Underload @ 0150 Hrs. on 11/05/2022. Restarted the ESP @ 0945Hrs. on 11/05/2022. ESP again tripped underload at 1629 Hrs. on 11.05.2022. ESP not yet started . Wating for pressure build up.ESP restarted  @ 0030 Hrs. on 12/05/2022.</t>
  </si>
  <si>
    <t>R9A#2: ESP tripped on the Underload alarm @ 0755 Hrs. on 12/05/2022.  Restarted the ESP @ 1140 Hrs.ESP again tripped @ 1720 Hrs. on 12/05/2022. Intake pressure was low. Kept shutdown for build up pressure. restarted the ESP @2305 Hrs. on 12.05.2022.</t>
  </si>
  <si>
    <t>1.08/0.84</t>
  </si>
  <si>
    <t>16.9/16.9/16.7</t>
  </si>
  <si>
    <t>0.052/0.018/0.054</t>
  </si>
  <si>
    <t>1.08/2.49</t>
  </si>
  <si>
    <t xml:space="preserve">R9A#1:ESP tripped @ 1713 Hrs. on 07.05.2022. ONGC restarted the ESP @ 1600 Hrs. on 13.05.2022. </t>
  </si>
  <si>
    <t xml:space="preserve">R9A#1:ONGC restarted the ESP @ 1600 Hrs. on 13.05.2022. </t>
  </si>
  <si>
    <t>0.9/1.39</t>
  </si>
  <si>
    <t>16.3/15.9/16.2</t>
  </si>
  <si>
    <t>0.026/0.051/0.048</t>
  </si>
  <si>
    <t>1.56/4.05</t>
  </si>
  <si>
    <t>17.1/17.4/17.2</t>
  </si>
  <si>
    <t>16.9/17.1/16.7</t>
  </si>
  <si>
    <t>0.026/0.051/0.06</t>
  </si>
  <si>
    <t>14.7/14.6/14.3</t>
  </si>
  <si>
    <t>1.08/1.81</t>
  </si>
  <si>
    <t>16.9/17.1/17.1</t>
  </si>
  <si>
    <t>0340 Hrs</t>
  </si>
  <si>
    <t>1310 Hrs</t>
  </si>
  <si>
    <t>2.33+7.17</t>
  </si>
  <si>
    <t>0.058/0.021/0.068</t>
  </si>
  <si>
    <t>14.9/14.8/14.9</t>
  </si>
  <si>
    <t>R9A#2: ESP tripped on Underload @ 0340 Hrs. on 15/05/2022. Restarted the ESP @ 1310Hrs. on 15/05/2022 ( Static Intake pressure-1336 PSI)</t>
  </si>
  <si>
    <t>1845 Hrs</t>
  </si>
  <si>
    <t>0545 Hrs</t>
  </si>
  <si>
    <t>1403 Hrs</t>
  </si>
  <si>
    <t>15.95 Hrs</t>
  </si>
  <si>
    <t>R9A#1:ESP tripped @ 1403 Hrs. on 15.05.2022</t>
  </si>
  <si>
    <t>R9A#2: ESP tripped on Underload @ 1845 Hrs. on 15/05/2022. Restarted the ESP @ 0545 Hrs. on 16/05/2022.</t>
  </si>
  <si>
    <r>
      <rPr>
        <b/>
        <sz val="11"/>
        <color rgb="FFFF0000"/>
        <rFont val="Calibri"/>
        <family val="2"/>
        <charset val="204"/>
        <scheme val="minor"/>
      </rPr>
      <t>R9A#2:</t>
    </r>
    <r>
      <rPr>
        <b/>
        <sz val="11"/>
        <rFont val="Calibri"/>
        <family val="2"/>
        <scheme val="minor"/>
      </rPr>
      <t xml:space="preserve"> ESP tripped on Underload @ 0340 Hrs. on 15/05/2022. Restarted the ESP @ 1310Hrs. on 15/05/2022                                  </t>
    </r>
    <r>
      <rPr>
        <b/>
        <sz val="11"/>
        <color rgb="FFFF0000"/>
        <rFont val="Calibri"/>
        <family val="2"/>
        <charset val="204"/>
        <scheme val="minor"/>
      </rPr>
      <t>R9A#1:</t>
    </r>
    <r>
      <rPr>
        <b/>
        <sz val="11"/>
        <rFont val="Calibri"/>
        <family val="2"/>
        <scheme val="minor"/>
      </rPr>
      <t xml:space="preserve">ESP tripped @ 1403 Hrs. on 15.05.2022                                    </t>
    </r>
    <r>
      <rPr>
        <b/>
        <sz val="11"/>
        <color rgb="FFFF0000"/>
        <rFont val="Calibri"/>
        <family val="2"/>
        <charset val="204"/>
        <scheme val="minor"/>
      </rPr>
      <t>R9A#2:</t>
    </r>
    <r>
      <rPr>
        <b/>
        <sz val="11"/>
        <rFont val="Calibri"/>
        <family val="2"/>
        <scheme val="minor"/>
      </rPr>
      <t xml:space="preserve"> ESP tripped on Underload @ 1845 Hrs. on 15/05/2022. Restarted the ESP @ 0545 Hrs. on 16/05/2022.</t>
    </r>
  </si>
  <si>
    <t>0.067/0.031/0.074</t>
  </si>
  <si>
    <t>16.4/16.7/16.3</t>
  </si>
  <si>
    <t>68.9</t>
  </si>
  <si>
    <t>1.13/2.58</t>
  </si>
  <si>
    <t>17.6/17.4/17.6</t>
  </si>
  <si>
    <t>17.4/17.3/17.3</t>
  </si>
  <si>
    <t>1213 Hrs</t>
  </si>
  <si>
    <t>R9A#2: ESP tripped on Underload @ 1213 Hrs. on 17/05/2022. Restarted the ESP @ 1725 Hrs. on 17/05/2022.</t>
  </si>
  <si>
    <t>5.2 Hrs</t>
  </si>
  <si>
    <t>0.019/0.111/0.079</t>
  </si>
  <si>
    <t>14.7/14.4/14.8</t>
  </si>
  <si>
    <t>0.172/0.456</t>
  </si>
  <si>
    <t>17.2/17.1/17.5</t>
  </si>
  <si>
    <t>R9A#1:ESP tripped @ 1403 Hrs. on 15.05.2022. Static Intake pressure-1277 PSI</t>
  </si>
  <si>
    <t>0.019/0.055/0.051</t>
  </si>
  <si>
    <t>70</t>
  </si>
  <si>
    <t>1.01/2.37</t>
  </si>
  <si>
    <t>17/17/17.1</t>
  </si>
  <si>
    <t>16.8/16.3/16.6</t>
  </si>
  <si>
    <t>2339 Hrs</t>
  </si>
  <si>
    <t>1733 Hrs</t>
  </si>
  <si>
    <t>R9A#2: ESP tripped on Underload @ 2339 Hrs. on 18/05/2022. Restarted the ESP @ 1733 Hrs. on 19/05/2022.</t>
  </si>
  <si>
    <t>6.35+11.5</t>
  </si>
  <si>
    <t>R9A#1:ESP tripped @ 1403 Hrs. on 15.05.2022. Static Intake pressure-1306 PSI</t>
  </si>
  <si>
    <t>0.058/0.018/0.079</t>
  </si>
  <si>
    <t>14.5/14.2/14.3</t>
  </si>
  <si>
    <t>0.99/1.06</t>
  </si>
  <si>
    <t>1.17/1.71</t>
  </si>
  <si>
    <t>0.057/0.021/0.064</t>
  </si>
  <si>
    <t>1.16/2.60</t>
  </si>
  <si>
    <t>17.7/17.5/17.6</t>
  </si>
  <si>
    <t>1.09/0.88</t>
  </si>
  <si>
    <t>1.15/2.92</t>
  </si>
  <si>
    <t>1054 Hrs</t>
  </si>
  <si>
    <t>4.9 Hrs</t>
  </si>
  <si>
    <t>R9A#1:ESP tripped @ 1403 Hrs. on 15.05.2022.ESP kept shutdown for pressure build up. Restarted the ESP at 1054 Hrs. Static Intake pressure was 1309 PSI.</t>
  </si>
  <si>
    <t>0037 Hts</t>
  </si>
  <si>
    <t>1105 Hrs</t>
  </si>
  <si>
    <t>R9A#2: ESP tripped on Underload @ 0037 Hrs. on 21/05/2022. Restarted the ESP @ 1105 Hrs. on 21/05/2022.</t>
  </si>
  <si>
    <t>5.38+5.08</t>
  </si>
  <si>
    <r>
      <rPr>
        <b/>
        <sz val="11"/>
        <color rgb="FFFF0000"/>
        <rFont val="Calibri"/>
        <family val="2"/>
        <charset val="204"/>
        <scheme val="minor"/>
      </rPr>
      <t>R9A#1:</t>
    </r>
    <r>
      <rPr>
        <b/>
        <sz val="11"/>
        <rFont val="Calibri"/>
        <family val="2"/>
        <charset val="204"/>
        <scheme val="minor"/>
      </rPr>
      <t xml:space="preserve">Restarted the ESP at 1054 Hrs.21/05/2022. Static Intake pressure was 1309 PSI.                                                                                                   </t>
    </r>
    <r>
      <rPr>
        <b/>
        <sz val="11"/>
        <color rgb="FFFF0000"/>
        <rFont val="Calibri"/>
        <family val="2"/>
        <charset val="204"/>
        <scheme val="minor"/>
      </rPr>
      <t>R9A#2:</t>
    </r>
    <r>
      <rPr>
        <b/>
        <sz val="11"/>
        <rFont val="Calibri"/>
        <family val="2"/>
        <charset val="204"/>
        <scheme val="minor"/>
      </rPr>
      <t xml:space="preserve"> ESP tripped on Underload @ 0037 Hrs. on 21/05/2022. Restarted the ESP @ 1105 Hrs. on 21/05/2022.</t>
    </r>
  </si>
  <si>
    <t>R9A#2 ESP tripped on Underload @ 1702 Hrs. on 22/05/2022. ESP not yet started. Waiting for pressure build up.</t>
  </si>
  <si>
    <t>0.98/0.7</t>
  </si>
  <si>
    <t>0.063/0.019/0.066</t>
  </si>
  <si>
    <t>1.82/3.69</t>
  </si>
  <si>
    <t>1726 Hrs</t>
  </si>
  <si>
    <t>1008 Hrs</t>
  </si>
  <si>
    <t>R9A#2: ESP tripped on Underload @ 1726 Hrs. on 23/05/2022. Restarted the ESP @ 1008 Hrs. on 23/05/2022.</t>
  </si>
  <si>
    <t>12.57+4.13</t>
  </si>
  <si>
    <t>0.059/0.025/0.063</t>
  </si>
  <si>
    <t>13.3/13.8/13.6</t>
  </si>
  <si>
    <t>56.4</t>
  </si>
  <si>
    <t>1.18/2.33</t>
  </si>
  <si>
    <t>0850 Hrs</t>
  </si>
  <si>
    <t>R9A#1: ESP tripped @ 0850 Hrs. on 24/05/2022. ESP kept shutdown for pressure build up. Static Intake pressure-1064 PSI</t>
  </si>
  <si>
    <t>R9A#1: ESP tripped @ 0850 Hrs. on 24/05/2022. ESP kept shutdown for pressure build up. Static Intake pressure-1134 PSI</t>
  </si>
  <si>
    <t>0.093/0.025/0.055</t>
  </si>
  <si>
    <t>16.2/16.3/16.4</t>
  </si>
  <si>
    <t>1.07/1.92</t>
  </si>
  <si>
    <t>2156 Hrs</t>
  </si>
  <si>
    <t>0927Hrs</t>
  </si>
  <si>
    <t>8.07+3.25</t>
  </si>
  <si>
    <t>1539 Hrs.</t>
  </si>
  <si>
    <t>R9A#2: ESP tripped on Underload @ 2156 Hrs. on 24/05/2022. Restarted the ESP @ 0927 Hrs. on 25/05/2022.ESP again tripped at 1539 on uderload . After build up pressure ESP restarted at 2204  Hrs.26/05/2022</t>
  </si>
  <si>
    <t>R9A#1: ESP tripped @ 0850 Hrs. on 24/05/2022. ESP kept shutdown for pressure build up. Static Intake pressure-1182 PSI</t>
  </si>
  <si>
    <t>0.108/0.021/0.072</t>
  </si>
  <si>
    <t>1.89/4.09</t>
  </si>
  <si>
    <t>0550 Hrs</t>
  </si>
  <si>
    <t>1856 Hrs</t>
  </si>
  <si>
    <t>0.17+12.93</t>
  </si>
  <si>
    <t>R9A#2: ESP tripped on Underload @ 0550  Hrs. on 26/05/2022. Restarted the ESP @ 1856 Hrs. on 26/05/2022.Static Intake pressure-1401 PSI</t>
  </si>
  <si>
    <t>R9A#1: ESP tripped @ 0850 Hrs. on 24/05/2022. ESP kept shutdown for pressure build up. Static Intake pressure-1220 PSI</t>
  </si>
  <si>
    <t>0.139/0.024/0.078</t>
  </si>
  <si>
    <t>14.1/14.4/14.4</t>
  </si>
  <si>
    <t>1.23/2.9</t>
  </si>
  <si>
    <t>17.8/17.6/17.78</t>
  </si>
  <si>
    <t>17.6/17.5/17.3</t>
  </si>
  <si>
    <t>1953 Hrs</t>
  </si>
  <si>
    <t>2312 Hrs</t>
  </si>
  <si>
    <t>R9A#2: ESP tripped on Underload @ 1953  Hrs. on 27/05/2022. Restarted the ESP @ 2312 Hrs. on 27/05/2022.</t>
  </si>
  <si>
    <t>R9A#1: ESP tripped @ 0850 Hrs. on 24/05/2022. ESP kept shutdown for pressure build up. Static Intake pressure-1260 PSI</t>
  </si>
  <si>
    <t>0.059/0.021/0.050</t>
  </si>
  <si>
    <t>1.11/2.74</t>
  </si>
  <si>
    <t>0515 Hrs</t>
  </si>
  <si>
    <t>1715 Hrs</t>
  </si>
  <si>
    <t>R9A#2: ESP tripped on Underload @ 0515  Hrs. on 28/05/2022. Restarted the ESP @ 1715 Hrs. on 28/05/2022.</t>
  </si>
  <si>
    <t>0.75+11.25</t>
  </si>
  <si>
    <t>R9A#1: ESP tripped @ 0850 Hrs. on 24/05/2022. ESP kept shutdown for pressure build up. Static Intake pressure-1290 PSI</t>
  </si>
  <si>
    <t>0.145/0.020/0.104</t>
  </si>
  <si>
    <t>14.3/14.3/14.3</t>
  </si>
  <si>
    <t>1.17/2.85</t>
  </si>
  <si>
    <t>1.6/1.01</t>
  </si>
  <si>
    <t>0.109/0.022/0.104</t>
  </si>
  <si>
    <t>16.7/16.8/16.9</t>
  </si>
  <si>
    <t>72.6</t>
  </si>
  <si>
    <t>1.99/3.76</t>
  </si>
  <si>
    <t>R9A#1: ESP tripped @ 0850 Hrs. on 24/05/2022. ESP kept shutdown for pressure build up. Static Intake pressure-1064 PSI. ESP restarted as per ONGC decision at 1408 Hrs. on 30/05/2022</t>
  </si>
  <si>
    <t>1408 Hrs</t>
  </si>
  <si>
    <t>08.13 Hrs</t>
  </si>
  <si>
    <t>0350 Hrs</t>
  </si>
  <si>
    <t>2106 Hrs</t>
  </si>
  <si>
    <t>2.17+15.1</t>
  </si>
  <si>
    <t>R9A#2: ESP tripped on Underload @ 0350  Hrs. on 30/05/2022. Static Intake pressure reached to 1356 PSI. Restarted the ESP @ 2106 Hrs. on 30/05/2022.</t>
  </si>
  <si>
    <r>
      <t xml:space="preserve">R9A#1:ESP restarted as per ONGC decision at 1408 Hrs. on 30/05/2022.                                                                                                        </t>
    </r>
    <r>
      <rPr>
        <b/>
        <sz val="11"/>
        <color rgb="FFFF0000"/>
        <rFont val="Calibri"/>
        <family val="2"/>
        <charset val="204"/>
        <scheme val="minor"/>
      </rPr>
      <t>R9A#2:</t>
    </r>
    <r>
      <rPr>
        <b/>
        <sz val="11"/>
        <rFont val="Calibri"/>
        <family val="2"/>
        <charset val="204"/>
        <scheme val="minor"/>
      </rPr>
      <t xml:space="preserve"> ESP tripped on Underload @ 0350  Hrs. on 30/05/2022. Static Intake pressure reached to 1356 PSI. Restarted the ESP @ 2106 Hrs. on 30/05/2022.</t>
    </r>
  </si>
  <si>
    <t xml:space="preserve">R9A#1:ESP restarted as per ONGC decision at 1408 Hrs. on 30/05/2022.   </t>
  </si>
  <si>
    <t>1.47/0.98</t>
  </si>
  <si>
    <t>1.28/2.58</t>
  </si>
  <si>
    <t>17.6/ 17.4/17.2</t>
  </si>
  <si>
    <t>R9A#2: ESP tripped on Underload @ 0230 Hrs. on 02/05/2022. Restarted the ESP @ 0815  Hrs. on 02/05/2022</t>
  </si>
  <si>
    <t>R9A#2: ESP tripped on Underload @ 2156 Hrs. on 24/05/2022. Restarted the ESP @ 0927 Hrs. on 25/05/2022.ESP again tripped at 1539 on uderload . After build up pressure ESP restarted at 2204  Hrs.25/05/2022</t>
  </si>
  <si>
    <t>1902 Hrs</t>
  </si>
  <si>
    <t>0226  Hrs</t>
  </si>
  <si>
    <t>R9A#2: ESP tripped on Underload @ 1902  Hrs. on 31/05/2022. Restarted the ESP @ 0226  Hrs. on 01/06/2022.</t>
  </si>
  <si>
    <t>1026 Hrs</t>
  </si>
  <si>
    <t>1800  Hrs</t>
  </si>
  <si>
    <t>R9A#2: ESP tripped on Underload @ 1026 Hrs. on 01/06/2022. Restarted the ESP @ 1800  Hrs. on 01/06/2022.</t>
  </si>
  <si>
    <t>Total running hours June 2022</t>
  </si>
  <si>
    <t>Total shutdown hours due to ONGC  June  2022</t>
  </si>
  <si>
    <t>Total shutdown hours due to Novomet June 2022</t>
  </si>
  <si>
    <t>0.154/0.024/0.132</t>
  </si>
  <si>
    <t>0.90/2.06</t>
  </si>
  <si>
    <t>17.9/17.8/17.5</t>
  </si>
  <si>
    <t>1842 Hrs</t>
  </si>
  <si>
    <t>11.3 Hrs</t>
  </si>
  <si>
    <t>R9A#1: ESP tripped on Underload alarm at 1842 Hrs. on 01/06/2022. ESP kept shutdown for pressure build up.</t>
  </si>
  <si>
    <r>
      <rPr>
        <b/>
        <sz val="11"/>
        <color rgb="FFFF0000"/>
        <rFont val="Calibri"/>
        <family val="2"/>
        <charset val="204"/>
        <scheme val="minor"/>
      </rPr>
      <t>R9A#1:</t>
    </r>
    <r>
      <rPr>
        <b/>
        <sz val="11"/>
        <rFont val="Calibri"/>
        <family val="2"/>
        <scheme val="minor"/>
      </rPr>
      <t xml:space="preserve"> ESP tripped on Underload alarm at 1842 Hrs. on 01/06/2022. ESP kept shutdown for pressure build up.              </t>
    </r>
    <r>
      <rPr>
        <b/>
        <sz val="11"/>
        <color rgb="FFFF0000"/>
        <rFont val="Calibri"/>
        <family val="2"/>
        <charset val="204"/>
        <scheme val="minor"/>
      </rPr>
      <t>R9A#2:</t>
    </r>
    <r>
      <rPr>
        <b/>
        <sz val="11"/>
        <rFont val="Calibri"/>
        <family val="2"/>
        <scheme val="minor"/>
      </rPr>
      <t xml:space="preserve"> ESP tripped on Underload @ 1026 Hrs. on 01/06/2022. Restarted the ESP @ 1800  Hrs. on 01/06/2022.</t>
    </r>
  </si>
  <si>
    <t>R9A#1: ESP tripped on Underload alarm at 1842 Hrs. on 01/06/2022. ESP kept shutdown for pressure build up.Static Intake pressure-1107 PSI.</t>
  </si>
  <si>
    <t>0.124/0.032/0.108</t>
  </si>
  <si>
    <t>0.81/1.97</t>
  </si>
  <si>
    <t>16.9/16.4/16.9</t>
  </si>
  <si>
    <t>MLP is HIGH</t>
  </si>
  <si>
    <t>1745  Hrs</t>
  </si>
  <si>
    <t>1.68+11.75</t>
  </si>
  <si>
    <t>R9A#2: Noticed FAT and ESP parameters are fluctuating. Ramp up the frequency to 51 Hz. ESP parameters came back to normal for a few hours.ESP again tripped on ytUnderload @ 0419 Hrs. on 02/06/2022. Kept shutdown for pressure build up. Static pressure reached 1397 PSI. Restarted the ESP @ 1745 Hrs. on 02/06/2022.</t>
  </si>
  <si>
    <t>R9A#1: ESP tripped on Underload alarm at 1842 Hrs. on 01/06/2022. ESP kept shutdown for pressure build up.Static Intake pressure-1171 PSI.</t>
  </si>
  <si>
    <t>0.071/0.026/0.050</t>
  </si>
  <si>
    <t>14.8/14.7/14.9</t>
  </si>
  <si>
    <t>1.88/3.95</t>
  </si>
  <si>
    <t>R9A#1: ESP tripped on Underload alarm at 1842 Hrs. on 01/06/2022. ESP kept shutdown for pressure build up.Static Intake pressure-1219 PSI.</t>
  </si>
  <si>
    <t>0.091/0.030/0.097</t>
  </si>
  <si>
    <t>16.4/16.6/16.6</t>
  </si>
  <si>
    <t>70.5</t>
  </si>
  <si>
    <t>1.15/2.98</t>
  </si>
  <si>
    <t>17.7/17.6/17.3</t>
  </si>
  <si>
    <t>0930 Hrs</t>
  </si>
  <si>
    <t>2037  Hrs</t>
  </si>
  <si>
    <t>R9A#2 : ESP tripped on the Underload alarm at 0930 Hrs. on 04/06/2022.ESP restarted at 2037 Hrs. on 04/06/2022. Static Intake pressure was 1367 PSI.</t>
  </si>
  <si>
    <t>R9A#1: ESP tripped on Underload alarm at 1842 Hrs. on 01/06/2022. ESP kept shutdown for pressure build up.Static Intake pressure-1254 PSI.</t>
  </si>
  <si>
    <t>0.146/0.030/0.120</t>
  </si>
  <si>
    <t>1.19/3.59</t>
  </si>
  <si>
    <t>R9A#1: ESP tripped on Underload alarm at 1842 Hrs. on 01/06/2022. ESP kept shutdown for pressure build up.Static Intake pressure-1289 PSI.</t>
  </si>
  <si>
    <t>1.73/4.03</t>
  </si>
  <si>
    <t>17.1/17.3/16.9</t>
  </si>
  <si>
    <t>0725 Hrs</t>
  </si>
  <si>
    <t xml:space="preserve">R9A#2 : ESP tripped on the Underload alarm at 0725 Hrs. on 06/06/2022.ESP restarted at 2252 Hrs. on 06/06/2022. </t>
  </si>
  <si>
    <t>1.81/2.77</t>
  </si>
  <si>
    <t>0.134/0.023/0.076</t>
  </si>
  <si>
    <t>1.21/1.98</t>
  </si>
  <si>
    <t>2030 Hrs</t>
  </si>
  <si>
    <t>R9A#1: ESP tripped on Underload alarm at 1842 Hrs. on 01/06/2022. ESP kept shutdown for pressure build up.ONGC restarted the ESP @ 2030 Hrs. on 07/06/2022</t>
  </si>
  <si>
    <t>14.5 Hrs</t>
  </si>
  <si>
    <t>ONGC restarted the ESP @ 2030 Hrs. on 07/06/2022</t>
  </si>
  <si>
    <t>1.04/0.91</t>
  </si>
  <si>
    <t>16.2/16.3/16.1</t>
  </si>
  <si>
    <t>1.11/2.69</t>
  </si>
  <si>
    <t>0.032/0.130/0.171</t>
  </si>
  <si>
    <t>16.5/16.6/16.6</t>
  </si>
  <si>
    <t>70.9</t>
  </si>
  <si>
    <t xml:space="preserve">R9A#1:ONGC restarted the ESP @ 2030 Hrs. on 07/06/2022               R9A#2 : ESP tripped on the Underload alarm at 0010 Hrs. on 08/06/2022.ESP restarted at 2250 Hrs. on 08/06/2022.            </t>
  </si>
  <si>
    <t xml:space="preserve">R9A#2 : ESP tripped on the Underload alarm at 0010 Hrs. on 08/06/2022.ESP restarted at 2250 Hrs. on 08/06/2022.    </t>
  </si>
  <si>
    <t>0010 Hrs</t>
  </si>
  <si>
    <t>5.83+16.83</t>
  </si>
  <si>
    <t>0.017/0.138/0.167</t>
  </si>
  <si>
    <t>14.7/14.8/14.7</t>
  </si>
  <si>
    <t>0.99/2.76</t>
  </si>
  <si>
    <t>Esp tripped on overload alarm at 11:15 hrs on 09/06/2022</t>
  </si>
  <si>
    <t>1115 Hrs</t>
  </si>
  <si>
    <r>
      <rPr>
        <b/>
        <sz val="11"/>
        <color rgb="FFFF0000"/>
        <rFont val="Calibri"/>
        <family val="2"/>
        <charset val="204"/>
        <scheme val="minor"/>
      </rPr>
      <t>R9A#1:</t>
    </r>
    <r>
      <rPr>
        <b/>
        <sz val="11"/>
        <rFont val="Calibri"/>
        <family val="2"/>
        <charset val="204"/>
        <scheme val="minor"/>
      </rPr>
      <t xml:space="preserve"> ESP tripped on Underload alarm at 1100 Hrs. on 09/06/2022. ESP kept shutdown for pressure build up.     </t>
    </r>
    <r>
      <rPr>
        <b/>
        <sz val="11"/>
        <color rgb="FFFF0000"/>
        <rFont val="Calibri"/>
        <family val="2"/>
        <charset val="204"/>
        <scheme val="minor"/>
      </rPr>
      <t>R9A#5</t>
    </r>
    <r>
      <rPr>
        <b/>
        <sz val="11"/>
        <rFont val="Calibri"/>
        <family val="2"/>
        <charset val="204"/>
        <scheme val="minor"/>
      </rPr>
      <t>: Esp tripped on overload alarm at 11:15 hrs on 09/06/2022.</t>
    </r>
  </si>
  <si>
    <t>11:00 Hrs</t>
  </si>
  <si>
    <t>19 Hrs</t>
  </si>
  <si>
    <t>R9A#1: ESP tripped on Underload alarm at 1100 Hrs. on 09/06/2022. ESP kept shutdown for pressure build up.Static Intake pressure-1089 PSI.</t>
  </si>
  <si>
    <t>Sensor reading retreived</t>
  </si>
  <si>
    <t>2.58/1.20</t>
  </si>
  <si>
    <t>R9A#1: ESP tripped on Underload alarm at 1100 Hrs. on 09/06/2022. ESP kept shutdown for pressure build up.Static Intake pressure-1163 PSI.</t>
  </si>
  <si>
    <t>0.022/0.129/0.179</t>
  </si>
  <si>
    <t>14.4/14.5/14.5</t>
  </si>
  <si>
    <t>1.47/3.46</t>
  </si>
  <si>
    <t>R9A#5:Esp downhole integrity found 6.7-ohm balance, and               Phase to ground 200 Mohm(500V in 3 min). Performed Nonload test and confirmed surface equipment were running well. Esp tried to start in forward and reverse direction, observed that motor current shoot up to maximum 53.8 Amps(Load 209.3%) and maximum frequency reached 21hz and tripped in overload alarm. Tried in swinging mode of start at 15:07 Hrs on 10/06/2022 and gradually increased the frequency. suspecting the pump was stuck with debris. Sensor reading retrieved.</t>
  </si>
  <si>
    <t>R9A#5: Esp tripped on overload alrm at 11:15 hrs on 09/06/2022.Esp downhole integrity found 6.7-ohm balance and Phase to ground 200 Mohm(500V in 3 min). Performed Nonload test and confirmed surface equipment were running well. Esp tried to start in forward and reverse direction, observed that motor current shoot up to maximum 53.8 Amps(Load 209.3%) and maximum frequency reached 21hz and tripped in overload alarm. Tried in swinging mode of start at 15:07 Hrs on 10/06/2022 and gradually increased the frequency. suspecting the pump was stuck with debris. Sensor reading retrieved.</t>
  </si>
  <si>
    <t>15:07 Hrs</t>
  </si>
  <si>
    <t>18.45+9.07</t>
  </si>
  <si>
    <t>R9A#1: ESP tripped on Underload alarm at 1100 Hrs. on 09/06/2022. ESP kept shutdown for pressure build up.Static Intake pressure-1216 PSI.</t>
  </si>
  <si>
    <t>1.06/2.35</t>
  </si>
  <si>
    <t>3.05/1.55</t>
  </si>
  <si>
    <t xml:space="preserve">R9A#2 : ESP tripped on the Underload alarm at 15:10 Hrs. on 11/06/2022.ESP restarted at 23:00 Hrs. on 11/06/2022.   </t>
  </si>
  <si>
    <t>15:10 Hrs</t>
  </si>
  <si>
    <t>23:00 Hrs</t>
  </si>
  <si>
    <t>7.50 Hrs</t>
  </si>
  <si>
    <t>65.3</t>
  </si>
  <si>
    <t>R9A#1: ESP tripped on Underload alarm at 1100 Hrs. on 09/06/2022. ESP kept shutdown for pressure build up.Static Intake pressure-1256 PSI.</t>
  </si>
  <si>
    <t>0.22/0.166/0.156</t>
  </si>
  <si>
    <t>14.7/14.8/15</t>
  </si>
  <si>
    <t>63.2</t>
  </si>
  <si>
    <t>1.46/2.73</t>
  </si>
  <si>
    <t>4.16/1.57</t>
  </si>
  <si>
    <t>2.18/2.23</t>
  </si>
  <si>
    <t>Increase freq to 53 Hz due to increasing of MLP</t>
  </si>
  <si>
    <t>8.48 Hrs</t>
  </si>
  <si>
    <t>13:33 Hrs</t>
  </si>
  <si>
    <t>22:21 Hrs</t>
  </si>
  <si>
    <t>R9A#1: ESP tripped on Underload alarm at 1100 Hrs. on 09/06/2022. ESP kept shutdown for pressure build up.Esp started by Ongc at 22:28 hrs on 13/06/2022.</t>
  </si>
  <si>
    <t>22:28 hrs</t>
  </si>
  <si>
    <t>16:28 Hrs</t>
  </si>
  <si>
    <t>R9A#2 : ESP tripped on the Underload alarm at 13:33 Hrs. on 13/06/2022.ESP restarted at 22:21 Hrs on 13/06/2022.</t>
  </si>
  <si>
    <t>16.1/16.1/16.1</t>
  </si>
  <si>
    <t>0.022/0.091/0.128</t>
  </si>
  <si>
    <t>16.3/16.3/16.3</t>
  </si>
  <si>
    <t>1.46/0.84</t>
  </si>
  <si>
    <t>16/16/15.8</t>
  </si>
  <si>
    <t>0.025/0.121/0.165</t>
  </si>
  <si>
    <t>14.7/14.7/14.8</t>
  </si>
  <si>
    <t>1.56/3.43</t>
  </si>
  <si>
    <t>17.1/16.8/17.1</t>
  </si>
  <si>
    <t>2.46/2.29</t>
  </si>
  <si>
    <t>0.93/0.66</t>
  </si>
  <si>
    <t>0.027/0.113/0.171</t>
  </si>
  <si>
    <t>71.3</t>
  </si>
  <si>
    <t>17.4/17.2/17.2</t>
  </si>
  <si>
    <t>2.3/2.78</t>
  </si>
  <si>
    <t xml:space="preserve">R9A#2 : ESP tripped on the Underload alarm at 04:45 Hrs. on 15/06/2022.ESP restarted at 21:45 Hrs. on 15/06/2022. </t>
  </si>
  <si>
    <t>04:45 Hrs</t>
  </si>
  <si>
    <t>21:45 Hrs</t>
  </si>
  <si>
    <t>1.15+15.45</t>
  </si>
  <si>
    <t>0.18/0.103/0.135</t>
  </si>
  <si>
    <t>1.61/3.78</t>
  </si>
  <si>
    <t>2.36/2.27</t>
  </si>
  <si>
    <t xml:space="preserve">R9A#2 : ESP tripped on the Underload alarm at 04:45 Hrs. on 15/06/2022.ESP restarted at 21:45 Hrs. on 15/06/2022.  R9A#1:Esp tripped due to underload alarm at 03:00 hrs on 16/06/2022.Kept shutdown for pressure buidup. </t>
  </si>
  <si>
    <t>1.17/2.68</t>
  </si>
  <si>
    <t>0.031/0.135/0.17</t>
  </si>
  <si>
    <t>16.6/16.6/16.6</t>
  </si>
  <si>
    <t>R9A#2 : ESP tripped on the Underload alarm at  12:25Hrs. on 17/06/2022.ESP restarted at  22:20 Hrs on 17/06/2022.</t>
  </si>
  <si>
    <t>12:25 hrs</t>
  </si>
  <si>
    <t>22:20 Hrs</t>
  </si>
  <si>
    <t>9.55 Hrs</t>
  </si>
  <si>
    <t>R9A#1: Esp tripped due to underload alarm at 03:00 hrs on 16/06/2022.. ESP kept shutdown for pressure build up.Static Intake pressure-1109 PSI.</t>
  </si>
  <si>
    <t>R9A#1: Esp tripped due to underload alarm at 03:00 hrs on 16/06/2022.. ESP kept shutdown for pressure build up.Static Intake pressure-1167 PSI.</t>
  </si>
  <si>
    <t>R9A#1: Esp tripped due to underload alarm at 03:00 hrs on 16/06/2022. ESP kept shutdown for pressure build up.Static Intake pressure-1214 PSI.</t>
  </si>
  <si>
    <t>0.030/0.097/0.150</t>
  </si>
  <si>
    <t>1.51/3.41</t>
  </si>
  <si>
    <t>2.26/1.83</t>
  </si>
  <si>
    <t>1.27/3.15</t>
  </si>
  <si>
    <t>2.31/1.47</t>
  </si>
  <si>
    <t>17.8/17.7/17.4</t>
  </si>
  <si>
    <t>R9A#1: Esp tripped due to underload alarm at 03:00 hrs on 16/06/2022. ESP kept shutdown for pressure build up.Static Intake pressure-1235 PSI.</t>
  </si>
  <si>
    <t xml:space="preserve">R9A#2 : ESP tripped on the Underload alarm at  18:25Hrs.ESP restarted at 23:15 Hrs on 20/06/2022.   </t>
  </si>
  <si>
    <t>23:15 Hrs</t>
  </si>
  <si>
    <t>0.036/0.257</t>
  </si>
  <si>
    <t>15.7/15.8/15.7</t>
  </si>
  <si>
    <t>0.092/0.038/0.079</t>
  </si>
  <si>
    <t>18.1/18/17.9</t>
  </si>
  <si>
    <t>78</t>
  </si>
  <si>
    <t xml:space="preserve">R9A#1:Esp tripped due to underload alarm at 03:00 hrs on 16/06/2022.Kept shutdown for pressure buidup. R9A#1:Esp started at 23:20 hrs on 20/06/2022. </t>
  </si>
  <si>
    <t>17.33 Hrs</t>
  </si>
  <si>
    <t>2.64/1.29</t>
  </si>
  <si>
    <t>15.5/15.5/15.3</t>
  </si>
  <si>
    <t>1.71/3.52</t>
  </si>
  <si>
    <t>R9A#2 : ESP tripped on the Underload alarm at  18:30Hrs.ESP restarted at 23:30 Hrs on 21/06/2022.</t>
  </si>
  <si>
    <t>18:30 Hrs</t>
  </si>
  <si>
    <t>23:30 Hrs</t>
  </si>
  <si>
    <t>5 hrs</t>
  </si>
  <si>
    <t>0.042/0.078/0.102</t>
  </si>
  <si>
    <t>18.2/18.4/18.2</t>
  </si>
  <si>
    <t>78.2</t>
  </si>
  <si>
    <t>0.042/0.108/0.122</t>
  </si>
  <si>
    <t>16.7/16.9/16.7</t>
  </si>
  <si>
    <t>1.78/3.7</t>
  </si>
  <si>
    <t>3.04/2.31</t>
  </si>
  <si>
    <t>1:05 Hrs</t>
  </si>
  <si>
    <t>4.55 Hrs</t>
  </si>
  <si>
    <t>R9A#2 : ESP tripped on the Underload alarm at  09:15Hrs.ESP restarted at 20:55 Hrs on 22/06/2022.</t>
  </si>
  <si>
    <t>09:15 Hrs</t>
  </si>
  <si>
    <t>20:55 Hrs</t>
  </si>
  <si>
    <t>11.40 Hrs</t>
  </si>
  <si>
    <t>R9A#2 : ESP tripped on the Underload alarm at  18:30Hrs.ESP restarted at 23:30 Hrs on 21/06/2022.                                                   R9A#1:Esp tripped on underload due to low intake at 01:05 Hrs on 22/06/22. Esp kept shutdown for pressure build up                                                                                           R9A#2 : ESP tripped on the Underload alarm at  09:15Hrs.ESP restarted at 20:55 Hrs on 22/06/2022.</t>
  </si>
  <si>
    <t>R9A#1:Esp tripped on underload due to low intake at 01:05 Hrs on 22/06/22.  ESP kept shutdown for pressure build up.Static Intake pressure-1175 PSI.</t>
  </si>
  <si>
    <t>R9A#1:Esp tripped on underload due to low intake at 01:05 Hrs on 22/06/22.  ESP kept shutdown for pressure build up.Static Intake pressure-1228 PSI.</t>
  </si>
  <si>
    <t>0.030/0.136/0.141</t>
  </si>
  <si>
    <t>1.17/2.61</t>
  </si>
  <si>
    <t>5.09/4.45</t>
  </si>
  <si>
    <t>16.9/16.8/16.6</t>
  </si>
  <si>
    <t>1/2.51</t>
  </si>
  <si>
    <t>3.17/3.31</t>
  </si>
  <si>
    <t>R9A#1:Esp tripped on underload due to low intake at 01:05 Hrs on 22/06/22.  ESP kept shutdown for pressure build up.Static Intake pressure-1269 PSI.</t>
  </si>
  <si>
    <t>R9A#2 : ESP tripped on the Underload alarm at  12:34Hrs.ESP restarted at 22:10 Hrs on 24/06/2022.</t>
  </si>
  <si>
    <t>12:34 Hrs</t>
  </si>
  <si>
    <t>22:10 hrs</t>
  </si>
  <si>
    <t>9.36 Hrs</t>
  </si>
  <si>
    <t>0.033/0.126/0.122</t>
  </si>
  <si>
    <t>16.5/16.5/16.6</t>
  </si>
  <si>
    <t>2.67/4.6</t>
  </si>
  <si>
    <t>0.027/0.120/0.147</t>
  </si>
  <si>
    <t>14.6/14.8/14.7</t>
  </si>
  <si>
    <t>1.68/4.10</t>
  </si>
  <si>
    <t>1.48/1.11</t>
  </si>
  <si>
    <t xml:space="preserve">R9A#1:Esp tripped on underload due to low intake at 01:05 Hrs on 22/06/22.Esp started by Ongc at 19:00 hrs on 25/06/2022. </t>
  </si>
  <si>
    <t>3.10/1.3</t>
  </si>
  <si>
    <t>0.034/0.096/0.153</t>
  </si>
  <si>
    <t>16.8/16.8/16.9</t>
  </si>
  <si>
    <t>72.2</t>
  </si>
  <si>
    <t>1.44/3.61</t>
  </si>
  <si>
    <t>2.23/1.28</t>
  </si>
  <si>
    <t xml:space="preserve">R9A#1:Esp started by Ongc at 19:00 hrs on 25/06/2022.                               R9A#2 : ESP tripped on the Underload alarm at  05:03Hrs on 26/06/22.ESP restarted at 20:30 Hrs on 26/06/2022.                                   </t>
  </si>
  <si>
    <t xml:space="preserve">R9A#2 : ESP tripped on the Underload alarm at  05:03Hrs on 26/06/22.ESP restarted at 20:30 Hrs on 26/06/2022. </t>
  </si>
  <si>
    <t>05:03 Hrs</t>
  </si>
  <si>
    <t>20:30 Hrs</t>
  </si>
  <si>
    <t>14.30 Hrs</t>
  </si>
  <si>
    <t>0.026/0.114/0.145</t>
  </si>
  <si>
    <t>14.5/14.7/14.7</t>
  </si>
  <si>
    <t>0.94/2.19</t>
  </si>
  <si>
    <t>2.87/2.16</t>
  </si>
  <si>
    <t>R9#A1:Esp tripped on underload alarm at 07:05 Hrs on 27/06/22.  ESP kept shutdown for pressure build up.Static Intake pressure-1142 PSI.</t>
  </si>
  <si>
    <t>R9#A1:Esp tripped on underload alarm at 07:05 Hrs on 27/06/22.  ESP kept shutdown for pressure build up.Static Intake pressure-1206 PSI.</t>
  </si>
  <si>
    <t>0.026/0.096/0.122</t>
  </si>
  <si>
    <t>71.7</t>
  </si>
  <si>
    <t>2.16/3.05</t>
  </si>
  <si>
    <t>1.74/1.61</t>
  </si>
  <si>
    <t>17.7/.17.5/17.3</t>
  </si>
  <si>
    <t xml:space="preserve">R9A#2:ESP tripped on the Underload alarm at  10:05Hrs.ESP restarted at 22:00 Hrs on 28/06/2022.  </t>
  </si>
  <si>
    <t>10:05 Hrs</t>
  </si>
  <si>
    <t>22:00 hrs</t>
  </si>
  <si>
    <t>11.55 hrs</t>
  </si>
  <si>
    <t>R9#A1:Esp tripped on underload alarm at 07:05 Hrs on 27/06/22.  ESP kept shutdown for pressure build up.Static Intake pressure-1247 PSI.</t>
  </si>
  <si>
    <t>0.024/0.121/0.132</t>
  </si>
  <si>
    <t>1.3/2.92</t>
  </si>
  <si>
    <t>1.99/1.65</t>
  </si>
  <si>
    <r>
      <t xml:space="preserve">R9A#1:Esp started by Ongc at 22:28 hrs on 13/06/2022.                                     </t>
    </r>
    <r>
      <rPr>
        <b/>
        <sz val="11"/>
        <color rgb="FFFF0000"/>
        <rFont val="Calibri"/>
        <family val="2"/>
        <charset val="204"/>
        <scheme val="minor"/>
      </rPr>
      <t>R9A#2 :</t>
    </r>
    <r>
      <rPr>
        <b/>
        <sz val="11"/>
        <rFont val="Calibri"/>
        <family val="2"/>
        <scheme val="minor"/>
      </rPr>
      <t xml:space="preserve"> ESP tripped on the Underload alarm at 13:33 Hrs. on 13/06/2022.ESP restarted at 22:21 Hrs on 13/06/2022.</t>
    </r>
  </si>
  <si>
    <t>R9A#2:Noticed FAT and ESP parameters are fluctuating. Ramp up the frequency to 51 Hz. ESP parameters came back to normal for a few hours.ESP again tripped on Underload @ 0419 Hrs. on 02/06/2022. Kept shutdown for pressure build up. Static pressure reached 1397 PSI. Restarted the ESP @ 1745 Hrs. on 02/06/2022.</t>
  </si>
  <si>
    <t>2.2/0.98</t>
  </si>
  <si>
    <t>15.5/15.7/15.4</t>
  </si>
  <si>
    <t>0.026/0.105/0.168</t>
  </si>
  <si>
    <t>15/14.9/15</t>
  </si>
  <si>
    <t>2.12/3.6</t>
  </si>
  <si>
    <t>2.02/2.09</t>
  </si>
  <si>
    <t>03:21 Hrs</t>
  </si>
  <si>
    <t>17:20 hrs</t>
  </si>
  <si>
    <t>11:20 Hrs</t>
  </si>
  <si>
    <t>R9A#2: Esp tripped on underload at 03:21 Hrs on 30/06/2022 and restarted at 17:20 Hrs on 30/06/2022.</t>
  </si>
  <si>
    <t>2.82/2.08</t>
  </si>
  <si>
    <t>Total running hours July 2022</t>
  </si>
  <si>
    <t>Total shutdown hours due to ONGC  July  2022</t>
  </si>
  <si>
    <t>Total shutdown hours due to Novomet July 2022</t>
  </si>
  <si>
    <t xml:space="preserve">                            </t>
  </si>
  <si>
    <t>01:00 Hrs</t>
  </si>
  <si>
    <t>5 Hrs</t>
  </si>
  <si>
    <t>19:00 Hrs</t>
  </si>
  <si>
    <t>R9#A1:Esp tripped on underload alarm at 07:05 Hrs on 01/07/22.  ESP kept shutdown for pressure build up.Static Intake pressure-1218 PSI.</t>
  </si>
  <si>
    <t>0.147/0.033/0.104</t>
  </si>
  <si>
    <t>14.8/14.8/15</t>
  </si>
  <si>
    <t>1.89/1.9</t>
  </si>
  <si>
    <t>R9A#2:Esp tripped on underload alarm at 18:40 hrs on 01/07/2022.Esp restarted after pressure build up at 10:55 hrs on 02/07/2022.</t>
  </si>
  <si>
    <t xml:space="preserve">18:40 Hrs  </t>
  </si>
  <si>
    <t>10:55 Hrs</t>
  </si>
  <si>
    <t>16:15 Hrs</t>
  </si>
  <si>
    <t>1.99/1.72</t>
  </si>
  <si>
    <t>Esp tripped on underload alarm due to low intake pressure at 01:00 hrs on 01/07/2022.Esp started by ongc at 19:45 Hrs on 03/07/2022</t>
  </si>
  <si>
    <t>19:45 Hrs</t>
  </si>
  <si>
    <t>13.45 Hrs</t>
  </si>
  <si>
    <t>1.04/2.79</t>
  </si>
  <si>
    <t>2.14/2.22</t>
  </si>
  <si>
    <t>R9A#1:Esp started by ongc at 19:45 Hrs on 03/07/2022.                       R9A#2:Esp tripped on underload alarm at 15:55 hrs on 03/07/2022. waiting for pressure build up to start esp.Esp restarted at 00:05 hrs on 04/07/22.</t>
  </si>
  <si>
    <t>R9A#2:Esp tripped on underload alarm at 15:55 hrs on 03/07/2022. waiting for pressure build up to start esp.Esp restarted at 00:05 hrs on 04/07/22.</t>
  </si>
  <si>
    <t>15:55 hrs</t>
  </si>
  <si>
    <t>00:05 Hrs</t>
  </si>
  <si>
    <t>8.10 Hrs</t>
  </si>
  <si>
    <t>07:35 Hrs</t>
  </si>
  <si>
    <t>11:35 Hrs</t>
  </si>
  <si>
    <t>4 Hrs</t>
  </si>
  <si>
    <t>0.17/0.024/0.122</t>
  </si>
  <si>
    <t>0.87/2.17</t>
  </si>
  <si>
    <t>2.91/2.84</t>
  </si>
  <si>
    <t>04:40 Hrs</t>
  </si>
  <si>
    <t>1.20 Hrs</t>
  </si>
  <si>
    <t>R9A#2:Esp tripped on underload alarm at 07:35 hrs on 04/07/2022.Esp restarted at 11:35 hrs on 04/07/2022.Esp tripped again on same alarm at 17:25 Hrs.waiting for pressure buildup to start esp.Esp restarted at 10:30 hrs on 05/07/2022.</t>
  </si>
  <si>
    <t xml:space="preserve">R9A#4:Esp tripped on power fail alarm due to DG trip at 10:25 hrs and restarted at 11:15 hrs on 05/07/2022. </t>
  </si>
  <si>
    <t>10:25 Hrs</t>
  </si>
  <si>
    <t>11:15 Hrs</t>
  </si>
  <si>
    <t>50 Min</t>
  </si>
  <si>
    <t xml:space="preserve">R9A#5: Esp tripped on power fail alarm due to DG trip at 10:25 hrs and restarted at 10:55 hrs on 05/07/2022. </t>
  </si>
  <si>
    <t>20.04.2022</t>
  </si>
  <si>
    <t xml:space="preserve">  ESP kept shutdown for pressure build up.Static Intake pressure-1151 PSI.</t>
  </si>
  <si>
    <t xml:space="preserve">  ESP kept shutdown for pressure build up.Static Intake pressure-1205 PSI.</t>
  </si>
  <si>
    <t>1.28/1.96</t>
  </si>
  <si>
    <t>2.36/0.87</t>
  </si>
  <si>
    <t>0.13/0.030/0.112</t>
  </si>
  <si>
    <t>15/14.9/15.1</t>
  </si>
  <si>
    <t>64.1</t>
  </si>
  <si>
    <t>2.37/3.51</t>
  </si>
  <si>
    <t>Increased 1Hz temperorly to maintain flow rate due to high MLP.</t>
  </si>
  <si>
    <t>3.4/3.48</t>
  </si>
  <si>
    <t>R9A#2:Esp tripped on underload alarm at 14:50 hrs on 06/07/2022.waiting for pressure buildup to start esp.Esp restarted at 08:45 Hrs on 07/07/2022.</t>
  </si>
  <si>
    <t>Esp tripped on underload alarm at 04:40 Hrs on 05/07/2022.Esp kept shutdown for pressure buildup.Esp started by ongc at 08:45 Hrs on 07/07/2022.</t>
  </si>
  <si>
    <t>2.45 hrs</t>
  </si>
  <si>
    <t>08:45 Hrs</t>
  </si>
  <si>
    <t>14:50 Hrs</t>
  </si>
  <si>
    <t>2.45 Hrs</t>
  </si>
  <si>
    <t>07:05 Hrs</t>
  </si>
  <si>
    <t xml:space="preserve">R9A#1:Esp started by Ongc at 22:50 Hrs on 29/06/2022.                                         R9A#2: Esp tripped on underload at 03:21 Hrs on 30/06/2022 and restarted at 17:20 Hrs on 30/06/2022.                                   R9A#1:Esp tripped on underload alarm due to low intake pressure at 01:00 hrs on 01/07/2022.   </t>
  </si>
  <si>
    <t xml:space="preserve">R9#A1:Esp tripped on underload alarm at 07:05 Hrs on 27/06/22.  ESP kept shutdown for pressure build up.Esp started by Ongc at 22:50 Hrs on 29/06/2022.  </t>
  </si>
  <si>
    <t>22:50 Hrs</t>
  </si>
  <si>
    <t>22:55 Hrs</t>
  </si>
  <si>
    <t>16:10 Hrs</t>
  </si>
  <si>
    <r>
      <t xml:space="preserve">R9A#2 : ESP tripped on the Underload alarm at  18:25Hrs.ESP restarted at 23:15 Hrs on 20/06/2022.                                             </t>
    </r>
    <r>
      <rPr>
        <b/>
        <sz val="11"/>
        <color rgb="FFFF0000"/>
        <rFont val="Calibri"/>
        <family val="2"/>
        <charset val="204"/>
        <scheme val="minor"/>
      </rPr>
      <t>R9A#1</t>
    </r>
    <r>
      <rPr>
        <b/>
        <sz val="11"/>
        <rFont val="Calibri"/>
        <family val="2"/>
        <scheme val="minor"/>
      </rPr>
      <t xml:space="preserve">:Esp started by ongc instruction at 23:20 hrs on 20/06/2022. </t>
    </r>
  </si>
  <si>
    <t>2.17/1.87</t>
  </si>
  <si>
    <t>13.7/13.9/13.6</t>
  </si>
  <si>
    <t>0.063/0.026/0.061</t>
  </si>
  <si>
    <t>53.8</t>
  </si>
  <si>
    <t>2.47/3.57</t>
  </si>
  <si>
    <t>17.4/17.2/17.3</t>
  </si>
  <si>
    <t>1.19/1.18</t>
  </si>
  <si>
    <t xml:space="preserve">  ESP kept shutdown for pressure build up.Static Intake pressure-1183 PSI.</t>
  </si>
  <si>
    <t>0.15/0.020/0.126</t>
  </si>
  <si>
    <t>17.3/17.2/17.2</t>
  </si>
  <si>
    <t>R9A#2:Esp tripped on underload alarm at 01:10 hrs on 09/07/2022.waiting for pressure buildup to start esp.Esp restarted at 09:45 Hrs on 09/07/2022.</t>
  </si>
  <si>
    <t>7.40 Hrs</t>
  </si>
  <si>
    <t>3.45 Hrs</t>
  </si>
  <si>
    <t>01:10 hrs</t>
  </si>
  <si>
    <t>09:45 Hrs</t>
  </si>
  <si>
    <t>17:25 Hrs</t>
  </si>
  <si>
    <t>10:30 Hrs</t>
  </si>
  <si>
    <t>17.05 Hrs</t>
  </si>
  <si>
    <t xml:space="preserve">  ESP kept shutdown for pressure build up.Static Intake pressure-1229 PSI.</t>
  </si>
  <si>
    <t>2.06/3.31</t>
  </si>
  <si>
    <t>Esp started by ongc and tripped on overload alarm</t>
  </si>
  <si>
    <t>Esp tripped on maximum intake pressure alarm at 15:26 hrs and restarted by ongc at 17:20 hrs and tripped on overload alarm on 10/07/2022.Downhole intergity found 6.7 ohm balance.Esp restarted in swinging mode with low freq at 12:55 hrs on 11/7/2022.Suspecting pump was stuck.</t>
  </si>
  <si>
    <t>12:55 Hrs</t>
  </si>
  <si>
    <t>6:55 Hrs</t>
  </si>
  <si>
    <t>TAP Wye= 2872V</t>
  </si>
  <si>
    <t>0.138/0.032/0.1</t>
  </si>
  <si>
    <t>14.4/14.6/14.6</t>
  </si>
  <si>
    <t>1.44/3.26</t>
  </si>
  <si>
    <t>3.9/2.951</t>
  </si>
  <si>
    <t>3.39/3.01</t>
  </si>
  <si>
    <t xml:space="preserve">Esp tripped on underload alarm at 18:40 hrs on 10/07/2022.waiting for pressure buildup to start esp.Esp started at 04:49 hrs 0n 11/07/2022.  </t>
  </si>
  <si>
    <t>10.09 Hrs</t>
  </si>
  <si>
    <t>04:49 Hrs</t>
  </si>
  <si>
    <t xml:space="preserve">Esp tripped on underload alarm at 22:20 Hrs on 08/07/2022.Esp kept shutdown for pressure buildup.Esp restarted by Ongc at 04:52 Hrs on 11/07/2022.  </t>
  </si>
  <si>
    <t>04:52 Hrs</t>
  </si>
  <si>
    <t>22.52 Hrs</t>
  </si>
  <si>
    <t>R9A#4:Esp tripped on Power fail alarm due to DG trip at 04:12 hrs and restarted at 04:57 hrs on 11/07/2022.</t>
  </si>
  <si>
    <t>04:12 Hrs</t>
  </si>
  <si>
    <t>04:57 Hrs</t>
  </si>
  <si>
    <t>45 MIN</t>
  </si>
  <si>
    <t>16.27 Hrs</t>
  </si>
  <si>
    <t>R9A#5:Downhole intergity found 6.7 ohm balance.Esp restarted in swinging mode with low freq at 12:55 hrs on 11/7/2022.Suspecting pump was stuck.                                       R9A#1:Esp manually shutdown as per Ongc instruction due to DG fuel shortage at 13:33 Hrs on 11/07/2022.</t>
  </si>
  <si>
    <t>Esp manually shutdown by Ongc due to fuel shortage.Static Intake pressure-1143 PSI.</t>
  </si>
  <si>
    <t>R9A#2:Esp tripped on underload alarm at 09:13 hrs on 12/07/2022.restarted afte prssure buid up at 22:30 hrs on 12/07/2022.</t>
  </si>
  <si>
    <t>09:13 Hrs</t>
  </si>
  <si>
    <t>22:30 Hrs</t>
  </si>
  <si>
    <t>11.17 Hrs</t>
  </si>
  <si>
    <t>R9A#2:Esp tripped on underload alarm at 09:13 hrs on 12/07/2022.restarted after pressure build up at 22:30 hrs on 12/07/2022.</t>
  </si>
  <si>
    <t>Esp manually shutdown by Ongc due to DG fuel shortage.Static Intake pressure-1225 PSI.</t>
  </si>
  <si>
    <t>Esp manually shutdown by ongc at 16:00 hrs due to  DG HSD  shoratge on 13/07/2022.</t>
  </si>
  <si>
    <t>16:00 Hrs</t>
  </si>
  <si>
    <t>14 Hrs</t>
  </si>
  <si>
    <t>1.22/1.03</t>
  </si>
  <si>
    <t>Sensor reading faulty</t>
  </si>
  <si>
    <t>R9A#2:Esp manually shutdown by ongc at 16:00 hrs due to DG HSD  shortage on 13/07/2022.</t>
  </si>
  <si>
    <t>Esp manually shutdown by ongc at 08:40 hrs due to  DG HSD  shoratge on 14/07/2022.</t>
  </si>
  <si>
    <t>08:40 Hrs</t>
  </si>
  <si>
    <t>21:20 Hrs</t>
  </si>
  <si>
    <t>Esp manually shutdown by Ongc due to DG fuel shortage.Static Intake pressure-1297 PSI.</t>
  </si>
  <si>
    <t>R9A#5:Esp manually shutdown by ongc at 08:40 hrs due to  DG HSD  shortage on 14/07/2022.</t>
  </si>
  <si>
    <t>3.1/1.7</t>
  </si>
  <si>
    <t>18.1/18/17.8</t>
  </si>
  <si>
    <t>Esp manually shutdown by Ongc due to DG fuel shortage.Static Intake pressure-1327 PSI.</t>
  </si>
  <si>
    <t xml:space="preserve">R9A#4:Esp manually shutdown due to DG HSD shortage at 18:20 Hrs and restarted at 20:20 Hrs on 15/07/2022. </t>
  </si>
  <si>
    <t>18:20 Hrs</t>
  </si>
  <si>
    <t>20:20 Hrs</t>
  </si>
  <si>
    <t>14: 25 Hrs</t>
  </si>
  <si>
    <t>20:25 hrs</t>
  </si>
  <si>
    <t>Esp manually shutdown by ongc at 08:40 hrs due to  DG HSD  shoratge on 14/07/2022.Esp restarted by ongc at 20:25 hrs on 15/07/2022.</t>
  </si>
  <si>
    <t>Esp manually shutdown by Ongc due to DG fuel shortage.Static Intake pressure-1349 PSI.</t>
  </si>
  <si>
    <t>2.92/0.84</t>
  </si>
  <si>
    <t>0.046/0.029/0.040</t>
  </si>
  <si>
    <t>598</t>
  </si>
  <si>
    <t>3.59/1.92</t>
  </si>
  <si>
    <t>R9A#1:Esp started by ongc at 10:20 Hrs on 17/07/2022.     R9#A2: Esp started by Ongc at 10:20 Hrs on 17/07/2022.</t>
  </si>
  <si>
    <t xml:space="preserve">Esp manually shutdown as per Ongc instruction due to DG fuel shortage at 13:33 Hrs on 11/07/2022.Esp started by ongc at 10:20 Hrs on 17/07/2022. </t>
  </si>
  <si>
    <t>10:20 Hrs</t>
  </si>
  <si>
    <t>4:20 Hrs</t>
  </si>
  <si>
    <t>Esp manually shutdown by ongc at 16:00 hrs due to  DG HSD  shortage on 13/07/2022.Esp started by Ongc at 10:20 Hrs on 17/07/2022.</t>
  </si>
  <si>
    <t>4.20 Hrs</t>
  </si>
  <si>
    <t>2/0.80</t>
  </si>
  <si>
    <t>15.9/15.8/15.8</t>
  </si>
  <si>
    <t>0.052/0.033/0.042</t>
  </si>
  <si>
    <t>1.95/1.35</t>
  </si>
  <si>
    <t>0.107/0.026/0.078</t>
  </si>
  <si>
    <t>1.73/1.51</t>
  </si>
  <si>
    <t>R9A#1:Esp tripped on underload at 14:00 Hrs on 19/07/2022.Esp kept shutdown for pressure build up.</t>
  </si>
  <si>
    <t>16 hrs</t>
  </si>
  <si>
    <t>2.04/1.34</t>
  </si>
  <si>
    <t>R9A#2:Esp tripped on underload alarm at 19:10 hrs on 20/07/2022.waiting for pressure build up to start esp</t>
  </si>
  <si>
    <t>19:10 Hrs</t>
  </si>
  <si>
    <t>10: 50 Hrs</t>
  </si>
  <si>
    <t>0.15/0.034/0.116</t>
  </si>
  <si>
    <t>17.4/17.1/17.2</t>
  </si>
  <si>
    <t>2.42/1.77</t>
  </si>
  <si>
    <t>R9A#2:Esp tripped on underload alarm at 19:10 hrs on 20/07/2022.Esp restarted after pressure buid up at 10:45 Hrs on 21/07/2022.</t>
  </si>
  <si>
    <t>10:45 Hrs</t>
  </si>
  <si>
    <t>0.153/0.029/0.105</t>
  </si>
  <si>
    <t>2.68/3.52</t>
  </si>
  <si>
    <t>16.9/16.9/16.6</t>
  </si>
  <si>
    <t>2.69/1.65</t>
  </si>
  <si>
    <t>0.15/0.021/0.10</t>
  </si>
  <si>
    <t>64.1S</t>
  </si>
  <si>
    <t>4.15/2.5</t>
  </si>
  <si>
    <t>R9A#1:Esp tripped on underload at 14:00 Hrs on 19/07/2022.Esp kept shutdown for pressure build up.R9A#1:Esp started by Ongc at 17:00 hrs on 23/07/2022.</t>
  </si>
  <si>
    <t>17:00 Hrs</t>
  </si>
  <si>
    <t>R9A#2:Esp tripped on underload alarm at 02:10 Hrs and restarted at 17:20 hrs on 23/07/2022.                                            R9A#1:Esp started by Ongc at 17:00 hrs on 23/07/2022.</t>
  </si>
  <si>
    <t>R9A#2:Esp tripped on underload alarm at 02:10 Hrs and restarted at 17:20 hrs on 23/07/2022</t>
  </si>
  <si>
    <t>02:10 Hrs</t>
  </si>
  <si>
    <t>17:20 Hrs</t>
  </si>
  <si>
    <t>1.87/0.9</t>
  </si>
  <si>
    <t>15.4/15.6/15.4</t>
  </si>
  <si>
    <t>2.39/2.55</t>
  </si>
  <si>
    <t>R9A#2:Esp tripped on underload at 14:00 hrs on 24/07/2022.Esp restarted at 21:40 hrs on 24/07/2022.</t>
  </si>
  <si>
    <t>14:00 Hrs</t>
  </si>
  <si>
    <t>21:40 Hrs</t>
  </si>
  <si>
    <t>Esp tripped on underload alarm .kept shutdown for pressure build up.Static Intake pressure- 1284PSI.</t>
  </si>
  <si>
    <t>Esp tripped on underload alarm .kept shutdown for pressure build up..Static Intake pressure- 1249PSI.</t>
  </si>
  <si>
    <t>Esp tripped on underload alarm .kept shutdown for pressure build up..Static Intake pressure- 1199PSI.</t>
  </si>
  <si>
    <t>Esp tripped on underload alarm .kept shutdown for pressure build up.Static Intake pressure- 1119PSI.</t>
  </si>
  <si>
    <t>Esp tripped on underload alarm .kept shutdown for pressure build up.Static Intake pressure- 1180PSI.</t>
  </si>
  <si>
    <t>0.13/0.026/0.093</t>
  </si>
  <si>
    <t>17.4/17.1/17.1</t>
  </si>
  <si>
    <t>03:05 Hrs</t>
  </si>
  <si>
    <t>2.55 Hrs</t>
  </si>
  <si>
    <r>
      <t>R9A#2:Esp tripped on underload at 14:00 hrs on 24/07/2022.Esp restarted at 21:40 hrs on 24/07/2022.                         R9A1:</t>
    </r>
    <r>
      <rPr>
        <sz val="11"/>
        <rFont val="Calibri"/>
        <family val="2"/>
        <charset val="204"/>
        <scheme val="minor"/>
      </rPr>
      <t>Esp tripped on underload at 03:05 hrs on 25/07/2020.ESP is running below bubble point pressure.ESP Kept shutdown for pressure build up. Recommend to keep ESP in off condition to avoid failure due to multiple start stops</t>
    </r>
  </si>
  <si>
    <t>Esp tripped on underload alarm .kept shutdown for pressure build up.Static Intake pressure- 1237PSI.</t>
  </si>
  <si>
    <t>17.4/17.5/17.5</t>
  </si>
  <si>
    <t>0.159/0.164</t>
  </si>
  <si>
    <t>17.2/`17.3/17.3</t>
  </si>
  <si>
    <t xml:space="preserve">R9A#2:Esp tripped on underload at 06:45 hrs.Esp restarted at 17:32 hrs on 26/07/2022. </t>
  </si>
  <si>
    <t>17:32 Hrs</t>
  </si>
  <si>
    <t>Esp tripped on underload alarm .kept shutdown for pressure build up.Static Intake pressure- 1278PSI.</t>
  </si>
  <si>
    <t>0.156/0.031/0.119</t>
  </si>
  <si>
    <t>temperorily increase 1 Hz due to high MLP from 53hz to 54hz.</t>
  </si>
  <si>
    <t>temperorily increase 1 Hz due to high MLP 54hz to 55hz.</t>
  </si>
  <si>
    <t>1.6/1.15</t>
  </si>
  <si>
    <t>18.2/18/17.8</t>
  </si>
  <si>
    <t xml:space="preserve">R9A#2:Esp tripped on underload at 02:25 hrs.Esp restarted at 12:30 hrs on 27/07/2022. </t>
  </si>
  <si>
    <t>14.22 Hrs</t>
  </si>
  <si>
    <t>02:25 HRs</t>
  </si>
  <si>
    <t>12:30 Hrs</t>
  </si>
  <si>
    <t>R9A#2:Esp tripped on underload at 06:45 hrs.Esp restarted at 17:32 hrs on 26/07/2022.                                                                      R9A#2:Esp tripped on underload at 02:25 hrs.Esp restarted at 12:30 hrs on 27/07/2022.  Recommend to keep ESP in off condition to avoid failure due to multiple start stops</t>
  </si>
  <si>
    <r>
      <rPr>
        <b/>
        <sz val="11"/>
        <color rgb="FFFF0000"/>
        <rFont val="Calibri"/>
        <family val="2"/>
        <charset val="204"/>
        <scheme val="minor"/>
      </rPr>
      <t>R9A#2</t>
    </r>
    <r>
      <rPr>
        <b/>
        <sz val="11"/>
        <rFont val="Calibri"/>
        <family val="2"/>
        <scheme val="minor"/>
      </rPr>
      <t xml:space="preserve">:Esp tripped on underload alarm at 07:35 hrs on 04/07/2022.Esp restarted at 11:35 hrs on 04/07/2022.Esp tripped again on same alarm at 17:25 Hrs 04/07/2022.waiting for pressure buildup to start esp.Esp restarted at 10:30 hrs on 05/07/2022.                                                                                               </t>
    </r>
    <r>
      <rPr>
        <b/>
        <sz val="11"/>
        <color rgb="FFFF0000"/>
        <rFont val="Calibri"/>
        <family val="2"/>
        <charset val="204"/>
        <scheme val="minor"/>
      </rPr>
      <t>R9A#1</t>
    </r>
    <r>
      <rPr>
        <b/>
        <sz val="11"/>
        <rFont val="Calibri"/>
        <family val="2"/>
        <scheme val="minor"/>
      </rPr>
      <t xml:space="preserve">:Esp tripped on underload alarm at 04:40 Hrs on 05/07/2022.Esp kept shutdown for pressure buildup.                                               </t>
    </r>
    <r>
      <rPr>
        <b/>
        <sz val="11"/>
        <color rgb="FFFF0000"/>
        <rFont val="Calibri"/>
        <family val="2"/>
        <charset val="204"/>
        <scheme val="minor"/>
      </rPr>
      <t>R9A#4:</t>
    </r>
    <r>
      <rPr>
        <b/>
        <sz val="11"/>
        <rFont val="Calibri"/>
        <family val="2"/>
        <scheme val="minor"/>
      </rPr>
      <t xml:space="preserve">Esp tripped on power fail alarm due to DG trip at 10:25 hrs and restarted at 11:15 hrs on 05/07/2022.                           </t>
    </r>
    <r>
      <rPr>
        <b/>
        <sz val="11"/>
        <color rgb="FFFF0000"/>
        <rFont val="Calibri"/>
        <family val="2"/>
        <charset val="204"/>
        <scheme val="minor"/>
      </rPr>
      <t xml:space="preserve">R9A#5: </t>
    </r>
    <r>
      <rPr>
        <b/>
        <sz val="11"/>
        <rFont val="Calibri"/>
        <family val="2"/>
        <scheme val="minor"/>
      </rPr>
      <t xml:space="preserve">Esp tripped on power fail alarm due to DG trip at 10:25 hrs and restarted at 10:55 hrs on 05/07/2022. </t>
    </r>
  </si>
  <si>
    <t>R9A#1:Esp tripped on underload alarm at 22:20 Hrs on 08/07/2022.Kept shutdown for pressure buid up.                                                                                               R9A#2:Esp tripped on underload alarm at 01:10 hrs on 09/07/2022.waiting for pressure buildup to start esp.Esp restarted at 09:45 Hrs on 09/07/2022.</t>
  </si>
  <si>
    <t>R9A#5:Esp tripped on maximum intake pressure alarm at 15:26 hrs and restarted by ongc at 17:20 hrs and tripped on overload alarm on 10/07/2022.kept shutdown for teoubleshooting.                                                                                   R9A#2:Esp tripped on underload alarm at 18:40 hrs on 10/07/2022.waiting for pressure buildup to start esp.Esp started at 04:49 hrs 0n 11/07/2022.                                      R9A#1:Esp restarted by Ongc at 04:52 Hrs on 11/07/2022.  R9A#4:Esp tripped on power failure due to DG trip at 04:12 hrs and restarted at 04:57 hrs on 11/07/2022.</t>
  </si>
  <si>
    <t>0.151/0.028/0.158</t>
  </si>
  <si>
    <t>14.8/14.8/14.9</t>
  </si>
  <si>
    <t>1.92/1.81</t>
  </si>
  <si>
    <t xml:space="preserve">R9A1:Esp tripped on underload at 03:05 hrs on 25/07/2020.ESP is running below bubble point pressure.ESP Kept shutdown for pressure build up.Esp started as per Ongc instruction at 23:50 Hrs on 28/07/2022. </t>
  </si>
  <si>
    <t>23:50 Hrs</t>
  </si>
  <si>
    <t>6.10 hrs</t>
  </si>
  <si>
    <t>06:35 Hrs</t>
  </si>
  <si>
    <t>12:20 Hrs</t>
  </si>
  <si>
    <t>5.45 HRs</t>
  </si>
  <si>
    <t>0.24/0.089</t>
  </si>
  <si>
    <t>0.094/0.034/0.54</t>
  </si>
  <si>
    <t>13.6/13.5/13.5</t>
  </si>
  <si>
    <t>66.1</t>
  </si>
  <si>
    <t>0.39/0.184</t>
  </si>
  <si>
    <t>0.99/0.47</t>
  </si>
  <si>
    <t>0.165/0.026/0.114</t>
  </si>
  <si>
    <t>2.8/1.4</t>
  </si>
  <si>
    <t>17.4/17.3/17.2</t>
  </si>
  <si>
    <t>R9A#2:Esp tripped on underload at 07:18 hrs.Esp restarted at 14:15 hrs on 30/07/2022.  Recommend to keep ESP in off condition to avoid failure due to multiple start stops</t>
  </si>
  <si>
    <t>07:18 Hrs</t>
  </si>
  <si>
    <t>14:15 Hrs</t>
  </si>
  <si>
    <t>6.57 Hrs</t>
  </si>
  <si>
    <t>0.126/0.027/0.095</t>
  </si>
  <si>
    <t>14.4/14.3/14.4</t>
  </si>
  <si>
    <t>17/17.1/17.2</t>
  </si>
  <si>
    <t>17.8/17.7/17.5</t>
  </si>
  <si>
    <t>R9A1:Esp tripped on underload at 21:00 hrs on 31/07/2020.ESP is running below bubble point pressure.ESP Kept shutdown for pressure build up. Recommend to keep ESP in off condition to avoid failure due to multiple start stops</t>
  </si>
  <si>
    <t>21:00 Hrs</t>
  </si>
  <si>
    <t>9 Hrs</t>
  </si>
  <si>
    <t>R9A#4:Esp manually shutdown by ongc due to DG HSD shortage at 18:20 Hrs and restarted at 20:20 Hrs on 15/07/2022.                                                                                                                R9A#5:Esp restarted by ongc at 20:25 hrs on 15/07/2022.</t>
  </si>
  <si>
    <t>Esp tripped on underload alarm .kept shutdown for pressure build up.Static Intake pressure- 1151PSI.</t>
  </si>
  <si>
    <t>0.085/0.042/0.082</t>
  </si>
  <si>
    <t>17.1/17.3/17.5</t>
  </si>
  <si>
    <t>1.65/1.4</t>
  </si>
  <si>
    <t>16.9/16.9/16.8</t>
  </si>
  <si>
    <t>09:33 Hrs</t>
  </si>
  <si>
    <t>11:24 Hrs</t>
  </si>
  <si>
    <t>1.51 Hrs</t>
  </si>
  <si>
    <t>17:05 Hrs</t>
  </si>
  <si>
    <t>22:01 Hrs</t>
  </si>
  <si>
    <t>4.56 Hrs</t>
  </si>
  <si>
    <t>1.56/1.8</t>
  </si>
  <si>
    <t xml:space="preserve">Esp tripped on underload at 0933 hrs.Esp restarted at 11:24 hrs on 1/08/2022.Esp tripped again on underload at 17:05 hrs.Esp restarted at 22:01 hrs on 1/08/2022.Esp tripped again on underload due to high MLP at 03:53 Hrs on 2/08/2022 and restarted at 10:16 hrs on 02/08/2022 Recommend to keep ESP in off condition to avoid failure due to multiple start stops .  </t>
  </si>
  <si>
    <t>03:53 Hrs</t>
  </si>
  <si>
    <t>10:16 Hrs</t>
  </si>
  <si>
    <t>2.07 HRs</t>
  </si>
  <si>
    <t>19:15 Hrs</t>
  </si>
  <si>
    <t>21:58 Hrs</t>
  </si>
  <si>
    <t>2.43 HRs</t>
  </si>
  <si>
    <t>0.117/0.030/0.112</t>
  </si>
  <si>
    <t>17.8/17.9/17.8</t>
  </si>
  <si>
    <t>Esp tripped on underload alarm .kept shutdown for pressure build up.Static Intake pressure- 1245PSI.</t>
  </si>
  <si>
    <t>0.15/0.027/0.140</t>
  </si>
  <si>
    <t>15.4/15.6/15.5</t>
  </si>
  <si>
    <t>17/17/16.8</t>
  </si>
  <si>
    <r>
      <rPr>
        <b/>
        <sz val="11"/>
        <color rgb="FFFF0000"/>
        <rFont val="Calibri"/>
        <family val="2"/>
        <charset val="204"/>
        <scheme val="minor"/>
      </rPr>
      <t>R9A#2:</t>
    </r>
    <r>
      <rPr>
        <b/>
        <sz val="11"/>
        <rFont val="Calibri"/>
        <family val="2"/>
        <scheme val="minor"/>
      </rPr>
      <t xml:space="preserve">Esp tripped on underload at 0933 hrs.Esp restarted at 11:24 hrs on 1/08/2022.Esp tripped again on underload at 17:05 hrs.Esp restarted at 22:01 hrs on 1/08/2022.Esp tripped again on underload due to high MLP at 03:53 Hrs on 2/08/2022 and restarted at 10:16 hrs on 02/08/2022 Recommend to keep ESP in off condition to avoid failure due to multiple start stops .                                                                                                    </t>
    </r>
    <r>
      <rPr>
        <b/>
        <sz val="11"/>
        <color rgb="FFFF0000"/>
        <rFont val="Calibri"/>
        <family val="2"/>
        <charset val="204"/>
        <scheme val="minor"/>
      </rPr>
      <t>R9A#2</t>
    </r>
    <r>
      <rPr>
        <b/>
        <sz val="11"/>
        <rFont val="Calibri"/>
        <family val="2"/>
        <scheme val="minor"/>
      </rPr>
      <t>:Esp tripped on underload at 1915 hrs.Esp restarted at 2158 hrs on 2/08/2022.Esp tripped again on underload at 03:13 Hrs at 3/08/2022.restarted at 11:05 Hrs on 03/08/2022.</t>
    </r>
  </si>
  <si>
    <t>R9A#2:Esp tripped again on underload at 19:36 Hrs at 3/08/2022.restarted at 20:26 Hrs on 03/08/2022.</t>
  </si>
  <si>
    <t>Esp tripped on underload at 1915 hrs.Esp restarted at 2158 hrs on 2/08/2022.Esp tripped again on underload at 03:13 Hrs at 3/08/2022.restarted at 11:05 Hrs on 03/08/2022.</t>
  </si>
  <si>
    <t>03:13 Hrs</t>
  </si>
  <si>
    <t>11:05 Hrs</t>
  </si>
  <si>
    <t>7.52 Hrs</t>
  </si>
  <si>
    <t>19:36 Hrs</t>
  </si>
  <si>
    <t>20:26 Hrs</t>
  </si>
  <si>
    <t>temperorly increase frequency from 50 to 52 hzhz due to high MLP</t>
  </si>
  <si>
    <t>temperorly increase frequency from 52 to 54 hzhz due to high MLP</t>
  </si>
  <si>
    <t>Esp tripped on underload alarm .kept shutdown for pressure build up.Static Intake pressure- 1259PSI.</t>
  </si>
  <si>
    <t>Esp tripped on underload alarm .kept shutdown for pressure build up.Static Intake pressure- 1262PSI.</t>
  </si>
  <si>
    <t>Esp tripped on underload alarm .kept shutdown for pressure build up.Static Intake pressure- 1279PSI.</t>
  </si>
  <si>
    <t>0.151/0.063/0.127</t>
  </si>
  <si>
    <t>64.5</t>
  </si>
  <si>
    <t>17/17/16.9</t>
  </si>
  <si>
    <t>R9A#2:Esp tripped on underload alarm at 14:50 hrs on 06/07/2022.waiting for pressure buildup to start esp.Esp restarted at 11:45 Hrs on 07/07/2022.                                      R9A#1:Esp started by ongc at 11:43 Hrs on 07/07/2022.</t>
  </si>
  <si>
    <t>1.85/0.78</t>
  </si>
  <si>
    <t>16.6/16.6/15.4</t>
  </si>
  <si>
    <t>3.8/4</t>
  </si>
  <si>
    <t>18/17/9/17.7</t>
  </si>
  <si>
    <t>19:26 Hrs</t>
  </si>
  <si>
    <t>18:00 Hrs</t>
  </si>
  <si>
    <t xml:space="preserve">Esp tripped again on underload at 19:26 Hrs at 05/08/2022.Waiting for pressure buid up to start esp.  </t>
  </si>
  <si>
    <t>16.4/16.5/16.2</t>
  </si>
  <si>
    <t>0.0229/0.03/0.2</t>
  </si>
  <si>
    <t>17.1/16.9/17.1</t>
  </si>
  <si>
    <t>0.2/0.2.4</t>
  </si>
  <si>
    <t xml:space="preserve">R9A#2:Esp tripped again on underload at 19:26 Hrs at 05/08/2022.Waiting for pressure build up to start esp.Esp restarted at 02:31 Hrs on 06/08/2022.    </t>
  </si>
  <si>
    <t>02:31 Hrs</t>
  </si>
  <si>
    <t>7.05 Hrs</t>
  </si>
  <si>
    <t>0.188/0.033/0.168</t>
  </si>
  <si>
    <t>18/17.8/17.8</t>
  </si>
  <si>
    <t>3.5/2.73</t>
  </si>
  <si>
    <t>17.9/17.8/17.6</t>
  </si>
  <si>
    <t>09:48 Hrs</t>
  </si>
  <si>
    <t>3.48 Hrs</t>
  </si>
  <si>
    <t>08:39 Hrs</t>
  </si>
  <si>
    <t>R9A#2:Esp tripped  on underload at 23:50 Hrs on 06/08/2022.Restarted after pressure build up at 08:39 Hrs on 07/08/2022.Recommend to keep ESP in off condition to avoid failure due to multiple start stops.</t>
  </si>
  <si>
    <t>Esp tripped on underload alarm .kept shutdown for pressure build up.Static Intake pressure- 1138PSI.</t>
  </si>
  <si>
    <t xml:space="preserve">R9A#1:Esp started as per Ongc instruction at 23:50 Hrs on 28/07/2022.                                                                                               R9A#2:Esp tripped on phase fail alarm at 06:35 hrs and found no power in VSD due to DG feeder breaker MCB trip.Well restarted at 12:20hrs after rectifying MCB fault on 28/07/2022 </t>
  </si>
  <si>
    <t xml:space="preserve">R9A#2:Esp tripped on phase fail alarm at 06:35 hrs and found no power in VSD due to DG feeder breaker MCB trip.Well restarted at 12:20hrs after rectifying MCB fault on 28/07/2022 </t>
  </si>
  <si>
    <t>Total running hours Aug 2022</t>
  </si>
  <si>
    <t>Total shutdown hours due to ONGC  Aug  2022</t>
  </si>
  <si>
    <t>Total shutdown hours due to Novomet Aug 2022</t>
  </si>
  <si>
    <r>
      <t xml:space="preserve">  </t>
    </r>
    <r>
      <rPr>
        <b/>
        <sz val="11"/>
        <color rgb="FFFF0000"/>
        <rFont val="Calibri"/>
        <family val="2"/>
        <charset val="204"/>
        <scheme val="minor"/>
      </rPr>
      <t>R9A#2:</t>
    </r>
    <r>
      <rPr>
        <b/>
        <sz val="11"/>
        <rFont val="Calibri"/>
        <family val="2"/>
        <scheme val="minor"/>
      </rPr>
      <t xml:space="preserve">Esp tripped on underload at 23:50 Hrs on 06/08/2022.Restarted after pressure build up at 08:39 Hrs on 07/08/2022.Recommend to keep ESP in off condition to avoid failure due to multiple start stops.                                                   </t>
    </r>
    <r>
      <rPr>
        <b/>
        <sz val="11"/>
        <color rgb="FFFF0000"/>
        <rFont val="Calibri"/>
        <family val="2"/>
        <charset val="204"/>
        <scheme val="minor"/>
      </rPr>
      <t>R9A#1</t>
    </r>
    <r>
      <rPr>
        <b/>
        <sz val="11"/>
        <rFont val="Calibri"/>
        <family val="2"/>
        <scheme val="minor"/>
      </rPr>
      <t xml:space="preserve">:Esp tripped on underload alarm at 09:48 Hrs on 07/08/2022.ESP is running below bubble point pressure.ESP Kept shutdown for pressure build up. Recommend to keep ESP in off condition to avoid failure due to multiple start stops.                                                            </t>
    </r>
  </si>
  <si>
    <t>R9A#2:Esp tripped again on underload at 19:26 Hrs at 05/08/2022.Waiting for pressure build up to start esp.Esp restarted at 02:31 Hrs on 05/08/2022.                                R9A#1:Esp started as per ongc instruction at 18:00 Hrs on 05/08/2022.</t>
  </si>
  <si>
    <t>R9A1:Esp tripped on underload at 21:00 hrs on 31/07/2020.ESP is running below bubble point pressure.ESP Kept shutdown for pressure build up. Recommend to keep ESP in off condition to avoid failure due to multiple start stops.Esp started as per ongc instruction at 18:00 Hrs on 05/08/2022.</t>
  </si>
  <si>
    <t>Esp tripped on underload alarm .kept shutdown for pressure build up.Static Intake pressure- 1196PSI.</t>
  </si>
  <si>
    <t>0.126/0.037/0.102</t>
  </si>
  <si>
    <t>2.1/2.5</t>
  </si>
  <si>
    <t>Esp tripped on underload alarm .kept shutdown for pressure build up.Static Intake pressure- 1244PSI.</t>
  </si>
  <si>
    <t>0.134/0.054/0.141</t>
  </si>
  <si>
    <t>75.5</t>
  </si>
  <si>
    <t>Frequency reduced back to 47.5 Hz</t>
  </si>
  <si>
    <t>1.4/1.5</t>
  </si>
  <si>
    <t>17/17/17/</t>
  </si>
  <si>
    <t xml:space="preserve">R9A#2:Esp tripped on underload at 07:54 Hrs on 09/08/2022.Restarted after pressure build up at 23:15 Hrs on 09/08/2022.Recommend to keep ESP in off condition to avoid failure due to multiple start stops.  </t>
  </si>
  <si>
    <t>07:54 Hrs</t>
  </si>
  <si>
    <t>15.21 Hrs</t>
  </si>
  <si>
    <t>Esp tripped on underload alarm .kept shutdown for pressure build up.Static Intake pressure- 1277PSI.</t>
  </si>
  <si>
    <t>0.5 hz reduced</t>
  </si>
  <si>
    <t>0.227/0.026/0.126</t>
  </si>
  <si>
    <t>15/15.1/15.2</t>
  </si>
  <si>
    <t>2.4/3.1</t>
  </si>
  <si>
    <t>17/16.6/16.9</t>
  </si>
  <si>
    <t>1.57/0.83</t>
  </si>
  <si>
    <t>17.1/17.2/16.9</t>
  </si>
  <si>
    <t>Runnung frequency is 52Hz</t>
  </si>
  <si>
    <t>1.85/1.28</t>
  </si>
  <si>
    <t>1653 Hrs</t>
  </si>
  <si>
    <t>R9A#1:Esp tripped on underload alarm at 09:48 Hrs on 07/08/2022.ESP is running below bubble point pressure.ESP Kept shutdown for pressure build up. Recommend to keep ESP in off condition to avoid failure due to multiple start stops.ONGC restarted the ESP at 1653 Hrs. on 11/08/2022. Static intake pressure was 1301 PSI. ESP running with 52 Hz.</t>
  </si>
  <si>
    <t>10.88 Hrs</t>
  </si>
  <si>
    <t>0609  Hrs</t>
  </si>
  <si>
    <t>R9A#2: ESP tripped on Underload at 0609 Hrs. on 11/08/2022. ESP Kept shutdown for pressure build up.</t>
  </si>
  <si>
    <t>1.64/0.71</t>
  </si>
  <si>
    <t>0.140/0.035/0.138</t>
  </si>
  <si>
    <t>2.17/1.95</t>
  </si>
  <si>
    <t>16.6 Hrs</t>
  </si>
  <si>
    <r>
      <rPr>
        <b/>
        <sz val="11"/>
        <color rgb="FFFF0000"/>
        <rFont val="Calibri"/>
        <family val="2"/>
        <charset val="204"/>
        <scheme val="minor"/>
      </rPr>
      <t>R9A#1:</t>
    </r>
    <r>
      <rPr>
        <b/>
        <sz val="11"/>
        <rFont val="Calibri"/>
        <family val="2"/>
        <charset val="204"/>
        <scheme val="minor"/>
      </rPr>
      <t xml:space="preserve">ONGC restarted the ESP at 1653 Hrs. on 11/08/2022. Static intake pressure was 1301 PSI. ESP running with 52 Hz.               </t>
    </r>
    <r>
      <rPr>
        <b/>
        <sz val="11"/>
        <color rgb="FFFF0000"/>
        <rFont val="Calibri"/>
        <family val="2"/>
        <charset val="204"/>
        <scheme val="minor"/>
      </rPr>
      <t xml:space="preserve">R9A#2: </t>
    </r>
    <r>
      <rPr>
        <b/>
        <sz val="11"/>
        <rFont val="Calibri"/>
        <family val="2"/>
        <charset val="204"/>
        <scheme val="minor"/>
      </rPr>
      <t>ESP tripped on Underload at 0609 Hrs. on 11/08/2022. ESP Kept shutdown for pressure build up.Static Intake pressure reacheed above 1300PSI. Restarted the ESP @ 2245 Hrs. on12/08/2022</t>
    </r>
  </si>
  <si>
    <t>0.149/0.123/0.98</t>
  </si>
  <si>
    <t>3.44/2.64</t>
  </si>
  <si>
    <t>R9A#2: ESP tripped on Underload at 0226 Hrs. on 13/08/2022. ESP Kept shutdown for pressure build up.Static Intake pressure reached to  1299 PSI. Restarted the ESP @ 1722 Hrs. on 13/08/2022</t>
  </si>
  <si>
    <t>R9A#2: ESP tripped on Underload at 0609 Hrs. on 11/08/2022. ESP Kept shutdown for pressure build up.Static Intake pressure reached above 1300PSI. Restarted the ESP @ 2245 Hrs. on12/08/2022</t>
  </si>
  <si>
    <t>3.57+11.37</t>
  </si>
  <si>
    <t>1004 Hrs</t>
  </si>
  <si>
    <t>19.93 Hrs</t>
  </si>
  <si>
    <t xml:space="preserve">R9A#1: ESP tripped on the Underload @ 1004 Hrs. on 13/08/2022.Kept shutdown for pressure build up. </t>
  </si>
  <si>
    <t>R9A#1: ESP tripped on the Underload @ 1004 Hrs. on 13/08/2022.Kept shutdown for pressure build up.</t>
  </si>
  <si>
    <t>R9A#1: ESP tripped on the Underload @ 1004 Hrs. on 13/08/2022.Kept shutdown for pressure build up.Static pressure -1165 PSI.</t>
  </si>
  <si>
    <t>0.100/0.031/0.076</t>
  </si>
  <si>
    <t>12.9/13/12.9</t>
  </si>
  <si>
    <t>56.7</t>
  </si>
  <si>
    <t>3.35/1.68</t>
  </si>
  <si>
    <t>R9A#1: ESP tripped on the Underload @ 1004 Hrs. on 13/08/2022.Kept shutdown for pressure build up.Static pressure -1212 PSI.</t>
  </si>
  <si>
    <t>0.159/0.029/0.099</t>
  </si>
  <si>
    <t>3.29/2.48</t>
  </si>
  <si>
    <t>0905 Hrs</t>
  </si>
  <si>
    <t>2215  Hrs</t>
  </si>
  <si>
    <t>R9A#2: ESP tripped on the Underload alarm @ 2215 Hrs. on 14/08/2022. ESP kept shutdown for prerssure build up. ESP restarted @ 0905 Hrs. on 15/08/2022. Recommend to keep ESP in off condition to avoid failure due to multiple start stops.</t>
  </si>
  <si>
    <t>7.75+3.08</t>
  </si>
  <si>
    <t>R9A#1: ESP tripped on the Underload @ 1004 Hrs. on 13/08/2022.Kept shutdown for pressure build up.Static pressure -1255 PSI.</t>
  </si>
  <si>
    <t>4.35/2.84</t>
  </si>
  <si>
    <t>R9A#2: ESP tripped on the underload alarm at 1448 Hrs. on 16/08/2022. ESP not yet started, kept shutdown for pressure build up.</t>
  </si>
  <si>
    <t>R9A#1: ESP tripped on the Underload @ 1004 Hrs. on 13/08/2022.Kept shutdown for pressure build up.Static pressure -1285 PSI.</t>
  </si>
  <si>
    <t>0.156/0.032/0.127</t>
  </si>
  <si>
    <t>15/15.1/15</t>
  </si>
  <si>
    <t>3.24/2.15</t>
  </si>
  <si>
    <t>17.3/17.2./17</t>
  </si>
  <si>
    <t>1443 Hrs</t>
  </si>
  <si>
    <t>0731 Hrs</t>
  </si>
  <si>
    <t>15.28+1.52</t>
  </si>
  <si>
    <t>R9A#2: ESP tripped on the underload alarm at 1448 Hrs. on 16/08/2022. ESP not yet started, kept shutdown for pressure build up.ESP restarted at 0731 hrs.on 17/08/2022</t>
  </si>
  <si>
    <t>R9A#2: ESP tripped on the underload alarm at 1448 Hrs. on 16/08/2022. ESP not yet started, kept shutdown for pressure build up.8 Hrs. on 16/08/2022. ESP not yet started, kept shutdown for pressure build up.ESP restarted at 0731 hrs.on 17/08/2022</t>
  </si>
  <si>
    <t>1.16/1.48</t>
  </si>
  <si>
    <t>3.44/2.66</t>
  </si>
  <si>
    <t>R9A#1: ESP tripped on the Underload @ 1004 Hrs. on 13/08/2022.Kept shutdown for pressure build up. ESP restarted at 1704 Hrs. on 18/08/2022</t>
  </si>
  <si>
    <t>1704 Hrs</t>
  </si>
  <si>
    <t>11.07 Hrs</t>
  </si>
  <si>
    <t>R9A#1:ESP restarted at 1704 Hrs. on 18/08/2022</t>
  </si>
  <si>
    <t>0.202/0.033/0.167</t>
  </si>
  <si>
    <t>0025 Hrs</t>
  </si>
  <si>
    <t>R9A#2: ESP tripped at 0858 Hrs. on 18/08/2022 due to underload alarm. Restarted the ESP at 0025 Hrs. on 19/08/2022</t>
  </si>
  <si>
    <t>15.45 Hrs</t>
  </si>
  <si>
    <r>
      <rPr>
        <b/>
        <sz val="11"/>
        <color rgb="FFFF0000"/>
        <rFont val="Calibri"/>
        <family val="2"/>
        <charset val="204"/>
        <scheme val="minor"/>
      </rPr>
      <t>R9A#1:</t>
    </r>
    <r>
      <rPr>
        <b/>
        <sz val="11"/>
        <rFont val="Calibri"/>
        <family val="2"/>
        <scheme val="minor"/>
      </rPr>
      <t xml:space="preserve">ESP restarted at 1704 Hrs. on 18/08/2022                              </t>
    </r>
    <r>
      <rPr>
        <b/>
        <sz val="11"/>
        <color rgb="FFFF0000"/>
        <rFont val="Calibri"/>
        <family val="2"/>
        <charset val="204"/>
        <scheme val="minor"/>
      </rPr>
      <t>R9A#2:</t>
    </r>
    <r>
      <rPr>
        <b/>
        <sz val="11"/>
        <rFont val="Calibri"/>
        <family val="2"/>
        <scheme val="minor"/>
      </rPr>
      <t xml:space="preserve"> ESP tripped at 0858 Hrs. on 18/08/2022 due to underload alarm. Restarted the ESP at 0025 Hrs. on 19/08/2022</t>
    </r>
  </si>
  <si>
    <t>1.57/0.77</t>
  </si>
  <si>
    <t>0.129/0.032/0.099</t>
  </si>
  <si>
    <t>1.95/1.37</t>
  </si>
  <si>
    <t>1.21/1.20</t>
  </si>
  <si>
    <t>1.35/1.41</t>
  </si>
  <si>
    <t>1006Hrs</t>
  </si>
  <si>
    <t>0.91/1.10</t>
  </si>
  <si>
    <t>16.1/16.1/15.9</t>
  </si>
  <si>
    <t>0.104/0.020/0.113</t>
  </si>
  <si>
    <t>16.9/17.1/17.2</t>
  </si>
  <si>
    <t>1.49/1.30</t>
  </si>
  <si>
    <t>2141 Hrs</t>
  </si>
  <si>
    <t>19.9 +15.68 Hrs</t>
  </si>
  <si>
    <t>R9A#2: ESP tripped on the underload alarm at 1006 Hrs. on 20/08/2022. ESP not yet started , kept shutdown for pressure build up.ESP trestarted at 2141 Hrs. on 21/08/2022</t>
  </si>
  <si>
    <t>0.193/0.029/0.161</t>
  </si>
  <si>
    <t>13.6/13.5/13.6</t>
  </si>
  <si>
    <t>58.1</t>
  </si>
  <si>
    <t>16.9/16.6/16.7</t>
  </si>
  <si>
    <t>1.49/1.18</t>
  </si>
  <si>
    <t>0356 Hrs</t>
  </si>
  <si>
    <t xml:space="preserve">R9A#1: ESP tripped on underload at 0356 Hrs. on 22/08/2022.ESP keptshutdown for pressure build. </t>
  </si>
  <si>
    <t>Noticed that FAT starting drop and ESP parameters are reducing trend at 0000 Hrs. on 23/08/2022. Suspected gas rate is increased and the pump gets the gas lock during the High MLP period. temporarily frequency has been increased to 48.5 Hz from 47.5 Hz, found FAT started to increase and ESP parameters are returned to normal.</t>
  </si>
  <si>
    <t>R9A#1: ESP tripped on underload at 0356 Hrs. on 22/08/2022.ESP keptshutdown for pressure build. Static intake pressure-1126 PSI</t>
  </si>
  <si>
    <t>0.157/0.027/0.124</t>
  </si>
  <si>
    <t>Frequency ramp down to 48 Hz from 48.5 Hz.</t>
  </si>
  <si>
    <t>1.29/1.08</t>
  </si>
  <si>
    <t>2.07+24+</t>
  </si>
  <si>
    <t>0056 Hrs</t>
  </si>
  <si>
    <t>R9A#2: ESP tripped on 0056 Hrs. on 23/08/2022, due to the underload alarm. ESP kept shutdown for pressure build up.Static pressure reached to 1360  PSI. restarted the ESP at 2007 Hrs. on 23/08/2022</t>
  </si>
  <si>
    <t>5.07+14.12</t>
  </si>
  <si>
    <t>R9A#1: ESP tripped on underload at 0356 Hrs. on 22/08/2022.ESP keptshutdown for pressure build. Static intake pressure-1175 PSI</t>
  </si>
  <si>
    <t>17.5/17.3/17.3</t>
  </si>
  <si>
    <t>Frequency Increased to 48.5 for tackle the high back pressure</t>
  </si>
  <si>
    <t>1.71/1.24</t>
  </si>
  <si>
    <t>R9A#2:Noticed that ESP parameters are reducing trend and FAT went down. MLP was high during this period due to pigging jobs. R10A header pressure was shooted during the pig receiving time. Ramp up the frequency to 51 Hz from 49 Hz to tackle the back pressure. but ESP parameters and FAT came to normal for a few hours. and ESP tripped on the underload alarm at 2053 Hrs. on 24/08/2022. ESP kept shutdown for pressure build-up.</t>
  </si>
  <si>
    <t>R9A#1: ESP tripped on underload at 0356 Hrs. on 22/08/2022.ESP keptshutdown for pressure build. Static intake pressure-1214  PSI</t>
  </si>
  <si>
    <t>0.165/0.033/0.133</t>
  </si>
  <si>
    <t>1.68/1.21</t>
  </si>
  <si>
    <t>2059 Hrs</t>
  </si>
  <si>
    <t>1537 Hrs</t>
  </si>
  <si>
    <t>9.02+9.62</t>
  </si>
  <si>
    <t>R9A#2:Noticed that ESP parameters are reducing trend and FAT went down. MLP was high during this period due to pigging jobs. R10A header pressure was shooted during the pig receiving time. Ramp up the frequency to 51 Hz from 49 Hz to tackle the back pressure. but ESP parameters and FAT came to normal for a few hours. and ESP tripped on the underload alarm at 2059 Hrs. on 24/08/2022. ESP kept shutdown for pressure build-up.ESP restarted at 1537 Hrs. on 25/08/2022</t>
  </si>
  <si>
    <t>R9A#2:Noticed that ESP parameters are reducing trend and FAT went down. MLP was high during this period due to pigging jobs. R10A header pressure was increased during the pig receiving time. Ramp up the frequency to 51 Hz from 49 Hz to tackle the back pressure. but ESP parameters and FAT came to normal for a few hours. and ESP tripped on the underload alarm at 2059 Hrs. on 24/08/2022. ESP kept shutdown for pressure build-up.ESP restarted at 1537 Hrs. on 25/08/2022</t>
  </si>
  <si>
    <t>R9A#1: ESP tripped on underload at 0356 Hrs. on 22/08/2022.ESP keptshutdown for pressure build. Static intake pressure-1247  PSI</t>
  </si>
  <si>
    <t>1.91/1.16</t>
  </si>
  <si>
    <t>R9A#2: ESP tripped on underload at 1728 Hrs. on 26/08/2022. ESP kept shutdown for pressure build up.</t>
  </si>
  <si>
    <t>R9A#1: ESP tripped on underload at 0356 Hrs. on 22/08/2022.ESP keptshutdown for pressure build. Static intake pressure-1278  PSI</t>
  </si>
  <si>
    <t>0.155/0.038/0.118</t>
  </si>
  <si>
    <t>14.5/14.6/14.6</t>
  </si>
  <si>
    <t>2.95/3.97</t>
  </si>
  <si>
    <t>16.9/16.8/16.9</t>
  </si>
  <si>
    <t>1716 Hrs</t>
  </si>
  <si>
    <t>1227 Hrs</t>
  </si>
  <si>
    <t>12..73+6.45</t>
  </si>
  <si>
    <t>R9A#2: ESP tripped on underload at 1716 Hrs. on 26/08/2022. ESP kept shutdown for pressure build up.ESP restarted at 1227 Hrs. on 27/08/2022.</t>
  </si>
  <si>
    <t>R9A#1: ESP tripped on underload at 0356 Hrs. on 22/08/2022.ESP keptshutdown for pressure build. Static intake pressure-1298  PSI</t>
  </si>
  <si>
    <t>3.06/3.22</t>
  </si>
  <si>
    <t>16.9/16.6/16.6</t>
  </si>
  <si>
    <t>1624 Hrs</t>
  </si>
  <si>
    <t>R9A#2: ESP tripped on underload at 1624 Hrs. on 28/08/2022. ESP kept shutdown for pressure build up.ESP restarted at 0002 Hrs. on 29/08/2022.</t>
  </si>
  <si>
    <t>1.24/1.05</t>
  </si>
  <si>
    <t>17/17.1/16.8</t>
  </si>
  <si>
    <t>2.22/1.61</t>
  </si>
  <si>
    <t>1729 Hrs</t>
  </si>
  <si>
    <t>11.48 Hrs</t>
  </si>
  <si>
    <t>2.86/0.94</t>
  </si>
  <si>
    <t>16.3/16.3/16.1</t>
  </si>
  <si>
    <t>0.143/0.026/0.100</t>
  </si>
  <si>
    <t>17.2/17/16.9</t>
  </si>
  <si>
    <t>3.71/3.44</t>
  </si>
  <si>
    <t>17.2/17/16.8</t>
  </si>
  <si>
    <t>2023 Hrs</t>
  </si>
  <si>
    <t>R9A#2: ESP tripped on the  underload at 2023 Hrs. on 29/08/2022. ESP kept shutdown for pressure build up.ESP restarted at 1337 Hrs. on 30/08/2022</t>
  </si>
  <si>
    <t>9.62 Hrs+7.62</t>
  </si>
  <si>
    <r>
      <rPr>
        <b/>
        <sz val="11"/>
        <color rgb="FFFF0000"/>
        <rFont val="Calibri"/>
        <family val="2"/>
        <charset val="204"/>
        <scheme val="minor"/>
      </rPr>
      <t>R9A#1:</t>
    </r>
    <r>
      <rPr>
        <b/>
        <sz val="11"/>
        <rFont val="Calibri"/>
        <family val="2"/>
        <charset val="204"/>
        <scheme val="minor"/>
      </rPr>
      <t xml:space="preserve"> ESP restarted at 1729 Hrs. on 29/08/2022.                            </t>
    </r>
    <r>
      <rPr>
        <b/>
        <sz val="11"/>
        <color rgb="FFFF0000"/>
        <rFont val="Calibri"/>
        <family val="2"/>
        <charset val="204"/>
        <scheme val="minor"/>
      </rPr>
      <t xml:space="preserve">R9A#2: </t>
    </r>
    <r>
      <rPr>
        <b/>
        <sz val="11"/>
        <color theme="1"/>
        <rFont val="Calibri"/>
        <family val="2"/>
        <charset val="204"/>
        <scheme val="minor"/>
      </rPr>
      <t>E</t>
    </r>
    <r>
      <rPr>
        <b/>
        <sz val="11"/>
        <rFont val="Calibri"/>
        <family val="2"/>
        <charset val="204"/>
        <scheme val="minor"/>
      </rPr>
      <t>SP tripped on the  underload at 2023 Hrs. on 29/08/2022. ESP kept shutdown for pressure build up.ESP restarted at 1337 Hrs. on 30/08/2022</t>
    </r>
  </si>
  <si>
    <t>1.73/0.83</t>
  </si>
  <si>
    <t>0.230/0.028/0.162</t>
  </si>
  <si>
    <t>12.9/13.1/13.2</t>
  </si>
  <si>
    <t>ESP parameters and FAT is reducing trend.</t>
  </si>
  <si>
    <t>2.94/1.78</t>
  </si>
  <si>
    <t>2352 Hrs</t>
  </si>
  <si>
    <t>R9A#2: ESP tripped on underload at 1624 Hrs. on 28/08/2022. ESP kept shutdown for pressure build up.ESP restarted at 2352 Hrs. on 28/08/2022.</t>
  </si>
  <si>
    <t>7.47 Hrs</t>
  </si>
  <si>
    <t>R9A#2:ESP tripped on underload at 1624 Hrs. on 28/08/2022. ESP kept shutdown for pressure build up.ESP restarted at 2352 Hrs. on 28/08/2022.</t>
  </si>
  <si>
    <t>2230 Hrs</t>
  </si>
  <si>
    <t>R9A#2: ESP tripped on underload at 2230 Hrs. on 31/08/2022.ESP kept shutdown for pressure build up. ESP restarted at 1120 Hrs. on 01/09/2022</t>
  </si>
  <si>
    <t>7.5+5.33</t>
  </si>
  <si>
    <t>Total running hours Sep 2022</t>
  </si>
  <si>
    <t>Total shutdown hours due to ONGC  Sep  2022</t>
  </si>
  <si>
    <t>Total shutdown hours due to Novomet Sep 2022</t>
  </si>
  <si>
    <t>0.158/0.049/0.106</t>
  </si>
  <si>
    <t>14.8/14.8/14.8</t>
  </si>
  <si>
    <t>1.83/1.57</t>
  </si>
  <si>
    <t>1120 Hrs</t>
  </si>
  <si>
    <t>R9A#1: ESP tripped on the underload @ 1209 Hrs. on 01/09/2022 due to low flow. ESP was running below bubble point pressure. ESP kept shutdown for pressure build up.</t>
  </si>
  <si>
    <t>R9A#1: ESP tripped on the underload @ 1209 Hrs. on 01/09/2022 due to low flow. ESP was running below bubble point pressure. ESP kept shutdown for pressure build up.Static pressure-1128 PSI</t>
  </si>
  <si>
    <t>2.17/1.34</t>
  </si>
  <si>
    <t>1721 Hrs</t>
  </si>
  <si>
    <t>R9A#2: ESP tripped on underload at 1721 Hrs. on 02/09/2022.ESP kept shutdown for pressure build up</t>
  </si>
  <si>
    <t>1158 Hrs</t>
  </si>
  <si>
    <t>18.03 Hrs</t>
  </si>
  <si>
    <t>R9A#1: ESP tripped on the underload @ 1158 Hrs. on 01/09/2022 due to low flow. ESP was running below bubble point pressure. ESP kept shutdown for pressure build up.</t>
  </si>
  <si>
    <r>
      <rPr>
        <b/>
        <sz val="11"/>
        <color rgb="FFFF0000"/>
        <rFont val="Calibri"/>
        <family val="2"/>
        <charset val="204"/>
        <scheme val="minor"/>
      </rPr>
      <t xml:space="preserve">R9A#2: </t>
    </r>
    <r>
      <rPr>
        <b/>
        <sz val="11"/>
        <rFont val="Calibri"/>
        <family val="2"/>
        <scheme val="minor"/>
      </rPr>
      <t xml:space="preserve">ESP tripped on underload at 2230 Hrs. on 31/08/2022.ESP kept shutdown for pressure build up. ESP restarted at 1120 Hrs. on 01/09/2022.                                                 </t>
    </r>
    <r>
      <rPr>
        <b/>
        <sz val="11"/>
        <color rgb="FFFF0000"/>
        <rFont val="Calibri"/>
        <family val="2"/>
        <charset val="204"/>
        <scheme val="minor"/>
      </rPr>
      <t xml:space="preserve">R9A#1: </t>
    </r>
    <r>
      <rPr>
        <b/>
        <sz val="11"/>
        <color theme="1"/>
        <rFont val="Calibri"/>
        <family val="2"/>
        <charset val="204"/>
        <scheme val="minor"/>
      </rPr>
      <t>ESP tripped on the underload @ 1158 Hrs. on 01/09/2022 due to low flow. ESP was running below bubble point pressure. ESP kept shutdown for pressure build up.</t>
    </r>
  </si>
  <si>
    <t>R9A#1: ESP tripped on the underload @ 1209 Hrs. on 01/09/2022 due to low flow. ESP was running below bubble point pressure. ESP kept shutdown for pressure build up.Static pressure-1178 PSI</t>
  </si>
  <si>
    <t>0.135/0.029/0.108</t>
  </si>
  <si>
    <t>15.1/15.1/15.3</t>
  </si>
  <si>
    <t>3.18/2.63</t>
  </si>
  <si>
    <t>1137 Hrs</t>
  </si>
  <si>
    <t>12.65+5.62</t>
  </si>
  <si>
    <t>R9A#2: ESP tripped on underload at 1721 Hrs. on 02/09/2022.ESP kept shutdown for pressure build up. ESP restarted at 1137 Hrs. on 03/09/2022</t>
  </si>
  <si>
    <t>R9A#1: ESP tripped on the underload @ 1209 Hrs. on 01/09/2022 due to low flow. ESP was running below bubble point pressure. ESP kept shutdown for pressure build up.Static pressure-1222 PSI</t>
  </si>
  <si>
    <t>0.129/0.031/0.103</t>
  </si>
  <si>
    <t>16.8/16.9/16.8</t>
  </si>
  <si>
    <t>17.3/17/17.1</t>
  </si>
  <si>
    <t>3.40/5.55</t>
  </si>
  <si>
    <t>0930  Hrs</t>
  </si>
  <si>
    <t>1030  Hrs</t>
  </si>
  <si>
    <t>R9A#2: ESP tripped on underload at 0930 Hrs. on 04/09/2022.ESP kept shutdown for pressure build up. ESP restarted at 1030 Hrs. on 04/09/2022</t>
  </si>
  <si>
    <t>13 Hrs</t>
  </si>
  <si>
    <t>R9A#1: ESP tripped on the underload @ 1209 Hrs. on 01/09/2022 due to low flow. ESP was running below bubble point pressure. ESP kept shutdown for pressure build up.Static pressure-1255 PSI</t>
  </si>
  <si>
    <t>17.5./17.2/17.3</t>
  </si>
  <si>
    <t>2.30/2.21</t>
  </si>
  <si>
    <t>R9A#1: ESP tripped on the underload @ 1209 Hrs. on 01/09/2022 due to low flow. ESP was running below bubble point pressure. ESP kept shutdown for pressure build up.Static pressure-1283 PSI</t>
  </si>
  <si>
    <t>0.136/0.021/0.109</t>
  </si>
  <si>
    <t>14.6/14.6/14.8</t>
  </si>
  <si>
    <t>1.68/3.21</t>
  </si>
  <si>
    <t>17.4/17.2/17</t>
  </si>
  <si>
    <t>2237 Hrs</t>
  </si>
  <si>
    <t>1542 Hrs</t>
  </si>
  <si>
    <t>7.38 Hrs+9.7 Hrs</t>
  </si>
  <si>
    <t>R9A#2: ESP tripped on underload at 2237 Hrs. on 05/09/2022.ESP kept shutdown for pressure build up. ESP restarted at 1542 Hrs. on 06/09/2022</t>
  </si>
  <si>
    <t>R9A#2:ESP tripped on underload at 2237 Hrs. on 05/09/2022.ESP kept shutdown for pressure build up. ONGC decided to start the ESP  at 1542 Hrs. on 06/09/2022. Recommend to keep ESP in off condition to avoid failure due to multiple start stops.</t>
  </si>
  <si>
    <t>ESP tripped on underload at 2237 Hrs. on 05/09/2022.ESP kept shutdown for pressure build up. ONGC decided to start the ESP  at 1542 Hrs. on 06/09/2022. Recommend to keep ESP in off condition to avoid failure due to multiple start stops.</t>
  </si>
  <si>
    <t>R9A#1: ESP tripped on the underload @ 1209 Hrs. on 01/09/2022 due to low flow. ESP was running below bubble point pressure. ESP kept shutdown for pressure build up.Static pressure-1302 PSI</t>
  </si>
  <si>
    <t>66..1</t>
  </si>
  <si>
    <t>3.06/4.71</t>
  </si>
  <si>
    <t>R9A#1: ESP tripped on the underload @ 1209 Hrs. on 01/09/2022 due to low flow. ESP was running below bubble point pressure. ESP kept shutdown for pressure build up.Static pressure-1335 PSI</t>
  </si>
  <si>
    <t>0.168/0.028/0.141</t>
  </si>
  <si>
    <t>13.8/13.5/13.7</t>
  </si>
  <si>
    <t>1.26/1.02</t>
  </si>
  <si>
    <t>1521 Hrs</t>
  </si>
  <si>
    <t>0145 Hrs</t>
  </si>
  <si>
    <t>ESP tripped on underload at 1521 Hrs. on 07/09/2022.ESP kept shutdown for pressure build up. ONGC decided to start the ESP  at 0145 Hrs. on 08/09/2022. Recommend to keep ESP in off condition to avoid failure due to multiple start stops.</t>
  </si>
  <si>
    <t>10.4 Hrs</t>
  </si>
  <si>
    <t>0.144/0.028/0.098</t>
  </si>
  <si>
    <t>14.5/14.5/14.5</t>
  </si>
  <si>
    <t>62.1</t>
  </si>
  <si>
    <t xml:space="preserve">Running frequency temporarily set to 48.5Hz for preventing sudden drop of Intake pressure. </t>
  </si>
  <si>
    <t>17.2/16.9/17</t>
  </si>
  <si>
    <t>2.36/1.50</t>
  </si>
  <si>
    <t>2227 Hrs</t>
  </si>
  <si>
    <t>1610 Hrs</t>
  </si>
  <si>
    <t>R9A#2:ESP tripped on underload at 2227 Hrs. on 08/09/2022.ESP kept shutdown for pressure build up. ONGC decided to start the ESP  at 1610 Hrs. on 09/09/2022. Recommend to keep ESP in off condition to avoid failure due to multiple start stops.</t>
  </si>
  <si>
    <t>7.55+10.17</t>
  </si>
  <si>
    <t>R9A#1:WSS vessel reported at R9A platform for stimulation job for R9A#1 well. Injected 265 bbl of  20% EGMBE+1% surfactant+15%Xylene+64 % HSD.during the injection period surface pressure maintained 1800 PSI and injectivity between 0.7 bpm to 0.8 bpm. 15% HCL concentration is used. Injection is followed by four steps. during the last step( Overflush )50 bbl of HSD and EGMBE were used. After injecting 265 bbl of Chemical vessel injected seawater for displacement. flow back will be done tomorrow morning.</t>
  </si>
  <si>
    <t>2.38/4.04</t>
  </si>
  <si>
    <t>13.5/13.5/13.5</t>
  </si>
  <si>
    <t>1.49/2.15</t>
  </si>
  <si>
    <t>0921 Hrs</t>
  </si>
  <si>
    <t>3.35 Hrs</t>
  </si>
  <si>
    <t>1621 Hrs</t>
  </si>
  <si>
    <t>R9A#2:ESP tripped on underload at 1621 Hrs. on 10/09/2022.ESP kept shutdown for pressure build up.Started the ESP  at 0100 Hrs. on 11/09/2022. Recommend to keep ESP in off condition to avoid failure due to multiple start stops.</t>
  </si>
  <si>
    <t>R9A#2:ESP tripped on underload at 1621 Hrs. on 10/09/2022.ESP kept shutdown for pressure build up. Recommend to keep ESP in off condition to avoid failure due to multiple start stops.</t>
  </si>
  <si>
    <t>4.01/4.33</t>
  </si>
  <si>
    <t>15.8/15.7/15.8</t>
  </si>
  <si>
    <t>14/13.9/14</t>
  </si>
  <si>
    <t>2.69/2.04</t>
  </si>
  <si>
    <t>0.129/0.029/0.105</t>
  </si>
  <si>
    <t>73</t>
  </si>
  <si>
    <t>Frequency set to 50 Hz</t>
  </si>
  <si>
    <t>2.19/5.07</t>
  </si>
  <si>
    <t>0.136/0.031/0.112</t>
  </si>
  <si>
    <t>14.1/14.7/14.9</t>
  </si>
  <si>
    <t>13.9/13.8/13.9</t>
  </si>
  <si>
    <t>2.06/2.66</t>
  </si>
  <si>
    <t>12.9/12.8/12.6</t>
  </si>
  <si>
    <t>0705 Hrs</t>
  </si>
  <si>
    <t>13.65+1.08</t>
  </si>
  <si>
    <t>R9A#2:ESP tripped on underload at 1621 Hrs. on 10/09/2022.ESP kept shutdown for pressure build up. Recommend to keep ESP in off condition to avoid failure due to multiple start stops.ESP restarted at 0705 Hrs. on 11/09/2022</t>
  </si>
  <si>
    <t>0041Hrs</t>
  </si>
  <si>
    <t>R9A#2:ESP tripped on underload at 1726 Hrs. on 11/09/2022.ESP kept shutdown for pressure build up. Recommend to keep ESP in off condition to avoid failure due to multiple start stops.ESP restarted at 0041 Hrs. on 12/09/2022</t>
  </si>
  <si>
    <t>7.25 Hrs</t>
  </si>
  <si>
    <t>Frequency ramp up to 52 HZ</t>
  </si>
  <si>
    <t>0.155/0.042/0.120</t>
  </si>
  <si>
    <t>1.74/1.09</t>
  </si>
  <si>
    <t>14.3/14.1/14</t>
  </si>
  <si>
    <t>3.06/4.3</t>
  </si>
  <si>
    <t>R9A#5: ESP tripped on high intake temperature alarm at 0129 Hrs. on 13/09/2022. Noticed during the trip time FAT was reduced and reached 32 deg. C. Suspected flow rate reduced and caused to intake temperature trip. mainline pressure was high during the trip time. restarted the ESP at 0705 Hrs. on 13/09/2022, ESP suddenly tripped on the Overcurrent alarm.ESP tried to start with Swinging mode Jogging mode reverse and forward rotations , but tripped on the overload alarm.Checked the downhole integrity and surface equipment working condition, and found its OK. Changed start-up mode to Swinging mode and restarted the ESP at 0829 Hrs. on 13/09/2022.High Amps poulled on first three cycle and noticed that amps gradually reduced and ESP run with 40 Hz frequency. Gradually increased frequency to 53 Hz, but FAT is not increasing. Checked sample point and found high viscous fluid. Ramp down the frequency to 50 Hz and after one min increased the frequency to 56 Hz. Observed FAT starting to increase and ESP parameters are came to normal. Running frequency set 55 Hz.reccomended well intervention job for ESP smooth operation.</t>
  </si>
  <si>
    <t>0129 Hrs</t>
  </si>
  <si>
    <t>0829 Hrs</t>
  </si>
  <si>
    <t>4.52+2.48</t>
  </si>
  <si>
    <r>
      <t>R9A#1:</t>
    </r>
    <r>
      <rPr>
        <sz val="12"/>
        <color rgb="FF000000"/>
        <rFont val="Times New Roman"/>
        <family val="1"/>
        <charset val="204"/>
      </rPr>
      <t>Found FAT and ESP parameters are gradually reducing trend and Intake pressure is increasing trend. FTHP also reduced. Ramp down/ ramp up the frequency to release the gas issue.</t>
    </r>
    <r>
      <rPr>
        <b/>
        <sz val="12"/>
        <color rgb="FF000000"/>
        <rFont val="Times New Roman"/>
        <family val="1"/>
        <charset val="204"/>
      </rPr>
      <t>. Intake pressure is dropped 891 PSI.</t>
    </r>
  </si>
  <si>
    <t>4.5/1.2</t>
  </si>
  <si>
    <t>0.138/0.030/0.112</t>
  </si>
  <si>
    <t>2.31/1.39</t>
  </si>
  <si>
    <t>13.8/13.7/13.6</t>
  </si>
  <si>
    <t>R9A#2:ESP tripped on underload at 1655 Hrs. on 13/09/2022.ESP kept shutdown for pressure build up. Recommend to keep ESP in off condition to avoid failure due to multiple start stops.ESP restarted at 0410 Hrs. on 14/09/2022</t>
  </si>
  <si>
    <t>11.25 Hrs</t>
  </si>
  <si>
    <t>Observed FAT is almost stable at 40 deg.C. Intake pressure dropped to 868 PSI.ESP parameters are slightly fluctuating.</t>
  </si>
  <si>
    <t>2.08/5.12</t>
  </si>
  <si>
    <t>15.4/15.3/15.2</t>
  </si>
  <si>
    <t>1.91/1.53</t>
  </si>
  <si>
    <t>14.1/13.9/13.9</t>
  </si>
  <si>
    <t>ESP tripped on the Underload alarm. ESP kept shutdown for the pressure build up.</t>
  </si>
  <si>
    <t>0.139/0.081/0.115</t>
  </si>
  <si>
    <t>14.9/14.8/14.8</t>
  </si>
  <si>
    <t>13.5/13.6/13.3</t>
  </si>
  <si>
    <t>0.164/0.123</t>
  </si>
  <si>
    <t>13.7/13.9/13.5</t>
  </si>
  <si>
    <t>1258 Hrs</t>
  </si>
  <si>
    <t>17.03 Hrs</t>
  </si>
  <si>
    <t>1339 Hrs</t>
  </si>
  <si>
    <t>0911 Hrs</t>
  </si>
  <si>
    <t>R9A#2:ESP tripped on underload at 1339 Hrs. on 16/09/2022.ESP kept shutdown for pressure build up. Recommend to keep ESP in off condition to avoid failure due to multiple start stops.ESP restarted at 0911 Hrs. on 16/09/2022</t>
  </si>
  <si>
    <t>16.35+3.18</t>
  </si>
  <si>
    <t>1035 Hrs</t>
  </si>
  <si>
    <t xml:space="preserve">13.65+4.58 </t>
  </si>
  <si>
    <t>R9A#2:ESP tripped on underload at 1621 Hrs. on 17/09/2022.ESP kept shutdown for pressure build up. Recommend to keep ESP in off condition to avoid failure due to multiple start stops. ESP restarted at 1035 Hrs. on 18/09/2022</t>
  </si>
  <si>
    <t>R9A#2:ESP tripped on underload at 1621 Hrs. on 17/09/2022.ESP kept shutdown for pressure build up. Recommend to keep ESP in off condition to avoid failure due to multiple start stops.. ESP restarted at 1035 Hrs. on 18/09/2022</t>
  </si>
  <si>
    <t>1632 Hrs</t>
  </si>
  <si>
    <t xml:space="preserve"> ESP tripped on the Overcurrent alarm at 1632 Hrs. on 18/09/2022. tried to start the ESP with swinging mode but ESP tripped on overload.ESP kept shutdown to attend Novomet FSE for troubleshooting.</t>
  </si>
  <si>
    <t>R9A#1:ESP tripped @ 1258 Hrs. on 16/09/2022 due to high motor temperature. Before the trip, ESP parameters and FAT went down and found Intake pressure was gradually increasing trend. Frequency ramp down to 45 Hz and ramp to 52 Hz but there are no improvements in ESP performance. ESP tripped on High motor temperature.</t>
  </si>
  <si>
    <t>ESP tripped @ 1258 Hrs. on 16/09/2022 due to high motor temperature. Before the trip, ESP parameters and FAT went down and found Intake pressure was gradually increasing trend. Frequency ramp down to 45 Hz and ramp to 52 Hz but there are no improvements in ESP performance. ESP tripped on High motor temperature.</t>
  </si>
  <si>
    <t>2.43/2.45</t>
  </si>
  <si>
    <t>16.2/16.3/16.2</t>
  </si>
  <si>
    <t>13.7/13.6/13.7</t>
  </si>
  <si>
    <t>2.16/1.15</t>
  </si>
  <si>
    <t>15.2/15/14.9</t>
  </si>
  <si>
    <t>2005 Hrs</t>
  </si>
  <si>
    <t>13.47 +14.08 Hrs</t>
  </si>
  <si>
    <t>R9A#1: ONGC restarted the ESP at 1317 Hrs. 19/09/2022. running frequency set to 50 Hz.Noticed FAT and ESP para,meters are reducing trend . Ramp up the frequency to 52 Hz at 0000 Hrs. on 20/09/2022</t>
  </si>
  <si>
    <t>1317 Hrs</t>
  </si>
  <si>
    <t>7.28 Hrs</t>
  </si>
  <si>
    <t>1.62/4.81</t>
  </si>
  <si>
    <t>14.5/14.6/14.5</t>
  </si>
  <si>
    <t>0.149/0.029/0.107</t>
  </si>
  <si>
    <t>14.3/14.3/14.5</t>
  </si>
  <si>
    <t>13.4/13.3/13.4</t>
  </si>
  <si>
    <t>2.29/1.57</t>
  </si>
  <si>
    <t>14.8/14.7/14.6</t>
  </si>
  <si>
    <t>0222 Hrs</t>
  </si>
  <si>
    <t>R9A#2:ESP tripped on underload at 1451 Hrs. on19/09/2022.ESP kept shutdown for pressure build up. Recommend to keep ESP in off condition to avoid failure due to multiple start stops. ESP restarted at 0222 Hrs. on 20/09/2022</t>
  </si>
  <si>
    <r>
      <rPr>
        <b/>
        <sz val="11"/>
        <color rgb="FFFF0000"/>
        <rFont val="Calibri"/>
        <family val="2"/>
        <charset val="204"/>
        <scheme val="minor"/>
      </rPr>
      <t>R9A#5:</t>
    </r>
    <r>
      <rPr>
        <b/>
        <sz val="11"/>
        <color theme="1"/>
        <rFont val="Calibri"/>
        <family val="2"/>
        <charset val="204"/>
        <scheme val="minor"/>
      </rPr>
      <t xml:space="preserve">ESP tripped on the Overcurrent alarm at 1632 Hrs. on 18/09/2022. tried to start the ESP with swinging mode but ESP tripped on overload.ESP kept shutdown to attend Novomet FSE for troubleshooting. Checked downhole integrity and performed no load test to confirm surface equipment status. ESP tried to start with soft mode start up, but ESP tripped on the Overload alarm. tried with swinging mode, but tripped on Overload. tried with Jogging mode with both rotations, and ESP tripped on overload. ESP restarted @2005 Hrs. on 19/09/2022  with Swinging mode and during the start up motor pulling high current. gradually increased frequency to 55 Hz.     </t>
    </r>
    <r>
      <rPr>
        <b/>
        <sz val="11"/>
        <rFont val="Calibri"/>
        <family val="2"/>
        <charset val="204"/>
        <scheme val="minor"/>
      </rPr>
      <t xml:space="preserve">                                                                                                  </t>
    </r>
    <r>
      <rPr>
        <b/>
        <sz val="11"/>
        <color rgb="FFFF0000"/>
        <rFont val="Calibri"/>
        <family val="2"/>
        <charset val="204"/>
        <scheme val="minor"/>
      </rPr>
      <t>R9A#1:</t>
    </r>
    <r>
      <rPr>
        <b/>
        <sz val="11"/>
        <rFont val="Calibri"/>
        <family val="2"/>
        <charset val="204"/>
        <scheme val="minor"/>
      </rPr>
      <t xml:space="preserve"> ONGC restarted the ESP at 1317 Hrs. 19/09/2022. running frequency set to 50 Hz.Noticed FAT and ESP parameters are reducing trend. Ramp up the frequency to 52 Hz at 0000 Hrs. on 20/09/2022.                                                        </t>
    </r>
    <r>
      <rPr>
        <b/>
        <sz val="11"/>
        <color rgb="FFFF0000"/>
        <rFont val="Calibri"/>
        <family val="2"/>
        <charset val="204"/>
        <scheme val="minor"/>
      </rPr>
      <t>R9A#2:</t>
    </r>
    <r>
      <rPr>
        <b/>
        <sz val="11"/>
        <rFont val="Calibri"/>
        <family val="2"/>
        <charset val="204"/>
        <scheme val="minor"/>
      </rPr>
      <t>ESP tripped on underload at 1451 Hrs. on19/09/2022.ESP kept shutdown for pressure build up. Recommend to keep ESP in off condition to avoid failure due to multiple start stops.. ESP restarted at 0222 Hrs. on 20/09/2022</t>
    </r>
  </si>
  <si>
    <t xml:space="preserve"> ESP tripped on the Overcurrent alarm at 1632 Hrs. on 18/09/2022. tried to start the ESP with swinging mode but ESP tripped on overload.ESP kept shutdown to attend Novomet FSE for troubleshooting.Checked downhole integrity and performed no load test confirm surface equipments status. ESP tried to start with soft mode start up, but ESP tripped on the Overload alarm. tried with swinging mode, but tripped on Overload.tried with Jogging mode with both rotation , ESP tripped on overload. ESP restarted @ 2005 with Swinging mode and during the start up motor pulling high current.gradually increased frequency to 55 Hz.</t>
  </si>
  <si>
    <t>0.152/0.029/0.120</t>
  </si>
  <si>
    <t>14/13.9/13.9</t>
  </si>
  <si>
    <t>2.43/1.37</t>
  </si>
  <si>
    <t>14.4/14.3/14.2</t>
  </si>
  <si>
    <t>Frequency has been increased to 49 Hz from 48.5 Hz</t>
  </si>
  <si>
    <t>1359 Hrs</t>
  </si>
  <si>
    <t>16.02 Hrs</t>
  </si>
  <si>
    <t>0218  Hrs</t>
  </si>
  <si>
    <t>1416  Hrs</t>
  </si>
  <si>
    <t>R9A#2:ESP tripped on underload at 0218 Hrs. on21/09/2022.ESP kept shutdown for pressure build up. Recommend to keep ESP in off condition to avoid failure due to multiple start stops. ESP restarted at 1416 Hrs. on 21/09/2022</t>
  </si>
  <si>
    <t>3.7+8.27</t>
  </si>
  <si>
    <r>
      <rPr>
        <b/>
        <sz val="11"/>
        <color rgb="FFFF0000"/>
        <rFont val="Calibri"/>
        <family val="2"/>
        <charset val="204"/>
        <scheme val="minor"/>
      </rPr>
      <t xml:space="preserve">R9A#1: </t>
    </r>
    <r>
      <rPr>
        <b/>
        <sz val="11"/>
        <rFont val="Calibri"/>
        <family val="2"/>
        <charset val="204"/>
        <scheme val="minor"/>
      </rPr>
      <t xml:space="preserve">ESP tripped on the underload alarm at 1359 Hrs.on 21/09/2022. ESP was running below bubble point pressure and FAT  fluctuating trend.ESP kept shutdown for pressure build up.Recommend to keep ESP in off condition to avoid failure due to multiple start stops.                                                    </t>
    </r>
    <r>
      <rPr>
        <b/>
        <sz val="11"/>
        <color rgb="FFFF0000"/>
        <rFont val="Calibri"/>
        <family val="2"/>
        <charset val="204"/>
        <scheme val="minor"/>
      </rPr>
      <t>R9A#2</t>
    </r>
    <r>
      <rPr>
        <b/>
        <sz val="11"/>
        <rFont val="Calibri"/>
        <family val="2"/>
        <charset val="204"/>
        <scheme val="minor"/>
      </rPr>
      <t>:ESP tripped on underload at 0218 Hrs. on21/09/2022.ESP kept shutdown for pressure build up. Recommend to keep ESP in off condition to avoid failure due to multiple start stops. ESP restarted at 1416 Hrs. on 21/09/2022</t>
    </r>
  </si>
  <si>
    <t>13.8/13.8/13.8</t>
  </si>
  <si>
    <t>2.06/1.23</t>
  </si>
  <si>
    <t>15/14.8/14.8</t>
  </si>
  <si>
    <t>1136 Hrs</t>
  </si>
  <si>
    <t>R9A#2:ESP tripped on underload at 0218 Hrs. on21/09/2022.ESP kept shutdown for pressure build up. Recommend to keep ESP in off condition to avoid failure due to multiple start stops. ESP restarted at 1416 Hrs. on 21/09/2022. Static Intake pressure-1141 PSI.</t>
  </si>
  <si>
    <t>0.139/0.041/0.127</t>
  </si>
  <si>
    <t>13.9/13.9/13.9</t>
  </si>
  <si>
    <t>2.07/2.06</t>
  </si>
  <si>
    <t>0959 Hrs</t>
  </si>
  <si>
    <t>18.4+3.98</t>
  </si>
  <si>
    <t>R9A#2:ESP tripped on underload at 1136 Hrs. on22/09/2022.ESP kept shutdown for pressure build up. Recommend to keep ESP in off condition to avoid failure due to multiple start stops. ESP restarted at 0959 Hrs. on 23/09/2022</t>
  </si>
  <si>
    <t xml:space="preserve">R9A#2:ESP tripped on underload at 1136 Hrs. on 22/09/2022.ESP frequently tripped on the Underload alarm due to low inflow. ESP kept shutdown for pressure build up. Recommend to keep ESP in off condition to avoid failure due to multiple start stops . ESP restarted at 0959 Hrs. on 23/09/2022
</t>
  </si>
  <si>
    <t>R9A#2:ESP tripped on underload at 0218 Hrs. on21/09/2022.ESP kept shutdown for pressure build up. Recommend to keep ESP in off condition to avoid failure due to multiple start stops. ESP restarted at 1416 Hrs. on 21/09/2022. Static Intake pressure-1184 PSI.</t>
  </si>
  <si>
    <t>0.160/0.046/0.092</t>
  </si>
  <si>
    <t>14.6/14.8/14.8</t>
  </si>
  <si>
    <t>14./14/14</t>
  </si>
  <si>
    <t>14.9/14.8/14.3</t>
  </si>
  <si>
    <t>1755 Hrs</t>
  </si>
  <si>
    <t>1936 Hrs</t>
  </si>
  <si>
    <t>R9A#2:ESP tripped on underload at 1755 Hrs. on 24/09/2022.ESP kept shutdown for pressure build up. Recommend to keep ESP in off condition to avoid failure due to multiple start stops.As per ONGC base instruction  ESP restarted at 1936 Hrs. on 24/09/2022</t>
  </si>
  <si>
    <t>1.59/2.78</t>
  </si>
  <si>
    <t>17.6/17.7/17.4</t>
  </si>
  <si>
    <t>0.137/0.047/0.114</t>
  </si>
  <si>
    <t>14.8/14.9/15</t>
  </si>
  <si>
    <t>2.01/1.46</t>
  </si>
  <si>
    <t>14.5/14.4/14.3</t>
  </si>
  <si>
    <t>1319 Hrs</t>
  </si>
  <si>
    <t>R9A#1 ESP tripped on the underload alarm at 1359 Hrs.on 21/09/2022. ESP was running below bubble point pressure and FAT  fluctuating trend.ESP kept shutdown for pressure build up.Recommend to keep ESP in off condition to avoid failure due to multiple start stops</t>
  </si>
  <si>
    <t>7.32 Hrs</t>
  </si>
  <si>
    <t>0310 Hrs</t>
  </si>
  <si>
    <t>1330 Hrs</t>
  </si>
  <si>
    <t>R9A#2: ESP again tripped on underload alarm at 0310 Hrs. on 25/09/2022.ESP restarted at after pressure build up. Restarted time-1330 Hrs. on 25/09/2022</t>
  </si>
  <si>
    <t>2.83+7.5</t>
  </si>
  <si>
    <t>1.37/1.76</t>
  </si>
  <si>
    <t>13.7/13.7/13.7</t>
  </si>
  <si>
    <t>1.76/1.94</t>
  </si>
  <si>
    <t>R9A#2:ESP tripped on underload at 1752 Hrs. on 26/09/2022.ESP kept shutdown for pressure build up. Recommend to keep ESP in off condition to avoid failure due to multiple start stops.</t>
  </si>
  <si>
    <t>R9A#1: ESP tripped on underload at 0356 Hrs. on 22/08/2022.ESP kepts hutdown for pressure build. ESP restarted at 1729 Hrs. on 29/08/2022</t>
  </si>
  <si>
    <t xml:space="preserve"> Injected 265 bbl of  20% EGMBE+1% surfactant+15%Xylene+64 % HSD.during the injection period surface pressure maintained 1800 PSI and injectivity between 0.7 bpm to 0.8 bpm. 15% HCL concentration is used. Injection is followed by four steps. during the last step( Overflush )50 bbl of HSD and EGMBE were used. After injecting 265 bbl of Chemical, the vessel injected seawater for the displacement of fluid. as per ONGC, flow back will be done tomorrow morning.WSS vessel approached and rig up.ESP started at 0921 Hrs. on 11/09/2022 for flowback. ESP started with 40 Hz.frequency, frequency gradually ramp up to 47 Hz.found flow at 12 min at the vessel burner. Observed oil and PH value 6. ONGC decided to divert the flow to the production header. time-1125 Hrs. during the flow back time ESP parameters are stable intake pressure was slightly reducing trend. Informed vessel to change choke size to 1/2".Intake pressure reached 1250 PSI, frequency gradually ramp down to 46 Hz. FAT is maximum reached 45.25 deg. c and minimum value  40 .98 deg C. ESP running with 46 Hz.</t>
  </si>
  <si>
    <t>R9A#1:ONGC restarted the ESP at 1319 Hrs. on 25/09/2022.Static Intake pressure was 1202 PSI.Noticed intake pressure pressure continuously reducing trend and reached 866 PSI.</t>
  </si>
  <si>
    <r>
      <rPr>
        <b/>
        <sz val="11"/>
        <color rgb="FFFF0000"/>
        <rFont val="Calibri"/>
        <family val="2"/>
        <charset val="204"/>
        <scheme val="minor"/>
      </rPr>
      <t>R9A#1:</t>
    </r>
    <r>
      <rPr>
        <b/>
        <sz val="11"/>
        <rFont val="Calibri"/>
        <family val="2"/>
        <charset val="204"/>
        <scheme val="minor"/>
      </rPr>
      <t xml:space="preserve">ONGC restarted the ESP at 1319 Hrs. on 25/09/2022.Static Intake pressure was 1202 PSI.Noticed intake pressure pressure continuously reducing trend and reached 866 PSI.                                                                                                            </t>
    </r>
    <r>
      <rPr>
        <b/>
        <sz val="11"/>
        <color rgb="FFFF0000"/>
        <rFont val="Calibri"/>
        <family val="2"/>
        <charset val="204"/>
        <scheme val="minor"/>
      </rPr>
      <t xml:space="preserve">R9A#2: </t>
    </r>
    <r>
      <rPr>
        <b/>
        <sz val="11"/>
        <rFont val="Calibri"/>
        <family val="2"/>
        <charset val="204"/>
        <scheme val="minor"/>
      </rPr>
      <t>ESP again tripped on underload alarm at 0310 Hrs. on 25/09/2022.ESP restarted at after pressure build up. Restarted time-1330 Hrs. on 25/09/2022</t>
    </r>
  </si>
  <si>
    <t>R9A#1: ONGC restarted the ESP at 1317 Hrs. 19/09/2022. running frequency set to 50 Hz.Noticed FAT and ESP parameters are reducing trend . Ramp up the frequency to 52 Hz at 0000 Hrs. on 20/09/2022</t>
  </si>
  <si>
    <t>0.152/0.060/0.124</t>
  </si>
  <si>
    <t>14.9/14.9/14.9</t>
  </si>
  <si>
    <t>1.60/0.95</t>
  </si>
  <si>
    <t>14.6/14.5/14.4</t>
  </si>
  <si>
    <t>0101 Hrs</t>
  </si>
  <si>
    <t>4.98 Hrs</t>
  </si>
  <si>
    <t>0923 Hrs</t>
  </si>
  <si>
    <t>R9A#2:ESP tripped on underload at 1752 Hrs. on 26/09/2022.ESP kept shutdown for pressure build up. Recommend to keep ESP in off condition to avoid failure due to multiple start stops.ESP restarted at 0923 Hrs. on 27/09/2022.</t>
  </si>
  <si>
    <t>12.13+3.38</t>
  </si>
  <si>
    <r>
      <rPr>
        <b/>
        <sz val="11"/>
        <color rgb="FFFF0000"/>
        <rFont val="Calibri"/>
        <family val="2"/>
        <charset val="204"/>
        <scheme val="minor"/>
      </rPr>
      <t>R9A#2</t>
    </r>
    <r>
      <rPr>
        <b/>
        <sz val="11"/>
        <rFont val="Calibri"/>
        <family val="2"/>
        <charset val="204"/>
        <scheme val="minor"/>
      </rPr>
      <t xml:space="preserve">:ESP tripped on underload at 1752 Hrs. on 26/09/2022.ESP kept shutdown for pressure build up. Recommend to keep ESP in off condition to avoid failure due to multiple start stops.  ESP restarted at 0923 Hrs. on 27/09/2022.                                                                                                </t>
    </r>
    <r>
      <rPr>
        <b/>
        <sz val="11"/>
        <color rgb="FFFF0000"/>
        <rFont val="Calibri"/>
        <family val="2"/>
        <charset val="204"/>
        <scheme val="minor"/>
      </rPr>
      <t>R9A#1:</t>
    </r>
    <r>
      <rPr>
        <b/>
        <sz val="11"/>
        <rFont val="Calibri"/>
        <family val="2"/>
        <charset val="204"/>
        <scheme val="minor"/>
      </rPr>
      <t xml:space="preserve"> ESP tripped on the underload at 0101 Hrs. on 27/09/2022. Intake pressure was too low before the trip. ESP kept shutdown for pressure build up.Recommend to keep ESP in off condition to avoid failure due to multiple start stops</t>
    </r>
  </si>
  <si>
    <t>ESP tripped on the underload at 0101 Hrs. on 27/09/2022. Intake pressure was too low before the trip. ESP kept shutdown for pressure build up.Recommend to keep ESP in off condition to avoid failure due to multiple start stops</t>
  </si>
  <si>
    <t>0.154/0.036/0.130</t>
  </si>
  <si>
    <t>16.5/16.5/16.7</t>
  </si>
  <si>
    <t>13.5/13.4/13.5</t>
  </si>
  <si>
    <t>1.43/0.086</t>
  </si>
  <si>
    <t>1501 Hrs</t>
  </si>
  <si>
    <t>2248 Hrs</t>
  </si>
  <si>
    <t>R9A#2:ESP tripped on underload at 1501 Hrs. on 28/09/2022.ESP kept shutdown for pressure build up. Recommend to keep ESP in off condition to avoid failure due to multiple start stops.ESP restarted at 2248 Hrs. on 28/09/2022.</t>
  </si>
  <si>
    <t>ESP tripped on the underload at 0101 Hrs. on 27/09/2022. Intake pressure was too low before the trip. ESP kept shutdown for pressure build up.Recommend to keep ESP in off condition to avoid failure due to multiple start stops. Static Intake pressure-1133 PSI.</t>
  </si>
  <si>
    <t>13.7/13.6/13.6</t>
  </si>
  <si>
    <t>1.41/.088</t>
  </si>
  <si>
    <t>2034 Hrs</t>
  </si>
  <si>
    <t>R9A#2:ESP tripped on underload at 2034 Hrs. on 29/09/2022.ESP kept shutdown for pressure build up. Recommend to keep ESP in off condition to avoid failure due to multiple start stops.</t>
  </si>
  <si>
    <t>R9A#5: Frequency temporarily increased to 56.5 Hz from 56 Hz to tackle the back pressure. FAT was reducing trend, after ramp up the frequency, FAT has been increased.</t>
  </si>
  <si>
    <t>ESP tripped on the underload at 0101 Hrs. on 27/09/2022. Intake pressure was too low before the trip. ESP kept shutdown for pressure build up.Recommend to keep ESP in off condition to avoid failure due to multiple start stops. Static Intake pressure-1177 PSI.</t>
  </si>
  <si>
    <t>0.118/0.031/0.108</t>
  </si>
  <si>
    <t>15.3/15.3/15.2</t>
  </si>
  <si>
    <t>2.01/1.35</t>
  </si>
  <si>
    <t>0734 Hrs</t>
  </si>
  <si>
    <t>9.43 +1.57 Hrs</t>
  </si>
  <si>
    <t>R9A#2:ESP tripped on underload at 2034 Hrs. on 29/09/2022.ESP kept shutdown for pressure build up. Recommend to keep ESP in off condition to avoid failure due to multiple start stops.ESP restarted @ 0734 Hrs. on 30/09/2022</t>
  </si>
  <si>
    <t xml:space="preserve">Frequency has been increased to 51 Hz from 49 Hz. To tackle the back pressure. </t>
  </si>
  <si>
    <t>Total running hours Oct 2022</t>
  </si>
  <si>
    <t>Total shutdown hours due to ONGC  Oct  2022</t>
  </si>
  <si>
    <t>Total shutdown hours due to Novomet Oct 2022</t>
  </si>
  <si>
    <t>ESP tripped on the underload at 0101 Hrs. on 27/09/2022. Intake pressure was too low before the trip. ESP kept shutdown for pressure build up.Recommend to keep ESP in off condition to avoid failure due to multiple start stops. Static Intake pressure-1213 PSI.</t>
  </si>
  <si>
    <t>0.132/0.029/0.136</t>
  </si>
  <si>
    <t>Frequency ramp down to 50.5 Hz from 51 Hz.</t>
  </si>
  <si>
    <t>1.26/0.87</t>
  </si>
  <si>
    <t>14.4/14.2/14.1</t>
  </si>
  <si>
    <t>0354 Hrs</t>
  </si>
  <si>
    <t>R9A#2:ESP tripped on underload at 0354 Hrs. on 01/10/2022.ESP kept shutdown for pressure build up. Recommend to keep ESP in off condition to avoid failure due to multiple start stops.ESP restarted @ 1730 Hrs. on 01/10/2022</t>
  </si>
  <si>
    <t>2.1+11.5</t>
  </si>
  <si>
    <r>
      <t xml:space="preserve">R9A#2:ESP tripped on underload at 1726 Hrs. on 11/09/2022.ESP kept shutdown for pressure build up. Recommend to keep ESP in off condition to avoid failure due to multiple start stops.ESP restarted at 0041 Hrs. on 12/09/2022.                                                                                                 </t>
    </r>
    <r>
      <rPr>
        <b/>
        <sz val="11"/>
        <color rgb="FFFF0000"/>
        <rFont val="Calibri"/>
        <family val="2"/>
        <charset val="204"/>
        <scheme val="minor"/>
      </rPr>
      <t>R9A#1:</t>
    </r>
    <r>
      <rPr>
        <b/>
        <sz val="11"/>
        <rFont val="Calibri"/>
        <family val="2"/>
        <charset val="204"/>
        <scheme val="minor"/>
      </rPr>
      <t>DPRAS job was done and ESP kepts hutdown for flow back ESP started at 0921 Hrs. on 11/09/2022 for flowback.</t>
    </r>
  </si>
  <si>
    <t>ESP tripped on the underload at 0101 Hrs. on 27/09/2022. Intake pressure was too low before the trip. ESP kept shutdown for pressure build up.Recommend to keep ESP in off condition to avoid failure due to multiple start stops. Static Intake pressure-1247PSI.</t>
  </si>
  <si>
    <t>0.122/0.024/0.099</t>
  </si>
  <si>
    <t>14.1/14/14.1</t>
  </si>
  <si>
    <t>Frequency ramp down to 49.5 Hz from 50.5 Hz.</t>
  </si>
  <si>
    <t>1.14/1.69</t>
  </si>
  <si>
    <t>14.6/14.4/14.3</t>
  </si>
  <si>
    <t>ESP tripped on the underload at 0101 Hrs. on 27/09/2022. Intake pressure was too low before the trip. ESP kept shutdown for pressure build up.Recommend to keep ESP in off condition to avoid failure due to multiple start stops. Static Intake pressure-1274PSI.</t>
  </si>
  <si>
    <t>0.076/0.032/0.061</t>
  </si>
  <si>
    <t>16.5/16.6/16.7</t>
  </si>
  <si>
    <t>13.6/13.6/13.6</t>
  </si>
  <si>
    <t>1.19/0.88</t>
  </si>
  <si>
    <t>14/13.9/13.8</t>
  </si>
  <si>
    <t>0804 Hrs</t>
  </si>
  <si>
    <t>2118 Hrs</t>
  </si>
  <si>
    <t>R9A#2:ESP tripped on underload at 0804 Hrs. on 03/10/2022.ESP kept shutdown for pressure build up. Recommend to keep ESP in off condition to avoid failure due to multiple start stops.ESP restarted @ 2118 Hrs. on 03/10/2022</t>
  </si>
  <si>
    <t>13.23 Hrs</t>
  </si>
  <si>
    <t>ESP tripped on the underload at 0101 Hrs. on 27/09/2022. Intake pressure was too low before the trip. ESP kept shutdown for pressure build up.Recommend to keep ESP in off condition to avoid failure due to multiple start stops. Static Intake pressure-1298PSI.</t>
  </si>
  <si>
    <t>R9A#2:ESP tripped on underload .ESP kept shutdown for pressure build up. Recommend to keep ESP in off condition to avoid failure due to multiple start stops.</t>
  </si>
  <si>
    <t>13.4/13.4/13.4</t>
  </si>
  <si>
    <t>1.32/1.05</t>
  </si>
  <si>
    <t>1.42/2.46</t>
  </si>
  <si>
    <t>17.4/17.4/17.2</t>
  </si>
  <si>
    <t>0.111/0.037/0.102</t>
  </si>
  <si>
    <t>Frquency ramp up to 51.5 Hz to tackle the back pressure.</t>
  </si>
  <si>
    <t>1.67/2.40</t>
  </si>
  <si>
    <t>14.8/14.6/14.6</t>
  </si>
  <si>
    <t>0450 Hrs</t>
  </si>
  <si>
    <t>R9A#2:ESP tripped on underload at 1713 Hrs. on 04/10/2022.ESP kept shutdown for pressure build up. Recommend to keep ESP in off condition to avoid failure due to multiple start stops.ESP restarted @ 0450 Hrs. on 05/10/2022</t>
  </si>
  <si>
    <t>0451 Hrs</t>
  </si>
  <si>
    <t>R9A#1: ESP tripped on the underload at 0101 Hrs. on 27/09/2022. Intake pressure was too low before the trip. ESP kept shutdown for pressure build up.Recommend to keep ESP in off condition to avoid failure due to multiple start stops. ONGC restarted the ESP @ 0451 Hrs. on 05/10/2022.Static pressure was 1327 PSI.</t>
  </si>
  <si>
    <t>22.85 Hrs</t>
  </si>
  <si>
    <t>R9A#1:ONGC restarted the ESP @ 0451 Hrs. on 05/10/2022.Static pressure was 1327 PSI.</t>
  </si>
  <si>
    <t>0.127/0.045/0.129</t>
  </si>
  <si>
    <t>16.2/16/16.1</t>
  </si>
  <si>
    <t>1.43/1.15</t>
  </si>
  <si>
    <t>0114 Hrs</t>
  </si>
  <si>
    <t>1709 Hrs</t>
  </si>
  <si>
    <t>R9A#2:ESP tripped on underload at 0114 Hrs. on 06/10/2022.ESP kept shutdown for pressure build up. Recommend to keep ESP in off condition to avoid failure due to multiple start stops.ESP restarted @ 1709 Hrs. on 06/10/2022</t>
  </si>
  <si>
    <t>4.77+11.15</t>
  </si>
  <si>
    <t>2021 Hrs</t>
  </si>
  <si>
    <t>9.65 Hrs</t>
  </si>
  <si>
    <t>R9A#1: ESP tripped on underload alarm @ 2021 Hrs. on 06/10/2022.ESP kept shutdown for pressure build up.Recommend to keep ESP in off condition to avoid failure due to multiple start stops</t>
  </si>
  <si>
    <r>
      <rPr>
        <b/>
        <sz val="11"/>
        <color rgb="FFFF0000"/>
        <rFont val="Calibri"/>
        <family val="2"/>
        <charset val="204"/>
        <scheme val="minor"/>
      </rPr>
      <t>R9A#2:</t>
    </r>
    <r>
      <rPr>
        <b/>
        <sz val="11"/>
        <rFont val="Calibri"/>
        <family val="2"/>
        <scheme val="minor"/>
      </rPr>
      <t xml:space="preserve">ESP tripped on underload at 0114 Hrs. on 06/10/2022.ESP kept shutdown for pressure build up. Recommend to keep ESP in off condition to avoid failure due to multiple start stops.ESP restarted @ 1709 Hrs. on 06/10/2022.                                                                                                     </t>
    </r>
    <r>
      <rPr>
        <b/>
        <sz val="11"/>
        <color rgb="FFFF0000"/>
        <rFont val="Calibri"/>
        <family val="2"/>
        <charset val="204"/>
        <scheme val="minor"/>
      </rPr>
      <t xml:space="preserve">R9A#1: </t>
    </r>
    <r>
      <rPr>
        <b/>
        <sz val="11"/>
        <rFont val="Calibri"/>
        <family val="2"/>
        <scheme val="minor"/>
      </rPr>
      <t>ESP tripped on underload alarm @ 2021 Hrs. on 06/10/2022.ESP kept shutdown for pressure build up.Recommend to keep ESP in off condition to avoid failure due to multiple start stops</t>
    </r>
  </si>
  <si>
    <t>0.282/0.029/0.103</t>
  </si>
  <si>
    <t>54.3</t>
  </si>
  <si>
    <t>14.3/14.2/14.3</t>
  </si>
  <si>
    <t xml:space="preserve"> 8" R9A-R10A W/F Line Pigging in progress with 8"Poly Pig L/T: 13:30 Hrs on 07.10.2022.R9A header pressure is high, crossed 40 Kg/cm2. 
</t>
  </si>
  <si>
    <t>15.7/15.7/15.7</t>
  </si>
  <si>
    <t>1.15/1.23</t>
  </si>
  <si>
    <t>14.8/14.6/14.5</t>
  </si>
  <si>
    <t>2304 Hrs</t>
  </si>
  <si>
    <t>0457 Hrs</t>
  </si>
  <si>
    <t>5.88 Hrs</t>
  </si>
  <si>
    <t>R9A#2:ESP tripped on underload at 2304 Hrs. on 07/10/2022.High MLP because of pigging opertation .ESP kept shutdown for pressure build up. Recommend to keep ESP in off condition to avoid failure due to multiple start stops.ESP restarted @ 0457 Hrs. on 08/10/2022</t>
  </si>
  <si>
    <t>ESP again tripped on the underload alarm @ on 08/10/2022.ESP not yet started</t>
  </si>
  <si>
    <t>0.147/0.026/0.072</t>
  </si>
  <si>
    <t>16.3/16.2/16.2</t>
  </si>
  <si>
    <t>1.02/0.95</t>
  </si>
  <si>
    <t>1142 Hrs</t>
  </si>
  <si>
    <t>14.8 Hrs</t>
  </si>
  <si>
    <t>R9A#2:ESP tripped on underload at 1142 Hrs. on 08/10/2022.High MLP because of pigging opertation .ESP kept shutdown for pressure build up. Recommend to keep ESP in off condition to avoid failure due to multiple start stops.ESP restarted @ 0230 Hrs. on 09/10/2022</t>
  </si>
  <si>
    <t>Frequency increased to 52 Hz to  tackle the back pressure.</t>
  </si>
  <si>
    <t>R9A#2:ESP tripped on underload at 1142 Hrs. on 08/10/2022.High MLP because of pigging operation.ESP kept shutdown for pressure build up. Recommend to keep ESP in off condition to avoid failure due to multiple start stops.ESP restarted @ 0230 Hrs. on 09/10/2022</t>
  </si>
  <si>
    <t>15.6/15.6/15.5</t>
  </si>
  <si>
    <t>1.30/1.03</t>
  </si>
  <si>
    <t>R9A#2:ESP tripped on underload @ Hrs. on 10/10/2022.ESP kept shutdown for pressure build up</t>
  </si>
  <si>
    <t>1.81/2.63</t>
  </si>
  <si>
    <t>17.7/17.7/17.5</t>
  </si>
  <si>
    <t>0.104/0.029/0.090</t>
  </si>
  <si>
    <t>15.2/15.3/15.4</t>
  </si>
  <si>
    <t>14.4/14.3/14.3</t>
  </si>
  <si>
    <t>1.29/1.27</t>
  </si>
  <si>
    <t>1534 Hrs</t>
  </si>
  <si>
    <t>R9A#2:ESP tripped on underload at 1534 Hrs. on 10/10/2022.ESP kept shutdown for pressure build up. Recommend to keep ESP in off condition to avoid failure due to multiple start stops.ESP restarted @ 1534 Hrs. on 11/10/2022</t>
  </si>
  <si>
    <t>14.43+9.57</t>
  </si>
  <si>
    <t>R9A#1: ESP tripped on underload alarm @ 2021 Hrs. on 06/10/2022.ESP kept shutdown for pressure build up.Recommend to keep ESP in off condition to avoid failure due to multiple start stops. ONGC restarted the ESP @ 1533 Hrs. on 11/10/2022.</t>
  </si>
  <si>
    <t>1533 Hrs</t>
  </si>
  <si>
    <t>ONGC restarted the ESP @ 1533 Hrs. on 11/10/2022.</t>
  </si>
  <si>
    <t>R9A#1:ONGC restarted the ESP @ 1533 Hrs. on 11/10/2022.</t>
  </si>
  <si>
    <t>1.50/4.86</t>
  </si>
  <si>
    <t>14.7/ 14.6/14.7</t>
  </si>
  <si>
    <t>1.34/0.91</t>
  </si>
  <si>
    <t>14.6/14.6/14.4</t>
  </si>
  <si>
    <t>0519 Hrs</t>
  </si>
  <si>
    <t>R9A#1: ESP tripped on the underload alarm @ 0519 Hrs. on 13/10/2022. ESP kept shutdown for pressure build up.Recommend to keep ESP in off condition to avoid failure due to multiple start stops</t>
  </si>
  <si>
    <t>0.68 Hrs</t>
  </si>
  <si>
    <t>2251 Hrs</t>
  </si>
  <si>
    <t>R9A#2:ESP tripped on underload at 2251 Hrs. on 12/10/2022.ESP kept shutdown for pressure build up. Recommend to keep ESP in off condition to avoid failure due to multiple start stops.ESP restarted @ 1258 Hrs. on 13/10/2022</t>
  </si>
  <si>
    <t>7.15+6.97</t>
  </si>
  <si>
    <t>2353 Hrs</t>
  </si>
  <si>
    <t>1315 Hrs</t>
  </si>
  <si>
    <t>6.12+7.25</t>
  </si>
  <si>
    <t>R9A#2:ESP tripped on underload @ 2353 Hrs. on 13/10/2022.ESP kept shutdown for pressure build up. Recommend to keep ESP in off condition to avoid failure due to multiple start stops.ESP restarted @ 1315 Hrs. on 14/10/2022. Static Intake pressure was 1315 PSI.</t>
  </si>
  <si>
    <t xml:space="preserve">R9A#2:ESP tripped on underload @ 2353 Hrs. on 13/10/2022.ESP kept shutdown for pressure build up. </t>
  </si>
  <si>
    <t>:ESP tripped on underload at 2251 Hrs. on 12/10/2022.ESP kept shutdown for pressure build up. Recommend to keep ESP in off condition to avoid failure due to multiple start stops.ESP restarted @ 1258 Hrs. on 13/10/2022</t>
  </si>
  <si>
    <t>0.178/0.02/0.89</t>
  </si>
  <si>
    <t>14.1/14.2/13.9</t>
  </si>
  <si>
    <t>14.6/14.3/14.2</t>
  </si>
  <si>
    <t>1.54/0.89</t>
  </si>
  <si>
    <t>14.1/14.7/14.4</t>
  </si>
  <si>
    <t>14.2/14.6/14.2</t>
  </si>
  <si>
    <t>Remarks</t>
  </si>
  <si>
    <t>0.148/0.51/0.102</t>
  </si>
  <si>
    <t>16.2/16.1/15.8</t>
  </si>
  <si>
    <t>14.5/14.6/14.4</t>
  </si>
  <si>
    <t>0.13/.103</t>
  </si>
  <si>
    <t>14.1/14.4/14.3</t>
  </si>
  <si>
    <t>0.084/0.037/0.061</t>
  </si>
  <si>
    <t>16.8/16.9/16.9</t>
  </si>
  <si>
    <t>Frequency increased to 52 Hz to tackle the back pressure.MLP is above 40 Kg/cm2</t>
  </si>
  <si>
    <t>1.82/1.82</t>
  </si>
  <si>
    <t>14.1/14/13.9</t>
  </si>
  <si>
    <t>1801 Hrs</t>
  </si>
  <si>
    <t>0826 Hrs</t>
  </si>
  <si>
    <t>11.98+2.43</t>
  </si>
  <si>
    <t>R9A#2:ESP tripped on underload @ 1801 Hrs. on 15/10/2022.ESP kept shutdown for pressure build up. Recommend to keep ESP in off condition to avoid failure due to multiple start stops.ESP restarted @ 0826 Hrs. on 16/10/2022</t>
  </si>
  <si>
    <t>2125 Hrs</t>
  </si>
  <si>
    <t>R9A#2:ESP tripped on underload @ 1540 Hrs. on 16/10/2022.ESP kept shutdown for pressure build up. Recommend to keep ESP in off condition to avoid failure due to multiple start stops.ESP restarted @ 2125Hrs. on 16/10/2022</t>
  </si>
  <si>
    <t>5.75 Hrs</t>
  </si>
  <si>
    <t>Frequency increased to 57.5 Hz to tackle the backpressure.</t>
  </si>
  <si>
    <t>0.193/0.023/0.112</t>
  </si>
  <si>
    <t>15.3/15.2/15.4</t>
  </si>
  <si>
    <t>1.10/1.02</t>
  </si>
  <si>
    <t>14.7/14.6/14.5</t>
  </si>
  <si>
    <t>0511 Hrs</t>
  </si>
  <si>
    <t>1049 Hrs</t>
  </si>
  <si>
    <t>R9A#2:ESP tripped on underload @ 0511 Hrs. on 17/10/2022 due to high MLP.ESP kept shutdown for pressure build up. Recommend to keep ESP in off condition to avoid failure due to multiple start stops.ESP restarted @ 1049Hrs. on 17/10/2022</t>
  </si>
  <si>
    <t>0.82+4.82</t>
  </si>
  <si>
    <t>0.122/0.031/0.079</t>
  </si>
  <si>
    <t>1.41/1.12</t>
  </si>
  <si>
    <t>1.48/2.98</t>
  </si>
  <si>
    <t>17.5/17.6/17.3</t>
  </si>
  <si>
    <t>14.2/14.2/14.2</t>
  </si>
  <si>
    <t>2.34/1.26</t>
  </si>
  <si>
    <t>15/14.9/14.8</t>
  </si>
  <si>
    <t>R9A#1: ESP tripped on the underload alarm @ 0519 Hrs. on 13/10/2022. ESP kept shutdown for pressure build up.Recommend to keep ESP in off condition to avoid failure due to multiple start stops. ONGC restarted the ESP @ 0723 Hrs. on 19/10/2022</t>
  </si>
  <si>
    <t>1.38 Hrs</t>
  </si>
  <si>
    <t>0718 Hrs</t>
  </si>
  <si>
    <t>7.5+1.3</t>
  </si>
  <si>
    <t>R9A#2:ESP tripped on underload @ 2230 Hrs. on 18/10/2022 due to high MLP.ESP kept shutdown for pressure build up. Recommend to keep ESP in off condition to avoid failure due to multiple start stops.ESP restarted @ 0718 Hrs. on 19/10/2022. ESP again tripped on the underload  @ 1658 Hrs. ESP kept shutdown for pressure build up.</t>
  </si>
  <si>
    <t>3.12/4.4</t>
  </si>
  <si>
    <t>14.4/14.6/14.4</t>
  </si>
  <si>
    <t>0.137/0.040/0.093</t>
  </si>
  <si>
    <t>14.6/14.6/14.6</t>
  </si>
  <si>
    <t>1.03/0.089</t>
  </si>
  <si>
    <t>1448 Hrs</t>
  </si>
  <si>
    <t>15.2 Hrs</t>
  </si>
  <si>
    <t>1312 Hrs</t>
  </si>
  <si>
    <t>13.03+7.2</t>
  </si>
  <si>
    <t>R9A#2:ESP tripped on underload @ 2230 Hrs. on 18/10/2022 due to high MLP.ESP kept shutdown for pressure build up. Recommend to keep ESP in off condition to avoid failure due to multiple start stops.ESP restarted @ 0718 Hrs. on 19/10/2022. ESP again tripped on the underload  @ 1658 Hrs. ESP kept shutdown for pressure build up.ESP restarted @ 1312 Hrs. on 20/10/2022</t>
  </si>
  <si>
    <r>
      <rPr>
        <b/>
        <sz val="11"/>
        <color rgb="FFFF0000"/>
        <rFont val="Calibri"/>
        <family val="2"/>
        <charset val="204"/>
        <scheme val="minor"/>
      </rPr>
      <t>R9A#1:</t>
    </r>
    <r>
      <rPr>
        <b/>
        <sz val="11"/>
        <rFont val="Calibri"/>
        <family val="2"/>
        <charset val="204"/>
        <scheme val="minor"/>
      </rPr>
      <t xml:space="preserve"> ONGC restarted the ESP @ 0723 Hrs. on 19/10/2022.                                                                                                                                                                                         </t>
    </r>
    <r>
      <rPr>
        <b/>
        <sz val="11"/>
        <color rgb="FFFF0000"/>
        <rFont val="Calibri"/>
        <family val="2"/>
        <charset val="204"/>
        <scheme val="minor"/>
      </rPr>
      <t>R9A#2:</t>
    </r>
    <r>
      <rPr>
        <b/>
        <sz val="11"/>
        <rFont val="Calibri"/>
        <family val="2"/>
        <charset val="204"/>
        <scheme val="minor"/>
      </rPr>
      <t>ESP tripped on underload @ 2230 Hrs. on 18/10/2022 due to high MLP.ESP kept shutdown for pressure build up. Recommend to keep ESP in off condition to avoid failure due to multiple start stops.ESP restarted @ 0718 Hrs. on 19/10/2022. ESP again tripped on the underload  @ 1658 Hrs. ESP kept shutdown for pressure build up.ESP restarted @ 1312 Hrs. on 20/10/2022</t>
    </r>
  </si>
  <si>
    <t>R9A#1: ESP tripped on underload due to low flow @ 1448 Hrs. on 20/10/2022. ESP kept shutdown for pressure build up.</t>
  </si>
  <si>
    <t>ESP tripped on underload due to low flow @ 1448 Hrs. on 20/10/2022. ESP kept shutdown for pressure build up.</t>
  </si>
  <si>
    <t>0.142/0.034/0.106</t>
  </si>
  <si>
    <t>1.82/1.32</t>
  </si>
  <si>
    <t>14.7/14.5/14.6</t>
  </si>
  <si>
    <t>0.144/0.104/0.095</t>
  </si>
  <si>
    <t>1.42/0.079</t>
  </si>
  <si>
    <t>2247 Hrs</t>
  </si>
  <si>
    <t>R9A#2:ESP tripped on underload @ 2247 Hrs. on 21/10/2022 due to high MLP.ESP kept shutdown for pressure build up. Recommend to keep ESP in off condition to avoid failure due to multiple start stops.ESP restarted @ 0930 Hrs. on 22/10/2022.</t>
  </si>
  <si>
    <t>7.22+3.5</t>
  </si>
  <si>
    <t xml:space="preserve"> ESP tripped on underload due to low flow @ 1448 Hrs. on 20/10/2022. ESP kept shutdown for pressure build up.</t>
  </si>
  <si>
    <t>14.6/14.4/14.8</t>
  </si>
  <si>
    <t>0.132/0.106</t>
  </si>
  <si>
    <t>1743 Hrs</t>
  </si>
  <si>
    <t>R9A#2:ESP tripped on underload @ 1743 Hrs. on 23/10/2022 due to high MLP.ESP kept shutdown for pressure build up. Recommend to keep ESP in off condition to avoid failure due to multiple start stops.</t>
  </si>
  <si>
    <t>0.154/0.033/0.912</t>
  </si>
  <si>
    <t>0.206/0.134</t>
  </si>
  <si>
    <t>14.7/14.6/14.6</t>
  </si>
  <si>
    <t>1.74/1.32</t>
  </si>
  <si>
    <t>12.28+6.45  Hrs</t>
  </si>
  <si>
    <t>R9A#2:ESP tripped on underload @ 1743 Hrs. on 23/10/2022 due to high MLP.ESP kept shutdown for pressure build up. Recommend to keep ESP in off condition to avoid failure due to multiple start stops.ESP restarted @ 1227 Hrs. on 24/10/2022.</t>
  </si>
  <si>
    <t>1737 HRs</t>
  </si>
  <si>
    <t>2350 Hrs</t>
  </si>
  <si>
    <t>ESP tripped on underload due to low flow @ 1448 Hrs. on 20/10/2022. ESP kept shutdown for pressure build up.ONGC restarted the ESP @ 2350 Hrs. on 25/10/2022.Static intake pressure was 1290 PSI.</t>
  </si>
  <si>
    <t>17.83 Hrs</t>
  </si>
  <si>
    <t>R9A#1:ONGC restarted the ESP @ 2350 Hrs. on 25/10/2022.Static intake pressure was 1290 PSI.</t>
  </si>
  <si>
    <t xml:space="preserve">R9A#2:ESP tripped on underload @ 1737 Hrs. on 25/10/2022 .ESP kept shutdown for pressure build up. Recommend to keep ESP in off condition to avoid failure due to multiple start stops.           </t>
  </si>
  <si>
    <t>1.46/2.81</t>
  </si>
  <si>
    <t>0.129/0.052/0.117</t>
  </si>
  <si>
    <t>1.42/1</t>
  </si>
  <si>
    <t>14.3/14.2/14.1</t>
  </si>
  <si>
    <t>0907 Hrs</t>
  </si>
  <si>
    <t>12.38 +3.12 Hrs</t>
  </si>
  <si>
    <t>R9A#2:ESP tripped on underload @ 1737 Hrs. on 25/10/2022 .ESP kept shutdown for pressure build up. Recommend to keep ESP in off condition to avoid failure due to multiple start stops. ESP restarted @ 0907 Hrs. on 26/10/2022.</t>
  </si>
  <si>
    <r>
      <rPr>
        <b/>
        <sz val="11"/>
        <color rgb="FFFF0000"/>
        <rFont val="Calibri"/>
        <family val="2"/>
        <charset val="204"/>
        <scheme val="minor"/>
      </rPr>
      <t>R9A#2:</t>
    </r>
    <r>
      <rPr>
        <b/>
        <sz val="11"/>
        <rFont val="Calibri"/>
        <family val="2"/>
        <charset val="204"/>
        <scheme val="minor"/>
      </rPr>
      <t xml:space="preserve">ESP tripped on underload @ 1737 Hrs. on 25/10/2022 .ESP kept shutdown for pressure build up. Recommend to keep ESP in off condition to avoid failure due to multiple start stops.   ESP restarted @ 0907 Hrs. on 26/10/2022.                                                                                                   </t>
    </r>
    <r>
      <rPr>
        <b/>
        <sz val="11"/>
        <color rgb="FFFF0000"/>
        <rFont val="Calibri"/>
        <family val="2"/>
        <charset val="204"/>
        <scheme val="minor"/>
      </rPr>
      <t>R9A#1</t>
    </r>
    <r>
      <rPr>
        <b/>
        <sz val="11"/>
        <rFont val="Calibri"/>
        <family val="2"/>
        <charset val="204"/>
        <scheme val="minor"/>
      </rPr>
      <t>:ONGC restarted the ESP @ 2350 Hrs. on 25/10/2022.Static intake pressure was 1290 PSI.</t>
    </r>
  </si>
  <si>
    <t>R9A#5: Noticed FAT dropping gradually and Motor temperature and Intake pressure starting to increase. Flow reduced due to gas interference Ramp down the frequency to 45 Hz and ramp up the frequency again to 57.5 Hz.ESP and FAT parameters are came to normal.</t>
  </si>
  <si>
    <t>2.44/4.88</t>
  </si>
  <si>
    <t>14.9/14.9/14.7</t>
  </si>
  <si>
    <t>14.3/14.2/14.2</t>
  </si>
  <si>
    <t>1.03/0.87</t>
  </si>
  <si>
    <t>14.5/14.4/14.2</t>
  </si>
  <si>
    <t>R9A#2:ESP tripped on underload @ 1542 Hrs. on 27/10/2022 .ESP kept shutdown for pressure build up. Recommend to keep ESP in off condition to avoid failure due to multiple start stops.</t>
  </si>
  <si>
    <t>Frequency increased to 54 Hz to tackle the backpressure.</t>
  </si>
  <si>
    <t>Frequency increased to 58 Hz to tackle the backpressure.</t>
  </si>
  <si>
    <t>14.4/14.4/14.4</t>
  </si>
  <si>
    <t>1.13/0.88</t>
  </si>
  <si>
    <t>0506 Hrs</t>
  </si>
  <si>
    <t>R9A#1: ESP tripped on the underload  alarm @0506 Hrs. on 28/10/2022 due to low flow. well kept shutdown for pressure build up.</t>
  </si>
  <si>
    <t>0.9 Hrs</t>
  </si>
  <si>
    <t>R9A#2:ESP tripped on underload @ 1542 Hrs. on 27/10/2022 .ESP kept shutdown for pressure build up. Recommend to keep ESP in off condition to avoid failure due to multiple start stops. ESP restarted @ 0055 Hrs. on 28/10/2022.</t>
  </si>
  <si>
    <t>0000 Hrs</t>
  </si>
  <si>
    <t>0.1+18 Hrs</t>
  </si>
  <si>
    <r>
      <rPr>
        <b/>
        <sz val="11"/>
        <color rgb="FFFF0000"/>
        <rFont val="Calibri"/>
        <family val="2"/>
        <charset val="204"/>
        <scheme val="minor"/>
      </rPr>
      <t>R9A#2</t>
    </r>
    <r>
      <rPr>
        <b/>
        <sz val="11"/>
        <rFont val="Calibri"/>
        <family val="2"/>
        <charset val="204"/>
        <scheme val="minor"/>
      </rPr>
      <t xml:space="preserve">:ESP tripped on underload @ 1542 Hrs. on 27/10/2022 .ESP kept shutdown for pressure build up. Recommend to keep ESP in off condition to avoid failure due to multiple start stops.  ESP restarted @ 0055 Hrs. on 28/10/2022.                                                                                                               </t>
    </r>
    <r>
      <rPr>
        <b/>
        <sz val="11"/>
        <color rgb="FFFF0000"/>
        <rFont val="Calibri"/>
        <family val="2"/>
        <charset val="204"/>
        <scheme val="minor"/>
      </rPr>
      <t xml:space="preserve">R9A#1: </t>
    </r>
    <r>
      <rPr>
        <b/>
        <sz val="11"/>
        <rFont val="Calibri"/>
        <family val="2"/>
        <charset val="204"/>
        <scheme val="minor"/>
      </rPr>
      <t>ESP tripped on the underload  alarm @0506 Hrs. on 28/10/2022 due to low flow. well kept shutdown for pressure build up.</t>
    </r>
  </si>
  <si>
    <t>R9A#2:ESP again tripped on underload @ 0554 Hrs. on 28/10/2022 .ESP kept shutdown for pressure build up. Recommend to keep ESP in off condition to avoid failure due to multiple start stops. ESP restarted @ 0000 Hrs. on 29/10/2022.</t>
  </si>
  <si>
    <t>0.135/0.034/0.101</t>
  </si>
  <si>
    <t>16.5/16.5/16.5</t>
  </si>
  <si>
    <t>0.96/0.84</t>
  </si>
  <si>
    <t>1256 Hrs</t>
  </si>
  <si>
    <t>2220 Hrs</t>
  </si>
  <si>
    <t>9.4 Hrs</t>
  </si>
  <si>
    <t>R9A#2:ESP again tripped on underload @ 1256 Hrs. on 29/10/2022 due to High MLP during pigging operation from R12A to Heera line .ESP kept shutdown for pressure build up. Recommend to keep ESP in off condition to avoid failure due to multiple start stops. ESP restarted @ 2220 Hrs. on 29/10/2022.</t>
  </si>
  <si>
    <t>R9A#2:ESP  tripped on underload @ 1256 Hrs. on 29/10/2022 due to High MLP during pigging operation from R12A to Heera line .ESP kept shutdown for pressure build up. Recommend to keep ESP in off condition to avoid failure due to multiple start stops. ESP restarted @ 2220 Hrs. on 29/10/2022.</t>
  </si>
  <si>
    <t>R9A#2:ESP  tripped on underload @ 1256 Hrs. on 29/10/2022 due to High MLP during pigging operation from R12A to Heera line .ESP kept shutdown for pressure build up. Recommend to keep ESP in off condition to avoid failure due to multiple start stops. ESP restarted @ 2220 Hrs. on 29/10/2022</t>
  </si>
  <si>
    <t>0.145/0.030/0.096</t>
  </si>
  <si>
    <t>1.03/1.02</t>
  </si>
  <si>
    <t>1.12/0.64</t>
  </si>
  <si>
    <t>0748 Hrs</t>
  </si>
  <si>
    <t>2228 Hrs</t>
  </si>
  <si>
    <t>R9A#2:ESP again tripped on underload @ 0748 Hrs. on 31/10/2022 .ESP kept shutdown for pressure build up. Recommend to keep ESP in off condition to avoid failure due to multiple start stops. ESP restarted @ 2228 Hrs. on 31/10/2022.</t>
  </si>
  <si>
    <t>14.67 Hrs</t>
  </si>
  <si>
    <t>0.137/0.036/0.018</t>
  </si>
  <si>
    <t>14.7/14.8/14.8</t>
  </si>
  <si>
    <t>16.1/16.1/16</t>
  </si>
  <si>
    <t>14.1/14/14</t>
  </si>
  <si>
    <t>Total running hours Nov 2022</t>
  </si>
  <si>
    <t>Total shutdown hours due to ONGC  Nov  2022</t>
  </si>
  <si>
    <t>Total shutdown hours due to Novomet Nov 2022</t>
  </si>
  <si>
    <t xml:space="preserve">ESP tripped on the overcurrent alarm @ 2021 Hrs. on 01/11/2022. Observed after the trip  FAT is increased to 58 .8 deg.C from 34 deg. C.FTHP was 1 kg/cm2  higher than the MLP. after 22 min FTHP went down and self-flow stopped. Noticed Intake temperature is increased to 124 Deg. C and Motor temperature also high. allowed to cool the motor and tried to restart the ESP with soft start mode @2347 Hrs. on 01/11/2022. ESP tripped on Overcurrent. tried to start jogging mode, Swinging mode with forward and reverse directions @ 0040 Hrs. but ESP was tripped on Overload. ESP kept for morning troubleshooting.
</t>
  </si>
  <si>
    <t>9.65 Hrs+24</t>
  </si>
  <si>
    <t>0002 Hrs</t>
  </si>
  <si>
    <t>Confirmed DH integrity. ( Phase to Phase -6.8 Ohm balanced and Phase to Ground -180 M ohm ).ESP tried to start with Jogging mode, Swinging Mode Synchronization mode, and Hard start with Forward and reverse direction. but ESP tripped on the Overload alarm. during the start-up, the sensor reading was lost, reconnected the sensor wiring and retrieved the sensor readings.</t>
  </si>
  <si>
    <t>2.42/1.84</t>
  </si>
  <si>
    <t>13.7/13.5/13.5</t>
  </si>
  <si>
    <t>0825 Hrs</t>
  </si>
  <si>
    <t>5.97 Hrs+2.42 Hrs</t>
  </si>
  <si>
    <t>0130 Hs</t>
  </si>
  <si>
    <t>11.97 Hrs</t>
  </si>
  <si>
    <t>R9A#2:ESP again tripped on underload @ 0002 Hrs. on 03/11/2022 .ESP kept shutdown for pressure build up. Recommend to keep ESP in off condition to avoid failure due to multiple start stops.ESP restarted @ 0825 Hrs. on 03/11/2022. ESP again tripped on the underload alarm @1332 Hrs. on 03/11/2022. ESP restarted @ 0130 Hrs. on 04/11/2022</t>
  </si>
  <si>
    <t>1010 Hrs</t>
  </si>
  <si>
    <t>1147 Hrs</t>
  </si>
  <si>
    <t xml:space="preserve">R9A#4: ESP tripped on Underload @ 1010 Hrs.  Due to gas lock because of high MLP.After equalization of differentail pressure, ESP restarted @1147 Hrs. on 03/11/2022. </t>
  </si>
  <si>
    <t>R9A#5: After several attempt of start up with different modes, ESP started @ 0855 Hrs. on 03/11/2022. Frequency gradually increased to 56 Hz. During the start up ESP pulling high motor amps due to pump stuck.</t>
  </si>
  <si>
    <t>2.92 Hrs</t>
  </si>
  <si>
    <t>0.184/0.033/0.137</t>
  </si>
  <si>
    <t>16.7/16.9/16.9</t>
  </si>
  <si>
    <t>2.19/4.92</t>
  </si>
  <si>
    <t>17.2/17.3/17</t>
  </si>
  <si>
    <t>0.134/0.040/0.085</t>
  </si>
  <si>
    <t>38+</t>
  </si>
  <si>
    <t>3.16/2.38</t>
  </si>
  <si>
    <t>13.7/13.6/13.5</t>
  </si>
  <si>
    <t>3.11/4.51</t>
  </si>
  <si>
    <t>0.100/0.049/0.079</t>
  </si>
  <si>
    <t>14.5/14.4/14.5</t>
  </si>
  <si>
    <t>4.19/3.07</t>
  </si>
  <si>
    <t>1306 Hrs</t>
  </si>
  <si>
    <t>7.1 Hrs</t>
  </si>
  <si>
    <t>R9A#1: ESP restarted @1306  on 04/11/2022 as per ONGC instruction. ESP running with 51 Hz.</t>
  </si>
  <si>
    <t>0615 Hrs</t>
  </si>
  <si>
    <t>0057 Hrs</t>
  </si>
  <si>
    <t>R9A#2:ESP again tripped on underload @ 0615 Hrs. on 04/11/2022 .ESP kept shutdown for pressure build up..ESP restarted @ 0057 Hrs. on 05/11/2022. Recommend to keep ESP in off condition to avoid failure due to multiple start stops</t>
  </si>
  <si>
    <t>18.7 Hrs</t>
  </si>
  <si>
    <t>0.183/0.031/0.127</t>
  </si>
  <si>
    <t>3.46/2.43</t>
  </si>
  <si>
    <t>14.4/14.1/14.1</t>
  </si>
  <si>
    <t>0430 Hrs</t>
  </si>
  <si>
    <t>R9A#1: ESP tripped on the underload  alarm @0430 Hrs. on 06/11/2022 due to low flow. well kept shutdown for pressure build up.</t>
  </si>
  <si>
    <t>1.5 Hrs</t>
  </si>
  <si>
    <t>0628 Hrs</t>
  </si>
  <si>
    <t>2040 Hrs</t>
  </si>
  <si>
    <t>R9A#2:ESP again tripped on underload @ 0628 Hrs. on 06/11/2022 .ESP kept shutdown for pressure build up..ESP restarted @ 2040 Hrs. on 06/11/2022. Recommend to keep ESP in off condition to avoid failure due to multiple start stops</t>
  </si>
  <si>
    <t>14.2 Hrs</t>
  </si>
  <si>
    <t xml:space="preserve">R9A#1: ESP tripped on the underload  alarm @0430 Hrs. on 06/11/2022 due to low flow. well kept shutdown for pressure build up.     </t>
  </si>
  <si>
    <t>0.131/0.047/0.088</t>
  </si>
  <si>
    <t>16/16/16</t>
  </si>
  <si>
    <t>1.89/2.48</t>
  </si>
  <si>
    <t>0.151/0.073/0.123</t>
  </si>
  <si>
    <t>1.70/1.27</t>
  </si>
  <si>
    <t>0248 Hrs</t>
  </si>
  <si>
    <t>1143 Hrs</t>
  </si>
  <si>
    <t>3.2+5.72 Hrs</t>
  </si>
  <si>
    <t>1.74/1.46</t>
  </si>
  <si>
    <t>14.3/14.2/14</t>
  </si>
  <si>
    <t>R9A#2:ESP again tripped on underload @ 0248 Hrs. on 08/11/2022 .ESP kept shutdown for pressure build up.ESP restarted @ 1143 Hrs. on 08/11/2022. Recommend to keep ESP in off condition to avoid failure due to multiple start stops</t>
  </si>
  <si>
    <t>R9A#2:ESP  tripped on underload @ 1128 Hrs. on 09/11/2022 .ESP kept shutdown for pressure build up.Recommend to keep ESP in off condition to avoid failure due to multiple start stops</t>
  </si>
  <si>
    <t>0.118/0.104/0.112</t>
  </si>
  <si>
    <t>1.87/1.4</t>
  </si>
  <si>
    <t>14.2/14.1/14</t>
  </si>
  <si>
    <t>0753 HRS</t>
  </si>
  <si>
    <t>18.53 +1.88 Hrs</t>
  </si>
  <si>
    <t>R9A#2:ESP  tripped on underload @ 1128 Hrs. on 09/11/2022 .ESP kept shutdown for pressure build up.Recommend to keep ESP in off condition to avoid failure due to multiple start stops. ESP restarted @ 0753 Hrs. on 10/11/2022</t>
  </si>
  <si>
    <t>R9A#1: ONGC decided to start the ESP , static Intake pressure was reached to 1300 PSI.ESP restarted at 1928 Hrs. on 10/11/2022.. Found FAT and FTHP is not increased. Checked SSSV condition,as per the instrumentation engineer SSSV is in the open condition. ramp down the frequency to 40 Hz and after 2 min frequency ramp up to 52 Hz. but no changes in the performance. ESP manually shutdown @ Hrs. on 10/11/2022.</t>
  </si>
  <si>
    <t>1.41/0.89</t>
  </si>
  <si>
    <t>14.2/14.1/13.9</t>
  </si>
  <si>
    <t>R9A#2:ESP  tripped on underload @ 1645Hrs. on 11/11/2022 .ESP kept shutdown for pressure build up.Recommend to keep ESP in off condition to avoid failure due to multiple start stops</t>
  </si>
  <si>
    <t>0.194/0.041/0.150</t>
  </si>
  <si>
    <t>1.41/1.38</t>
  </si>
  <si>
    <t>2.15/4.63</t>
  </si>
  <si>
    <t>17.9/17.9/17.7</t>
  </si>
  <si>
    <t>1.43/1.54</t>
  </si>
  <si>
    <t>0.232/0.034/0.156</t>
  </si>
  <si>
    <t>15.2/15.2/15.4</t>
  </si>
  <si>
    <t>1.40/0.91</t>
  </si>
  <si>
    <t>1928 Hrs</t>
  </si>
  <si>
    <t>13.47 Hrs</t>
  </si>
  <si>
    <t>R9A#1: ONGC decided to start the ESP , static Intake pressure was reached to 1300 PSI.ESP restarted at 1928 Hrs. on 10/11/2022.. Found FAT and FTHP is not increased. Checked SSSV condition,as per the instrumentation engineer SSSV is in the open condition. ramp down the frequency to 40 Hz and after 2 min frequency ramp up to 52 Hz. but no changes in the performance. ESP manually shutdown @2156  Hrs. on 10/11/2022.</t>
  </si>
  <si>
    <t>8.07 Hrs</t>
  </si>
  <si>
    <t>0737 Hrs</t>
  </si>
  <si>
    <t>9.33 Hrs</t>
  </si>
  <si>
    <t>2317 HRs</t>
  </si>
  <si>
    <t>17.28 Hrs</t>
  </si>
  <si>
    <t>R9A#1:SSSV pressurized and restarted the ESP @ 2317 Hrs. on 13/11/2022</t>
  </si>
  <si>
    <t>1133 Hrs</t>
  </si>
  <si>
    <t>0743 Hrs</t>
  </si>
  <si>
    <t>0229 Hrs</t>
  </si>
  <si>
    <t>1122 Hrs</t>
  </si>
  <si>
    <t>1321 Hrs</t>
  </si>
  <si>
    <t>1736 Hrs</t>
  </si>
  <si>
    <t>R9A#2:ESP  tripped on underload @ 1133 Hrs. on 11/11/2022 .ESP kept shutdown for pressure build up.Recommend to keep ESP in off condition to avoid failure due to multiple start stopsESP restarted @ 0743 Hrs. on 12/11/2022</t>
  </si>
  <si>
    <t>R9A#2:ESP  tripped on underload @ 0229Hrs. on 13/11/2022 .ESP kept shutdown for pressure build up.Recommend to keep ESP in off condition to avoid failure due to multiple start stopsESP restarted @ 1122  Hrs. on 13/11/2022</t>
  </si>
  <si>
    <t>R9A#2:ESP  tripped on underload @ 1321Hrs. on 14/11/2022 .ESP kept shutdown for pressure build up.Recommend to keep ESP in off condition to avoid failure due to multiple start stopsESP restarted @ 1736  Hrs. on 14/11/2022</t>
  </si>
  <si>
    <t>18.45+1.72 Hrs</t>
  </si>
  <si>
    <t>3.52+5.37</t>
  </si>
  <si>
    <t>4.25 Hrs</t>
  </si>
  <si>
    <t xml:space="preserve">R9A#1:After pressurizing the SSSV and ESP restarted at 0737 Hrs. observed flow at the surface for a few hours and FAT gradually reduced and tripped on the high motor temperature alarm @ 2040 Hrs. on 12/11/2022. Before the trip discharge pressure and Intake, pressure increased at the same time motor load also dropped. Suspected SSSV again shut down.ESP not started.  </t>
  </si>
  <si>
    <t>After pressurizing the SSSV and ESP restarted at 0737 Hrs.12/11/22 observed flow at the surface for a few hours and FAT gradually reduced and tripped on the high motor temperature alarm @ 2040 Hrs. on 12/11/2022. Before the trip discharge pressure and Intake, pressure increased at the same time motor load also dropped. Suspected SSSV again shut down.ESP not started.</t>
  </si>
  <si>
    <t>After pressurizing the SSSV and ESP restarted at 0737 Hrs.12/11/22 observed flow at the surface for a few hours and FAT gradually reduced and tripped on the high motor temperature alarm @ 2040 Hrs. on 12/11/2022. Before the trip discharge pressure and Intake, pressure increased at the same time motor load also dropped. Suspected SSSV again shut down.ESP not started</t>
  </si>
  <si>
    <t>1.57/1.19</t>
  </si>
  <si>
    <t>14.2/14/13.9</t>
  </si>
  <si>
    <t>00:33 Hrs</t>
  </si>
  <si>
    <t>0818 Hrs</t>
  </si>
  <si>
    <t>1301 Hrs</t>
  </si>
  <si>
    <t>0555 Hrs</t>
  </si>
  <si>
    <t>R9A#2:ESP  tripped on underload @ 0033Hrs. on 15/11/2022 .ESP kept shutdown for pressure build up.Recommend to keep ESP in off condition to avoid failure due to multiple start stopsESP restarted @ 0818  Hrs. on 15/11/2022. ESP again tripped on the underload alarm @1301 Hrs.on 15/11/2022. ESP kept shutdown for pressure build up. ESP restarted at intake pressure reached to 1400 PSI. Time-0555 Hrs. on 16/11/2022</t>
  </si>
  <si>
    <t>5.45 Hrs+3.3 Hrs</t>
  </si>
  <si>
    <t>16.9 Hrs</t>
  </si>
  <si>
    <t>ESP tripped @0926 Hrs. on 15/11/2022 due to underload alarm. ESP kept shutdown for the pressure build up.</t>
  </si>
  <si>
    <t>0913  Hrs</t>
  </si>
  <si>
    <t>20.78 Hrs</t>
  </si>
  <si>
    <t>R9A#1: ESP tripped @0913 Hrs. on 15/11/2022 due to underload alarm. ESP kept shutdown for the pressure build up.</t>
  </si>
  <si>
    <t>ESP tripped @0926 Hrs. on 15/11/2022 due to underload alarm. ESP kept shutdown for the pressure build up.Static intake pressure-1169 PSI</t>
  </si>
  <si>
    <t>0.043/0.025/0.077</t>
  </si>
  <si>
    <t>Frequency ramp up to 52 Hz to tackle the high back pressure.</t>
  </si>
  <si>
    <t xml:space="preserve">:ESP  tripped on underload @ 0033Hrs. on 15/11/2022 .ESP kept shutdown for pressure build up.Recommend to keep ESP in off condition to avoid failure due to multiple start stopsESP restarted @ 0818  Hrs. on 15/11/2022. ESP again tripped on the underload alarm @1301 Hrs.on 15/11/2022. ESP kept shutdown for pressure build up. ESP restarted at intake pressure reached to 1400 PSI. Time-0555 Hrs. on 16/11/2022.             </t>
  </si>
  <si>
    <t>1.65/1.40</t>
  </si>
  <si>
    <t>ESP tripped @0926 Hrs. on 15/11/2022 due to underload alarm. ESP kept shutdown for the pressure build up.Static intake pressure-1216 PSI</t>
  </si>
  <si>
    <t>1.27/0.98</t>
  </si>
  <si>
    <t>14.1/14/13.8</t>
  </si>
  <si>
    <t>ESP tripped @0926 Hrs. on 15/11/2022 due to underload alarm. ESP kept shutdown for the pressure build up.Static intake pressure-1251 PSI</t>
  </si>
  <si>
    <t>0.189/0.035/0.101</t>
  </si>
  <si>
    <t>15/14.8/15.1</t>
  </si>
  <si>
    <t>14.4/14.8/14.2</t>
  </si>
  <si>
    <t>1.76/0.92</t>
  </si>
  <si>
    <t>ESP tripped @0926 Hrs. on 15/11/2022 due to underload alarm. ESP kept shutdown for the pressure build up.Static intake pressure-1284 PSI</t>
  </si>
  <si>
    <t>Ebin M/Pranav A</t>
  </si>
  <si>
    <t>2.15/1.49</t>
  </si>
  <si>
    <t>1423 Hrs</t>
  </si>
  <si>
    <t>R9A#2:ESP  tripped on underload @ 1642 Hrs. on 17/11/2022 .ESP kept shutdown for pressure build up.Recommend to keep ESP in off condition to avoid failure due to multiple start stops.ESP restarted @ 1423 Hrs. on 18/11/2022</t>
  </si>
  <si>
    <t>13.3+8.38 Hrs</t>
  </si>
  <si>
    <t>1055 Hrs</t>
  </si>
  <si>
    <t>R9A#4: ESP tripped @ 1055 Hrs. on 19/11/2022 due to underload alarm because of high MLP , during pigging operation from R12A to Heera line. ESP restarted @ 1143 Hrs.on 19/11/2022</t>
  </si>
  <si>
    <t>0.8 Hrs</t>
  </si>
  <si>
    <t>1.51/2,99</t>
  </si>
  <si>
    <t>18.2/18.2/17.9</t>
  </si>
  <si>
    <t>Ebin M</t>
  </si>
  <si>
    <t>ESP tripped @0926 Hrs. on 15/11/2022 due to underload alarm. ESP kept shutdown for the pressure build up. After reaching target static pressure ESP started at 11:05 on 20/11/2022.</t>
  </si>
  <si>
    <t>R9A#2:ESP  tripped on underload @1119 Hrs. on 20/11/2022 .ESP kept shutdown for pressure build up.Recommend to keep ESP in off condition to avoid failure due to multiple start stops</t>
  </si>
  <si>
    <t>14.0/13.8/13.7</t>
  </si>
  <si>
    <t>5.08 Hrs</t>
  </si>
  <si>
    <t>R9A#1: ESP started at 1105 hrs on 20/11/2022 after reaching target static pressure.</t>
  </si>
  <si>
    <t>R9A#2:ESP  tripped on underload @1206 Hrs. on 19/11/2022. ESP kept shutdown for pressure build up. Restarted @23:47 on 19/11/2022</t>
  </si>
  <si>
    <t>11.68 hrs</t>
  </si>
  <si>
    <t>R9A#4: tripped at 0825 hrs on 20/11/2022 due to underload caused by high MLP. After observing drop in MLP, ESP restarted at 1105 hrs.</t>
  </si>
  <si>
    <t>2.06/2.58</t>
  </si>
  <si>
    <t>17.2/17.2/17.0</t>
  </si>
  <si>
    <t>0.133/0.039/0.99</t>
  </si>
  <si>
    <t>2.15/1.5</t>
  </si>
  <si>
    <t>14.0/13.9/13.8</t>
  </si>
  <si>
    <t>0004 Hrs</t>
  </si>
  <si>
    <t>2347 Hrs</t>
  </si>
  <si>
    <t>1642 hrs</t>
  </si>
  <si>
    <t>1206 Hrs</t>
  </si>
  <si>
    <t>12.76 Hrs</t>
  </si>
  <si>
    <t>R9A#2:ESP  tripped on underload @1119 Hrs. on 20/11/2022. ESP kept shutdown for pressure build up.  Restarted ESP at 0004 on 21/11/2022. .Recommend to keep ESP in off condition to avoid failure due to multiple start stops</t>
  </si>
  <si>
    <t>ESP tripped @1108 Hrs. on 22/11/2022 due to underload alarm. ESP kept shutdown for the pressure build up.Static intake pressure-1069 PSI</t>
  </si>
  <si>
    <t>R9A#2:ESP  tripped on underload @0657 Hrs. on 22/11/2022 .ESP kept shutdown for pressure build up.Recommend to keep ESP in off condition to avoid failure due to multiple start stops</t>
  </si>
  <si>
    <t>2.2/1.4</t>
  </si>
  <si>
    <t>13.9/13.8/13.7</t>
  </si>
  <si>
    <t>1108 Hrs</t>
  </si>
  <si>
    <t>R9A#1: ESP tripped @1108 Hrs. on 22/11/2022 due to underload alarm. ESP kept shutdown for the pressure build up.</t>
  </si>
  <si>
    <t>2330 Hrs</t>
  </si>
  <si>
    <t>16.55 Hrs</t>
  </si>
  <si>
    <t xml:space="preserve">R9A#2 tripped at 0657 on 22/11/2022 due to underload. ESP kept shutdown for pressure buidup. Restarted ESP at 23:30 on 22/11/2022. </t>
  </si>
  <si>
    <t>ESP tripped @1108 Hrs. on 22/11/2022 due to underload alarm. ESP kept shutdown for the pressure build up.Static intake pressure-1139 PSI</t>
  </si>
  <si>
    <t>0.77/0.030/0.118</t>
  </si>
  <si>
    <t>15.0/15.1/15.1</t>
  </si>
  <si>
    <t>2.5/1.4</t>
  </si>
  <si>
    <t>ESP tripped @1108 Hrs. on 22/11/2022 due to underload alarm. ESP kept shutdown for the pressure build up.Static intake pressure-1191 PSI</t>
  </si>
  <si>
    <t>0.17/0.069/0.66</t>
  </si>
  <si>
    <t>17.7/17.8/17.8</t>
  </si>
  <si>
    <t>14.6/14.5/14.5</t>
  </si>
  <si>
    <t>14.5/14.4/14.4</t>
  </si>
  <si>
    <t>2.06/1.57</t>
  </si>
  <si>
    <t>14.1/14.0/13.9</t>
  </si>
  <si>
    <t xml:space="preserve">R9A#2 tripped at 0815 on 24/11/2022 due to underload. ESP kept shutdown for pressure buidup. Restarted ESP at 2109 on 24/11/2022. </t>
  </si>
  <si>
    <t>2109 Hrs</t>
  </si>
  <si>
    <t>12.9 Hrs</t>
  </si>
  <si>
    <t>ESP tripped @1108 Hrs. on 22/11/2022 due to underload alarm. ESP kept shutdown for the pressure build up.Static intake pressure-1230 PSI</t>
  </si>
  <si>
    <t>0.169/0.042/0.031</t>
  </si>
  <si>
    <t>16.3/16.3/16.2</t>
  </si>
  <si>
    <t>1.3/0.84</t>
  </si>
  <si>
    <t>14.1/14.0/13.8</t>
  </si>
  <si>
    <t>ESP tripped @1108 Hrs. on 22/11/2022 due to underload alarm. ESP kept shutdown for the pressure build up.Static intake pressure-1262 PSI</t>
  </si>
  <si>
    <t>0.262/0.043/0.104</t>
  </si>
  <si>
    <t>12.7/12.7/12.8</t>
  </si>
  <si>
    <t>54.2</t>
  </si>
  <si>
    <t>2.18/1.3</t>
  </si>
  <si>
    <t>14.1/13.8/13.9</t>
  </si>
  <si>
    <t>ESP tripped @1108 Hrs. on 22/11/2022 due to underload alarm. ESP kept shutdown for the pressure build up.Static intake pressure-1290 PSI</t>
  </si>
  <si>
    <t>0.199/0.031/0.101</t>
  </si>
  <si>
    <t>17.0/17.2/17.2</t>
  </si>
  <si>
    <t>1.18/0.3</t>
  </si>
  <si>
    <t>R9A#2 tripped at 1713 Hrs on 27/11/2022 due to underload caused by suspected low flow from reservoir. ESP kept shutdown for pressure buidup. Recommended to maintain lower MLP 30-34 kg/cm2 and lower frequency to compensate low intake pressure. Restarted ESP at 2137 on 27/11/2022.</t>
  </si>
  <si>
    <t>2137 Hrs</t>
  </si>
  <si>
    <t>4.4 Hrs</t>
  </si>
  <si>
    <t>R9A#1 Tripped at 1108 hrs on 22/22/2022 due to underload caused due to low intake pressure. ESP kept shutdown for pressure buildup. Restarted ESP at 0029 hrs on 28/11/2022.</t>
  </si>
  <si>
    <t>0029 Hrs</t>
  </si>
  <si>
    <t>18.86 Hrs</t>
  </si>
  <si>
    <t>18.48 Hrs</t>
  </si>
  <si>
    <t>1.71/2.31</t>
  </si>
  <si>
    <t>17.3/17.4/17.2</t>
  </si>
  <si>
    <t>0.102/0.049/0.050</t>
  </si>
  <si>
    <t>14.9/14.9/15.0</t>
  </si>
  <si>
    <t>14.0/13.9/13.9</t>
  </si>
  <si>
    <t>ESP tripped @2116 Hrs. on 29/11/2022 due to underload alarm. ESP kept shutdown for the pressure build up.Static intake pressure-1012PSI</t>
  </si>
  <si>
    <t>R9A#2:ESP  tripped on underload @1320 Hrs. on 29/11/2022 .ESP kept shutdown for pressure build up.Recommend to keep ESP in off condition to avoid failure due to multiple start stops</t>
  </si>
  <si>
    <t>1.18/0.4</t>
  </si>
  <si>
    <t>1.18/1,08</t>
  </si>
  <si>
    <t>14.0/13.9/13.7</t>
  </si>
  <si>
    <t>2116 Hrs</t>
  </si>
  <si>
    <t>8.73 Hrs</t>
  </si>
  <si>
    <t>1320 Hrs</t>
  </si>
  <si>
    <t>ESP tripped @2116 Hrs. on 29/11/2022 due to underload alarm. ESP kept shutdown for the pressure build up.Static intake pressure-1096PSI</t>
  </si>
  <si>
    <t>0.083/0.037/0.050</t>
  </si>
  <si>
    <t>1.37/1.01</t>
  </si>
  <si>
    <t>R9A#2 tripped at 1320 Hrs on 29/11/2022 due to underload caused by suspected low flow from reservoir. ESP kept shutdown for pressure buidup. Recommended to maintain lower MLP 30-34 kg/cm2 and lower frequency to compensate low intake pressure.R9A#2 ESP restarted after reaching target intake pressure at 1133 hrs on 30/11/2022.</t>
  </si>
  <si>
    <t>31-Nov-22</t>
  </si>
  <si>
    <t>1133 hrs</t>
  </si>
  <si>
    <t>5.5 hrs</t>
  </si>
  <si>
    <t>ESP tripped @2116 Hrs. on 29/11/2022 due to underload alarm. ESP kept shutdown for the pressure build up.Static intake pressure-1159PSI</t>
  </si>
  <si>
    <t>1.38/0.39</t>
  </si>
  <si>
    <t>R9A#2:ESP  tripped on underload @2111 Hrs. on 01/12/2022 .ESP kept shutdown for pressure build up.Recommend to keep ESP in off condition to avoid failure due to multiple start stops</t>
  </si>
  <si>
    <t>ESP tripped @2116 Hrs. on 29/11/2022 due to underload alarm. ESP kept shutdown for the pressure build up.Static intake pressure-1202PSI</t>
  </si>
  <si>
    <t>1.56/1.12</t>
  </si>
  <si>
    <r>
      <rPr>
        <b/>
        <sz val="11"/>
        <color rgb="FFFF0000"/>
        <rFont val="Calibri"/>
        <family val="2"/>
        <charset val="204"/>
        <scheme val="minor"/>
      </rPr>
      <t xml:space="preserve">R9A#2 </t>
    </r>
    <r>
      <rPr>
        <b/>
        <sz val="11"/>
        <rFont val="Calibri"/>
        <family val="2"/>
        <charset val="204"/>
        <scheme val="minor"/>
      </rPr>
      <t xml:space="preserve">tripped at 2111 hrs  on 01/12/2022 due to underload. ESP is kept shutdown for pressure build up. Recommend to keep ESP in off condition to avoid failure due to multiple start stops. </t>
    </r>
  </si>
  <si>
    <r>
      <rPr>
        <b/>
        <sz val="11"/>
        <color rgb="FFFF0000"/>
        <rFont val="Calibri"/>
        <family val="2"/>
        <charset val="204"/>
        <scheme val="minor"/>
      </rPr>
      <t>R9A#2</t>
    </r>
    <r>
      <rPr>
        <b/>
        <sz val="11"/>
        <rFont val="Calibri"/>
        <family val="2"/>
        <charset val="204"/>
        <scheme val="minor"/>
      </rPr>
      <t xml:space="preserve"> ESP started after reaching target intake pressure 1400 psi at 2110 hrs on 02/12/2022. </t>
    </r>
  </si>
  <si>
    <t>2111 hrs</t>
  </si>
  <si>
    <t xml:space="preserve">R9A#2 tripped at 2111 hrs on 01-12-2022 due to underload. ESP is kept shutdown for pressure buildup.  R9A#2 ESP started after reaching target intake pressure 1400 psi at 2110 hrs on 02/12/2022. </t>
  </si>
  <si>
    <t>2110 hrs</t>
  </si>
  <si>
    <t>8.81+15.16</t>
  </si>
  <si>
    <t>ESP tripped @2116 Hrs. on 29/11/2022 due to underload alarm. ESP kept shutdown for the pressure build up.Static intake pressure-1239PSI</t>
  </si>
  <si>
    <t>0.159/0.116/0.112</t>
  </si>
  <si>
    <t>14.7/14.7/14.7</t>
  </si>
  <si>
    <t>1.12/0.98</t>
  </si>
  <si>
    <t>R9A#2:ESP again tripped on underload @ 0002 Hrs. on 03/11/2022 .ESP kept shutdown for pressure build up.. Recommend to keep ESP in off condition to avoid failure due to multiple start stops.</t>
  </si>
  <si>
    <r>
      <rPr>
        <b/>
        <sz val="11"/>
        <color rgb="FFFF0000"/>
        <rFont val="Calibri"/>
        <family val="2"/>
        <charset val="204"/>
        <scheme val="minor"/>
      </rPr>
      <t>R9A#2:</t>
    </r>
    <r>
      <rPr>
        <b/>
        <sz val="11"/>
        <rFont val="Calibri"/>
        <family val="2"/>
        <charset val="204"/>
        <scheme val="minor"/>
      </rPr>
      <t xml:space="preserve">ESP again tripped on underload @ 0002 Hrs. on 03/11/2022 .ESP kept shutdown for pressure build up. Recommend to keep ESP in off condition to avoid failure due to multiple start stops.ESP restarted @ 0825 Hrs. on 03/11/2022. ESP again tripped on the underload alarm @1332 Hrs. on 03/11/2022. ESP restarted @ 0130 Hrs. on 04/11/2022.                                       </t>
    </r>
    <r>
      <rPr>
        <b/>
        <sz val="11"/>
        <color rgb="FFFF0000"/>
        <rFont val="Calibri"/>
        <family val="2"/>
        <charset val="204"/>
        <scheme val="minor"/>
      </rPr>
      <t xml:space="preserve">R9A#4: </t>
    </r>
    <r>
      <rPr>
        <b/>
        <sz val="11"/>
        <rFont val="Calibri"/>
        <family val="2"/>
        <charset val="204"/>
        <scheme val="minor"/>
      </rPr>
      <t xml:space="preserve">ESP tripped on Underload @ 1010 Hrs.  Due to gas lock because of high MLP.  After the end of the back spin, ESP restarted @1147 Hrs. on 03/11/2022.
                    </t>
    </r>
    <r>
      <rPr>
        <b/>
        <sz val="11"/>
        <color rgb="FFFF0000"/>
        <rFont val="Calibri"/>
        <family val="2"/>
        <charset val="204"/>
        <scheme val="minor"/>
      </rPr>
      <t>R9A#5:</t>
    </r>
    <r>
      <rPr>
        <b/>
        <sz val="11"/>
        <rFont val="Calibri"/>
        <family val="2"/>
        <charset val="204"/>
        <scheme val="minor"/>
      </rPr>
      <t xml:space="preserve"> After several attempts of start up with different modes, ESP started @ 0855 Hrs. on 03/11/2022. Frequency gradually increased to 56 Hz. During the start up ESP pulling high motor amps due to pump stuck.</t>
    </r>
  </si>
  <si>
    <r>
      <rPr>
        <b/>
        <sz val="11"/>
        <color rgb="FFFF0000"/>
        <rFont val="Calibri"/>
        <family val="2"/>
        <charset val="204"/>
        <scheme val="minor"/>
      </rPr>
      <t>R9A#1:</t>
    </r>
    <r>
      <rPr>
        <b/>
        <sz val="11"/>
        <rFont val="Calibri"/>
        <family val="2"/>
        <scheme val="minor"/>
      </rPr>
      <t xml:space="preserve"> ESP restarted @1306  on 04/11/2022 as per ONGC instruction. ESP running with 51 Hz.                                            </t>
    </r>
    <r>
      <rPr>
        <b/>
        <sz val="11"/>
        <color rgb="FFFF0000"/>
        <rFont val="Calibri"/>
        <family val="2"/>
        <charset val="204"/>
        <scheme val="minor"/>
      </rPr>
      <t>R9A#2:</t>
    </r>
    <r>
      <rPr>
        <b/>
        <sz val="11"/>
        <rFont val="Calibri"/>
        <family val="2"/>
        <scheme val="minor"/>
      </rPr>
      <t>ESP again tripped on underload @ 0615 Hrs. on 04/11/2022 .ESP kept shutdown for pressure build up..ESP restarted @ 0057 Hrs. on 05/11/2022. Recommend to keep ESP in off condition to avoid failure due to multiple start stops</t>
    </r>
  </si>
  <si>
    <r>
      <rPr>
        <b/>
        <sz val="11"/>
        <color rgb="FFFF0000"/>
        <rFont val="Calibri"/>
        <family val="2"/>
        <charset val="204"/>
        <scheme val="minor"/>
      </rPr>
      <t>R9A#1</t>
    </r>
    <r>
      <rPr>
        <b/>
        <sz val="11"/>
        <rFont val="Calibri"/>
        <family val="2"/>
        <charset val="204"/>
        <scheme val="minor"/>
      </rPr>
      <t xml:space="preserve">: ESP tripped on the underload  alarm @0430 Hrs. on 06/11/2022 due to low flow. well kept shutdown for pressure build up.                                                                                                    </t>
    </r>
    <r>
      <rPr>
        <b/>
        <sz val="11"/>
        <color rgb="FFFF0000"/>
        <rFont val="Calibri"/>
        <family val="2"/>
        <charset val="204"/>
        <scheme val="minor"/>
      </rPr>
      <t>R9A#2</t>
    </r>
    <r>
      <rPr>
        <b/>
        <sz val="11"/>
        <rFont val="Calibri"/>
        <family val="2"/>
        <charset val="204"/>
        <scheme val="minor"/>
      </rPr>
      <t>:ESP again tripped on underload @ 0628 Hrs. on 06/11/2022 .ESP kept shutdown for pressure build up..ESP restarted @ 2040 Hrs. on 06/11/2022. Recommend to keep ESP in off condition to avoid failure due to multiple start stops</t>
    </r>
  </si>
  <si>
    <t>R9A#2:ESP again tripped on underload @ 0248 Hrs. on 08/11/2022 .ESP kept shutdown for pressure build up..ESP restarted @ 1143 Hrs. on 08/11/2022. Recommend to keep ESP in off condition to avoid failure due to multiple start stops</t>
  </si>
  <si>
    <r>
      <rPr>
        <b/>
        <sz val="11"/>
        <color rgb="FFFF0000"/>
        <rFont val="Calibri"/>
        <family val="2"/>
        <charset val="204"/>
        <scheme val="minor"/>
      </rPr>
      <t>R9A#1</t>
    </r>
    <r>
      <rPr>
        <b/>
        <sz val="11"/>
        <rFont val="Calibri"/>
        <family val="2"/>
        <scheme val="minor"/>
      </rPr>
      <t xml:space="preserve">:After pressurizing the SSSV and ESP restarted at 0737 Hrs. observed flow at the surface for a few hours and FAT gradually reduced and tripped on the high motor temperature alarm @ 2040 Hrs. on 12/11/2022. Before the trip discharge pressure and Intake, pressure increased at the same time motor load also dropped. Suspected SSSV again shut down.ESP not started.                                 </t>
    </r>
    <r>
      <rPr>
        <b/>
        <sz val="11"/>
        <color rgb="FFFF0000"/>
        <rFont val="Calibri"/>
        <family val="2"/>
        <charset val="204"/>
        <scheme val="minor"/>
      </rPr>
      <t>R9A#2:</t>
    </r>
    <r>
      <rPr>
        <b/>
        <sz val="11"/>
        <rFont val="Calibri"/>
        <family val="2"/>
        <scheme val="minor"/>
      </rPr>
      <t>ESP  tripped on underload @ 0229Hrs. on 13/11/2022 .ESP kept shutdown for pressure build up.Recommend to keep ESP in off condition to avoid failure due to multiple start stopsESP restarted @ 1122  Hrs. on 13/11/2022</t>
    </r>
  </si>
  <si>
    <r>
      <rPr>
        <b/>
        <sz val="11"/>
        <color rgb="FFFF0000"/>
        <rFont val="Calibri"/>
        <family val="2"/>
        <charset val="204"/>
        <scheme val="minor"/>
      </rPr>
      <t>R9A#2:</t>
    </r>
    <r>
      <rPr>
        <b/>
        <sz val="11"/>
        <rFont val="Calibri"/>
        <family val="2"/>
        <scheme val="minor"/>
      </rPr>
      <t xml:space="preserve">ESP  tripped on underload @ 0033Hrs. on 15/11/2022 .ESP kept shutdown for pressure build up.Recommend to keep ESP in off condition to avoid failure due to multiple start stopsESP restarted @ 0818  Hrs. on 15/11/2022. ESP again tripped on the underload alarm @1301 Hrs.on 15/11/2022. ESP kept shutdown for pressure build up. ESP restarted at intake pressure reached to 1400 PSI. Time-0555 Hrs. on 16/11/2022.                                                                                                             </t>
    </r>
    <r>
      <rPr>
        <b/>
        <sz val="11"/>
        <color rgb="FFFF0000"/>
        <rFont val="Calibri"/>
        <family val="2"/>
        <charset val="204"/>
        <scheme val="minor"/>
      </rPr>
      <t>R9A#1:</t>
    </r>
    <r>
      <rPr>
        <b/>
        <sz val="11"/>
        <rFont val="Calibri"/>
        <family val="2"/>
        <scheme val="minor"/>
      </rPr>
      <t xml:space="preserve"> ESP tripped @0913 Hrs. on 15/11/2022 due to underload alarm. ESP kept shutdown for the pressure build up.</t>
    </r>
  </si>
  <si>
    <r>
      <rPr>
        <b/>
        <sz val="11"/>
        <color rgb="FFFF0000"/>
        <rFont val="Calibri"/>
        <family val="2"/>
        <charset val="204"/>
        <scheme val="minor"/>
      </rPr>
      <t>R9A#2:</t>
    </r>
    <r>
      <rPr>
        <b/>
        <sz val="11"/>
        <rFont val="Calibri"/>
        <family val="2"/>
        <charset val="204"/>
        <scheme val="minor"/>
      </rPr>
      <t>ESP  tripped on underload @ 1642 Hrs. on 17/11/2022 .ESP kept shutdown for pressure build up.Recommend to keep ESP in off condition to avoid failure due to multiple start stops.ESP restarted @ 1423 Hrs. on 18/11/2022</t>
    </r>
  </si>
  <si>
    <r>
      <rPr>
        <b/>
        <sz val="11"/>
        <color rgb="FFFF0000"/>
        <rFont val="Calibri"/>
        <family val="2"/>
        <charset val="204"/>
        <scheme val="minor"/>
      </rPr>
      <t>R9A#4</t>
    </r>
    <r>
      <rPr>
        <b/>
        <sz val="11"/>
        <rFont val="Calibri"/>
        <family val="2"/>
        <charset val="204"/>
        <scheme val="minor"/>
      </rPr>
      <t xml:space="preserve">: ESP tripped @ 1055 Hrs. on 19/11/2022 due to underload alarm because of high MLP , during pigging operation from R12A to Heera line. ESP restarted @ 1143 Hrs.on 19/11/2022. </t>
    </r>
    <r>
      <rPr>
        <b/>
        <sz val="11"/>
        <color rgb="FFFF0000"/>
        <rFont val="Calibri"/>
        <family val="2"/>
        <charset val="204"/>
        <scheme val="minor"/>
      </rPr>
      <t xml:space="preserve">R9A#2 </t>
    </r>
    <r>
      <rPr>
        <b/>
        <sz val="11"/>
        <rFont val="Calibri"/>
        <family val="2"/>
        <charset val="204"/>
        <scheme val="minor"/>
      </rPr>
      <t>tripped at 1206 on 19/11/2022 due to underload caused by high MLP. Restarted ESP at 2347 hrs on 19/11/2022.</t>
    </r>
  </si>
  <si>
    <r>
      <rPr>
        <b/>
        <sz val="11"/>
        <color rgb="FFFF0000"/>
        <rFont val="Calibri"/>
        <family val="2"/>
        <charset val="204"/>
        <scheme val="minor"/>
      </rPr>
      <t xml:space="preserve">R9A#1 </t>
    </r>
    <r>
      <rPr>
        <b/>
        <sz val="11"/>
        <rFont val="Calibri"/>
        <family val="2"/>
        <charset val="204"/>
        <scheme val="minor"/>
      </rPr>
      <t xml:space="preserve"> after reaching target intake pressure, restated ESP at 1105 on 20/11/2022. ESP tripped at 1108 on 22/11/2022.</t>
    </r>
    <r>
      <rPr>
        <b/>
        <sz val="11"/>
        <color rgb="FFFF0000"/>
        <rFont val="Calibri"/>
        <family val="2"/>
        <charset val="204"/>
        <scheme val="minor"/>
      </rPr>
      <t xml:space="preserve"> R9A#2</t>
    </r>
    <r>
      <rPr>
        <b/>
        <sz val="11"/>
        <rFont val="Calibri"/>
        <family val="2"/>
        <charset val="204"/>
        <scheme val="minor"/>
      </rPr>
      <t xml:space="preserve"> tripped at 1119 hrs on 20/11/2022 due to underload caused by high MLP. ESP is kept shutdown to reach target static pressure of 1350 psi. After reaching target pressure, restarted ESP at 0004 on 21/11/2022. </t>
    </r>
    <r>
      <rPr>
        <b/>
        <sz val="11"/>
        <color rgb="FFFF0000"/>
        <rFont val="Calibri"/>
        <family val="2"/>
        <charset val="204"/>
        <scheme val="minor"/>
      </rPr>
      <t>R9A4</t>
    </r>
    <r>
      <rPr>
        <b/>
        <sz val="11"/>
        <rFont val="Calibri"/>
        <family val="2"/>
        <charset val="204"/>
        <scheme val="minor"/>
      </rPr>
      <t xml:space="preserve"> tripped at 0825 hrs on 20/11/2022 due to underload caused by high MLP. After observing drop in MLP, ESP restarted at 1105 hrs.</t>
    </r>
  </si>
  <si>
    <r>
      <rPr>
        <b/>
        <sz val="11"/>
        <color rgb="FFFF0000"/>
        <rFont val="Calibri"/>
        <family val="2"/>
        <charset val="204"/>
        <scheme val="minor"/>
      </rPr>
      <t>R9A#2</t>
    </r>
    <r>
      <rPr>
        <b/>
        <sz val="11"/>
        <rFont val="Calibri"/>
        <family val="2"/>
        <charset val="204"/>
        <scheme val="minor"/>
      </rPr>
      <t xml:space="preserve"> tripped at 0657 on 22/11/2022 due to underload. ESP kept shutdown for pressure buidup. Restarted ESP at 2330 on 22/11/2022. </t>
    </r>
    <r>
      <rPr>
        <b/>
        <sz val="11"/>
        <color rgb="FFFF0000"/>
        <rFont val="Calibri"/>
        <family val="2"/>
        <charset val="204"/>
        <scheme val="minor"/>
      </rPr>
      <t>R9A#1</t>
    </r>
    <r>
      <rPr>
        <b/>
        <sz val="11"/>
        <rFont val="Calibri"/>
        <family val="2"/>
        <charset val="204"/>
        <scheme val="minor"/>
      </rPr>
      <t xml:space="preserve"> Tripped at 1108 hrs on 22/11/2022 due to underload. ESP kept shutdown for pressure buildup target 1400 psi.</t>
    </r>
  </si>
  <si>
    <r>
      <rPr>
        <b/>
        <sz val="11"/>
        <color rgb="FFFF0000"/>
        <rFont val="Calibri"/>
        <family val="2"/>
        <charset val="204"/>
        <scheme val="minor"/>
      </rPr>
      <t>R9A#2</t>
    </r>
    <r>
      <rPr>
        <b/>
        <sz val="11"/>
        <rFont val="Calibri"/>
        <family val="2"/>
        <charset val="204"/>
        <scheme val="minor"/>
      </rPr>
      <t xml:space="preserve"> tripped at 0815 on 24/11/2022 due to underload. ESP kept shutdown for pressure buidup. Restarted ESP at 2109 on 24/11/2022. </t>
    </r>
  </si>
  <si>
    <r>
      <rPr>
        <b/>
        <sz val="11"/>
        <color rgb="FFFF0000"/>
        <rFont val="Calibri"/>
        <family val="2"/>
        <charset val="204"/>
        <scheme val="minor"/>
      </rPr>
      <t xml:space="preserve">R9A#2 </t>
    </r>
    <r>
      <rPr>
        <b/>
        <sz val="11"/>
        <rFont val="Calibri"/>
        <family val="2"/>
        <charset val="204"/>
        <scheme val="minor"/>
      </rPr>
      <t xml:space="preserve">tripped at 1713 Hrs on 27/11/2022 due to underload caused by suspected low flow from reservoir. ESP kept shutdown for pressure buidup. Recommended to maintain lower MLP 30-34 kg/cm2 and lower frequency to compensate low intake pressure. Restarted ESP at 2137 on 27/11/2022. </t>
    </r>
    <r>
      <rPr>
        <b/>
        <sz val="11"/>
        <color rgb="FFFF0000"/>
        <rFont val="Calibri"/>
        <family val="2"/>
        <charset val="204"/>
        <scheme val="minor"/>
      </rPr>
      <t>R9A#1</t>
    </r>
    <r>
      <rPr>
        <b/>
        <sz val="11"/>
        <rFont val="Calibri"/>
        <family val="2"/>
        <charset val="204"/>
        <scheme val="minor"/>
      </rPr>
      <t xml:space="preserve"> Tripped at 1108 hrs on 22/11/2022 due to underload caused due to low intake pressure. ESP kept shutdown for pressure buildup. Restarted ESP at 0029 hrs on 28/11/2022.</t>
    </r>
  </si>
  <si>
    <r>
      <rPr>
        <b/>
        <sz val="11"/>
        <color rgb="FFFF0000"/>
        <rFont val="Calibri"/>
        <family val="2"/>
        <charset val="204"/>
        <scheme val="minor"/>
      </rPr>
      <t xml:space="preserve">R9A#2 </t>
    </r>
    <r>
      <rPr>
        <b/>
        <sz val="11"/>
        <rFont val="Calibri"/>
        <family val="2"/>
        <charset val="204"/>
        <scheme val="minor"/>
      </rPr>
      <t xml:space="preserve">tripped at 1320 Hrs on 29/11/2022 due to underload caused by suspected low flow from reservoir. ESP kept shutdown for pressure buidup. Recommended to maintain lower MLP 30-34 kg/cm2 and lower frequency to compensate low intake pressure. </t>
    </r>
    <r>
      <rPr>
        <b/>
        <sz val="11"/>
        <color rgb="FFFF0000"/>
        <rFont val="Calibri"/>
        <family val="2"/>
        <charset val="204"/>
        <scheme val="minor"/>
      </rPr>
      <t>R9A#1</t>
    </r>
    <r>
      <rPr>
        <b/>
        <sz val="11"/>
        <rFont val="Calibri"/>
        <family val="2"/>
        <charset val="204"/>
        <scheme val="minor"/>
      </rPr>
      <t xml:space="preserve"> Tripped at 2116 hrs on 29/11/2022 due to underload caused due to low intake pressure. ESP kept shutdown for pressure buildup.</t>
    </r>
  </si>
  <si>
    <r>
      <rPr>
        <b/>
        <sz val="11"/>
        <color rgb="FFFF0000"/>
        <rFont val="Calibri"/>
        <family val="2"/>
        <charset val="204"/>
        <scheme val="minor"/>
      </rPr>
      <t>R9A#2</t>
    </r>
    <r>
      <rPr>
        <b/>
        <sz val="11"/>
        <rFont val="Calibri"/>
        <family val="2"/>
        <charset val="204"/>
        <scheme val="minor"/>
      </rPr>
      <t xml:space="preserve"> ESP restarted after reaching target intake pressure at 1133 hrs on 30/11/2022.</t>
    </r>
  </si>
  <si>
    <t>ESP tripped @2116 Hrs. on 29/11/2022 due to underload alarm. ESP kept shutdown for the pressure build up.Static intake pressure-1266PSI</t>
  </si>
  <si>
    <t>R9A#2:ESP  tripped on underload @  Hrs. on 03/12/2022 .ESP kept shutdown for pressure build up.Recommend to keep ESP in off condition to avoid failure due to multiple start stops</t>
  </si>
  <si>
    <t>52,39</t>
  </si>
  <si>
    <t>1.12/1.03</t>
  </si>
  <si>
    <t>13.9/13.7/13.6</t>
  </si>
  <si>
    <t>1753 hrs</t>
  </si>
  <si>
    <t>12.11+2.71 Hrs</t>
  </si>
  <si>
    <t>0112 Hrs</t>
  </si>
  <si>
    <t>4.8+2.75 Hrs</t>
  </si>
  <si>
    <t>R9A#4 ESP tripped at 0112 hrs on 05/12/2022 due to underload caused by high MLP (&gt;43.88 Kg/cm2). Restarted ESP at 0845 hrs on 05/12/2022</t>
  </si>
  <si>
    <t>Total running hours Dec 2022</t>
  </si>
  <si>
    <t>Total shutdown hours due to Novomet Dec 2022</t>
  </si>
  <si>
    <t>Total shutdown hours due to ONGC  Dec  2022</t>
  </si>
  <si>
    <t>ESP tripped @2116 Hrs. on 29/11/2022 due to underload alarm. ESP kept shutdown for the pressure build up.Static intake pressure-1295PSI</t>
  </si>
  <si>
    <r>
      <rPr>
        <b/>
        <sz val="11"/>
        <color rgb="FFFF0000"/>
        <rFont val="Calibri"/>
        <family val="2"/>
        <charset val="204"/>
        <scheme val="minor"/>
      </rPr>
      <t>R9A#2</t>
    </r>
    <r>
      <rPr>
        <b/>
        <sz val="11"/>
        <rFont val="Calibri"/>
        <family val="2"/>
        <charset val="204"/>
        <scheme val="minor"/>
      </rPr>
      <t xml:space="preserve"> tripped at 1753 hrs  on 04/12/2022 due to underload. ESP is kept shutdown for pressure build up. Recommend to keep ESP in off condition to avoid failure due to multiple start stops. </t>
    </r>
    <r>
      <rPr>
        <b/>
        <sz val="11"/>
        <color rgb="FFFF0000"/>
        <rFont val="Calibri"/>
        <family val="2"/>
        <charset val="204"/>
        <scheme val="minor"/>
      </rPr>
      <t>R9A#4</t>
    </r>
    <r>
      <rPr>
        <b/>
        <sz val="11"/>
        <rFont val="Calibri"/>
        <family val="2"/>
        <charset val="204"/>
        <scheme val="minor"/>
      </rPr>
      <t xml:space="preserve"> ESP tripped at 0112 hrs on 05/12/2022 due to underload caused by high MLP (&gt;43.88 Kg/cm2). </t>
    </r>
  </si>
  <si>
    <r>
      <rPr>
        <b/>
        <sz val="11"/>
        <color rgb="FFFF0000"/>
        <rFont val="Calibri"/>
        <family val="2"/>
        <charset val="204"/>
        <scheme val="minor"/>
      </rPr>
      <t>R9A#4</t>
    </r>
    <r>
      <rPr>
        <b/>
        <sz val="11"/>
        <rFont val="Calibri"/>
        <family val="2"/>
        <charset val="204"/>
        <scheme val="minor"/>
      </rPr>
      <t xml:space="preserve"> Restarted ESP at 0845 hrs on 05/12/2022 after MLP dropped to normal. </t>
    </r>
    <r>
      <rPr>
        <b/>
        <sz val="11"/>
        <color rgb="FFFF0000"/>
        <rFont val="Calibri"/>
        <family val="2"/>
        <charset val="204"/>
        <scheme val="minor"/>
      </rPr>
      <t>R9#2</t>
    </r>
    <r>
      <rPr>
        <b/>
        <sz val="11"/>
        <rFont val="Calibri"/>
        <family val="2"/>
        <scheme val="minor"/>
      </rPr>
      <t xml:space="preserve"> ESP restared at 0843 hrs on 05/12/2022 after pressure buildup.</t>
    </r>
  </si>
  <si>
    <t>0.103/0.041/0.036</t>
  </si>
  <si>
    <t>13.9/13.7/13.7</t>
  </si>
  <si>
    <t>R9A#2 tripped at 1753 hrs  on 04/12/2022 due to underload. ESP is kept shutdown for pressure build up. Restarted ESP at 0845 hrs on 05/12/2022 after MLP dropped to normal.</t>
  </si>
  <si>
    <t>ESP tripped @2116 Hrs. on 29/11/2022 due to underload alarm. ESP kept shutdown for the pressure build up.Static intake pressure-1318PSI</t>
  </si>
  <si>
    <t>1.34/1.13</t>
  </si>
  <si>
    <r>
      <rPr>
        <b/>
        <sz val="11"/>
        <color rgb="FFFF0000"/>
        <rFont val="Calibri"/>
        <family val="2"/>
        <charset val="204"/>
        <scheme val="minor"/>
      </rPr>
      <t xml:space="preserve">R9A#2 </t>
    </r>
    <r>
      <rPr>
        <b/>
        <sz val="11"/>
        <rFont val="Calibri"/>
        <family val="2"/>
        <charset val="204"/>
        <scheme val="minor"/>
      </rPr>
      <t xml:space="preserve">tripped at 1657 hrs  on 06/12/2022 due to underload. ESP is kept shutdown for pressure build up. </t>
    </r>
  </si>
  <si>
    <r>
      <rPr>
        <b/>
        <sz val="11"/>
        <color rgb="FFFF0000"/>
        <rFont val="Calibri"/>
        <family val="2"/>
        <charset val="204"/>
        <scheme val="minor"/>
      </rPr>
      <t xml:space="preserve">R9A#2 </t>
    </r>
    <r>
      <rPr>
        <b/>
        <sz val="11"/>
        <rFont val="Calibri"/>
        <family val="2"/>
        <scheme val="minor"/>
      </rPr>
      <t>ESP started after pressure build up at 2156 on 07/12/2022.</t>
    </r>
  </si>
  <si>
    <t>ESP tripped @2116 Hrs. on 29/11/2022 due to underload alarm. ESP kept shutdown for the pressure build up.Static intake pressure-1341PSI</t>
  </si>
  <si>
    <t>R9A#2:ESP  tripped on underload @  Hrs.1657 on 06/12/2022 .ESP kept shutdown for pressure build up.Recommend to keep ESP in off condition to avoid failure due to multiple start stops</t>
  </si>
  <si>
    <t>R9A#2:ESP  tripped on underload @1657  Hrs. on 06/12/2022 .ESP kept shutdown for pressure build up.Recommend to keep ESP in off condition to avoid failure due to multiple start stops</t>
  </si>
  <si>
    <t>15.1/15.0/15.0</t>
  </si>
  <si>
    <t>1.65/1.03</t>
  </si>
  <si>
    <t>13.8/13.8/13.6</t>
  </si>
  <si>
    <t>R9A#2 tripped at 1657 hrs  on 06/12/2022 due to underload. ESP is kept shutdown for pressure build up. ESP started after pressure build up at 2156 on 07/12/2022.</t>
  </si>
  <si>
    <t>1657 Hrs</t>
  </si>
  <si>
    <t>2156 hrs</t>
  </si>
  <si>
    <t>13.05+15.93 Hrs</t>
  </si>
  <si>
    <t>ESP tripped @2116 Hrs. on 29/11/2022 due to underload alarm. ESP kept shutdown for the pressure build up.Static intake pressure-1360PSI</t>
  </si>
  <si>
    <t>0.167/0.025/0.135</t>
  </si>
  <si>
    <t>2.23/1.53</t>
  </si>
  <si>
    <t>13.8/13.7/13.5</t>
  </si>
  <si>
    <t>1.73/2.27</t>
  </si>
  <si>
    <t>R9A#2:ESP  tripped on underload @  Hrs. on 09/12/2022 .ESP kept shutdown for pressure build up.Recommend to keep ESP in off condition to avoid failure due to multiple start stops</t>
  </si>
  <si>
    <t>2.07/1.02</t>
  </si>
  <si>
    <t xml:space="preserve">R9A#1 Tripped at 2116 hrs on 29/11/2022 due to underload caused due to low intake pressure. ESP kept shutdown for pressure buildup.R9A#1 After pressure build up restarted ESP at 0556 hrs on 09/12/2022. </t>
  </si>
  <si>
    <t>0556 hrs</t>
  </si>
  <si>
    <t>23.94 Hrs</t>
  </si>
  <si>
    <t>R9A#2 ESP tripped at 1231 hrs on 09/12/2022 due to underload caused by low inflow from reservoir. After pressure build up restarted ESP at 2351 hrs on 09/12/2022.</t>
  </si>
  <si>
    <t>1231 Hrs</t>
  </si>
  <si>
    <t>2351 Hrs</t>
  </si>
  <si>
    <t>R9A#4 ESP tripped at 0722 hrs on 09/12/2022 due to underload caused by high MLP. Restarted ESP at 1114  hrs on 09/12/2022.</t>
  </si>
  <si>
    <t>0722 Hrs</t>
  </si>
  <si>
    <t>1114 Hrs</t>
  </si>
  <si>
    <t>3.86 Hrs</t>
  </si>
  <si>
    <t>1.65/3.47</t>
  </si>
  <si>
    <t>17.2/17.3/17.1</t>
  </si>
  <si>
    <t>0.172/0.037/0.084</t>
  </si>
  <si>
    <t>1.55/1.07</t>
  </si>
  <si>
    <t>ESP tripped @ Hrs. on 11/12/2022 due to underload alarm. ESP kept shutdown for the pressure build up.Static intake pressure-1066PSI</t>
  </si>
  <si>
    <t>R9A#2:ESP  tripped on underload @  Hrs. on 11/12/2022 .ESP kept shutdown for pressure build up.Recommend to keep ESP in off condition to avoid failure due to multiple start stops</t>
  </si>
  <si>
    <t>15.2/15.1/15.1</t>
  </si>
  <si>
    <t>1.15/0.84</t>
  </si>
  <si>
    <t>13.9/13.8/13.6</t>
  </si>
  <si>
    <r>
      <t xml:space="preserve"> </t>
    </r>
    <r>
      <rPr>
        <b/>
        <sz val="11"/>
        <color rgb="FFFF0000"/>
        <rFont val="Calibri"/>
        <family val="2"/>
        <charset val="204"/>
        <scheme val="minor"/>
      </rPr>
      <t>R9A#2</t>
    </r>
    <r>
      <rPr>
        <b/>
        <sz val="11"/>
        <rFont val="Calibri"/>
        <family val="2"/>
        <charset val="204"/>
        <scheme val="minor"/>
      </rPr>
      <t xml:space="preserve"> ESP tripped at 1231 hrs on 09/12/2022 due to underload caused by low inflow from reservoir. After pressure build up restarted ESP at 2351 hrs on 09/12/2022. </t>
    </r>
    <r>
      <rPr>
        <b/>
        <sz val="11"/>
        <color rgb="FFFF0000"/>
        <rFont val="Calibri"/>
        <family val="2"/>
        <charset val="204"/>
        <scheme val="minor"/>
      </rPr>
      <t xml:space="preserve"> R9A#4</t>
    </r>
    <r>
      <rPr>
        <b/>
        <sz val="11"/>
        <rFont val="Calibri"/>
        <family val="2"/>
        <charset val="204"/>
        <scheme val="minor"/>
      </rPr>
      <t xml:space="preserve"> ESP tripped at 0722 hrs on 09/12/2022 due to underload caused by high MLP. Restarted ESP at 1114  hrs on 09/12/2022. </t>
    </r>
    <r>
      <rPr>
        <b/>
        <sz val="11"/>
        <color rgb="FFFF0000"/>
        <rFont val="Calibri"/>
        <family val="2"/>
        <charset val="204"/>
        <scheme val="minor"/>
      </rPr>
      <t>R9A#1</t>
    </r>
    <r>
      <rPr>
        <b/>
        <sz val="11"/>
        <rFont val="Calibri"/>
        <family val="2"/>
        <charset val="204"/>
        <scheme val="minor"/>
      </rPr>
      <t xml:space="preserve"> Restarted ESP after pressure build up at 0556 on 09/12/2022</t>
    </r>
  </si>
  <si>
    <t>ESP tripped @ Hrs. on 11/12/2022 due to underload alarm. ESP kept shutdown for the pressure build up.Static intake pressure-1148PSI</t>
  </si>
  <si>
    <t>0.182/0.040/0.037</t>
  </si>
  <si>
    <t>14.7/14.614.6</t>
  </si>
  <si>
    <t>1.37/1.16</t>
  </si>
  <si>
    <t>ESP tripped @ Hrs. on 11/12/2022 due to underload alarm. ESP kept shutdown for the pressure build up.Static intake pressure-1192PSI</t>
  </si>
  <si>
    <t>R9A#2:ESP  tripped on underload @0636  Hrs. on 13/12/2022 .ESP kept shutdown for pressure build up.Recommend to keep ESP in off condition to avoid failure due to multiple start stops</t>
  </si>
  <si>
    <t>1.23/0.92</t>
  </si>
  <si>
    <t>0404 Hrs</t>
  </si>
  <si>
    <t>1.93 Hrs</t>
  </si>
  <si>
    <t>0.057/0.026/0.056</t>
  </si>
  <si>
    <t>15.0/15.1/15.3</t>
  </si>
  <si>
    <t>16.0/15.9/15.9</t>
  </si>
  <si>
    <t>1.42/1.22</t>
  </si>
  <si>
    <r>
      <rPr>
        <b/>
        <sz val="11"/>
        <color rgb="FFFF0000"/>
        <rFont val="Calibri"/>
        <family val="2"/>
        <charset val="204"/>
        <scheme val="minor"/>
      </rPr>
      <t>R9A#2</t>
    </r>
    <r>
      <rPr>
        <b/>
        <sz val="11"/>
        <rFont val="Calibri"/>
        <family val="2"/>
        <scheme val="minor"/>
      </rPr>
      <t xml:space="preserve"> ESP tripped at 0300 hrs on 15/12/2022 due to underload caused by low inflow. Kept shutdown for pressure buildup.</t>
    </r>
  </si>
  <si>
    <t>ESP tripped @ Hrs. on 11/12/2022 due to underload alarm. ESP kept shutdown for the pressure build up.Static intake pressure-1234PSI</t>
  </si>
  <si>
    <t>ESP tripped @ Hrs. on 11/12/2022 due to underload alarm. ESP kept shutdown for the pressure build up.Static intake pressure-1267PSI</t>
  </si>
  <si>
    <t>0.130/0.027/0.088</t>
  </si>
  <si>
    <t>17.9/18.0/18.0</t>
  </si>
  <si>
    <t>15.2/15.2/15.1</t>
  </si>
  <si>
    <t>0.86/1.00</t>
  </si>
  <si>
    <r>
      <rPr>
        <b/>
        <sz val="11"/>
        <color rgb="FFFF0000"/>
        <rFont val="Calibri"/>
        <family val="2"/>
        <charset val="204"/>
        <scheme val="minor"/>
      </rPr>
      <t>R9A#2</t>
    </r>
    <r>
      <rPr>
        <b/>
        <sz val="11"/>
        <rFont val="Calibri"/>
        <family val="2"/>
        <charset val="204"/>
        <scheme val="minor"/>
      </rPr>
      <t xml:space="preserve"> ESP started at 2213 hrs on 15/12/2022 after pressure buildup.</t>
    </r>
  </si>
  <si>
    <t>1210 Hrs</t>
  </si>
  <si>
    <t>R9A#2 ESP tripped at 1210 hrs on 11/12/2022 due to underload caused by low inflow from reservoir. ESP kept shutdown for pressure buildup. ESP restarted after pressure build up at 2320 hrs on 11/12/2022.</t>
  </si>
  <si>
    <t>2320 Hrs</t>
  </si>
  <si>
    <r>
      <rPr>
        <b/>
        <sz val="11"/>
        <color rgb="FFFF0000"/>
        <rFont val="Calibri"/>
        <family val="2"/>
        <charset val="204"/>
        <scheme val="minor"/>
      </rPr>
      <t>R9A#1</t>
    </r>
    <r>
      <rPr>
        <b/>
        <sz val="11"/>
        <rFont val="Calibri"/>
        <family val="2"/>
        <charset val="204"/>
        <scheme val="minor"/>
      </rPr>
      <t xml:space="preserve"> ESP tripped at 0404 hrs on 11/12/2022 due to underload caused by low inflow from reservoir. Kept shutdown for pressure build up.  </t>
    </r>
    <r>
      <rPr>
        <b/>
        <sz val="11"/>
        <color rgb="FFFF0000"/>
        <rFont val="Calibri"/>
        <family val="2"/>
        <charset val="204"/>
        <scheme val="minor"/>
      </rPr>
      <t/>
    </r>
  </si>
  <si>
    <r>
      <rPr>
        <b/>
        <sz val="11"/>
        <color rgb="FFFF0000"/>
        <rFont val="Calibri"/>
        <family val="2"/>
        <charset val="204"/>
        <scheme val="minor"/>
      </rPr>
      <t>R9A#2</t>
    </r>
    <r>
      <rPr>
        <b/>
        <sz val="11"/>
        <rFont val="Calibri"/>
        <family val="2"/>
        <charset val="204"/>
        <scheme val="minor"/>
      </rPr>
      <t xml:space="preserve"> ESP tripped at 1210 hrs on 11/12/2022 due to underload caused by low inflow from reservoir. ESP kept shutdown for pressure buildup. ESP restarted after pressure build up at 2320 hrs on 11/12/2022. Recommended to keep ESP shutdown to avoid frequent trips/starts. </t>
    </r>
  </si>
  <si>
    <t>R9A#2 ESP tripped at 0636 hrs on 13/12/2022 due to underload caused by low inflow. Kept shutdown for pressure buildup. ESP started at 0206 hrs on 14/12/2022.</t>
  </si>
  <si>
    <t>0206 Hrs</t>
  </si>
  <si>
    <t>R9A#2 ESP tripped at 0300 hrs on 15/12/2022 due to underload caused by low inflow. Kept shutdown for pressure buildup. ESP started at 2213 hrs on 15/12/2022 after pressure buildup</t>
  </si>
  <si>
    <t>0300 Hrs</t>
  </si>
  <si>
    <t>3+16.21 Hrs</t>
  </si>
  <si>
    <t>1.68/2.85</t>
  </si>
  <si>
    <t>17.9/18.0/17.8</t>
  </si>
  <si>
    <t>0.145/0.037/0.08</t>
  </si>
  <si>
    <t>16/16/15.9</t>
  </si>
  <si>
    <t>1.23/1.13</t>
  </si>
  <si>
    <t>12.63 Hrs</t>
  </si>
  <si>
    <t xml:space="preserve">R9A#1 ESP tripped at 0404 hrs on 11/12/2022 due to underload caused by low inflow from reservoir. Kept shutdown for pressure build up. R9A#1 ESP restarted at 1722 hrs on 16/12/2022 after pressure build up as per ONGC request (intake pressure 1289). </t>
  </si>
  <si>
    <t>1.73/2.50</t>
  </si>
  <si>
    <t>17.3/17.3/17.1</t>
  </si>
  <si>
    <t>0.141/0.031/0.127</t>
  </si>
  <si>
    <t>17.5/17.6/17.7</t>
  </si>
  <si>
    <t>75.2</t>
  </si>
  <si>
    <t>16.2/16.2/16.2</t>
  </si>
  <si>
    <t>1.05/1.02</t>
  </si>
  <si>
    <r>
      <rPr>
        <b/>
        <sz val="11"/>
        <color rgb="FFFF0000"/>
        <rFont val="Calibri"/>
        <family val="2"/>
        <charset val="204"/>
        <scheme val="minor"/>
      </rPr>
      <t>R9A#2 ESP</t>
    </r>
    <r>
      <rPr>
        <b/>
        <sz val="11"/>
        <rFont val="Calibri"/>
        <family val="2"/>
        <charset val="204"/>
        <scheme val="minor"/>
      </rPr>
      <t xml:space="preserve"> tripped due to underload caused by low inflow at 0109 hrs on 17/12/2022. Restarted ESP after pressure buildup at 2017 hrs on 17/12/2022.</t>
    </r>
  </si>
  <si>
    <r>
      <rPr>
        <b/>
        <sz val="11"/>
        <color rgb="FFFF0000"/>
        <rFont val="Calibri"/>
        <family val="2"/>
        <charset val="204"/>
        <scheme val="minor"/>
      </rPr>
      <t>R9A#1</t>
    </r>
    <r>
      <rPr>
        <b/>
        <sz val="11"/>
        <rFont val="Calibri"/>
        <family val="2"/>
        <charset val="204"/>
        <scheme val="minor"/>
      </rPr>
      <t xml:space="preserve"> ESP restarted at 1722 hrs on 16/12/2022 after pressure build up as per ONGC instruction (intake pressure 1289). </t>
    </r>
    <r>
      <rPr>
        <b/>
        <sz val="11"/>
        <color rgb="FFFF0000"/>
        <rFont val="Calibri"/>
        <family val="2"/>
        <charset val="204"/>
        <scheme val="minor"/>
      </rPr>
      <t>R9A#2</t>
    </r>
    <r>
      <rPr>
        <b/>
        <sz val="11"/>
        <rFont val="Calibri"/>
        <family val="2"/>
        <charset val="204"/>
        <scheme val="minor"/>
      </rPr>
      <t xml:space="preserve"> ESP tripped due to underload at 0109 hrs on 17/12/2022.</t>
    </r>
  </si>
  <si>
    <t>R9A#2 ESP tripped due to underload caused by low inflow at 0109 hrs on 17/12/2022. Restarted ESP after pressure buildup at 2017 hrs on 17/12/2022.</t>
  </si>
  <si>
    <t>2017 hrs</t>
  </si>
  <si>
    <t>4.85+14.28 Hrs</t>
  </si>
  <si>
    <t>R9A#2:ESP  tripped on underload @  Hrs. on 18/12/2022 .ESP kept shutdown for pressure build up.Recommend to keep ESP in off condition to avoid failure due to multiple start stops</t>
  </si>
  <si>
    <t>14.4/14.4/14.3</t>
  </si>
  <si>
    <t>Presently motor temperature at 124C</t>
  </si>
  <si>
    <t>ESP tripped @1425 Hrs. on 18/12/2022 due to underload alarm. ESP kept shutdown for the pressure build up.Static intake pressure-1003PSI</t>
  </si>
  <si>
    <t>0.120/0.036/0.113</t>
  </si>
  <si>
    <t>15.1/15.1/15.1</t>
  </si>
  <si>
    <t>6.17/4.07</t>
  </si>
  <si>
    <r>
      <rPr>
        <b/>
        <sz val="11"/>
        <color rgb="FFFF0000"/>
        <rFont val="Calibri"/>
        <family val="2"/>
        <charset val="204"/>
        <scheme val="minor"/>
      </rPr>
      <t>R9A#1</t>
    </r>
    <r>
      <rPr>
        <b/>
        <sz val="11"/>
        <rFont val="Calibri"/>
        <family val="2"/>
        <charset val="204"/>
        <scheme val="minor"/>
      </rPr>
      <t xml:space="preserve"> ESP tripped at 1425 hrs on 18/12/2022 due to underload caused inflow. ESP is kept shutdown for pressure buildup. </t>
    </r>
    <r>
      <rPr>
        <b/>
        <sz val="11"/>
        <color rgb="FFFF0000"/>
        <rFont val="Calibri"/>
        <family val="2"/>
        <charset val="204"/>
        <scheme val="minor"/>
      </rPr>
      <t>R9A#2</t>
    </r>
    <r>
      <rPr>
        <b/>
        <sz val="11"/>
        <rFont val="Calibri"/>
        <family val="2"/>
        <charset val="204"/>
        <scheme val="minor"/>
      </rPr>
      <t xml:space="preserve"> ESP tripped at 1910 hrs on 18/12/2022 due to underload caused by low inflow. ESP kept shutdown for pressure buildup.  </t>
    </r>
    <r>
      <rPr>
        <b/>
        <sz val="11"/>
        <color rgb="FFFF0000"/>
        <rFont val="Calibri"/>
        <family val="2"/>
        <charset val="204"/>
        <scheme val="minor"/>
      </rPr>
      <t>R9A#5</t>
    </r>
    <r>
      <rPr>
        <b/>
        <sz val="11"/>
        <rFont val="Calibri"/>
        <family val="2"/>
        <charset val="204"/>
        <scheme val="minor"/>
      </rPr>
      <t xml:space="preserve"> ESP manual off at 1612 hrs on 18/12/2022 by ONGC for wireline job (to check for obstructions in tubing). After the job was completed observed intake temperature and motor temperature increased during shutdown period. After temperature cool down below setpoint, tried to start ESP normally (soft start) at 0559 hrs on 19/12/2022 but tripped due to overload. </t>
    </r>
  </si>
  <si>
    <t>1425 Hrs</t>
  </si>
  <si>
    <t>15.58 Hrs</t>
  </si>
  <si>
    <t>1910 Hrs</t>
  </si>
  <si>
    <t>R9A#2 ESP tripped at 1910 hrs on 18/12/2022 due to underload caused by low inflow. ESP kept shutdown for pressure buildup. R9A#2 after pressure buildup, restarted at 0937 hrs on 19/12/2022.</t>
  </si>
  <si>
    <t>0937 Hrs</t>
  </si>
  <si>
    <t>10.83+3.61 Hrs</t>
  </si>
  <si>
    <t>ESP was manual off for wireline job @1612 hrs om 18/12/2022. After the job waiting for motor temperature to cooldown  for next start up</t>
  </si>
  <si>
    <t>After several attempts (jogging mode, swinging, unblocking, hard start) ESP was unable start due to overload trip. After further cool down of temperatures (both downhole and surface equipment), again several attemps were made to start and finally ESP started with swinging mode at 1854 hrs on 19/12/2022.</t>
  </si>
  <si>
    <r>
      <rPr>
        <b/>
        <sz val="11"/>
        <color rgb="FFFF0000"/>
        <rFont val="Calibri"/>
        <family val="2"/>
        <charset val="204"/>
        <scheme val="minor"/>
      </rPr>
      <t>R9A#2</t>
    </r>
    <r>
      <rPr>
        <b/>
        <sz val="11"/>
        <rFont val="Calibri"/>
        <family val="2"/>
        <charset val="204"/>
        <scheme val="minor"/>
      </rPr>
      <t xml:space="preserve"> after pressure buildup, restarted at 0937 hrs on 19/12/2022. </t>
    </r>
    <r>
      <rPr>
        <b/>
        <sz val="11"/>
        <color rgb="FFFF0000"/>
        <rFont val="Calibri"/>
        <family val="2"/>
        <charset val="204"/>
        <scheme val="minor"/>
      </rPr>
      <t>R9A#5</t>
    </r>
    <r>
      <rPr>
        <b/>
        <sz val="11"/>
        <rFont val="Calibri"/>
        <family val="2"/>
        <charset val="204"/>
        <scheme val="minor"/>
      </rPr>
      <t xml:space="preserve"> After several attempts (jogging mode, swinging, unblocking, hard start) ESP was unable start due to overload trip. No load test done to check surface equipment condition. After further cool down of temperatures (both downhole and surface equipment), again several attemps were made to start and finally ESP started with swinging mode at 1854 hrs on 19/12/2022.</t>
    </r>
  </si>
  <si>
    <t xml:space="preserve"> R9A#5 ESP manual off at 1612 hrs on 18/12/2022 by ONGC for wireline job (to check for obstructions in tubing). </t>
  </si>
  <si>
    <t>1612 Hrs</t>
  </si>
  <si>
    <t>11.8 Hrs</t>
  </si>
  <si>
    <t>After the job was completed observed intake temperature and motor temperature increased during shutdown period. After temperature cool down below setpoint, tried to start ESP normally (soft start) at 0559 hrs on 19/12/2022 but tripped due to overload. R9A#5 After several attempts (jogging mode, swinging, unblocking, hard start) ESP was unable start due to overload trip. No load test done to check surface equipment condition. After further cool down of temperatures (both downhole and surface equipment), again several attemps were made to start and finally ESP started with swinging mode at 1854 hrs on 19/12/2022.</t>
  </si>
  <si>
    <t>R9A#2:ESP  tripped on underload @ 1352 Hrs. on 20/12/2022 .ESP kept shutdown for pressure build up.Recommend to keep ESP in off condition to avoid failure due to multiple start stops</t>
  </si>
  <si>
    <t>ESP tripped @1425 Hrs. on 18/12/2022 due to underload alarm. ESP kept shutdown for the pressure build up.Static intake pressure-1145PSI</t>
  </si>
  <si>
    <t>ESP tripped @1425 Hrs. on 18/12/2022 due to underload alarm. ESP kept shutdown for the pressure build up.Static intake pressure-1070PSI</t>
  </si>
  <si>
    <t>15.7/15.6/15.6</t>
  </si>
  <si>
    <t>3.62/3.30</t>
  </si>
  <si>
    <t>1353 Hrs</t>
  </si>
  <si>
    <t>ESP tripped @1425 Hrs. on 18/12/2022 due to underload alarm. ESP kept shutdown for the pressure build up.Static intake pressure-1194PSI</t>
  </si>
  <si>
    <t>0.169/0.050/0.123</t>
  </si>
  <si>
    <t>3.77/2.18</t>
  </si>
  <si>
    <t>R9A#2 ESP tripped at 1353 hrs on 20/12/2022 due to underload caused by low inflow. Kept shutdown for pressure buildup.R9A#2 ESP started after pressure build up at 0630 on 21/12/2022.</t>
  </si>
  <si>
    <t>0630 Hrs</t>
  </si>
  <si>
    <t>16.11+0.5 Hrs</t>
  </si>
  <si>
    <r>
      <rPr>
        <b/>
        <sz val="11"/>
        <color rgb="FFFF0000"/>
        <rFont val="Calibri"/>
        <family val="2"/>
        <charset val="204"/>
        <scheme val="minor"/>
      </rPr>
      <t>R9A#2</t>
    </r>
    <r>
      <rPr>
        <b/>
        <sz val="11"/>
        <rFont val="Calibri"/>
        <family val="2"/>
        <scheme val="minor"/>
      </rPr>
      <t xml:space="preserve"> ESP tripped at 0636 hrs on 13/12/2022 due to underload caused by low inflow. Kept shutdown for pressure buildup. ESP started at 0206 hrs on 14/12/2022. Recommend to keep ESP in off condition to avoid failure due to multiple start stops.  </t>
    </r>
  </si>
  <si>
    <r>
      <rPr>
        <b/>
        <sz val="11"/>
        <color rgb="FFFF0000"/>
        <rFont val="Calibri"/>
        <family val="2"/>
        <charset val="204"/>
        <scheme val="minor"/>
      </rPr>
      <t>R9A#2</t>
    </r>
    <r>
      <rPr>
        <b/>
        <sz val="11"/>
        <rFont val="Calibri"/>
        <family val="2"/>
        <charset val="204"/>
        <scheme val="minor"/>
      </rPr>
      <t xml:space="preserve"> ESP tripped at 1353 hrs on 20/12/2022 due to underload caused by low inflow. Kept shutdown for pressure buildup. Recommend to keep ESP in off condition to avoid failure due to multiple start stops.  </t>
    </r>
  </si>
  <si>
    <t>R9A#2:ESP  tripped on underload @ 1203 Hrs. on 22/12/2022 .ESP kept shutdown for pressure build up.Recommend to keep ESP in off condition to avoid failure due to multiple start stops</t>
  </si>
  <si>
    <t>2.15/3.02</t>
  </si>
  <si>
    <t>13.6/13.5/13.4</t>
  </si>
  <si>
    <t>ESP tripped at 1203 hrs on 22/12/2022 due to underload due to suspected low inflow. Recommended to keep ESP in shutdown condtion to avoid frequent start/stop which may cause ESP failure. R9A#2 ESP restarted after pressure buildup at 1124 hrs on 23/12/2022.</t>
  </si>
  <si>
    <t>1203 Hrs</t>
  </si>
  <si>
    <t>1124 Hrs</t>
  </si>
  <si>
    <t>0.195/0.031/0.113</t>
  </si>
  <si>
    <t>1.9/2.27</t>
  </si>
  <si>
    <r>
      <t xml:space="preserve">R9A#2 </t>
    </r>
    <r>
      <rPr>
        <b/>
        <sz val="11"/>
        <rFont val="Calibri"/>
        <family val="2"/>
        <charset val="204"/>
        <scheme val="minor"/>
      </rPr>
      <t xml:space="preserve">ESP started after pressure build up at 0630 on 21/12/2022. </t>
    </r>
  </si>
  <si>
    <r>
      <rPr>
        <b/>
        <sz val="11"/>
        <color rgb="FFFF0000"/>
        <rFont val="Calibri"/>
        <family val="2"/>
        <charset val="204"/>
        <scheme val="minor"/>
      </rPr>
      <t>R9A#2</t>
    </r>
    <r>
      <rPr>
        <b/>
        <sz val="11"/>
        <rFont val="Calibri"/>
        <family val="2"/>
        <charset val="204"/>
        <scheme val="minor"/>
      </rPr>
      <t xml:space="preserve"> ESP tripped at 1203 hrs on 22/12/2022 due to underload due to suspected low inflow. Recommended to keep ESP in shutdown condtion to avoid frequent start/stop which may cause ESP failure.</t>
    </r>
  </si>
  <si>
    <r>
      <rPr>
        <b/>
        <sz val="11"/>
        <color rgb="FFFF0000"/>
        <rFont val="Calibri"/>
        <family val="2"/>
        <charset val="204"/>
        <scheme val="minor"/>
      </rPr>
      <t>R9A#2</t>
    </r>
    <r>
      <rPr>
        <b/>
        <sz val="11"/>
        <rFont val="Calibri"/>
        <family val="2"/>
        <charset val="204"/>
        <scheme val="minor"/>
      </rPr>
      <t xml:space="preserve"> ESP restarted after pressure buildup at 1124 hrs on 23/12/2022.</t>
    </r>
  </si>
  <si>
    <t>17.95 Hrs+5.4 Hrs</t>
  </si>
  <si>
    <t>ESP tripped @1425 Hrs. on 18/12/2022 due to underload alarm. ESP kept shutdown for the pressure build up.Static intake pressure-1285PSI</t>
  </si>
  <si>
    <t>ESP tripped @1425 Hrs. on 18/12/2022 due to underload alarm. ESP kept shutdown for the pressure build up.Static intake pressure-1228PSI</t>
  </si>
  <si>
    <t>2.64/2.47</t>
  </si>
  <si>
    <t>13.6/13.5/13.3</t>
  </si>
  <si>
    <r>
      <rPr>
        <b/>
        <sz val="11"/>
        <color rgb="FFFF0000"/>
        <rFont val="Calibri"/>
        <family val="2"/>
        <charset val="204"/>
        <scheme val="minor"/>
      </rPr>
      <t>R9A#2</t>
    </r>
    <r>
      <rPr>
        <b/>
        <sz val="11"/>
        <rFont val="Calibri"/>
        <family val="2"/>
        <charset val="204"/>
        <scheme val="minor"/>
      </rPr>
      <t xml:space="preserve"> ESP tripped at 1754 hrs on 24/12/2022 due to underload caused by low inflow. Kept shutdown for pressure buildup.</t>
    </r>
  </si>
  <si>
    <t>1754 Hrs</t>
  </si>
  <si>
    <t>0.223/0.043/0.131</t>
  </si>
  <si>
    <t>17.1/17.3/17.3</t>
  </si>
  <si>
    <t>2.33/3.03</t>
  </si>
  <si>
    <r>
      <rPr>
        <b/>
        <sz val="11"/>
        <color rgb="FFFF0000"/>
        <rFont val="Calibri"/>
        <family val="2"/>
        <charset val="204"/>
        <scheme val="minor"/>
      </rPr>
      <t xml:space="preserve">R9A#2 </t>
    </r>
    <r>
      <rPr>
        <b/>
        <sz val="11"/>
        <rFont val="Calibri"/>
        <family val="2"/>
        <charset val="204"/>
        <scheme val="minor"/>
      </rPr>
      <t>Restarted ESP after pressure buildup at 2052 hrs on 25/12/2022</t>
    </r>
  </si>
  <si>
    <t>R9A#2 ESP tripped at 1754 hrs on 24/12/2022 due to underload caused by low inflow. Kept shutdown for pressure buildup. R9A#2 Restarted ESP after pressure buildup at 2052 hrs on 25/12/2022</t>
  </si>
  <si>
    <t>2052 hrs</t>
  </si>
  <si>
    <t>14.86 Hrs</t>
  </si>
  <si>
    <t>R9A#2:ESP  tripped on underload @ 1754 Hrs. on 24/12/2022 .ESP kept shutdown for pressure build up.Recommend to keep ESP in off condition to avoid failure due to multiple start stops</t>
  </si>
  <si>
    <t>0.165/0.030/0.115</t>
  </si>
  <si>
    <t>1.78/2.3</t>
  </si>
  <si>
    <r>
      <rPr>
        <b/>
        <sz val="11"/>
        <color rgb="FFFF0000"/>
        <rFont val="Calibri"/>
        <family val="2"/>
        <charset val="204"/>
        <scheme val="minor"/>
      </rPr>
      <t xml:space="preserve">R9A#2 </t>
    </r>
    <r>
      <rPr>
        <b/>
        <sz val="11"/>
        <rFont val="Calibri"/>
        <family val="2"/>
        <charset val="204"/>
        <scheme val="minor"/>
      </rPr>
      <t>ESP tripped at 0046 hrs on 27/12/2022 due to underload caused by low inflow. Kept shutdown for pressure buildup.</t>
    </r>
  </si>
  <si>
    <r>
      <rPr>
        <b/>
        <sz val="11"/>
        <color rgb="FFFF0000"/>
        <rFont val="Calibri"/>
        <family val="2"/>
        <charset val="204"/>
        <scheme val="minor"/>
      </rPr>
      <t>R9A#1</t>
    </r>
    <r>
      <rPr>
        <b/>
        <sz val="11"/>
        <rFont val="Calibri"/>
        <family val="2"/>
        <charset val="204"/>
        <scheme val="minor"/>
      </rPr>
      <t xml:space="preserve"> ESP restarted at 1936 hrs on 27/12/2022 after pressure build up.</t>
    </r>
  </si>
  <si>
    <t>1.5/3.59</t>
  </si>
  <si>
    <t>17.4/17.5/17.2</t>
  </si>
  <si>
    <t>R9A#2:ESP  tripped on underload @ 0046 Hrs. on 27/12/2022 .ESP kept shutdown for pressure build up.Recommend to keep ESP in off condition to avoid failure due to multiple start stops</t>
  </si>
  <si>
    <t>2.95/2.40</t>
  </si>
  <si>
    <t>R9A#1 ESP tripped at 1425 hrs on 18/12/2022 due to underload caused inflow. ESP is kept shutdown for pressure buildup. R9A#1 ESP restarted at 1936 hrs on 27/12/2022 after pressure build up.</t>
  </si>
  <si>
    <t>0046 Hrs</t>
  </si>
  <si>
    <t>S/UP XFMR S.no 662/01</t>
  </si>
  <si>
    <t>S/DN XFMR S.no 660/02</t>
  </si>
  <si>
    <t>Drive S.no 1026306</t>
  </si>
  <si>
    <t>S/UP XFMR S.no 662/03</t>
  </si>
  <si>
    <t>S/DN XFMR S.no 660/04</t>
  </si>
  <si>
    <t>Drive S.no 1026303</t>
  </si>
  <si>
    <t>S/UP XFMR S.no 662/04</t>
  </si>
  <si>
    <t>NIL</t>
  </si>
  <si>
    <t>Drive S.no 111275</t>
  </si>
  <si>
    <t>S/UP XFMR S.no 760/03</t>
  </si>
  <si>
    <t>S/DN XFMR S.no 660/03</t>
  </si>
  <si>
    <t>Drive S.no 1026304</t>
  </si>
  <si>
    <t>2.18/4.61</t>
  </si>
  <si>
    <t>0.249/0.032/0.191</t>
  </si>
  <si>
    <t>15.3/15.4/15.4</t>
  </si>
  <si>
    <t>2.84/2.17</t>
  </si>
  <si>
    <t>Motor temperature high, High MLP</t>
  </si>
  <si>
    <t>R9A#2 ESP tripped at 0046 hrs on 27/12/2022 due to underload caused by low inflow. Kept shutdown for pressure buildup. R9A#2 restarted ESP after pressure buildup at 0824 hrs on 28/12/2022</t>
  </si>
  <si>
    <t>0824 Hrs</t>
  </si>
  <si>
    <t>5.23+24+2.4 hrs</t>
  </si>
  <si>
    <t>ESP tripped @0140 Hrs. on 29/12/2022 due to underload alarm. ESP kept shutdown for the pressure build up.Static intake pressure-1112PSI</t>
  </si>
  <si>
    <t>R9A#2:ESP  tripped on underload @ 0638 Hrs. on 29/12/2022 .ESP kept shutdown for pressure build up.Recommend to keep ESP in off condition to avoid failure due to multiple start stops</t>
  </si>
  <si>
    <t>2.1/1.57</t>
  </si>
  <si>
    <t>Intake pressure increasing</t>
  </si>
  <si>
    <t>0140 Hrs</t>
  </si>
  <si>
    <t>4.33 Hrs</t>
  </si>
  <si>
    <t>0638 Hrs</t>
  </si>
  <si>
    <t>ESP tripped @0140 Hrs. on 29/12/2022 due to underload alarm. ESP kept shutdown for the pressure build up.Static intake pressure-1182PSI</t>
  </si>
  <si>
    <t>0.158/0.028/0.135</t>
  </si>
  <si>
    <t>2.1/1.03</t>
  </si>
  <si>
    <r>
      <rPr>
        <b/>
        <sz val="11"/>
        <color rgb="FFFF0000"/>
        <rFont val="Calibri"/>
        <family val="2"/>
        <charset val="204"/>
        <scheme val="minor"/>
      </rPr>
      <t>R9A#2</t>
    </r>
    <r>
      <rPr>
        <b/>
        <sz val="11"/>
        <rFont val="Calibri"/>
        <family val="2"/>
        <charset val="204"/>
        <scheme val="minor"/>
      </rPr>
      <t xml:space="preserve"> restarted ESP after pressure buildup at 0824 hrs on 28/12/2022. </t>
    </r>
    <r>
      <rPr>
        <b/>
        <sz val="11"/>
        <color rgb="FFFF0000"/>
        <rFont val="Calibri"/>
        <family val="2"/>
        <charset val="204"/>
        <scheme val="minor"/>
      </rPr>
      <t>R9A#1</t>
    </r>
    <r>
      <rPr>
        <b/>
        <sz val="11"/>
        <rFont val="Calibri"/>
        <family val="2"/>
        <charset val="204"/>
        <scheme val="minor"/>
      </rPr>
      <t xml:space="preserve"> ESP tripped at 0140 hrs on 29/12/2022 due to underload caused by low inflow. Kept shutdown for pressure buildup. </t>
    </r>
    <r>
      <rPr>
        <b/>
        <sz val="11"/>
        <color rgb="FFFF0000"/>
        <rFont val="Calibri"/>
        <family val="2"/>
        <charset val="204"/>
        <scheme val="minor"/>
      </rPr>
      <t>R9A#4</t>
    </r>
    <r>
      <rPr>
        <b/>
        <sz val="11"/>
        <rFont val="Calibri"/>
        <family val="2"/>
        <charset val="204"/>
        <scheme val="minor"/>
      </rPr>
      <t xml:space="preserve"> ESP tripped at 0232 hrs on 29/12/2022 due to underload caused by high MLP (pigging from R12A to Heera)</t>
    </r>
  </si>
  <si>
    <r>
      <rPr>
        <b/>
        <sz val="11"/>
        <color rgb="FFFF0000"/>
        <rFont val="Calibri"/>
        <family val="2"/>
        <charset val="204"/>
        <scheme val="minor"/>
      </rPr>
      <t>R9A#4</t>
    </r>
    <r>
      <rPr>
        <b/>
        <sz val="11"/>
        <rFont val="Calibri"/>
        <family val="2"/>
        <charset val="204"/>
        <scheme val="minor"/>
      </rPr>
      <t xml:space="preserve"> Restarted ESP at 0819 hrs on 29/12/2022 after MLP was dropped.</t>
    </r>
    <r>
      <rPr>
        <b/>
        <sz val="11"/>
        <color rgb="FFFF0000"/>
        <rFont val="Calibri"/>
        <family val="2"/>
        <charset val="204"/>
        <scheme val="minor"/>
      </rPr>
      <t xml:space="preserve"> R9A#2</t>
    </r>
    <r>
      <rPr>
        <b/>
        <sz val="11"/>
        <rFont val="Calibri"/>
        <family val="2"/>
        <charset val="204"/>
        <scheme val="minor"/>
      </rPr>
      <t xml:space="preserve"> ESP tripped at 0638 hrs on 29/12/2022 due to underload caused by low inflow. Kept shutdown for pressure buildup. Restarted ESP at 0000 hrs on 30/12/2022. </t>
    </r>
    <r>
      <rPr>
        <b/>
        <sz val="11"/>
        <color rgb="FFFF0000"/>
        <rFont val="Calibri"/>
        <family val="2"/>
        <charset val="204"/>
        <scheme val="minor"/>
      </rPr>
      <t>R9A#4</t>
    </r>
    <r>
      <rPr>
        <b/>
        <sz val="11"/>
        <rFont val="Calibri"/>
        <family val="2"/>
        <charset val="204"/>
        <scheme val="minor"/>
      </rPr>
      <t xml:space="preserve"> ESP tripped at 0421 hrs on 30/12/2022 due to underload caused by high MLP.</t>
    </r>
  </si>
  <si>
    <r>
      <rPr>
        <b/>
        <sz val="11"/>
        <color rgb="FFFF0000"/>
        <rFont val="Calibri"/>
        <family val="2"/>
        <charset val="204"/>
        <scheme val="minor"/>
      </rPr>
      <t>R9A#4</t>
    </r>
    <r>
      <rPr>
        <b/>
        <sz val="11"/>
        <rFont val="Calibri"/>
        <family val="2"/>
        <charset val="204"/>
        <scheme val="minor"/>
      </rPr>
      <t xml:space="preserve"> ESP restarted at 1003 hrs on 30/12/2022 after MLP dropped.</t>
    </r>
  </si>
  <si>
    <t>R9A#2 ESP tripped at 0638 hrs on 29/12/2022 due to underload caused by low inflow. Kept shutdown for pressure buildup. Restarted ESP at 0000 hrs on 30/12/2022.</t>
  </si>
  <si>
    <t>0000 hrs</t>
  </si>
  <si>
    <t>17.35 Hrs</t>
  </si>
  <si>
    <t xml:space="preserve"> R9A#4 ESP tripped at 0232 hrs on 29/12/2022 due to underload caused by high MLP (pigging from R12A to Heera). Restarted ESP at 0819 hrs on 29/12/2022 after MLP was dropped.</t>
  </si>
  <si>
    <t>0232 Hrs</t>
  </si>
  <si>
    <t>R9A#4 ESP tripped at 0421 hrs on 30/12/2022 due to underload caused by high MLP. R9A#4 ESP restarted at 1003 hrs on 30/12/2022 after MLP dropped</t>
  </si>
  <si>
    <t>0421 Hrs</t>
  </si>
  <si>
    <t>1003 Hrs</t>
  </si>
  <si>
    <t>3.46+1.65 Hrs</t>
  </si>
  <si>
    <t>3.21+4.05 Hrs</t>
  </si>
  <si>
    <t>ESP tripped @0140 Hrs. on 29/12/2022 due to underload alarm. ESP kept shutdown for the pressure build up.Static intake pressure-1232PSI</t>
  </si>
  <si>
    <t>R9A#2:ESP  tripped on underload @1313  Hrs. on 31/12/2022 .ESP kept shutdown for pressure build up.Recommend to keep ESP in off condition to avoid failure due to multiple start stops</t>
  </si>
  <si>
    <t>13.5/13.4/13.3</t>
  </si>
  <si>
    <r>
      <rPr>
        <b/>
        <sz val="11"/>
        <color rgb="FFFF0000"/>
        <rFont val="Calibri"/>
        <family val="2"/>
        <charset val="204"/>
        <scheme val="minor"/>
      </rPr>
      <t>R9A#2</t>
    </r>
    <r>
      <rPr>
        <b/>
        <sz val="11"/>
        <rFont val="Calibri"/>
        <family val="2"/>
        <scheme val="minor"/>
      </rPr>
      <t xml:space="preserve"> ESP tripped at 1313 hrs on 31/12/2022 due to underload caused by low inflow. Kept shutdown for pressure buildup.</t>
    </r>
  </si>
  <si>
    <t>1313 Hrs</t>
  </si>
  <si>
    <t>Total running hours jan 2023</t>
  </si>
  <si>
    <t>ESP tripped @0140 Hrs. on 29/12/2022 due to underload alarm. ESP kept shutdown for the pressure build up.Static intake pressure-1262PSI</t>
  </si>
  <si>
    <t>Reduced frequency to 51 Hz to observe any run time performance</t>
  </si>
  <si>
    <t>0.150/0.039/0.100</t>
  </si>
  <si>
    <t>15.3/15.3/15.3</t>
  </si>
  <si>
    <r>
      <rPr>
        <b/>
        <sz val="11"/>
        <color rgb="FFFF0000"/>
        <rFont val="Calibri"/>
        <family val="2"/>
        <charset val="204"/>
        <scheme val="minor"/>
      </rPr>
      <t>R9A#2</t>
    </r>
    <r>
      <rPr>
        <b/>
        <sz val="11"/>
        <rFont val="Calibri"/>
        <family val="2"/>
        <charset val="204"/>
        <scheme val="minor"/>
      </rPr>
      <t xml:space="preserve"> ESP restarted at 1656 hrs on 01/01/2023 after pressure buildup. Frequency reduced to 51 hz to check if any run time improvement.</t>
    </r>
  </si>
  <si>
    <t>R9A#2 ESP tripped at 1313 hrs on 31/12/2022 due to underload caused by low inflow. Kept shutdown for pressure buildup. R9A#2 ESP restarted at 1656 hrs on 01/01/2023 after pressure buildup. Frequency reduced to 51 hz to check if any run time improvement.</t>
  </si>
  <si>
    <t>1656 hrs</t>
  </si>
  <si>
    <t>16.78+10.93 Hrs</t>
  </si>
  <si>
    <r>
      <rPr>
        <b/>
        <sz val="11"/>
        <color rgb="FFFF0000"/>
        <rFont val="Calibri"/>
        <family val="2"/>
        <charset val="204"/>
        <scheme val="minor"/>
      </rPr>
      <t>R9A#4</t>
    </r>
    <r>
      <rPr>
        <b/>
        <sz val="11"/>
        <rFont val="Calibri"/>
        <family val="2"/>
        <charset val="204"/>
        <scheme val="minor"/>
      </rPr>
      <t xml:space="preserve"> ESP tripped at 0827 hrs on 02/01/2023 due to underload caused by high MLP. Restarted ESP after MLP dropped at 1109 hrs on 02/01/2023. </t>
    </r>
    <r>
      <rPr>
        <b/>
        <sz val="11"/>
        <color rgb="FFFF0000"/>
        <rFont val="Calibri"/>
        <family val="2"/>
        <charset val="204"/>
        <scheme val="minor"/>
      </rPr>
      <t>R9A#2</t>
    </r>
    <r>
      <rPr>
        <b/>
        <sz val="11"/>
        <rFont val="Calibri"/>
        <family val="2"/>
        <charset val="204"/>
        <scheme val="minor"/>
      </rPr>
      <t xml:space="preserve"> ESP tripped at 0942 on 02/01/2023 due to underload caused by suspected low inflow and high MLP. Kept shutdown for pressure buildup.</t>
    </r>
  </si>
  <si>
    <t>R9A#4 ESP tripped at 0827 hrs on 02/01/2023 due to underload caused by high MLP. Restarted ESP after MLP dropped at 1109 hrs on 02/01/2023</t>
  </si>
  <si>
    <t>0827 Hrs</t>
  </si>
  <si>
    <t>1109 Hrs</t>
  </si>
  <si>
    <t>0942 Hrs</t>
  </si>
  <si>
    <t>2.7 Hrs</t>
  </si>
  <si>
    <t>R9A#2:ESP  tripped on underload @0942  Hrs. on 02/01/2023 .ESP kept shutdown for pressure build up.Recommend to keep ESP in off condition to avoid failure due to multiple start stops</t>
  </si>
  <si>
    <t>15.6/15.5/15.5</t>
  </si>
  <si>
    <t>ESP tripped @0140 Hrs. on 29/12/2022 due to underload alarm. ESP kept shutdown for the pressure build up.Static intake pressure-1317PSI</t>
  </si>
  <si>
    <t>0.157/0.067/0.105</t>
  </si>
  <si>
    <r>
      <rPr>
        <b/>
        <sz val="11"/>
        <color rgb="FFFF0000"/>
        <rFont val="Calibri"/>
        <family val="2"/>
        <charset val="204"/>
        <scheme val="minor"/>
      </rPr>
      <t>R9A#2</t>
    </r>
    <r>
      <rPr>
        <b/>
        <sz val="11"/>
        <rFont val="Calibri"/>
        <family val="2"/>
        <charset val="204"/>
        <scheme val="minor"/>
      </rPr>
      <t xml:space="preserve"> ESP restarted at 0917 hrs on 03/01/2023 after pressure buildup. Frequency reduced to 51 hz to check if any run time improvement.</t>
    </r>
  </si>
  <si>
    <t>ESP tripped @0140 Hrs. on 29/12/2022 due to underload alarm. ESP kept shutdown for the pressure build up.Static intake pressure-1340PSI</t>
  </si>
  <si>
    <t>R9A#2:ESP  tripped on underload @  Hrs. on 04/01/2023 .ESP kept shutdown for pressure build up.Recommend to keep ESP in off condition to avoid failure due to multiple start stops</t>
  </si>
  <si>
    <t>sensor data frozen</t>
  </si>
  <si>
    <t>Sensor data frozen.</t>
  </si>
  <si>
    <r>
      <rPr>
        <b/>
        <sz val="11"/>
        <color rgb="FFFF0000"/>
        <rFont val="Calibri"/>
        <family val="2"/>
        <charset val="204"/>
        <scheme val="minor"/>
      </rPr>
      <t>R9A#1</t>
    </r>
    <r>
      <rPr>
        <b/>
        <sz val="11"/>
        <rFont val="Calibri"/>
        <family val="2"/>
        <charset val="204"/>
        <scheme val="minor"/>
      </rPr>
      <t xml:space="preserve"> ESP restarted as per ONGC instruction at 1130 hrs on 05/01/2023 after pressure buildup. </t>
    </r>
    <r>
      <rPr>
        <b/>
        <sz val="11"/>
        <color rgb="FFFF0000"/>
        <rFont val="Calibri"/>
        <family val="2"/>
        <charset val="204"/>
        <scheme val="minor"/>
      </rPr>
      <t>R9A#2</t>
    </r>
    <r>
      <rPr>
        <b/>
        <sz val="11"/>
        <rFont val="Calibri"/>
        <family val="2"/>
        <charset val="204"/>
        <scheme val="minor"/>
      </rPr>
      <t xml:space="preserve"> ESP restarted as per ONGC instruction at 1132 hrs on 05/01/2023 after pressure buildup. </t>
    </r>
  </si>
  <si>
    <t>R9A#1 ESP tripped at 0140 hrs on 29/12/2022 due to underload caused by low inflow. Kept shutdown for pressure buildup. R9A#1 ESP restarted as per ONGC instruction at 1130 hrs on 05/01/2023 after pressure buildup.</t>
  </si>
  <si>
    <t>1130 Hrs</t>
  </si>
  <si>
    <t>5.3 Hrs</t>
  </si>
  <si>
    <r>
      <rPr>
        <b/>
        <sz val="11"/>
        <color rgb="FFFF0000"/>
        <rFont val="Calibri"/>
        <family val="2"/>
        <charset val="204"/>
        <scheme val="minor"/>
      </rPr>
      <t>R9A#2</t>
    </r>
    <r>
      <rPr>
        <b/>
        <sz val="11"/>
        <rFont val="Calibri"/>
        <family val="2"/>
        <charset val="204"/>
        <scheme val="minor"/>
      </rPr>
      <t xml:space="preserve"> ESP tripped at 1934 hrs on 04/01/2023 due to underload caused by suspected low inflow. Kept shutdown for pressure buildup. </t>
    </r>
  </si>
  <si>
    <t>R9A#2 ESP tripped at 0942 on 02/01/2023 due to underload caused by suspected low inflow and high MLP. Kept shutdown for pressure buildup. R9A#2 ESP restarted at 0917 hrs on 03/01/2023 after pressure buildup. Frequency reduced to 51 hz to check if any run time improvement.</t>
  </si>
  <si>
    <t>0917 Hrs</t>
  </si>
  <si>
    <t>20.3+ 3.28Hrs</t>
  </si>
  <si>
    <t>1934 hrs</t>
  </si>
  <si>
    <t>1.83/3.85</t>
  </si>
  <si>
    <t>18.1/18.1/17.9</t>
  </si>
  <si>
    <t>0.050/0.050/0.099</t>
  </si>
  <si>
    <t>15.1/15.2/15.2</t>
  </si>
  <si>
    <t>2.15/3.07</t>
  </si>
  <si>
    <t>17.3/17.3/17.2</t>
  </si>
  <si>
    <t>Ebin M/Sajad</t>
  </si>
  <si>
    <t>06-</t>
  </si>
  <si>
    <t>R9A#2:ESP  tripped on underload @  Hrs. on 06/01/2023 .ESP kept shutdown for pressure build up.Recommend to keep ESP in off condition to avoid failure due to multiple start stops</t>
  </si>
  <si>
    <r>
      <rPr>
        <b/>
        <sz val="11"/>
        <color rgb="FFFF0000"/>
        <rFont val="Calibri"/>
        <family val="2"/>
        <charset val="204"/>
        <scheme val="minor"/>
      </rPr>
      <t xml:space="preserve">R9A#2 </t>
    </r>
    <r>
      <rPr>
        <b/>
        <sz val="11"/>
        <rFont val="Calibri"/>
        <family val="2"/>
        <charset val="204"/>
        <scheme val="minor"/>
      </rPr>
      <t xml:space="preserve">ESP tripped at 14:58 hrs on 06/01/2023 due to underload caused by suspected low inflow. Kept shutdown for pressure buildup. </t>
    </r>
  </si>
  <si>
    <t>ESP tripped @1017 Hrs. on 07/01/2023 due to underload alarm. ESP kept shutdown for the pressure build up.Static intake pressure-1018PSI</t>
  </si>
  <si>
    <t>1.4/1.09</t>
  </si>
  <si>
    <t>Sensor issue solved</t>
  </si>
  <si>
    <r>
      <rPr>
        <b/>
        <sz val="11"/>
        <color rgb="FFFF0000"/>
        <rFont val="Calibri"/>
        <family val="2"/>
        <charset val="204"/>
        <scheme val="minor"/>
      </rPr>
      <t>R9A#1</t>
    </r>
    <r>
      <rPr>
        <b/>
        <sz val="11"/>
        <rFont val="Calibri"/>
        <family val="2"/>
        <charset val="204"/>
        <scheme val="minor"/>
      </rPr>
      <t xml:space="preserve"> ESP tripped at 1017 hrs on 07/01/2023 due to underload caused by low inflow. Kept shutdown for pressure buildup. </t>
    </r>
    <r>
      <rPr>
        <b/>
        <sz val="11"/>
        <color rgb="FFFF0000"/>
        <rFont val="Calibri"/>
        <family val="2"/>
        <charset val="204"/>
        <scheme val="minor"/>
      </rPr>
      <t xml:space="preserve">R9A#2 </t>
    </r>
    <r>
      <rPr>
        <b/>
        <sz val="11"/>
        <rFont val="Calibri"/>
        <family val="2"/>
        <charset val="204"/>
        <scheme val="minor"/>
      </rPr>
      <t xml:space="preserve">ESP restarted as per ONGC instruction at 0933 hrs on 07/01/2023 after pressure buildup. </t>
    </r>
  </si>
  <si>
    <t>1017 Hrs</t>
  </si>
  <si>
    <t>19.72 Hrs</t>
  </si>
  <si>
    <r>
      <t xml:space="preserve"> </t>
    </r>
    <r>
      <rPr>
        <b/>
        <sz val="11"/>
        <color rgb="FFFF0000"/>
        <rFont val="Calibri"/>
        <family val="2"/>
        <charset val="204"/>
        <scheme val="minor"/>
      </rPr>
      <t>R9A#2</t>
    </r>
    <r>
      <rPr>
        <b/>
        <sz val="11"/>
        <rFont val="Calibri"/>
        <family val="2"/>
        <charset val="204"/>
        <scheme val="minor"/>
      </rPr>
      <t xml:space="preserve"> ESP ESP tripped at 0705 hrs on 08/01/2023 due to underload caused by low inflow. Kept shutdown for pressure buildup.</t>
    </r>
  </si>
  <si>
    <t>1458 Hrs</t>
  </si>
  <si>
    <t xml:space="preserve">R9A#2 ESP tripped at 14:58 hrs on 06/01/2023 due to underload caused by suspected low inflow. Kept shutdown for pressure buildup. R9A#2 ESP restarted as per ONGC instruction at 0933 hrs on 07/01/2023 after pressure buildup. </t>
  </si>
  <si>
    <t>0933 Hrs</t>
  </si>
  <si>
    <t>R9A#2:ESP  tripped on underload @ 0705 Hrs. on 08/01/2023 .ESP kept shutdown for pressure build up.Recommend to keep ESP in off condition to avoid failure due to multiple start stops</t>
  </si>
  <si>
    <t>ESP tripped @1017 Hrs. on 07/01/2023 due to underload alarm. ESP kept shutdown for the pressure build up.Static intake pressure-1111PSI</t>
  </si>
  <si>
    <t>16.6/16.5/16.6</t>
  </si>
  <si>
    <t>1.16/0.94</t>
  </si>
  <si>
    <t>13.5/13.4/13.4</t>
  </si>
  <si>
    <t>ESP tripped @1017 Hrs. on 07/01/2023 due to underload alarm. ESP kept shutdown for the pressure build up.Static intake pressure-1171PSI</t>
  </si>
  <si>
    <t>0.184/0.035/0.132</t>
  </si>
  <si>
    <t>16.5/16.4/16.4</t>
  </si>
  <si>
    <t>1.4/1.27</t>
  </si>
  <si>
    <r>
      <rPr>
        <b/>
        <sz val="11"/>
        <color rgb="FFFF0000"/>
        <rFont val="Calibri"/>
        <family val="2"/>
        <charset val="204"/>
        <scheme val="minor"/>
      </rPr>
      <t>R9A#2</t>
    </r>
    <r>
      <rPr>
        <b/>
        <sz val="11"/>
        <rFont val="Calibri"/>
        <family val="2"/>
        <charset val="204"/>
        <scheme val="minor"/>
      </rPr>
      <t xml:space="preserve"> ESP restarted at 0747 hrs on 09/01/2023 after pressure buildup. </t>
    </r>
  </si>
  <si>
    <t xml:space="preserve">R9A#2 ESP ESP tripped at 0705 hrs on 08/01/2023 due to underload caused by low inflow. Kept shutdown for pressure buildup. R9A#2 ESP restarted at 0747 hrs on 09/01/2023 after pressure buildup. </t>
  </si>
  <si>
    <t>22.92+1.78 hrs</t>
  </si>
  <si>
    <t>0747 hrs</t>
  </si>
  <si>
    <t>R9A#2:ESP  tripped on underload @  Hrs. on 10/01/2023 .ESP kept shutdown for pressure build up.Recommend to keep ESP in off condition to avoid failure due to multiple start stops</t>
  </si>
  <si>
    <t>37,78</t>
  </si>
  <si>
    <t>13.4/13.4/13.3</t>
  </si>
  <si>
    <r>
      <rPr>
        <b/>
        <sz val="11"/>
        <color rgb="FFFF0000"/>
        <rFont val="Calibri"/>
        <family val="2"/>
        <charset val="204"/>
        <scheme val="minor"/>
      </rPr>
      <t>R9A#2</t>
    </r>
    <r>
      <rPr>
        <b/>
        <sz val="11"/>
        <rFont val="Calibri"/>
        <family val="2"/>
        <charset val="204"/>
        <scheme val="minor"/>
      </rPr>
      <t xml:space="preserve"> ESP ESP tripped at 1329  hrs on 10/01/2023 due to underload caused by low inflow. Kept shutdown for pressure buildup.</t>
    </r>
  </si>
  <si>
    <t>ESP tripped @1017 Hrs. on 07/01/2023 due to underload alarm. ESP kept shutdown for the pressure build up.Static intake pressure-1251PSI</t>
  </si>
  <si>
    <t>0.184/0.035/0.122</t>
  </si>
  <si>
    <t>Sajad</t>
  </si>
  <si>
    <t>1.28/1.24</t>
  </si>
  <si>
    <t>1329 Hrs</t>
  </si>
  <si>
    <t>714 hrs</t>
  </si>
  <si>
    <t>R9A#2 ESP ESP tripped at 1329  hrs on 10/01/2023 due to underload caused by low inflow. Kept shutdown for pressure buildup. R9A#2 ESP restarted at 0714 hrs on 11/01/2023 after pressure buildup</t>
  </si>
  <si>
    <t>16.52+1.23 hrs</t>
  </si>
  <si>
    <r>
      <rPr>
        <b/>
        <sz val="11"/>
        <color rgb="FFFF0000"/>
        <rFont val="Calibri"/>
        <family val="2"/>
        <charset val="204"/>
        <scheme val="minor"/>
      </rPr>
      <t>R9A#2</t>
    </r>
    <r>
      <rPr>
        <b/>
        <sz val="11"/>
        <rFont val="Calibri"/>
        <family val="2"/>
        <charset val="204"/>
        <scheme val="minor"/>
      </rPr>
      <t xml:space="preserve"> ESP restarted at 0714 hrs on 11/01/2023 after pressure buildup. </t>
    </r>
  </si>
  <si>
    <r>
      <rPr>
        <b/>
        <sz val="11"/>
        <color rgb="FFFF0000"/>
        <rFont val="Calibri"/>
        <family val="2"/>
        <charset val="204"/>
        <scheme val="minor"/>
      </rPr>
      <t>R9A#2</t>
    </r>
    <r>
      <rPr>
        <b/>
        <sz val="11"/>
        <rFont val="Calibri"/>
        <family val="2"/>
        <charset val="204"/>
        <scheme val="minor"/>
      </rPr>
      <t xml:space="preserve"> ESP ESP tripped at 0755  hrs on 12/01/2023 due to underload caused by low inflow. Kept shutdown for pressure buildup, </t>
    </r>
    <r>
      <rPr>
        <b/>
        <sz val="11"/>
        <color rgb="FFFF0000"/>
        <rFont val="Calibri"/>
        <family val="2"/>
        <charset val="204"/>
        <scheme val="minor"/>
      </rPr>
      <t>R9A#1</t>
    </r>
    <r>
      <rPr>
        <b/>
        <sz val="11"/>
        <rFont val="Calibri"/>
        <family val="2"/>
        <charset val="204"/>
        <scheme val="minor"/>
      </rPr>
      <t xml:space="preserve"> ESP restarted as per ONGC instruction at 1322 hrs on 12/01/2023 after pressure buildup</t>
    </r>
  </si>
  <si>
    <t>18.4/18.4/18,1</t>
  </si>
  <si>
    <t>R9A#2:ESP  tripped on underload @ 0755 Hrs. on 12/01/2023 .ESP kept shutdown for pressure build up.Recommend to keep ESP in off condition to avoid failure due to multiple start stops</t>
  </si>
  <si>
    <t>3.01/1.14</t>
  </si>
  <si>
    <t>13.4/13.3/13.2</t>
  </si>
  <si>
    <t>1322 Hrs</t>
  </si>
  <si>
    <t>7.36 Hrs</t>
  </si>
  <si>
    <t>R9A#1 ESP tripped at 1017 hrs on 07/01/2023 due to underload caused by low inflow. Kept shutdown for pressure buildup.  R9A#1 ESP restarted as per ONGC instruction at 1322 hrs on 12/01/2023 after pressure buildup</t>
  </si>
  <si>
    <r>
      <rPr>
        <b/>
        <sz val="11"/>
        <color rgb="FFFF0000"/>
        <rFont val="Calibri"/>
        <family val="2"/>
        <charset val="204"/>
        <scheme val="minor"/>
      </rPr>
      <t>R9A#2 ESP</t>
    </r>
    <r>
      <rPr>
        <b/>
        <sz val="11"/>
        <rFont val="Calibri"/>
        <family val="2"/>
        <charset val="204"/>
        <scheme val="minor"/>
      </rPr>
      <t xml:space="preserve"> restarted at 0730 hrs on 13/01/2023 after pressure buildup. </t>
    </r>
  </si>
  <si>
    <t>0730 hrs</t>
  </si>
  <si>
    <t>22.08+ 1.50 hrs</t>
  </si>
  <si>
    <t>R9A#2 ESP ESP tripped at 0755  hrs on 12/01/2023 due to underload caused by low inflow. Kept shutdown for pressure buildup,R9A#2 ESP restarted at 0730 hrs on 13/01/2023 after pressure buildup</t>
  </si>
  <si>
    <t>2.84/4.31</t>
  </si>
  <si>
    <t>0.94/0.45/0.122</t>
  </si>
  <si>
    <t>14.4314.3/14.3</t>
  </si>
  <si>
    <t>1.77/1.92</t>
  </si>
  <si>
    <t>13.3/13.2/13.1</t>
  </si>
  <si>
    <r>
      <rPr>
        <b/>
        <sz val="11"/>
        <color rgb="FFFF0000"/>
        <rFont val="Calibri"/>
        <family val="2"/>
        <charset val="204"/>
        <scheme val="minor"/>
      </rPr>
      <t>R9A#1</t>
    </r>
    <r>
      <rPr>
        <b/>
        <sz val="11"/>
        <rFont val="Calibri"/>
        <family val="2"/>
        <charset val="204"/>
        <scheme val="minor"/>
      </rPr>
      <t xml:space="preserve"> ESP tripped at 1610  hrs on 14/01/2023 due to underload caused by low inflow. Kept shutdown for pressure buildup,</t>
    </r>
    <r>
      <rPr>
        <b/>
        <sz val="11"/>
        <color rgb="FFFF0000"/>
        <rFont val="Calibri"/>
        <family val="2"/>
        <charset val="204"/>
        <scheme val="minor"/>
      </rPr>
      <t>R9A#2</t>
    </r>
    <r>
      <rPr>
        <b/>
        <sz val="11"/>
        <rFont val="Calibri"/>
        <family val="2"/>
        <charset val="204"/>
        <scheme val="minor"/>
      </rPr>
      <t xml:space="preserve"> ESP ESP tripped at 0940  hrs on 14/01/2023 due to underload caused by low inflow,</t>
    </r>
    <r>
      <rPr>
        <b/>
        <sz val="11"/>
        <color rgb="FFFF0000"/>
        <rFont val="Calibri"/>
        <family val="2"/>
        <charset val="204"/>
        <scheme val="minor"/>
      </rPr>
      <t xml:space="preserve">R9A#2 </t>
    </r>
    <r>
      <rPr>
        <b/>
        <sz val="11"/>
        <rFont val="Calibri"/>
        <family val="2"/>
        <charset val="204"/>
        <scheme val="minor"/>
      </rPr>
      <t>ESP restarted as per ONGC instruction at 1925 hrs on 14/01/2023 after pressure buildup</t>
    </r>
  </si>
  <si>
    <t>ESP tripped @1610 Hrs. on 14/01/2023 due to underload alarm. ESP kept shutdown for the pressure build up.Static intake pressure-1050 PSI</t>
  </si>
  <si>
    <t>0.16/0.45/0.077</t>
  </si>
  <si>
    <t>15.5/15.4.3/15.5</t>
  </si>
  <si>
    <t>1.53/1.39</t>
  </si>
  <si>
    <t>13.83 Hrs</t>
  </si>
  <si>
    <t>1925 hrs</t>
  </si>
  <si>
    <t>R9A#2 ESP ESP tripped at 0940  hrs on 14/01/2023 due to underload caused by low inflow. Kept shutdown for pressure buildup,R9A#2 ESP restarted at 1925 hrs on 14/01/2023 after pressure buildup</t>
  </si>
  <si>
    <t>ESP tripped @1610 Hrs. on 14/01/2023 due to underload alarm. ESP kept shutdown for the pressure build up.Static intake pressure-1075 PSI</t>
  </si>
  <si>
    <t>0.305/0.27/0.65</t>
  </si>
  <si>
    <t>15.6/15.4/15.5</t>
  </si>
  <si>
    <t>16/15.9./16</t>
  </si>
  <si>
    <t>2.01/1.02</t>
  </si>
  <si>
    <t>0605 hrs</t>
  </si>
  <si>
    <t>1725 hrs</t>
  </si>
  <si>
    <t>R9A#4 ESP tripped at  hrs on 15/01/2022 due to underload caused by high MLP,Restarted ESP after MLP dropped at 1725 hrs on 15/01/2023</t>
  </si>
  <si>
    <t>11.33 hrs</t>
  </si>
  <si>
    <r>
      <rPr>
        <b/>
        <sz val="11"/>
        <color rgb="FFFF0000"/>
        <rFont val="Calibri"/>
        <family val="2"/>
        <charset val="204"/>
        <scheme val="minor"/>
      </rPr>
      <t>R9A#4</t>
    </r>
    <r>
      <rPr>
        <b/>
        <sz val="11"/>
        <rFont val="Calibri"/>
        <family val="2"/>
        <charset val="204"/>
        <scheme val="minor"/>
      </rPr>
      <t xml:space="preserve"> ESP tripped at 0605 hrs on 15/01/2023 due to underload caused by high MLP. Restarted ESP after MLP dropped at 1725 hrs on 15/01/2023,</t>
    </r>
    <r>
      <rPr>
        <b/>
        <sz val="11"/>
        <color rgb="FFFF0000"/>
        <rFont val="Calibri"/>
        <family val="2"/>
        <charset val="204"/>
        <scheme val="minor"/>
      </rPr>
      <t>R9A#2</t>
    </r>
    <r>
      <rPr>
        <b/>
        <sz val="11"/>
        <rFont val="Calibri"/>
        <family val="2"/>
        <charset val="204"/>
        <scheme val="minor"/>
      </rPr>
      <t xml:space="preserve"> ESP ESP tripped at 0905  hrs on 15/01/2023 due to underload caused by low inflow,R9A#2 ESP restarted as per ONGC instruction at 2021 hrs on 15/01/2023 </t>
    </r>
  </si>
  <si>
    <t>2021 hrs</t>
  </si>
  <si>
    <t xml:space="preserve">11.27 hrs </t>
  </si>
  <si>
    <r>
      <rPr>
        <b/>
        <sz val="11"/>
        <color rgb="FFFF0000"/>
        <rFont val="Calibri"/>
        <family val="2"/>
        <charset val="204"/>
        <scheme val="minor"/>
      </rPr>
      <t>R9A#2 ESP</t>
    </r>
    <r>
      <rPr>
        <b/>
        <sz val="11"/>
        <rFont val="Calibri"/>
        <family val="2"/>
        <charset val="204"/>
        <scheme val="minor"/>
      </rPr>
      <t xml:space="preserve"> ESP tripped at 1416  hrs on 16/01/2023 due to underload caused by low inflow. Kept shutdown for pressure buildup</t>
    </r>
  </si>
  <si>
    <t>ESP tripped @1610 Hrs. on 14/01/2023 due to underload alarm. ESP kept shutdown for the pressure build up.Static intake pressure-1150 PSI</t>
  </si>
  <si>
    <t>R9A#2:ESP  tripped on underload @ 1416 Hrs. on 16/01/2023 .ESP kept shutdown for pressure build up.Recommend to keep ESP in off condition to avoid failure due to multiple start stops</t>
  </si>
  <si>
    <t>14.4/14.3./14.4</t>
  </si>
  <si>
    <t>1.8/1.21</t>
  </si>
  <si>
    <t>1416 hrs</t>
  </si>
  <si>
    <t>ESP tripped @1610 Hrs. on 14/01/2023 due to underload alarm. ESP kept shutdown for the pressure build up.Static intake pressure-1173 PSI</t>
  </si>
  <si>
    <t>0.18/0.34/0.152</t>
  </si>
  <si>
    <t>14.8/14.8./14.8</t>
  </si>
  <si>
    <t>R9A#2 ESP ESP tripped at 0905  hrs on 15/01/2023 due to underload caused by low inflow. Kept shutdown for pressure buildup,R9A#2 ESP restarted at 2021  hrs on 15/01/2023 after pressure buildup</t>
  </si>
  <si>
    <t>0812 HRS</t>
  </si>
  <si>
    <t>R9A#2 ESP ESP tripped at 1416  hrs on 16/01/2023 due to underload caused by low inflow. Kept shutdown for pressure buildup,,R9A#2 ESP restarted at 0812  hrs on 17/01/2023 after pressure buildup</t>
  </si>
  <si>
    <t xml:space="preserve">15.73+ 2.20 hrs </t>
  </si>
  <si>
    <t>ESP tripped @1610 Hrs. on 14/01/2023 due to underload alarm. ESP kept shutdown for the pressure build up.Static intake pressure-1220 PSI</t>
  </si>
  <si>
    <t>0.248/0.31/0.216</t>
  </si>
  <si>
    <t>12.6/12.6/12.6</t>
  </si>
  <si>
    <t>14.4/14.3./14.3</t>
  </si>
  <si>
    <t>ESP  TRIPPED</t>
  </si>
  <si>
    <r>
      <rPr>
        <b/>
        <sz val="11"/>
        <color rgb="FFFF0000"/>
        <rFont val="Calibri"/>
        <family val="2"/>
        <charset val="204"/>
        <scheme val="minor"/>
      </rPr>
      <t xml:space="preserve">R9A#2 </t>
    </r>
    <r>
      <rPr>
        <b/>
        <sz val="11"/>
        <rFont val="Calibri"/>
        <family val="2"/>
        <charset val="204"/>
        <scheme val="minor"/>
      </rPr>
      <t xml:space="preserve">ESP restarted as per ONGC Instruction at 0812  hrs on 17/01/2023 after pressure buildup. </t>
    </r>
    <r>
      <rPr>
        <b/>
        <sz val="11"/>
        <color rgb="FFFF0000"/>
        <rFont val="Calibri"/>
        <family val="2"/>
        <charset val="204"/>
        <scheme val="minor"/>
      </rPr>
      <t>R9A#5</t>
    </r>
    <r>
      <rPr>
        <b/>
        <sz val="11"/>
        <rFont val="Calibri"/>
        <family val="2"/>
        <charset val="204"/>
        <scheme val="minor"/>
      </rPr>
      <t xml:space="preserve"> ESP tripped due to power failure alarm at 1647 hrs on 17-01-23</t>
    </r>
  </si>
  <si>
    <t xml:space="preserve"> </t>
  </si>
  <si>
    <r>
      <rPr>
        <b/>
        <sz val="11"/>
        <color rgb="FFFF0000"/>
        <rFont val="Calibri"/>
        <family val="2"/>
        <charset val="204"/>
        <scheme val="minor"/>
      </rPr>
      <t xml:space="preserve">R9A#5 </t>
    </r>
    <r>
      <rPr>
        <b/>
        <sz val="11"/>
        <rFont val="Calibri"/>
        <family val="2"/>
        <charset val="204"/>
        <scheme val="minor"/>
      </rPr>
      <t xml:space="preserve">ESP restarted at 1400 hrs on 19/01/2023 </t>
    </r>
  </si>
  <si>
    <t>ESP tripped @1610 Hrs. on 14/01/2023 due to underload alarm. ESP kept shutdown for the pressure build up.Static intake pressure-1260 PSI</t>
  </si>
  <si>
    <t>0.180/0.48/0.184</t>
  </si>
  <si>
    <t>15.3/15.3/15.5</t>
  </si>
  <si>
    <t>14.4/14.4./14.4</t>
  </si>
  <si>
    <t>1647 hrs</t>
  </si>
  <si>
    <t>14 hrs</t>
  </si>
  <si>
    <t>13.22+24+8 hrs</t>
  </si>
  <si>
    <t>R9A#5 ESP tripped at 1647 hrs on 17-01-23 due to power failure alarm cuased by input voltage sudden drop, Restarted ESP in reverse rotation at 1340 hrs on 19-01-23, M/S at 1350 hrs, Started in Right rotation at 1400 hrs on 19-01-23</t>
  </si>
  <si>
    <t>ESP tripped @1610 Hrs. on 14/01/2023 due to underload alarm. ESP kept shutdown for the pressure build up.Static intake pressure-1280 PSI</t>
  </si>
  <si>
    <t>0.158/0.29/0.131</t>
  </si>
  <si>
    <t>14.6/14.5./14.6</t>
  </si>
  <si>
    <t>1.84/2.58</t>
  </si>
  <si>
    <t>R9A#2:ESP  tripped on underload @ 1404 Hrs. on 21/01/2023 .ESP kept shutdown for pressure build up.Recommend to keep ESP in off condition to avoid failure due to multiple start stops</t>
  </si>
  <si>
    <t>14.1/14.0./14.1</t>
  </si>
  <si>
    <t>2045 hrs</t>
  </si>
  <si>
    <t>R9A#1 ESP tripped at 1610 hrs on 14/01/2023 due to underload caused by low inflow. Kept shutdown for pressure buildup. R9A#1 ESP restarted as per ONGC instruction at 2045 hrs on 21/01/2023 after pressure buildup</t>
  </si>
  <si>
    <t>1404 hrs</t>
  </si>
  <si>
    <t>1.62/3.99</t>
  </si>
  <si>
    <t>17.6/17.6/17.4</t>
  </si>
  <si>
    <t>0.107/0.32/0.31</t>
  </si>
  <si>
    <t>15.7/15.7./15.7</t>
  </si>
  <si>
    <t>14.6/14.4/14.4</t>
  </si>
  <si>
    <t>R9A#2 ESP ESP tripped at 1404  hrs on 21/01/2023 due to underload caused by low inflow. Kept shutdown for pressure buildup,R9A#2 ESP restarted at 1500  hrs on 22/01/2023 after pressure buildup</t>
  </si>
  <si>
    <t>1500 hrs</t>
  </si>
  <si>
    <t>15.93+9 hrs</t>
  </si>
  <si>
    <r>
      <t>R9A#2</t>
    </r>
    <r>
      <rPr>
        <b/>
        <sz val="11"/>
        <rFont val="Calibri"/>
        <family val="2"/>
        <charset val="204"/>
        <scheme val="minor"/>
      </rPr>
      <t xml:space="preserve"> ESP tripped at 1404  hrs on 21/01/2023 due to underload caused by low inflow. Kept shutdown for pressure buildup,</t>
    </r>
    <r>
      <rPr>
        <b/>
        <sz val="11"/>
        <color rgb="FFC00000"/>
        <rFont val="Calibri"/>
        <family val="2"/>
        <charset val="204"/>
        <scheme val="minor"/>
      </rPr>
      <t>R9A#1</t>
    </r>
    <r>
      <rPr>
        <b/>
        <sz val="11"/>
        <rFont val="Calibri"/>
        <family val="2"/>
        <charset val="204"/>
        <scheme val="minor"/>
      </rPr>
      <t xml:space="preserve"> ESP restarted as per ONGC instruction at 2045 hrs on 21/01/2023 after pressure buildup</t>
    </r>
  </si>
  <si>
    <r>
      <rPr>
        <b/>
        <sz val="11"/>
        <color rgb="FFFF0000"/>
        <rFont val="Calibri"/>
        <family val="2"/>
        <charset val="204"/>
        <scheme val="minor"/>
      </rPr>
      <t xml:space="preserve">R9A#1 </t>
    </r>
    <r>
      <rPr>
        <b/>
        <sz val="11"/>
        <rFont val="Calibri"/>
        <family val="2"/>
        <charset val="204"/>
        <scheme val="minor"/>
      </rPr>
      <t xml:space="preserve"> ESP tripped at 1956  hrs on 23/01/2023 due to underload caused by low inflow. Kept shutdown for pressure buildup,</t>
    </r>
    <r>
      <rPr>
        <b/>
        <sz val="11"/>
        <color rgb="FFFF0000"/>
        <rFont val="Calibri"/>
        <family val="2"/>
        <charset val="204"/>
        <scheme val="minor"/>
      </rPr>
      <t>R9A#2</t>
    </r>
    <r>
      <rPr>
        <b/>
        <sz val="11"/>
        <rFont val="Calibri"/>
        <family val="2"/>
        <charset val="204"/>
        <scheme val="minor"/>
      </rPr>
      <t xml:space="preserve"> ESP tripped at 1935  hrs on 23/01/2023 due to underload caused by low inflow. Kept shutdown for pressure buildup</t>
    </r>
  </si>
  <si>
    <t>ESP tripped @1956 Hrs. on 23/01/2023 due to underload alarm. ESP kept shutdown for the pressure build up.Static intake pressure-950 PSI</t>
  </si>
  <si>
    <t>R9A#2:ESP  tripped on underload @ 1935 Hrs. on 23/01/2023 .ESP kept shutdown for pressure build up.Recommend to keep ESP in off condition to avoid failure due to multiple start stops</t>
  </si>
  <si>
    <t>14.6/14.6./14.6</t>
  </si>
  <si>
    <t>1956 Hrs</t>
  </si>
  <si>
    <t>1935 hrs</t>
  </si>
  <si>
    <t>ESP tripped @1956 Hrs. on 23/01/2023 due to underload alarm. ESP kept shutdown for the pressure build up.Static intake pressure-1050 PSI</t>
  </si>
  <si>
    <r>
      <rPr>
        <b/>
        <sz val="11"/>
        <color rgb="FFFF0000"/>
        <rFont val="Calibri"/>
        <family val="2"/>
        <charset val="204"/>
        <scheme val="minor"/>
      </rPr>
      <t>R9A#2</t>
    </r>
    <r>
      <rPr>
        <b/>
        <sz val="11"/>
        <rFont val="Calibri"/>
        <family val="2"/>
        <charset val="204"/>
        <scheme val="minor"/>
      </rPr>
      <t xml:space="preserve"> ESP restarted as per ONGC instruction at 1500 hrs on 22/01/2023 after pressure buildup</t>
    </r>
  </si>
  <si>
    <r>
      <rPr>
        <b/>
        <sz val="11"/>
        <color rgb="FFFF0000"/>
        <rFont val="Calibri"/>
        <family val="2"/>
        <charset val="204"/>
        <scheme val="minor"/>
      </rPr>
      <t xml:space="preserve">R9A#2 </t>
    </r>
    <r>
      <rPr>
        <b/>
        <sz val="11"/>
        <rFont val="Calibri"/>
        <family val="2"/>
        <charset val="204"/>
        <scheme val="minor"/>
      </rPr>
      <t>ESP restarted as per ONGC instruction at 1325 hrs on 25/01/2023 after pressure buildup</t>
    </r>
  </si>
  <si>
    <t>ESP tripped @1956 Hrs. on 23/01/2023 due to underload alarm. ESP kept shutdown for the pressure build up.Static intake pressure-1123 PSI</t>
  </si>
  <si>
    <t>0.63/0.24/0.56</t>
  </si>
  <si>
    <t>16.5/16.5./16.5</t>
  </si>
  <si>
    <t>Sensor readings lost on 18-01-23</t>
  </si>
  <si>
    <t>R9A#2 ESP ESP tripped at 1935 hrs on 23/01/2023 due to underload caused by low inflow. Kept shutdown for pressure buildup,,R9A#2 ESP restarted at 1325  hrs on 25/01/2023 after pressure buildup</t>
  </si>
  <si>
    <t>1325 hrs</t>
  </si>
  <si>
    <t>7.41 hrs</t>
  </si>
  <si>
    <t>ESP tripped @1956 Hrs. on 23/01/2023 due to underload alarm. ESP kept shutdown for the pressure build up.Static intake pressure-1170 PSI</t>
  </si>
  <si>
    <t>0.158/0.28/0.79</t>
  </si>
  <si>
    <t>15.0/15.0/15.1</t>
  </si>
  <si>
    <t>14.7/14.7./14.6</t>
  </si>
  <si>
    <r>
      <rPr>
        <b/>
        <sz val="11"/>
        <color rgb="FFFF0000"/>
        <rFont val="Calibri"/>
        <family val="2"/>
        <charset val="204"/>
        <scheme val="minor"/>
      </rPr>
      <t>R9A#2</t>
    </r>
    <r>
      <rPr>
        <b/>
        <sz val="11"/>
        <rFont val="Calibri"/>
        <family val="2"/>
        <charset val="204"/>
        <scheme val="minor"/>
      </rPr>
      <t xml:space="preserve"> ESP tripped at 0130  hrs on 27/01/2023 due to underload caused by low inflow. Kept shutdown for pressure buildup</t>
    </r>
  </si>
  <si>
    <t>ESP tripped @1956 Hrs. on 23/01/2023 due to underload alarm. ESP kept shutdown for the pressure build up.Static intake pressure-1220 PSI</t>
  </si>
  <si>
    <t>R9A#2:ESP  tripped on underload @ 130Hrs. on 27/01/2023 .ESP kept shutdown for pressure build up.Recommend to keep ESP in off condition to avoid failure due to multiple start stops</t>
  </si>
  <si>
    <t>14.7/14.7./14.7</t>
  </si>
  <si>
    <t>0130 hrs</t>
  </si>
  <si>
    <t>0.179/0.35/0.64</t>
  </si>
  <si>
    <t>14.3/14.3./14.3</t>
  </si>
  <si>
    <t>R9A#2 ESP ESP tripped at 0130 hrs on 27/01/2023 due to underload caused by low inflow. Kept shutdown for pressure buildup,R9A#2 ESP restarted at 0900  hrs on 28/01/2023 after pressure buildup</t>
  </si>
  <si>
    <t>0900 hrs</t>
  </si>
  <si>
    <t>4.50 +24+3  hrs</t>
  </si>
  <si>
    <r>
      <rPr>
        <b/>
        <sz val="11"/>
        <color rgb="FFFF0000"/>
        <rFont val="Calibri"/>
        <family val="2"/>
        <charset val="204"/>
        <scheme val="minor"/>
      </rPr>
      <t>R9A#2</t>
    </r>
    <r>
      <rPr>
        <b/>
        <sz val="11"/>
        <rFont val="Calibri"/>
        <family val="2"/>
        <charset val="204"/>
        <scheme val="minor"/>
      </rPr>
      <t xml:space="preserve"> ESP restarted as per ONGC instruction at 0900 hrs on 28/01/2023 after pressure buildup,</t>
    </r>
    <r>
      <rPr>
        <b/>
        <sz val="11"/>
        <color rgb="FFFF0000"/>
        <rFont val="Calibri"/>
        <family val="2"/>
        <charset val="204"/>
        <scheme val="minor"/>
      </rPr>
      <t>R9A#2</t>
    </r>
    <r>
      <rPr>
        <b/>
        <sz val="11"/>
        <rFont val="Calibri"/>
        <family val="2"/>
        <charset val="204"/>
        <scheme val="minor"/>
      </rPr>
      <t xml:space="preserve"> ESP tripped at 0217  hrs on 29/01/2023 due to underload caused by low inflow. Kept shutdown for pressure buildup</t>
    </r>
  </si>
  <si>
    <t>ESP tripped @1956 Hrs. on 23/01/2023 due to underload alarm. ESP kept shutdown for the pressure build up.Static intake pressure-12870PSI</t>
  </si>
  <si>
    <t>ESP tripped @1956 Hrs. on 23/01/2023 due to underload alarm. ESP kept shutdown for the pressure build up.Static intake pressure-1250 PSI</t>
  </si>
  <si>
    <t>R9A#2:ESP  tripped on underload @ 0217 hrs. on 29/01/2023 .ESP kept shutdown for pressure build up.Recommend to keep ESP in off condition to avoid failure due to multiple start stops</t>
  </si>
  <si>
    <t>15/14.9./15</t>
  </si>
  <si>
    <t>0217  hrs</t>
  </si>
  <si>
    <t>R9A#2 ESP ESP tripped at 0217 hrs on 29/01/2023 due to underload caused by low inflow. Kept shutdown for pressure buildup,,R9A#2 ESP restarted at 0915  hrs on 30/01/2023 after pressure buildup</t>
  </si>
  <si>
    <t>6.71+24+3.25   hrs</t>
  </si>
  <si>
    <r>
      <rPr>
        <b/>
        <sz val="11"/>
        <color rgb="FFFF0000"/>
        <rFont val="Calibri"/>
        <family val="2"/>
        <charset val="204"/>
        <scheme val="minor"/>
      </rPr>
      <t>R9A#2</t>
    </r>
    <r>
      <rPr>
        <b/>
        <sz val="11"/>
        <rFont val="Calibri"/>
        <family val="2"/>
        <charset val="204"/>
        <scheme val="minor"/>
      </rPr>
      <t xml:space="preserve"> ESP restarted as per ONGC instruction at 0915 hrs on 30/01/2023 after pressure buildup</t>
    </r>
  </si>
  <si>
    <t xml:space="preserve">R9A#2 ESP tripped at 1934 hrs on 04/01/2023 due to underload caused by suspected low inflow. Kept shutdown for pressure buildup. R9A#2 ESP restarted as per ONGC instruction at 1132 hrs on 05/01/2023 after pressure buildup. </t>
  </si>
  <si>
    <t>10.43+5.53 hrs</t>
  </si>
  <si>
    <t>15.03+3.55 Hrs</t>
  </si>
  <si>
    <t>ESP tripped @1956 Hrs. on 23/01/2023 due to underload alarm. ESP kept shutdown for the pressure build up.Static intake pressure-1300PSI</t>
  </si>
  <si>
    <t>0.194/0.28/0.106</t>
  </si>
  <si>
    <t>15.1/15.0./15.1</t>
  </si>
  <si>
    <t>915  hrs</t>
  </si>
  <si>
    <t>ESP tripped @1956 Hrs. on 23/01/2023 due to underload alarm. ESP kept shutdown for the pressure build up.Static intake pressure-1320PSI</t>
  </si>
  <si>
    <t>0.24/0.20/0.48</t>
  </si>
  <si>
    <t>13.9/13.9/13.7</t>
  </si>
  <si>
    <r>
      <rPr>
        <b/>
        <sz val="11"/>
        <color rgb="FFFF0000"/>
        <rFont val="Calibri"/>
        <family val="2"/>
        <charset val="204"/>
        <scheme val="minor"/>
      </rPr>
      <t xml:space="preserve">R9A#1  </t>
    </r>
    <r>
      <rPr>
        <b/>
        <sz val="11"/>
        <rFont val="Calibri"/>
        <family val="2"/>
        <charset val="204"/>
        <scheme val="minor"/>
      </rPr>
      <t>ESP restarted at 0915 hrs on 01/02/2023 after pressure buildup</t>
    </r>
  </si>
  <si>
    <t>2.15/3.90</t>
  </si>
  <si>
    <t>18.2/18.2/18</t>
  </si>
  <si>
    <t>0.202/0.27/0.150</t>
  </si>
  <si>
    <t>14.7/14.6./14.7</t>
  </si>
  <si>
    <t>R9A#1 ESP tripped at 1956 hrs on 23/01/2023 due to underload caused by low inflow. Kept shutdown for pressure buildup,R9A#1 ESP restarted as per ONGC instruction at 0915 hrs on 01/02/2023 after pressure buildup</t>
  </si>
  <si>
    <t>0915 hrs</t>
  </si>
  <si>
    <t>3.25 hrs</t>
  </si>
  <si>
    <t>10.06 hrs</t>
  </si>
  <si>
    <t>1.86/5.20</t>
  </si>
  <si>
    <t>0.348/0.29/0.228</t>
  </si>
  <si>
    <t>14.2/14.2./14.2</t>
  </si>
  <si>
    <t>8,2</t>
  </si>
  <si>
    <r>
      <rPr>
        <b/>
        <sz val="11"/>
        <color rgb="FFFF0000"/>
        <rFont val="Calibri"/>
        <family val="2"/>
        <charset val="204"/>
        <scheme val="minor"/>
      </rPr>
      <t xml:space="preserve">R9A#1 </t>
    </r>
    <r>
      <rPr>
        <b/>
        <sz val="11"/>
        <rFont val="Calibri"/>
        <family val="2"/>
        <charset val="204"/>
        <scheme val="minor"/>
      </rPr>
      <t xml:space="preserve"> ESP tripped at 1430  hrs on 03/02/2023 due to underload caused by low inflow. Kept shutdown for pressure buildup,</t>
    </r>
    <r>
      <rPr>
        <b/>
        <sz val="11"/>
        <color rgb="FFFF0000"/>
        <rFont val="Calibri"/>
        <family val="2"/>
        <charset val="204"/>
        <scheme val="minor"/>
      </rPr>
      <t>R9A#2</t>
    </r>
    <r>
      <rPr>
        <b/>
        <sz val="11"/>
        <rFont val="Calibri"/>
        <family val="2"/>
        <charset val="204"/>
        <scheme val="minor"/>
      </rPr>
      <t xml:space="preserve">  ESP restarted at 1522 hrs on 03/02/2023 after pressure buildup</t>
    </r>
  </si>
  <si>
    <r>
      <rPr>
        <b/>
        <sz val="11"/>
        <color rgb="FFFF0000"/>
        <rFont val="Calibri"/>
        <family val="2"/>
        <charset val="204"/>
        <scheme val="minor"/>
      </rPr>
      <t>R9A#2 ESP</t>
    </r>
    <r>
      <rPr>
        <b/>
        <sz val="11"/>
        <rFont val="Calibri"/>
        <family val="2"/>
        <charset val="204"/>
        <scheme val="minor"/>
      </rPr>
      <t xml:space="preserve"> tripped at 0037  hrs on 03/02/2023 due to underload caused by low inflow</t>
    </r>
  </si>
  <si>
    <t>ESP tripped @1430 Hrs. on 03/02/2023 due to underload alarm. ESP kept shutdown for the pressure build up.Static intake pressure-900PSI</t>
  </si>
  <si>
    <t>0.119/0.31/0.127</t>
  </si>
  <si>
    <t>15.5/15.5/15.4</t>
  </si>
  <si>
    <t>1430 Hrs</t>
  </si>
  <si>
    <t>15.50 hrs</t>
  </si>
  <si>
    <t>0037  hrs</t>
  </si>
  <si>
    <t>1522  hrs</t>
  </si>
  <si>
    <t>5.38+9.36   hrs</t>
  </si>
  <si>
    <t>R9A#2 ESP ESP tripped at 0037 hrs on 03/01/2023 due to underload caused by low inflow. Kept shutdown for pressure buildup,,R9A#2 ESP restarted at 1522  hrs on 03/02/2023 after pressure buildup</t>
  </si>
  <si>
    <t>ESP tripped @1430 Hrs. on 03/02/2023 due to underload alarm. ESP kept shutdown for the pressure build up.Static intake pressure-1050 PSI</t>
  </si>
  <si>
    <t>0.89/0.41/0.116</t>
  </si>
  <si>
    <t>13.8/13.8/14</t>
  </si>
  <si>
    <r>
      <rPr>
        <b/>
        <sz val="11"/>
        <color rgb="FFFF0000"/>
        <rFont val="Calibri"/>
        <family val="2"/>
        <charset val="204"/>
        <scheme val="minor"/>
      </rPr>
      <t>R9A#1</t>
    </r>
    <r>
      <rPr>
        <b/>
        <sz val="11"/>
        <rFont val="Calibri"/>
        <family val="2"/>
        <charset val="204"/>
        <scheme val="minor"/>
      </rPr>
      <t xml:space="preserve">  ESP tripped at 0421  hrs on 05/02/2023 due to underload caused by low inflow</t>
    </r>
  </si>
  <si>
    <r>
      <rPr>
        <b/>
        <sz val="11"/>
        <color rgb="FFFF0000"/>
        <rFont val="Calibri"/>
        <family val="2"/>
        <charset val="204"/>
        <scheme val="minor"/>
      </rPr>
      <t>R9A#2</t>
    </r>
    <r>
      <rPr>
        <b/>
        <sz val="11"/>
        <rFont val="Calibri"/>
        <family val="2"/>
        <charset val="204"/>
        <scheme val="minor"/>
      </rPr>
      <t xml:space="preserve">  ESP restarted at 0900 hrs on 05/02/2023 after pressure buildup,</t>
    </r>
    <r>
      <rPr>
        <b/>
        <sz val="11"/>
        <color rgb="FFFF0000"/>
        <rFont val="Calibri"/>
        <family val="2"/>
        <charset val="204"/>
        <scheme val="minor"/>
      </rPr>
      <t>R9A#2</t>
    </r>
    <r>
      <rPr>
        <b/>
        <sz val="11"/>
        <rFont val="Calibri"/>
        <family val="2"/>
        <charset val="204"/>
        <scheme val="minor"/>
      </rPr>
      <t xml:space="preserve"> ESP tripped at 1741  hrs on 05/02/2023 due to underload caused by low inflow</t>
    </r>
    <r>
      <rPr>
        <b/>
        <sz val="11"/>
        <color rgb="FFFF0000"/>
        <rFont val="Calibri"/>
        <family val="2"/>
        <charset val="204"/>
        <scheme val="minor"/>
      </rPr>
      <t xml:space="preserve">,R9A#2 </t>
    </r>
    <r>
      <rPr>
        <b/>
        <sz val="11"/>
        <rFont val="Calibri"/>
        <family val="2"/>
        <charset val="204"/>
        <scheme val="minor"/>
      </rPr>
      <t xml:space="preserve"> As per ONGC ESP restarted at 2300 hrs on 05/02/2023 after pressure buildup</t>
    </r>
  </si>
  <si>
    <t>ESP tripped @1430 Hrs. on 03/02/2023 due to underload alarm. ESP kept shutdown for the pressure build up.Static intake pressure-1140 PSI</t>
  </si>
  <si>
    <t>R9A#2:ESP  tripped on underload @ 1741 hrs. on 05/02/2023 .ESP kept shutdown for pressure build up.Recommend to keep ESP in off condition to avoid failure due to multiple start stops</t>
  </si>
  <si>
    <t>0421  hrs</t>
  </si>
  <si>
    <t>0900  hrs</t>
  </si>
  <si>
    <t>1.65+3  hrs</t>
  </si>
  <si>
    <t>R9A#2 ESP ESP tripped at 0421 hrs on 05/02/2023 due to underload caused by low inflow. Kept shutdown for pressure buildup,,R9A#2 ESP restarted at 0900 hrs on 05/02/2023 after pressure buildup</t>
  </si>
  <si>
    <t>1741  hrs</t>
  </si>
  <si>
    <t>2300  hrs</t>
  </si>
  <si>
    <t>5.31 Hrs</t>
  </si>
  <si>
    <t>R9A#2 ESP ESP tripped at 1741 hrs on 05/02/2023 due to underload caused by low inflow. Kept shutdown for pressure buildup,,R9A#2 ESP restarted at 2300 hrs on 05/02/2023 after pressure buildup</t>
  </si>
  <si>
    <t>ESP tripped @1430 Hrs. on 03/02/2023 due to underload alarm. ESP kept shutdown for the pressure build up.Static intake pressure-1200 PSI</t>
  </si>
  <si>
    <t>0.48/0.48/0.46</t>
  </si>
  <si>
    <t>13.7/13.6/13.4</t>
  </si>
  <si>
    <r>
      <rPr>
        <b/>
        <sz val="11"/>
        <color rgb="FFFF0000"/>
        <rFont val="Calibri"/>
        <family val="2"/>
        <charset val="204"/>
        <scheme val="minor"/>
      </rPr>
      <t xml:space="preserve">R9A#2 </t>
    </r>
    <r>
      <rPr>
        <b/>
        <sz val="11"/>
        <rFont val="Calibri"/>
        <family val="2"/>
        <charset val="204"/>
        <scheme val="minor"/>
      </rPr>
      <t>ESP tripped at 1217  hrs on 07/02/2023 due to underload caused by low inflow</t>
    </r>
  </si>
  <si>
    <t>ESP tripped @1430 Hrs. on 03/02/2023 due to underload alarm. ESP kept shutdown for the pressure build up.Static intake pressure-1240 PSI</t>
  </si>
  <si>
    <t>R9A#2:ESP  tripped on underload @ 1217 hrs. on 07/02/2023 .ESP kept shutdown for pressure build up.Recommend to keep ESP in off condition to avoid failure due to multiple start stops</t>
  </si>
  <si>
    <t>13.7/13.7/13.5</t>
  </si>
  <si>
    <t>1217  hrs</t>
  </si>
  <si>
    <t>Total running hours feb 2023</t>
  </si>
  <si>
    <t>Total shutdown hours due to ONGC  feb  2022</t>
  </si>
  <si>
    <t>Total shutdown hours due to Novomet Feb 2022</t>
  </si>
  <si>
    <t>ESP tripped @1430 Hrs. on 03/02/2023 due to underload alarm. ESP kept shutdown for the pressure build up.Static intake pressure-1280 PSI</t>
  </si>
  <si>
    <t>0.202/0.60/0.146</t>
  </si>
  <si>
    <t>14.2/14.2/14.1</t>
  </si>
  <si>
    <t>R9A#2 ESP ESP tripped at 1217 hrs on 07/02/2023 due to underload caused by low inflow. Kept shutdown for pressure buildup,,R9A#2 ESP restarted at 1710 hrs on 08/02/2023 after pressure buildup</t>
  </si>
  <si>
    <t>1710 hrs</t>
  </si>
  <si>
    <t>11.16 hrs</t>
  </si>
  <si>
    <t>0448 Hrs</t>
  </si>
  <si>
    <t>1.81/1.92</t>
  </si>
  <si>
    <t>18.3/18.4/18.1</t>
  </si>
  <si>
    <t>0.180/0.040/0.105</t>
  </si>
  <si>
    <t>15/15.1/15.1</t>
  </si>
  <si>
    <t>1640 Hrs</t>
  </si>
  <si>
    <t>1.2+10.67 Hrs</t>
  </si>
  <si>
    <t>0924 Hrs</t>
  </si>
  <si>
    <t>3.4 Hrs</t>
  </si>
  <si>
    <t>R9A#1 ESP tripped at 1430 hrs on 03/02/2023 due to underload caused by low inflow. Kept shutdown for pressure buildup. As per ONGC instruction ESP restarted @ 0924 Hrs. on 09/02/2023. Static Intake pressure was 1256 PSI.</t>
  </si>
  <si>
    <t xml:space="preserve">R9A#1:As per ONGC instruction ESP restarted @ 0924 Hrs. on 09/02/2023. Static Intake pressure was 1256 PSI. </t>
  </si>
  <si>
    <t xml:space="preserve"> ESP tripped on overload alarm @0448 Hrs. on 09/02/2023.Observed FAT is increased 29.5 deg.C to 44.5 deg.C before the trip. after few minutes FAT gradually reducing trend. Suspect natural flow caused the Overload trip. Well tried to start again and tripped on overload. Checked surface equipment status and confirmed its working condition.tried to start the ESP with forward and reverse direction with diffrent types of start up modes.(Jogging mode,Swinging mode,WIth sychronisation mode ).ESP started withswinging mode @1640 Hrs. on 09/02/2023.Running frequency gradually increased to 55 Hz. </t>
  </si>
  <si>
    <r>
      <rPr>
        <b/>
        <sz val="11"/>
        <color rgb="FFFF0000"/>
        <rFont val="Calibri"/>
        <family val="2"/>
        <charset val="204"/>
        <scheme val="minor"/>
      </rPr>
      <t xml:space="preserve">R9A#2  </t>
    </r>
    <r>
      <rPr>
        <b/>
        <sz val="11"/>
        <rFont val="Calibri"/>
        <family val="2"/>
        <charset val="204"/>
        <scheme val="minor"/>
      </rPr>
      <t xml:space="preserve">ESP restarted at 1710 hrs on 08/02/2023 after pressure buildup.                </t>
    </r>
    <r>
      <rPr>
        <b/>
        <sz val="11"/>
        <color rgb="FFFF0000"/>
        <rFont val="Calibri"/>
        <family val="2"/>
        <charset val="204"/>
        <scheme val="minor"/>
      </rPr>
      <t>R9A#5</t>
    </r>
    <r>
      <rPr>
        <b/>
        <sz val="11"/>
        <rFont val="Calibri"/>
        <family val="2"/>
        <charset val="204"/>
        <scheme val="minor"/>
      </rPr>
      <t xml:space="preserve">: ESP tripped on overload alarm @0448 Hrs. on 09/02/2023.Observed FAT is increased 29.5 deg.C to 44.5 deg.C before the trip. after few minutes FAT gradually reducing trend. Suspect natural flow caused the Overload trip. Well tried to start again and tripped on overload. Checked surface equipment status and confirmed its working condition.tried to start the ESP with forward and reverse direction with diffrent types of start up modes.(Jogging mode,Swinging mode,WIth sychronisation mode ).ESP started withswinging mode @1640 Hrs. on 09/02/2023.Running frequency gradually increased to 56 Hz.                                         </t>
    </r>
    <r>
      <rPr>
        <b/>
        <sz val="11"/>
        <color rgb="FFFF0000"/>
        <rFont val="Calibri"/>
        <family val="2"/>
        <charset val="204"/>
        <scheme val="minor"/>
      </rPr>
      <t>R9A#1:</t>
    </r>
    <r>
      <rPr>
        <b/>
        <sz val="11"/>
        <rFont val="Calibri"/>
        <family val="2"/>
        <charset val="204"/>
        <scheme val="minor"/>
      </rPr>
      <t xml:space="preserve">As per ONGC instruction ESP restarted @ 0924 Hrs. on 09/02/2023. Static Intake pressure was 1256 PSI. </t>
    </r>
  </si>
  <si>
    <t xml:space="preserve">R9A#5: ESP tripped on overload alarm @0448 Hrs. on 09/02/2023.Observed FAT is increased 29.5 deg.C to 44.5 deg.C before the trip. after few minutes FAT gradually reducing trend. Suspect natural flow caused the Overload trip. Well tried to start again and tripped on overload. Checked surface equipment status and confirmed its working condition.tried to start the ESP with forward and reverse direction with diffrent types of start up modes.(Jogging mode,Swinging mode,WIth sychronisation mode ).ESP started withswinging mode @1640 Hrs. on 09/02/2023.Running frequency gradually increased to 56 Hz. </t>
  </si>
  <si>
    <t>R9A#2: ESP tripped @ 0010 Hrs. on 10/02/2023 due to underload alarm caused by low inflow. ESP keptshutdown for pressure build up.</t>
  </si>
  <si>
    <t>2.81/6.77</t>
  </si>
  <si>
    <t>0.223/0.029/0.153</t>
  </si>
  <si>
    <t>14/13.9/13.7</t>
  </si>
  <si>
    <t>5.83 +16</t>
  </si>
  <si>
    <t>R9A#2: ESP tripped @ 0010 Hrs. on 10/02/2023 due to underload alarm caused by low inflow. ESP keptshutdown for pressure build up.ESP restarted @ 2200 Hrs. on 10/02/2023.</t>
  </si>
  <si>
    <t>0.125/0.058/0.105</t>
  </si>
  <si>
    <t>1832 Hrs</t>
  </si>
  <si>
    <t>R9A#1: ESP tripped on the underload alarm @1832 Hrs. on 11/02/2023 caused by low inflow. ESP kept shutdown for pressure build up.</t>
  </si>
  <si>
    <t>11.47 Hrs</t>
  </si>
  <si>
    <t>2327 Hrs</t>
  </si>
  <si>
    <t>R9A#2: ESP tripped @2327 Hrs. on 11/02/2023 due to the underload alarm caused by low inflow. ESP not yet started. Waiting for the pressure build up.</t>
  </si>
  <si>
    <t>R9A#1: ESP tripped on the underload alarm @1832 Hrs. on 11/02/2023 caused by low inflow. ESP kept shutdown for pressure build up. Static Intake pressure-1044 PSI</t>
  </si>
  <si>
    <t>0.209/0.033/0.052</t>
  </si>
  <si>
    <t>1033 Hrs</t>
  </si>
  <si>
    <t>6.55 +4.55 Hrs</t>
  </si>
  <si>
    <t>R9A#2: ESP tripped @2327 Hrs. on 11/02/2023 due to the underload alarm caused by low inflow. ESP not yet started. Waiting for the pressure build up.ESP restarted @ 1033 Hrs. on 12/02/2023.</t>
  </si>
  <si>
    <r>
      <rPr>
        <b/>
        <sz val="11"/>
        <color rgb="FFFF0000"/>
        <rFont val="Calibri"/>
        <family val="2"/>
        <charset val="204"/>
        <scheme val="minor"/>
      </rPr>
      <t>R9A#1:</t>
    </r>
    <r>
      <rPr>
        <b/>
        <sz val="11"/>
        <rFont val="Calibri"/>
        <family val="2"/>
        <charset val="204"/>
        <scheme val="minor"/>
      </rPr>
      <t xml:space="preserve"> ESP tripped on the underload alarm @1832 Hrs. on 11/02/2023 caused by low inflow. ESP kept shutdown for pressure build up.                                                            </t>
    </r>
    <r>
      <rPr>
        <b/>
        <sz val="11"/>
        <color rgb="FFFF0000"/>
        <rFont val="Calibri"/>
        <family val="2"/>
        <charset val="204"/>
        <scheme val="minor"/>
      </rPr>
      <t xml:space="preserve">R9A#2: </t>
    </r>
    <r>
      <rPr>
        <b/>
        <sz val="11"/>
        <rFont val="Calibri"/>
        <family val="2"/>
        <charset val="204"/>
        <scheme val="minor"/>
      </rPr>
      <t>ESP tripped @2327 Hrs. on 11/02/2023 due to the underload alarm caused by low inflow. ESP not yet started. Waiting for the pressure build up.ESP restarted @ 1033 Hrs. on 12/02/2023.</t>
    </r>
  </si>
  <si>
    <t>R9A#1: ESP tripped on the underload alarm @1832 Hrs. on 11/02/2023 caused by low inflow. ESP kept shutdown for pressure build up. Static Intake pressure-1071 PSI</t>
  </si>
  <si>
    <t>0.362/0.033/0.220</t>
  </si>
  <si>
    <t>R9A#2: ESP again tripped on the underload @ 0210 Hrs. on 13/02/2023 caused by low inflow. ESP kept shutdown  for pressure build up.ESP restarted @ 1720 Hrs. on 13/02/2023.</t>
  </si>
  <si>
    <t>3.83+11.33  Hrs</t>
  </si>
  <si>
    <t>R9A#1: ESP tripped on the underload alarm @1832 Hrs. on 11/02/2023 caused by low inflow. ESP kept shutdown for pressure build up. Static Intake pressure-1152PSI</t>
  </si>
  <si>
    <t>Frequency ramp up 57 Hz from 56 Hz due to low FAT</t>
  </si>
  <si>
    <t>1759 Hrs</t>
  </si>
  <si>
    <t>R9A#2: ESP again tripped on the underload @ 1759 Hrs. on 14/02/2023 caused by low inflow. ESP kept shutdown  for pressure build up. ESP restarted @ 0652 Hrs. on 15/02/2023.</t>
  </si>
  <si>
    <t>12.02+0.87 Hrs</t>
  </si>
  <si>
    <t xml:space="preserve"> ESP again tripped on the underload @ 1759 Hrs. on 14/02/2023 caused by low inflow. ESP kept shutdown  for pressure build up. ESP restarted @ 0652 Hrs. on 15/02/2023.</t>
  </si>
  <si>
    <t>R9A#1: ESP tripped on the underload alarm @1832 Hrs. on 11/02/2023 caused by low inflow. ESP kept shutdown for pressure build up. Static Intake pressure-1192PSI</t>
  </si>
  <si>
    <t>0.080/0.036/0.095</t>
  </si>
  <si>
    <t>R9A#1: ESP tripped on the underload alarm @1832 Hrs. on 11/02/2023 caused by low inflow. ESP kept shutdown for pressure build up. Static Intake pressure-1223 PSI</t>
  </si>
  <si>
    <t>0642 Hrs</t>
  </si>
  <si>
    <t>10.7+ 0.7  Hrs</t>
  </si>
  <si>
    <t>R9A#2: ESP  tripped on the underload @ 1918 Hrs. on 16/02/2023 caused by low inflow. ESP kept shutdown  for pressure build up. ESP restarted at 0642 Hrs. on 17/02/2023.</t>
  </si>
  <si>
    <t>R9A#2: ESP tripped on the underload @ 1918 Hrs. on 16/02/2023 caused by low inflow. ESP kept shutdown  for pressure build up.ESP restarted at 0642 Hrs. on 17/02/2023.</t>
  </si>
  <si>
    <t>R9A#2: ESP  tripped on the underload @ 1918 Hrs. on 16/02/2023 caused by low inflow. ESP kept shutdown  for pressure build up.ESP restarted at 0642 Hrs. on 17/02/2023.</t>
  </si>
  <si>
    <t>R9A#1: ESP tripped on the underload alarm @1832 Hrs. on 11/02/2023 caused by low inflow. ESP kept shutdown for pressure build up. Static Intake pressure-1248 PSI</t>
  </si>
  <si>
    <t>0.125/0.057/0.082</t>
  </si>
  <si>
    <t>14.3/14.1/14.1</t>
  </si>
  <si>
    <t>0233 Hrs</t>
  </si>
  <si>
    <t>R9A#2: ESP  tripped on the underload @ 0233 Hrs. on 18/02/2023 caused by low inflow. ESP kept shutdown  for pressure build up. ESP restarted at 1630 Hrs. on 18/02/2023.</t>
  </si>
  <si>
    <t>R9A#1: ESP tripped on the underload alarm @1832 Hrs. on 11/02/2023 caused by low inflow. ESP kept shutdown for pressure build up. Static Intake pressure-1273 PSI</t>
  </si>
  <si>
    <t>0.106/0.076/0.050</t>
  </si>
  <si>
    <t>14.2/14.1/14.1</t>
  </si>
  <si>
    <t>R9A#2: ESP  tripped on the underload @ 0233 Hrs. on 18/02/2023 caused by low inflow. ESP kept shutdown  for pressure build up. ESP restarted at 1634 Hrs. on 18/02/2023.</t>
  </si>
  <si>
    <t>3.45+10.57 Hrs</t>
  </si>
  <si>
    <t>0745 Hrs</t>
  </si>
  <si>
    <t>R9A#2: ESP  tripped on the underload @ 0745 Hrs. on 19/02/2023 caused by low inflow. ESP kept shutdown  for pressure build up. ESP restarted at 1719 Hrs. on 19/02/2023.</t>
  </si>
  <si>
    <t>9.57 Hrs</t>
  </si>
  <si>
    <t>1528 Hrs</t>
  </si>
  <si>
    <t>1633 Hrs</t>
  </si>
  <si>
    <t>1.08 Hrs</t>
  </si>
  <si>
    <t>R9A#4: ESP tripped @ 1528 Hrs. on 18/02/2023 due to underload alarm caused by high MLP.ESP restarted @ 1633 Hrs. on 18/02/2023</t>
  </si>
  <si>
    <t>R9A#4: ESP tripped @ 2204 Hrs. on 18/02/2023 due to underload alarm caused by high MLP.last start up ESP performance was stable decided to keep shutdown for pressure build up.ESP restarted @ 0907 Hrs. on 19/02/2023</t>
  </si>
  <si>
    <t>7.93+3.12 Hrs</t>
  </si>
  <si>
    <r>
      <t>R9A#2:</t>
    </r>
    <r>
      <rPr>
        <b/>
        <sz val="11"/>
        <rFont val="Calibri"/>
        <family val="2"/>
        <charset val="204"/>
        <scheme val="minor"/>
      </rPr>
      <t xml:space="preserve"> ESP  tripped on the underload @ 0233 Hrs. on 18/02/2023 caused by low inflow. ESP kept shutdown  for pressure build up. ESP restarted at 1634 Hrs. on 18/02/2023.                                                                                                                                                 </t>
    </r>
    <r>
      <rPr>
        <b/>
        <sz val="11"/>
        <color rgb="FFFF0000"/>
        <rFont val="Calibri"/>
        <family val="2"/>
        <charset val="204"/>
        <scheme val="minor"/>
      </rPr>
      <t xml:space="preserve">R9A#4: </t>
    </r>
    <r>
      <rPr>
        <b/>
        <sz val="11"/>
        <rFont val="Calibri"/>
        <family val="2"/>
        <charset val="204"/>
        <scheme val="minor"/>
      </rPr>
      <t>ESP tripped @ 1528 Hrs. on 18/02/2023 due to underload alarm caused by high MLP.ESP restarted @ 1633 Hrs. on 18/02/2023</t>
    </r>
  </si>
  <si>
    <t>R9A#1: ESP tripped on the underload alarm @1832 Hrs. on 11/02/2023 caused by low inflow. ESP kept shutdown for pressure build up. Static Intake pressure-1296 PSI</t>
  </si>
  <si>
    <t>0.164/0.04/0.039</t>
  </si>
  <si>
    <t>14.9/15.1/15</t>
  </si>
  <si>
    <t>13.9/13.7/13.8</t>
  </si>
  <si>
    <t>Frequency has been ramp up to 53 Hz to tackle the high back pressure.</t>
  </si>
  <si>
    <t>Frequency has been ramp up to 58  Hz  from 57 Hz to tackle the high back pressure.</t>
  </si>
  <si>
    <r>
      <rPr>
        <b/>
        <sz val="11"/>
        <color rgb="FFFF0000"/>
        <rFont val="Calibri"/>
        <family val="2"/>
        <charset val="204"/>
        <scheme val="minor"/>
      </rPr>
      <t xml:space="preserve">R9A#2: </t>
    </r>
    <r>
      <rPr>
        <b/>
        <sz val="11"/>
        <rFont val="Calibri"/>
        <family val="2"/>
        <charset val="204"/>
        <scheme val="minor"/>
      </rPr>
      <t xml:space="preserve">ESP  tripped on the underload @ 0745 Hrs. on 19/02/2023 caused by low inflow. ESP kept shutdown  for pressure build up. ESP restarted at 1719 Hrs. on 19/02/2023.                                                                                                                                                     </t>
    </r>
    <r>
      <rPr>
        <b/>
        <sz val="11"/>
        <color rgb="FFFF0000"/>
        <rFont val="Calibri"/>
        <family val="2"/>
        <charset val="204"/>
        <scheme val="minor"/>
      </rPr>
      <t>R9A#4:</t>
    </r>
    <r>
      <rPr>
        <b/>
        <sz val="11"/>
        <rFont val="Calibri"/>
        <family val="2"/>
        <charset val="204"/>
        <scheme val="minor"/>
      </rPr>
      <t xml:space="preserve"> ESP tripped @ 2204 Hrs. on 18/02/2023 due to underload alarm caused by high MLP.last start up ESP performance was stable decided to keep the ESP shutdown for pressure build up.ESP restarted @ 0907 Hrs. on 19/02/2023</t>
    </r>
  </si>
  <si>
    <t>2.06/2.81</t>
  </si>
  <si>
    <t>0.266/0.034/0.164</t>
  </si>
  <si>
    <t>13.1/13.2/13.5</t>
  </si>
  <si>
    <t>Frequency has been ramp  down  to 52 Hz.</t>
  </si>
  <si>
    <t>R9A#1: ESP tripped on the underload alarm @1832 Hrs. on 11/02/2023 caused by low inflow. ESP kept shutdown for pressure build up. As per ONGC instruction restarted the ESP @0833 Hrs. on 20/02/2023</t>
  </si>
  <si>
    <t>R9A#2: ESP  tripped on the underload @ 2227 Hrs. on 19/02/2023 caused by low inflow/ high MLP. ESP kept shutdown  for pressure build up.</t>
  </si>
  <si>
    <t>1.41/3.4</t>
  </si>
  <si>
    <t>0.173/0.047/0.060</t>
  </si>
  <si>
    <t>14/13.8/13.7</t>
  </si>
  <si>
    <t>1015 Hrs</t>
  </si>
  <si>
    <t>R9A#2: ESP  tripped on the underload @ 2227 Hrs. on 19/02/2023 caused by low inflow/ high MLP. ESP kept shutdown  for pressure build up. ESP restarted at 1015  Hrs. on 21/02/2023.</t>
  </si>
  <si>
    <t>7.55+4.25  Hrs</t>
  </si>
  <si>
    <r>
      <rPr>
        <b/>
        <sz val="11"/>
        <color rgb="FFFF0000"/>
        <rFont val="Calibri"/>
        <family val="2"/>
        <charset val="204"/>
        <scheme val="minor"/>
      </rPr>
      <t>R9A#1</t>
    </r>
    <r>
      <rPr>
        <b/>
        <sz val="11"/>
        <rFont val="Calibri"/>
        <family val="2"/>
        <charset val="204"/>
        <scheme val="minor"/>
      </rPr>
      <t xml:space="preserve">: As per ONGC instruction restarted the ESP @0833 Hrs. on 20/02/2023.            </t>
    </r>
    <r>
      <rPr>
        <b/>
        <sz val="11"/>
        <color rgb="FFFF0000"/>
        <rFont val="Calibri"/>
        <family val="2"/>
        <charset val="204"/>
        <scheme val="minor"/>
      </rPr>
      <t>R9A#2:</t>
    </r>
    <r>
      <rPr>
        <b/>
        <sz val="11"/>
        <rFont val="Calibri"/>
        <family val="2"/>
        <charset val="204"/>
        <scheme val="minor"/>
      </rPr>
      <t xml:space="preserve"> ESP  tripped on the underload @ 2227 Hrs. on 19/02/2023 caused by low inflow/ high MLP. ESP kept shutdown  for pressure build up.ESP restarted at 1015  Hrs. on 21/02/2023.</t>
    </r>
  </si>
  <si>
    <t>1000 Hrs</t>
  </si>
  <si>
    <t>R9A#4: ESP tripped @ 1000 Hrs. on 21/02/2023 due to underload alarm caused by high MLP.ESP kept  shutdown for pressure build up.ESP restarted @ 1829 Hrs. on 21/02/2023</t>
  </si>
  <si>
    <r>
      <t xml:space="preserve">R9A#4: </t>
    </r>
    <r>
      <rPr>
        <b/>
        <sz val="11"/>
        <color theme="1"/>
        <rFont val="Calibri"/>
        <family val="2"/>
        <charset val="204"/>
        <scheme val="minor"/>
      </rPr>
      <t>ESP tripped @ 1000 Hrs. on 21/02/2023 due to underload alarm caused by high MLP.ESP kept  shutdown for pressure build up.ESP restarted @ 1829 Hrs. on 21/02/2023</t>
    </r>
  </si>
  <si>
    <t>1.23/3.5</t>
  </si>
  <si>
    <t>16.6/16.1/16.3</t>
  </si>
  <si>
    <t>14.1/13.9/13.8</t>
  </si>
  <si>
    <t>R9A#2: ESP  tripped on the underload @ 0900 Hrs. on 22/02/2023 caused by low inflow/ high MLP. ESP kept shutdown  for pressure build up.</t>
  </si>
  <si>
    <t>0806 Hrs</t>
  </si>
  <si>
    <t>21 +2.1 Hrs</t>
  </si>
  <si>
    <t>R9A#2: ESP  tripped on the underload @ 0900 Hrs. on 22/02/2023 caused by low inflow/ high MLP. ESP kept shutdown  for pressure build up.ESP restarted at 0806 Hrs. on 23/02/2023</t>
  </si>
  <si>
    <t>2218 Hrs</t>
  </si>
  <si>
    <t>7.7 Hrs</t>
  </si>
  <si>
    <r>
      <rPr>
        <b/>
        <sz val="11"/>
        <color rgb="FFFF0000"/>
        <rFont val="Calibri"/>
        <family val="2"/>
        <charset val="204"/>
        <scheme val="minor"/>
      </rPr>
      <t xml:space="preserve">R9A#2: </t>
    </r>
    <r>
      <rPr>
        <b/>
        <sz val="11"/>
        <rFont val="Calibri"/>
        <family val="2"/>
        <charset val="204"/>
        <scheme val="minor"/>
      </rPr>
      <t xml:space="preserve">ESP  tripped on the underload @ 0900 Hrs. on 22/02/2023 caused by low inflow/ high MLP. ESP kept shutdown  for pressure build up.ESP restarted at 0806 Hrs. on 23/02/2023.                                                                                                                                    </t>
    </r>
    <r>
      <rPr>
        <b/>
        <sz val="11"/>
        <color rgb="FFFF0000"/>
        <rFont val="Calibri"/>
        <family val="2"/>
        <charset val="204"/>
        <scheme val="minor"/>
      </rPr>
      <t xml:space="preserve">R9A#1: </t>
    </r>
    <r>
      <rPr>
        <b/>
        <sz val="11"/>
        <rFont val="Calibri"/>
        <family val="2"/>
        <charset val="204"/>
        <scheme val="minor"/>
      </rPr>
      <t>ESP tripped on the underload alarm @ 2218 Hrs. on 22/02/2023 caused by low inflow. ESP kept shutdown for pressure build up.</t>
    </r>
  </si>
  <si>
    <t>ESP tripped on the underload alarm @ 2218 Hrs. on 22/02/2023 caused by low inflow. ESP kept shutdown for pressure build up.</t>
  </si>
  <si>
    <t>0.170/0.036/0.050</t>
  </si>
  <si>
    <t>15.1/15.3/15.3</t>
  </si>
  <si>
    <t>14.1/14.1/14.1</t>
  </si>
  <si>
    <t>ESP tripped on the underload alarm @ 2218 Hrs. on 22/02/2023 caused by low inflow. ESP kept shutdown for pressure build up.Static intake pressure-1124 PSI.</t>
  </si>
  <si>
    <t>0800 Hrs</t>
  </si>
  <si>
    <t>20.47 +2 Hrs</t>
  </si>
  <si>
    <t>R9A#2: ESP  tripped on the underload @ 0932 Hrs. on 24/02/2023 caused by low inflow. ESP kept shutdown  for pressure build up.ESP restarted @ 0800 Hrs. on 25/02/2023</t>
  </si>
  <si>
    <t>R9A#2: ESP  tripped on the underload @ 0932 Hrs. on 24/02/2023 caused by low inflow. ESP kept shutdown  for pressure build up. ESP restarted @ 0800 Hrs. on 25/02/2023</t>
  </si>
  <si>
    <t>ESP tripped on the underload alarm @ 2218 Hrs. on 22/02/2023 caused by low inflow. ESP kept shutdown for pressure build up.Static intake pressure-1170 PSI.</t>
  </si>
  <si>
    <t>0.073/0.036/0.061</t>
  </si>
  <si>
    <t>14.1/14.1/141.</t>
  </si>
  <si>
    <t>0106 Hrs</t>
  </si>
  <si>
    <t>ESP tripped on the underload alarm @ 2218 Hrs. on 22/02/2023 caused by low inflow. ESP kept shutdown for pressure build up.Static intake pressure-1207 PSI.</t>
  </si>
  <si>
    <t>2006 Hrs</t>
  </si>
  <si>
    <t>4.9+14.1 Hrs</t>
  </si>
  <si>
    <t>R9A#2: ESP  tripped on the underload @ 0106 Hrs. on 26/02/2023 caused by low inflow. ESP kept shutdown  for pressure build up. ESP restarted @ 2006 Hrs. on 26/02/2023</t>
  </si>
  <si>
    <t>ESP tripped on the underload alarm @ 2218 Hrs. on 22/02/2023 caused by low inflow. ESP kept shutdown for pressure build up.Static intake pressure-1239 PSI.</t>
  </si>
  <si>
    <t>0.062/0.027/0.082</t>
  </si>
  <si>
    <t>0047 Hrs</t>
  </si>
  <si>
    <t>ESP tripped on the underload alarm @ 2218 Hrs. on 22/02/2023 caused by low inflow. ESP kept shutdown for pressure build up.Static intake pressure-1267 PSI.</t>
  </si>
  <si>
    <t>0.106/0.052/0.043</t>
  </si>
  <si>
    <t>High MLP due to Pigging activity</t>
  </si>
  <si>
    <t>13.8/14/13.8</t>
  </si>
  <si>
    <t>High MLP, Frequemcy has been ramp up to 53 Hz to tackle the back pressure.</t>
  </si>
  <si>
    <t>2229 Hrs</t>
  </si>
  <si>
    <t>15.3 Hrs</t>
  </si>
  <si>
    <t>R9A#1: ESP tripped on the underload alarm @ 2218 Hrs. on 22/02/2023 caused by low inflow. ESP kept shutdown for pressure build up.As per ONGC instruction ESP restarted at 2118 Hrs.on 28/02/2023.found no flow at the surface. Instrumentation team checked SSSV Status and confirmed working status, but no flow. ESP manually shutdown at 2229Hrs. on 28/02/2023.</t>
  </si>
  <si>
    <t>1044  Hrs</t>
  </si>
  <si>
    <t>R9A#2: ESP  tripped on the underload @ 0047 Hrs. on 28/02/2023 caused by low inflow. ESP kept shutdown  for pressure build up. ESP restarted @1044  Hrs. on 28/02/2023</t>
  </si>
  <si>
    <t>2018 Hrs</t>
  </si>
  <si>
    <t>ESP  tripped on the underload @ 2018 Hrs. on 28/02/2023 caused by low inflow. ESP kept shutdown  for pressure build up. ESP restarted @ 0718  Hrs. on 01/03/2023</t>
  </si>
  <si>
    <t>5.22+4.73 Hrs</t>
  </si>
  <si>
    <t>9.7+1.3 Hrs</t>
  </si>
  <si>
    <r>
      <rPr>
        <b/>
        <sz val="11"/>
        <color rgb="FFFF0000"/>
        <rFont val="Calibri"/>
        <family val="2"/>
        <charset val="204"/>
        <scheme val="minor"/>
      </rPr>
      <t>R9A#1:</t>
    </r>
    <r>
      <rPr>
        <b/>
        <sz val="11"/>
        <rFont val="Calibri"/>
        <family val="2"/>
        <charset val="204"/>
        <scheme val="minor"/>
      </rPr>
      <t xml:space="preserve">As per ONGC instruction ESP restarted at 2118 Hrs.on 28/02/2023.found no flow at the surface. Instrumentation team checked SSSV Status and confirmed working status, but no flow. ESP manually shutdown at 2229Hrs. on 28/02/2023.                                        </t>
    </r>
    <r>
      <rPr>
        <b/>
        <sz val="11"/>
        <color rgb="FFFF0000"/>
        <rFont val="Calibri"/>
        <family val="2"/>
        <charset val="204"/>
        <scheme val="minor"/>
      </rPr>
      <t>R9A#2</t>
    </r>
    <r>
      <rPr>
        <b/>
        <sz val="11"/>
        <rFont val="Calibri"/>
        <family val="2"/>
        <charset val="204"/>
        <scheme val="minor"/>
      </rPr>
      <t>:ESP  tripped on the underload @ 2018 Hrs. on 28/02/2023 caused by low inflow. ESP kept shutdown  for pressure build up. ESP restarted @ 0718  Hrs. on 01/03/2023</t>
    </r>
  </si>
  <si>
    <t>As per ONGC instruction ESP restarted at 2118 Hrs.on 28/02/2023.found no flow at the surface. Instrumentation team checked SSSV Status and confirmed working status, but no flow. ESP manually shutdown at 2229Hrs. on 28/02/2023.</t>
  </si>
  <si>
    <t>0.142/0.046/0.118</t>
  </si>
  <si>
    <t>Total running hours March 2023</t>
  </si>
  <si>
    <t>Total shutdown hours due to ONGC March  2022</t>
  </si>
  <si>
    <t>Total shutdown hours due to Novomet March 2022</t>
  </si>
  <si>
    <t>R9A#2:ESP  tripped on the underload @ 2018 Hrs. on 28/02/2023 caused by low inflow. ESP kept shutdown  for pressure build up. ESP restarted @ 0718  Hrs. on 01/03/2023</t>
  </si>
  <si>
    <t>1158  Hrs</t>
  </si>
  <si>
    <t>5.97 Hrs</t>
  </si>
  <si>
    <t>R9A#1: Checked SSSV found its shutdwon condition.pressurized the SSSV and restarted the ESP @ 1158 Hrs. on 02/03/2023. ESP running with 52 Hz and performance is normal.</t>
  </si>
  <si>
    <t>0835 Hrs</t>
  </si>
  <si>
    <t>1.2/2.52</t>
  </si>
  <si>
    <t>18.2/18.3/18</t>
  </si>
  <si>
    <t>0644 Hrs</t>
  </si>
  <si>
    <t>21.42+0.73</t>
  </si>
  <si>
    <t>R9A#2:ESP  tripped on the underload @ 0835 Hrs. on 02/03/2023 caused by low inflow. ESP kept shutdown  for pressure build up.ESP restarted @ 0644 Hrs. on 03/03/2023</t>
  </si>
  <si>
    <r>
      <rPr>
        <b/>
        <sz val="11"/>
        <color rgb="FFFF0000"/>
        <rFont val="Calibri"/>
        <family val="2"/>
        <charset val="204"/>
        <scheme val="minor"/>
      </rPr>
      <t>R9A#1:</t>
    </r>
    <r>
      <rPr>
        <b/>
        <sz val="11"/>
        <rFont val="Calibri"/>
        <family val="2"/>
        <charset val="204"/>
        <scheme val="minor"/>
      </rPr>
      <t xml:space="preserve"> Checked SSSV found its shutdwon condition.pressurized the SSSV and restarted the ESP @ 1158 Hrs. on 02/03/2023. ESP running with 52 Hz and performance is normal.                                                                                                                    </t>
    </r>
    <r>
      <rPr>
        <b/>
        <sz val="11"/>
        <color rgb="FFFF0000"/>
        <rFont val="Calibri"/>
        <family val="2"/>
        <charset val="204"/>
        <scheme val="minor"/>
      </rPr>
      <t>R9A#2:</t>
    </r>
    <r>
      <rPr>
        <b/>
        <sz val="11"/>
        <rFont val="Calibri"/>
        <family val="2"/>
        <charset val="204"/>
        <scheme val="minor"/>
      </rPr>
      <t>ESP  tripped on the underload @ 0835 Hrs. on 02/03/2023 caused by low inflow. ESP kept shutdown  for pressure build up..ESP restarted @ 0644 Hrs. on 03/03/2023</t>
    </r>
  </si>
  <si>
    <t>ESP  tripped on the underload @ 0835 Hrs. on 02/03/2023 caused by low inflow. ESP kept shutdown  for pressure build up..ESP restarted @ 0644 Hrs. on 03/03/2023</t>
  </si>
  <si>
    <t>1.77/1.79</t>
  </si>
  <si>
    <t>0.191/0.037/0.056</t>
  </si>
  <si>
    <t>16.8/17.1/16.9</t>
  </si>
  <si>
    <t>13.1/13.1/12.9</t>
  </si>
  <si>
    <t>0.179/0.052/0.138</t>
  </si>
  <si>
    <t>15.4/15.5/15.4</t>
  </si>
  <si>
    <t>14.5/14.3/14.2</t>
  </si>
  <si>
    <t>1511 Hrs</t>
  </si>
  <si>
    <t>R9A#1: ESP tripped on the underload alarm at 1511 Hrs. on 04/03/2023. ESP keptshutdown for pressure build up. Traget build up pressure-1400 PSI.</t>
  </si>
  <si>
    <t>14.82 Hrs</t>
  </si>
  <si>
    <t>0625 Hrs</t>
  </si>
  <si>
    <t>R9A#2:ESP  tripped on the underload @ 0758 Hrs. on 04/03/2023 caused by low inflow. ESP kept shutdown  for pressure build up.ESP restarted @ 0625 Hrs. on 05/03/2023</t>
  </si>
  <si>
    <t>22.03+0.42 Hrs</t>
  </si>
  <si>
    <t xml:space="preserve">ESP tripped on the underload alarm at 1511 Hrs. on 04/03/2023. ESP keptshutdown for pressure build up. Traget build up pressure-1400 PSI. </t>
  </si>
  <si>
    <t>ESP  tripped on the underload @ 0758 Hrs. on 04/03/2023 caused by low inflow. ESP kept shutdown  for pressure build up.ESP restarted @ 0625 Hrs. on 05/03/2023</t>
  </si>
  <si>
    <t>2250 Hrs</t>
  </si>
  <si>
    <t>0609 Hrs</t>
  </si>
  <si>
    <t>R9A#4: ESP tripped @ 2250 Hrs. on 04/03/2023 due to underload alarm caused by high MLP.ESP kept  shutdown for pressure build up.ESP restarted @ 0609 Hrs. on 05/03/2023</t>
  </si>
  <si>
    <t>7.12 +0.15 Hrs</t>
  </si>
  <si>
    <r>
      <rPr>
        <b/>
        <sz val="11"/>
        <color rgb="FFFF0000"/>
        <rFont val="Calibri"/>
        <family val="2"/>
        <charset val="204"/>
        <scheme val="minor"/>
      </rPr>
      <t xml:space="preserve">R9A#1: </t>
    </r>
    <r>
      <rPr>
        <b/>
        <sz val="11"/>
        <rFont val="Calibri"/>
        <family val="2"/>
        <charset val="204"/>
        <scheme val="minor"/>
      </rPr>
      <t xml:space="preserve">ESP tripped on the underload alarm at 1511 Hrs. on 04/03/2023. ESP keptshutdown for pressure build up. Traget build up pressure-1400 PSI.           </t>
    </r>
    <r>
      <rPr>
        <b/>
        <sz val="11"/>
        <color rgb="FFFF0000"/>
        <rFont val="Calibri"/>
        <family val="2"/>
        <charset val="204"/>
        <scheme val="minor"/>
      </rPr>
      <t>R9A#2:</t>
    </r>
    <r>
      <rPr>
        <b/>
        <sz val="11"/>
        <rFont val="Calibri"/>
        <family val="2"/>
        <charset val="204"/>
        <scheme val="minor"/>
      </rPr>
      <t xml:space="preserve">ESP  tripped on the underload @ 0758 Hrs. on 04/03/2023 caused by low inflow. ESP kept shutdown  for pressure build up.ESP restarted @ 0625 Hrs. on 05/03/2023.                                                                                                                                      </t>
    </r>
    <r>
      <rPr>
        <b/>
        <sz val="11"/>
        <color rgb="FFFF0000"/>
        <rFont val="Calibri"/>
        <family val="2"/>
        <charset val="204"/>
        <scheme val="minor"/>
      </rPr>
      <t xml:space="preserve">R9A#4: </t>
    </r>
    <r>
      <rPr>
        <b/>
        <sz val="11"/>
        <rFont val="Calibri"/>
        <family val="2"/>
        <charset val="204"/>
        <scheme val="minor"/>
      </rPr>
      <t>ESP tripped @ 2250 Hrs. on 04/03/2023 due to underload alarm caused by high MLP during pigging activity at R13A to R10A well fluid line.ESP kept  shutdown for pressure build up.ESP restarted @ 0609 Hrs. on 05/03/2023</t>
    </r>
  </si>
  <si>
    <t>0.176/0.022/0.238</t>
  </si>
  <si>
    <t>13.6/13.2/13.5</t>
  </si>
  <si>
    <t>0803 Hrs</t>
  </si>
  <si>
    <t>1603 Hrs</t>
  </si>
  <si>
    <t>13.95+2.05 Hrs</t>
  </si>
  <si>
    <t>R9A#2:ESP  tripped on the underload @ 1602 Hrs. on 06/03/2023 caused by low inflow. ESP kept shutdown  for pressure build up.ESP restarted @ 0803 Hrs. on 07/03/2023</t>
  </si>
  <si>
    <t>1748 Hrs</t>
  </si>
  <si>
    <t>0834 Hrs</t>
  </si>
  <si>
    <t>R9A#2:ESP  tripped on the underload @ 1748 Hrs. on 08/03/2023 caused by low inflow. ESP kept shutdown  for pressure build up.ESP restarted @ 0834 Hrs. on 09/03/2023</t>
  </si>
  <si>
    <t>12.2+2.57 Hrs.</t>
  </si>
  <si>
    <t>1.47/2.64</t>
  </si>
  <si>
    <t>0.266/0.020/0.05</t>
  </si>
  <si>
    <t>1958 Hrs</t>
  </si>
  <si>
    <t>R9A#1: As per ONGC instruction ESP restarted at 1958 Hrs. on 09/03/2023.Static intake pressure was 1238 PSI.</t>
  </si>
  <si>
    <t>13.97 Hrs</t>
  </si>
  <si>
    <t>1.78/2.87</t>
  </si>
  <si>
    <t>17.5/17.6/17.4</t>
  </si>
  <si>
    <t>R9A#2:ESP  tripped on the underload @ 0625 Hrs. on 10/03/2023 caused by low inflow. ESP kept shutdown  for pressure build up.ESP restarted @ 0818 Hrs. on 11/03/2023</t>
  </si>
  <si>
    <t>23.58 Hrs+2.3 Hrs</t>
  </si>
  <si>
    <t>0.22/0.027/0.100</t>
  </si>
  <si>
    <t>20.9 Hrs</t>
  </si>
  <si>
    <t>R9A#1: ESP tripped on the underload alarm at 0906 Hrs. on 11/03/2023. ESP kept shutdown for pressure build up.</t>
  </si>
  <si>
    <t>R9A#1: ESP tripped on the underload alarm at 0906 Hrs. on 11/03/2023. ESP kept shutdown for pressure build up.Static Intake pressure-1102 PSI.</t>
  </si>
  <si>
    <t>R9A#2:ESP  tripped on the underload @ 1322 Hrs. on 12/03/2023 caused by low inflow. ESP kept shutdown  for pressure build up.ESP restarted at 0652 Hrs. on 13/03/2023.</t>
  </si>
  <si>
    <t>16.63+0.87 Hrs</t>
  </si>
  <si>
    <t>R9A#1: ESP tripped on the underload alarm at 0906 Hrs. on 11/03/2023. ESP kept shutdown for pressure build up.Static Intake pressure-1156 PSI.</t>
  </si>
  <si>
    <t>0.221/0.038/0.135</t>
  </si>
  <si>
    <t>13.4/13.3/13.1</t>
  </si>
  <si>
    <t>0342 Hrs</t>
  </si>
  <si>
    <t>R9A#1: ESP tripped on the underload alarm at 0906 Hrs. on 11/03/2023. ESP kept shutdown for pressure build up.Static Intake pressure-1192 PSI.</t>
  </si>
  <si>
    <t>2152 Hrs</t>
  </si>
  <si>
    <t>2.3+15.87  Hrs</t>
  </si>
  <si>
    <t>R9A#2:ESP  tripped on the underload @ 0342 Hrs. on 14/03/2023 caused by low inflow. ESP kept shutdown  for pressure build up.ESP restarted at 2152 Hrs. on 14/03/2023.</t>
  </si>
  <si>
    <t>R9A#1: ESP tripped on the underload alarm at 0906 Hrs. on 11/03/2023. ESP kept shutdown for pressure build up.Static Intake pressure-1225 PSI.</t>
  </si>
  <si>
    <t>0.221/0.028/0.125</t>
  </si>
  <si>
    <t>15.1/14.8/15.2</t>
  </si>
  <si>
    <t>14.1/14.3/14.3</t>
  </si>
  <si>
    <t>R9A#1: ESP tripped on the underload alarm at 0906 Hrs. on 11/03/2023. ESP kept shutdown for pressure build up.Static Intake pressure-1258 PSI.</t>
  </si>
  <si>
    <t>0.106/0.052/0.075</t>
  </si>
  <si>
    <t>16.4/16.4./16.4</t>
  </si>
  <si>
    <t>2132 Hrs</t>
  </si>
  <si>
    <t>1937 Hrs</t>
  </si>
  <si>
    <t>R9A#2:ESP  tripped on the underload at 2132 Hrs. on 15/03/2023 caused by low inflow/ High MLP. ESP kept shutdown  for pressure build up.ESP restarted at 1937 Hrs. on 16/03/2023.</t>
  </si>
  <si>
    <t>8.47+13.62 Hrs</t>
  </si>
  <si>
    <t>1.87/4.10</t>
  </si>
  <si>
    <t>17.9/17.7/17.9</t>
  </si>
  <si>
    <t>15.1/14.9/15.2</t>
  </si>
  <si>
    <t>1416 Hrs</t>
  </si>
  <si>
    <t>8.27 Hrs</t>
  </si>
  <si>
    <t>R9A#1: ESP was kept shutdown for pressure build up. As per ONGC instruction ESP start the ESP at 1416 Hrs. on 18/03/2023.</t>
  </si>
  <si>
    <t>0125 Hrs</t>
  </si>
  <si>
    <t>2129 Hrs</t>
  </si>
  <si>
    <t>R9A#2:ESP  tripped on the underload at 0125 Hrs. on 18/03/2023 caused by low inflow/ High MLP. ESP kept shutdown  for pressure build up.ESP restarted at 2129 Hrs. on 18/03/2023.</t>
  </si>
  <si>
    <t>4.58+15.48 Hrs</t>
  </si>
  <si>
    <r>
      <t xml:space="preserve">R9A#1: </t>
    </r>
    <r>
      <rPr>
        <b/>
        <sz val="11"/>
        <rFont val="Calibri"/>
        <family val="2"/>
        <charset val="204"/>
        <scheme val="minor"/>
      </rPr>
      <t xml:space="preserve">ESP was kept shutdown for pressure build up. As per ONGC instruction ESP start the ESP at 1416 Hrs. on 18/03/2023.                                                                            </t>
    </r>
    <r>
      <rPr>
        <b/>
        <sz val="11"/>
        <color rgb="FFFF0000"/>
        <rFont val="Calibri"/>
        <family val="2"/>
        <charset val="204"/>
        <scheme val="minor"/>
      </rPr>
      <t>R9A#2:</t>
    </r>
    <r>
      <rPr>
        <b/>
        <sz val="11"/>
        <rFont val="Calibri"/>
        <family val="2"/>
        <charset val="204"/>
        <scheme val="minor"/>
      </rPr>
      <t>ESP  tripped on the underload at 0125 Hrs. on 18/03/2023 caused by low inflow/ High MLP. ESP kept shutdown  for pressure build up.ESP restarted at 2129 Hrs. on 18/03/2023.</t>
    </r>
  </si>
  <si>
    <t>1.29/0.77</t>
  </si>
  <si>
    <t>17.6/17.6/17.3</t>
  </si>
  <si>
    <t>13.8/13.7/13.7</t>
  </si>
  <si>
    <t>1712 Hrs</t>
  </si>
  <si>
    <t>R9A#2:ESP  tripped on the underload at 1712 Hrs. on 19/03/2023 caused by low inflow. ESP kept shutdown  for pressure build up.</t>
  </si>
  <si>
    <t>0.159/0.024/0.032</t>
  </si>
  <si>
    <t>15.2/15.4/15.3</t>
  </si>
  <si>
    <t>1216 Hrs</t>
  </si>
  <si>
    <t>R9A#1: ESP tripped at 1216 Hrs. on 20/03/2023 due to underload alarmcaused by low inflow. ESP kept shutdown for pressure build up.</t>
  </si>
  <si>
    <t>17.73 Hrs</t>
  </si>
  <si>
    <t>12.8 +5.37 Hrs</t>
  </si>
  <si>
    <t>R9A#2:ESP  tripped on the underload at 1712 Hrs. on 19/03/2023 caused by low inflow. ESP kept shutdown  for pressure build up.ESP restarted at 1122 Hrs. on 20/03/2023.</t>
  </si>
  <si>
    <r>
      <rPr>
        <b/>
        <sz val="11"/>
        <color rgb="FFFF0000"/>
        <rFont val="Calibri"/>
        <family val="2"/>
        <charset val="204"/>
        <scheme val="minor"/>
      </rPr>
      <t>R9A#2:</t>
    </r>
    <r>
      <rPr>
        <b/>
        <sz val="11"/>
        <rFont val="Calibri"/>
        <family val="2"/>
        <charset val="204"/>
        <scheme val="minor"/>
      </rPr>
      <t>ESP  tripped on the underload at 1712 Hrs. on 19/03/2023 caused by low inflow. ESP kept shutdown  for pressure build up.ESP restarted at 1122 Hrs. on 20/03/2023.</t>
    </r>
  </si>
  <si>
    <t>R9A#1: ESP tripped at 1216 Hrs. on 20/03/2023 due to underload alarmcaused by low inflow. ESP kept shutdown for pressure build up.Intake pressure-1071 PSI</t>
  </si>
  <si>
    <t>0750 Hrs</t>
  </si>
  <si>
    <t>22.17+2.47 Hrs</t>
  </si>
  <si>
    <t>R9A#2:ESP  tripped on the underload at 0750 Hrs. on 21/03/2023 caused by low inflow. ESP kept shutdown  for pressure build up.ESP restarted at 0828 Hrs. on 22/03/2023.</t>
  </si>
  <si>
    <r>
      <t>R9A#2</t>
    </r>
    <r>
      <rPr>
        <b/>
        <sz val="11"/>
        <rFont val="Calibri"/>
        <family val="2"/>
        <charset val="204"/>
        <scheme val="minor"/>
      </rPr>
      <t>:ESP  tripped on the underload at 0750 Hrs. on 21/03/2023 caused by low inflow. ESP kept shutdown  for pressure build up.ESP restarted at 0828 Hrs. on 22/03/2023.</t>
    </r>
  </si>
  <si>
    <t>ESP  tripped on the underload at 0750 Hrs. on 21/03/2023 caused by low inflow. ESP kept shutdown  for pressure build up.ESP restarted at 0828 Hrs. on 22/03/2023.</t>
  </si>
  <si>
    <t>Frequency temporarily increased to 53 hz to tackle the back pressure. After the reduction in the MLP frequency revert back to 52 Hz</t>
  </si>
  <si>
    <t>R9A#1: ESP tripped at 1216 Hrs. on 20/03/2023 due to underload alarmcaused by low inflow. ESP kept shutdown for pressure build up.Intake pressure-1166 PSI</t>
  </si>
  <si>
    <t>R9A#1: ESP tripped at 1216 Hrs. on 20/03/2023 due to underload alarmcaused by low inflow. ESP kept shutdown for pressure build up.Intake pressure-1103 PSI</t>
  </si>
  <si>
    <t>0.22/0.026/0.120</t>
  </si>
  <si>
    <t>ESP  tripped on the underload at  Hrs. on 23/03/2023 caused by low inflow. ESP kept shutdown  for pressure build up.</t>
  </si>
  <si>
    <t>16/15.9/15.9</t>
  </si>
  <si>
    <t>R9A#2 ESP tripped at 1341 hrs on 23/03/2023 due to underload caused by low inflow. Kept shutdown for pressure buildup.</t>
  </si>
  <si>
    <t>1341 Hrs</t>
  </si>
  <si>
    <t>0.151/0.024/0.046</t>
  </si>
  <si>
    <t>15.2/15.2/15.2</t>
  </si>
  <si>
    <t>R9A#2 ESP restarted after pressure buildup at 1015 hrs on 24/03/2023.</t>
  </si>
  <si>
    <t>R9A#2 ESP tripped at 1341 hrs on 23/03/2023 due to underload caused by low inflow. Kept shutdown for pressure buildup.R9A#2 ESP restarted after pressure buildup at 1015 hrs on 24/03/2023.</t>
  </si>
  <si>
    <t>16.32+4.25 hrs</t>
  </si>
  <si>
    <t>R9A#4 ESP tripped at 1340 hrs on 25/03/2023 due to underload caused by high MLP. Restarted ESP at 1524 hrs on 25/03/2023</t>
  </si>
  <si>
    <t>0924 hrs</t>
  </si>
  <si>
    <t>1340 hrs</t>
  </si>
  <si>
    <t>1524 hrs</t>
  </si>
  <si>
    <t>1.73 hrs</t>
  </si>
  <si>
    <r>
      <rPr>
        <b/>
        <sz val="11"/>
        <color rgb="FFFF0000"/>
        <rFont val="Calibri"/>
        <family val="2"/>
        <charset val="204"/>
        <scheme val="minor"/>
      </rPr>
      <t>R9A#2</t>
    </r>
    <r>
      <rPr>
        <b/>
        <sz val="11"/>
        <rFont val="Calibri"/>
        <family val="2"/>
        <charset val="204"/>
        <scheme val="minor"/>
      </rPr>
      <t xml:space="preserve"> ESP tripped at 0924 hrs on 25/03/2023 due to underload caused by low inflow. Kept shutdown for pressure buildup.</t>
    </r>
    <r>
      <rPr>
        <b/>
        <sz val="11"/>
        <color rgb="FFFF0000"/>
        <rFont val="Calibri"/>
        <family val="2"/>
        <charset val="204"/>
        <scheme val="minor"/>
      </rPr>
      <t xml:space="preserve"> R9A#4</t>
    </r>
    <r>
      <rPr>
        <b/>
        <sz val="11"/>
        <rFont val="Calibri"/>
        <family val="2"/>
        <charset val="204"/>
        <scheme val="minor"/>
      </rPr>
      <t xml:space="preserve"> ESP tripped at 1340 hrs on 25/03/2023 due to underload caused by high MLP. Restarted ESP at 1524 hrs on 25/03/2023, ESP tripped at 0124 hrs on 26/03/2023 due to underload caused by high MLP restarted at 0610 hrs on 26/03/2023.</t>
    </r>
  </si>
  <si>
    <t>4.6+0.16 hrs</t>
  </si>
  <si>
    <t>0124 hrs</t>
  </si>
  <si>
    <t>0610 hrs</t>
  </si>
  <si>
    <t>R9A#1: ESP tripped at 1216 Hrs. on 20/03/2023 due to underload alarmcaused by low inflow. ESP kept shutdown for pressure build up.Intake pressure-1267 PSI</t>
  </si>
  <si>
    <t>ESP  tripped on the underload at  0924 Hrs. on 25/03/2023 caused by low inflow. ESP kept shutdown  for pressure build up.</t>
  </si>
  <si>
    <t>0.144/0.028/0.045</t>
  </si>
  <si>
    <t>15.2/15.1/15.2</t>
  </si>
  <si>
    <t>15.8/15.7/15.7</t>
  </si>
  <si>
    <t>R9A#2 ESP tripped at 0924 hrs on 25/03/2023 due to underload caused by low inflow. Kept shutdown for pressure buildup. Restarted ESP at 0614 hrs on 26/03/2023</t>
  </si>
  <si>
    <t>0614 hrs</t>
  </si>
  <si>
    <t>20.6+0.23 hrs</t>
  </si>
  <si>
    <t>2154 hrs</t>
  </si>
  <si>
    <t>R9A#4 ESP tripped at 1029 hrs on 26/03/2023 due to underload caused by high MLP restarted at 2154 hrs on 26/03/2023. trip time not received</t>
  </si>
  <si>
    <t>1029 hrs</t>
  </si>
  <si>
    <t>11.41 hrs</t>
  </si>
  <si>
    <r>
      <rPr>
        <b/>
        <sz val="11"/>
        <color rgb="FFFF0000"/>
        <rFont val="Calibri"/>
        <family val="2"/>
        <charset val="204"/>
        <scheme val="minor"/>
      </rPr>
      <t>R9A#2</t>
    </r>
    <r>
      <rPr>
        <b/>
        <sz val="11"/>
        <rFont val="Calibri"/>
        <family val="2"/>
        <charset val="204"/>
        <scheme val="minor"/>
      </rPr>
      <t xml:space="preserve"> ESP restarted after pressure buildup at 0614 hrs on 26/03/2023. </t>
    </r>
    <r>
      <rPr>
        <b/>
        <sz val="11"/>
        <color rgb="FFFF0000"/>
        <rFont val="Calibri"/>
        <family val="2"/>
        <charset val="204"/>
        <scheme val="minor"/>
      </rPr>
      <t>R9A#4</t>
    </r>
    <r>
      <rPr>
        <b/>
        <sz val="11"/>
        <rFont val="Calibri"/>
        <family val="2"/>
        <charset val="204"/>
        <scheme val="minor"/>
      </rPr>
      <t xml:space="preserve"> ESP tripped at 1029 hrs on 26/03/2023 due to underload caused by high MLP restarted at 2154 hrs on 26/03/2023. </t>
    </r>
  </si>
  <si>
    <t>R9A#1: ESP tripped at 1216 Hrs. on 20/03/2023 due to underload alarmcaused by low inflow. ESP kept shutdown for pressure build up.Intake pressure-1290 PSI</t>
  </si>
  <si>
    <t>0.209/0.048/0.062</t>
  </si>
  <si>
    <t>12.8/12.8/12.5</t>
  </si>
  <si>
    <t>12.8/12.7/12.8</t>
  </si>
  <si>
    <t>2306 hrs</t>
  </si>
  <si>
    <t>1.22/2.89</t>
  </si>
  <si>
    <t>18.2/18.3/18.0</t>
  </si>
  <si>
    <t>ESP  tripped on the underload at  1255 Hrs. on 28/03/2023 caused by low inflow. ESP kept shutdown  for pressure build up.</t>
  </si>
  <si>
    <t>14.1/13.9/13.7</t>
  </si>
  <si>
    <t>6.9 hrs</t>
  </si>
  <si>
    <t>1414 hrs</t>
  </si>
  <si>
    <t>R9A#4 ESP tripped at 0748 hrs on 28/03/2023 due to underload caused by high MLP. ESP restarted at 1423 hrs after MLP stabilized. R9A#1 ESP started after pressure buildup at 1211 hrs on 28/03/2023.</t>
  </si>
  <si>
    <t>0748 hrs</t>
  </si>
  <si>
    <t>1423 hrs</t>
  </si>
  <si>
    <t>6.58 hrs</t>
  </si>
  <si>
    <t xml:space="preserve">R9A#1 ESP started after pressure buildup at 1211 hrs on 28/03/2023. </t>
  </si>
  <si>
    <t>1211 hrs</t>
  </si>
  <si>
    <t>6.18 hrs</t>
  </si>
  <si>
    <t>1255 hrs</t>
  </si>
  <si>
    <t>R9A#2 ESP tripped at 2306 hrs on 26/03/2023 due to underload caused by low inflow. After pressure buildup restarted ESP at 1414  hrs on 27/03/2023.</t>
  </si>
  <si>
    <t>1.14/2.97</t>
  </si>
  <si>
    <t>17.5/17.5/17.3</t>
  </si>
  <si>
    <t>0.069/0.026/0.105</t>
  </si>
  <si>
    <t>13/13/12.9</t>
  </si>
  <si>
    <r>
      <rPr>
        <b/>
        <sz val="11"/>
        <color rgb="FFFF0000"/>
        <rFont val="Calibri"/>
        <family val="2"/>
        <charset val="204"/>
        <scheme val="minor"/>
      </rPr>
      <t>R9A#4</t>
    </r>
    <r>
      <rPr>
        <b/>
        <sz val="11"/>
        <rFont val="Calibri"/>
        <family val="2"/>
        <charset val="204"/>
        <scheme val="minor"/>
      </rPr>
      <t xml:space="preserve"> ESP tripped at 0748 hrs on 28/03/2023 due to underload caused by high MLP. ESP restarted at 1423 hrs after MLP stabilized. </t>
    </r>
    <r>
      <rPr>
        <b/>
        <sz val="11"/>
        <color rgb="FFFF0000"/>
        <rFont val="Calibri"/>
        <family val="2"/>
        <charset val="204"/>
        <scheme val="minor"/>
      </rPr>
      <t>R9A#1</t>
    </r>
    <r>
      <rPr>
        <b/>
        <sz val="11"/>
        <rFont val="Calibri"/>
        <family val="2"/>
        <charset val="204"/>
        <scheme val="minor"/>
      </rPr>
      <t xml:space="preserve"> ESP started after pressure buildup at 1211 hrs on 28/03/2023. </t>
    </r>
    <r>
      <rPr>
        <b/>
        <sz val="11"/>
        <color rgb="FFFF0000"/>
        <rFont val="Calibri"/>
        <family val="2"/>
        <charset val="204"/>
        <scheme val="minor"/>
      </rPr>
      <t>R9#A2</t>
    </r>
    <r>
      <rPr>
        <b/>
        <sz val="11"/>
        <rFont val="Calibri"/>
        <family val="2"/>
        <charset val="204"/>
        <scheme val="minor"/>
      </rPr>
      <t xml:space="preserve"> ESP tripped at 1255 hrs on 28/03/2023 due to underload caused by low inflow. Kept shutdown for pressure buildup. Restarted at 05:14 hrs on 29/03/2023.</t>
    </r>
  </si>
  <si>
    <r>
      <rPr>
        <b/>
        <sz val="11"/>
        <color rgb="FFFF0000"/>
        <rFont val="Calibri"/>
        <family val="2"/>
        <charset val="204"/>
        <scheme val="minor"/>
      </rPr>
      <t>R9A#2</t>
    </r>
    <r>
      <rPr>
        <b/>
        <sz val="11"/>
        <rFont val="Calibri"/>
        <family val="2"/>
        <charset val="204"/>
        <scheme val="minor"/>
      </rPr>
      <t xml:space="preserve"> ESP tripped at 2306 hrs on 26/03/2023 due to underload caused by low inflow. After pressure buildup restarted ESP at 1414 hrs on 27/03/2023. </t>
    </r>
  </si>
  <si>
    <t>ESP  tripped on the underload at   Hrs. on 30/03/2023 caused by low inflow. ESP kept shutdown  for pressure build up.</t>
  </si>
  <si>
    <t xml:space="preserve">R9A#1 Esp tripped at 2010 hrs on 30/03/2023 due to underload caused by low inflow. Kept shutdown for pressure buildup. </t>
  </si>
  <si>
    <t>2010 hrs</t>
  </si>
  <si>
    <t>9.83 Hrs</t>
  </si>
  <si>
    <t>R9A#1: ESP tripped at  Hrs. on 30/03/2023 due to underload alarmcaused by low inflow. ESP kept shutdown for pressure build up.Intake pressure- PSI</t>
  </si>
  <si>
    <t>R9A#1: ESP tripped at  Hrs. on 30/03/2023 due to underload alarmcaused by low inflow. ESP kept shutdown for pressure build up.Intake pressure-1048 PSI</t>
  </si>
  <si>
    <r>
      <rPr>
        <b/>
        <sz val="11"/>
        <color rgb="FFFF0000"/>
        <rFont val="Calibri"/>
        <family val="2"/>
        <charset val="204"/>
        <scheme val="minor"/>
      </rPr>
      <t>R9A#2</t>
    </r>
    <r>
      <rPr>
        <b/>
        <sz val="11"/>
        <rFont val="Calibri"/>
        <family val="2"/>
        <charset val="204"/>
        <scheme val="minor"/>
      </rPr>
      <t xml:space="preserve"> ESP tripped at 2054 hrs on 31/03/2023 due to underload caused by low inflow. Kept shutdown for pressure buildup.</t>
    </r>
  </si>
  <si>
    <t>Total running hours April 2023</t>
  </si>
  <si>
    <t>Total shutdown hours due to ONGC April 2023</t>
  </si>
  <si>
    <t>Total shutdown hours due to Novomet April 2023</t>
  </si>
  <si>
    <r>
      <rPr>
        <b/>
        <sz val="11"/>
        <color rgb="FFFF0000"/>
        <rFont val="Calibri"/>
        <family val="2"/>
        <charset val="204"/>
        <scheme val="minor"/>
      </rPr>
      <t>R9A#2</t>
    </r>
    <r>
      <rPr>
        <b/>
        <sz val="11"/>
        <rFont val="Calibri"/>
        <family val="2"/>
        <charset val="204"/>
        <scheme val="minor"/>
      </rPr>
      <t xml:space="preserve"> ESP restarted after pressure buildup at 1416 hrs on 01/04/2023</t>
    </r>
  </si>
  <si>
    <t>R9A#1: ESP tripped at  Hrs. on 30/03/2023 due to underload alarmcaused by low inflow. ESP kept shutdown for pressure build up.Intake pressure-1112 PSI</t>
  </si>
  <si>
    <t>0.138/0.49/0.044</t>
  </si>
  <si>
    <t>15.2/15.3/15.3</t>
  </si>
  <si>
    <t>R9A#1: ESP tripped at  Hrs. on 30/03/2023 due to underload alarmcaused by low inflow. ESP kept shutdown for pressure build up.Intake pressure-1156PSI</t>
  </si>
  <si>
    <t>ESP  tripped on the underload at  0921 Hrs. on 02/04/2023 caused by low inflow. ESP kept shutdown  for pressure build up.</t>
  </si>
  <si>
    <t>2001 hrs</t>
  </si>
  <si>
    <t>2147 hrs</t>
  </si>
  <si>
    <t>1.76 hrs</t>
  </si>
  <si>
    <t>R9A#4 ESP tripped at 2001 hrs on 02/04/2023 due to underload caused by suspected gas. After pressure buildup restarted ESP at 2147 hrs on 02/04/2023.</t>
  </si>
  <si>
    <r>
      <rPr>
        <b/>
        <sz val="11"/>
        <color rgb="FFFF0000"/>
        <rFont val="Calibri"/>
        <family val="2"/>
        <charset val="204"/>
        <scheme val="minor"/>
      </rPr>
      <t xml:space="preserve">R9A#2 </t>
    </r>
    <r>
      <rPr>
        <b/>
        <sz val="11"/>
        <rFont val="Calibri"/>
        <family val="2"/>
        <charset val="204"/>
        <scheme val="minor"/>
      </rPr>
      <t xml:space="preserve">ESP tripped at 0921 hrs on 02/04/2023 due to underload caused by low inflow. Restarted ESP at 2335 hrs on 02/04/2023. </t>
    </r>
    <r>
      <rPr>
        <b/>
        <sz val="11"/>
        <color rgb="FFFF0000"/>
        <rFont val="Calibri"/>
        <family val="2"/>
        <charset val="204"/>
        <scheme val="minor"/>
      </rPr>
      <t xml:space="preserve">R9A#4 </t>
    </r>
    <r>
      <rPr>
        <b/>
        <sz val="11"/>
        <rFont val="Calibri"/>
        <family val="2"/>
        <charset val="204"/>
        <scheme val="minor"/>
      </rPr>
      <t>ESP tripped at 2001 hrs on 02/04/2023 due to underload caused by suspected gas. After pressure buildup restarted ESP at 2147 hrs on 02/04/2023.</t>
    </r>
  </si>
  <si>
    <t>R9A#2 ESP tripped at 0921 hrs on 02/04/2023 due to underload caused by low inflow. Restarted ESP at 2335 hrs on 02/04/2023.</t>
  </si>
  <si>
    <t>R9#A2 ESP tripped at 1255 hrs on 28/03/2023 due to underload caused by low inflow. Kept shutdown for pressure buildup. Restarted at 05:14 hrs on 29/03/2023.</t>
  </si>
  <si>
    <t>0514 hrs</t>
  </si>
  <si>
    <t>16.31 hrs</t>
  </si>
  <si>
    <r>
      <rPr>
        <b/>
        <sz val="11"/>
        <color rgb="FFFF0000"/>
        <rFont val="Calibri"/>
        <family val="2"/>
        <charset val="204"/>
        <scheme val="minor"/>
      </rPr>
      <t>R9A#2</t>
    </r>
    <r>
      <rPr>
        <b/>
        <sz val="11"/>
        <rFont val="Calibri"/>
        <family val="2"/>
        <charset val="204"/>
        <scheme val="minor"/>
      </rPr>
      <t xml:space="preserve"> ESP tripped at 0727 hrs on 30/03/2023 due to underload caused by low inflow. Kept shutdown for pressure buildup. Restarted after pressure buildup at  0001 hrs on 31/03/2023. </t>
    </r>
    <r>
      <rPr>
        <b/>
        <sz val="11"/>
        <color rgb="FFFF0000"/>
        <rFont val="Calibri"/>
        <family val="2"/>
        <charset val="204"/>
        <scheme val="minor"/>
      </rPr>
      <t>R9A#1</t>
    </r>
    <r>
      <rPr>
        <b/>
        <sz val="11"/>
        <rFont val="Calibri"/>
        <family val="2"/>
        <charset val="204"/>
        <scheme val="minor"/>
      </rPr>
      <t xml:space="preserve"> Esp tripped at 2010 hrs on 30/03/2023 due to underload caused by low inflow. Kept shutdown for pressure buildup. </t>
    </r>
  </si>
  <si>
    <t xml:space="preserve">R9A#2 ESP tripped at 0727 hrs on 30/03/2023 due to underload caused by low inflow. Kept shutdown for pressure buildup. Restarted after pressure buildup at  0001 hrs on 31/03/2023. </t>
  </si>
  <si>
    <t>16.56 hrs</t>
  </si>
  <si>
    <t>0727 hrs</t>
  </si>
  <si>
    <t>0001 hrs</t>
  </si>
  <si>
    <t>9.1+8.26 hrs</t>
  </si>
  <si>
    <t>2054 hrs</t>
  </si>
  <si>
    <t>R9A#2 ESP tripped at 2054 hrs on 31/03/2023 due to underload caused by low inflow. Kept shutdown for pressure buildup. ESP restarted after pressure buildup at 1416 hrs on 01/04/2023</t>
  </si>
  <si>
    <t>0921 hrs</t>
  </si>
  <si>
    <t>2335 hrs</t>
  </si>
  <si>
    <t>14.23 hrs</t>
  </si>
  <si>
    <t>R9A#1: ESP tripped at  Hrs. on 30/03/2023 due to underload alarmcaused by low inflow. ESP kept shutdown for pressure build up.Intake pressure-1195PSI</t>
  </si>
  <si>
    <t>ESP  tripped on the underload at 2028 Hrs. on 03/04/2023 caused by low inflow. ESP kept shutdown  for pressure build up.</t>
  </si>
  <si>
    <t>ESP tripped at 1158 hrs on 04-03-2023 due to overcurrent. Tried to start ESP at 1333 hrs tripped again due to evercurrent, checked DH readings from SUT and mandrel: P-P 6.5, 6.5, 4.0 ohm P-G 0 ohm. Well kept shutdown.</t>
  </si>
  <si>
    <t>2028 hrs</t>
  </si>
  <si>
    <t>1.55/3.1</t>
  </si>
  <si>
    <t>18.4/18.4/18.2</t>
  </si>
  <si>
    <t>0.150/0.26/0.146</t>
  </si>
  <si>
    <t>13.5/13.5/13.6</t>
  </si>
  <si>
    <t>ESP Electrical failure</t>
  </si>
  <si>
    <t>R9A1 ONGC started ESP at 1802 hrs on 04-04-2023</t>
  </si>
  <si>
    <t>12.03 hrs</t>
  </si>
  <si>
    <t>1802 hrs</t>
  </si>
  <si>
    <t>R9A#2 ESP tripped at 2028 hrs on 03/04/2023 due to underload caused by low inflow. Kept shutdown for pressure buildup. R9A#2 ESP started after pressure buildup at 0620 hrs on 04-04-2023 as per ONGC instruction</t>
  </si>
  <si>
    <t>0620 hrs</t>
  </si>
  <si>
    <t>9.53+0.33 hrs</t>
  </si>
  <si>
    <t>R9A#5 Esp tripped at 1158 hrs on 03-04-2023 due to overcurrent alarm. Tried to start ESP at 1333 hrs but tripped immediately due to overcurrent. Checked downhole resistance from mandrel P-P 6.5, 6.5, 4.0 ohm (unbalanced) P-G 0 ohm. ESP is kept shutdown.</t>
  </si>
  <si>
    <t>1158 hrs</t>
  </si>
  <si>
    <t>1.26/5.71</t>
  </si>
  <si>
    <t>0.201/0.63/0.068</t>
  </si>
  <si>
    <r>
      <rPr>
        <b/>
        <sz val="11"/>
        <color rgb="FFFF0000"/>
        <rFont val="Calibri"/>
        <family val="2"/>
        <charset val="204"/>
        <scheme val="minor"/>
      </rPr>
      <t>R9A1</t>
    </r>
    <r>
      <rPr>
        <b/>
        <sz val="11"/>
        <rFont val="Calibri"/>
        <family val="2"/>
        <charset val="204"/>
        <scheme val="minor"/>
      </rPr>
      <t xml:space="preserve"> ONGC started ESP at 1802 hrs on 04-04-2023. </t>
    </r>
    <r>
      <rPr>
        <b/>
        <sz val="11"/>
        <color rgb="FFFF0000"/>
        <rFont val="Calibri"/>
        <family val="2"/>
        <charset val="204"/>
        <scheme val="minor"/>
      </rPr>
      <t xml:space="preserve">R9A#2 </t>
    </r>
    <r>
      <rPr>
        <b/>
        <sz val="11"/>
        <rFont val="Calibri"/>
        <family val="2"/>
        <charset val="204"/>
        <scheme val="minor"/>
      </rPr>
      <t>ESP started after pressure buildup at 0620 hrs on 04-04-2023 as per ONGC instruction. R9A#2 ESP tripped at 2345 on 04-04-2023 due to underload caused by low inflow. Kept shutdown for pressure buildup.</t>
    </r>
  </si>
  <si>
    <r>
      <rPr>
        <b/>
        <sz val="11"/>
        <color rgb="FFFF0000"/>
        <rFont val="Calibri"/>
        <family val="2"/>
        <charset val="204"/>
        <scheme val="minor"/>
      </rPr>
      <t xml:space="preserve">R9A#2 </t>
    </r>
    <r>
      <rPr>
        <b/>
        <sz val="11"/>
        <rFont val="Calibri"/>
        <family val="2"/>
        <charset val="204"/>
        <scheme val="minor"/>
      </rPr>
      <t xml:space="preserve">ESP tripped at 2028 hrs on 03/04/2023 due to underload caused by low inflow. Kept shutdown for pressure buildup. </t>
    </r>
    <r>
      <rPr>
        <b/>
        <sz val="11"/>
        <color rgb="FFFF0000"/>
        <rFont val="Calibri"/>
        <family val="2"/>
        <charset val="204"/>
        <scheme val="minor"/>
      </rPr>
      <t>R9A#5</t>
    </r>
    <r>
      <rPr>
        <b/>
        <i/>
        <sz val="11"/>
        <rFont val="Calibri"/>
        <family val="2"/>
        <charset val="204"/>
        <scheme val="minor"/>
      </rPr>
      <t xml:space="preserve"> </t>
    </r>
    <r>
      <rPr>
        <b/>
        <i/>
        <sz val="11"/>
        <color rgb="FFFF0000"/>
        <rFont val="Calibri"/>
        <family val="2"/>
        <charset val="204"/>
        <scheme val="minor"/>
      </rPr>
      <t>Esp tripped at 1158 hrs on 03-04-2023 due to overcurrent alarm. Tried to start ESP at 1333 hrs but tripped immediately due to overcurrent. Checked downhole resistance from mandrel P-P 6.5, 6.5, 4.0 ohm (unbalanced) P-G 0 ohm. ESP is kept shutdown.</t>
    </r>
  </si>
  <si>
    <t>2345 hrs</t>
  </si>
  <si>
    <t xml:space="preserve"> R9A#2 ESP tripped at 2345 on 04-04-2023 due to underload caused by low inflow. Kept shutdown for pressure buildup. ESP started at 1423 after pressure buildup on 05-04-2023.</t>
  </si>
  <si>
    <t>6.25+8.38 hrs</t>
  </si>
  <si>
    <t>R9A#1: ESP tripped at 0134 Hrs. on 06/04/2023 due to underload alarmcaused by low inflow. ESP kept shutdown for pressure build up.Intake pressure-1073PSI</t>
  </si>
  <si>
    <t>0.146/0.037/0.128</t>
  </si>
  <si>
    <t>Frequency returned to 52 hz after MLP dropped</t>
  </si>
  <si>
    <t>0134 hrs</t>
  </si>
  <si>
    <r>
      <rPr>
        <b/>
        <sz val="11"/>
        <color rgb="FFFF0000"/>
        <rFont val="Calibri"/>
        <family val="2"/>
        <charset val="204"/>
        <scheme val="minor"/>
      </rPr>
      <t>R9A#2</t>
    </r>
    <r>
      <rPr>
        <b/>
        <sz val="11"/>
        <rFont val="Calibri"/>
        <family val="2"/>
        <charset val="204"/>
        <scheme val="minor"/>
      </rPr>
      <t xml:space="preserve"> ESP started at 1423 after pressure buildup on 05-04-2023. ESP tripped at 0309 hrs on 06-04-2023. Kept shutdown for pressure buildup. </t>
    </r>
    <r>
      <rPr>
        <b/>
        <sz val="11"/>
        <color rgb="FFFF0000"/>
        <rFont val="Calibri"/>
        <family val="2"/>
        <charset val="204"/>
        <scheme val="minor"/>
      </rPr>
      <t>R9A#1</t>
    </r>
    <r>
      <rPr>
        <b/>
        <sz val="11"/>
        <rFont val="Calibri"/>
        <family val="2"/>
        <charset val="204"/>
        <scheme val="minor"/>
      </rPr>
      <t xml:space="preserve"> ESP tripped at 0134 hrs on 06-04-2023 due to underload caused by low inflow. Kept shutdown for pressure buildup</t>
    </r>
  </si>
  <si>
    <t>R9A#1 ESP tripped at 0134 hrs on 06-04-2023 due to underload caused by low inflow. Kept shutdown for pressure buildup</t>
  </si>
  <si>
    <t>4.43 hrs</t>
  </si>
  <si>
    <t>ESP tripped at 0309 hrs on 06-04-2023. Kept shutdown for pressure buildup, R9A#2 ESP started at 0926 hrs on 06-04-2023 after pressure buildup.</t>
  </si>
  <si>
    <t>0309 hrs</t>
  </si>
  <si>
    <t>0926 hrs</t>
  </si>
  <si>
    <t>R9A#1: ESP tripped at 0134 Hrs. on 06/04/2023 due to underload alarmcaused by low inflow. ESP kept shutdown for pressure build up.Intake pressure-1137PSI</t>
  </si>
  <si>
    <t>0.100/0.017/0.101</t>
  </si>
  <si>
    <t>Frequency kept at 53 hz due to suspected gas and fluctuations in MLP</t>
  </si>
  <si>
    <r>
      <rPr>
        <b/>
        <sz val="11"/>
        <color rgb="FFFF0000"/>
        <rFont val="Calibri"/>
        <family val="2"/>
        <charset val="204"/>
        <scheme val="minor"/>
      </rPr>
      <t>R9A#2</t>
    </r>
    <r>
      <rPr>
        <b/>
        <sz val="11"/>
        <rFont val="Calibri"/>
        <family val="2"/>
        <charset val="204"/>
        <scheme val="minor"/>
      </rPr>
      <t xml:space="preserve"> ESP started at 0926 hrs on 06-04-2023 after pressure buildup. ESP tripped at 0042 on 07-04-2023 due to underload caused by low inflow. Kept shutdown for pressure buildup. </t>
    </r>
    <r>
      <rPr>
        <b/>
        <sz val="11"/>
        <color rgb="FFFF3300"/>
        <rFont val="Calibri"/>
        <family val="2"/>
        <charset val="204"/>
        <scheme val="minor"/>
      </rPr>
      <t>R9A#4</t>
    </r>
    <r>
      <rPr>
        <b/>
        <sz val="11"/>
        <rFont val="Calibri"/>
        <family val="2"/>
        <charset val="204"/>
        <scheme val="minor"/>
      </rPr>
      <t xml:space="preserve"> ESP tripped due to underload at 0104 hrs on 07-04-2023 due to underload caused by suspected gas or high MLP. Restarted after buildup at 0406 hrs on 07-04-2023.</t>
    </r>
  </si>
  <si>
    <t>0042 hrs</t>
  </si>
  <si>
    <t>3.26 hrs</t>
  </si>
  <si>
    <t>5.3+7.42</t>
  </si>
  <si>
    <t>ESP tripped at 0042 on 07-04-2023 due to underload caused by low inflow. Kept shutdown for pressure buildup. Restarted ESP at 1325 hrs on 07-04-2023 after pressure buildup.</t>
  </si>
  <si>
    <r>
      <rPr>
        <b/>
        <sz val="11"/>
        <color rgb="FFFF3300"/>
        <rFont val="Calibri"/>
        <family val="2"/>
        <charset val="204"/>
        <scheme val="minor"/>
      </rPr>
      <t>R9A#4</t>
    </r>
    <r>
      <rPr>
        <b/>
        <sz val="11"/>
        <rFont val="Calibri"/>
        <family val="2"/>
        <charset val="204"/>
        <scheme val="minor"/>
      </rPr>
      <t xml:space="preserve"> ESP tripped at 0630 hrs on 07-04-2023 due to platform DG tripped. Restarted ESP after power restored and backspin finished at 0708 hrs on 07-04-2023. </t>
    </r>
    <r>
      <rPr>
        <b/>
        <sz val="11"/>
        <color rgb="FFFF3300"/>
        <rFont val="Calibri"/>
        <family val="2"/>
        <charset val="204"/>
        <scheme val="minor"/>
      </rPr>
      <t xml:space="preserve">R9A#2 </t>
    </r>
    <r>
      <rPr>
        <b/>
        <sz val="11"/>
        <rFont val="Calibri"/>
        <family val="2"/>
        <charset val="204"/>
        <scheme val="minor"/>
      </rPr>
      <t>Restarted ESP at 1325 hrs on 07-04-2023 after pressure buildup.</t>
    </r>
  </si>
  <si>
    <t>R9A#1: ESP tripped at 0134 Hrs. on 06/04/2023 due to underload alarmcaused by low inflow. ESP kept shutdown for pressure build up.Intake pressure-1178PSI</t>
  </si>
  <si>
    <t>0.193/0.033/0.027</t>
  </si>
  <si>
    <t xml:space="preserve">15.4/15.3/15.3 </t>
  </si>
  <si>
    <t>ESP shows better performance at 53Hz.</t>
  </si>
  <si>
    <r>
      <rPr>
        <b/>
        <sz val="11"/>
        <color rgb="FFFF0000"/>
        <rFont val="Calibri"/>
        <family val="2"/>
        <charset val="204"/>
        <scheme val="minor"/>
      </rPr>
      <t>R9A#2</t>
    </r>
    <r>
      <rPr>
        <b/>
        <sz val="11"/>
        <rFont val="Calibri"/>
        <family val="2"/>
        <charset val="204"/>
        <scheme val="minor"/>
      </rPr>
      <t xml:space="preserve"> ESP tripped at 0659 hrs on 08-04-2023 due to underload caused by low inflow. After pressure buildup restarted ESP at 1850 hrs on 08-04-2023.</t>
    </r>
  </si>
  <si>
    <t>R9A#2 ESP tripped at 0659 hrs on 08-04-2023 due to underload caused by low inflow. After pressure buildup restarted ESP at 1850 hrs on 08-04-2023.</t>
  </si>
  <si>
    <t>11.85 hrs</t>
  </si>
  <si>
    <t>0659 hrs</t>
  </si>
  <si>
    <t>1850 hrs</t>
  </si>
  <si>
    <t>R9A#1: ESP tripped at 0134 Hrs. on 06/04/2023 due to underload alarmcaused by low inflow. ESP kept shutdown for pressure build up.Intake pressure-1214PSI</t>
  </si>
  <si>
    <r>
      <rPr>
        <b/>
        <sz val="11"/>
        <color rgb="FFFF0000"/>
        <rFont val="Calibri"/>
        <family val="2"/>
        <charset val="204"/>
        <scheme val="minor"/>
      </rPr>
      <t>R9A#2</t>
    </r>
    <r>
      <rPr>
        <b/>
        <sz val="11"/>
        <rFont val="Calibri"/>
        <family val="2"/>
        <charset val="204"/>
        <scheme val="minor"/>
      </rPr>
      <t xml:space="preserve"> ESP tripped at 1131 hrs on 09-04-2023 due to underload caused by low inflow. After pressure buildup restarted ESP at 0030 hrs on 10-04-2023.</t>
    </r>
  </si>
  <si>
    <t>R9A#2 ESP tripped at 1131 hrs on 09-04-2023 due to underload caused by low inflow. After pressure buildup restarted ESP at 0030 hrs on 10-04-2023.</t>
  </si>
  <si>
    <t>12.98 hrs</t>
  </si>
  <si>
    <t>1131 hrs</t>
  </si>
  <si>
    <t>0030 hrs</t>
  </si>
  <si>
    <r>
      <t xml:space="preserve">R9A#1: ESP tripped at 1216 Hrs. on 20/03/2023 due to underload alarm caused by low inflow. ESP kept shutdown for pressure build up. </t>
    </r>
    <r>
      <rPr>
        <b/>
        <sz val="11"/>
        <color rgb="FFFF0000"/>
        <rFont val="Calibri"/>
        <family val="2"/>
        <charset val="204"/>
        <scheme val="minor"/>
      </rPr>
      <t>R9A#4</t>
    </r>
    <r>
      <rPr>
        <b/>
        <sz val="11"/>
        <rFont val="Calibri"/>
        <family val="2"/>
        <charset val="204"/>
        <scheme val="minor"/>
      </rPr>
      <t xml:space="preserve"> ESP tripped at 1435 hrs on 20-03-2023 due to underload caused by suspected gas. Restarted after pressure buildup at 1757 on 20-03-2023</t>
    </r>
  </si>
  <si>
    <t>R9A#4 ESP tripped at 1435 hrs on 20-03-2023 due to underload caused by suspected gas. Restarted after pressure buildup at 1757 on 20-03-2023</t>
  </si>
  <si>
    <t>1435 hrs</t>
  </si>
  <si>
    <t>1757 hrs</t>
  </si>
  <si>
    <t>3.36 hrs</t>
  </si>
  <si>
    <t>R9A#4 ESP tripped at 0124 hrs on 26/03/2023 due to underload caused by high MLP restarted at 0610 hrs on 26/03/2023.</t>
  </si>
  <si>
    <t>1.55/1.58</t>
  </si>
  <si>
    <t>18.4/18.5/18.3</t>
  </si>
  <si>
    <t>ESP  tripped on the underload at  1801 Hrs. on 10/04/2023 caused by low inflow. ESP kept shutdown  for pressure build up.</t>
  </si>
  <si>
    <t>ESP  tripped on the underload at  1131 Hrs. on 09/04/2023 caused by low inflow. ESP kept shutdown  for pressure build up.</t>
  </si>
  <si>
    <t>R9A#1 ESP started as per ONGC after pressure buildup at 1346 hrs on 10-04-2023.</t>
  </si>
  <si>
    <r>
      <rPr>
        <b/>
        <sz val="11"/>
        <color rgb="FFFF0000"/>
        <rFont val="Calibri"/>
        <family val="2"/>
        <charset val="204"/>
        <scheme val="minor"/>
      </rPr>
      <t>R9A#1</t>
    </r>
    <r>
      <rPr>
        <b/>
        <sz val="11"/>
        <rFont val="Calibri"/>
        <family val="2"/>
        <charset val="204"/>
        <scheme val="minor"/>
      </rPr>
      <t xml:space="preserve"> ESP started as per ONGC after pressure buildup at 1346 hrs on 10-04-2023. </t>
    </r>
    <r>
      <rPr>
        <b/>
        <sz val="11"/>
        <color rgb="FFFF0000"/>
        <rFont val="Calibri"/>
        <family val="2"/>
        <charset val="204"/>
        <scheme val="minor"/>
      </rPr>
      <t>R9A#2</t>
    </r>
    <r>
      <rPr>
        <b/>
        <sz val="11"/>
        <rFont val="Calibri"/>
        <family val="2"/>
        <charset val="204"/>
        <scheme val="minor"/>
      </rPr>
      <t xml:space="preserve"> ESP tripped at 1801 hrs on 10-04-2023 due to underload caused by low inflow. Kept shutdown for buildup.</t>
    </r>
  </si>
  <si>
    <t>Frequency temporarily increased from 53 to 53.5Hz. (pigging is going on)</t>
  </si>
  <si>
    <r>
      <rPr>
        <b/>
        <sz val="11"/>
        <color rgb="FFFF0000"/>
        <rFont val="Calibri"/>
        <family val="2"/>
        <charset val="204"/>
        <scheme val="minor"/>
      </rPr>
      <t>R9A#2</t>
    </r>
    <r>
      <rPr>
        <b/>
        <sz val="11"/>
        <rFont val="Calibri"/>
        <family val="2"/>
        <charset val="204"/>
        <scheme val="minor"/>
      </rPr>
      <t xml:space="preserve"> ESP started after pressure buildup at 1128 hrs on 11-04-2023.</t>
    </r>
  </si>
  <si>
    <t>1.29/3.62</t>
  </si>
  <si>
    <t>High MLP due to pigging</t>
  </si>
  <si>
    <t>0.172/0.042/0.112</t>
  </si>
  <si>
    <t>16.4/16.2/16.3</t>
  </si>
  <si>
    <t>High MLP-Frequency temporarily increased from 53 to 54Hz. (pigging is going on)</t>
  </si>
  <si>
    <t>ESP  tripped on the underload at   Hrs. on 12/04/2023 caused by low inflow. ESP kept shutdown  for pressure build up.</t>
  </si>
  <si>
    <t>17.1/17.1/17.1</t>
  </si>
  <si>
    <t>R9A#2 ESP tripped at 1801 hrs on 10-04-2023 due to underload caused by low inflow. Kept shutdown for buildup.  ESP started after pressure buildup at 1128 hrs on 11-04-2023.</t>
  </si>
  <si>
    <t>1801 hrs</t>
  </si>
  <si>
    <t>1128 hrs</t>
  </si>
  <si>
    <t>11.98+5.47 hrs</t>
  </si>
  <si>
    <t>7.77 hrs</t>
  </si>
  <si>
    <r>
      <rPr>
        <b/>
        <sz val="11"/>
        <color rgb="FFFF0000"/>
        <rFont val="Calibri"/>
        <family val="2"/>
        <charset val="204"/>
        <scheme val="minor"/>
      </rPr>
      <t>R9A#2</t>
    </r>
    <r>
      <rPr>
        <b/>
        <sz val="11"/>
        <rFont val="Calibri"/>
        <family val="2"/>
        <charset val="204"/>
        <scheme val="minor"/>
      </rPr>
      <t xml:space="preserve"> ESP tripped at 1049 hrs on 12-04-2023 due to underload caused by low inflow. Restarted ESP after pressure buildup at 0042 hrs on 13-04-2023. </t>
    </r>
    <r>
      <rPr>
        <b/>
        <sz val="11"/>
        <color rgb="FFFF0000"/>
        <rFont val="Calibri"/>
        <family val="2"/>
        <charset val="204"/>
        <scheme val="minor"/>
      </rPr>
      <t>R9A#1</t>
    </r>
    <r>
      <rPr>
        <b/>
        <sz val="11"/>
        <rFont val="Calibri"/>
        <family val="2"/>
        <charset val="204"/>
        <scheme val="minor"/>
      </rPr>
      <t xml:space="preserve"> ESP tripped at 0030 hrs on 13-04-2023 due to underload caused by low inflow. Kept shutdown for pressure buildup.</t>
    </r>
  </si>
  <si>
    <t xml:space="preserve">R9A#2 ESP tripped at 1049 hrs on 12-04-2023 due to underload caused by low inflow. Restarted ESP after pressure buildup at 0042 hrs on 13-04-2023. </t>
  </si>
  <si>
    <t>11.88 hrs</t>
  </si>
  <si>
    <t>1049 hrs</t>
  </si>
  <si>
    <t>R9A#1 ESP tripped at 0030 hrs on 13-04-2023 due to underload caused by low inflow. Kept shutdown for pressure buildup.</t>
  </si>
  <si>
    <r>
      <rPr>
        <b/>
        <sz val="11"/>
        <color rgb="FFFF0000"/>
        <rFont val="Calibri"/>
        <family val="2"/>
        <charset val="204"/>
        <scheme val="minor"/>
      </rPr>
      <t>R9A#2</t>
    </r>
    <r>
      <rPr>
        <b/>
        <sz val="11"/>
        <rFont val="Calibri"/>
        <family val="2"/>
        <charset val="204"/>
        <scheme val="minor"/>
      </rPr>
      <t xml:space="preserve"> ESP tripped at 2017 hrs on 13-04-2023 due to underload caused by low inflow. Kept shutdown for pressure buildup. </t>
    </r>
  </si>
  <si>
    <t>ESP  tripped on the underload at  2017 Hrs. on 13/04/2023 caused by low inflow. ESP kept shutdown  for pressure build up.</t>
  </si>
  <si>
    <t>R9A#1: ESP tripped at 0030 Hrs. on 13/04/2023 due to underload alarmcaused by low inflow. ESP kept shutdown for pressure build up.Intake pressure-1064PSI</t>
  </si>
  <si>
    <t>R9A#1: ESP tripped at 0030 Hrs. on 13/04/2023 due to underload alarmcaused by low inflow. ESP kept shutdown for pressure build up.Intake pressure-1080PSI</t>
  </si>
  <si>
    <t>0.033/0.033/0.073</t>
  </si>
  <si>
    <t>14.6/14.5/14.6</t>
  </si>
  <si>
    <t>R9A#2 ESP tripped at 2017 hrs on 13-04-2023 due to underload caused by low inflow. Kept shutdown for pressure buildup. ESP started after pressure buildup at 1004 hrs on 14-04-2023.</t>
  </si>
  <si>
    <t>9.71+4.06 hrs</t>
  </si>
  <si>
    <t>1004 hrs</t>
  </si>
  <si>
    <t>1.88/2.22</t>
  </si>
  <si>
    <t>0.161/0.044/0.031</t>
  </si>
  <si>
    <r>
      <rPr>
        <b/>
        <sz val="11"/>
        <color rgb="FFFF0000"/>
        <rFont val="Calibri"/>
        <family val="2"/>
        <charset val="204"/>
        <scheme val="minor"/>
      </rPr>
      <t>R9A#2</t>
    </r>
    <r>
      <rPr>
        <b/>
        <sz val="11"/>
        <rFont val="Calibri"/>
        <family val="2"/>
        <charset val="204"/>
        <scheme val="minor"/>
      </rPr>
      <t xml:space="preserve"> ESP started after pressure buildup at 1004 hrs on 14-04-2023. ESP tripped at 0506 hrs on 15-04-2023 due to underload caused by low inflow. Kept shutdown for pressure buildup.</t>
    </r>
  </si>
  <si>
    <t>0506 hrs</t>
  </si>
  <si>
    <r>
      <rPr>
        <b/>
        <sz val="11"/>
        <color rgb="FFFF0000"/>
        <rFont val="Calibri"/>
        <family val="2"/>
        <charset val="204"/>
        <scheme val="minor"/>
      </rPr>
      <t>R9A#2</t>
    </r>
    <r>
      <rPr>
        <b/>
        <sz val="11"/>
        <rFont val="Calibri"/>
        <family val="2"/>
        <charset val="204"/>
        <scheme val="minor"/>
      </rPr>
      <t xml:space="preserve"> ESP started as per ONGC at 1004 hrs on 15-04-2023. ESP tripped at 1703 hrs on 15-04-2023 due to underload caused by low inflow. Restarted ESP as per ONGC at 1922 hrs on 15-04-2023. ESP tripped at 0009 hrs on 16-04-2023 due to underload caused by low inflow. </t>
    </r>
    <r>
      <rPr>
        <b/>
        <sz val="11"/>
        <color rgb="FFFF0000"/>
        <rFont val="Calibri"/>
        <family val="2"/>
        <charset val="204"/>
        <scheme val="minor"/>
      </rPr>
      <t>R9A#1</t>
    </r>
    <r>
      <rPr>
        <b/>
        <sz val="11"/>
        <rFont val="Calibri"/>
        <family val="2"/>
        <charset val="204"/>
        <scheme val="minor"/>
      </rPr>
      <t xml:space="preserve"> ESP started as per ONGC at 1824 hrs on 15-04-2023.</t>
    </r>
  </si>
  <si>
    <t>R9A#2 ESP tripped at 0506 hrs on 15-04-2023 due to underload caused by low inflow. Kept shutdown for pressure buildup. ESP started as per ONGC at 1004 hrs on 15-04-2023</t>
  </si>
  <si>
    <t>0.9+4.4 hrs</t>
  </si>
  <si>
    <t>ESP tripped at 1703 hrs on 15-04-2023 due to underload caused by low inflow. Restarted ESP as per ONGC at 1922 hrs on 15-04-2023.</t>
  </si>
  <si>
    <t>1703 hrs</t>
  </si>
  <si>
    <t>1922 hrs</t>
  </si>
  <si>
    <t>2.19 hrs</t>
  </si>
  <si>
    <t>0009 hrs</t>
  </si>
  <si>
    <t>1.44/2.26</t>
  </si>
  <si>
    <t>17.2/17.2/17</t>
  </si>
  <si>
    <t>0.219/0.071/0.155</t>
  </si>
  <si>
    <t>15.9/15.9/15.9</t>
  </si>
  <si>
    <t>ESP tripped at 0009 hrs on 16-04-2023 due to underload caused by low inflow. ESP restarted after pressure buildup at 1053 hrs on 16/04/2023</t>
  </si>
  <si>
    <t>5.51+4.88 hrs</t>
  </si>
  <si>
    <t>1053 hrs</t>
  </si>
  <si>
    <t>R9A#1: ESP tripped at 1614 Hrs. on 17/04/2023 due to underload alarmcaused by low inflow. ESP kept shutdown for pressure build up.Intake pressure-935PSI</t>
  </si>
  <si>
    <t>Frequency temporarilry increased to 54 hz during pigging, High MLP</t>
  </si>
  <si>
    <t>ESP  tripped on the underload at  1000 Hrs. on 17/04/2023 caused by low inflow. ESP kept shutdown  for pressure build up.</t>
  </si>
  <si>
    <t>15.1/15.1/15</t>
  </si>
  <si>
    <t>1824 hrs</t>
  </si>
  <si>
    <t>12.4 hrs</t>
  </si>
  <si>
    <t>R9A#1 ESP started as per ONGC at 1824 hrs on 15-04-2023.</t>
  </si>
  <si>
    <t xml:space="preserve">R9A#1 ESP tripped at 1614 hrs on 17-04-2023 due to underload caused by low inflow, kept shutdown for pressure buildup. </t>
  </si>
  <si>
    <t>13.76 hrs</t>
  </si>
  <si>
    <t>1614 hrs</t>
  </si>
  <si>
    <t>1346 hrs</t>
  </si>
  <si>
    <r>
      <t xml:space="preserve"> </t>
    </r>
    <r>
      <rPr>
        <b/>
        <sz val="11"/>
        <color rgb="FFFF0000"/>
        <rFont val="Calibri"/>
        <family val="2"/>
        <charset val="204"/>
        <scheme val="minor"/>
      </rPr>
      <t>R9A#2</t>
    </r>
    <r>
      <rPr>
        <b/>
        <sz val="11"/>
        <rFont val="Calibri"/>
        <family val="2"/>
        <charset val="204"/>
        <scheme val="minor"/>
      </rPr>
      <t xml:space="preserve"> ESP restarted after pressure buildup at 1053 hrs on 16-04-2023. </t>
    </r>
  </si>
  <si>
    <r>
      <rPr>
        <b/>
        <sz val="11"/>
        <color rgb="FFFF0000"/>
        <rFont val="Calibri"/>
        <family val="2"/>
        <charset val="204"/>
        <scheme val="minor"/>
      </rPr>
      <t>R9A#2</t>
    </r>
    <r>
      <rPr>
        <b/>
        <sz val="11"/>
        <rFont val="Calibri"/>
        <family val="2"/>
        <charset val="204"/>
        <scheme val="minor"/>
      </rPr>
      <t xml:space="preserve"> ESP tripped at 1000 hrs on 17-04-2023 due to underload caused by low inflow. Kept shutdown for pressure build up. ESP restarted at 0155 hrs on 18-04-2023. </t>
    </r>
    <r>
      <rPr>
        <b/>
        <sz val="11"/>
        <color rgb="FFFF0000"/>
        <rFont val="Calibri"/>
        <family val="2"/>
        <charset val="204"/>
        <scheme val="minor"/>
      </rPr>
      <t>R9A#1</t>
    </r>
    <r>
      <rPr>
        <b/>
        <sz val="11"/>
        <rFont val="Calibri"/>
        <family val="2"/>
        <charset val="204"/>
        <scheme val="minor"/>
      </rPr>
      <t xml:space="preserve"> ESP tripped at 1614 hrs on 17-04-2023 due to underload caused by low inflow, kept shutdown for pressure buildup.</t>
    </r>
  </si>
  <si>
    <t>R9A#2 ESP tripped at 1000 hrs on 17-04-2023 due to underload caused by low inflow. Kept shutdown for pressure build up. ESP restarted at 0155 hrs on 18-04-2023.</t>
  </si>
  <si>
    <t>15.91 hrs</t>
  </si>
  <si>
    <t>1000 hrs</t>
  </si>
  <si>
    <t>0155 hrs</t>
  </si>
  <si>
    <t>0.186/0.049/0.142</t>
  </si>
  <si>
    <t>13.7/13.6/13.8</t>
  </si>
  <si>
    <t>16.4/16.4/16.3</t>
  </si>
  <si>
    <r>
      <t xml:space="preserve">R9A#2 </t>
    </r>
    <r>
      <rPr>
        <b/>
        <sz val="11"/>
        <rFont val="Calibri"/>
        <family val="2"/>
        <charset val="204"/>
        <scheme val="minor"/>
      </rPr>
      <t xml:space="preserve">ESP tripped at 2325 hrs on 18-04-2023 due to underload caused by low inflow. Kept shutdown for pressure buildup. </t>
    </r>
  </si>
  <si>
    <r>
      <rPr>
        <b/>
        <sz val="11"/>
        <color rgb="FFFF0000"/>
        <rFont val="Calibri"/>
        <family val="2"/>
        <charset val="204"/>
        <scheme val="minor"/>
      </rPr>
      <t>R9A#2</t>
    </r>
    <r>
      <rPr>
        <b/>
        <sz val="11"/>
        <rFont val="Calibri"/>
        <family val="2"/>
        <charset val="204"/>
        <scheme val="minor"/>
      </rPr>
      <t xml:space="preserve"> Restarted ESP after pressure buildup at 1509 hrs on 19-04-2023. </t>
    </r>
  </si>
  <si>
    <t>6.58+9.15 hrs</t>
  </si>
  <si>
    <t xml:space="preserve">R9A#2 ESP tripped at 2325 hrs on 18-04-2023 due to underload caused by low inflow. Kept shutdown for pressure buildup.  Restarted ESP at 1509 hrs on 19-04-2023. </t>
  </si>
  <si>
    <t>2325 hrs</t>
  </si>
  <si>
    <t>1509 hrs</t>
  </si>
  <si>
    <t>R9A#1: ESP tripped at 1614 Hrs. on 17/04/2023 due to underload alarmcaused by low inflow. ESP kept shutdown for pressure build up.Intake pressure-1079PSI</t>
  </si>
  <si>
    <t>R9A#1: ESP tripped at 1614 Hrs. on 17/04/2023 due to underload alarmcaused by low inflow. ESP kept shutdown for pressure build up.Intake pressure-1011PSI</t>
  </si>
  <si>
    <t>0.041/0.027/0.067</t>
  </si>
  <si>
    <t>15.5/15.3/15.3</t>
  </si>
  <si>
    <t>15.4/15.2/15.2</t>
  </si>
  <si>
    <t>R9A#1: ESP tripped at 1614 Hrs. on 17/04/2023 due to underload alarmcaused by low inflow. ESP kept shutdown for pressure build up.Intake pressure-1116PSI</t>
  </si>
  <si>
    <t>ESP  tripped on the underload at   Hrs. on 20/04/2023 caused by low inflow. ESP kept shutdown  for pressure build up.</t>
  </si>
  <si>
    <r>
      <rPr>
        <b/>
        <sz val="11"/>
        <color rgb="FFFF0000"/>
        <rFont val="Calibri"/>
        <family val="2"/>
        <charset val="204"/>
        <scheme val="minor"/>
      </rPr>
      <t>R9A#2</t>
    </r>
    <r>
      <rPr>
        <b/>
        <sz val="11"/>
        <rFont val="Calibri"/>
        <family val="2"/>
        <charset val="204"/>
        <scheme val="minor"/>
      </rPr>
      <t xml:space="preserve"> ESP tripped at 1201 hrs on 20-04-2023 due to underload caused low inflow, kept shutdown for pressure buildup.</t>
    </r>
  </si>
  <si>
    <t>R9A#1: ESP tripped at 1614 Hrs. on 17/04/2023 due to underload alarmcaused by low inflow. ESP kept shutdown for pressure build up.Intake pressure-1156PSI</t>
  </si>
  <si>
    <t>0.111/0.026/0.041</t>
  </si>
  <si>
    <r>
      <t xml:space="preserve">R9A#2 </t>
    </r>
    <r>
      <rPr>
        <b/>
        <sz val="11"/>
        <rFont val="Calibri"/>
        <family val="2"/>
        <charset val="204"/>
        <scheme val="minor"/>
      </rPr>
      <t>ESP restarted after pressure buildup at 0739 hrs on 21/04/2023</t>
    </r>
  </si>
  <si>
    <t>17.98+1.65</t>
  </si>
  <si>
    <t>1201 hrs</t>
  </si>
  <si>
    <t>0739 hrs</t>
  </si>
  <si>
    <t>R9A#2 ESP tripped at 1201 hrs on 20-04-2023 due to underload caused low inflow. ESP restarted after pressure buildup at 0739 hrs on 21/04/2023</t>
  </si>
  <si>
    <r>
      <rPr>
        <b/>
        <sz val="11"/>
        <color rgb="FFFF0000"/>
        <rFont val="Calibri"/>
        <family val="2"/>
        <charset val="204"/>
        <scheme val="minor"/>
      </rPr>
      <t>R9A#2</t>
    </r>
    <r>
      <rPr>
        <b/>
        <sz val="11"/>
        <rFont val="Calibri"/>
        <family val="2"/>
        <charset val="204"/>
        <scheme val="minor"/>
      </rPr>
      <t xml:space="preserve"> ESP tripped at 0612 hrs on 22-04-2023 due to underload caused by low inflow. After pressure buildup restarted ESP at 2015 hrs on 22-04-2023.</t>
    </r>
  </si>
  <si>
    <t>R9A#2 ESP tripped at 0612 hrs on 22-04-2023 due to underload caused by low inflow. After pressure buildup restarted ESP at 2015 hrs on 22-04-2023.</t>
  </si>
  <si>
    <t>14.05 hrs</t>
  </si>
  <si>
    <t>0612 hrs</t>
  </si>
  <si>
    <t>2015 hrs</t>
  </si>
  <si>
    <t>R9A#1: ESP tripped at 1614 Hrs. on 17/04/2023 due to underload alarmcaused by low inflow. ESP kept shutdown for pressure build up.Intake pressure-1189PSI</t>
  </si>
  <si>
    <t>0.159/0.164/0.180</t>
  </si>
  <si>
    <t>17.2/17.2/17.1</t>
  </si>
  <si>
    <t>Frequency temporarilry increased to 54 hz during pigging, High MLP, pig was not received at R10A</t>
  </si>
  <si>
    <t>18.7/18.8/18.5</t>
  </si>
  <si>
    <t>Frequency increased to 53Hz to tacle back pressure due to pigging (MLP&gt;42Kg/cm2)</t>
  </si>
  <si>
    <t>0.255/0.046/0.222</t>
  </si>
  <si>
    <t>12.8/12.7/12.7</t>
  </si>
  <si>
    <r>
      <t xml:space="preserve"> </t>
    </r>
    <r>
      <rPr>
        <b/>
        <sz val="11"/>
        <color rgb="FFFF0000"/>
        <rFont val="Calibri"/>
        <family val="2"/>
        <charset val="204"/>
        <scheme val="minor"/>
      </rPr>
      <t>R9A#1</t>
    </r>
    <r>
      <rPr>
        <b/>
        <sz val="11"/>
        <rFont val="Calibri"/>
        <family val="2"/>
        <charset val="204"/>
        <scheme val="minor"/>
      </rPr>
      <t xml:space="preserve"> ESP started after pressure buildup as per ONGC at 1135 hrs on 23-04-2023. </t>
    </r>
    <r>
      <rPr>
        <b/>
        <sz val="11"/>
        <color rgb="FFFF0000"/>
        <rFont val="Calibri"/>
        <family val="2"/>
        <charset val="204"/>
        <scheme val="minor"/>
      </rPr>
      <t>R9A#4</t>
    </r>
    <r>
      <rPr>
        <b/>
        <sz val="11"/>
        <rFont val="Calibri"/>
        <family val="2"/>
        <charset val="204"/>
        <scheme val="minor"/>
      </rPr>
      <t xml:space="preserve"> ESP tripped at 0024 hrs on 24-04-2023 due to underload caused by high MLP (pigging). Restarted ESP at 0211 hrs on 24-04-2023. ESP again tripped at 0318 hrs on 24-04-2023 due to underload caused by high MLP.</t>
    </r>
  </si>
  <si>
    <t>R9A#1: ESP tripped at 0749 Hrs. on 24/04/2023 due to underload alarmcaused by low inflow. ESP kept shutdown for pressure build up.Intake pressure-1028 PSI</t>
  </si>
  <si>
    <t>0.251/0.077/0.167</t>
  </si>
  <si>
    <t>High MLP- pigging, MLP&gt;42Kg/cm2 (first pig not received)</t>
  </si>
  <si>
    <t>frequency incresed from 54 to 55hz, High MLP due to pigging (MLP&gt;42kg/cm2) First pig not received</t>
  </si>
  <si>
    <t xml:space="preserve"> R9A#1 ESP started after pressure buildup as per ONGC at 1135 hrs on 23-04-2023.</t>
  </si>
  <si>
    <t>5.58 hrs</t>
  </si>
  <si>
    <t>1135 hrs</t>
  </si>
  <si>
    <t>R9A#1 ESP tripped at 0749 hrs on 24-04-2023 due to high motor temperature caused by high MLP/low inflow. Kept shutdown for pressure buildup.</t>
  </si>
  <si>
    <t>22.19 hrs</t>
  </si>
  <si>
    <t>0749 hrs</t>
  </si>
  <si>
    <t xml:space="preserve">R9A#4 ESP tripped at 0024 hrs on 24-04-2023 due to underload caused by high MLP (pigging). Restarted ESP at 0211 hrs on 24-04-2023. </t>
  </si>
  <si>
    <t>1.78 hrs</t>
  </si>
  <si>
    <t>0034 hrs</t>
  </si>
  <si>
    <t>0211 hrs</t>
  </si>
  <si>
    <t xml:space="preserve"> ESP again tripped at 0318 hrs on 24-04-2023 due to underload caused by high MLP. Restarted ESP at 0815 hrs on 24-04-2023 after pressure buildup.</t>
  </si>
  <si>
    <t>4.95 hrs</t>
  </si>
  <si>
    <t>0318 hrs</t>
  </si>
  <si>
    <t>0815 hrs</t>
  </si>
  <si>
    <t xml:space="preserve">R9A#4 manual off ESP at 1015 hrs due to no flow condition (FAT very low-29C). Confirmed SSSV status pressurized again and restarted ESP at 1115 hrs on 24-04-2023. Confirmed increasing FAT trend. </t>
  </si>
  <si>
    <t>1015 hrs</t>
  </si>
  <si>
    <t>1115 hrs</t>
  </si>
  <si>
    <t>1 hr</t>
  </si>
  <si>
    <r>
      <rPr>
        <b/>
        <sz val="11"/>
        <color rgb="FFFF0000"/>
        <rFont val="Calibri"/>
        <family val="2"/>
        <charset val="204"/>
        <scheme val="minor"/>
      </rPr>
      <t xml:space="preserve">R9A#4 </t>
    </r>
    <r>
      <rPr>
        <b/>
        <sz val="11"/>
        <rFont val="Calibri"/>
        <family val="2"/>
        <charset val="204"/>
        <scheme val="minor"/>
      </rPr>
      <t xml:space="preserve">Restarted ESP at 0815 hrs on 24-04-2023 after pressure buildup, manual off ESP at 1015 hrs due to no flow condition (FAT very low-29C). Confirmed SSSV status pressurized again and restarted ESP at 1115 hrs on 24-04-2023. Confirmed increasing FAT trend. </t>
    </r>
    <r>
      <rPr>
        <b/>
        <sz val="11"/>
        <color rgb="FFFF0000"/>
        <rFont val="Calibri"/>
        <family val="2"/>
        <charset val="204"/>
        <scheme val="minor"/>
      </rPr>
      <t xml:space="preserve">R9A#1 </t>
    </r>
    <r>
      <rPr>
        <b/>
        <sz val="11"/>
        <rFont val="Calibri"/>
        <family val="2"/>
        <charset val="204"/>
        <scheme val="minor"/>
      </rPr>
      <t xml:space="preserve">ESP tripped at 0749 hrs on 24-04-2023 due to high motor temperature caused by high MLP/low inflow. Kept shutdown for pressure buildup. </t>
    </r>
    <r>
      <rPr>
        <b/>
        <sz val="11"/>
        <color rgb="FFFF0000"/>
        <rFont val="Calibri"/>
        <family val="2"/>
        <charset val="204"/>
        <scheme val="minor"/>
      </rPr>
      <t xml:space="preserve">R9A#2 </t>
    </r>
    <r>
      <rPr>
        <b/>
        <sz val="11"/>
        <rFont val="Calibri"/>
        <family val="2"/>
        <charset val="204"/>
        <scheme val="minor"/>
      </rPr>
      <t>ESP tripped at 2332 hrs on 24-04-2023 due to underload caused by high MLP/low inflow. Restarted at 0010 hrs on 25-04-2023. ESP tripped again at 0524 hrs on 25-04-2023 due to underload caused by low inflow/high MLP.</t>
    </r>
  </si>
  <si>
    <t>High MLP- pigging, frequency increased to 55Hz to tackle back pressure. (Second pig launched, first pig received partially - broken)</t>
  </si>
  <si>
    <t>frequency kept at 55hz due to high MLP, second pig launched (first pig received at other end partially - broken)</t>
  </si>
  <si>
    <t>R9A#2 ESP tripped at 2332 hrs on 24-04-2023 due to underload caused by high MLP/low inflow. Restarted at 0010 hrs on 25-04-2023.</t>
  </si>
  <si>
    <t>2332 hrs</t>
  </si>
  <si>
    <t>0010 hrs</t>
  </si>
  <si>
    <t>0.63 hrs</t>
  </si>
  <si>
    <t xml:space="preserve">R9A#2 ESP tripped again at 0524 hrs on 25-04-2023 due to underload caused by low inflow/high MLP.  Restarted at 0736 hrs on 25-04-2023. </t>
  </si>
  <si>
    <t>0524 hrs</t>
  </si>
  <si>
    <t>0736 hrs</t>
  </si>
  <si>
    <t>2.2 hrs</t>
  </si>
  <si>
    <t>ESP tripped again at 1120 hrs on 25-04-2023 due to underload caused by high MLP. Restarted at 1210 hrs on 25-04-2023, frequency increased upto 58Hz to tackle back pressure</t>
  </si>
  <si>
    <t>1120 hrs</t>
  </si>
  <si>
    <t>1210 hrs</t>
  </si>
  <si>
    <t>0.66 hrs</t>
  </si>
  <si>
    <t xml:space="preserve"> ESP tripped again at 1627 hrs on 25-04-2023 due to underload caused by high MLP. Restarted at 1827 hrs on 25-04-2023. </t>
  </si>
  <si>
    <t>1627 hrs</t>
  </si>
  <si>
    <t>1827 hrs</t>
  </si>
  <si>
    <t>2 hrs</t>
  </si>
  <si>
    <t>R9A#4 ESP tripped at 0655 hrs on 25-04-2023 due to Platform DG tripped, restarted after power restored and backspin finished at 0741 hrs on 25-04-2023.</t>
  </si>
  <si>
    <t>0.76 hrs</t>
  </si>
  <si>
    <t>0655 hrs</t>
  </si>
  <si>
    <t>0741 hrs</t>
  </si>
  <si>
    <t>R9A#4 ESP tripped at 0630 hrs on 07-04-2023 due to platform DG tripped. Restarted ESP after power restored and backspin finished at 0708 hrs on 07-04-2023.</t>
  </si>
  <si>
    <t>0630 hrs</t>
  </si>
  <si>
    <t>0708 hrs</t>
  </si>
  <si>
    <t>R9A#1: ESP tripped at 0749 Hrs. on 24/04/2023 due to underload alarmcaused by low inflow. ESP kept shutdown for pressure build up.Intake pressure-1114 PSI</t>
  </si>
  <si>
    <t>0.267/0.035/0.117</t>
  </si>
  <si>
    <t>High MLP- pigging, frequency increased to 58 Hz temporarily</t>
  </si>
  <si>
    <t>17.1/17.1/17</t>
  </si>
  <si>
    <t>frequency increased to at 56hz due to high MLP</t>
  </si>
  <si>
    <t xml:space="preserve">Frequency temporarily reduced to 53.5 Hz </t>
  </si>
  <si>
    <r>
      <rPr>
        <b/>
        <sz val="11"/>
        <color rgb="FFFF0000"/>
        <rFont val="Calibri"/>
        <family val="2"/>
        <charset val="204"/>
        <scheme val="minor"/>
      </rPr>
      <t>R9A#2</t>
    </r>
    <r>
      <rPr>
        <b/>
        <sz val="11"/>
        <rFont val="Calibri"/>
        <family val="2"/>
        <charset val="204"/>
        <scheme val="minor"/>
      </rPr>
      <t xml:space="preserve"> ESP restarted at 0736 hrs on 25-04-2023. ESP tripped again at 1120 hrs on 25-04-2023 due to underload caused by high MLP. Restarted at 1210 hrs on 25-04-2023, frequency increased upto 58Hz to tackle back pressure ESP tripped again at 1627 hrs on 25-04-2023 due to underload caused by high MLP. Restarted at 1827 hrs on 25-04-2023. ESP tripped at 2311 hrs on 25-04-2023 (underload) due to high MLP restarted at 0011 hrs on 26-04-2023. ESP tripped at 0318 hrs on 26-04-2023 (underload) due to high MLP. </t>
    </r>
    <r>
      <rPr>
        <b/>
        <sz val="11"/>
        <color rgb="FFFF0000"/>
        <rFont val="Calibri"/>
        <family val="2"/>
        <charset val="204"/>
        <scheme val="minor"/>
      </rPr>
      <t>R9A#4</t>
    </r>
    <r>
      <rPr>
        <b/>
        <sz val="11"/>
        <rFont val="Calibri"/>
        <family val="2"/>
        <charset val="204"/>
        <scheme val="minor"/>
      </rPr>
      <t xml:space="preserve"> ESP tripped at 0655 hrs on 25-04-2023 due to Platform DG tripped, restarted after power restored and backspin finished at 0741 hrs on 25-04-2023.</t>
    </r>
  </si>
  <si>
    <r>
      <rPr>
        <b/>
        <sz val="11"/>
        <color rgb="FFFF0000"/>
        <rFont val="Calibri"/>
        <family val="2"/>
        <charset val="204"/>
        <scheme val="minor"/>
      </rPr>
      <t>R9A#2</t>
    </r>
    <r>
      <rPr>
        <b/>
        <sz val="11"/>
        <rFont val="Calibri"/>
        <family val="2"/>
        <charset val="204"/>
        <scheme val="minor"/>
      </rPr>
      <t xml:space="preserve"> Restarted ESP at 0752 hrs on 26-04-2023 and frequency increased gradually upto 60Hz to tackle back pressure. </t>
    </r>
  </si>
  <si>
    <t>R9A#1: ESP tripped at 0749 Hrs. on 24/04/2023 due to underload alarmcaused by low inflow. ESP kept shutdown for pressure build up.Intake pressure-1163 PSI</t>
  </si>
  <si>
    <t>0.293/0.103/0.165</t>
  </si>
  <si>
    <t>ESP tripped at 2311 hrs on 25-04-2023 (underload) due to high MLP restarted at 0011 hrs on 26-04-2023.</t>
  </si>
  <si>
    <t>2311 hrs</t>
  </si>
  <si>
    <t xml:space="preserve">ESP tripped at 0318 hrs on 26-04-2023 (underload) due to high MLP. Restarted ESP at 0752 hrs on 26-04-2023 and frequency increased gradually upto 60Hz to tackle back pressure. </t>
  </si>
  <si>
    <t>2.7+1.86 hrs</t>
  </si>
  <si>
    <t>0752 hrs</t>
  </si>
  <si>
    <r>
      <rPr>
        <b/>
        <sz val="11"/>
        <color rgb="FFFF0000"/>
        <rFont val="Calibri"/>
        <family val="2"/>
        <charset val="204"/>
        <scheme val="minor"/>
      </rPr>
      <t>R9A#2</t>
    </r>
    <r>
      <rPr>
        <b/>
        <sz val="11"/>
        <rFont val="Calibri"/>
        <family val="2"/>
        <charset val="204"/>
        <scheme val="minor"/>
      </rPr>
      <t xml:space="preserve"> ESP tripped at 0712 hrs on 27-04-2023 due to underload caused by low inflow/high MLP. Kept shutdown for pressure buildup.</t>
    </r>
  </si>
  <si>
    <t>R9A#1: ESP tripped at 0749 Hrs. on 24/04/2023 due to underload alarmcaused by low inflow. ESP kept shutdown for pressure build up.Intake pressure-1199 PSI</t>
  </si>
  <si>
    <t xml:space="preserve">frequency increased to at 56.5hz due to increasing MLP from pigging. According to PRPS crew parts of first pig received 50% at other end , parts of second pig received approx 80%. </t>
  </si>
  <si>
    <t xml:space="preserve">High MLP- pigging, frequency increased to 60 Hz temporarily. According to PRPS crew parts of first pig 50% received at other end , parts of second pig received approx 80%. </t>
  </si>
  <si>
    <t>0712 hrs</t>
  </si>
  <si>
    <r>
      <rPr>
        <b/>
        <sz val="11"/>
        <color rgb="FFFF0000"/>
        <rFont val="Calibri"/>
        <family val="2"/>
        <charset val="204"/>
        <scheme val="minor"/>
      </rPr>
      <t>R9A#1</t>
    </r>
    <r>
      <rPr>
        <b/>
        <sz val="11"/>
        <rFont val="Calibri"/>
        <family val="2"/>
        <charset val="204"/>
        <scheme val="minor"/>
      </rPr>
      <t xml:space="preserve"> ESP started as per ONGC after pressure buildup at 0622 hrs on 28-04-2023. </t>
    </r>
    <r>
      <rPr>
        <b/>
        <sz val="11"/>
        <color rgb="FFFF0000"/>
        <rFont val="Calibri"/>
        <family val="2"/>
        <charset val="204"/>
        <scheme val="minor"/>
      </rPr>
      <t>R9A#2</t>
    </r>
    <r>
      <rPr>
        <b/>
        <sz val="11"/>
        <rFont val="Calibri"/>
        <family val="2"/>
        <charset val="204"/>
        <scheme val="minor"/>
      </rPr>
      <t xml:space="preserve"> ESP started after pressure buildup at 1336 hrs on 28-04-2023- frequency increased upto 58hz to tackle back pressure.</t>
    </r>
  </si>
  <si>
    <t>R9A#1 ESP started as per ONGC after pressure buildup at 0622 hrs on 28-04-2023.</t>
  </si>
  <si>
    <t>0622 hrs</t>
  </si>
  <si>
    <t xml:space="preserve">ESP tripped ar 0712 hrs on 27-04-2023 due to underload caused by low inflow/high MLP.  R9A#2 ESP started after pressure buildup at 1336 hrs on 28-04-2023- frequency increased upto 58hz to tackle back pressure. </t>
  </si>
  <si>
    <t>1336 hrs</t>
  </si>
  <si>
    <t>22.8+7.6 hrs</t>
  </si>
  <si>
    <t>2.5/4.18</t>
  </si>
  <si>
    <t>2.46/5.82</t>
  </si>
  <si>
    <t>Frequency increased to 53Hz to tacle back pressure due to pigging (MLP&gt;41Kg/cm2)</t>
  </si>
  <si>
    <t>18.1/18.2/18</t>
  </si>
  <si>
    <t>0.276/0.096/0.163</t>
  </si>
  <si>
    <t>17.1/17.2/17.3</t>
  </si>
  <si>
    <t>High MLP- frequency increased upto 58hz to tackle back pressure</t>
  </si>
  <si>
    <t>15.8/15.9/15.8</t>
  </si>
  <si>
    <t>High MLP- frequency kept at 56.5 hz</t>
  </si>
  <si>
    <r>
      <rPr>
        <b/>
        <sz val="11"/>
        <color rgb="FFFF0000"/>
        <rFont val="Calibri"/>
        <family val="2"/>
        <charset val="204"/>
        <scheme val="minor"/>
      </rPr>
      <t>R9A#2</t>
    </r>
    <r>
      <rPr>
        <b/>
        <sz val="11"/>
        <rFont val="Calibri"/>
        <family val="2"/>
        <charset val="204"/>
        <scheme val="minor"/>
      </rPr>
      <t xml:space="preserve"> ESP tripped at 1432 hrs on 29-04-2023 due to underload caused by low inflow/high MLP. Kept shutdown for pressure buildup.</t>
    </r>
  </si>
  <si>
    <t>2.13/5.03</t>
  </si>
  <si>
    <t>Frequency increased to 53.5Hz to tacle back pressure due to pigging (MLP&gt;42Kg/cm2)</t>
  </si>
  <si>
    <t>ESP  tripped on underload at  0712 Hrs. on 27/04/2023 caused by low inflow/high MLP. ESP kept shutdown  for pressure build up. Static Pi 1186 psi</t>
  </si>
  <si>
    <t>ESP  tripped on  underload at  1432 Hrs. on 29/04/2023 caused by low inflow/high MLP. ESP kept shutdown  for pressure build up. Static Pi 1111 psi</t>
  </si>
  <si>
    <t>18.1/17.9/18</t>
  </si>
  <si>
    <r>
      <rPr>
        <b/>
        <sz val="11"/>
        <color rgb="FFFF0000"/>
        <rFont val="Calibri"/>
        <family val="2"/>
        <charset val="204"/>
        <scheme val="minor"/>
      </rPr>
      <t>R9A#2</t>
    </r>
    <r>
      <rPr>
        <b/>
        <sz val="11"/>
        <rFont val="Calibri"/>
        <family val="2"/>
        <charset val="204"/>
        <scheme val="minor"/>
      </rPr>
      <t xml:space="preserve"> ESP started after pressure buildup at 1009 hrs as per ONGC on 30-04-2023</t>
    </r>
  </si>
  <si>
    <t>1.92/4.9</t>
  </si>
  <si>
    <t>0.202/0.071/0.104</t>
  </si>
  <si>
    <t>15.9/15.9/16.1</t>
  </si>
  <si>
    <t>17.4/17.4/17.4</t>
  </si>
  <si>
    <t>R9A#2 ESP tripped at 1432 hrs on 29-04-2023 due to underload caused by low inflow/high MLP. Kept shutdown for pressure buildup. ESP started after pressure buildup at 1009 hrs as per ONGC on 30-04-2023</t>
  </si>
  <si>
    <t>15.47+4.15 hrs</t>
  </si>
  <si>
    <t>1432 hrs</t>
  </si>
  <si>
    <t>1009 hrs</t>
  </si>
  <si>
    <t>Total running hours May 2023</t>
  </si>
  <si>
    <t>Total shutdown hours due to ONGC May 2023</t>
  </si>
  <si>
    <t>Total shutdown hours due to Novomet May 2023</t>
  </si>
  <si>
    <r>
      <rPr>
        <b/>
        <sz val="11"/>
        <color rgb="FFFF0000"/>
        <rFont val="Calibri"/>
        <family val="2"/>
        <charset val="204"/>
        <scheme val="minor"/>
      </rPr>
      <t>R9A#2</t>
    </r>
    <r>
      <rPr>
        <b/>
        <sz val="11"/>
        <rFont val="Calibri"/>
        <family val="2"/>
        <charset val="204"/>
        <scheme val="minor"/>
      </rPr>
      <t xml:space="preserve"> Esp tripped at 1421 hrs on 01-05-2023 due to high motor temperature caused by low inflow/high MLP. ESP kept shutdown for pressure buildup.</t>
    </r>
  </si>
  <si>
    <t>2.98/4.83</t>
  </si>
  <si>
    <t>ESP  tripped on  high motor temperature at  1421 Hrs. on 01/05/2023 caused by low inflow/high MLP. ESP kept shutdown  for pressure build up. Static Pi 1218 psi</t>
  </si>
  <si>
    <t>1.67/2.89</t>
  </si>
  <si>
    <t>0.117/0.076/0.114</t>
  </si>
  <si>
    <t>16/16.2/16.1</t>
  </si>
  <si>
    <t>R9A#2 Esp tripped at 1421 hrs on 01-05-2023 due to high motor temperature caused by low inflow/high MLP. ESP kept shutdown for pressure buildup. ESP started at 0600 hrs on 02-05-2023 after pressure buidup</t>
  </si>
  <si>
    <t>1421 hrs</t>
  </si>
  <si>
    <t>0600 hrs</t>
  </si>
  <si>
    <t>15.65 hrs</t>
  </si>
  <si>
    <r>
      <rPr>
        <b/>
        <sz val="11"/>
        <color rgb="FFFF0000"/>
        <rFont val="Calibri"/>
        <family val="2"/>
        <charset val="204"/>
        <scheme val="minor"/>
      </rPr>
      <t>R9A#2</t>
    </r>
    <r>
      <rPr>
        <b/>
        <sz val="11"/>
        <rFont val="Calibri"/>
        <family val="2"/>
        <charset val="204"/>
        <scheme val="minor"/>
      </rPr>
      <t xml:space="preserve"> ESP started at 0600 hrs on 02-05-2023 after pressure buidup. </t>
    </r>
    <r>
      <rPr>
        <b/>
        <sz val="11"/>
        <color rgb="FFFF0000"/>
        <rFont val="Calibri"/>
        <family val="2"/>
        <charset val="204"/>
        <scheme val="minor"/>
      </rPr>
      <t>R9A#1</t>
    </r>
    <r>
      <rPr>
        <b/>
        <sz val="11"/>
        <rFont val="Calibri"/>
        <family val="2"/>
        <charset val="204"/>
        <scheme val="minor"/>
      </rPr>
      <t xml:space="preserve"> ESP tripped at 0502 hrs on 03-05-2023 due to underload caused by low inflow. Kept shutdown for pressure buildup.</t>
    </r>
  </si>
  <si>
    <t>R9A#2 ESP tripped at 1613 hrs on 03-05-2023 due to underload caused by low inflow/high MLP. ESP kept shutdown for pressure buildup.</t>
  </si>
  <si>
    <t>R9A#1: ESP tripped at 0502 Hrs. on 03/05/2023 due to underload alarmcaused by low inflow/high MLP. ESP kept shutdown for pressure build up.Intake pressure-926 PSI</t>
  </si>
  <si>
    <t>ESP  tripped on  underload at  1613 Hrs. on 03/05/2023 caused by low inflow/high MLP. ESP kept shutdown  for pressure build up. Static Pi 1134 psi</t>
  </si>
  <si>
    <t>18.4/18.4/18.3</t>
  </si>
  <si>
    <t>R9A#1 ESP tripped at 0502 hrs on 03-05-2023 due to underload caused by low inflow. Kept shutdown for pressure buildup.</t>
  </si>
  <si>
    <t>0502 hrs</t>
  </si>
  <si>
    <t>1613 hrs</t>
  </si>
  <si>
    <t>R9A#1: ESP tripped at 0502 Hrs. on 03/05/2023 due to underload alarmcaused by low inflow/high MLP. ESP kept shutdown for pressure build up.Intake pressure-976 PSI</t>
  </si>
  <si>
    <t>0.347/0.057/0.163</t>
  </si>
  <si>
    <r>
      <rPr>
        <b/>
        <sz val="11"/>
        <color rgb="FFFF0000"/>
        <rFont val="Calibri"/>
        <family val="2"/>
        <charset val="204"/>
        <scheme val="minor"/>
      </rPr>
      <t>R9A#2</t>
    </r>
    <r>
      <rPr>
        <b/>
        <sz val="11"/>
        <rFont val="Calibri"/>
        <family val="2"/>
        <charset val="204"/>
        <scheme val="minor"/>
      </rPr>
      <t xml:space="preserve"> ESP tripped at 0425 hrs on 05-05-2023 due to underload caused by low inflow/back pressure. ESP kept shutdown for pressure buildup. Later not started due to PRP pipeline work at R10A.</t>
    </r>
  </si>
  <si>
    <r>
      <rPr>
        <b/>
        <sz val="11"/>
        <color rgb="FFFF0000"/>
        <rFont val="Calibri"/>
        <family val="2"/>
        <charset val="204"/>
        <scheme val="minor"/>
      </rPr>
      <t>R9A#4</t>
    </r>
    <r>
      <rPr>
        <b/>
        <sz val="11"/>
        <rFont val="Calibri"/>
        <family val="2"/>
        <charset val="204"/>
        <scheme val="minor"/>
      </rPr>
      <t xml:space="preserve"> ESP manual off by ONGC at 1218 hrs on 05-05-2023 due to PRP VII work scope at R10A</t>
    </r>
  </si>
  <si>
    <t xml:space="preserve">R9A#1: ESP tripped at 0502 Hrs. on 03/05/2023 due to underload alarmcaused by low inflow/high MLP. ESP kept shutdown for pressure build up.Intake pressure- PSI. </t>
  </si>
  <si>
    <t>ESP  tripped on underload at  0425 Hrs. on 05/05/2023 caused by low inflow/high MLP. ESP kept shutdown  for pressure build up and due to PRP VII work scope at R10A</t>
  </si>
  <si>
    <t>ESP manual off at 1218 hrs on 5-5-2023 due to PRP VII work scope at R10A</t>
  </si>
  <si>
    <r>
      <rPr>
        <b/>
        <sz val="11"/>
        <color rgb="FFFF0000"/>
        <rFont val="Calibri"/>
        <family val="2"/>
        <charset val="204"/>
        <scheme val="minor"/>
      </rPr>
      <t>R9A#1</t>
    </r>
    <r>
      <rPr>
        <b/>
        <sz val="11"/>
        <rFont val="Calibri"/>
        <family val="2"/>
        <charset val="204"/>
        <scheme val="minor"/>
      </rPr>
      <t xml:space="preserve"> ESP restarted after pressure buildup by ONGC at 0815 hrs on 07-05-2023. </t>
    </r>
    <r>
      <rPr>
        <b/>
        <sz val="11"/>
        <color rgb="FFFF0000"/>
        <rFont val="Calibri"/>
        <family val="2"/>
        <charset val="204"/>
        <scheme val="minor"/>
      </rPr>
      <t>R9A#2</t>
    </r>
    <r>
      <rPr>
        <b/>
        <sz val="11"/>
        <rFont val="Calibri"/>
        <family val="2"/>
        <charset val="204"/>
        <scheme val="minor"/>
      </rPr>
      <t xml:space="preserve"> ESP restarted by ONGC at 0824 hrs on 07-05-2023. </t>
    </r>
    <r>
      <rPr>
        <b/>
        <sz val="11"/>
        <color rgb="FFFF0000"/>
        <rFont val="Calibri"/>
        <family val="2"/>
        <charset val="204"/>
        <scheme val="minor"/>
      </rPr>
      <t>R9A#4</t>
    </r>
    <r>
      <rPr>
        <b/>
        <sz val="11"/>
        <rFont val="Calibri"/>
        <family val="2"/>
        <charset val="204"/>
        <scheme val="minor"/>
      </rPr>
      <t xml:space="preserve"> ESP restarted by ONGC at 0805 hrs on 07-05-2023.</t>
    </r>
  </si>
  <si>
    <t>R9A#1 ESP restarted after pressure buildup by ONGC at 0815 hrs on 07-05-2023.</t>
  </si>
  <si>
    <t>2.25 hrs</t>
  </si>
  <si>
    <t xml:space="preserve">R9A#2 ESP restarted by ONGC at 0824 hrs on 07-05-2023. </t>
  </si>
  <si>
    <t>13.78 hrs</t>
  </si>
  <si>
    <t>0824 hrs</t>
  </si>
  <si>
    <t>2.4 hrs</t>
  </si>
  <si>
    <t>R9A#4 ESP restarted by ONGC at 0805 hrs on 07-05-2023.</t>
  </si>
  <si>
    <t>2.08 hrs</t>
  </si>
  <si>
    <t>R9A#4 ESP manual off by ONGC at 1218 hrs on 05-05-2023 due to PRP VII work scope at R10A</t>
  </si>
  <si>
    <t>1218 hrs</t>
  </si>
  <si>
    <t>0805 hrs</t>
  </si>
  <si>
    <t>1.96/4.66</t>
  </si>
  <si>
    <t>17.9/17.9/17.8</t>
  </si>
  <si>
    <t>Kept at normal frequency due to low MLP</t>
  </si>
  <si>
    <t>0.208/0.041/0.101</t>
  </si>
  <si>
    <t>17.7 hrs</t>
  </si>
  <si>
    <r>
      <rPr>
        <b/>
        <sz val="11"/>
        <color rgb="FFFF0000"/>
        <rFont val="Calibri"/>
        <family val="2"/>
        <charset val="204"/>
        <scheme val="minor"/>
      </rPr>
      <t>R9A#2</t>
    </r>
    <r>
      <rPr>
        <b/>
        <sz val="11"/>
        <rFont val="Calibri"/>
        <family val="2"/>
        <charset val="204"/>
        <scheme val="minor"/>
      </rPr>
      <t xml:space="preserve"> ESP tripped at 1809 hrs on 08-05-2023 due to underload caused by low inflow. Kept shutdown for pressure buildup.</t>
    </r>
  </si>
  <si>
    <t>1809 hrs</t>
  </si>
  <si>
    <t>2.61/4.72</t>
  </si>
  <si>
    <t xml:space="preserve">Frequency returned to 53.5Hz </t>
  </si>
  <si>
    <t xml:space="preserve">ESP  tripped on underload at  1809 Hrs. on 08/05/2023 caused by low inflow/high MLP. ESP kept shutdown  for pressure build up </t>
  </si>
  <si>
    <t>Gradually increased 1Hz due to increasing MLP</t>
  </si>
  <si>
    <r>
      <rPr>
        <b/>
        <sz val="11"/>
        <color rgb="FFFF0000"/>
        <rFont val="Calibri"/>
        <family val="2"/>
        <charset val="204"/>
        <scheme val="minor"/>
      </rPr>
      <t>R9A#2</t>
    </r>
    <r>
      <rPr>
        <b/>
        <sz val="11"/>
        <rFont val="Calibri"/>
        <family val="2"/>
        <charset val="204"/>
        <scheme val="minor"/>
      </rPr>
      <t xml:space="preserve"> ESP restarted after pressure buildup at 1636 hrs on 09-05-2023.</t>
    </r>
  </si>
  <si>
    <t>2.36/3.00</t>
  </si>
  <si>
    <t>0.173/0.037/0.108</t>
  </si>
  <si>
    <t>Increased 1 hz due to drop in FAT</t>
  </si>
  <si>
    <t>ESP shows more run time with 53.5hz, approved from base to keep the same freq</t>
  </si>
  <si>
    <t>Increased 1 hz due to reducing FAT trend</t>
  </si>
  <si>
    <t>R9A#2 ESP tripped at 1809 hrs on 08-05-2023 due to underload caused by low inflow. Kept shutdown for pressure buildup. R9A#2 ESP restarted after pressure buildup at 1636 hrs on 09-05-2023.</t>
  </si>
  <si>
    <t>11.85+10.6 hrs</t>
  </si>
  <si>
    <t>3.98/4.64</t>
  </si>
  <si>
    <t xml:space="preserve">ESP  tripped on underload at  2027 Hrs. on 10/05/2023 caused by low inflow/high MLP. ESP kept shutdown  for pressure build up </t>
  </si>
  <si>
    <t>Increased 1 hz due to increasing MLP</t>
  </si>
  <si>
    <r>
      <rPr>
        <b/>
        <sz val="11"/>
        <color rgb="FFFF0000"/>
        <rFont val="Calibri"/>
        <family val="2"/>
        <charset val="204"/>
        <scheme val="minor"/>
      </rPr>
      <t>R9A#2</t>
    </r>
    <r>
      <rPr>
        <b/>
        <sz val="11"/>
        <rFont val="Calibri"/>
        <family val="2"/>
        <charset val="204"/>
        <scheme val="minor"/>
      </rPr>
      <t xml:space="preserve"> ESP restarted after pressure buildup at 1728 hrs on 11-05-2023.</t>
    </r>
  </si>
  <si>
    <r>
      <rPr>
        <b/>
        <sz val="11"/>
        <color rgb="FFFF0000"/>
        <rFont val="Calibri"/>
        <family val="2"/>
        <charset val="204"/>
        <scheme val="minor"/>
      </rPr>
      <t>R9A#2</t>
    </r>
    <r>
      <rPr>
        <b/>
        <sz val="11"/>
        <rFont val="Calibri"/>
        <family val="2"/>
        <charset val="204"/>
        <scheme val="minor"/>
      </rPr>
      <t xml:space="preserve"> ESP tripped at 2027 hrs on 10-05-2023 due to underload caused by low inflow. Kept shutdown for pressure buildup. 
</t>
    </r>
    <r>
      <rPr>
        <b/>
        <sz val="11"/>
        <color rgb="FFFF0000"/>
        <rFont val="Calibri"/>
        <family val="2"/>
        <charset val="204"/>
        <scheme val="minor"/>
      </rPr>
      <t>R9A#1</t>
    </r>
    <r>
      <rPr>
        <b/>
        <sz val="11"/>
        <rFont val="Calibri"/>
        <family val="2"/>
        <charset val="204"/>
        <scheme val="minor"/>
      </rPr>
      <t xml:space="preserve"> ESP tripped at 0256 hrs on 11-05-2023 due to underload caused by low inflow, kept shutdown for pressure buildup.</t>
    </r>
  </si>
  <si>
    <t xml:space="preserve">R9A#1: ESP tripped at 0256 Hrs. on 11/05/2023 due to underload alarmcaused by low inflow/high MLP. ESP kept shutdown for pressure build up.Intake pressure- 878 PSI. </t>
  </si>
  <si>
    <t>0.180/0.031/0.074</t>
  </si>
  <si>
    <t>16.6/16.8/16.8</t>
  </si>
  <si>
    <t>Maintainig same frequency due to reduced fluctuation in FAT.</t>
  </si>
  <si>
    <t>3.06 hrs</t>
  </si>
  <si>
    <t>R9A#1 ESP tripped at 0256 hrs on 11-05-2023 due to underload caused by low inflow, kept shutdown for pressure buildup.</t>
  </si>
  <si>
    <t>0256 hrs</t>
  </si>
  <si>
    <t>2027 hrs</t>
  </si>
  <si>
    <t>R9A#2 ESP tripped at 2027 hrs on 10-05-2023 due to underload caused by low inflow. Kept shutdown for pressure buildup. R9A#2 ESP restarted after pressure buildup at 1728 hrs on 11-05-2023.</t>
  </si>
  <si>
    <t>1728 hrs</t>
  </si>
  <si>
    <t>9.55+11.46 hrs</t>
  </si>
  <si>
    <t>0.250/0.039/0.130</t>
  </si>
  <si>
    <t>15.1/15/15</t>
  </si>
  <si>
    <t>2226 Hrs</t>
  </si>
  <si>
    <t>R9A#2: ESP tripped at 0730 Hrs on 13-05-2023 due to underload caused by low inflow. Kept shutdown for pressure buildup.ESP restarted at 2226 Hrs. on 13-05-2023.</t>
  </si>
  <si>
    <t>14.93 Hrs</t>
  </si>
  <si>
    <t xml:space="preserve">9A#1: ESP tripped at 0256 Hrs. on 11/05/2023 due to underload alarmcaused by low inflow/high MLP. ESP kept shutdown for pressure build up.Intake pressure- 987 PSI. </t>
  </si>
  <si>
    <t>0.311/0.058/0.160</t>
  </si>
  <si>
    <t>12.7/12.9/12.9</t>
  </si>
  <si>
    <t>16/15.9/16.1</t>
  </si>
  <si>
    <t>1853 Hrs</t>
  </si>
  <si>
    <t>0908 Hrs</t>
  </si>
  <si>
    <t>11.12+3.13 Hrs</t>
  </si>
  <si>
    <t>R9A#2: ESP tripped at 0730 Hrs on 13-05-2023 due to underload caused by low inflow. Kept shutdown for pressure buildup.ESP restarted at 0908 Hrs. on 15-05-2023.</t>
  </si>
  <si>
    <t xml:space="preserve">9A#1: ESP tripped at 0256 Hrs. on 11/05/2023 due to underload alarmcaused by low inflow/high MLP. ESP kept shutdown for pressure build up.Intake pressure- 1031 PSI. </t>
  </si>
  <si>
    <t>0.202/0.045/0.113</t>
  </si>
  <si>
    <t>0346 Hrs</t>
  </si>
  <si>
    <t>R9A#2: ESP tripped at 0346 Hrs on 16-05-2023 due to underload caused by low inflow. Kept shutdown for pressure buildup.</t>
  </si>
  <si>
    <t xml:space="preserve">9A#1: ESP tripped at 0256 Hrs. on 11/05/2023 due to underload alarmcaused by low inflow/high MLP. ESP kept shutdown for pressure build up.Intake pressure- 1074 PSI. </t>
  </si>
  <si>
    <t>0.231/0.048/0.126</t>
  </si>
  <si>
    <t>1944 Hrs</t>
  </si>
  <si>
    <t>2.23+13.73  Hrs</t>
  </si>
  <si>
    <t>R9A#2: ESP tripped at 0346 Hrs on 16-05-2023 due to underload caused by low inflow. Kept shutdown for pressure buildup.ESP restarted at 1944 Hrs. on 16-05-2023.</t>
  </si>
  <si>
    <t xml:space="preserve">9A#1: ESP tripped at 0256 Hrs. on 11/05/2023 due to underload alarmcaused by low inflow/high MLP. ESP kept shutdown for pressure build up.Intake pressure- 1111 PSI. </t>
  </si>
  <si>
    <t>0914  Hrs</t>
  </si>
  <si>
    <t>12.85+3.23 Hrs</t>
  </si>
  <si>
    <t>R9A#2: ESP tripped at 1709 Hrs on 17-05-2023 due to underload caused by low inflow. Kept shutdown for pressure buildup.ESP restarted at 0914 Hrs. on 18-05-2023.</t>
  </si>
  <si>
    <t>1.6/4.4</t>
  </si>
  <si>
    <t>0.175/0.049/0.111</t>
  </si>
  <si>
    <t xml:space="preserve">R9A#1: As per OIM instruction ESP restarted at 1024 Hrs. on 18-05-2023 </t>
  </si>
  <si>
    <t>0808 Hrs</t>
  </si>
  <si>
    <t>2.69/2.86</t>
  </si>
  <si>
    <t>15.4/15.3/15.3</t>
  </si>
  <si>
    <t>2324 Hrs</t>
  </si>
  <si>
    <t>R9A#1 ESP tripped at 2324 hrs on 19-05-2023 due to underload caused by low inflow, kept shutdown for pressure buildup.</t>
  </si>
  <si>
    <t>6.6 Hrs</t>
  </si>
  <si>
    <t>0617 Hrs</t>
  </si>
  <si>
    <t>R9A#2: ESP tripped at 0808 Hrs on 19-05-2023 due to underload caused by low inflow. Kept shutdown for pressure buildup.ESP restarted at 0617 Hrs.on 20-05-2023.</t>
  </si>
  <si>
    <t>21.87 +0.28 Hrs</t>
  </si>
  <si>
    <r>
      <rPr>
        <b/>
        <sz val="11"/>
        <color rgb="FFFF0000"/>
        <rFont val="Calibri"/>
        <family val="2"/>
        <charset val="204"/>
        <scheme val="minor"/>
      </rPr>
      <t>R9A#1:</t>
    </r>
    <r>
      <rPr>
        <b/>
        <sz val="11"/>
        <rFont val="Calibri"/>
        <family val="2"/>
        <charset val="204"/>
        <scheme val="minor"/>
      </rPr>
      <t xml:space="preserve">ESP tripped at 2324 hrs on 19-05-2023 due to underload caused by low inflow, kept shutdown for pressure buildup.                                                           </t>
    </r>
    <r>
      <rPr>
        <b/>
        <sz val="11"/>
        <color rgb="FFFF0000"/>
        <rFont val="Calibri"/>
        <family val="2"/>
        <charset val="204"/>
        <scheme val="minor"/>
      </rPr>
      <t>R9A#2:</t>
    </r>
    <r>
      <rPr>
        <b/>
        <sz val="11"/>
        <rFont val="Calibri"/>
        <family val="2"/>
        <charset val="204"/>
        <scheme val="minor"/>
      </rPr>
      <t xml:space="preserve"> ESP tripped at 0808 Hrs on 19-05-2023 due to underload caused by low inflow. Kept shutdown for pressure buildup.ESP restarted at 0617 Hrs.on 20-05-2023.</t>
    </r>
  </si>
  <si>
    <t>R9A#1:ESP tripped at 2324 hrs on 19-05-2023 due to underload caused by low inflow, kept shutdown for pressure buildup.</t>
  </si>
  <si>
    <t>0.127/0.033/0.082</t>
  </si>
  <si>
    <t>Frequency increased to 57  due to reducing trend FAT and Motor load. Due to High MLP</t>
  </si>
  <si>
    <t>Frequency reduced back to 55.5 Hz.</t>
  </si>
  <si>
    <t>R9A#2: ESP tripped at 1003 Hrs on 21-05-2023 due to underload caused by low inflow. Kept shutdown for pressure buildup.ESP restarted at 0800 Hrs.on 22-05-2023.</t>
  </si>
  <si>
    <t>19.95+2 Hrs</t>
  </si>
  <si>
    <r>
      <t xml:space="preserve">R9A#2: </t>
    </r>
    <r>
      <rPr>
        <b/>
        <sz val="11"/>
        <rFont val="Calibri"/>
        <family val="2"/>
        <charset val="204"/>
        <scheme val="minor"/>
      </rPr>
      <t>ESP tripped at 1003 Hrs on 21-05-2023 due to underload caused by low inflow. Kept shutdown for pressure buildup.ESP restarted at 0800 Hrs.on 22-05-2023.</t>
    </r>
  </si>
  <si>
    <t>0.185/0.048/0.093</t>
  </si>
  <si>
    <t>18/18/17.9</t>
  </si>
  <si>
    <t>Frequency increased to 53 Hz to tackle the high back pressure.</t>
  </si>
  <si>
    <t>High Back pressure due to Ratna crude oil directly diverted to HUT line.</t>
  </si>
  <si>
    <t>R9A#1:ESP tripped at 2324 hrs on 19-05-2023 due to underload caused by low inflow, kept shutdown for pressure buildup.Static intake pressure-1126 PSI</t>
  </si>
  <si>
    <t>15.7/15.6/15.7</t>
  </si>
  <si>
    <t>14.9/14.7/14.6</t>
  </si>
  <si>
    <t>Frequency revert back to 53 Hz</t>
  </si>
  <si>
    <t>1807 Hrs</t>
  </si>
  <si>
    <t>R9A#2: ESP tripped at 0604 Hrs on 23-05-2023 due to underload caused by low inflow. Kept shutdown for pressure buildup.ESP restarted at 1807 Hrs.on 23-05-2023.</t>
  </si>
  <si>
    <t>12.05 Hrs</t>
  </si>
  <si>
    <t>15.6/15.6/15.6</t>
  </si>
  <si>
    <t>R9A#1:ESP tripped at 2324 hrs on 19-05-2023 due to underload caused by low inflow, kept shutdown for pressure buildup.Static intake pressure-1163 PSI</t>
  </si>
  <si>
    <t>1602 Hrs</t>
  </si>
  <si>
    <t>R9A#2: ESP tripped at 1602 Hrs on 24-05-2023 due to underload caused by low inflow. Kept shutdown for pressure buildup.</t>
  </si>
  <si>
    <t>R9A#1:ESP tripped at 2324 hrs on 19-05-2023 due to underload caused by low inflow, kept shutdown for pressure buildup.Static intake pressure-1190 PSI</t>
  </si>
  <si>
    <t>R9A#2: ESP tripped at 1602 Hrs on 24-05-2023 due to underload caused by low inflow. Kept shutdown for pressure buildup.Static Intake pressure-1353 PSI.</t>
  </si>
  <si>
    <t>Frequency reverted to 52 Hz because of reduction in the MLP</t>
  </si>
  <si>
    <t>R9A#1:ESP tripped at 2324 hrs on 19-05-2023 due to underload caused by low inflow, kept shutdown for pressure buildup.Static intake pressure-1215 PSI</t>
  </si>
  <si>
    <t>1925 Hrs</t>
  </si>
  <si>
    <t>13.97+++13.42 Hrs</t>
  </si>
  <si>
    <t>R9A#2: ESP tripped at 1602 Hrs on 24-05-2023 due to underload caused by low inflow. Kept shutdown for pressure buildup.Static Intake pressure-1455 PSI.ESP restarted at 13.42 Hrs. on 26-05-2023</t>
  </si>
  <si>
    <t>R9A#1:ESP tripped at 2324 hrs on 19-05-2023 due to underload caused by low inflow, kept shutdown for pressure buildup.Static intake pressure-1239 PSI</t>
  </si>
  <si>
    <t>R9A#2: ESP tripped at 1602 Hrs on 24-05-2023 due to underload caused by low inflow. Kept shutdown for pressure buildup.ESP restarted at 1925Hrs. on 26-05-2023</t>
  </si>
  <si>
    <t xml:space="preserve">R9A#2:ESP restarted at 1925 Hrs. on 26-05-2023,after completion of H2S mitigation package commissioning at R13A.
</t>
  </si>
  <si>
    <t>1429 Hrs</t>
  </si>
  <si>
    <t>R9A#2: ESP tripped at 1429 Hrs on 27-05-2023 due to underload caused by low inflow. Kept shutdown for pressure buildup.ESP restarted at 1752Hrs. on 27-05-2023</t>
  </si>
  <si>
    <t>3.38 Hrs</t>
  </si>
  <si>
    <t>R9A#2: ESP tripped at 1429 Hrs on 27-05-2023 due to underload caused by low inflow. Kept shutdown for pressure buildup.ESP restarted at 1752Hrs. on 27-05-2023.ESPagain tripped at 2339 Hrs on 27-05-2023 due to underload caused by low inflow. Kept shutdown for pressure buildup.</t>
  </si>
  <si>
    <t>1.53/2.83</t>
  </si>
  <si>
    <t>18/18.1/17.8</t>
  </si>
  <si>
    <t>0.169/0.120/0.101</t>
  </si>
  <si>
    <t>17/17/17</t>
  </si>
  <si>
    <t>1410 Hrs</t>
  </si>
  <si>
    <t xml:space="preserve">R9A#1: As per OIM instruction ,ESP restarted @ 1410 Hrs. on 28-05-2023 </t>
  </si>
  <si>
    <t>8.17 Hrs</t>
  </si>
  <si>
    <t>6.35+8.17 Hrs</t>
  </si>
  <si>
    <t>R9A#2: ESP tripped at 2339 Hrs on 27-05-2023 due to underload caused by low inflow. Kept shutdown for pressure buildup.ESP restarted at 1410 Hrs. on 28-05-2023</t>
  </si>
  <si>
    <r>
      <rPr>
        <b/>
        <sz val="11"/>
        <color rgb="FFFF0000"/>
        <rFont val="Calibri"/>
        <family val="2"/>
        <charset val="204"/>
        <scheme val="minor"/>
      </rPr>
      <t>R9A#1</t>
    </r>
    <r>
      <rPr>
        <b/>
        <sz val="11"/>
        <rFont val="Calibri"/>
        <family val="2"/>
        <charset val="204"/>
        <scheme val="minor"/>
      </rPr>
      <t xml:space="preserve">: As per OIM instruction ,ESP restarted @ 1410 Hrs. on 28-05-2023.  </t>
    </r>
    <r>
      <rPr>
        <b/>
        <sz val="11"/>
        <color rgb="FFFF0000"/>
        <rFont val="Calibri"/>
        <family val="2"/>
        <charset val="204"/>
        <scheme val="minor"/>
      </rPr>
      <t>R9A#2:</t>
    </r>
    <r>
      <rPr>
        <b/>
        <sz val="11"/>
        <rFont val="Calibri"/>
        <family val="2"/>
        <charset val="204"/>
        <scheme val="minor"/>
      </rPr>
      <t xml:space="preserve"> ESP tripped at 2339 Hrs on 27-05-2023 due to underload caused by low inflow. Kept shutdown for pressure buildup.ESP restarted at 1410 Hrs. on 28-05-2023 </t>
    </r>
  </si>
  <si>
    <t>1.87/3.77</t>
  </si>
  <si>
    <t>0.196/0.120/0.175</t>
  </si>
  <si>
    <t>15.3/15.2/15.3</t>
  </si>
  <si>
    <t>0931 Hrs</t>
  </si>
  <si>
    <t>R9A#2: ESP tripped at 1610 Hrs on 29-05-2023 due to underload caused by low inflow. Kept shutdown for pressure buildup.ESP restarted at 0931 Hrs. on 30-05-2023</t>
  </si>
  <si>
    <t>13.83+3.52 Hrs</t>
  </si>
  <si>
    <t>0.040/0.026/0.050</t>
  </si>
  <si>
    <t>Frequency increased to 55 Hz due to high MLP</t>
  </si>
  <si>
    <t>0.97 hrs</t>
  </si>
  <si>
    <t>1254 Hrs</t>
  </si>
  <si>
    <t>R9A#1: ESP tripped on underload at 1254 Hrs. on 30-05-2023, ESP kept shutdown for pressure build up.</t>
  </si>
  <si>
    <t>17.1 Hrs</t>
  </si>
  <si>
    <t>R9A#1: ESP tripped on underload at 1254 Hrs. on 30-05-2023, ESP kept shutdown for pressure build up.Static intake pressure-954 PSI</t>
  </si>
  <si>
    <t>R9A#1: ESP tripped on underload at 1254 Hrs. on 30-05-2023, ESP kept shutdown for pressure build up.Static intake pressure-1057 PSI</t>
  </si>
  <si>
    <t>1651 Hrs</t>
  </si>
  <si>
    <t>0840 Hrs</t>
  </si>
  <si>
    <t>R9A#2: ESP tripped at 1651 Hrs on 31-05-2023 due to underload caused by low inflow. Kept shutdown for pressure buildup.ESP restarted at 0840  Hrs. on 01-06-2023.</t>
  </si>
  <si>
    <t>13.15 +2.67 Hrs</t>
  </si>
  <si>
    <r>
      <rPr>
        <b/>
        <sz val="11"/>
        <color rgb="FFFF0000"/>
        <rFont val="Calibri"/>
        <family val="2"/>
        <charset val="204"/>
        <scheme val="minor"/>
      </rPr>
      <t>R9A#2</t>
    </r>
    <r>
      <rPr>
        <b/>
        <sz val="11"/>
        <rFont val="Calibri"/>
        <family val="2"/>
        <charset val="204"/>
        <scheme val="minor"/>
      </rPr>
      <t xml:space="preserve"> ESP tripped at 1613 hrs on 03-05-2023 due to underload caused by low inflow/high MLP. ESP kept shutdown for pressure buildup.ESP restarted at 0612 Hrs.on 04-05-2023.</t>
    </r>
  </si>
  <si>
    <t>Total running hours June 2023</t>
  </si>
  <si>
    <t>Total shutdown hours due to ONGC June 2023</t>
  </si>
  <si>
    <t>Total shutdown hours due to Novomet June 2023</t>
  </si>
  <si>
    <t>R9A#1: ESP tripped on underload at 1254 Hrs. on 30-05-2023, ESP kept shutdown for pressure build up.Static intake pressure-1108  PSI</t>
  </si>
  <si>
    <t>0.243/0.030/0.166</t>
  </si>
  <si>
    <t>R9A#1: ESP tripped on underload at 1254 Hrs. on 30-05-2023, ESP kept shutdown for pressure build up.Static intake pressure-1140  PSI</t>
  </si>
  <si>
    <t>0.182/0.020/0.087</t>
  </si>
  <si>
    <t>0648 Hrs</t>
  </si>
  <si>
    <t>2028 Hrs</t>
  </si>
  <si>
    <t>13.67 Hrs</t>
  </si>
  <si>
    <t>R9A#2: ESP tripped at 0648 Hrs on 02-06-2023 due to underload caused by low inflow. Kept shutdown for pressure buildup.ESP restarted at 2028 Hrs. on 02-06-2023.</t>
  </si>
  <si>
    <t>0344 Hrs</t>
  </si>
  <si>
    <t>2.27+4.97 Hrs</t>
  </si>
  <si>
    <t>1057 Hrs</t>
  </si>
  <si>
    <t>R9A#1: ESP tripped on underload at 1254 Hrs. on 30-05-2023, ESP kept shutdown for pressure build up.Static intake pressure-1182  PSI</t>
  </si>
  <si>
    <t>0.065/0.028/0.054</t>
  </si>
  <si>
    <t>17.9/17.8/17.8</t>
  </si>
  <si>
    <t>1553 Hrs</t>
  </si>
  <si>
    <t>1335 Hrs</t>
  </si>
  <si>
    <t>2.63 Hrs</t>
  </si>
  <si>
    <t>1.27 Hrs</t>
  </si>
  <si>
    <t>R9A#4 : Observed FAT is reducing trend due to high MLP during pigging activity at R10A to R12A WFL. Increased frequency to 58 Hz but no improvements in the ESP performance and FAT.ESP tripped at 1057 Hrs. on 03-06-2023.ESP  restarted at 1335 Hrs. on 03-06-2023.ESP again tripped on the underload alarm at 1437 Hrs. on 03-06-2023. informed ONGC to check SSSV,found SSSV closed condition. Pressuraized the SSSV and restrated the ESP 1553 Hrs.on 03-06-2023</t>
  </si>
  <si>
    <t>R9A#2: ESP tripped at 0344 Hrs on 03-06-2023 due to underload caused by high MLP during pigging activity at R10A to R12A WFL. Kept shutdown for pressure buildup.ESP restarted at 1058 Hrs. on 02-06-2023.</t>
  </si>
  <si>
    <t>Frequency increased to 56 Hz to tackle the back pressure.</t>
  </si>
  <si>
    <t>2359 Hrs</t>
  </si>
  <si>
    <t>14.48 Hrs</t>
  </si>
  <si>
    <t>R9A#2: ESP tripped at 0930 Hrs on 04-06-2023 due to underload caused by high MLP/ low inflow.( maximun pressure reached to 42.62 Kg/cm2).ESP Kept shutdown for pressure buildup.ESP restarted at 2359 Hrs. on 04-06-2023</t>
  </si>
  <si>
    <t>1.5/2.70</t>
  </si>
  <si>
    <t>Frequency rampdown to 55.5 Hz after reduction in MLP</t>
  </si>
  <si>
    <t>1644 Hrs</t>
  </si>
  <si>
    <t>R9A#1: ESP restarted as per OIM Instruction at 1644 Hrs. on 05-05-2023.</t>
  </si>
  <si>
    <t>1628 Hrs</t>
  </si>
  <si>
    <t>R9A#2: ESP tripped at 1628 Hrs on 05-06-2023 due to underload caused by low inflow/ High MLP. Kept shutdown for pressure buildup.</t>
  </si>
  <si>
    <r>
      <rPr>
        <b/>
        <sz val="11"/>
        <color rgb="FFFF0000"/>
        <rFont val="Calibri"/>
        <family val="2"/>
        <charset val="204"/>
        <scheme val="minor"/>
      </rPr>
      <t xml:space="preserve">R9A#2: </t>
    </r>
    <r>
      <rPr>
        <b/>
        <sz val="11"/>
        <rFont val="Calibri"/>
        <family val="2"/>
        <charset val="204"/>
        <scheme val="minor"/>
      </rPr>
      <t xml:space="preserve">ESP tripped at 0344 Hrs on 03-06-2023 due to underload caused by high MLP during pigging activity at R10A to R12A WFL. Kept shutdown for pressure buildupESP restarted at 1058 Hrs. on 03-06-2023.                                                       </t>
    </r>
    <r>
      <rPr>
        <b/>
        <sz val="11"/>
        <color rgb="FFFF0000"/>
        <rFont val="Calibri"/>
        <family val="2"/>
        <charset val="204"/>
        <scheme val="minor"/>
      </rPr>
      <t>R9A#4 :</t>
    </r>
    <r>
      <rPr>
        <b/>
        <sz val="11"/>
        <rFont val="Calibri"/>
        <family val="2"/>
        <charset val="204"/>
        <scheme val="minor"/>
      </rPr>
      <t xml:space="preserve"> Observed FAT is reducing trend due to high MLP during pigging activity at R10A to R12A WFL. Increased frequency to 58 Hz but no improvements in the ESP performance and FAT.ESP tripped at 1057 Hrs. on 03-06-2023.ESP  restarted at 1335 Hrs. on 03-06-2023.ESP again tripped on the underload alarm at 1437 Hrs. on 03-06-2023. informed ONGC to check SSSV,found SSSV closed condition. Pressuraized the SSSV and restarted the ESP 1553 Hrs.on 03-06-2023</t>
    </r>
  </si>
  <si>
    <t>2.11/2.97</t>
  </si>
  <si>
    <t>0.131/0.061/0.100</t>
  </si>
  <si>
    <t>0037 Hrs</t>
  </si>
  <si>
    <t>1645  Hrs</t>
  </si>
  <si>
    <t>R9A#2: ESP tripped at 1628 Hrs on 05-06-2023 due to underload caused by low inflow/ High MLP. Kept shutdown for pressure buildup.ESP restarted at 0037 Hrs. on 06-05-2023.</t>
  </si>
  <si>
    <t>8.15 Hrs</t>
  </si>
  <si>
    <r>
      <rPr>
        <b/>
        <sz val="11"/>
        <color rgb="FFFF0000"/>
        <rFont val="Calibri"/>
        <family val="2"/>
        <charset val="204"/>
        <scheme val="minor"/>
      </rPr>
      <t xml:space="preserve">R9A#1: </t>
    </r>
    <r>
      <rPr>
        <b/>
        <sz val="11"/>
        <rFont val="Calibri"/>
        <family val="2"/>
        <charset val="204"/>
        <scheme val="minor"/>
      </rPr>
      <t xml:space="preserve">ESP restarted as per OIM Instruction at 1644 Hrs. on 05-05-2023.    </t>
    </r>
    <r>
      <rPr>
        <b/>
        <sz val="11"/>
        <color rgb="FFFF0000"/>
        <rFont val="Calibri"/>
        <family val="2"/>
        <charset val="204"/>
        <scheme val="minor"/>
      </rPr>
      <t xml:space="preserve">R9A#2: </t>
    </r>
    <r>
      <rPr>
        <b/>
        <sz val="11"/>
        <rFont val="Calibri"/>
        <family val="2"/>
        <charset val="204"/>
        <scheme val="minor"/>
      </rPr>
      <t>ESP tripped at 1628 Hrs on 05-06-2023 due to underload caused by low inflow/ High MLP. Kept shutdown for pressure buildup.ESP restarted at 0037 Hrs. on 06-05-2023.</t>
    </r>
  </si>
  <si>
    <t>R9A#2: ESP tripped at 0615Hrs on 06-06-2023 due to underload caused by low inflow/ High MLP. Kept shutdown for pressure buildup.ESP restarred at 1645 Hrs. on 06-06-2023.</t>
  </si>
  <si>
    <t>10.5 Hrs</t>
  </si>
  <si>
    <t>R9A#2: ESP tripped at 0615Hrs on 06-06-2023 due to underload caused by low inflow/ High MLP. Kept shutdown for pressure buildup.ESP restared at 1645 Hrs. on 06-06-2023.</t>
  </si>
  <si>
    <t>2.58/3.2</t>
  </si>
  <si>
    <t>0.179/0.064/0.205</t>
  </si>
  <si>
    <t>13.1/12.9/13.2</t>
  </si>
  <si>
    <t>1751 Hrs</t>
  </si>
  <si>
    <t>R9A#2: ESP tripped at 1751Hrs on 07-06-2023 due to underload caused by low inflow/ High MLP. Kept shutdown for pressure buildup.</t>
  </si>
  <si>
    <t>0157 Hrs</t>
  </si>
  <si>
    <t>R9A#1:ESP tripped on the underload at 0157 Hrs. on 08-06-23023. ESP kept shutdown for pressure build up.</t>
  </si>
  <si>
    <t>4.05  Hrs</t>
  </si>
  <si>
    <t>0.234/0.088/0.036</t>
  </si>
  <si>
    <t>17.2/17.2/17.2</t>
  </si>
  <si>
    <t>1116 Hrs</t>
  </si>
  <si>
    <t>12.15+5.27  Hrs</t>
  </si>
  <si>
    <t>R9A#2: ESP tripped at 1751Hrs on 07-06-2023 due to underload caused by low inflow/ High MLP. Kept shutdown for pressure buildup.ESP restarted at 1116 Hrs. on 08-06-2023.</t>
  </si>
  <si>
    <t>R9A#2: ESP tripped at 1751Hrs on 07-06-2023 due to underload caused by low inflow/ High MLP. Kept shutdown for pressure buildup..ESP restarted at 1116 Hrs. on 08-06-2023.</t>
  </si>
  <si>
    <t>0744 Hrs</t>
  </si>
  <si>
    <t>R9A#2: ESP tripped at 0744Hrs on 09-06-2023 due to underload caused by low inflow/ High MLP. Kept shutdown for pressure buildup.ESP restarted at 0209 Hrs. on 10-06-2023.</t>
  </si>
  <si>
    <t>R9A#1:ESP tripped on the underload at 0157 Hrs. on 08-06-23023. ESP kept shutdown for pressure build up.Static build up pressure-1109 PSI</t>
  </si>
  <si>
    <t>0.063/0.028/0.087</t>
  </si>
  <si>
    <t>18.32 Hrs</t>
  </si>
  <si>
    <t>R9A#2: ESP tripped at 0744Hrs on 09-06-2023 due to underload caused by low inflow/ High MLP. Kept shutdown for pressure buildup.ESP restarted at 0203 Hrs. on 10-06-2023.</t>
  </si>
  <si>
    <t>R9A#1:ESP tripped on the underload at 0157 Hrs. on 08-06-23023. ESP kept shutdown for pressure build up.Static build up pressure-1149 PSI</t>
  </si>
  <si>
    <t>0.083/0.028/0.067</t>
  </si>
  <si>
    <t>17.2/17.4/17.4</t>
  </si>
  <si>
    <t>R9A#2: ESP tripped at 0256Hrs on 11-06-2023 due to underload caused by low inflow/ High MLP. Kept shutdown for pressure buildup.ESP restarted at 2132 Hrs. on 11-06-2023.</t>
  </si>
  <si>
    <t>3.06 +15.53 Hrs</t>
  </si>
  <si>
    <t>R9A#1:ESP tripped on the underload at 0157 Hrs. on 08-06-23023. ESP kept shutdown for pressure build up.Static build up pressure-1182PSI</t>
  </si>
  <si>
    <t>0.230/0.084/0.046</t>
  </si>
  <si>
    <t>16.9/16.9/16.9</t>
  </si>
  <si>
    <t>R9A#2: ESP tripped at 2052 Hrs on 12-06-2023 due to underload caused by low inflow/ High MLP. Kept shutdown for pressure buildup.</t>
  </si>
  <si>
    <t>R9A#1:ESP tripped on the underload at 0157 Hrs. on 08-06-23023. ESP kept shutdown for pressure build up.Static build up pressure-1213 PSI</t>
  </si>
  <si>
    <t>0.064/0.029/0.064</t>
  </si>
  <si>
    <t>15.4/15.3/15.4</t>
  </si>
  <si>
    <t>2046  Hrs</t>
  </si>
  <si>
    <t>1418 Hrs</t>
  </si>
  <si>
    <t>9.23+8.3 Hrs</t>
  </si>
  <si>
    <t>R9A#2: ESP tripped at 2046 Hrs on 12-06-2023 due to underload caused by low inflow/ High MLP. Kept shutdown for pressure buildup.ESP restarted at 1418 Hrs. on 13-06-2023.</t>
  </si>
  <si>
    <t>0823 Hrs</t>
  </si>
  <si>
    <t>R9A#1: As per OIM instruction ESP restarted at 0823 Hrs. on 14-06-2023</t>
  </si>
  <si>
    <t>2.38 Hrs</t>
  </si>
  <si>
    <t>3.01/4.96</t>
  </si>
  <si>
    <t>17.1/17.2/16.8</t>
  </si>
  <si>
    <t>0.326/0.026/0.169</t>
  </si>
  <si>
    <t>14.3/14.3/14.6</t>
  </si>
  <si>
    <t>15.3/15.2/15.2</t>
  </si>
  <si>
    <t>R9A#2: ESP tripped at 2046 Hrs on 15-06-2023 due to underload caused by low inflow.Intake pressure was redicing trend,before trip intake pressure reached to  907 PSI.  Kept shutdown for pressure buildup.</t>
  </si>
  <si>
    <r>
      <rPr>
        <b/>
        <sz val="11"/>
        <color rgb="FFFF0000"/>
        <rFont val="Calibri"/>
        <family val="2"/>
        <charset val="204"/>
        <scheme val="minor"/>
      </rPr>
      <t>R9A#1:</t>
    </r>
    <r>
      <rPr>
        <b/>
        <sz val="11"/>
        <rFont val="Calibri"/>
        <family val="2"/>
        <charset val="204"/>
        <scheme val="minor"/>
      </rPr>
      <t xml:space="preserve"> As per OIM instruction ESP restarted at 0823 Hrs. on 14-06-2023.            </t>
    </r>
    <r>
      <rPr>
        <b/>
        <sz val="11"/>
        <color rgb="FFFF0000"/>
        <rFont val="Calibri"/>
        <family val="2"/>
        <charset val="204"/>
        <scheme val="minor"/>
      </rPr>
      <t>R9A#2:</t>
    </r>
    <r>
      <rPr>
        <b/>
        <sz val="11"/>
        <rFont val="Calibri"/>
        <family val="2"/>
        <charset val="204"/>
        <scheme val="minor"/>
      </rPr>
      <t>ESP tripped at 2046 Hrs on 15-06-2023 due to underload caused by low inflow. Intake pressure was reducing trend before the trip intake pressure reached 907 PSI.  Kept shutdown for pressure buildup.</t>
    </r>
  </si>
  <si>
    <t>Running frequency ramp down to 51 Hz from 55 Hz due to lower MLP.</t>
  </si>
  <si>
    <t>Running frequency  set to 49  Hz  due to lower MLP.</t>
  </si>
  <si>
    <t>2.34/5.74</t>
  </si>
  <si>
    <t>0312 Hrs</t>
  </si>
  <si>
    <t>0.184/0.045/0.110</t>
  </si>
  <si>
    <t>R9A#1: Observed FAT was reducing trend, ramp up the frequency to 51 Hz at 2100 Hrs.ESP performance is back to normal.  ESP tripped on the underload alarm at 0619 Hrs. on 16-06-2023. ESP kept shutdown for pressure build up</t>
  </si>
  <si>
    <t>0619 Hrs</t>
  </si>
  <si>
    <t>23.68 Hrs</t>
  </si>
  <si>
    <t>0507 Hrs</t>
  </si>
  <si>
    <t>R9A#2: ESP tripped at 0312 Hrs on 15-06-2023 due to underload caused by low inflow.Intake pressure was redicing trend,before trip intake pressure reached to  907 PSI.  Kept shutdown for pressure buildup.ESP restarted at 0507 Hrs. on 16-06-2023.</t>
  </si>
  <si>
    <t>2.8+23.12 Hrs</t>
  </si>
  <si>
    <t>R9A#1: Observed FAT was reducing trend, ramp up the frequency to 51 Hz at 2100 Hrs.ESP performance is back to normal.  ESP tripped on the underload alarm at 0619 Hrs. on 16-06-2023. ESP kept shutdown for pressure build up. Static intake pressure-1093 PSI.</t>
  </si>
  <si>
    <t>0813 Hrs</t>
  </si>
  <si>
    <t>R9A#2: ESP tripped at 0813 Hrs on 17-06-2023 due to underload caused by low inflow.Found Downhole sensor readings are lost after the trip.  Kept shutdown for pressure buildup.All sensor alarms are bypassed, ( Sesnsor troubleshooting will be done on next platform visit).ESP restarted at 0016 Hrs. on 18-06-2023.</t>
  </si>
  <si>
    <t>16.05 Hrs</t>
  </si>
  <si>
    <r>
      <rPr>
        <b/>
        <sz val="11"/>
        <color rgb="FFFF0000"/>
        <rFont val="Calibri"/>
        <family val="2"/>
        <charset val="204"/>
        <scheme val="minor"/>
      </rPr>
      <t>R9A#1</t>
    </r>
    <r>
      <rPr>
        <b/>
        <sz val="11"/>
        <rFont val="Calibri"/>
        <family val="2"/>
        <charset val="204"/>
        <scheme val="minor"/>
      </rPr>
      <t xml:space="preserve">: Observed FAT was reducing trend, ramp up the frequency to 51 Hz at 2100 Hrs.ESP performance is back to normal.  ESP tripped on the underload alarm at 0619 Hrs. on 16-06-2023. ESP kept shutdown for pressure build up                                                                                 </t>
    </r>
    <r>
      <rPr>
        <b/>
        <sz val="11"/>
        <color rgb="FFFF0000"/>
        <rFont val="Calibri"/>
        <family val="2"/>
        <charset val="204"/>
        <scheme val="minor"/>
      </rPr>
      <t/>
    </r>
  </si>
  <si>
    <t>14.4/14.3/14.5</t>
  </si>
  <si>
    <t>2346 Hrs</t>
  </si>
  <si>
    <t>R9A#2: ESP tripped at 2346 Hrs on 18-06-2023 due to underload caused by low inflow.ESP kept shutdown for pressure build up</t>
  </si>
  <si>
    <t>15.4/15.4/15.4</t>
  </si>
  <si>
    <t>6.23 +8.17 Hrs</t>
  </si>
  <si>
    <t>R9A#2: ESP tripped at 2346 Hrs on 18-06-2023 due to underload caused by low inflow.ESP kept shutdown for pressure build up. ESP restarted at 1410 Hrs. on 19-06-2023.</t>
  </si>
  <si>
    <t>R9A#2: ESP tripped at 2346 Hrs on 18-06-2023 due to underload caused by low inflow.ESP kept shutdown for pressure build up.ESP restarted at 1410 Hrs. on 19-06-2023.</t>
  </si>
  <si>
    <t>14.7/14.7/14.6</t>
  </si>
  <si>
    <t xml:space="preserve">Frequency ramp up to 54 Hz  due Low FAT </t>
  </si>
  <si>
    <t>0014 Hrs</t>
  </si>
  <si>
    <t>R9A#2: ESP tripped at 0908 Hrs on 20-06-2023 due to underload caused by low inflow.ESP kept shutdown for pressure build up. ESP restarted at 0014 Hrs. on 21-06-2023.</t>
  </si>
  <si>
    <t>15.1 Hrs</t>
  </si>
  <si>
    <t>1.22/2.44</t>
  </si>
  <si>
    <t>1340 Hrs</t>
  </si>
  <si>
    <t>R9A#1: As per OIM instruction ESP restarted at 1340 Hrs. on 22-06-2023</t>
  </si>
  <si>
    <t>7.67 Hrs</t>
  </si>
  <si>
    <t>2232 Hrs</t>
  </si>
  <si>
    <t>R9A#2: ESP tripped at 2232 Hrs on 21-06-2023 due to underload caused by low inflow.ESP kept shutdown for pressure build up.</t>
  </si>
  <si>
    <t>2.05/5.46</t>
  </si>
  <si>
    <t>16.7/16.7/16.7</t>
  </si>
  <si>
    <t>Frequency temporarly increased to 55.5 Hz to tackle the back pressure.</t>
  </si>
  <si>
    <t>1744 Hrs</t>
  </si>
  <si>
    <t>7.47+11.73  Hrs</t>
  </si>
  <si>
    <t>R9A#2: ESP tripped at 2232 Hrs on 21-06-2023 due to underload caused by low inflow.ESP kept shutdown for pressure build up.ESP restarted at 1744 Hrs.on 22-06-2023.</t>
  </si>
  <si>
    <r>
      <t>R9A#1:</t>
    </r>
    <r>
      <rPr>
        <b/>
        <sz val="11"/>
        <rFont val="Calibri"/>
        <family val="2"/>
        <charset val="204"/>
        <scheme val="minor"/>
      </rPr>
      <t xml:space="preserve"> As per OIM instruction ESP restarted at 1340 Hrs. on 22-06-2023.</t>
    </r>
    <r>
      <rPr>
        <b/>
        <sz val="11"/>
        <color rgb="FFFF0000"/>
        <rFont val="Calibri"/>
        <family val="2"/>
        <charset val="204"/>
        <scheme val="minor"/>
      </rPr>
      <t xml:space="preserve">             R9A#2: </t>
    </r>
    <r>
      <rPr>
        <b/>
        <sz val="11"/>
        <rFont val="Calibri"/>
        <family val="2"/>
        <charset val="204"/>
        <scheme val="minor"/>
      </rPr>
      <t>ESP tripped at 2232 Hrs on 21-06-2023 due to underload caused by low inflow.ESP kept shutdown for pressure build up.ESP restarted at 1744 Hrs.on 22-06-2023.</t>
    </r>
  </si>
  <si>
    <t>1348 Hrs</t>
  </si>
  <si>
    <t>R9A#1: ESP tripped on the underload alarm at 1348 Hrs. on 23-06-2023.ESP kept shutdown for pressure build up. Static intake pressure 1010 PSI.</t>
  </si>
  <si>
    <t>1248 Hrs</t>
  </si>
  <si>
    <t>R9A#2: ESP tripped at 1248 Hrs on 23-06-2023 due to underload caused by low inflow.ESP kept shutdown for pressure build up.</t>
  </si>
  <si>
    <t>R9A#1: ESP tripped on the underload alarm at 1348 Hrs. on 23-06-2023.ESP kept shutdown for pressure build up. Static intake pressure 1052 PSI.</t>
  </si>
  <si>
    <t>16.6/16.6/16.5</t>
  </si>
  <si>
    <t>1040 Hrs</t>
  </si>
  <si>
    <t>17.2 +4.67 Hrs</t>
  </si>
  <si>
    <t>R9A#2: ESP tripped at 1248 Hrs on 23-06-2023 due to underload caused by low inflow.ESP kept shutdown for pressure build up.ESP restarted at 1040 Hrs. on 24-06-2023.</t>
  </si>
  <si>
    <t>R9A#1: ESP tripped on the underload alarm at 1348 Hrs. on 23-06-2023.ESP kept shutdown for pressure build up. Static intake pressure 1104 PSI.</t>
  </si>
  <si>
    <t>16.7/16.6/16.6</t>
  </si>
  <si>
    <t>1002 Hrs</t>
  </si>
  <si>
    <t>R9A#2: ESP tripped at 1002 Hrs on 25-06-2023 due to underload caused by low inflow.ESP kept shutdown for pressure build up.</t>
  </si>
  <si>
    <t>1028 Hrs</t>
  </si>
  <si>
    <t>19.96 +4.47  Hrs</t>
  </si>
  <si>
    <t>R9A#2: ESP tripped at 1002 Hrs on 25-06-2023 due to underload caused by low inflow.ESP kept shutdown for pressure build up.ESP restarted at 1028 Hrs. on 26-06-2023.</t>
  </si>
  <si>
    <t>R9A#1: ESP tripped on the underload alarm at 1348 Hrs. on 23-06-2023.ESP kept shutdown for pressure build up. Static intake pressure 1146 PSI.</t>
  </si>
  <si>
    <t>15.8/16/16</t>
  </si>
  <si>
    <t>0904 Hrs</t>
  </si>
  <si>
    <t>R9A#2: ESP tripped at 0904  Hrs on 27-06-2023 due to underload caused by low inflow.ESP kept shutdown for pressure build up.</t>
  </si>
  <si>
    <t>R9A#1: ESP tripped on the underload alarm at 1348 Hrs. on 23-06-2023.ESP kept shutdown for pressure build up. Static intake pressure 1181 PSI.</t>
  </si>
  <si>
    <t>R9A#2: ESP tripped at 0904  Hrs on 27-06-2023 due to underload caused by low inflow.ESP kept shutdown for pressure build up.ESP restared at 1035 Hrs. 28-06-2023.</t>
  </si>
  <si>
    <t>20.93+4.58  Hrs</t>
  </si>
  <si>
    <t>R9A#1: ESP tripped on the underload alarm at 1348 Hrs. on 23-06-2023.ESP kept shutdown for pressure build up. Static intake pressure 1212 PSI.</t>
  </si>
  <si>
    <t>R9A#1: ESP tripped on the underload alarm at 1348 Hrs. on 23-06-2023.ESP kept shutdown for pressure build up. Static intake pressure 1242 PSI.</t>
  </si>
  <si>
    <t>R9A#2: ESP tripped at 1324  Hrs on 29-06-2023 due to underload caused by low inflow.ESP kept shutdown for pressure build up.</t>
  </si>
  <si>
    <t>1324 hrs</t>
  </si>
  <si>
    <r>
      <rPr>
        <b/>
        <sz val="11"/>
        <color rgb="FFFF0000"/>
        <rFont val="Calibri"/>
        <family val="2"/>
        <charset val="204"/>
        <scheme val="minor"/>
      </rPr>
      <t>R9A#2:</t>
    </r>
    <r>
      <rPr>
        <b/>
        <sz val="11"/>
        <rFont val="Calibri"/>
        <family val="2"/>
        <charset val="204"/>
        <scheme val="minor"/>
      </rPr>
      <t xml:space="preserve"> ESP tripped at 1002 Hrs on 25-06-2023 due to underload caused by low inflow.ESP kept shutdown for pressure build up.ESP restarted at 1028 Hrs. on 26-06-2023.</t>
    </r>
  </si>
  <si>
    <r>
      <rPr>
        <b/>
        <sz val="11"/>
        <color rgb="FFFF0000"/>
        <rFont val="Calibri"/>
        <family val="2"/>
        <charset val="204"/>
        <scheme val="minor"/>
      </rPr>
      <t>R9A#2:</t>
    </r>
    <r>
      <rPr>
        <b/>
        <sz val="11"/>
        <rFont val="Calibri"/>
        <family val="2"/>
        <charset val="204"/>
        <scheme val="minor"/>
      </rPr>
      <t xml:space="preserve"> ESP tripped at 0904  Hrs on 27-06-2023 due to underload caused by low inflow.ESP kept shutdown for pressure build up.ESP restared at 1035 Hrs. 28-06-2023.</t>
    </r>
  </si>
  <si>
    <r>
      <rPr>
        <b/>
        <sz val="11"/>
        <color rgb="FFFF0000"/>
        <rFont val="Calibri"/>
        <family val="2"/>
        <charset val="204"/>
        <scheme val="minor"/>
      </rPr>
      <t>R9A#2</t>
    </r>
    <r>
      <rPr>
        <b/>
        <sz val="11"/>
        <rFont val="Calibri"/>
        <family val="2"/>
        <charset val="204"/>
        <scheme val="minor"/>
      </rPr>
      <t xml:space="preserve"> ESP restarted after pressure buildup at 1330 hrs on 30-06-2023. 
</t>
    </r>
    <r>
      <rPr>
        <b/>
        <sz val="11"/>
        <color rgb="FFFF0000"/>
        <rFont val="Calibri"/>
        <family val="2"/>
        <charset val="204"/>
        <scheme val="minor"/>
      </rPr>
      <t>R9A#1</t>
    </r>
    <r>
      <rPr>
        <b/>
        <sz val="11"/>
        <rFont val="Calibri"/>
        <family val="2"/>
        <charset val="204"/>
        <scheme val="minor"/>
      </rPr>
      <t xml:space="preserve"> ESP restarted after pressure buildup at 1316 hrs on 30-06-2023.</t>
    </r>
  </si>
  <si>
    <r>
      <rPr>
        <b/>
        <sz val="11"/>
        <color rgb="FFFF0000"/>
        <rFont val="Calibri"/>
        <family val="2"/>
        <charset val="204"/>
        <scheme val="minor"/>
      </rPr>
      <t>R9A#2</t>
    </r>
    <r>
      <rPr>
        <b/>
        <sz val="11"/>
        <rFont val="Calibri"/>
        <family val="2"/>
        <charset val="204"/>
        <scheme val="minor"/>
      </rPr>
      <t xml:space="preserve"> ESP tripped at 1317 hrs on 29-06-2023 due to underload caused by low inflow. Kept shutdown for pressure buildup. </t>
    </r>
  </si>
  <si>
    <t>2/5.69</t>
  </si>
  <si>
    <t>18.2/18.3/18.1</t>
  </si>
  <si>
    <t>Freq increased to 57Hz due to high tackle backpressure</t>
  </si>
  <si>
    <t>R9A#1: ESP tripped on the underload alarm at 1332 Hrs. on 23-06-2023.ESP kept shutdown for pressure build up. Static intake pressure 1010 PSI.</t>
  </si>
  <si>
    <t>16.47 Hrs</t>
  </si>
  <si>
    <t>1316 hrs</t>
  </si>
  <si>
    <t>R9A#1 ESP restarted after pressure buildup at 1316 hrs on 30-06-2023.</t>
  </si>
  <si>
    <t>7.26 hrs</t>
  </si>
  <si>
    <t xml:space="preserve">R9A#2 ESP tripped at 1324 hrs on 29-06-2023 due to underload caused by low inflow. Kept shutdown for pressure buildup. R9A#2 ESP restarted after pressure buildup at 1330 hrs on 30-06-2023. </t>
  </si>
  <si>
    <t>16.6+7.5 hrs</t>
  </si>
  <si>
    <t>1330 hrs</t>
  </si>
  <si>
    <r>
      <rPr>
        <b/>
        <sz val="11"/>
        <color rgb="FFFF0000"/>
        <rFont val="Calibri"/>
        <family val="2"/>
        <charset val="204"/>
        <scheme val="minor"/>
      </rPr>
      <t>R9A#1:</t>
    </r>
    <r>
      <rPr>
        <b/>
        <sz val="11"/>
        <rFont val="Calibri"/>
        <family val="2"/>
        <charset val="204"/>
        <scheme val="minor"/>
      </rPr>
      <t xml:space="preserve"> ESP tripped on the underload alarm at 1348 Hrs. on 23-06-2023.ESP kept shutdown for pressure build up. Static intake pressure 1010 PSI.                   </t>
    </r>
    <r>
      <rPr>
        <b/>
        <sz val="11"/>
        <color rgb="FFFF0000"/>
        <rFont val="Calibri"/>
        <family val="2"/>
        <charset val="204"/>
        <scheme val="minor"/>
      </rPr>
      <t>R9A#2:</t>
    </r>
    <r>
      <rPr>
        <b/>
        <sz val="11"/>
        <rFont val="Calibri"/>
        <family val="2"/>
        <charset val="204"/>
        <scheme val="minor"/>
      </rPr>
      <t xml:space="preserve"> ESP tripped at 1248 Hrs on 23-06-2023 due to underload caused by low inflow.ESP kept shutdown for pressure build up.ESP restarted at 1040 Hrs. on 24-06-2023.</t>
    </r>
  </si>
  <si>
    <t>Total running hours July 2023</t>
  </si>
  <si>
    <t>Total shutdown hours due to ONGC July 2023</t>
  </si>
  <si>
    <t>Total shutdown hours due to Novomet July 2023</t>
  </si>
  <si>
    <r>
      <rPr>
        <b/>
        <sz val="11"/>
        <color rgb="FFFF0000"/>
        <rFont val="Calibri"/>
        <family val="2"/>
        <charset val="204"/>
        <scheme val="minor"/>
      </rPr>
      <t>R9A#2</t>
    </r>
    <r>
      <rPr>
        <b/>
        <sz val="11"/>
        <rFont val="Calibri"/>
        <family val="2"/>
        <charset val="204"/>
        <scheme val="minor"/>
      </rPr>
      <t xml:space="preserve"> ESP tripped at 1344 hrs on 01-07-2023 due to underload caused by low inflow. Kept shutdown for pressure buildup.</t>
    </r>
  </si>
  <si>
    <t>1.31/1.14</t>
  </si>
  <si>
    <t>1344 hrs</t>
  </si>
  <si>
    <t>R9A#2: ESP tripped at 1344  Hrs on 01-07-2023 due to underload caused by low inflow.ESP kept shutdown for pressure build up.</t>
  </si>
  <si>
    <t>R9A#1: ESP tripped on the underload alarm at  Hrs. on 02-07-2023.ESP kept shutdown for pressure build up. Static intake pressure 971 PSI.</t>
  </si>
  <si>
    <t xml:space="preserve">R9A#2 ESP tripped at 1344 hrs on 01-07-2023 due to underload caused by low inflow. Kept shutdown for pressure buildup. ESP restarted after pressure buildup at 1354 hrs on 02-07-2023. </t>
  </si>
  <si>
    <t>16.27+7.9 hrs</t>
  </si>
  <si>
    <t>1354 hrs</t>
  </si>
  <si>
    <r>
      <rPr>
        <b/>
        <sz val="11"/>
        <color rgb="FFFF0000"/>
        <rFont val="Calibri"/>
        <family val="2"/>
        <charset val="204"/>
        <scheme val="minor"/>
      </rPr>
      <t>R9A#2</t>
    </r>
    <r>
      <rPr>
        <b/>
        <sz val="11"/>
        <rFont val="Calibri"/>
        <family val="2"/>
        <charset val="204"/>
        <scheme val="minor"/>
      </rPr>
      <t xml:space="preserve"> ESP restarted after pressure buildup at 1354 hrs on 02-07-2023. 
</t>
    </r>
    <r>
      <rPr>
        <b/>
        <sz val="11"/>
        <color rgb="FFFF0000"/>
        <rFont val="Calibri"/>
        <family val="2"/>
        <charset val="204"/>
        <scheme val="minor"/>
      </rPr>
      <t>R9A#1</t>
    </r>
    <r>
      <rPr>
        <b/>
        <sz val="11"/>
        <rFont val="Calibri"/>
        <family val="2"/>
        <charset val="204"/>
        <scheme val="minor"/>
      </rPr>
      <t xml:space="preserve"> ESP tripped at 1426 hrs on 02-07-2023 due to underload caused by low inflow. Kept shutdown for pressure buildup.</t>
    </r>
  </si>
  <si>
    <t>15.57 hrs</t>
  </si>
  <si>
    <t>1426 hrs</t>
  </si>
  <si>
    <r>
      <rPr>
        <b/>
        <sz val="11"/>
        <color rgb="FFFF0000"/>
        <rFont val="Calibri"/>
        <family val="2"/>
        <charset val="204"/>
        <scheme val="minor"/>
      </rPr>
      <t>R9A#2</t>
    </r>
    <r>
      <rPr>
        <b/>
        <sz val="11"/>
        <rFont val="Calibri"/>
        <family val="2"/>
        <charset val="204"/>
        <scheme val="minor"/>
      </rPr>
      <t xml:space="preserve"> ESP tripped at 1827 hrs on 03-07-2023 due to underload caused by low inflow. Kept shutdown for pressure buildup.</t>
    </r>
  </si>
  <si>
    <t>R9A#1: ESP tripped on the underload alarm at  Hrs. on 02-07-2023.ESP kept shutdown for pressure build up. Static intake pressure 1056 PSI.</t>
  </si>
  <si>
    <t>R9A#2: ESP tripped at 1827 Hrs on 03-07-2023 due to underload caused by low inflow.ESP kept shutdown for pressure build up.</t>
  </si>
  <si>
    <r>
      <rPr>
        <b/>
        <sz val="11"/>
        <color rgb="FFFF0000"/>
        <rFont val="Calibri"/>
        <family val="2"/>
        <charset val="204"/>
        <scheme val="minor"/>
      </rPr>
      <t>R9A#2</t>
    </r>
    <r>
      <rPr>
        <b/>
        <sz val="11"/>
        <rFont val="Calibri"/>
        <family val="2"/>
        <charset val="204"/>
        <scheme val="minor"/>
      </rPr>
      <t xml:space="preserve"> ESP restarted after pressure buildup at 0921 hrs on 04-07-2023. </t>
    </r>
  </si>
  <si>
    <t xml:space="preserve">R9A#2 ESP tripped at 1827 hrs on 03-07-2023 due to underload caused by low inflow. Kept shutdown for pressure buildup. R9A#2 ESP restarted after pressure buildup at 0921 hrs on 04-07-2023. </t>
  </si>
  <si>
    <t>11.55+3.35 hrs</t>
  </si>
  <si>
    <t>R9A#1: ESP tripped on the underload alarm at  Hrs. on 02-07-2023.ESP kept shutdown for pressure build up. Static intake pressure 1111 PSI.</t>
  </si>
  <si>
    <t>15.2/15.4/15.4</t>
  </si>
  <si>
    <t>17.8/17.7/17.7</t>
  </si>
  <si>
    <t>R9A#1: ESP tripped on the underload alarm at  Hrs. on 02-07-2023.ESP kept shutdown for pressure build up. Static intake pressure 1153 PSI.</t>
  </si>
  <si>
    <t>R9A#2: ESP tripped at  Hrs on 05-07-2023 due to underload caused by low inflow.ESP kept shutdown for pressure build up.</t>
  </si>
  <si>
    <r>
      <rPr>
        <b/>
        <sz val="11"/>
        <color rgb="FFFF0000"/>
        <rFont val="Calibri"/>
        <family val="2"/>
        <charset val="204"/>
        <scheme val="minor"/>
      </rPr>
      <t>R9A#2</t>
    </r>
    <r>
      <rPr>
        <b/>
        <sz val="11"/>
        <rFont val="Calibri"/>
        <family val="2"/>
        <charset val="204"/>
        <scheme val="minor"/>
      </rPr>
      <t xml:space="preserve"> ESP tripped at 0843 hrs on 05-07-2023 due to underload caused by low inflow. Kept shutdown for pressure buildup.</t>
    </r>
  </si>
  <si>
    <t>0843 hrs</t>
  </si>
  <si>
    <t>R9A#2 ESP tripped at 0843 hrs on 05-07-2023 due to underload caused by low inflow. Kept shutdown for pressure buildup.R9A2 Esp restarted after pressure buildup at 0855 hrs on 06-07-2023</t>
  </si>
  <si>
    <t>21.29+2.91 hrs</t>
  </si>
  <si>
    <t>0855 hrs</t>
  </si>
  <si>
    <t>18.2/18.1/18.1</t>
  </si>
  <si>
    <t>R9A#2: ESP tripped at 0921 Hrs on 07-07-2023 due to underload caused by low inflow.ESP kept shutdown for pressure build up.</t>
  </si>
  <si>
    <r>
      <rPr>
        <b/>
        <sz val="11"/>
        <color rgb="FFFF0000"/>
        <rFont val="Calibri"/>
        <family val="2"/>
        <charset val="204"/>
        <scheme val="minor"/>
      </rPr>
      <t>R9A#2</t>
    </r>
    <r>
      <rPr>
        <b/>
        <sz val="11"/>
        <rFont val="Calibri"/>
        <family val="2"/>
        <charset val="204"/>
        <scheme val="minor"/>
      </rPr>
      <t xml:space="preserve"> ESP tripped at 0921 hrs on 07-07-2023 due to underload caused by low inflow. Kept shutdown for pressure buildup.</t>
    </r>
  </si>
  <si>
    <t>17.4/17.3/17.4</t>
  </si>
  <si>
    <r>
      <rPr>
        <b/>
        <sz val="11"/>
        <color rgb="FFFF0000"/>
        <rFont val="Calibri"/>
        <family val="2"/>
        <charset val="204"/>
        <scheme val="minor"/>
      </rPr>
      <t>R9A#2</t>
    </r>
    <r>
      <rPr>
        <b/>
        <sz val="11"/>
        <rFont val="Calibri"/>
        <family val="2"/>
        <charset val="204"/>
        <scheme val="minor"/>
      </rPr>
      <t xml:space="preserve"> ESP restarted after pressure buildup at 0936 hrs on 08-07-2023.</t>
    </r>
  </si>
  <si>
    <t>R9A#2 ESP tripped at 0921 hrs on 07-07-2023 due to underload caused by low inflow. Kept shutdown for pressure buildup. R9A#2 ESP restarted after pressure buildup at 0936 hrs on 08-07-2023.</t>
  </si>
  <si>
    <t>20.65+3.6 hrs</t>
  </si>
  <si>
    <t>0936 hrs</t>
  </si>
  <si>
    <t>R9A#1: ESP tripped on the underload alarm at  Hrs. on 02-07-2023.ESP kept shutdown for pressure build up. Static intake pressure 1244 PSI.</t>
  </si>
  <si>
    <t>R9A#1: ESP tripped on the underload alarm at  Hrs. on 02-07-2023.ESP kept shutdown for pressure build up. Static intake pressure 1194 PSI.</t>
  </si>
  <si>
    <t>R9A#1: ESP tripped on the underload alarm at  Hrs. on 02-07-2023.ESP kept shutdown for pressure build up. Static intake pressure 1123 PSI.</t>
  </si>
  <si>
    <r>
      <rPr>
        <b/>
        <sz val="11"/>
        <color rgb="FFFF0000"/>
        <rFont val="Calibri"/>
        <family val="2"/>
        <charset val="204"/>
        <scheme val="minor"/>
      </rPr>
      <t>R9A2</t>
    </r>
    <r>
      <rPr>
        <b/>
        <sz val="11"/>
        <rFont val="Calibri"/>
        <family val="2"/>
        <charset val="204"/>
        <scheme val="minor"/>
      </rPr>
      <t xml:space="preserve"> ESP restarted after pressure buildup at 0855 hrs on 06-07-2023</t>
    </r>
  </si>
  <si>
    <t>1.92/2.36</t>
  </si>
  <si>
    <t>17.7/17.8/17.6</t>
  </si>
  <si>
    <t>R9A#2: ESP tripped at 1002 Hrs on 09-07-2023 due to underload caused by low inflow.ESP kept shutdown for pressure build up.</t>
  </si>
  <si>
    <r>
      <rPr>
        <b/>
        <sz val="11"/>
        <color rgb="FFFF0000"/>
        <rFont val="Calibri"/>
        <family val="2"/>
        <charset val="204"/>
        <scheme val="minor"/>
      </rPr>
      <t>R9A#1</t>
    </r>
    <r>
      <rPr>
        <b/>
        <sz val="11"/>
        <rFont val="Calibri"/>
        <family val="2"/>
        <charset val="204"/>
        <scheme val="minor"/>
      </rPr>
      <t xml:space="preserve"> ESP restarted after pressure buildup at 0828 hrs on 09-07-2023.
</t>
    </r>
    <r>
      <rPr>
        <b/>
        <sz val="11"/>
        <color rgb="FFFF0000"/>
        <rFont val="Calibri"/>
        <family val="2"/>
        <charset val="204"/>
        <scheme val="minor"/>
      </rPr>
      <t>R9A#2</t>
    </r>
    <r>
      <rPr>
        <b/>
        <sz val="11"/>
        <rFont val="Calibri"/>
        <family val="2"/>
        <charset val="204"/>
        <scheme val="minor"/>
      </rPr>
      <t xml:space="preserve"> ESP tripped at 1002 hrs on 09-07-2023 due to underload caused by low inflow, kept shutdown for pressure buildup.</t>
    </r>
  </si>
  <si>
    <t xml:space="preserve">R9A#1 ESP tripped at 1426 hrs on 02-07-2023 due to underload caused by low inflow. Kept shutdown for pressure buildup. </t>
  </si>
  <si>
    <t>R9A#1 ESP restarted after pressure buildup at 0828 hrs on 09-07-2023.</t>
  </si>
  <si>
    <t>4.46 hrs</t>
  </si>
  <si>
    <t>0828 hrs</t>
  </si>
  <si>
    <t>1002 hrs</t>
  </si>
  <si>
    <r>
      <rPr>
        <b/>
        <sz val="11"/>
        <color rgb="FFFF0000"/>
        <rFont val="Calibri"/>
        <family val="2"/>
        <charset val="204"/>
        <scheme val="minor"/>
      </rPr>
      <t>R9A#2</t>
    </r>
    <r>
      <rPr>
        <b/>
        <sz val="11"/>
        <rFont val="Calibri"/>
        <family val="2"/>
        <charset val="204"/>
        <scheme val="minor"/>
      </rPr>
      <t xml:space="preserve"> ESP restarted after pressure buildup at 1014 hrs on 10-07-2023.</t>
    </r>
  </si>
  <si>
    <t>R9A#2 ESP tripped at 1002 hrs on 09-07-2023 due to underload caused by low inflow, kept shutdown for pressure buildup.R9A#2 ESP restarted after pressure buildup at 1014 hrs on 10-07-2023.</t>
  </si>
  <si>
    <t>19.97+4.23 hrs</t>
  </si>
  <si>
    <t>1014 hrs</t>
  </si>
  <si>
    <t>0.96/3.27</t>
  </si>
  <si>
    <t>16/15.9/16</t>
  </si>
  <si>
    <t>16.8/16.7/16.6</t>
  </si>
  <si>
    <r>
      <rPr>
        <b/>
        <sz val="11"/>
        <color rgb="FFFF0000"/>
        <rFont val="Calibri"/>
        <family val="2"/>
        <charset val="204"/>
        <scheme val="minor"/>
      </rPr>
      <t>R9A#1</t>
    </r>
    <r>
      <rPr>
        <b/>
        <sz val="11"/>
        <rFont val="Calibri"/>
        <family val="2"/>
        <charset val="204"/>
        <scheme val="minor"/>
      </rPr>
      <t xml:space="preserve"> ESP tripped at 0620 hrs on 11-07-2023 due to underload caused by low inflow, kept shutdown for pressure buildup.
</t>
    </r>
    <r>
      <rPr>
        <b/>
        <sz val="11"/>
        <color rgb="FFFF0000"/>
        <rFont val="Calibri"/>
        <family val="2"/>
        <charset val="204"/>
        <scheme val="minor"/>
      </rPr>
      <t>R9A#2</t>
    </r>
    <r>
      <rPr>
        <b/>
        <sz val="11"/>
        <rFont val="Calibri"/>
        <family val="2"/>
        <charset val="204"/>
        <scheme val="minor"/>
      </rPr>
      <t xml:space="preserve"> ESP tripped at 0904 hrs on 11-07-2023 due to underload caused by low inflow, kept shutdown for pressure buildup.</t>
    </r>
  </si>
  <si>
    <t>R9A#1 ESP tripped at 0620 hrs on 11-07-2023 due to underload caused by low inflow, kept shutdown for pressure buildup.</t>
  </si>
  <si>
    <t>22.67 hrs</t>
  </si>
  <si>
    <t>0904 hrs</t>
  </si>
  <si>
    <t>R9A#1: ESP tripped on the underload alarm at 0620 Hrs. on 11-07-2023.ESP kept shutdown for pressure build up. Static intake pressure 982 PSI.</t>
  </si>
  <si>
    <t>R9A#2: ESP tripped at 0904 Hrs on 11-07-2023 due to underload caused by low inflow.ESP kept shutdown for pressure build up.</t>
  </si>
  <si>
    <t>17.3/17.2/17.3</t>
  </si>
  <si>
    <r>
      <rPr>
        <b/>
        <sz val="11"/>
        <color rgb="FFFF0000"/>
        <rFont val="Calibri"/>
        <family val="2"/>
        <charset val="204"/>
        <scheme val="minor"/>
      </rPr>
      <t>R9A#2</t>
    </r>
    <r>
      <rPr>
        <b/>
        <sz val="11"/>
        <rFont val="Calibri"/>
        <family val="2"/>
        <charset val="204"/>
        <scheme val="minor"/>
      </rPr>
      <t xml:space="preserve"> ESP restarted after pressure buildup at 0902 hrs on 12-07-2023</t>
    </r>
  </si>
  <si>
    <t>15.6/15.9/15.9</t>
  </si>
  <si>
    <t>R9A#2 ESP tripped at 0904 hrs on 11-07-2023 due to underload caused by low inflow, kept shutdown for pressure buildup. R9A#2 ESP restarted after pressure buildup at 0902 hrs on 12-07-2023</t>
  </si>
  <si>
    <t>20.94+3.03</t>
  </si>
  <si>
    <t>0902 hrs</t>
  </si>
  <si>
    <r>
      <rPr>
        <b/>
        <sz val="11"/>
        <color rgb="FFFF0000"/>
        <rFont val="Calibri"/>
        <family val="2"/>
        <charset val="204"/>
        <scheme val="minor"/>
      </rPr>
      <t>R9A#2</t>
    </r>
    <r>
      <rPr>
        <b/>
        <sz val="11"/>
        <rFont val="Calibri"/>
        <family val="2"/>
        <charset val="204"/>
        <scheme val="minor"/>
      </rPr>
      <t xml:space="preserve"> ESP tripped at 0801 hrs on 13-07-2023 due to underload caused by low inflow, kept shutdown for pressure buildup.</t>
    </r>
  </si>
  <si>
    <t>R9A#2: ESP tripped at 0801 Hrs on 13-07-2023 due to underload caused by low inflow.ESP kept shutdown for pressure build up.</t>
  </si>
  <si>
    <t>18.1/18/18</t>
  </si>
  <si>
    <t>R9A#1: ESP tripped on the underload alarm at 0620 Hrs. on 11-07-2023.ESP kept shutdown for pressure build up. Static intake pressure 1132 PSI.</t>
  </si>
  <si>
    <r>
      <rPr>
        <b/>
        <sz val="11"/>
        <color rgb="FFFF0000"/>
        <rFont val="Calibri"/>
        <family val="2"/>
        <charset val="204"/>
        <scheme val="minor"/>
      </rPr>
      <t>R9A#2</t>
    </r>
    <r>
      <rPr>
        <b/>
        <sz val="11"/>
        <rFont val="Calibri"/>
        <family val="2"/>
        <charset val="204"/>
        <scheme val="minor"/>
      </rPr>
      <t xml:space="preserve"> ESP restarted after pressure buildup at 0950 hrs on 14-07-2023</t>
    </r>
  </si>
  <si>
    <t>R9A#1: ESP tripped on the underload alarm at 0620 Hrs. on 11-07-2023.ESP kept shutdown for pressure build up. Static intake pressure 1161 PSI.</t>
  </si>
  <si>
    <t>14.9/15.1/15.1</t>
  </si>
  <si>
    <t>Frequency reduced to 56Hz due to drop in MLP.</t>
  </si>
  <si>
    <t>R9A#2 ESP tripped at 0801 hrs on 13-07-2023 due to underload caused by low inflow, kept shutdown for pressure buildup. ESP restarted after pressure buildup at 0950 hrs on 14-07-2023</t>
  </si>
  <si>
    <t>21.99+3.83 hrs</t>
  </si>
  <si>
    <t>0801 hrs</t>
  </si>
  <si>
    <t>0950 hrs</t>
  </si>
  <si>
    <r>
      <rPr>
        <b/>
        <sz val="11"/>
        <color rgb="FFFF0000"/>
        <rFont val="Calibri"/>
        <family val="2"/>
        <charset val="204"/>
        <scheme val="minor"/>
      </rPr>
      <t>R9A#2</t>
    </r>
    <r>
      <rPr>
        <b/>
        <sz val="11"/>
        <rFont val="Calibri"/>
        <family val="2"/>
        <charset val="204"/>
        <scheme val="minor"/>
      </rPr>
      <t xml:space="preserve"> ESP tripped at 0747 hrs on 15-07-2023 due to underload caused by low inflow, kept shutdown for pressure buildup.</t>
    </r>
  </si>
  <si>
    <t>R9A#1: ESP tripped on the underload alarm at 0620 Hrs. on 11-07-2023.ESP kept shutdown for pressure build up. Static intake pressure 1194 PSI.</t>
  </si>
  <si>
    <t>R9A#2: ESP tripped at 0747 Hrs on 15-07-2023 due to underload caused by low inflow.ESP kept shutdown for pressure build up.</t>
  </si>
  <si>
    <t>Frequency returned to 57hz due to increased fluctuation in motor amps and FAT.</t>
  </si>
  <si>
    <r>
      <rPr>
        <b/>
        <sz val="11"/>
        <color rgb="FFFF0000"/>
        <rFont val="Calibri"/>
        <family val="2"/>
        <charset val="204"/>
        <scheme val="minor"/>
      </rPr>
      <t>R9A#1</t>
    </r>
    <r>
      <rPr>
        <b/>
        <sz val="11"/>
        <rFont val="Calibri"/>
        <family val="2"/>
        <charset val="204"/>
        <scheme val="minor"/>
      </rPr>
      <t xml:space="preserve"> ESP restarted after pressure buildup at 0938 hrs on 16-07-2023 by ONGC (Static Pi 1203 psi) 
</t>
    </r>
    <r>
      <rPr>
        <b/>
        <sz val="11"/>
        <color rgb="FFFF0000"/>
        <rFont val="Calibri"/>
        <family val="2"/>
        <charset val="204"/>
        <scheme val="minor"/>
      </rPr>
      <t>R9A#2</t>
    </r>
    <r>
      <rPr>
        <b/>
        <sz val="11"/>
        <rFont val="Calibri"/>
        <family val="2"/>
        <charset val="204"/>
        <scheme val="minor"/>
      </rPr>
      <t xml:space="preserve"> ESP restarted after pressure buildup at 1139 hrs on 16-07-2023</t>
    </r>
  </si>
  <si>
    <t xml:space="preserve">R9A#1 ESP restarted after pressure buildup at 0938 hrs on 16-07-2023 by ONGC (Static Pi 1203 psi) </t>
  </si>
  <si>
    <t>3.63 hrs</t>
  </si>
  <si>
    <t>0938 hrs</t>
  </si>
  <si>
    <t>R9A#2 ESP tripped at 0747 hrs on 15-07-2023 due to underload caused by low inflow, kept shutdown for pressure buildup.R9A#2 ESP restarted after pressure buildup at 1139 hrs on 16-07-2023</t>
  </si>
  <si>
    <t>22.22+5.65 hrs</t>
  </si>
  <si>
    <t>1139 hrs</t>
  </si>
  <si>
    <t>1.1/2.38</t>
  </si>
  <si>
    <t>Frequency temporarily reduced to 53 Hz as a trial to look for improvements in run time as per SAM instruction.</t>
  </si>
  <si>
    <t>R9A#1 ESP tripped at 0617 hrs on 17-07-2023 due to phase fail alarm caused by platform DG trip, restarted as per ONGC instruction at 0920 hrs on 17-07-2023.</t>
  </si>
  <si>
    <t>0920 hrs</t>
  </si>
  <si>
    <t>3.05 hrs</t>
  </si>
  <si>
    <t>R9A#2 ESP tripped at 0622 hrs on 17-07-2023 due to phase fail alarm caused by platform DG trip, restarted as per ONGC instruction at 0926 hrs on 17-07-2023.</t>
  </si>
  <si>
    <t>R9A#4 ESP tripped at 0618 hrs on 17-07-2023 due to phase fail alarm caused by platform DG trip,  at 0712 hrs on 17-07-2023</t>
  </si>
  <si>
    <t>0.9 hrs</t>
  </si>
  <si>
    <t>0618 hrs</t>
  </si>
  <si>
    <t>2.54/3.26</t>
  </si>
  <si>
    <t>16.7/16.8/16.6</t>
  </si>
  <si>
    <t>R9A#2: ESP tripped at  Hrs on 17-07-2023 due to underload caused by low inflow.ESP kept shutdown for pressure build up.</t>
  </si>
  <si>
    <t>Frequency temporarily increased by 1 hz to look for any run time improvements</t>
  </si>
  <si>
    <t>16.4/16.4/16.4</t>
  </si>
  <si>
    <r>
      <rPr>
        <b/>
        <sz val="11"/>
        <color rgb="FFFF0000"/>
        <rFont val="Calibri"/>
        <family val="2"/>
        <charset val="204"/>
        <scheme val="minor"/>
      </rPr>
      <t>R9A#1</t>
    </r>
    <r>
      <rPr>
        <b/>
        <sz val="11"/>
        <rFont val="Calibri"/>
        <family val="2"/>
        <charset val="204"/>
        <scheme val="minor"/>
      </rPr>
      <t xml:space="preserve"> ESP tripped at 0617 hrs on 17-07-2023 due to phase fail alarm caused by platform DG trip, restarted as per ONGC instruction at 0920 hrs on 17-07-2023. </t>
    </r>
    <r>
      <rPr>
        <b/>
        <sz val="11"/>
        <color rgb="FFFF0000"/>
        <rFont val="Calibri"/>
        <family val="2"/>
        <charset val="204"/>
        <scheme val="minor"/>
      </rPr>
      <t>R9A#2</t>
    </r>
    <r>
      <rPr>
        <b/>
        <sz val="11"/>
        <rFont val="Calibri"/>
        <family val="2"/>
        <charset val="204"/>
        <scheme val="minor"/>
      </rPr>
      <t xml:space="preserve"> ESP tripped at 0622 hrs on 17-07-2023 due to phase fail alarm caused by platform DG trip, restarted as per ONGC instruction at 0926 hrs on 17-07-2023. </t>
    </r>
    <r>
      <rPr>
        <b/>
        <sz val="11"/>
        <color rgb="FFFF0000"/>
        <rFont val="Calibri"/>
        <family val="2"/>
        <charset val="204"/>
        <scheme val="minor"/>
      </rPr>
      <t>R9A#4</t>
    </r>
    <r>
      <rPr>
        <b/>
        <sz val="11"/>
        <rFont val="Calibri"/>
        <family val="2"/>
        <charset val="204"/>
        <scheme val="minor"/>
      </rPr>
      <t xml:space="preserve"> ESP tripped at 0618 hrs on 17-07-2023 due to phase fail alarm caused by platform DG trip,  at 0712 hrs on 17-07-2023. </t>
    </r>
    <r>
      <rPr>
        <b/>
        <sz val="11"/>
        <color rgb="FFFF0000"/>
        <rFont val="Calibri"/>
        <family val="2"/>
        <charset val="204"/>
        <scheme val="minor"/>
      </rPr>
      <t>R9A#2</t>
    </r>
    <r>
      <rPr>
        <b/>
        <sz val="11"/>
        <rFont val="Calibri"/>
        <family val="2"/>
        <charset val="204"/>
        <scheme val="minor"/>
      </rPr>
      <t xml:space="preserve"> ESP tripped at 1553 hrs on 17-07-2023 due to underload caused by low inflow kept shutdown for pressure buildup.</t>
    </r>
  </si>
  <si>
    <t>1553 hrs</t>
  </si>
  <si>
    <t>R9A#2 ESP tripped at 1553 hrs on 17-07-2023 due to underload caused by low inflow kept shutdown for pressure buildup.R9A#2 ESP restarted by ONGC at 0820 hrs on 18-07-2023 after pressure buildup.</t>
  </si>
  <si>
    <t>14.11+2.33 hrs</t>
  </si>
  <si>
    <t>0820 hrs</t>
  </si>
  <si>
    <t>R9A#1 ESP tripped at 0755 hrs on 18-07-2023 due to underload caused by low inflow, kept shutdown for pressure buildup. Static Pi 1030 psi.</t>
  </si>
  <si>
    <t>22.09 hrs</t>
  </si>
  <si>
    <t>0755 hrs</t>
  </si>
  <si>
    <t>R9A#1: ESP tripped on the underload alarm at 0755 Hrs. on 17-07-2023.ESP kept shutdown for pressure build up. Static intake pressure 1030 PSI.</t>
  </si>
  <si>
    <r>
      <rPr>
        <b/>
        <sz val="11"/>
        <color rgb="FFFF0000"/>
        <rFont val="Calibri"/>
        <family val="2"/>
        <charset val="204"/>
        <scheme val="minor"/>
      </rPr>
      <t>R9A#1</t>
    </r>
    <r>
      <rPr>
        <b/>
        <sz val="11"/>
        <rFont val="Calibri"/>
        <family val="2"/>
        <charset val="204"/>
        <scheme val="minor"/>
      </rPr>
      <t xml:space="preserve"> ESP tripped at 0755 hrs on 18-07-2023 due to underload caused by low inflow, kept shutdown for pressure buildup. Static Pi 1030 psi.
</t>
    </r>
    <r>
      <rPr>
        <b/>
        <sz val="11"/>
        <color rgb="FFFF0000"/>
        <rFont val="Calibri"/>
        <family val="2"/>
        <charset val="204"/>
        <scheme val="minor"/>
      </rPr>
      <t>R9A#2</t>
    </r>
    <r>
      <rPr>
        <b/>
        <sz val="11"/>
        <rFont val="Calibri"/>
        <family val="2"/>
        <charset val="204"/>
        <scheme val="minor"/>
      </rPr>
      <t xml:space="preserve"> ESP restarted by ONGC at 0820 hrs on 18-07-2023 after pressure buildup. R9A#2 ESP tripped at 0325 hrs on 19-07-2023 due to underload caused by low inflow, kept shutdown for pressure buildup.</t>
    </r>
  </si>
  <si>
    <t>2.16/4.13</t>
  </si>
  <si>
    <t>18.7/18.8/18.6</t>
  </si>
  <si>
    <t>R9A#2: ESP tripped at 0325 Hrs on 19-07-2023 due to underload caused by low inflow.ESP kept shutdown for pressure build up.</t>
  </si>
  <si>
    <t>0325 hrs</t>
  </si>
  <si>
    <t xml:space="preserve">R9A#1 ESP restarted as per SAM instruction at 2052 hrs on 19-07-2023 (ststic intake pressure 1086 psi). </t>
  </si>
  <si>
    <t>14.86 hrs</t>
  </si>
  <si>
    <r>
      <rPr>
        <b/>
        <sz val="11"/>
        <color rgb="FFFF0000"/>
        <rFont val="Calibri"/>
        <family val="2"/>
        <charset val="204"/>
        <scheme val="minor"/>
      </rPr>
      <t>R9A#1</t>
    </r>
    <r>
      <rPr>
        <b/>
        <sz val="11"/>
        <rFont val="Calibri"/>
        <family val="2"/>
        <charset val="204"/>
        <scheme val="minor"/>
      </rPr>
      <t xml:space="preserve"> ESP restarted as per SAM instruction at 2052 hrs on 19-07-2023 (static intake pressure 1086 psi).  </t>
    </r>
    <r>
      <rPr>
        <b/>
        <sz val="11"/>
        <color rgb="FFFF0000"/>
        <rFont val="Calibri"/>
        <family val="2"/>
        <charset val="204"/>
        <scheme val="minor"/>
      </rPr>
      <t>R9A#2</t>
    </r>
    <r>
      <rPr>
        <b/>
        <sz val="11"/>
        <rFont val="Calibri"/>
        <family val="2"/>
        <charset val="204"/>
        <scheme val="minor"/>
      </rPr>
      <t xml:space="preserve"> ESP restarted after pressure buildup at 0413 hrs on 20-07-2023.</t>
    </r>
  </si>
  <si>
    <t>R9A#2 ESP tripped at 0325 hrs on 19-07-2023 due to underload caused by low inflow, kept shutdown for pressure buildup. R9A#2 ESP restarted after pressure buildup at 0413 hrs on 20-07-2023.</t>
  </si>
  <si>
    <t>2.58+22.22 hrs</t>
  </si>
  <si>
    <t>0413 hrs</t>
  </si>
  <si>
    <t>1.26/3.72</t>
  </si>
  <si>
    <t>17.6/17.7/17.5</t>
  </si>
  <si>
    <r>
      <rPr>
        <b/>
        <sz val="11"/>
        <color rgb="FFFF0000"/>
        <rFont val="Calibri"/>
        <family val="2"/>
        <charset val="204"/>
        <scheme val="minor"/>
      </rPr>
      <t>R9A#2</t>
    </r>
    <r>
      <rPr>
        <b/>
        <sz val="11"/>
        <rFont val="Calibri"/>
        <family val="2"/>
        <charset val="204"/>
        <scheme val="minor"/>
      </rPr>
      <t xml:space="preserve"> ESP tripped at 0126 hrs on 21-07-2023 due to underload caused by low inflow, kept shutdown for pressure buildup.</t>
    </r>
  </si>
  <si>
    <t>R9A#1: ESP tripped on the underload alarm at   Hrs. on 21-07-2023.ESP kept shutdown for pressure build up. Static intake pressure 962 PSI.</t>
  </si>
  <si>
    <t>R9A#2: ESP tripped at 0126 Hrs on 21-07-2023 due to underload caused by low inflow.ESP kept shutdown for pressure build up.</t>
  </si>
  <si>
    <t>0126 hrs</t>
  </si>
  <si>
    <r>
      <t xml:space="preserve">R9A#1 </t>
    </r>
    <r>
      <rPr>
        <b/>
        <sz val="11"/>
        <rFont val="Calibri"/>
        <family val="2"/>
        <charset val="204"/>
        <scheme val="minor"/>
      </rPr>
      <t xml:space="preserve">ESP tripped at 1500 hrs on 21-07-2023 due to underload caused by low inflow, kept shutdown for pressure buildup. </t>
    </r>
    <r>
      <rPr>
        <b/>
        <sz val="11"/>
        <color rgb="FFFF0000"/>
        <rFont val="Calibri"/>
        <family val="2"/>
        <charset val="204"/>
        <scheme val="minor"/>
      </rPr>
      <t>R9A#2</t>
    </r>
    <r>
      <rPr>
        <b/>
        <sz val="11"/>
        <rFont val="Calibri"/>
        <family val="2"/>
        <charset val="204"/>
        <scheme val="minor"/>
      </rPr>
      <t xml:space="preserve"> ESP restarted after pressure buildup at 0140 hrs on 22-07-2023.</t>
    </r>
  </si>
  <si>
    <t>R9A#1 ESP tripped at 1500 hrs on 21-07-2023 due to underload caused by low inflow, kept shutdown for pressure buildup.</t>
  </si>
  <si>
    <t>15 hrs</t>
  </si>
  <si>
    <t>R9A#2 ESP tripped at 0126 hrs on 21-07-2023 due to underload caused by low inflow, kept shutdown for pressure buildup. R9A#2 ESP restarted after pressure buildup at 0140 hrs on 22-07-2023.</t>
  </si>
  <si>
    <t>0140 hrs</t>
  </si>
  <si>
    <t>R9A#1: ESP tripped on the underload alarm at  1500 Hrs. on 21-07-2023.ESP kept shutdown for pressure build up. Static intake pressure 1032 PSI.</t>
  </si>
  <si>
    <t>2.65+4.01 hrs</t>
  </si>
  <si>
    <t>4.56+19.67 hrs</t>
  </si>
  <si>
    <t xml:space="preserve">R9A#2 ESP tripped at 0321 hrs on 23-07-2023 due to underload caused by low inflow, restarted by ONGC at 1001 hrs on 23-07-2023. </t>
  </si>
  <si>
    <t>0321 hrs</t>
  </si>
  <si>
    <t>1001 hrs</t>
  </si>
  <si>
    <t>R9A#1 ESP restarted by ONGC at 0956 hrs on 23-07-2023 with static intake pressure 1058 psi.</t>
  </si>
  <si>
    <t>3.93 hrs</t>
  </si>
  <si>
    <r>
      <t xml:space="preserve"> </t>
    </r>
    <r>
      <rPr>
        <b/>
        <sz val="11"/>
        <color rgb="FFFF0000"/>
        <rFont val="Calibri"/>
        <family val="2"/>
        <charset val="204"/>
        <scheme val="minor"/>
      </rPr>
      <t>R9A#2</t>
    </r>
    <r>
      <rPr>
        <b/>
        <sz val="11"/>
        <rFont val="Calibri"/>
        <family val="2"/>
        <charset val="204"/>
        <scheme val="minor"/>
      </rPr>
      <t xml:space="preserve"> ESP tripped at 0321 hrs on 23-07-2023 due to underload caused by low inflow , kept shutdown for pressure buildup.</t>
    </r>
  </si>
  <si>
    <t>R9A#2: ESP tripped at  Hrs on 23-07-2023 due to underload caused by low inflow.ESP kept shutdown for pressure build up.</t>
  </si>
  <si>
    <t>2.3/3.53</t>
  </si>
  <si>
    <r>
      <rPr>
        <b/>
        <sz val="11"/>
        <color rgb="FFFF0000"/>
        <rFont val="Calibri"/>
        <family val="2"/>
        <charset val="204"/>
        <scheme val="minor"/>
      </rPr>
      <t>R9A#1</t>
    </r>
    <r>
      <rPr>
        <b/>
        <sz val="11"/>
        <rFont val="Calibri"/>
        <family val="2"/>
        <charset val="204"/>
        <scheme val="minor"/>
      </rPr>
      <t xml:space="preserve"> ESP restarted by ONGC at 0956 hrs on 23-07-2023 with static intake pressure 1058 psi. Please note that starting with low intake pressure will result in low running hours and further increase number of start/stop of ESP which may reduce run life of ESP. </t>
    </r>
    <r>
      <rPr>
        <b/>
        <sz val="11"/>
        <color rgb="FFFF0000"/>
        <rFont val="Calibri"/>
        <family val="2"/>
        <charset val="204"/>
        <scheme val="minor"/>
      </rPr>
      <t>R9A#2</t>
    </r>
    <r>
      <rPr>
        <b/>
        <sz val="11"/>
        <rFont val="Calibri"/>
        <family val="2"/>
        <charset val="204"/>
        <scheme val="minor"/>
      </rPr>
      <t xml:space="preserve"> ESP restarted by ONGC at 1001 hrs on 23-07-2023. ESP tripped at 2241 hrs on 23-07-2023 due to underload caused by low inflow, kept shutdown for pressure buildup.</t>
    </r>
  </si>
  <si>
    <r>
      <rPr>
        <b/>
        <sz val="11"/>
        <color rgb="FFFF0000"/>
        <rFont val="Calibri"/>
        <family val="2"/>
        <charset val="204"/>
        <scheme val="minor"/>
      </rPr>
      <t>R9A#1</t>
    </r>
    <r>
      <rPr>
        <b/>
        <sz val="11"/>
        <rFont val="Calibri"/>
        <family val="2"/>
        <charset val="204"/>
        <scheme val="minor"/>
      </rPr>
      <t xml:space="preserve"> ESP tripped at 0135 hrs on 25-07-2023 due to underload caused by low inflow, kept shutdown for pressure buildup. </t>
    </r>
    <r>
      <rPr>
        <b/>
        <sz val="11"/>
        <color rgb="FFFF0000"/>
        <rFont val="Calibri"/>
        <family val="2"/>
        <charset val="204"/>
        <scheme val="minor"/>
      </rPr>
      <t>R9A#2</t>
    </r>
    <r>
      <rPr>
        <b/>
        <sz val="11"/>
        <rFont val="Calibri"/>
        <family val="2"/>
        <charset val="204"/>
        <scheme val="minor"/>
      </rPr>
      <t xml:space="preserve"> ESP restarted by ONGC at 1727 hrs on 24-07-2023.</t>
    </r>
  </si>
  <si>
    <t>2241 hrs</t>
  </si>
  <si>
    <t>ESP tripped at 2241 hrs on 23-07-2023 due to underload caused by low inflow, kept shutdown for pressure buildup.R9A#2 ESP restarted by ONGC at 1727 hrs on 24-07-2023.</t>
  </si>
  <si>
    <t>1727 hrs</t>
  </si>
  <si>
    <t>7.31+11.45 hrs</t>
  </si>
  <si>
    <t>R9A#1 ESP tripped at 0135 hrs on 25-07-2023 due to underload caused by low inflow, kept shutdown for pressure buildup</t>
  </si>
  <si>
    <t>0135 hrs</t>
  </si>
  <si>
    <t>0956 hrs</t>
  </si>
  <si>
    <t>4.41 hrs</t>
  </si>
  <si>
    <t>R9A#2: ESP tripped at  Hrs on 25-07-2023 due to underload caused by low inflow.ESP kept shutdown for pressure build up.</t>
  </si>
  <si>
    <t>R9A#1: ESP tripped on the underload alarm at  0135 Hrs. on 25-07-2023.ESP kept shutdown for pressure build up. Static intake pressure 989 PSI.</t>
  </si>
  <si>
    <r>
      <rPr>
        <b/>
        <sz val="11"/>
        <color rgb="FFFF0000"/>
        <rFont val="Calibri"/>
        <family val="2"/>
        <charset val="204"/>
        <scheme val="minor"/>
      </rPr>
      <t>R9A#2</t>
    </r>
    <r>
      <rPr>
        <b/>
        <sz val="11"/>
        <rFont val="Calibri"/>
        <family val="2"/>
        <charset val="204"/>
        <scheme val="minor"/>
      </rPr>
      <t xml:space="preserve"> ESP tripped at 1245 hrs on 25-07-2023 due to underload caused by low inflow, kept shutdown for pressure buildup. </t>
    </r>
  </si>
  <si>
    <r>
      <rPr>
        <b/>
        <sz val="11"/>
        <color rgb="FFFF0000"/>
        <rFont val="Calibri"/>
        <family val="2"/>
        <charset val="204"/>
        <scheme val="minor"/>
      </rPr>
      <t>R9A#2</t>
    </r>
    <r>
      <rPr>
        <b/>
        <sz val="11"/>
        <rFont val="Calibri"/>
        <family val="2"/>
        <charset val="204"/>
        <scheme val="minor"/>
      </rPr>
      <t xml:space="preserve"> restarted at 1206 hrs on 26-07-2023 after pressure buildup. </t>
    </r>
  </si>
  <si>
    <t>1245 hrs</t>
  </si>
  <si>
    <t xml:space="preserve">R9A#2 ESP tripped at 1245 hrs on 25-07-2023 due to underload caused by low inflow, kept shutdown for pressure buildup. R9A#2 restarted at 1206 hrs on 26-07-2023 after pressure buildup. </t>
  </si>
  <si>
    <t>17.25+11.35 hrs</t>
  </si>
  <si>
    <t>1206 hrs</t>
  </si>
  <si>
    <t>R9A#1: ESP tripped on the underload alarm at  0135 Hrs. on 25-07-2023.ESP kept shutdown for pressure build up. Static intake pressure 1089 PSI.</t>
  </si>
  <si>
    <t>R9A#1: ESP tripped on the underload alarm at  0135 Hrs. on 25-07-2023.ESP kept shutdown for pressure build up. Static intake pressure 1055 PSI.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</si>
</sst>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4" formatCode="_ &quot;₹&quot;\ * #,##0.00_ ;_ &quot;₹&quot;\ * \-#,##0.00_ ;_ &quot;₹&quot;\ * &quot;-&quot;??_ ;_ @_ "/>
    <numFmt numFmtId="164" formatCode="0.0"/>
    <numFmt numFmtId="165" formatCode="[$-14009]dd\ mmmm\ yyyy;@"/>
    <numFmt numFmtId="166" formatCode="[$-409]d\-mmm\-yy;@"/>
  </numFmts>
  <fonts count="7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0"/>
      <color theme="1"/>
      <name val="Book Antiqua"/>
      <family val="1"/>
    </font>
    <font>
      <b/>
      <sz val="10"/>
      <color theme="1"/>
      <name val="Book Antiqua"/>
      <family val="1"/>
    </font>
    <font>
      <b/>
      <sz val="10"/>
      <color rgb="FFFF0000"/>
      <name val="Book Antiqua"/>
      <family val="1"/>
    </font>
    <font>
      <b/>
      <sz val="11"/>
      <color rgb="FF0000FF"/>
      <name val="Calibri"/>
      <family val="2"/>
      <scheme val="minor"/>
    </font>
    <font>
      <sz val="11"/>
      <name val="Calibri"/>
      <family val="2"/>
      <scheme val="minor"/>
    </font>
    <font>
      <sz val="11"/>
      <color rgb="FF0000FF"/>
      <name val="Calibri"/>
      <family val="2"/>
      <scheme val="minor"/>
    </font>
    <font>
      <b/>
      <sz val="14"/>
      <name val="Calibri"/>
      <family val="2"/>
      <scheme val="minor"/>
    </font>
    <font>
      <b/>
      <sz val="11"/>
      <name val="Calibri"/>
      <family val="2"/>
      <scheme val="minor"/>
    </font>
    <font>
      <sz val="8"/>
      <name val="Calibri"/>
      <family val="2"/>
      <scheme val="minor"/>
    </font>
    <font>
      <b/>
      <sz val="12"/>
      <color theme="1"/>
      <name val="Book Antiqua"/>
      <family val="1"/>
    </font>
    <font>
      <sz val="12"/>
      <color theme="1"/>
      <name val="Book Antiqua"/>
      <family val="1"/>
    </font>
    <font>
      <b/>
      <sz val="12"/>
      <name val="Book Antiqua"/>
      <family val="1"/>
    </font>
    <font>
      <b/>
      <sz val="12"/>
      <color rgb="FF0000FF"/>
      <name val="Book Antiqua"/>
      <family val="1"/>
    </font>
    <font>
      <sz val="14"/>
      <color theme="1"/>
      <name val="Calibri"/>
      <family val="2"/>
      <scheme val="minor"/>
    </font>
    <font>
      <b/>
      <sz val="12"/>
      <color theme="1"/>
      <name val="Calibri"/>
      <family val="2"/>
      <scheme val="minor"/>
    </font>
    <font>
      <sz val="11"/>
      <color theme="1"/>
      <name val="Tahoma"/>
      <family val="2"/>
    </font>
    <font>
      <sz val="12"/>
      <color theme="1"/>
      <name val="Calibri"/>
      <family val="2"/>
      <scheme val="minor"/>
    </font>
    <font>
      <sz val="11"/>
      <name val="Calibri"/>
      <family val="2"/>
      <charset val="204"/>
      <scheme val="minor"/>
    </font>
    <font>
      <b/>
      <sz val="20"/>
      <color theme="1"/>
      <name val="Calibri"/>
      <family val="2"/>
      <scheme val="minor"/>
    </font>
    <font>
      <b/>
      <sz val="22"/>
      <color theme="1"/>
      <name val="Calibri"/>
      <family val="2"/>
      <scheme val="minor"/>
    </font>
    <font>
      <sz val="10"/>
      <color theme="1"/>
      <name val="Calibri"/>
      <family val="2"/>
      <scheme val="minor"/>
    </font>
    <font>
      <b/>
      <sz val="10"/>
      <name val="Book Antiqua"/>
      <family val="1"/>
    </font>
    <font>
      <b/>
      <sz val="10"/>
      <color rgb="FF0000FF"/>
      <name val="Book Antiqua"/>
      <family val="1"/>
    </font>
    <font>
      <b/>
      <sz val="10"/>
      <color theme="1"/>
      <name val="Calibri"/>
      <family val="2"/>
      <scheme val="minor"/>
    </font>
    <font>
      <b/>
      <sz val="10"/>
      <name val="Calibri"/>
      <family val="2"/>
    </font>
    <font>
      <b/>
      <sz val="8"/>
      <color theme="1"/>
      <name val="Calibri"/>
      <family val="2"/>
    </font>
    <font>
      <b/>
      <sz val="12"/>
      <name val="Calibri"/>
      <family val="2"/>
    </font>
    <font>
      <b/>
      <sz val="12"/>
      <color theme="1"/>
      <name val="Calibri"/>
      <family val="2"/>
    </font>
    <font>
      <b/>
      <sz val="12"/>
      <color rgb="FF0000FF"/>
      <name val="Calibri"/>
      <family val="2"/>
      <scheme val="minor"/>
    </font>
    <font>
      <b/>
      <sz val="12"/>
      <name val="Calibri"/>
      <family val="2"/>
      <scheme val="minor"/>
    </font>
    <font>
      <sz val="12"/>
      <color rgb="FFFF0000"/>
      <name val="Calibri"/>
      <family val="2"/>
      <scheme val="minor"/>
    </font>
    <font>
      <sz val="12"/>
      <name val="Arial"/>
      <family val="2"/>
    </font>
    <font>
      <sz val="12"/>
      <name val="Calibri"/>
      <family val="2"/>
      <scheme val="minor"/>
    </font>
    <font>
      <b/>
      <sz val="14"/>
      <color rgb="FF0000FF"/>
      <name val="Calibri"/>
      <family val="2"/>
      <scheme val="minor"/>
    </font>
    <font>
      <sz val="14"/>
      <color rgb="FF0000FF"/>
      <name val="Calibri"/>
      <family val="2"/>
      <scheme val="minor"/>
    </font>
    <font>
      <sz val="16"/>
      <color theme="1"/>
      <name val="Calibri"/>
      <family val="2"/>
      <scheme val="minor"/>
    </font>
    <font>
      <b/>
      <sz val="16"/>
      <color rgb="FF0000FF"/>
      <name val="Calibri"/>
      <family val="2"/>
      <scheme val="minor"/>
    </font>
    <font>
      <b/>
      <sz val="16"/>
      <name val="Calibri"/>
      <family val="2"/>
      <scheme val="minor"/>
    </font>
    <font>
      <sz val="16"/>
      <color rgb="FFFF0000"/>
      <name val="Calibri"/>
      <family val="2"/>
      <scheme val="minor"/>
    </font>
    <font>
      <sz val="16"/>
      <name val="Calibri"/>
      <family val="2"/>
      <scheme val="minor"/>
    </font>
    <font>
      <sz val="14"/>
      <color rgb="FFFF0000"/>
      <name val="Calibri"/>
      <family val="2"/>
      <scheme val="minor"/>
    </font>
    <font>
      <sz val="14"/>
      <name val="Calibri"/>
      <family val="2"/>
      <scheme val="minor"/>
    </font>
    <font>
      <b/>
      <sz val="14"/>
      <color theme="1"/>
      <name val="Calibri"/>
      <family val="2"/>
      <scheme val="minor"/>
    </font>
    <font>
      <b/>
      <sz val="14"/>
      <color theme="1"/>
      <name val="Calibri"/>
      <family val="2"/>
      <charset val="204"/>
      <scheme val="minor"/>
    </font>
    <font>
      <b/>
      <sz val="14"/>
      <color rgb="FF0070C0"/>
      <name val="Calibri"/>
      <family val="2"/>
      <charset val="204"/>
      <scheme val="minor"/>
    </font>
    <font>
      <b/>
      <sz val="12"/>
      <color rgb="FF0070C0"/>
      <name val="Calibri"/>
      <family val="2"/>
      <charset val="204"/>
      <scheme val="minor"/>
    </font>
    <font>
      <b/>
      <sz val="12"/>
      <color rgb="FFFF0000"/>
      <name val="Calibri"/>
      <family val="2"/>
      <charset val="204"/>
      <scheme val="minor"/>
    </font>
    <font>
      <b/>
      <sz val="14"/>
      <color rgb="FFFF0000"/>
      <name val="Calibri"/>
      <family val="2"/>
      <charset val="204"/>
      <scheme val="minor"/>
    </font>
    <font>
      <b/>
      <sz val="16"/>
      <color theme="1"/>
      <name val="Calibri"/>
      <family val="2"/>
      <charset val="204"/>
      <scheme val="minor"/>
    </font>
    <font>
      <b/>
      <sz val="8"/>
      <name val="Calibri"/>
      <family val="2"/>
      <scheme val="minor"/>
    </font>
    <font>
      <b/>
      <sz val="11"/>
      <name val="Calibri"/>
      <family val="2"/>
      <charset val="204"/>
      <scheme val="minor"/>
    </font>
    <font>
      <u/>
      <sz val="11"/>
      <color theme="10"/>
      <name val="Calibri"/>
      <family val="2"/>
      <scheme val="minor"/>
    </font>
    <font>
      <b/>
      <sz val="11"/>
      <color rgb="FFFF0000"/>
      <name val="Calibri"/>
      <family val="2"/>
      <charset val="204"/>
      <scheme val="minor"/>
    </font>
    <font>
      <b/>
      <sz val="11"/>
      <color theme="1"/>
      <name val="Calibri"/>
      <family val="2"/>
      <charset val="204"/>
      <scheme val="minor"/>
    </font>
    <font>
      <sz val="14"/>
      <color theme="1"/>
      <name val="Calibri"/>
      <family val="2"/>
      <charset val="204"/>
      <scheme val="minor"/>
    </font>
    <font>
      <b/>
      <sz val="12"/>
      <color theme="1"/>
      <name val="Calibri"/>
      <family val="2"/>
      <charset val="204"/>
      <scheme val="minor"/>
    </font>
    <font>
      <b/>
      <sz val="12"/>
      <color theme="1"/>
      <name val="Calibri Light"/>
      <family val="2"/>
      <charset val="204"/>
      <scheme val="major"/>
    </font>
    <font>
      <sz val="20"/>
      <color theme="1"/>
      <name val="Calibri"/>
      <family val="2"/>
      <scheme val="minor"/>
    </font>
    <font>
      <sz val="12"/>
      <color rgb="FF000000"/>
      <name val="Times New Roman"/>
      <family val="1"/>
      <charset val="204"/>
    </font>
    <font>
      <b/>
      <sz val="12"/>
      <color rgb="FF000000"/>
      <name val="Times New Roman"/>
      <family val="1"/>
      <charset val="204"/>
    </font>
    <font>
      <sz val="16"/>
      <color theme="1"/>
      <name val="Times New Roman"/>
      <family val="1"/>
      <charset val="204"/>
    </font>
    <font>
      <sz val="20"/>
      <color theme="1"/>
      <name val="Algerian"/>
      <family val="5"/>
    </font>
    <font>
      <b/>
      <sz val="11"/>
      <color theme="1"/>
      <name val="Times New Roman"/>
      <family val="1"/>
      <charset val="204"/>
    </font>
    <font>
      <b/>
      <sz val="11"/>
      <color theme="1"/>
      <name val="Book Antiqua"/>
      <family val="1"/>
    </font>
    <font>
      <sz val="11"/>
      <color theme="1"/>
      <name val="Book Antiqua"/>
      <family val="1"/>
    </font>
    <font>
      <b/>
      <sz val="11"/>
      <color rgb="FFC00000"/>
      <name val="Calibri"/>
      <family val="2"/>
      <charset val="204"/>
      <scheme val="minor"/>
    </font>
    <font>
      <sz val="12"/>
      <color theme="1"/>
      <name val="Calibri"/>
      <family val="2"/>
      <charset val="204"/>
      <scheme val="minor"/>
    </font>
    <font>
      <sz val="16"/>
      <color theme="1"/>
      <name val="Calibri"/>
      <family val="2"/>
      <charset val="204"/>
      <scheme val="minor"/>
    </font>
    <font>
      <sz val="12"/>
      <color rgb="FFFF0000"/>
      <name val="Calibri"/>
      <family val="2"/>
      <charset val="204"/>
      <scheme val="minor"/>
    </font>
    <font>
      <b/>
      <i/>
      <sz val="11"/>
      <name val="Calibri"/>
      <family val="2"/>
      <charset val="204"/>
      <scheme val="minor"/>
    </font>
    <font>
      <sz val="14"/>
      <color rgb="FFFF0000"/>
      <name val="Calibri"/>
      <family val="2"/>
      <charset val="204"/>
      <scheme val="minor"/>
    </font>
    <font>
      <b/>
      <i/>
      <sz val="11"/>
      <color rgb="FFFF0000"/>
      <name val="Calibri"/>
      <family val="2"/>
      <charset val="204"/>
      <scheme val="minor"/>
    </font>
    <font>
      <b/>
      <sz val="11"/>
      <color rgb="FFFF3300"/>
      <name val="Calibri"/>
      <family val="2"/>
      <charset val="204"/>
      <scheme val="minor"/>
    </font>
  </fonts>
  <fills count="17">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rgb="FFFFFF66"/>
        <bgColor indexed="64"/>
      </patternFill>
    </fill>
    <fill>
      <patternFill patternType="solid">
        <fgColor theme="5" tint="0.59999389629810485"/>
        <bgColor indexed="64"/>
      </patternFill>
    </fill>
    <fill>
      <patternFill patternType="solid">
        <fgColor rgb="FF99CCFF"/>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9" tint="0.39997558519241921"/>
        <bgColor indexed="64"/>
      </patternFill>
    </fill>
    <fill>
      <patternFill patternType="solid">
        <fgColor theme="4"/>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6" tint="0.59999389629810485"/>
        <bgColor indexed="64"/>
      </patternFill>
    </fill>
  </fills>
  <borders count="6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diagonal/>
    </border>
    <border>
      <left style="medium">
        <color auto="1"/>
      </left>
      <right style="thin">
        <color auto="1"/>
      </right>
      <top style="medium">
        <color auto="1"/>
      </top>
      <bottom style="thin">
        <color auto="1"/>
      </bottom>
      <diagonal/>
    </border>
    <border>
      <left style="thin">
        <color indexed="64"/>
      </left>
      <right style="medium">
        <color indexed="64"/>
      </right>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top style="thin">
        <color indexed="64"/>
      </top>
      <bottom style="medium">
        <color indexed="64"/>
      </bottom>
      <diagonal/>
    </border>
    <border>
      <left style="medium">
        <color indexed="64"/>
      </left>
      <right style="medium">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64"/>
      </left>
      <right/>
      <top style="thin">
        <color indexed="64"/>
      </top>
      <bottom style="medium">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medium">
        <color indexed="64"/>
      </top>
      <bottom style="thin">
        <color indexed="64"/>
      </bottom>
      <diagonal/>
    </border>
    <border>
      <left/>
      <right style="thin">
        <color indexed="64"/>
      </right>
      <top style="medium">
        <color indexed="64"/>
      </top>
      <bottom/>
      <diagonal/>
    </border>
  </borders>
  <cellStyleXfs count="4">
    <xf numFmtId="0" fontId="0" fillId="0" borderId="0"/>
    <xf numFmtId="44" fontId="1" fillId="0" borderId="0" applyFont="0" applyFill="0" applyBorder="0" applyAlignment="0" applyProtection="0"/>
    <xf numFmtId="44" fontId="1" fillId="0" borderId="0" applyFont="0" applyFill="0" applyBorder="0" applyAlignment="0" applyProtection="0"/>
    <xf numFmtId="0" fontId="55" fillId="0" borderId="0" applyNumberFormat="0" applyFill="0" applyBorder="0" applyAlignment="0" applyProtection="0"/>
  </cellStyleXfs>
  <cellXfs count="1676">
    <xf numFmtId="0" fontId="0" fillId="0" borderId="0" xfId="0"/>
    <xf numFmtId="0" fontId="0" fillId="2" borderId="0" xfId="0" applyFill="1"/>
    <xf numFmtId="0" fontId="4" fillId="2" borderId="4" xfId="0" applyFont="1" applyFill="1" applyBorder="1" applyAlignment="1">
      <alignment horizontal="center" vertical="center"/>
    </xf>
    <xf numFmtId="0" fontId="5" fillId="0" borderId="0" xfId="0" applyFont="1" applyAlignment="1">
      <alignment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5" fillId="2" borderId="0" xfId="0" applyFont="1" applyFill="1" applyAlignment="1">
      <alignment horizontal="center" vertical="center"/>
    </xf>
    <xf numFmtId="0" fontId="5" fillId="2" borderId="0" xfId="0" applyFont="1" applyFill="1" applyAlignment="1">
      <alignment vertical="center" wrapText="1"/>
    </xf>
    <xf numFmtId="165" fontId="5" fillId="2" borderId="0" xfId="0" applyNumberFormat="1" applyFont="1" applyFill="1" applyAlignment="1">
      <alignment vertical="center"/>
    </xf>
    <xf numFmtId="165" fontId="5" fillId="2" borderId="0" xfId="0" applyNumberFormat="1" applyFont="1" applyFill="1" applyAlignment="1">
      <alignment horizontal="left"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5" fillId="2" borderId="11" xfId="0" applyFont="1" applyFill="1" applyBorder="1" applyAlignment="1">
      <alignment horizontal="center" vertical="center" wrapText="1"/>
    </xf>
    <xf numFmtId="0" fontId="5" fillId="0" borderId="11" xfId="0" applyFont="1" applyBorder="1" applyAlignment="1">
      <alignment horizontal="center" vertical="center" wrapText="1"/>
    </xf>
    <xf numFmtId="0" fontId="6" fillId="0" borderId="12" xfId="0" applyFont="1" applyBorder="1" applyAlignment="1" applyProtection="1">
      <alignment horizontal="left" vertical="center"/>
      <protection hidden="1"/>
    </xf>
    <xf numFmtId="0" fontId="6" fillId="0" borderId="0" xfId="0" applyFont="1" applyAlignment="1" applyProtection="1">
      <alignment vertical="center"/>
      <protection hidden="1"/>
    </xf>
    <xf numFmtId="44" fontId="0" fillId="2" borderId="0" xfId="1" applyFont="1" applyFill="1" applyAlignment="1">
      <alignment vertical="center"/>
    </xf>
    <xf numFmtId="44" fontId="0" fillId="0" borderId="0" xfId="1" applyFont="1" applyAlignment="1">
      <alignment vertical="center"/>
    </xf>
    <xf numFmtId="0" fontId="0" fillId="2" borderId="0" xfId="0" applyFill="1" applyAlignment="1">
      <alignment horizontal="center" vertical="center"/>
    </xf>
    <xf numFmtId="0" fontId="0" fillId="0" borderId="0" xfId="0" applyAlignment="1">
      <alignment horizontal="center" vertical="center"/>
    </xf>
    <xf numFmtId="2" fontId="0" fillId="0" borderId="6" xfId="0" applyNumberFormat="1" applyBorder="1" applyAlignment="1">
      <alignment horizontal="center" vertical="center"/>
    </xf>
    <xf numFmtId="2" fontId="0" fillId="0" borderId="23" xfId="0" applyNumberFormat="1" applyBorder="1" applyAlignment="1">
      <alignment horizontal="center" vertical="center"/>
    </xf>
    <xf numFmtId="164" fontId="0" fillId="0" borderId="6" xfId="0" applyNumberFormat="1" applyBorder="1" applyAlignment="1">
      <alignment horizontal="center" vertical="center"/>
    </xf>
    <xf numFmtId="0" fontId="2" fillId="0" borderId="25" xfId="0" applyFont="1" applyBorder="1" applyAlignment="1">
      <alignment horizontal="left" vertical="center" wrapText="1"/>
    </xf>
    <xf numFmtId="0" fontId="0" fillId="0" borderId="25" xfId="0" applyBorder="1" applyAlignment="1">
      <alignment horizontal="left" vertical="center" wrapText="1"/>
    </xf>
    <xf numFmtId="15" fontId="0" fillId="0" borderId="6" xfId="0" applyNumberFormat="1" applyBorder="1" applyAlignment="1">
      <alignment horizontal="center" vertical="center"/>
    </xf>
    <xf numFmtId="49" fontId="0" fillId="0" borderId="6" xfId="0" applyNumberFormat="1" applyBorder="1" applyAlignment="1">
      <alignment horizontal="center" vertical="center"/>
    </xf>
    <xf numFmtId="0" fontId="0" fillId="0" borderId="6" xfId="0" applyBorder="1" applyAlignment="1">
      <alignment horizontal="center" vertical="center"/>
    </xf>
    <xf numFmtId="0" fontId="0" fillId="2" borderId="6" xfId="0" applyFill="1" applyBorder="1"/>
    <xf numFmtId="0" fontId="9" fillId="0" borderId="25" xfId="0" applyFont="1" applyBorder="1" applyAlignment="1">
      <alignment horizontal="left" vertical="center" wrapText="1"/>
    </xf>
    <xf numFmtId="15" fontId="0" fillId="2" borderId="6" xfId="0" applyNumberFormat="1" applyFill="1" applyBorder="1" applyAlignment="1">
      <alignment horizontal="center" vertical="center"/>
    </xf>
    <xf numFmtId="0" fontId="2" fillId="2" borderId="25" xfId="0" applyFont="1" applyFill="1" applyBorder="1" applyAlignment="1">
      <alignment horizontal="left" vertical="center" wrapText="1"/>
    </xf>
    <xf numFmtId="20" fontId="0" fillId="0" borderId="6" xfId="0" applyNumberFormat="1" applyBorder="1" applyAlignment="1">
      <alignment horizontal="center"/>
    </xf>
    <xf numFmtId="2" fontId="0" fillId="0" borderId="6" xfId="0" applyNumberFormat="1" applyBorder="1" applyAlignment="1">
      <alignment horizontal="center"/>
    </xf>
    <xf numFmtId="164" fontId="0" fillId="0" borderId="6" xfId="0" applyNumberFormat="1" applyBorder="1" applyAlignment="1">
      <alignment horizontal="center"/>
    </xf>
    <xf numFmtId="0" fontId="0" fillId="0" borderId="6" xfId="0" applyBorder="1" applyAlignment="1">
      <alignment horizontal="center"/>
    </xf>
    <xf numFmtId="0" fontId="0" fillId="0" borderId="6" xfId="0" applyBorder="1"/>
    <xf numFmtId="0" fontId="0" fillId="0" borderId="6" xfId="0" applyBorder="1" applyAlignment="1">
      <alignment horizontal="center" wrapText="1"/>
    </xf>
    <xf numFmtId="20" fontId="0" fillId="0" borderId="6" xfId="0" applyNumberFormat="1" applyBorder="1" applyAlignment="1">
      <alignment horizontal="center" vertical="center"/>
    </xf>
    <xf numFmtId="0" fontId="0" fillId="0" borderId="6" xfId="0" applyBorder="1" applyAlignment="1">
      <alignment horizontal="center" vertical="center" wrapText="1"/>
    </xf>
    <xf numFmtId="0" fontId="2" fillId="0" borderId="26" xfId="0" applyFont="1" applyBorder="1" applyAlignment="1">
      <alignment horizontal="center" vertical="center" wrapText="1"/>
    </xf>
    <xf numFmtId="0" fontId="0" fillId="2" borderId="0" xfId="0" applyFill="1" applyAlignment="1">
      <alignment vertical="center"/>
    </xf>
    <xf numFmtId="0" fontId="0" fillId="0" borderId="0" xfId="0" applyAlignment="1">
      <alignment vertical="center"/>
    </xf>
    <xf numFmtId="0" fontId="2" fillId="2" borderId="8" xfId="0" applyFont="1" applyFill="1" applyBorder="1" applyAlignment="1">
      <alignment horizontal="center" vertical="center" wrapText="1"/>
    </xf>
    <xf numFmtId="0" fontId="0" fillId="2" borderId="6" xfId="0" applyFill="1" applyBorder="1" applyAlignment="1">
      <alignment vertical="center"/>
    </xf>
    <xf numFmtId="0" fontId="0" fillId="0" borderId="9" xfId="0" applyBorder="1" applyAlignment="1">
      <alignment horizontal="center"/>
    </xf>
    <xf numFmtId="0" fontId="2" fillId="0" borderId="6" xfId="0" applyFont="1" applyBorder="1"/>
    <xf numFmtId="164" fontId="0" fillId="0" borderId="9" xfId="0" applyNumberFormat="1" applyBorder="1" applyAlignment="1">
      <alignment horizontal="center"/>
    </xf>
    <xf numFmtId="2" fontId="0" fillId="0" borderId="8" xfId="0" applyNumberFormat="1" applyBorder="1" applyAlignment="1">
      <alignment horizontal="center"/>
    </xf>
    <xf numFmtId="164" fontId="0" fillId="0" borderId="9" xfId="0" applyNumberFormat="1" applyBorder="1" applyAlignment="1">
      <alignment horizontal="center" vertical="center"/>
    </xf>
    <xf numFmtId="15" fontId="0" fillId="0" borderId="9" xfId="0" applyNumberFormat="1" applyBorder="1" applyAlignment="1">
      <alignment horizontal="center" vertical="center"/>
    </xf>
    <xf numFmtId="164" fontId="0" fillId="0" borderId="0" xfId="0" applyNumberFormat="1" applyAlignment="1">
      <alignment horizontal="center"/>
    </xf>
    <xf numFmtId="0" fontId="0" fillId="2" borderId="0" xfId="0" applyFill="1" applyAlignment="1">
      <alignment horizontal="center" vertical="center" wrapText="1"/>
    </xf>
    <xf numFmtId="0" fontId="0" fillId="2" borderId="6" xfId="0" applyFill="1" applyBorder="1" applyAlignment="1">
      <alignment horizontal="center" vertical="center"/>
    </xf>
    <xf numFmtId="14" fontId="0" fillId="2" borderId="6" xfId="0" applyNumberFormat="1" applyFill="1" applyBorder="1" applyAlignment="1">
      <alignment horizontal="center" vertical="center"/>
    </xf>
    <xf numFmtId="20" fontId="0" fillId="2" borderId="6" xfId="0" applyNumberFormat="1" applyFill="1" applyBorder="1" applyAlignment="1">
      <alignment horizontal="center" vertical="center"/>
    </xf>
    <xf numFmtId="2" fontId="0" fillId="0" borderId="0" xfId="0" applyNumberFormat="1" applyAlignment="1">
      <alignment horizontal="center" vertical="center"/>
    </xf>
    <xf numFmtId="2" fontId="0" fillId="0" borderId="6" xfId="0" applyNumberFormat="1" applyFont="1" applyBorder="1" applyAlignment="1">
      <alignment horizontal="center" vertical="center"/>
    </xf>
    <xf numFmtId="20" fontId="0" fillId="0" borderId="6" xfId="0" quotePrefix="1" applyNumberFormat="1" applyFont="1" applyBorder="1" applyAlignment="1">
      <alignment horizontal="center" vertical="center"/>
    </xf>
    <xf numFmtId="0" fontId="10" fillId="0" borderId="6" xfId="0" applyFont="1" applyBorder="1" applyAlignment="1">
      <alignment vertical="center" wrapText="1"/>
    </xf>
    <xf numFmtId="0" fontId="0" fillId="0" borderId="6" xfId="0" quotePrefix="1" applyNumberFormat="1" applyFont="1" applyBorder="1" applyAlignment="1">
      <alignment horizontal="center" vertical="center"/>
    </xf>
    <xf numFmtId="0" fontId="0" fillId="2" borderId="6" xfId="0" applyNumberFormat="1" applyFill="1" applyBorder="1" applyAlignment="1">
      <alignment horizontal="center" vertical="center"/>
    </xf>
    <xf numFmtId="2" fontId="13" fillId="3" borderId="6" xfId="0" applyNumberFormat="1" applyFont="1" applyFill="1" applyBorder="1" applyAlignment="1">
      <alignment horizontal="center" vertical="center"/>
    </xf>
    <xf numFmtId="1" fontId="13" fillId="2" borderId="6" xfId="0" applyNumberFormat="1" applyFont="1" applyFill="1" applyBorder="1" applyAlignment="1">
      <alignment horizontal="center" vertical="center"/>
    </xf>
    <xf numFmtId="164" fontId="14" fillId="2" borderId="0" xfId="0" applyNumberFormat="1" applyFont="1" applyFill="1" applyAlignment="1">
      <alignment horizontal="center" vertical="center"/>
    </xf>
    <xf numFmtId="0" fontId="13" fillId="2" borderId="6" xfId="0" applyFont="1" applyFill="1" applyBorder="1" applyAlignment="1">
      <alignment horizontal="center" vertical="center"/>
    </xf>
    <xf numFmtId="164" fontId="13" fillId="2" borderId="6" xfId="0" applyNumberFormat="1" applyFont="1" applyFill="1" applyBorder="1" applyAlignment="1">
      <alignment horizontal="center" vertical="center"/>
    </xf>
    <xf numFmtId="2" fontId="13" fillId="2" borderId="6" xfId="0" applyNumberFormat="1" applyFont="1" applyFill="1" applyBorder="1" applyAlignment="1">
      <alignment horizontal="center" vertical="center"/>
    </xf>
    <xf numFmtId="0" fontId="13" fillId="2" borderId="0" xfId="0" applyFont="1" applyFill="1" applyAlignment="1">
      <alignment horizontal="center" vertical="center" wrapText="1"/>
    </xf>
    <xf numFmtId="0" fontId="13" fillId="3" borderId="6" xfId="0" applyFont="1" applyFill="1" applyBorder="1" applyAlignment="1">
      <alignment vertical="center" wrapText="1"/>
    </xf>
    <xf numFmtId="0" fontId="13" fillId="0" borderId="6" xfId="0" applyFont="1" applyBorder="1" applyAlignment="1">
      <alignment horizontal="left" vertical="center"/>
    </xf>
    <xf numFmtId="1" fontId="14" fillId="2" borderId="0" xfId="0" applyNumberFormat="1" applyFont="1" applyFill="1" applyAlignment="1">
      <alignment horizontal="center" vertical="center"/>
    </xf>
    <xf numFmtId="1" fontId="13" fillId="2" borderId="0" xfId="0" applyNumberFormat="1" applyFont="1" applyFill="1" applyAlignment="1">
      <alignment horizontal="center" vertical="center"/>
    </xf>
    <xf numFmtId="0" fontId="14" fillId="2" borderId="0" xfId="0" applyFont="1" applyFill="1" applyAlignment="1">
      <alignment horizontal="center" vertical="center"/>
    </xf>
    <xf numFmtId="0" fontId="14" fillId="2" borderId="0" xfId="0" applyFont="1" applyFill="1" applyAlignment="1">
      <alignment horizontal="left" vertical="center"/>
    </xf>
    <xf numFmtId="2" fontId="13" fillId="3" borderId="6" xfId="0" applyNumberFormat="1" applyFont="1" applyFill="1" applyBorder="1" applyAlignment="1">
      <alignment horizontal="center" vertical="center" wrapText="1"/>
    </xf>
    <xf numFmtId="0" fontId="13" fillId="2" borderId="6" xfId="0" applyFont="1" applyFill="1" applyBorder="1" applyAlignment="1">
      <alignment vertical="center" wrapText="1"/>
    </xf>
    <xf numFmtId="0" fontId="13" fillId="2" borderId="6" xfId="0" applyFont="1" applyFill="1" applyBorder="1" applyAlignment="1">
      <alignment horizontal="left" vertical="center" wrapText="1"/>
    </xf>
    <xf numFmtId="2" fontId="13" fillId="2" borderId="0" xfId="0" applyNumberFormat="1" applyFont="1" applyFill="1" applyAlignment="1">
      <alignment horizontal="center" vertical="center"/>
    </xf>
    <xf numFmtId="164" fontId="13" fillId="2" borderId="0" xfId="0" applyNumberFormat="1" applyFont="1" applyFill="1" applyAlignment="1">
      <alignment horizontal="center" vertical="center"/>
    </xf>
    <xf numFmtId="0" fontId="13" fillId="3" borderId="0" xfId="0" applyFont="1" applyFill="1" applyAlignment="1">
      <alignment horizontal="center" vertical="center"/>
    </xf>
    <xf numFmtId="0" fontId="13" fillId="2" borderId="0" xfId="0" applyFont="1" applyFill="1" applyAlignment="1">
      <alignment horizontal="center" vertical="center"/>
    </xf>
    <xf numFmtId="164" fontId="13" fillId="2" borderId="0" xfId="0" quotePrefix="1" applyNumberFormat="1" applyFont="1" applyFill="1" applyAlignment="1">
      <alignment horizontal="center" vertical="center"/>
    </xf>
    <xf numFmtId="2" fontId="14" fillId="2" borderId="0" xfId="0" applyNumberFormat="1" applyFont="1" applyFill="1" applyAlignment="1">
      <alignment horizontal="center" vertical="center"/>
    </xf>
    <xf numFmtId="164" fontId="13" fillId="0" borderId="0" xfId="0" applyNumberFormat="1" applyFont="1" applyAlignment="1">
      <alignment horizontal="center" vertical="center"/>
    </xf>
    <xf numFmtId="1" fontId="13" fillId="0" borderId="0" xfId="0" applyNumberFormat="1" applyFont="1" applyAlignment="1">
      <alignment horizontal="center" vertical="center"/>
    </xf>
    <xf numFmtId="165" fontId="13" fillId="2" borderId="6" xfId="0" applyNumberFormat="1" applyFont="1" applyFill="1" applyBorder="1" applyAlignment="1">
      <alignment horizontal="left" vertical="center"/>
    </xf>
    <xf numFmtId="2" fontId="15" fillId="3" borderId="6" xfId="0" applyNumberFormat="1" applyFont="1" applyFill="1" applyBorder="1" applyAlignment="1">
      <alignment horizontal="center" vertical="center"/>
    </xf>
    <xf numFmtId="2" fontId="14" fillId="0" borderId="0" xfId="0" applyNumberFormat="1" applyFont="1" applyAlignment="1">
      <alignment horizontal="center" vertical="center"/>
    </xf>
    <xf numFmtId="2" fontId="13" fillId="0" borderId="0" xfId="0" applyNumberFormat="1" applyFont="1" applyAlignment="1">
      <alignment horizontal="center" vertical="center"/>
    </xf>
    <xf numFmtId="164" fontId="16" fillId="0" borderId="0" xfId="0" applyNumberFormat="1" applyFont="1" applyAlignment="1">
      <alignment horizontal="center" vertical="center" wrapText="1"/>
    </xf>
    <xf numFmtId="1" fontId="14" fillId="0" borderId="0" xfId="0" applyNumberFormat="1" applyFont="1" applyAlignment="1">
      <alignment horizontal="center" vertical="center"/>
    </xf>
    <xf numFmtId="0" fontId="14" fillId="0" borderId="0" xfId="0" applyFont="1" applyAlignment="1">
      <alignment horizontal="center" vertical="center"/>
    </xf>
    <xf numFmtId="0" fontId="13" fillId="0" borderId="0" xfId="0" applyFont="1" applyAlignment="1">
      <alignment vertical="center"/>
    </xf>
    <xf numFmtId="164" fontId="14" fillId="0" borderId="0" xfId="0" applyNumberFormat="1" applyFont="1" applyAlignment="1">
      <alignment horizontal="center" vertical="center"/>
    </xf>
    <xf numFmtId="20" fontId="17" fillId="0" borderId="27" xfId="0" quotePrefix="1" applyNumberFormat="1" applyFont="1" applyBorder="1" applyAlignment="1">
      <alignment horizontal="center" vertical="center"/>
    </xf>
    <xf numFmtId="164" fontId="17" fillId="0" borderId="27" xfId="0" quotePrefix="1" applyNumberFormat="1" applyFont="1" applyBorder="1" applyAlignment="1">
      <alignment horizontal="center" vertical="center"/>
    </xf>
    <xf numFmtId="0" fontId="17" fillId="0" borderId="27" xfId="0" applyFont="1" applyBorder="1" applyAlignment="1">
      <alignment horizontal="center" vertical="center"/>
    </xf>
    <xf numFmtId="164" fontId="17" fillId="0" borderId="27" xfId="0" applyNumberFormat="1" applyFont="1" applyBorder="1" applyAlignment="1">
      <alignment horizontal="center" vertical="center"/>
    </xf>
    <xf numFmtId="0" fontId="17" fillId="0" borderId="6" xfId="0" applyFont="1" applyBorder="1" applyAlignment="1">
      <alignment horizontal="center" vertical="center"/>
    </xf>
    <xf numFmtId="0" fontId="17" fillId="0" borderId="6" xfId="0" quotePrefix="1" applyNumberFormat="1" applyFont="1" applyBorder="1" applyAlignment="1">
      <alignment horizontal="center" vertical="center"/>
    </xf>
    <xf numFmtId="2" fontId="17" fillId="0" borderId="6" xfId="0" applyNumberFormat="1" applyFont="1" applyBorder="1" applyAlignment="1">
      <alignment horizontal="center" vertical="center"/>
    </xf>
    <xf numFmtId="49" fontId="17" fillId="0" borderId="6" xfId="0" applyNumberFormat="1" applyFont="1" applyBorder="1" applyAlignment="1">
      <alignment horizontal="center" vertical="center"/>
    </xf>
    <xf numFmtId="20" fontId="17" fillId="0" borderId="6" xfId="0" quotePrefix="1" applyNumberFormat="1" applyFont="1" applyBorder="1" applyAlignment="1">
      <alignment horizontal="center" vertical="center"/>
    </xf>
    <xf numFmtId="164" fontId="17" fillId="0" borderId="6" xfId="0" quotePrefix="1" applyNumberFormat="1" applyFont="1" applyBorder="1" applyAlignment="1">
      <alignment horizontal="center" vertical="center"/>
    </xf>
    <xf numFmtId="0" fontId="17" fillId="2" borderId="6" xfId="0" applyFont="1" applyFill="1" applyBorder="1" applyAlignment="1">
      <alignment horizontal="center" vertical="center"/>
    </xf>
    <xf numFmtId="0" fontId="10" fillId="0" borderId="25" xfId="0" applyFont="1" applyBorder="1" applyAlignment="1">
      <alignment horizontal="center" vertical="center" wrapText="1"/>
    </xf>
    <xf numFmtId="0" fontId="10" fillId="0" borderId="25" xfId="0" applyFont="1" applyBorder="1" applyAlignment="1">
      <alignment horizontal="left" vertical="center" wrapText="1"/>
    </xf>
    <xf numFmtId="0" fontId="18" fillId="6" borderId="13" xfId="0" applyFont="1" applyFill="1" applyBorder="1" applyAlignment="1">
      <alignment horizontal="center" vertical="center"/>
    </xf>
    <xf numFmtId="0" fontId="18" fillId="3" borderId="13" xfId="0" applyFont="1" applyFill="1" applyBorder="1" applyAlignment="1">
      <alignment vertical="center"/>
    </xf>
    <xf numFmtId="0" fontId="18" fillId="3" borderId="28" xfId="0" applyFont="1" applyFill="1" applyBorder="1" applyAlignment="1">
      <alignment horizontal="center" vertical="center"/>
    </xf>
    <xf numFmtId="0" fontId="18" fillId="3" borderId="14" xfId="0" applyFont="1" applyFill="1" applyBorder="1" applyAlignment="1">
      <alignment horizontal="center" vertical="center"/>
    </xf>
    <xf numFmtId="0" fontId="20" fillId="0" borderId="29" xfId="0" applyFont="1" applyFill="1" applyBorder="1" applyAlignment="1">
      <alignment vertical="center"/>
    </xf>
    <xf numFmtId="0" fontId="0" fillId="0" borderId="27" xfId="0" applyFont="1" applyBorder="1" applyAlignment="1">
      <alignment horizontal="center" vertical="center"/>
    </xf>
    <xf numFmtId="0" fontId="11" fillId="0" borderId="16" xfId="0" applyFont="1" applyBorder="1" applyAlignment="1">
      <alignment vertical="center" wrapText="1"/>
    </xf>
    <xf numFmtId="0" fontId="0" fillId="0" borderId="31" xfId="0" applyBorder="1" applyAlignment="1">
      <alignment vertical="center"/>
    </xf>
    <xf numFmtId="0" fontId="11" fillId="0" borderId="30" xfId="0" applyFont="1" applyBorder="1" applyAlignment="1">
      <alignment vertical="center" wrapText="1"/>
    </xf>
    <xf numFmtId="0" fontId="0" fillId="0" borderId="32" xfId="0" applyBorder="1" applyAlignment="1">
      <alignment vertical="center"/>
    </xf>
    <xf numFmtId="2" fontId="0" fillId="0" borderId="8" xfId="0" applyNumberFormat="1" applyFont="1" applyBorder="1" applyAlignment="1">
      <alignment horizontal="center" vertical="center"/>
    </xf>
    <xf numFmtId="0" fontId="0" fillId="0" borderId="33" xfId="0" applyBorder="1" applyAlignment="1">
      <alignment vertical="center"/>
    </xf>
    <xf numFmtId="1" fontId="0" fillId="0" borderId="34" xfId="0" applyNumberFormat="1" applyFont="1" applyBorder="1" applyAlignment="1">
      <alignment horizontal="center" vertical="center"/>
    </xf>
    <xf numFmtId="0" fontId="11" fillId="0" borderId="18" xfId="0" applyFont="1" applyBorder="1" applyAlignment="1">
      <alignment vertical="center" wrapText="1"/>
    </xf>
    <xf numFmtId="0" fontId="20" fillId="0" borderId="31" xfId="0" applyFont="1" applyFill="1" applyBorder="1" applyAlignment="1">
      <alignment vertical="center"/>
    </xf>
    <xf numFmtId="0" fontId="0" fillId="0" borderId="21" xfId="0" applyFont="1" applyBorder="1" applyAlignment="1">
      <alignment horizontal="center" vertical="center"/>
    </xf>
    <xf numFmtId="2" fontId="0" fillId="0" borderId="35" xfId="0" applyNumberFormat="1" applyFont="1" applyFill="1" applyBorder="1" applyAlignment="1">
      <alignment horizontal="center" vertical="center"/>
    </xf>
    <xf numFmtId="0" fontId="0" fillId="0" borderId="31" xfId="0" applyBorder="1" applyAlignment="1">
      <alignment horizontal="left" vertical="center"/>
    </xf>
    <xf numFmtId="0" fontId="0" fillId="0" borderId="6" xfId="0" applyFont="1" applyBorder="1" applyAlignment="1">
      <alignment horizontal="center" vertical="center"/>
    </xf>
    <xf numFmtId="0" fontId="11" fillId="0" borderId="3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16" xfId="0" applyFont="1" applyBorder="1" applyAlignment="1">
      <alignment horizontal="center" vertical="center" wrapText="1"/>
    </xf>
    <xf numFmtId="0" fontId="3" fillId="3" borderId="36" xfId="0" applyFont="1" applyFill="1" applyBorder="1" applyAlignment="1">
      <alignment horizontal="left" vertical="top"/>
    </xf>
    <xf numFmtId="0" fontId="3" fillId="3" borderId="37" xfId="0" applyFont="1" applyFill="1" applyBorder="1" applyAlignment="1">
      <alignment horizontal="left" vertical="top"/>
    </xf>
    <xf numFmtId="2" fontId="0" fillId="3" borderId="38" xfId="0" applyNumberFormat="1" applyFill="1" applyBorder="1" applyAlignment="1">
      <alignment horizontal="center" vertical="center"/>
    </xf>
    <xf numFmtId="0" fontId="3" fillId="7" borderId="39" xfId="0" applyFont="1" applyFill="1" applyBorder="1" applyAlignment="1">
      <alignment horizontal="left" vertical="top"/>
    </xf>
    <xf numFmtId="0" fontId="3" fillId="7" borderId="40" xfId="0" applyFont="1" applyFill="1" applyBorder="1" applyAlignment="1">
      <alignment horizontal="left" vertical="top"/>
    </xf>
    <xf numFmtId="2" fontId="0" fillId="7" borderId="8" xfId="0" applyNumberFormat="1" applyFill="1" applyBorder="1" applyAlignment="1">
      <alignment horizontal="center" vertical="center"/>
    </xf>
    <xf numFmtId="0" fontId="3" fillId="8" borderId="41" xfId="0" applyFont="1" applyFill="1" applyBorder="1" applyAlignment="1">
      <alignment horizontal="left" vertical="top"/>
    </xf>
    <xf numFmtId="0" fontId="3" fillId="8" borderId="19" xfId="0" applyFont="1" applyFill="1" applyBorder="1" applyAlignment="1">
      <alignment horizontal="left" vertical="top"/>
    </xf>
    <xf numFmtId="2" fontId="0" fillId="8" borderId="34" xfId="0" applyNumberFormat="1" applyFill="1" applyBorder="1" applyAlignment="1">
      <alignment horizontal="center" vertical="center"/>
    </xf>
    <xf numFmtId="0" fontId="3" fillId="9" borderId="15" xfId="0" applyFont="1" applyFill="1" applyBorder="1" applyAlignment="1">
      <alignment horizontal="center"/>
    </xf>
    <xf numFmtId="0" fontId="3" fillId="9" borderId="42" xfId="0" applyFont="1" applyFill="1" applyBorder="1" applyAlignment="1">
      <alignment horizontal="center"/>
    </xf>
    <xf numFmtId="0" fontId="3" fillId="9" borderId="14" xfId="0" applyFont="1" applyFill="1" applyBorder="1" applyAlignment="1">
      <alignment horizontal="center"/>
    </xf>
    <xf numFmtId="20" fontId="0" fillId="0" borderId="6" xfId="0" applyNumberFormat="1" applyFont="1" applyBorder="1" applyAlignment="1">
      <alignment horizontal="center" vertical="center"/>
    </xf>
    <xf numFmtId="0" fontId="0" fillId="0" borderId="6" xfId="0" applyNumberFormat="1" applyFont="1" applyBorder="1" applyAlignment="1">
      <alignment horizontal="center" vertical="center"/>
    </xf>
    <xf numFmtId="15" fontId="20" fillId="0" borderId="22" xfId="0" applyNumberFormat="1" applyFont="1" applyBorder="1" applyAlignment="1">
      <alignment horizontal="center" vertical="center"/>
    </xf>
    <xf numFmtId="20" fontId="20" fillId="0" borderId="6" xfId="0" quotePrefix="1" applyNumberFormat="1" applyFont="1" applyBorder="1" applyAlignment="1">
      <alignment horizontal="center" vertical="center"/>
    </xf>
    <xf numFmtId="164" fontId="20" fillId="0" borderId="6" xfId="0" quotePrefix="1" applyNumberFormat="1" applyFont="1" applyBorder="1" applyAlignment="1">
      <alignment horizontal="center" vertical="center"/>
    </xf>
    <xf numFmtId="0" fontId="20" fillId="0" borderId="6" xfId="0" quotePrefix="1" applyNumberFormat="1" applyFont="1" applyBorder="1" applyAlignment="1">
      <alignment horizontal="center" vertical="center"/>
    </xf>
    <xf numFmtId="2" fontId="20" fillId="0" borderId="6" xfId="0" applyNumberFormat="1" applyFont="1" applyBorder="1" applyAlignment="1">
      <alignment horizontal="center" vertical="center"/>
    </xf>
    <xf numFmtId="49" fontId="20" fillId="0" borderId="6" xfId="0" applyNumberFormat="1" applyFont="1" applyBorder="1" applyAlignment="1">
      <alignment horizontal="center" vertical="center"/>
    </xf>
    <xf numFmtId="0" fontId="0" fillId="0" borderId="29" xfId="0" applyFont="1" applyBorder="1" applyAlignment="1">
      <alignment horizontal="center" vertical="center"/>
    </xf>
    <xf numFmtId="2" fontId="0" fillId="0" borderId="32" xfId="0" applyNumberFormat="1" applyFont="1" applyBorder="1" applyAlignment="1">
      <alignment horizontal="center" vertical="center"/>
    </xf>
    <xf numFmtId="1" fontId="0" fillId="0" borderId="32" xfId="0" applyNumberFormat="1" applyFont="1" applyBorder="1" applyAlignment="1">
      <alignment horizontal="center" vertical="center"/>
    </xf>
    <xf numFmtId="1" fontId="0" fillId="0" borderId="33" xfId="0" applyNumberFormat="1" applyFont="1" applyBorder="1" applyAlignment="1">
      <alignment horizontal="center" vertical="center"/>
    </xf>
    <xf numFmtId="0" fontId="11" fillId="0" borderId="16" xfId="0" applyFont="1" applyBorder="1" applyAlignment="1">
      <alignment horizontal="center" vertical="center" wrapText="1"/>
    </xf>
    <xf numFmtId="0" fontId="11" fillId="0" borderId="30" xfId="0" applyFont="1" applyBorder="1" applyAlignment="1">
      <alignment horizontal="center" vertical="center" wrapText="1"/>
    </xf>
    <xf numFmtId="0" fontId="11" fillId="0" borderId="18" xfId="0" applyFont="1" applyBorder="1" applyAlignment="1">
      <alignment horizontal="center" vertical="center" wrapText="1"/>
    </xf>
    <xf numFmtId="0" fontId="13" fillId="2" borderId="0" xfId="0" applyFont="1" applyFill="1" applyBorder="1" applyAlignment="1">
      <alignment horizontal="center" vertical="center" wrapText="1"/>
    </xf>
    <xf numFmtId="0" fontId="13" fillId="3"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13" fillId="3" borderId="8" xfId="0" applyFont="1" applyFill="1" applyBorder="1" applyAlignment="1">
      <alignment horizontal="center" vertical="center" wrapText="1"/>
    </xf>
    <xf numFmtId="0" fontId="13" fillId="3" borderId="6" xfId="0" applyFont="1" applyFill="1" applyBorder="1" applyAlignment="1">
      <alignment horizontal="center" vertical="center"/>
    </xf>
    <xf numFmtId="0" fontId="0" fillId="0" borderId="0" xfId="0" applyAlignment="1">
      <alignment horizontal="center"/>
    </xf>
    <xf numFmtId="1" fontId="15" fillId="3" borderId="6" xfId="0" applyNumberFormat="1" applyFont="1" applyFill="1" applyBorder="1" applyAlignment="1">
      <alignment horizontal="center" vertical="center" wrapText="1"/>
    </xf>
    <xf numFmtId="0" fontId="13" fillId="2" borderId="6" xfId="0" applyFont="1" applyFill="1" applyBorder="1" applyAlignment="1">
      <alignment horizontal="center" vertical="center" wrapText="1"/>
    </xf>
    <xf numFmtId="0" fontId="6" fillId="0" borderId="11" xfId="0" applyFont="1" applyBorder="1" applyAlignment="1">
      <alignment horizontal="left" vertical="center"/>
    </xf>
    <xf numFmtId="2" fontId="0" fillId="0" borderId="9" xfId="0" applyNumberFormat="1" applyBorder="1" applyAlignment="1">
      <alignment horizontal="center"/>
    </xf>
    <xf numFmtId="2" fontId="0" fillId="0" borderId="7" xfId="0" applyNumberFormat="1" applyBorder="1" applyAlignment="1">
      <alignment horizontal="center"/>
    </xf>
    <xf numFmtId="2" fontId="2" fillId="0" borderId="7" xfId="0" applyNumberFormat="1" applyFont="1" applyBorder="1" applyAlignment="1">
      <alignment horizontal="center" vertical="center"/>
    </xf>
    <xf numFmtId="2" fontId="0" fillId="0" borderId="9" xfId="0" applyNumberFormat="1" applyBorder="1" applyAlignment="1">
      <alignment horizontal="center" vertical="center"/>
    </xf>
    <xf numFmtId="2" fontId="2" fillId="0" borderId="6" xfId="0" applyNumberFormat="1" applyFont="1" applyBorder="1" applyAlignment="1">
      <alignment horizontal="center" vertical="center"/>
    </xf>
    <xf numFmtId="0" fontId="3" fillId="9" borderId="42" xfId="0" applyFont="1" applyFill="1" applyBorder="1" applyAlignment="1">
      <alignment horizontal="center"/>
    </xf>
    <xf numFmtId="0" fontId="3" fillId="2" borderId="6" xfId="0" applyFont="1" applyFill="1" applyBorder="1" applyAlignment="1">
      <alignment horizontal="center" vertical="center" wrapText="1"/>
    </xf>
    <xf numFmtId="0" fontId="18" fillId="3" borderId="42" xfId="0" applyFont="1" applyFill="1" applyBorder="1" applyAlignment="1">
      <alignment horizontal="center" vertical="center"/>
    </xf>
    <xf numFmtId="0" fontId="0" fillId="0" borderId="31" xfId="0" applyFont="1" applyBorder="1" applyAlignment="1">
      <alignment horizontal="center" vertical="center"/>
    </xf>
    <xf numFmtId="0" fontId="0" fillId="0" borderId="32" xfId="0" applyNumberFormat="1" applyFont="1" applyBorder="1" applyAlignment="1">
      <alignment horizontal="center" vertical="center"/>
    </xf>
    <xf numFmtId="0" fontId="0" fillId="0" borderId="32" xfId="0" applyFont="1" applyBorder="1" applyAlignment="1">
      <alignment horizontal="center" vertical="center"/>
    </xf>
    <xf numFmtId="49" fontId="0" fillId="0" borderId="33" xfId="0" applyNumberFormat="1" applyFont="1" applyBorder="1" applyAlignment="1">
      <alignment horizontal="center" vertical="center"/>
    </xf>
    <xf numFmtId="0" fontId="3" fillId="9" borderId="42" xfId="0" applyFont="1" applyFill="1" applyBorder="1" applyAlignment="1">
      <alignment horizontal="center"/>
    </xf>
    <xf numFmtId="0" fontId="10" fillId="0" borderId="0" xfId="0" applyFont="1" applyBorder="1" applyAlignment="1">
      <alignment horizontal="left" vertical="center" wrapText="1"/>
    </xf>
    <xf numFmtId="0" fontId="3" fillId="9" borderId="42" xfId="0" applyFont="1" applyFill="1" applyBorder="1" applyAlignment="1">
      <alignment horizontal="center"/>
    </xf>
    <xf numFmtId="0" fontId="0" fillId="0" borderId="0" xfId="0" applyAlignment="1">
      <alignment horizontal="center"/>
    </xf>
    <xf numFmtId="0" fontId="20" fillId="0" borderId="29" xfId="0" applyFont="1" applyFill="1"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20" fillId="0" borderId="31" xfId="0" applyFont="1" applyFill="1" applyBorder="1" applyAlignment="1">
      <alignment horizontal="center" vertical="center"/>
    </xf>
    <xf numFmtId="0" fontId="3" fillId="3" borderId="46" xfId="0" applyFont="1" applyFill="1" applyBorder="1" applyAlignment="1">
      <alignment horizontal="center" vertical="top"/>
    </xf>
    <xf numFmtId="0" fontId="3" fillId="7" borderId="7" xfId="0" applyFont="1" applyFill="1" applyBorder="1" applyAlignment="1">
      <alignment horizontal="center" vertical="top"/>
    </xf>
    <xf numFmtId="0" fontId="3" fillId="8" borderId="47" xfId="0" applyFont="1" applyFill="1" applyBorder="1" applyAlignment="1">
      <alignment horizontal="center" vertical="top"/>
    </xf>
    <xf numFmtId="0" fontId="24" fillId="0" borderId="0" xfId="0" applyFont="1"/>
    <xf numFmtId="0" fontId="24" fillId="2" borderId="0" xfId="0" applyFont="1" applyFill="1"/>
    <xf numFmtId="2" fontId="5" fillId="3" borderId="6" xfId="0" applyNumberFormat="1" applyFont="1" applyFill="1" applyBorder="1" applyAlignment="1">
      <alignment horizontal="center" vertical="center"/>
    </xf>
    <xf numFmtId="1" fontId="5" fillId="2" borderId="6" xfId="0" applyNumberFormat="1" applyFont="1" applyFill="1" applyBorder="1" applyAlignment="1">
      <alignment horizontal="center" vertical="center"/>
    </xf>
    <xf numFmtId="164" fontId="4" fillId="2" borderId="0" xfId="0" applyNumberFormat="1" applyFont="1" applyFill="1" applyAlignment="1">
      <alignment horizontal="center" vertical="center"/>
    </xf>
    <xf numFmtId="0" fontId="5" fillId="2" borderId="6" xfId="0" applyFont="1" applyFill="1" applyBorder="1" applyAlignment="1">
      <alignment horizontal="center" vertical="center"/>
    </xf>
    <xf numFmtId="164" fontId="5" fillId="2" borderId="6" xfId="0" applyNumberFormat="1" applyFont="1" applyFill="1" applyBorder="1" applyAlignment="1">
      <alignment horizontal="center" vertical="center"/>
    </xf>
    <xf numFmtId="2" fontId="5" fillId="2" borderId="6" xfId="0" applyNumberFormat="1" applyFont="1" applyFill="1" applyBorder="1" applyAlignment="1">
      <alignment horizontal="center" vertical="center"/>
    </xf>
    <xf numFmtId="0" fontId="5" fillId="2" borderId="0" xfId="0" applyFont="1" applyFill="1" applyBorder="1" applyAlignment="1">
      <alignment horizontal="center" vertical="center" wrapText="1"/>
    </xf>
    <xf numFmtId="0" fontId="5" fillId="2" borderId="0" xfId="0" applyFont="1" applyFill="1" applyAlignment="1">
      <alignment horizontal="center" vertical="center" wrapText="1"/>
    </xf>
    <xf numFmtId="0" fontId="5" fillId="3" borderId="6" xfId="0" applyFont="1" applyFill="1" applyBorder="1" applyAlignment="1">
      <alignment vertical="center" wrapText="1"/>
    </xf>
    <xf numFmtId="0" fontId="5" fillId="0" borderId="6" xfId="0" applyFont="1" applyBorder="1" applyAlignment="1">
      <alignment horizontal="left" vertical="center"/>
    </xf>
    <xf numFmtId="1" fontId="4" fillId="2" borderId="0" xfId="0" applyNumberFormat="1" applyFont="1" applyFill="1" applyAlignment="1">
      <alignment horizontal="center" vertical="center"/>
    </xf>
    <xf numFmtId="1" fontId="5" fillId="2" borderId="0" xfId="0" applyNumberFormat="1" applyFont="1" applyFill="1" applyAlignment="1">
      <alignment horizontal="center" vertical="center"/>
    </xf>
    <xf numFmtId="1" fontId="4" fillId="2" borderId="0" xfId="0" applyNumberFormat="1" applyFont="1" applyFill="1" applyBorder="1" applyAlignment="1">
      <alignment horizontal="center" vertical="center"/>
    </xf>
    <xf numFmtId="0" fontId="4" fillId="2" borderId="0" xfId="0" applyFont="1" applyFill="1" applyAlignment="1">
      <alignment horizontal="left" vertical="center"/>
    </xf>
    <xf numFmtId="2" fontId="5" fillId="3" borderId="6" xfId="0" applyNumberFormat="1" applyFont="1" applyFill="1" applyBorder="1" applyAlignment="1">
      <alignment horizontal="center" vertical="center" wrapText="1"/>
    </xf>
    <xf numFmtId="0" fontId="5" fillId="2" borderId="6" xfId="0" applyFont="1" applyFill="1" applyBorder="1" applyAlignment="1">
      <alignment vertical="center" wrapText="1"/>
    </xf>
    <xf numFmtId="0" fontId="5" fillId="2" borderId="6" xfId="0" applyFont="1" applyFill="1" applyBorder="1" applyAlignment="1">
      <alignment horizontal="left" vertical="center" wrapText="1"/>
    </xf>
    <xf numFmtId="2" fontId="5" fillId="2" borderId="0" xfId="0" applyNumberFormat="1" applyFont="1" applyFill="1" applyAlignment="1">
      <alignment horizontal="center" vertical="center"/>
    </xf>
    <xf numFmtId="164" fontId="5" fillId="2" borderId="0" xfId="0" applyNumberFormat="1" applyFont="1" applyFill="1" applyAlignment="1">
      <alignment horizontal="center" vertical="center"/>
    </xf>
    <xf numFmtId="0" fontId="5" fillId="3" borderId="0" xfId="0" applyFont="1" applyFill="1" applyAlignment="1">
      <alignment horizontal="center" vertical="center"/>
    </xf>
    <xf numFmtId="164" fontId="5" fillId="2" borderId="0" xfId="0" quotePrefix="1" applyNumberFormat="1" applyFont="1" applyFill="1" applyAlignment="1">
      <alignment horizontal="center" vertical="center"/>
    </xf>
    <xf numFmtId="2" fontId="4" fillId="2" borderId="0" xfId="0" applyNumberFormat="1" applyFont="1" applyFill="1" applyAlignment="1">
      <alignment horizontal="center" vertical="center"/>
    </xf>
    <xf numFmtId="164" fontId="5" fillId="0" borderId="0" xfId="0" applyNumberFormat="1" applyFont="1" applyAlignment="1">
      <alignment horizontal="center" vertical="center"/>
    </xf>
    <xf numFmtId="1" fontId="5" fillId="0" borderId="0" xfId="0" applyNumberFormat="1" applyFont="1" applyAlignment="1">
      <alignment horizontal="center" vertical="center"/>
    </xf>
    <xf numFmtId="165" fontId="5" fillId="2" borderId="6" xfId="0" applyNumberFormat="1" applyFont="1" applyFill="1" applyBorder="1" applyAlignment="1">
      <alignment horizontal="left" vertical="center"/>
    </xf>
    <xf numFmtId="2" fontId="25" fillId="3" borderId="6" xfId="0" applyNumberFormat="1" applyFont="1" applyFill="1" applyBorder="1" applyAlignment="1">
      <alignment horizontal="center" vertical="center"/>
    </xf>
    <xf numFmtId="2" fontId="4" fillId="0" borderId="0" xfId="0" applyNumberFormat="1" applyFont="1" applyAlignment="1">
      <alignment horizontal="center" vertical="center"/>
    </xf>
    <xf numFmtId="2" fontId="5" fillId="0" borderId="0" xfId="0" applyNumberFormat="1" applyFont="1" applyAlignment="1">
      <alignment horizontal="center" vertical="center"/>
    </xf>
    <xf numFmtId="164" fontId="26" fillId="0" borderId="0" xfId="0" applyNumberFormat="1" applyFont="1" applyAlignment="1">
      <alignment horizontal="center" vertical="center" wrapText="1"/>
    </xf>
    <xf numFmtId="1" fontId="4" fillId="0" borderId="0" xfId="0" applyNumberFormat="1" applyFont="1" applyAlignment="1">
      <alignment horizontal="center" vertical="center"/>
    </xf>
    <xf numFmtId="44" fontId="24" fillId="0" borderId="0" xfId="1" applyFont="1" applyAlignment="1">
      <alignment vertical="center"/>
    </xf>
    <xf numFmtId="44" fontId="24" fillId="2" borderId="0" xfId="1" applyFont="1" applyFill="1" applyAlignment="1">
      <alignment vertical="center"/>
    </xf>
    <xf numFmtId="0" fontId="24" fillId="0" borderId="0" xfId="0" applyFont="1" applyAlignment="1">
      <alignment horizontal="center" vertical="center"/>
    </xf>
    <xf numFmtId="0" fontId="24" fillId="2" borderId="0" xfId="0" applyFont="1" applyFill="1" applyAlignment="1">
      <alignment horizontal="center" vertical="center"/>
    </xf>
    <xf numFmtId="0" fontId="5" fillId="3" borderId="6"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3" borderId="6" xfId="0" applyFont="1" applyFill="1" applyBorder="1" applyAlignment="1">
      <alignment horizontal="center" vertical="center"/>
    </xf>
    <xf numFmtId="0" fontId="5" fillId="0" borderId="6" xfId="0" applyFont="1" applyBorder="1" applyAlignment="1">
      <alignment horizontal="center" vertical="center" wrapText="1"/>
    </xf>
    <xf numFmtId="0" fontId="5" fillId="3" borderId="8" xfId="0" applyFont="1" applyFill="1" applyBorder="1" applyAlignment="1">
      <alignment horizontal="center" vertical="center" wrapText="1"/>
    </xf>
    <xf numFmtId="1" fontId="25" fillId="3" borderId="6" xfId="0" applyNumberFormat="1" applyFont="1" applyFill="1" applyBorder="1" applyAlignment="1">
      <alignment horizontal="center" vertical="center" wrapText="1"/>
    </xf>
    <xf numFmtId="0" fontId="3" fillId="9" borderId="42" xfId="0" applyFont="1" applyFill="1" applyBorder="1" applyAlignment="1">
      <alignment horizontal="center"/>
    </xf>
    <xf numFmtId="0" fontId="0" fillId="0" borderId="0" xfId="0" applyAlignment="1">
      <alignment horizontal="center"/>
    </xf>
    <xf numFmtId="44" fontId="28" fillId="4" borderId="6" xfId="1" applyFont="1" applyFill="1" applyBorder="1" applyAlignment="1">
      <alignment horizontal="center" vertical="center"/>
    </xf>
    <xf numFmtId="44" fontId="28" fillId="4" borderId="6" xfId="1" applyFont="1" applyFill="1" applyBorder="1" applyAlignment="1">
      <alignment horizontal="center" vertical="center" wrapText="1"/>
    </xf>
    <xf numFmtId="164" fontId="28" fillId="4" borderId="6" xfId="1" applyNumberFormat="1" applyFont="1" applyFill="1" applyBorder="1" applyAlignment="1">
      <alignment horizontal="center" vertical="center" wrapText="1"/>
    </xf>
    <xf numFmtId="44" fontId="27" fillId="4" borderId="6" xfId="1" applyFont="1" applyFill="1" applyBorder="1" applyAlignment="1">
      <alignment horizontal="center" vertical="center"/>
    </xf>
    <xf numFmtId="44" fontId="27" fillId="4" borderId="6" xfId="1" applyFont="1" applyFill="1" applyBorder="1" applyAlignment="1">
      <alignment horizontal="center" vertical="center" wrapText="1"/>
    </xf>
    <xf numFmtId="44" fontId="27" fillId="4" borderId="6" xfId="2" applyFont="1" applyFill="1" applyBorder="1" applyAlignment="1">
      <alignment horizontal="center" vertical="center" wrapText="1"/>
    </xf>
    <xf numFmtId="0" fontId="27" fillId="4" borderId="6" xfId="0" applyFont="1" applyFill="1" applyBorder="1" applyAlignment="1">
      <alignment horizontal="center" vertical="center"/>
    </xf>
    <xf numFmtId="2" fontId="27" fillId="4" borderId="6" xfId="0" applyNumberFormat="1" applyFont="1" applyFill="1" applyBorder="1" applyAlignment="1">
      <alignment horizontal="center" vertical="center"/>
    </xf>
    <xf numFmtId="164" fontId="27" fillId="4" borderId="6" xfId="0" applyNumberFormat="1" applyFont="1" applyFill="1" applyBorder="1" applyAlignment="1">
      <alignment horizontal="center" vertical="center" wrapText="1"/>
    </xf>
    <xf numFmtId="164" fontId="27" fillId="4" borderId="6" xfId="0" applyNumberFormat="1" applyFont="1" applyFill="1" applyBorder="1" applyAlignment="1">
      <alignment horizontal="center" vertical="center"/>
    </xf>
    <xf numFmtId="164" fontId="28" fillId="4" borderId="6" xfId="0" applyNumberFormat="1" applyFont="1" applyFill="1" applyBorder="1" applyAlignment="1">
      <alignment horizontal="center" vertical="center"/>
    </xf>
    <xf numFmtId="2" fontId="29" fillId="4" borderId="6" xfId="0" applyNumberFormat="1" applyFont="1" applyFill="1" applyBorder="1" applyAlignment="1">
      <alignment horizontal="center" vertical="center"/>
    </xf>
    <xf numFmtId="164" fontId="0" fillId="0" borderId="6" xfId="0" applyNumberFormat="1" applyFont="1" applyBorder="1" applyAlignment="1" applyProtection="1">
      <alignment horizontal="center" vertical="center"/>
      <protection locked="0"/>
    </xf>
    <xf numFmtId="164" fontId="0" fillId="0" borderId="6" xfId="0" applyNumberFormat="1" applyFont="1" applyBorder="1" applyAlignment="1">
      <alignment horizontal="center" vertical="center"/>
    </xf>
    <xf numFmtId="0" fontId="7" fillId="0" borderId="6" xfId="0" applyFont="1" applyBorder="1" applyAlignment="1">
      <alignment horizontal="left" vertical="center" wrapText="1"/>
    </xf>
    <xf numFmtId="0" fontId="3" fillId="9" borderId="42" xfId="0" applyFont="1" applyFill="1" applyBorder="1" applyAlignment="1">
      <alignment horizontal="center"/>
    </xf>
    <xf numFmtId="0" fontId="3" fillId="2" borderId="6" xfId="0" applyFont="1" applyFill="1" applyBorder="1" applyAlignment="1">
      <alignment horizontal="center" vertical="center" wrapText="1"/>
    </xf>
    <xf numFmtId="0" fontId="3" fillId="3" borderId="29" xfId="0" applyFont="1" applyFill="1" applyBorder="1" applyAlignment="1">
      <alignment horizontal="center" vertical="top"/>
    </xf>
    <xf numFmtId="0" fontId="3" fillId="7" borderId="32" xfId="0" applyFont="1" applyFill="1" applyBorder="1" applyAlignment="1">
      <alignment horizontal="center" vertical="top"/>
    </xf>
    <xf numFmtId="0" fontId="3" fillId="8" borderId="33" xfId="0" applyFont="1" applyFill="1" applyBorder="1" applyAlignment="1">
      <alignment horizontal="center" vertical="top"/>
    </xf>
    <xf numFmtId="1" fontId="0" fillId="0" borderId="48" xfId="0" applyNumberFormat="1" applyFont="1" applyBorder="1" applyAlignment="1">
      <alignment horizontal="center" vertical="center"/>
    </xf>
    <xf numFmtId="0" fontId="3" fillId="9" borderId="42" xfId="0" applyFont="1" applyFill="1" applyBorder="1" applyAlignment="1">
      <alignment horizontal="center"/>
    </xf>
    <xf numFmtId="0" fontId="3" fillId="9" borderId="42" xfId="0" applyFont="1" applyFill="1" applyBorder="1" applyAlignment="1">
      <alignment horizontal="center"/>
    </xf>
    <xf numFmtId="0" fontId="3" fillId="9" borderId="42" xfId="0" applyFont="1" applyFill="1" applyBorder="1" applyAlignment="1">
      <alignment horizontal="center"/>
    </xf>
    <xf numFmtId="0" fontId="11" fillId="0" borderId="30" xfId="0" applyFont="1" applyBorder="1" applyAlignment="1">
      <alignment vertical="center"/>
    </xf>
    <xf numFmtId="0" fontId="11" fillId="0" borderId="18" xfId="0" applyFont="1" applyBorder="1" applyAlignment="1">
      <alignment vertical="center"/>
    </xf>
    <xf numFmtId="2" fontId="0" fillId="0" borderId="33" xfId="0" applyNumberFormat="1" applyFont="1" applyBorder="1" applyAlignment="1">
      <alignment horizontal="center" vertical="center"/>
    </xf>
    <xf numFmtId="0" fontId="3" fillId="9" borderId="42" xfId="0" applyFont="1" applyFill="1" applyBorder="1" applyAlignment="1">
      <alignment horizontal="center"/>
    </xf>
    <xf numFmtId="2" fontId="27" fillId="5" borderId="6" xfId="0" applyNumberFormat="1" applyFont="1" applyFill="1" applyBorder="1" applyAlignment="1">
      <alignment horizontal="center" vertical="center" wrapText="1"/>
    </xf>
    <xf numFmtId="15" fontId="17" fillId="0" borderId="22" xfId="0" applyNumberFormat="1" applyFont="1" applyBorder="1" applyAlignment="1">
      <alignment horizontal="center" vertical="center"/>
    </xf>
    <xf numFmtId="0" fontId="13" fillId="3"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3" fillId="3" borderId="6" xfId="0" applyFont="1" applyFill="1" applyBorder="1" applyAlignment="1">
      <alignment horizontal="center" vertical="center"/>
    </xf>
    <xf numFmtId="0" fontId="13" fillId="0" borderId="6" xfId="0" applyFont="1" applyBorder="1" applyAlignment="1">
      <alignment horizontal="center" vertical="center" wrapText="1"/>
    </xf>
    <xf numFmtId="0" fontId="13" fillId="3" borderId="8" xfId="0" applyFont="1" applyFill="1" applyBorder="1" applyAlignment="1">
      <alignment horizontal="center" vertical="center" wrapText="1"/>
    </xf>
    <xf numFmtId="1" fontId="15" fillId="3" borderId="6" xfId="0" applyNumberFormat="1" applyFont="1" applyFill="1" applyBorder="1" applyAlignment="1">
      <alignment horizontal="center" vertical="center" wrapText="1"/>
    </xf>
    <xf numFmtId="15" fontId="20" fillId="0" borderId="6" xfId="0" applyNumberFormat="1" applyFont="1" applyBorder="1" applyAlignment="1">
      <alignment horizontal="center" vertical="center"/>
    </xf>
    <xf numFmtId="0" fontId="20" fillId="0" borderId="0" xfId="0" applyFont="1"/>
    <xf numFmtId="0" fontId="11" fillId="0" borderId="6" xfId="0" applyFont="1" applyBorder="1" applyAlignment="1">
      <alignment horizontal="center" vertical="center" wrapText="1"/>
    </xf>
    <xf numFmtId="0" fontId="20" fillId="2" borderId="0" xfId="0" applyFont="1" applyFill="1"/>
    <xf numFmtId="0" fontId="14" fillId="2" borderId="4" xfId="0" applyFont="1" applyFill="1" applyBorder="1" applyAlignment="1">
      <alignment horizontal="center" vertical="center"/>
    </xf>
    <xf numFmtId="0" fontId="13" fillId="2" borderId="0" xfId="0" applyFont="1" applyFill="1" applyAlignment="1">
      <alignment vertical="center" wrapText="1"/>
    </xf>
    <xf numFmtId="165" fontId="13" fillId="2" borderId="0" xfId="0" applyNumberFormat="1" applyFont="1" applyFill="1" applyAlignment="1">
      <alignment vertical="center"/>
    </xf>
    <xf numFmtId="165" fontId="13" fillId="2" borderId="0" xfId="0" applyNumberFormat="1" applyFont="1" applyFill="1" applyAlignment="1">
      <alignment horizontal="left" vertical="center"/>
    </xf>
    <xf numFmtId="44" fontId="20" fillId="0" borderId="0" xfId="1" applyFont="1" applyAlignment="1">
      <alignment vertical="center"/>
    </xf>
    <xf numFmtId="44" fontId="30" fillId="4" borderId="13" xfId="1" applyFont="1" applyFill="1" applyBorder="1" applyAlignment="1">
      <alignment horizontal="center" vertical="center"/>
    </xf>
    <xf numFmtId="44" fontId="30" fillId="4" borderId="13" xfId="1" applyFont="1" applyFill="1" applyBorder="1" applyAlignment="1">
      <alignment horizontal="center" vertical="center" wrapText="1"/>
    </xf>
    <xf numFmtId="164" fontId="30" fillId="4" borderId="2" xfId="1" applyNumberFormat="1" applyFont="1" applyFill="1" applyBorder="1" applyAlignment="1">
      <alignment horizontal="center" vertical="center" wrapText="1"/>
    </xf>
    <xf numFmtId="164" fontId="30" fillId="4" borderId="13" xfId="1" applyNumberFormat="1" applyFont="1" applyFill="1" applyBorder="1" applyAlignment="1">
      <alignment horizontal="center" vertical="center" wrapText="1"/>
    </xf>
    <xf numFmtId="44" fontId="18" fillId="4" borderId="13" xfId="1" applyFont="1" applyFill="1" applyBorder="1" applyAlignment="1">
      <alignment horizontal="center" vertical="center"/>
    </xf>
    <xf numFmtId="44" fontId="18" fillId="4" borderId="2" xfId="1" applyFont="1" applyFill="1" applyBorder="1" applyAlignment="1">
      <alignment horizontal="center" vertical="center"/>
    </xf>
    <xf numFmtId="44" fontId="18" fillId="4" borderId="1" xfId="1" applyFont="1" applyFill="1" applyBorder="1" applyAlignment="1">
      <alignment horizontal="center" vertical="center"/>
    </xf>
    <xf numFmtId="44" fontId="18" fillId="4" borderId="13" xfId="1" applyFont="1" applyFill="1" applyBorder="1" applyAlignment="1">
      <alignment horizontal="center" vertical="center" wrapText="1"/>
    </xf>
    <xf numFmtId="44" fontId="18" fillId="4" borderId="14" xfId="1" applyFont="1" applyFill="1" applyBorder="1" applyAlignment="1">
      <alignment horizontal="center" vertical="center" wrapText="1"/>
    </xf>
    <xf numFmtId="44" fontId="18" fillId="4" borderId="2" xfId="1" applyFont="1" applyFill="1" applyBorder="1" applyAlignment="1">
      <alignment horizontal="center" vertical="center" wrapText="1"/>
    </xf>
    <xf numFmtId="44" fontId="18" fillId="4" borderId="15" xfId="1" applyFont="1" applyFill="1" applyBorder="1" applyAlignment="1">
      <alignment horizontal="center" vertical="center" wrapText="1"/>
    </xf>
    <xf numFmtId="44" fontId="18" fillId="4" borderId="45" xfId="2" applyFont="1" applyFill="1" applyBorder="1" applyAlignment="1">
      <alignment horizontal="center" vertical="center" wrapText="1"/>
    </xf>
    <xf numFmtId="2" fontId="18" fillId="5" borderId="17" xfId="0" applyNumberFormat="1" applyFont="1" applyFill="1" applyBorder="1" applyAlignment="1">
      <alignment horizontal="center" vertical="center" wrapText="1"/>
    </xf>
    <xf numFmtId="44" fontId="18" fillId="4" borderId="17" xfId="1" applyFont="1" applyFill="1" applyBorder="1" applyAlignment="1">
      <alignment horizontal="center" vertical="center"/>
    </xf>
    <xf numFmtId="44" fontId="20" fillId="2" borderId="0" xfId="1" applyFont="1" applyFill="1" applyAlignment="1">
      <alignment vertical="center"/>
    </xf>
    <xf numFmtId="0" fontId="20" fillId="0" borderId="0" xfId="0" applyFont="1" applyAlignment="1">
      <alignment horizontal="center" vertical="center"/>
    </xf>
    <xf numFmtId="0" fontId="18" fillId="4" borderId="13" xfId="0" applyFont="1" applyFill="1" applyBorder="1" applyAlignment="1">
      <alignment horizontal="center" vertical="center"/>
    </xf>
    <xf numFmtId="2" fontId="18" fillId="4" borderId="13" xfId="0" applyNumberFormat="1" applyFont="1" applyFill="1" applyBorder="1" applyAlignment="1">
      <alignment horizontal="center" vertical="center"/>
    </xf>
    <xf numFmtId="164" fontId="18" fillId="4" borderId="13" xfId="0" applyNumberFormat="1" applyFont="1" applyFill="1" applyBorder="1" applyAlignment="1">
      <alignment horizontal="center" vertical="center" wrapText="1"/>
    </xf>
    <xf numFmtId="164" fontId="18" fillId="4" borderId="11" xfId="0" applyNumberFormat="1" applyFont="1" applyFill="1" applyBorder="1" applyAlignment="1">
      <alignment horizontal="center" vertical="center"/>
    </xf>
    <xf numFmtId="164" fontId="30" fillId="4" borderId="13" xfId="0" applyNumberFormat="1" applyFont="1" applyFill="1" applyBorder="1" applyAlignment="1">
      <alignment horizontal="center" vertical="center"/>
    </xf>
    <xf numFmtId="2" fontId="18" fillId="4" borderId="11" xfId="0" applyNumberFormat="1" applyFont="1" applyFill="1" applyBorder="1" applyAlignment="1">
      <alignment horizontal="center" vertical="center"/>
    </xf>
    <xf numFmtId="2" fontId="18" fillId="4" borderId="12" xfId="0" applyNumberFormat="1" applyFont="1" applyFill="1" applyBorder="1" applyAlignment="1">
      <alignment horizontal="center" vertical="center"/>
    </xf>
    <xf numFmtId="2" fontId="31" fillId="4" borderId="13" xfId="0" applyNumberFormat="1" applyFont="1" applyFill="1" applyBorder="1" applyAlignment="1">
      <alignment horizontal="center" vertical="center"/>
    </xf>
    <xf numFmtId="2" fontId="18" fillId="4" borderId="0" xfId="0" applyNumberFormat="1" applyFont="1" applyFill="1" applyBorder="1" applyAlignment="1">
      <alignment horizontal="center" vertical="center"/>
    </xf>
    <xf numFmtId="2" fontId="18" fillId="5" borderId="44" xfId="0" applyNumberFormat="1" applyFont="1" applyFill="1" applyBorder="1" applyAlignment="1">
      <alignment horizontal="center" vertical="center" wrapText="1"/>
    </xf>
    <xf numFmtId="0" fontId="18" fillId="4" borderId="19" xfId="0" applyFont="1" applyFill="1" applyBorder="1" applyAlignment="1">
      <alignment horizontal="center" vertical="center"/>
    </xf>
    <xf numFmtId="0" fontId="20" fillId="2" borderId="0" xfId="0" applyFont="1" applyFill="1" applyAlignment="1">
      <alignment horizontal="center" vertical="center"/>
    </xf>
    <xf numFmtId="15" fontId="20" fillId="0" borderId="6" xfId="0" applyNumberFormat="1" applyFont="1" applyBorder="1" applyAlignment="1">
      <alignment vertical="center"/>
    </xf>
    <xf numFmtId="20" fontId="20" fillId="0" borderId="27" xfId="0" quotePrefix="1" applyNumberFormat="1" applyFont="1" applyBorder="1" applyAlignment="1">
      <alignment horizontal="center" vertical="center"/>
    </xf>
    <xf numFmtId="164" fontId="20" fillId="0" borderId="27" xfId="0" quotePrefix="1" applyNumberFormat="1" applyFont="1" applyBorder="1" applyAlignment="1">
      <alignment horizontal="center" vertical="center"/>
    </xf>
    <xf numFmtId="0" fontId="20" fillId="0" borderId="27" xfId="0" applyFont="1" applyBorder="1" applyAlignment="1">
      <alignment horizontal="center" vertical="center"/>
    </xf>
    <xf numFmtId="164" fontId="20" fillId="0" borderId="27" xfId="0" applyNumberFormat="1" applyFont="1" applyBorder="1" applyAlignment="1">
      <alignment horizontal="center" vertical="center"/>
    </xf>
    <xf numFmtId="0" fontId="20" fillId="0" borderId="6" xfId="0" applyFont="1" applyBorder="1" applyAlignment="1">
      <alignment horizontal="center" vertical="center"/>
    </xf>
    <xf numFmtId="0" fontId="33" fillId="0" borderId="6" xfId="0" applyFont="1" applyBorder="1" applyAlignment="1">
      <alignment vertical="center" wrapText="1"/>
    </xf>
    <xf numFmtId="0" fontId="20" fillId="2" borderId="6" xfId="0" applyFont="1" applyFill="1" applyBorder="1" applyAlignment="1">
      <alignment horizontal="center" vertical="center"/>
    </xf>
    <xf numFmtId="0" fontId="33" fillId="0" borderId="25" xfId="0" applyFont="1" applyBorder="1" applyAlignment="1">
      <alignment horizontal="center" vertical="center" wrapText="1"/>
    </xf>
    <xf numFmtId="0" fontId="32" fillId="0" borderId="25" xfId="0" applyFont="1" applyBorder="1" applyAlignment="1">
      <alignment horizontal="left" vertical="center" wrapText="1"/>
    </xf>
    <xf numFmtId="0" fontId="34" fillId="0" borderId="25" xfId="0" applyFont="1" applyBorder="1" applyAlignment="1">
      <alignment horizontal="left" vertical="center" wrapText="1"/>
    </xf>
    <xf numFmtId="0" fontId="20" fillId="0" borderId="25" xfId="0" applyFont="1" applyBorder="1" applyAlignment="1">
      <alignment horizontal="left" vertical="center" wrapText="1"/>
    </xf>
    <xf numFmtId="0" fontId="35" fillId="0" borderId="25" xfId="0" applyFont="1" applyBorder="1" applyAlignment="1">
      <alignment horizontal="left" vertical="center" wrapText="1"/>
    </xf>
    <xf numFmtId="0" fontId="36" fillId="2" borderId="6" xfId="0" applyFont="1" applyFill="1" applyBorder="1" applyAlignment="1">
      <alignment horizontal="left" vertical="center" wrapText="1"/>
    </xf>
    <xf numFmtId="0" fontId="18" fillId="0" borderId="25" xfId="0" applyFont="1" applyBorder="1" applyAlignment="1">
      <alignment horizontal="left" vertical="center" wrapText="1"/>
    </xf>
    <xf numFmtId="0" fontId="20" fillId="2" borderId="6" xfId="0" applyFont="1" applyFill="1" applyBorder="1"/>
    <xf numFmtId="0" fontId="36" fillId="0" borderId="25" xfId="0" applyFont="1" applyBorder="1" applyAlignment="1">
      <alignment horizontal="left" vertical="center" wrapText="1"/>
    </xf>
    <xf numFmtId="0" fontId="34" fillId="2" borderId="25" xfId="0" applyFont="1" applyFill="1" applyBorder="1" applyAlignment="1">
      <alignment horizontal="left" vertical="center" wrapText="1"/>
    </xf>
    <xf numFmtId="20" fontId="20" fillId="0" borderId="6" xfId="0" applyNumberFormat="1" applyFont="1" applyBorder="1" applyAlignment="1">
      <alignment horizontal="center"/>
    </xf>
    <xf numFmtId="164" fontId="20" fillId="0" borderId="6" xfId="0" applyNumberFormat="1" applyFont="1" applyBorder="1" applyAlignment="1">
      <alignment horizontal="center"/>
    </xf>
    <xf numFmtId="0" fontId="20" fillId="0" borderId="6" xfId="0" applyFont="1" applyBorder="1" applyAlignment="1">
      <alignment horizontal="center"/>
    </xf>
    <xf numFmtId="0" fontId="20" fillId="0" borderId="6" xfId="0" applyFont="1" applyBorder="1"/>
    <xf numFmtId="0" fontId="20" fillId="0" borderId="0" xfId="0" applyFont="1" applyAlignment="1">
      <alignment vertical="center"/>
    </xf>
    <xf numFmtId="0" fontId="20" fillId="2" borderId="0" xfId="0" applyFont="1" applyFill="1" applyAlignment="1">
      <alignment vertical="center"/>
    </xf>
    <xf numFmtId="0" fontId="34" fillId="2" borderId="8" xfId="0" applyFont="1" applyFill="1" applyBorder="1" applyAlignment="1">
      <alignment horizontal="center" vertical="center" wrapText="1"/>
    </xf>
    <xf numFmtId="0" fontId="20" fillId="2" borderId="6" xfId="0" applyFont="1" applyFill="1" applyBorder="1" applyAlignment="1">
      <alignment vertical="center"/>
    </xf>
    <xf numFmtId="0" fontId="20" fillId="0" borderId="9" xfId="0" applyFont="1" applyBorder="1" applyAlignment="1">
      <alignment horizontal="center"/>
    </xf>
    <xf numFmtId="2" fontId="20" fillId="0" borderId="9" xfId="0" applyNumberFormat="1" applyFont="1" applyBorder="1" applyAlignment="1">
      <alignment horizontal="center" vertical="center"/>
    </xf>
    <xf numFmtId="0" fontId="34" fillId="0" borderId="6" xfId="0" applyFont="1" applyBorder="1"/>
    <xf numFmtId="164" fontId="20" fillId="0" borderId="9" xfId="0" applyNumberFormat="1" applyFont="1" applyBorder="1" applyAlignment="1">
      <alignment horizontal="center"/>
    </xf>
    <xf numFmtId="2" fontId="34" fillId="0" borderId="7" xfId="0" applyNumberFormat="1" applyFont="1" applyBorder="1" applyAlignment="1">
      <alignment horizontal="center" vertical="center"/>
    </xf>
    <xf numFmtId="0" fontId="20" fillId="0" borderId="0" xfId="0" applyFont="1" applyAlignment="1">
      <alignment horizontal="center"/>
    </xf>
    <xf numFmtId="2" fontId="20" fillId="0" borderId="0" xfId="0" applyNumberFormat="1" applyFont="1" applyAlignment="1">
      <alignment horizontal="center" vertical="center"/>
    </xf>
    <xf numFmtId="164" fontId="20" fillId="0" borderId="0" xfId="0" applyNumberFormat="1" applyFont="1" applyAlignment="1">
      <alignment horizontal="center"/>
    </xf>
    <xf numFmtId="0" fontId="33" fillId="0" borderId="25" xfId="0" applyFont="1" applyBorder="1" applyAlignment="1">
      <alignment horizontal="left" vertical="center" wrapText="1"/>
    </xf>
    <xf numFmtId="0" fontId="0" fillId="0" borderId="0" xfId="0" applyFont="1"/>
    <xf numFmtId="0" fontId="0" fillId="2" borderId="0" xfId="0" applyFont="1" applyFill="1"/>
    <xf numFmtId="0" fontId="24" fillId="2" borderId="4" xfId="0" applyFont="1" applyFill="1" applyBorder="1" applyAlignment="1">
      <alignment horizontal="center" vertical="center"/>
    </xf>
    <xf numFmtId="2" fontId="18" fillId="3" borderId="6" xfId="0" applyNumberFormat="1" applyFont="1" applyFill="1" applyBorder="1" applyAlignment="1">
      <alignment horizontal="center" vertical="center"/>
    </xf>
    <xf numFmtId="1" fontId="18" fillId="2" borderId="6" xfId="0" applyNumberFormat="1" applyFont="1" applyFill="1" applyBorder="1" applyAlignment="1">
      <alignment horizontal="center" vertical="center"/>
    </xf>
    <xf numFmtId="164" fontId="20" fillId="2" borderId="0" xfId="0" applyNumberFormat="1" applyFont="1" applyFill="1" applyAlignment="1">
      <alignment horizontal="center" vertical="center"/>
    </xf>
    <xf numFmtId="1" fontId="33" fillId="3" borderId="6" xfId="0" applyNumberFormat="1" applyFont="1" applyFill="1" applyBorder="1" applyAlignment="1">
      <alignment horizontal="center" vertical="center" wrapText="1"/>
    </xf>
    <xf numFmtId="0" fontId="18" fillId="2" borderId="6" xfId="0" applyFont="1" applyFill="1" applyBorder="1" applyAlignment="1">
      <alignment horizontal="center" vertical="center"/>
    </xf>
    <xf numFmtId="1" fontId="33" fillId="3" borderId="6" xfId="0" applyNumberFormat="1" applyFont="1" applyFill="1" applyBorder="1" applyAlignment="1">
      <alignment vertical="center" wrapText="1"/>
    </xf>
    <xf numFmtId="164" fontId="18" fillId="2" borderId="9" xfId="0" applyNumberFormat="1" applyFont="1" applyFill="1" applyBorder="1" applyAlignment="1">
      <alignment horizontal="center" vertical="center"/>
    </xf>
    <xf numFmtId="1" fontId="33" fillId="2" borderId="53" xfId="0" applyNumberFormat="1" applyFont="1" applyFill="1" applyBorder="1" applyAlignment="1">
      <alignment vertical="center" wrapText="1"/>
    </xf>
    <xf numFmtId="164" fontId="18" fillId="2" borderId="0" xfId="0" applyNumberFormat="1" applyFont="1" applyFill="1" applyBorder="1" applyAlignment="1">
      <alignment horizontal="center" vertical="center"/>
    </xf>
    <xf numFmtId="2" fontId="18" fillId="2" borderId="6" xfId="0" applyNumberFormat="1" applyFont="1" applyFill="1" applyBorder="1" applyAlignment="1">
      <alignment horizontal="center" vertical="center"/>
    </xf>
    <xf numFmtId="0" fontId="18" fillId="3" borderId="6"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18" fillId="2" borderId="0" xfId="0" applyFont="1" applyFill="1" applyBorder="1" applyAlignment="1">
      <alignment horizontal="center" vertical="center" wrapText="1"/>
    </xf>
    <xf numFmtId="0" fontId="18" fillId="2" borderId="0" xfId="0" applyFont="1" applyFill="1" applyAlignment="1">
      <alignment horizontal="center" vertical="center" wrapText="1"/>
    </xf>
    <xf numFmtId="0" fontId="18" fillId="3" borderId="6" xfId="0" applyFont="1" applyFill="1" applyBorder="1" applyAlignment="1">
      <alignment vertical="center" wrapText="1"/>
    </xf>
    <xf numFmtId="0" fontId="18" fillId="0" borderId="6" xfId="0" applyFont="1" applyBorder="1" applyAlignment="1">
      <alignment horizontal="left" vertical="center"/>
    </xf>
    <xf numFmtId="0" fontId="27" fillId="0" borderId="0" xfId="0" applyFont="1" applyAlignment="1">
      <alignment vertical="center"/>
    </xf>
    <xf numFmtId="1" fontId="20" fillId="2" borderId="0" xfId="0" applyNumberFormat="1" applyFont="1" applyFill="1" applyAlignment="1">
      <alignment horizontal="center" vertical="center"/>
    </xf>
    <xf numFmtId="1" fontId="18" fillId="2" borderId="0" xfId="0" applyNumberFormat="1" applyFont="1" applyFill="1" applyAlignment="1">
      <alignment horizontal="center" vertical="center"/>
    </xf>
    <xf numFmtId="0" fontId="20" fillId="2" borderId="0" xfId="0" applyFont="1" applyFill="1" applyAlignment="1">
      <alignment horizontal="left" vertical="center"/>
    </xf>
    <xf numFmtId="0" fontId="27" fillId="2" borderId="0" xfId="0" applyFont="1" applyFill="1" applyAlignment="1">
      <alignment horizontal="center" vertical="center"/>
    </xf>
    <xf numFmtId="2" fontId="18" fillId="3" borderId="6" xfId="0" applyNumberFormat="1" applyFont="1" applyFill="1" applyBorder="1" applyAlignment="1">
      <alignment horizontal="center" vertical="center" wrapText="1"/>
    </xf>
    <xf numFmtId="1" fontId="18" fillId="9" borderId="6" xfId="0" applyNumberFormat="1" applyFont="1" applyFill="1" applyBorder="1" applyAlignment="1">
      <alignment horizontal="center" vertical="center"/>
    </xf>
    <xf numFmtId="1" fontId="18" fillId="3" borderId="6" xfId="0" applyNumberFormat="1" applyFont="1" applyFill="1" applyBorder="1" applyAlignment="1">
      <alignment vertical="center"/>
    </xf>
    <xf numFmtId="1" fontId="18" fillId="9" borderId="9" xfId="0" applyNumberFormat="1" applyFont="1" applyFill="1" applyBorder="1" applyAlignment="1">
      <alignment horizontal="center" vertical="center"/>
    </xf>
    <xf numFmtId="1" fontId="18" fillId="2" borderId="53" xfId="0" applyNumberFormat="1" applyFont="1" applyFill="1" applyBorder="1" applyAlignment="1">
      <alignment vertical="center"/>
    </xf>
    <xf numFmtId="1" fontId="18" fillId="2" borderId="0" xfId="0" applyNumberFormat="1" applyFont="1" applyFill="1" applyBorder="1" applyAlignment="1">
      <alignment horizontal="center" vertical="center"/>
    </xf>
    <xf numFmtId="0" fontId="18" fillId="2" borderId="6" xfId="0" applyFont="1" applyFill="1" applyBorder="1" applyAlignment="1">
      <alignment vertical="center" wrapText="1"/>
    </xf>
    <xf numFmtId="0" fontId="18" fillId="2" borderId="6" xfId="0" applyFont="1" applyFill="1" applyBorder="1" applyAlignment="1">
      <alignment horizontal="left" vertical="center" wrapText="1"/>
    </xf>
    <xf numFmtId="0" fontId="27" fillId="2" borderId="0" xfId="0" applyFont="1" applyFill="1" applyAlignment="1">
      <alignment vertical="center" wrapText="1"/>
    </xf>
    <xf numFmtId="2" fontId="18" fillId="2" borderId="0" xfId="0" applyNumberFormat="1" applyFont="1" applyFill="1" applyAlignment="1">
      <alignment horizontal="center" vertical="center"/>
    </xf>
    <xf numFmtId="164" fontId="18" fillId="2" borderId="0" xfId="0" applyNumberFormat="1" applyFont="1" applyFill="1" applyAlignment="1">
      <alignment horizontal="center" vertical="center"/>
    </xf>
    <xf numFmtId="0" fontId="18" fillId="3" borderId="6" xfId="0" applyFont="1" applyFill="1" applyBorder="1" applyAlignment="1">
      <alignment horizontal="center" vertical="center"/>
    </xf>
    <xf numFmtId="164" fontId="18" fillId="2" borderId="0" xfId="0" quotePrefix="1" applyNumberFormat="1" applyFont="1" applyFill="1" applyAlignment="1">
      <alignment horizontal="center" vertical="center"/>
    </xf>
    <xf numFmtId="2" fontId="20" fillId="2" borderId="0" xfId="0" applyNumberFormat="1" applyFont="1" applyFill="1" applyAlignment="1">
      <alignment horizontal="center" vertical="center"/>
    </xf>
    <xf numFmtId="164" fontId="18" fillId="0" borderId="0" xfId="0" applyNumberFormat="1" applyFont="1" applyAlignment="1">
      <alignment horizontal="center" vertical="center"/>
    </xf>
    <xf numFmtId="0" fontId="18" fillId="3" borderId="8" xfId="0" applyFont="1" applyFill="1" applyBorder="1" applyAlignment="1">
      <alignment horizontal="center" vertical="center" wrapText="1"/>
    </xf>
    <xf numFmtId="1" fontId="18" fillId="0" borderId="0" xfId="0" applyNumberFormat="1" applyFont="1" applyAlignment="1">
      <alignment horizontal="center" vertical="center"/>
    </xf>
    <xf numFmtId="165" fontId="18" fillId="2" borderId="6" xfId="0" applyNumberFormat="1" applyFont="1" applyFill="1" applyBorder="1" applyAlignment="1">
      <alignment horizontal="left" vertical="center"/>
    </xf>
    <xf numFmtId="165" fontId="27" fillId="2" borderId="0" xfId="0" applyNumberFormat="1" applyFont="1" applyFill="1" applyAlignment="1">
      <alignment vertical="center"/>
    </xf>
    <xf numFmtId="2" fontId="33" fillId="3" borderId="6" xfId="0" applyNumberFormat="1" applyFont="1" applyFill="1" applyBorder="1" applyAlignment="1">
      <alignment horizontal="center" vertical="center"/>
    </xf>
    <xf numFmtId="2" fontId="18" fillId="0" borderId="0" xfId="0" applyNumberFormat="1" applyFont="1" applyAlignment="1">
      <alignment horizontal="center" vertical="center"/>
    </xf>
    <xf numFmtId="0" fontId="18" fillId="2" borderId="0" xfId="0" applyFont="1" applyFill="1" applyAlignment="1">
      <alignment horizontal="center" vertical="center"/>
    </xf>
    <xf numFmtId="164" fontId="32" fillId="0" borderId="0" xfId="0" applyNumberFormat="1" applyFont="1" applyAlignment="1">
      <alignment horizontal="center" vertical="center" wrapText="1"/>
    </xf>
    <xf numFmtId="1" fontId="20" fillId="0" borderId="0" xfId="0" applyNumberFormat="1" applyFont="1" applyAlignment="1">
      <alignment horizontal="center" vertical="center"/>
    </xf>
    <xf numFmtId="0" fontId="18" fillId="0" borderId="6" xfId="0" applyFont="1" applyBorder="1" applyAlignment="1">
      <alignment horizontal="center" vertical="center" wrapText="1"/>
    </xf>
    <xf numFmtId="0" fontId="18" fillId="0" borderId="0" xfId="0" applyFont="1" applyAlignment="1">
      <alignment vertical="center"/>
    </xf>
    <xf numFmtId="165" fontId="27" fillId="2" borderId="0" xfId="0" applyNumberFormat="1" applyFont="1" applyFill="1" applyAlignment="1">
      <alignment horizontal="left" vertical="center"/>
    </xf>
    <xf numFmtId="164" fontId="20" fillId="0" borderId="0" xfId="0" applyNumberFormat="1" applyFont="1" applyAlignment="1">
      <alignment horizontal="center" vertical="center"/>
    </xf>
    <xf numFmtId="44" fontId="33" fillId="4" borderId="13" xfId="1" applyFont="1" applyFill="1" applyBorder="1" applyAlignment="1">
      <alignment horizontal="center" vertical="center"/>
    </xf>
    <xf numFmtId="44" fontId="33" fillId="4" borderId="13" xfId="1" applyFont="1" applyFill="1" applyBorder="1" applyAlignment="1">
      <alignment horizontal="center" vertical="center" wrapText="1"/>
    </xf>
    <xf numFmtId="164" fontId="33" fillId="4" borderId="2" xfId="1" applyNumberFormat="1" applyFont="1" applyFill="1" applyBorder="1" applyAlignment="1">
      <alignment horizontal="center" vertical="center" wrapText="1"/>
    </xf>
    <xf numFmtId="164" fontId="33" fillId="4" borderId="13" xfId="1" applyNumberFormat="1" applyFont="1" applyFill="1" applyBorder="1" applyAlignment="1">
      <alignment horizontal="center" vertical="center" wrapText="1"/>
    </xf>
    <xf numFmtId="0" fontId="0" fillId="0" borderId="0" xfId="0" applyFont="1" applyAlignment="1">
      <alignment horizontal="center" vertical="center"/>
    </xf>
    <xf numFmtId="164" fontId="33" fillId="4" borderId="13" xfId="0" applyNumberFormat="1" applyFont="1" applyFill="1" applyBorder="1" applyAlignment="1">
      <alignment horizontal="center" vertical="center"/>
    </xf>
    <xf numFmtId="0" fontId="0" fillId="2" borderId="0" xfId="0" applyFont="1" applyFill="1" applyAlignment="1">
      <alignment horizontal="center" vertical="center"/>
    </xf>
    <xf numFmtId="0" fontId="0" fillId="2" borderId="6" xfId="0" applyFont="1" applyFill="1" applyBorder="1"/>
    <xf numFmtId="0" fontId="0" fillId="0" borderId="25" xfId="0" applyFont="1" applyBorder="1" applyAlignment="1">
      <alignment horizontal="left" vertical="center" wrapText="1"/>
    </xf>
    <xf numFmtId="0" fontId="0" fillId="2" borderId="0" xfId="0" applyFont="1" applyFill="1" applyAlignment="1">
      <alignment vertical="center"/>
    </xf>
    <xf numFmtId="0" fontId="0" fillId="0" borderId="0" xfId="0" applyFont="1" applyAlignment="1">
      <alignment vertical="center"/>
    </xf>
    <xf numFmtId="0" fontId="0" fillId="0" borderId="0" xfId="0" applyFont="1" applyAlignment="1">
      <alignment horizontal="center"/>
    </xf>
    <xf numFmtId="2" fontId="0" fillId="0" borderId="0" xfId="0" applyNumberFormat="1" applyFont="1" applyAlignment="1">
      <alignment horizontal="center" vertical="center"/>
    </xf>
    <xf numFmtId="164" fontId="0" fillId="0" borderId="0" xfId="0" applyNumberFormat="1" applyFont="1" applyAlignment="1">
      <alignment horizontal="center"/>
    </xf>
    <xf numFmtId="0" fontId="37" fillId="0" borderId="25" xfId="0" applyFont="1" applyBorder="1" applyAlignment="1">
      <alignment horizontal="left" vertical="center" wrapText="1"/>
    </xf>
    <xf numFmtId="0" fontId="37" fillId="0" borderId="25" xfId="0" applyFont="1" applyBorder="1" applyAlignment="1">
      <alignment horizontal="center" vertical="center" wrapText="1"/>
    </xf>
    <xf numFmtId="164" fontId="17" fillId="0" borderId="23" xfId="0" applyNumberFormat="1" applyFont="1" applyBorder="1" applyAlignment="1" applyProtection="1">
      <alignment horizontal="center" vertical="center"/>
      <protection locked="0"/>
    </xf>
    <xf numFmtId="0" fontId="17" fillId="0" borderId="23" xfId="0" applyNumberFormat="1" applyFont="1" applyBorder="1" applyAlignment="1">
      <alignment horizontal="center" vertical="center"/>
    </xf>
    <xf numFmtId="164" fontId="17" fillId="0" borderId="21" xfId="0" applyNumberFormat="1" applyFont="1" applyBorder="1" applyAlignment="1">
      <alignment horizontal="center" vertical="center"/>
    </xf>
    <xf numFmtId="2" fontId="17" fillId="0" borderId="23" xfId="0" applyNumberFormat="1" applyFont="1" applyBorder="1" applyAlignment="1">
      <alignment horizontal="center" vertical="center"/>
    </xf>
    <xf numFmtId="20" fontId="17" fillId="0" borderId="23" xfId="0" quotePrefix="1" applyNumberFormat="1" applyFont="1" applyBorder="1" applyAlignment="1">
      <alignment horizontal="center" vertical="center"/>
    </xf>
    <xf numFmtId="164" fontId="17" fillId="0" borderId="23" xfId="0" applyNumberFormat="1" applyFont="1" applyBorder="1" applyAlignment="1">
      <alignment horizontal="center" vertical="center"/>
    </xf>
    <xf numFmtId="2" fontId="17" fillId="0" borderId="24" xfId="0" applyNumberFormat="1" applyFont="1" applyBorder="1" applyAlignment="1">
      <alignment horizontal="center" vertical="center"/>
    </xf>
    <xf numFmtId="0" fontId="17" fillId="0" borderId="25" xfId="0" applyFont="1" applyBorder="1" applyAlignment="1">
      <alignment horizontal="left" vertical="center" wrapText="1"/>
    </xf>
    <xf numFmtId="0" fontId="17" fillId="2" borderId="6" xfId="0" applyFont="1" applyFill="1" applyBorder="1"/>
    <xf numFmtId="0" fontId="38" fillId="0" borderId="25" xfId="0" applyFont="1" applyBorder="1" applyAlignment="1">
      <alignment horizontal="left" vertical="center" wrapText="1"/>
    </xf>
    <xf numFmtId="0" fontId="20" fillId="2" borderId="6" xfId="0" applyNumberFormat="1" applyFont="1" applyFill="1" applyBorder="1" applyAlignment="1">
      <alignment horizontal="center" vertical="center"/>
    </xf>
    <xf numFmtId="15" fontId="17" fillId="0" borderId="22" xfId="0" applyNumberFormat="1" applyFont="1" applyBorder="1" applyAlignment="1">
      <alignment horizontal="center" vertical="center"/>
    </xf>
    <xf numFmtId="20" fontId="39" fillId="0" borderId="6" xfId="0" quotePrefix="1" applyNumberFormat="1" applyFont="1" applyBorder="1" applyAlignment="1">
      <alignment horizontal="center" vertical="center"/>
    </xf>
    <xf numFmtId="0" fontId="39" fillId="2" borderId="0" xfId="0" applyFont="1" applyFill="1"/>
    <xf numFmtId="15" fontId="39" fillId="0" borderId="22" xfId="0" applyNumberFormat="1" applyFont="1" applyBorder="1" applyAlignment="1">
      <alignment horizontal="center" vertical="center"/>
    </xf>
    <xf numFmtId="164" fontId="39" fillId="0" borderId="23" xfId="0" applyNumberFormat="1" applyFont="1" applyBorder="1" applyAlignment="1" applyProtection="1">
      <alignment horizontal="center" vertical="center"/>
      <protection locked="0"/>
    </xf>
    <xf numFmtId="0" fontId="39" fillId="0" borderId="6" xfId="0" quotePrefix="1" applyNumberFormat="1" applyFont="1" applyBorder="1" applyAlignment="1">
      <alignment horizontal="center" vertical="center"/>
    </xf>
    <xf numFmtId="164" fontId="39" fillId="0" borderId="21" xfId="0" applyNumberFormat="1" applyFont="1" applyBorder="1" applyAlignment="1">
      <alignment horizontal="center" vertical="center"/>
    </xf>
    <xf numFmtId="2" fontId="39" fillId="0" borderId="23" xfId="0" applyNumberFormat="1" applyFont="1" applyBorder="1" applyAlignment="1">
      <alignment horizontal="center" vertical="center"/>
    </xf>
    <xf numFmtId="2" fontId="39" fillId="0" borderId="6" xfId="0" applyNumberFormat="1" applyFont="1" applyBorder="1" applyAlignment="1">
      <alignment horizontal="center" vertical="center"/>
    </xf>
    <xf numFmtId="49" fontId="39" fillId="0" borderId="6" xfId="0" applyNumberFormat="1" applyFont="1" applyBorder="1" applyAlignment="1">
      <alignment horizontal="center" vertical="center"/>
    </xf>
    <xf numFmtId="0" fontId="40" fillId="0" borderId="25" xfId="0" applyFont="1" applyBorder="1" applyAlignment="1">
      <alignment horizontal="left" vertical="center" wrapText="1"/>
    </xf>
    <xf numFmtId="0" fontId="41" fillId="0" borderId="25" xfId="0" applyFont="1" applyBorder="1" applyAlignment="1">
      <alignment horizontal="left" vertical="center" wrapText="1"/>
    </xf>
    <xf numFmtId="0" fontId="42" fillId="0" borderId="25" xfId="0" applyFont="1" applyBorder="1" applyAlignment="1">
      <alignment horizontal="left" vertical="center" wrapText="1"/>
    </xf>
    <xf numFmtId="0" fontId="39" fillId="0" borderId="25" xfId="0" applyFont="1" applyBorder="1" applyAlignment="1">
      <alignment horizontal="left" vertical="center" wrapText="1"/>
    </xf>
    <xf numFmtId="0" fontId="43" fillId="0" borderId="25" xfId="0" applyFont="1" applyBorder="1" applyAlignment="1">
      <alignment horizontal="left" vertical="center" wrapText="1"/>
    </xf>
    <xf numFmtId="2" fontId="39" fillId="0" borderId="23" xfId="0" applyNumberFormat="1" applyFont="1" applyBorder="1" applyAlignment="1">
      <alignment horizontal="center" vertical="center" wrapText="1"/>
    </xf>
    <xf numFmtId="0" fontId="0" fillId="0" borderId="6" xfId="0" applyBorder="1" applyAlignment="1">
      <alignment vertical="center"/>
    </xf>
    <xf numFmtId="0" fontId="0" fillId="0" borderId="6" xfId="0" applyFont="1" applyBorder="1" applyAlignment="1">
      <alignment vertical="center" wrapText="1"/>
    </xf>
    <xf numFmtId="0" fontId="17" fillId="0" borderId="6" xfId="0" applyFont="1" applyBorder="1" applyAlignment="1">
      <alignment wrapText="1"/>
    </xf>
    <xf numFmtId="0" fontId="43" fillId="0" borderId="40" xfId="0" applyFont="1" applyFill="1" applyBorder="1" applyAlignment="1">
      <alignment vertical="center" wrapText="1"/>
    </xf>
    <xf numFmtId="0" fontId="40" fillId="2" borderId="40" xfId="0" applyFont="1" applyFill="1" applyBorder="1" applyAlignment="1">
      <alignment vertical="center" wrapText="1"/>
    </xf>
    <xf numFmtId="0" fontId="5" fillId="9" borderId="6" xfId="0" applyFont="1" applyFill="1" applyBorder="1" applyAlignment="1">
      <alignment horizontal="center" vertical="center"/>
    </xf>
    <xf numFmtId="0" fontId="3" fillId="7" borderId="43" xfId="0" applyFont="1" applyFill="1" applyBorder="1" applyAlignment="1">
      <alignment horizontal="left" vertical="top"/>
    </xf>
    <xf numFmtId="0" fontId="3" fillId="8" borderId="41" xfId="0" applyFont="1" applyFill="1" applyBorder="1" applyAlignment="1">
      <alignment horizontal="left" vertical="top"/>
    </xf>
    <xf numFmtId="2" fontId="0" fillId="0" borderId="9" xfId="0" applyNumberFormat="1" applyFont="1" applyBorder="1" applyAlignment="1">
      <alignment horizontal="center" vertical="center"/>
    </xf>
    <xf numFmtId="0" fontId="20" fillId="0" borderId="55" xfId="0" applyFont="1" applyFill="1" applyBorder="1" applyAlignment="1">
      <alignment vertical="center"/>
    </xf>
    <xf numFmtId="0" fontId="18" fillId="3" borderId="56" xfId="0" applyFont="1" applyFill="1" applyBorder="1" applyAlignment="1">
      <alignment horizontal="center" vertical="center"/>
    </xf>
    <xf numFmtId="0" fontId="0" fillId="0" borderId="43" xfId="0" applyBorder="1" applyAlignment="1">
      <alignment vertical="center"/>
    </xf>
    <xf numFmtId="0" fontId="0" fillId="0" borderId="55" xfId="0" applyFont="1" applyBorder="1" applyAlignment="1">
      <alignment horizontal="center" vertical="center"/>
    </xf>
    <xf numFmtId="0" fontId="0" fillId="2" borderId="57" xfId="0" applyFont="1" applyFill="1" applyBorder="1" applyAlignment="1">
      <alignment horizontal="center" vertical="center"/>
    </xf>
    <xf numFmtId="0" fontId="0" fillId="0" borderId="57" xfId="0" applyFont="1" applyBorder="1" applyAlignment="1">
      <alignment horizontal="center" vertical="center"/>
    </xf>
    <xf numFmtId="0" fontId="0" fillId="0" borderId="58" xfId="0" applyFont="1" applyBorder="1" applyAlignment="1">
      <alignment horizontal="center" vertical="center"/>
    </xf>
    <xf numFmtId="0" fontId="0" fillId="0" borderId="59" xfId="0" applyBorder="1" applyAlignment="1">
      <alignment vertical="center"/>
    </xf>
    <xf numFmtId="2" fontId="0" fillId="0" borderId="43" xfId="0" applyNumberFormat="1" applyFont="1" applyBorder="1" applyAlignment="1">
      <alignment horizontal="center" vertical="center"/>
    </xf>
    <xf numFmtId="2" fontId="0" fillId="2" borderId="9" xfId="0" applyNumberFormat="1" applyFont="1" applyFill="1" applyBorder="1" applyAlignment="1">
      <alignment horizontal="center" vertical="center"/>
    </xf>
    <xf numFmtId="2" fontId="0" fillId="0" borderId="40" xfId="0" applyNumberFormat="1" applyFont="1" applyBorder="1" applyAlignment="1">
      <alignment horizontal="center" vertical="center"/>
    </xf>
    <xf numFmtId="0" fontId="0" fillId="0" borderId="41" xfId="0" applyBorder="1" applyAlignment="1">
      <alignment vertical="center"/>
    </xf>
    <xf numFmtId="1" fontId="0" fillId="0" borderId="41" xfId="0" applyNumberFormat="1" applyFont="1" applyBorder="1" applyAlignment="1">
      <alignment horizontal="center" vertical="center"/>
    </xf>
    <xf numFmtId="1" fontId="0" fillId="2" borderId="60" xfId="0" applyNumberFormat="1" applyFont="1" applyFill="1" applyBorder="1" applyAlignment="1">
      <alignment horizontal="center" vertical="center"/>
    </xf>
    <xf numFmtId="1" fontId="0" fillId="0" borderId="60" xfId="0" applyNumberFormat="1" applyFont="1" applyBorder="1" applyAlignment="1">
      <alignment horizontal="center" vertical="center"/>
    </xf>
    <xf numFmtId="1" fontId="0" fillId="0" borderId="44" xfId="0" applyNumberFormat="1" applyFont="1" applyBorder="1" applyAlignment="1">
      <alignment horizontal="center" vertical="center"/>
    </xf>
    <xf numFmtId="0" fontId="20" fillId="0" borderId="59" xfId="0" applyFont="1" applyFill="1" applyBorder="1" applyAlignment="1">
      <alignment vertical="center"/>
    </xf>
    <xf numFmtId="0" fontId="0" fillId="0" borderId="62" xfId="0" applyBorder="1" applyAlignment="1">
      <alignment vertical="center"/>
    </xf>
    <xf numFmtId="0" fontId="3" fillId="3" borderId="55" xfId="0" applyFont="1" applyFill="1" applyBorder="1" applyAlignment="1">
      <alignment horizontal="left" vertical="top"/>
    </xf>
    <xf numFmtId="0" fontId="3" fillId="3" borderId="58" xfId="0" applyFont="1" applyFill="1" applyBorder="1" applyAlignment="1">
      <alignment horizontal="left" vertical="top"/>
    </xf>
    <xf numFmtId="2" fontId="0" fillId="3" borderId="17" xfId="0" applyNumberFormat="1" applyFill="1" applyBorder="1" applyAlignment="1">
      <alignment horizontal="center" vertical="center"/>
    </xf>
    <xf numFmtId="2" fontId="0" fillId="3" borderId="29" xfId="0" applyNumberFormat="1" applyFill="1" applyBorder="1" applyAlignment="1">
      <alignment horizontal="center" vertical="center"/>
    </xf>
    <xf numFmtId="0" fontId="0" fillId="0" borderId="61" xfId="0" applyBorder="1" applyAlignment="1">
      <alignment vertical="center"/>
    </xf>
    <xf numFmtId="2" fontId="0" fillId="7" borderId="26" xfId="0" applyNumberFormat="1" applyFill="1" applyBorder="1" applyAlignment="1">
      <alignment horizontal="center" vertical="center"/>
    </xf>
    <xf numFmtId="2" fontId="0" fillId="7" borderId="32" xfId="0" applyNumberFormat="1" applyFill="1" applyBorder="1" applyAlignment="1">
      <alignment horizontal="center" vertical="center"/>
    </xf>
    <xf numFmtId="0" fontId="0" fillId="0" borderId="26" xfId="0" applyBorder="1" applyAlignment="1">
      <alignment vertical="center"/>
    </xf>
    <xf numFmtId="0" fontId="3" fillId="8" borderId="40" xfId="0" applyFont="1" applyFill="1" applyBorder="1" applyAlignment="1">
      <alignment horizontal="left" vertical="top"/>
    </xf>
    <xf numFmtId="2" fontId="0" fillId="8" borderId="19" xfId="0" applyNumberFormat="1" applyFill="1" applyBorder="1" applyAlignment="1">
      <alignment horizontal="center" vertical="center"/>
    </xf>
    <xf numFmtId="2" fontId="0" fillId="8" borderId="33" xfId="0" applyNumberFormat="1" applyFill="1" applyBorder="1" applyAlignment="1">
      <alignment horizontal="center" vertical="center"/>
    </xf>
    <xf numFmtId="0" fontId="0" fillId="0" borderId="19" xfId="0" applyBorder="1" applyAlignment="1">
      <alignment vertical="center"/>
    </xf>
    <xf numFmtId="0" fontId="3" fillId="9" borderId="15" xfId="0" applyFont="1" applyFill="1" applyBorder="1" applyAlignment="1">
      <alignment horizontal="left"/>
    </xf>
    <xf numFmtId="0" fontId="3" fillId="9" borderId="44" xfId="0" applyFont="1" applyFill="1" applyBorder="1" applyAlignment="1">
      <alignment horizontal="center"/>
    </xf>
    <xf numFmtId="0" fontId="3" fillId="9" borderId="11" xfId="0" applyFont="1" applyFill="1" applyBorder="1" applyAlignment="1">
      <alignment horizontal="center"/>
    </xf>
    <xf numFmtId="0" fontId="17" fillId="0" borderId="6" xfId="0" applyFont="1" applyBorder="1"/>
    <xf numFmtId="2" fontId="0" fillId="0" borderId="9" xfId="0" applyNumberFormat="1" applyFont="1" applyBorder="1" applyAlignment="1">
      <alignment horizontal="center" vertical="center"/>
    </xf>
    <xf numFmtId="0" fontId="0" fillId="0" borderId="6" xfId="0" applyBorder="1" applyAlignment="1">
      <alignment wrapText="1"/>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15" fontId="17" fillId="0" borderId="22"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0" fontId="44" fillId="0" borderId="25" xfId="0" applyFont="1" applyBorder="1" applyAlignment="1">
      <alignment horizontal="left" vertical="center" wrapText="1"/>
    </xf>
    <xf numFmtId="0" fontId="45" fillId="0" borderId="25" xfId="0" applyFont="1" applyBorder="1" applyAlignment="1">
      <alignment horizontal="left" vertical="center" wrapText="1"/>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15" fontId="17" fillId="0" borderId="22"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0" fontId="3" fillId="7" borderId="43" xfId="0" applyFont="1" applyFill="1" applyBorder="1" applyAlignment="1">
      <alignment horizontal="left" vertical="top"/>
    </xf>
    <xf numFmtId="0" fontId="3" fillId="8" borderId="41" xfId="0" applyFont="1" applyFill="1" applyBorder="1" applyAlignment="1">
      <alignment horizontal="left" vertical="top"/>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0" fontId="46" fillId="0" borderId="25" xfId="0" applyFont="1" applyBorder="1" applyAlignment="1">
      <alignment horizontal="left" vertical="center" wrapText="1"/>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0" fontId="7" fillId="2" borderId="6" xfId="0" applyFont="1" applyFill="1" applyBorder="1" applyAlignment="1">
      <alignment vertical="center" wrapText="1"/>
    </xf>
    <xf numFmtId="2" fontId="0" fillId="0" borderId="9" xfId="0" applyNumberFormat="1" applyFont="1" applyBorder="1" applyAlignment="1">
      <alignment horizontal="center" vertical="center"/>
    </xf>
    <xf numFmtId="0" fontId="37" fillId="2" borderId="6" xfId="0" applyFont="1" applyFill="1" applyBorder="1" applyAlignment="1">
      <alignment vertical="center" wrapText="1"/>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15" fontId="17" fillId="0" borderId="22" xfId="0" applyNumberFormat="1" applyFont="1" applyBorder="1" applyAlignment="1">
      <alignment horizontal="center" vertical="center"/>
    </xf>
    <xf numFmtId="2" fontId="0" fillId="0" borderId="9" xfId="0" applyNumberFormat="1" applyFont="1" applyBorder="1" applyAlignment="1">
      <alignment horizontal="center" vertical="center"/>
    </xf>
    <xf numFmtId="15" fontId="17" fillId="0" borderId="22" xfId="0" applyNumberFormat="1" applyFont="1" applyBorder="1" applyAlignment="1">
      <alignment horizontal="center" vertical="center"/>
    </xf>
    <xf numFmtId="2" fontId="0" fillId="0" borderId="9" xfId="0" applyNumberFormat="1" applyFont="1" applyBorder="1" applyAlignment="1">
      <alignment horizontal="center" vertical="center"/>
    </xf>
    <xf numFmtId="15" fontId="17" fillId="0" borderId="22" xfId="0" applyNumberFormat="1" applyFont="1" applyBorder="1" applyAlignment="1">
      <alignment horizontal="center" vertical="center"/>
    </xf>
    <xf numFmtId="2" fontId="0" fillId="0" borderId="9" xfId="0" applyNumberFormat="1" applyFont="1" applyBorder="1" applyAlignment="1">
      <alignment horizontal="center" vertical="center"/>
    </xf>
    <xf numFmtId="15" fontId="17" fillId="0" borderId="22" xfId="0" applyNumberFormat="1" applyFont="1" applyBorder="1" applyAlignment="1">
      <alignment horizontal="center" vertical="center"/>
    </xf>
    <xf numFmtId="2" fontId="0" fillId="0" borderId="9" xfId="0" applyNumberFormat="1" applyFont="1" applyBorder="1" applyAlignment="1">
      <alignment horizontal="center" vertical="center"/>
    </xf>
    <xf numFmtId="15" fontId="17" fillId="0" borderId="22" xfId="0" applyNumberFormat="1" applyFont="1" applyBorder="1" applyAlignment="1">
      <alignment horizontal="center" vertical="center"/>
    </xf>
    <xf numFmtId="2" fontId="0" fillId="0" borderId="9" xfId="0" applyNumberFormat="1" applyFont="1" applyBorder="1" applyAlignment="1">
      <alignment horizontal="center" vertical="center"/>
    </xf>
    <xf numFmtId="15" fontId="17" fillId="0" borderId="22" xfId="0" applyNumberFormat="1" applyFont="1" applyBorder="1" applyAlignment="1">
      <alignment horizontal="center" vertical="center"/>
    </xf>
    <xf numFmtId="2" fontId="0" fillId="0" borderId="9"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3" fillId="7" borderId="43" xfId="0" applyFont="1" applyFill="1" applyBorder="1" applyAlignment="1">
      <alignment horizontal="left" vertical="top"/>
    </xf>
    <xf numFmtId="0" fontId="3" fillId="8" borderId="41" xfId="0" applyFont="1" applyFill="1" applyBorder="1" applyAlignment="1">
      <alignment horizontal="left" vertical="top"/>
    </xf>
    <xf numFmtId="15" fontId="17" fillId="0" borderId="22"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2" fontId="0" fillId="0" borderId="9" xfId="0" applyNumberFormat="1" applyFont="1" applyBorder="1" applyAlignment="1">
      <alignment horizontal="center" vertical="center"/>
    </xf>
    <xf numFmtId="2" fontId="0" fillId="0" borderId="9"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2" fontId="0" fillId="0" borderId="9" xfId="0" applyNumberFormat="1" applyFont="1" applyBorder="1" applyAlignment="1">
      <alignment horizontal="center" vertical="center"/>
    </xf>
    <xf numFmtId="0" fontId="47" fillId="9" borderId="13" xfId="0" applyFont="1" applyFill="1" applyBorder="1" applyAlignment="1">
      <alignment horizontal="center" vertical="center"/>
    </xf>
    <xf numFmtId="15" fontId="17" fillId="0" borderId="22" xfId="0" applyNumberFormat="1" applyFont="1" applyBorder="1" applyAlignment="1">
      <alignment horizontal="center" vertical="center"/>
    </xf>
    <xf numFmtId="0" fontId="0" fillId="2" borderId="63" xfId="0" applyFont="1" applyFill="1" applyBorder="1" applyAlignment="1">
      <alignment horizontal="center" vertical="center"/>
    </xf>
    <xf numFmtId="2" fontId="0" fillId="2" borderId="7" xfId="0" applyNumberFormat="1" applyFont="1" applyFill="1" applyBorder="1" applyAlignment="1">
      <alignment horizontal="center" vertical="center"/>
    </xf>
    <xf numFmtId="1" fontId="0" fillId="2" borderId="47" xfId="0" applyNumberFormat="1" applyFont="1" applyFill="1" applyBorder="1" applyAlignment="1">
      <alignment horizontal="center" vertical="center"/>
    </xf>
    <xf numFmtId="2" fontId="0" fillId="0" borderId="48" xfId="0" applyNumberFormat="1" applyFont="1" applyBorder="1" applyAlignment="1">
      <alignment horizontal="center" vertical="center"/>
    </xf>
    <xf numFmtId="2" fontId="0" fillId="0" borderId="29" xfId="0" applyNumberFormat="1" applyFont="1" applyBorder="1" applyAlignment="1">
      <alignment horizontal="center" vertical="center"/>
    </xf>
    <xf numFmtId="1" fontId="0" fillId="2" borderId="33" xfId="0" applyNumberFormat="1" applyFont="1"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48" fillId="0" borderId="25" xfId="0" applyFont="1" applyBorder="1" applyAlignment="1">
      <alignment horizontal="left" vertical="center" wrapText="1"/>
    </xf>
    <xf numFmtId="0" fontId="49" fillId="0" borderId="25" xfId="0" applyFont="1" applyBorder="1" applyAlignment="1">
      <alignment horizontal="left" vertical="center" wrapText="1"/>
    </xf>
    <xf numFmtId="15" fontId="17" fillId="0" borderId="22" xfId="0" applyNumberFormat="1" applyFont="1" applyBorder="1" applyAlignment="1">
      <alignment horizontal="center" vertical="center"/>
    </xf>
    <xf numFmtId="0" fontId="50" fillId="2" borderId="25" xfId="0" applyFont="1" applyFill="1" applyBorder="1" applyAlignment="1">
      <alignment horizontal="left" vertical="center" wrapText="1"/>
    </xf>
    <xf numFmtId="15" fontId="17" fillId="0" borderId="22" xfId="0" applyNumberFormat="1" applyFont="1" applyBorder="1" applyAlignment="1">
      <alignment horizontal="center" vertical="center"/>
    </xf>
    <xf numFmtId="0" fontId="51" fillId="2" borderId="25" xfId="0" applyFont="1" applyFill="1" applyBorder="1" applyAlignment="1">
      <alignment horizontal="left" vertical="center" wrapText="1"/>
    </xf>
    <xf numFmtId="15" fontId="17" fillId="0" borderId="22" xfId="0" applyNumberFormat="1" applyFont="1" applyBorder="1" applyAlignment="1">
      <alignment horizontal="center" vertical="center"/>
    </xf>
    <xf numFmtId="0" fontId="7" fillId="2" borderId="6" xfId="0" applyFont="1" applyFill="1" applyBorder="1" applyAlignment="1">
      <alignment horizontal="center" vertical="center" wrapText="1"/>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3" fillId="7" borderId="43" xfId="0" applyFont="1" applyFill="1" applyBorder="1" applyAlignment="1">
      <alignment horizontal="left" vertical="top"/>
    </xf>
    <xf numFmtId="0" fontId="3" fillId="8" borderId="41" xfId="0" applyFont="1" applyFill="1" applyBorder="1" applyAlignment="1">
      <alignment horizontal="left" vertical="top"/>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18" fillId="3" borderId="64" xfId="0" applyFont="1" applyFill="1" applyBorder="1" applyAlignment="1">
      <alignment horizontal="center" vertical="center"/>
    </xf>
    <xf numFmtId="0" fontId="18" fillId="3" borderId="13" xfId="0" applyFont="1"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0" fillId="2" borderId="29" xfId="0" applyFont="1" applyFill="1" applyBorder="1" applyAlignment="1">
      <alignment horizontal="center" vertical="center"/>
    </xf>
    <xf numFmtId="2" fontId="0" fillId="2" borderId="32" xfId="0" applyNumberFormat="1" applyFont="1"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2" fontId="0" fillId="2" borderId="29" xfId="0" applyNumberFormat="1" applyFont="1"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3" fillId="7" borderId="43" xfId="0" applyFont="1" applyFill="1" applyBorder="1" applyAlignment="1">
      <alignment horizontal="left" vertical="top"/>
    </xf>
    <xf numFmtId="0" fontId="3" fillId="8" borderId="41" xfId="0" applyFont="1" applyFill="1" applyBorder="1" applyAlignment="1">
      <alignment horizontal="left" vertical="top"/>
    </xf>
    <xf numFmtId="15" fontId="17" fillId="0" borderId="22" xfId="0" applyNumberFormat="1" applyFont="1" applyBorder="1" applyAlignment="1">
      <alignment horizontal="center" vertical="center"/>
    </xf>
    <xf numFmtId="0" fontId="0" fillId="2" borderId="55" xfId="0" applyFont="1" applyFill="1" applyBorder="1" applyAlignment="1">
      <alignment horizontal="center" vertical="center"/>
    </xf>
    <xf numFmtId="2" fontId="0" fillId="2" borderId="43" xfId="0" applyNumberFormat="1" applyFont="1" applyFill="1" applyBorder="1" applyAlignment="1">
      <alignment horizontal="center" vertical="center"/>
    </xf>
    <xf numFmtId="1" fontId="0" fillId="2" borderId="41" xfId="0" applyNumberFormat="1" applyFont="1"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0" fontId="20" fillId="9" borderId="0" xfId="0" applyFont="1" applyFill="1"/>
    <xf numFmtId="15" fontId="20" fillId="9" borderId="22" xfId="0" applyNumberFormat="1" applyFont="1" applyFill="1" applyBorder="1" applyAlignment="1">
      <alignment horizontal="center" vertical="center"/>
    </xf>
    <xf numFmtId="20" fontId="20" fillId="9" borderId="6" xfId="0" quotePrefix="1" applyNumberFormat="1" applyFont="1" applyFill="1" applyBorder="1" applyAlignment="1">
      <alignment horizontal="center" vertical="center"/>
    </xf>
    <xf numFmtId="164" fontId="18" fillId="9" borderId="9" xfId="0" quotePrefix="1" applyNumberFormat="1" applyFont="1" applyFill="1" applyBorder="1" applyAlignment="1">
      <alignment horizontal="center" vertical="center"/>
    </xf>
    <xf numFmtId="164" fontId="18" fillId="9" borderId="7" xfId="0" quotePrefix="1" applyNumberFormat="1" applyFont="1" applyFill="1" applyBorder="1" applyAlignment="1">
      <alignment horizontal="center" vertical="center"/>
    </xf>
    <xf numFmtId="164" fontId="18" fillId="9" borderId="8" xfId="0" quotePrefix="1" applyNumberFormat="1" applyFont="1" applyFill="1" applyBorder="1" applyAlignment="1">
      <alignment horizontal="center" vertical="center"/>
    </xf>
    <xf numFmtId="49" fontId="20" fillId="9" borderId="6" xfId="0" applyNumberFormat="1" applyFont="1" applyFill="1" applyBorder="1" applyAlignment="1">
      <alignment horizontal="center" vertical="center"/>
    </xf>
    <xf numFmtId="2" fontId="20" fillId="9" borderId="6" xfId="0" applyNumberFormat="1" applyFont="1" applyFill="1" applyBorder="1" applyAlignment="1">
      <alignment horizontal="center" vertical="center"/>
    </xf>
    <xf numFmtId="0" fontId="32" fillId="9" borderId="25" xfId="0" applyFont="1" applyFill="1" applyBorder="1" applyAlignment="1">
      <alignment horizontal="left" vertical="center" wrapText="1"/>
    </xf>
    <xf numFmtId="0" fontId="0" fillId="9" borderId="0" xfId="0" applyFill="1" applyAlignment="1">
      <alignment horizontal="center" vertical="center"/>
    </xf>
    <xf numFmtId="0" fontId="0" fillId="9" borderId="0" xfId="0" applyFill="1"/>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0" fontId="18" fillId="3" borderId="2" xfId="0" applyFont="1" applyFill="1" applyBorder="1" applyAlignment="1">
      <alignment horizontal="center" vertical="center"/>
    </xf>
    <xf numFmtId="0" fontId="0" fillId="0" borderId="16" xfId="0" applyFont="1" applyBorder="1" applyAlignment="1">
      <alignment horizontal="center" vertical="center"/>
    </xf>
    <xf numFmtId="2" fontId="0" fillId="0" borderId="30" xfId="0" applyNumberFormat="1" applyFont="1" applyBorder="1" applyAlignment="1">
      <alignment horizontal="center" vertical="center"/>
    </xf>
    <xf numFmtId="2" fontId="20" fillId="0" borderId="6" xfId="0" quotePrefix="1"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0" fontId="20" fillId="0" borderId="6" xfId="0" applyFont="1" applyBorder="1" applyAlignment="1">
      <alignment wrapText="1"/>
    </xf>
    <xf numFmtId="0" fontId="0" fillId="2" borderId="6" xfId="0" applyFont="1" applyFill="1" applyBorder="1" applyAlignment="1">
      <alignment horizontal="center" wrapText="1"/>
    </xf>
    <xf numFmtId="0" fontId="3" fillId="7" borderId="43" xfId="0" applyFont="1" applyFill="1" applyBorder="1" applyAlignment="1">
      <alignment horizontal="left" vertical="top"/>
    </xf>
    <xf numFmtId="0" fontId="3" fillId="8" borderId="41" xfId="0" applyFont="1" applyFill="1" applyBorder="1" applyAlignment="1">
      <alignment horizontal="left" vertical="top"/>
    </xf>
    <xf numFmtId="0" fontId="33" fillId="0" borderId="40" xfId="0" applyFont="1" applyBorder="1" applyAlignment="1">
      <alignment horizontal="left" vertical="center" wrapText="1"/>
    </xf>
    <xf numFmtId="15" fontId="20" fillId="0" borderId="22" xfId="0" applyNumberFormat="1" applyFont="1" applyBorder="1" applyAlignment="1">
      <alignment horizontal="center" vertical="center"/>
    </xf>
    <xf numFmtId="0" fontId="0" fillId="2" borderId="6" xfId="0" applyFont="1" applyFill="1" applyBorder="1" applyAlignment="1">
      <alignment vertical="center" wrapText="1"/>
    </xf>
    <xf numFmtId="0" fontId="0" fillId="2" borderId="17" xfId="0" applyFont="1" applyFill="1" applyBorder="1" applyAlignment="1">
      <alignment horizontal="center" vertical="center"/>
    </xf>
    <xf numFmtId="1" fontId="0" fillId="2" borderId="48" xfId="0" applyNumberFormat="1" applyFont="1" applyFill="1" applyBorder="1" applyAlignment="1">
      <alignment horizontal="center" vertical="center"/>
    </xf>
    <xf numFmtId="0" fontId="0" fillId="2" borderId="8" xfId="0" applyFont="1" applyFill="1" applyBorder="1" applyAlignment="1">
      <alignment horizontal="center" vertical="center"/>
    </xf>
    <xf numFmtId="2" fontId="0" fillId="2" borderId="31" xfId="0" applyNumberFormat="1" applyFont="1" applyFill="1" applyBorder="1" applyAlignment="1">
      <alignment horizontal="center" vertical="center"/>
    </xf>
    <xf numFmtId="0" fontId="0" fillId="2" borderId="13" xfId="0" applyFont="1" applyFill="1" applyBorder="1" applyAlignment="1">
      <alignment horizontal="center" vertical="center"/>
    </xf>
    <xf numFmtId="20" fontId="39" fillId="0" borderId="22" xfId="0" applyNumberFormat="1" applyFont="1" applyBorder="1" applyAlignment="1">
      <alignment horizontal="center" vertical="center"/>
    </xf>
    <xf numFmtId="2" fontId="47" fillId="0" borderId="6" xfId="0" applyNumberFormat="1" applyFont="1" applyFill="1" applyBorder="1" applyAlignment="1">
      <alignment horizontal="center" vertical="center" wrapText="1"/>
    </xf>
    <xf numFmtId="0" fontId="34" fillId="0" borderId="6" xfId="0" applyFont="1" applyBorder="1" applyAlignment="1">
      <alignment wrapText="1"/>
    </xf>
    <xf numFmtId="2" fontId="0" fillId="2" borderId="6" xfId="0" applyNumberFormat="1" applyFill="1" applyBorder="1" applyAlignment="1">
      <alignment horizontal="center" vertical="center"/>
    </xf>
    <xf numFmtId="0" fontId="3" fillId="7" borderId="43" xfId="0" applyFont="1" applyFill="1" applyBorder="1" applyAlignment="1">
      <alignment horizontal="left" vertical="top"/>
    </xf>
    <xf numFmtId="0" fontId="3" fillId="8" borderId="41" xfId="0" applyFont="1" applyFill="1" applyBorder="1" applyAlignment="1">
      <alignment horizontal="left" vertical="top"/>
    </xf>
    <xf numFmtId="20" fontId="0" fillId="0" borderId="23" xfId="0" quotePrefix="1" applyNumberFormat="1" applyFont="1" applyBorder="1" applyAlignment="1">
      <alignment horizontal="center" vertical="center"/>
    </xf>
    <xf numFmtId="164" fontId="0" fillId="0" borderId="23" xfId="0" applyNumberFormat="1" applyFont="1" applyBorder="1" applyAlignment="1" applyProtection="1">
      <alignment horizontal="center" vertical="center"/>
      <protection locked="0"/>
    </xf>
    <xf numFmtId="0" fontId="0" fillId="0" borderId="23" xfId="0" quotePrefix="1" applyNumberFormat="1" applyFont="1" applyBorder="1" applyAlignment="1">
      <alignment horizontal="center" vertical="center"/>
    </xf>
    <xf numFmtId="164" fontId="0" fillId="0" borderId="23" xfId="0" applyNumberFormat="1" applyFont="1" applyBorder="1" applyAlignment="1">
      <alignment horizontal="center" vertical="center"/>
    </xf>
    <xf numFmtId="2" fontId="0" fillId="0" borderId="23" xfId="0" applyNumberFormat="1" applyFont="1" applyBorder="1" applyAlignment="1">
      <alignment horizontal="center" vertical="center"/>
    </xf>
    <xf numFmtId="49" fontId="0" fillId="0" borderId="23" xfId="0" applyNumberFormat="1" applyBorder="1" applyAlignment="1">
      <alignment horizontal="center" vertical="center"/>
    </xf>
    <xf numFmtId="0" fontId="0" fillId="2" borderId="6" xfId="0" applyFont="1" applyFill="1" applyBorder="1" applyAlignment="1">
      <alignment horizontal="center" vertical="center"/>
    </xf>
    <xf numFmtId="15" fontId="17" fillId="0" borderId="22" xfId="0" applyNumberFormat="1" applyFont="1" applyBorder="1" applyAlignment="1">
      <alignment horizontal="center" vertical="center"/>
    </xf>
    <xf numFmtId="0" fontId="20" fillId="2" borderId="6" xfId="0" applyFont="1" applyFill="1" applyBorder="1" applyAlignment="1">
      <alignment wrapText="1"/>
    </xf>
    <xf numFmtId="0" fontId="3" fillId="7" borderId="43" xfId="0" applyFont="1" applyFill="1" applyBorder="1" applyAlignment="1">
      <alignment horizontal="left" vertical="top"/>
    </xf>
    <xf numFmtId="0" fontId="3" fillId="8" borderId="41" xfId="0" applyFont="1" applyFill="1" applyBorder="1" applyAlignment="1">
      <alignment horizontal="left" vertical="top"/>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2" fontId="0" fillId="2" borderId="13" xfId="0" applyNumberFormat="1" applyFont="1" applyFill="1" applyBorder="1" applyAlignment="1">
      <alignment horizontal="center" vertical="center"/>
    </xf>
    <xf numFmtId="1" fontId="0" fillId="2" borderId="18" xfId="0" applyNumberFormat="1" applyFont="1" applyFill="1" applyBorder="1" applyAlignment="1">
      <alignment horizontal="center" vertical="center"/>
    </xf>
    <xf numFmtId="2" fontId="0" fillId="2" borderId="30" xfId="0" applyNumberFormat="1" applyFont="1" applyFill="1" applyBorder="1" applyAlignment="1">
      <alignment horizontal="center" vertical="center"/>
    </xf>
    <xf numFmtId="1" fontId="0" fillId="2" borderId="13" xfId="0" applyNumberFormat="1" applyFont="1" applyFill="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0" fontId="20" fillId="2" borderId="6" xfId="0" applyFont="1" applyFill="1" applyBorder="1" applyAlignment="1">
      <alignment horizontal="center" vertical="center" wrapText="1"/>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0" fontId="3" fillId="7" borderId="43" xfId="0" applyFont="1" applyFill="1" applyBorder="1" applyAlignment="1">
      <alignment horizontal="left" vertical="top"/>
    </xf>
    <xf numFmtId="0" fontId="3" fillId="8" borderId="41" xfId="0" applyFont="1" applyFill="1" applyBorder="1" applyAlignment="1">
      <alignment horizontal="left" vertical="top"/>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0" fontId="0" fillId="2" borderId="6" xfId="0" applyFont="1" applyFill="1" applyBorder="1" applyAlignment="1">
      <alignment wrapText="1"/>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20"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58" fillId="0" borderId="22" xfId="0" applyNumberFormat="1" applyFont="1" applyBorder="1" applyAlignment="1">
      <alignment horizontal="center" vertical="center"/>
    </xf>
    <xf numFmtId="20" fontId="58" fillId="0" borderId="6" xfId="0" quotePrefix="1" applyNumberFormat="1" applyFont="1" applyBorder="1" applyAlignment="1">
      <alignment horizontal="center" vertical="center"/>
    </xf>
    <xf numFmtId="164" fontId="58" fillId="0" borderId="6" xfId="0" quotePrefix="1" applyNumberFormat="1" applyFont="1" applyBorder="1" applyAlignment="1">
      <alignment horizontal="center" vertical="center"/>
    </xf>
    <xf numFmtId="0" fontId="58" fillId="0" borderId="6" xfId="0" quotePrefix="1" applyNumberFormat="1" applyFont="1" applyBorder="1" applyAlignment="1">
      <alignment horizontal="center" vertical="center"/>
    </xf>
    <xf numFmtId="2" fontId="58" fillId="0" borderId="6" xfId="0" quotePrefix="1" applyNumberFormat="1" applyFont="1" applyBorder="1" applyAlignment="1">
      <alignment horizontal="center" vertical="center"/>
    </xf>
    <xf numFmtId="2" fontId="58" fillId="0" borderId="6" xfId="0" applyNumberFormat="1" applyFont="1" applyBorder="1" applyAlignment="1">
      <alignment horizontal="center" vertical="center"/>
    </xf>
    <xf numFmtId="49" fontId="58" fillId="0" borderId="6"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59" fillId="2" borderId="6" xfId="0" applyFont="1" applyFill="1" applyBorder="1" applyAlignment="1">
      <alignment horizontal="center" vertical="center" wrapText="1"/>
    </xf>
    <xf numFmtId="0" fontId="47" fillId="0" borderId="25" xfId="0" applyFont="1" applyBorder="1" applyAlignment="1">
      <alignment horizontal="center" vertical="center" wrapText="1"/>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60" fillId="2" borderId="6" xfId="0" applyFont="1" applyFill="1" applyBorder="1" applyAlignment="1">
      <alignment horizontal="center" vertical="center" wrapText="1"/>
    </xf>
    <xf numFmtId="0" fontId="60" fillId="2" borderId="6" xfId="0" applyFont="1" applyFill="1" applyBorder="1" applyAlignment="1">
      <alignment horizontal="center" vertical="center" wrapText="1"/>
    </xf>
    <xf numFmtId="15" fontId="17" fillId="0" borderId="22" xfId="0" applyNumberFormat="1" applyFont="1" applyBorder="1" applyAlignment="1">
      <alignment horizontal="center" vertical="center"/>
    </xf>
    <xf numFmtId="0" fontId="60" fillId="2" borderId="6" xfId="0" applyFont="1" applyFill="1" applyBorder="1" applyAlignment="1">
      <alignment horizontal="center" vertical="center" wrapText="1"/>
    </xf>
    <xf numFmtId="15" fontId="17" fillId="0" borderId="22" xfId="0" applyNumberFormat="1" applyFont="1" applyBorder="1" applyAlignment="1">
      <alignment horizontal="center" vertical="center"/>
    </xf>
    <xf numFmtId="0" fontId="60" fillId="2" borderId="6" xfId="0" applyFont="1" applyFill="1" applyBorder="1" applyAlignment="1">
      <alignment horizontal="center" vertical="center" wrapText="1"/>
    </xf>
    <xf numFmtId="15" fontId="0" fillId="12" borderId="6" xfId="0" applyNumberFormat="1" applyFill="1" applyBorder="1" applyAlignment="1">
      <alignment horizontal="center" vertical="center"/>
    </xf>
    <xf numFmtId="20" fontId="0" fillId="12" borderId="6" xfId="0" applyNumberFormat="1" applyFill="1" applyBorder="1" applyAlignment="1">
      <alignment horizontal="center" vertical="center"/>
    </xf>
    <xf numFmtId="15" fontId="17" fillId="0" borderId="22" xfId="0" applyNumberFormat="1" applyFont="1" applyBorder="1" applyAlignment="1">
      <alignment horizontal="center" vertical="center"/>
    </xf>
    <xf numFmtId="0" fontId="60" fillId="2" borderId="6" xfId="0" applyFont="1" applyFill="1" applyBorder="1" applyAlignment="1">
      <alignment horizontal="center" vertical="center" wrapText="1"/>
    </xf>
    <xf numFmtId="15" fontId="17" fillId="0" borderId="22" xfId="0" applyNumberFormat="1" applyFont="1" applyBorder="1" applyAlignment="1">
      <alignment horizontal="center" vertical="center"/>
    </xf>
    <xf numFmtId="0" fontId="60" fillId="2" borderId="6" xfId="0" applyFont="1" applyFill="1" applyBorder="1" applyAlignment="1">
      <alignment horizontal="center" vertical="center" wrapText="1"/>
    </xf>
    <xf numFmtId="15" fontId="17" fillId="0" borderId="22" xfId="0" applyNumberFormat="1" applyFont="1" applyBorder="1" applyAlignment="1">
      <alignment horizontal="center" vertical="center"/>
    </xf>
    <xf numFmtId="0" fontId="60" fillId="2" borderId="6" xfId="0" applyFont="1" applyFill="1" applyBorder="1" applyAlignment="1">
      <alignment horizontal="center" vertical="center" wrapText="1"/>
    </xf>
    <xf numFmtId="15" fontId="17" fillId="0" borderId="22" xfId="0" applyNumberFormat="1" applyFont="1" applyBorder="1" applyAlignment="1">
      <alignment horizontal="center" vertical="center"/>
    </xf>
    <xf numFmtId="0" fontId="60" fillId="2" borderId="6" xfId="0" applyFont="1" applyFill="1" applyBorder="1" applyAlignment="1">
      <alignment horizontal="center" vertical="center" wrapText="1"/>
    </xf>
    <xf numFmtId="15" fontId="17" fillId="0" borderId="22" xfId="0" applyNumberFormat="1" applyFont="1" applyBorder="1" applyAlignment="1">
      <alignment horizontal="center" vertical="center"/>
    </xf>
    <xf numFmtId="0" fontId="60" fillId="2" borderId="6" xfId="0" applyFont="1" applyFill="1" applyBorder="1" applyAlignment="1">
      <alignment horizontal="center" vertical="center" wrapText="1"/>
    </xf>
    <xf numFmtId="15" fontId="17" fillId="0" borderId="22" xfId="0" applyNumberFormat="1" applyFont="1" applyBorder="1" applyAlignment="1">
      <alignment horizontal="center" vertical="center"/>
    </xf>
    <xf numFmtId="0" fontId="60" fillId="2" borderId="6" xfId="0" applyFont="1" applyFill="1" applyBorder="1" applyAlignment="1">
      <alignment horizontal="center" vertical="center" wrapText="1"/>
    </xf>
    <xf numFmtId="15" fontId="17" fillId="0" borderId="22" xfId="0" applyNumberFormat="1" applyFont="1" applyBorder="1" applyAlignment="1">
      <alignment horizontal="center" vertical="center"/>
    </xf>
    <xf numFmtId="0" fontId="60" fillId="2" borderId="6" xfId="0" applyFont="1" applyFill="1" applyBorder="1" applyAlignment="1">
      <alignment horizontal="center" vertical="center" wrapText="1"/>
    </xf>
    <xf numFmtId="15" fontId="17" fillId="0" borderId="22" xfId="0" applyNumberFormat="1" applyFont="1" applyBorder="1" applyAlignment="1">
      <alignment horizontal="center" vertical="center"/>
    </xf>
    <xf numFmtId="0" fontId="60" fillId="2" borderId="6" xfId="0" applyFont="1" applyFill="1" applyBorder="1" applyAlignment="1">
      <alignment horizontal="center" vertical="center" wrapText="1"/>
    </xf>
    <xf numFmtId="15" fontId="17" fillId="0" borderId="22" xfId="0" applyNumberFormat="1" applyFont="1" applyBorder="1" applyAlignment="1">
      <alignment horizontal="center" vertical="center"/>
    </xf>
    <xf numFmtId="0" fontId="60" fillId="2" borderId="6" xfId="0" applyFont="1" applyFill="1" applyBorder="1" applyAlignment="1">
      <alignment horizontal="center" vertical="center" wrapText="1"/>
    </xf>
    <xf numFmtId="15" fontId="0" fillId="13" borderId="6" xfId="0" applyNumberFormat="1" applyFill="1" applyBorder="1" applyAlignment="1">
      <alignment horizontal="center" vertical="center"/>
    </xf>
    <xf numFmtId="20" fontId="0" fillId="13" borderId="6" xfId="0" applyNumberFormat="1" applyFill="1" applyBorder="1" applyAlignment="1">
      <alignment horizontal="center" vertical="center"/>
    </xf>
    <xf numFmtId="15" fontId="17" fillId="0" borderId="22" xfId="0" applyNumberFormat="1" applyFont="1" applyBorder="1" applyAlignment="1">
      <alignment horizontal="center" vertical="center"/>
    </xf>
    <xf numFmtId="0" fontId="60" fillId="2" borderId="6" xfId="0" applyFont="1" applyFill="1" applyBorder="1" applyAlignment="1">
      <alignment horizontal="center" vertical="center" wrapText="1"/>
    </xf>
    <xf numFmtId="15" fontId="17" fillId="0" borderId="22" xfId="0" applyNumberFormat="1" applyFont="1" applyBorder="1" applyAlignment="1">
      <alignment horizontal="center" vertical="center"/>
    </xf>
    <xf numFmtId="0" fontId="60" fillId="2" borderId="6" xfId="0" applyFont="1" applyFill="1" applyBorder="1" applyAlignment="1">
      <alignment horizontal="center" vertical="center" wrapText="1"/>
    </xf>
    <xf numFmtId="15" fontId="17" fillId="0" borderId="22" xfId="0" applyNumberFormat="1" applyFont="1" applyBorder="1" applyAlignment="1">
      <alignment horizontal="center" vertical="center"/>
    </xf>
    <xf numFmtId="0" fontId="60" fillId="2" borderId="6" xfId="0" applyFont="1" applyFill="1" applyBorder="1" applyAlignment="1">
      <alignment horizontal="center" vertical="center" wrapText="1"/>
    </xf>
    <xf numFmtId="15" fontId="17" fillId="0" borderId="22" xfId="0" applyNumberFormat="1" applyFont="1" applyBorder="1" applyAlignment="1">
      <alignment horizontal="center" vertical="center"/>
    </xf>
    <xf numFmtId="0" fontId="60" fillId="2" borderId="6" xfId="0" applyFont="1" applyFill="1" applyBorder="1" applyAlignment="1">
      <alignment horizontal="center" vertical="center" wrapText="1"/>
    </xf>
    <xf numFmtId="15" fontId="17" fillId="0" borderId="22" xfId="0" applyNumberFormat="1" applyFont="1" applyBorder="1" applyAlignment="1">
      <alignment horizontal="center" vertical="center"/>
    </xf>
    <xf numFmtId="0" fontId="60" fillId="2" borderId="6" xfId="0" applyFont="1" applyFill="1" applyBorder="1" applyAlignment="1">
      <alignment horizontal="center" vertical="center" wrapText="1"/>
    </xf>
    <xf numFmtId="15" fontId="17" fillId="0" borderId="22" xfId="0" applyNumberFormat="1" applyFont="1" applyBorder="1" applyAlignment="1">
      <alignment horizontal="center" vertical="center"/>
    </xf>
    <xf numFmtId="0" fontId="60" fillId="2" borderId="6" xfId="0" applyFont="1" applyFill="1" applyBorder="1" applyAlignment="1">
      <alignment horizontal="center" vertical="center" wrapText="1"/>
    </xf>
    <xf numFmtId="15" fontId="17" fillId="0" borderId="22" xfId="0" applyNumberFormat="1" applyFont="1" applyBorder="1" applyAlignment="1">
      <alignment horizontal="center" vertical="center"/>
    </xf>
    <xf numFmtId="0" fontId="60" fillId="2" borderId="6" xfId="0" applyFont="1" applyFill="1" applyBorder="1" applyAlignment="1">
      <alignment horizontal="center" vertical="center" wrapText="1"/>
    </xf>
    <xf numFmtId="15" fontId="17" fillId="0" borderId="22" xfId="0" applyNumberFormat="1" applyFont="1" applyBorder="1" applyAlignment="1">
      <alignment horizontal="center" vertical="center"/>
    </xf>
    <xf numFmtId="0" fontId="60" fillId="2" borderId="6" xfId="0" applyFont="1" applyFill="1" applyBorder="1" applyAlignment="1">
      <alignment horizontal="center" vertical="center" wrapText="1"/>
    </xf>
    <xf numFmtId="0" fontId="3" fillId="7" borderId="43" xfId="0" applyFont="1" applyFill="1" applyBorder="1" applyAlignment="1">
      <alignment horizontal="left" vertical="top"/>
    </xf>
    <xf numFmtId="0" fontId="3" fillId="8" borderId="41" xfId="0" applyFont="1" applyFill="1" applyBorder="1" applyAlignment="1">
      <alignment horizontal="left" vertical="top"/>
    </xf>
    <xf numFmtId="15" fontId="17" fillId="0" borderId="22" xfId="0" applyNumberFormat="1" applyFont="1" applyBorder="1" applyAlignment="1">
      <alignment horizontal="center" vertical="center"/>
    </xf>
    <xf numFmtId="0" fontId="60" fillId="2" borderId="6" xfId="0" applyFont="1" applyFill="1" applyBorder="1" applyAlignment="1">
      <alignment horizontal="center" vertical="center" wrapText="1"/>
    </xf>
    <xf numFmtId="15" fontId="17" fillId="0" borderId="22" xfId="0" applyNumberFormat="1" applyFont="1" applyBorder="1" applyAlignment="1">
      <alignment horizontal="center" vertical="center"/>
    </xf>
    <xf numFmtId="0" fontId="60" fillId="2" borderId="6" xfId="0" applyFont="1" applyFill="1" applyBorder="1" applyAlignment="1">
      <alignment horizontal="center" vertical="center" wrapText="1"/>
    </xf>
    <xf numFmtId="15" fontId="17" fillId="0" borderId="22" xfId="0" applyNumberFormat="1" applyFont="1" applyBorder="1" applyAlignment="1">
      <alignment horizontal="center" vertical="center"/>
    </xf>
    <xf numFmtId="0" fontId="60" fillId="2" borderId="6" xfId="0" applyFont="1" applyFill="1" applyBorder="1" applyAlignment="1">
      <alignment horizontal="center" vertical="center" wrapText="1"/>
    </xf>
    <xf numFmtId="15" fontId="17" fillId="0" borderId="22" xfId="0" applyNumberFormat="1" applyFont="1" applyBorder="1" applyAlignment="1">
      <alignment horizontal="center" vertical="center"/>
    </xf>
    <xf numFmtId="0" fontId="60" fillId="2" borderId="6" xfId="0" applyFont="1" applyFill="1" applyBorder="1" applyAlignment="1">
      <alignment horizontal="center" vertical="center" wrapText="1"/>
    </xf>
    <xf numFmtId="15" fontId="17" fillId="0" borderId="22" xfId="0" applyNumberFormat="1" applyFont="1" applyBorder="1" applyAlignment="1">
      <alignment horizontal="center" vertical="center"/>
    </xf>
    <xf numFmtId="0" fontId="60" fillId="2" borderId="6" xfId="0" applyFont="1" applyFill="1" applyBorder="1" applyAlignment="1">
      <alignment horizontal="center" vertical="center" wrapText="1"/>
    </xf>
    <xf numFmtId="15" fontId="17" fillId="0" borderId="22" xfId="0" applyNumberFormat="1" applyFont="1" applyBorder="1" applyAlignment="1">
      <alignment horizontal="center" vertical="center"/>
    </xf>
    <xf numFmtId="0" fontId="60" fillId="2" borderId="6" xfId="0" applyFont="1" applyFill="1" applyBorder="1" applyAlignment="1">
      <alignment horizontal="center" vertical="center" wrapText="1"/>
    </xf>
    <xf numFmtId="15" fontId="17" fillId="0" borderId="22" xfId="0" applyNumberFormat="1" applyFont="1" applyBorder="1" applyAlignment="1">
      <alignment horizontal="center" vertical="center"/>
    </xf>
    <xf numFmtId="0" fontId="60" fillId="2" borderId="6" xfId="0" applyFont="1" applyFill="1" applyBorder="1" applyAlignment="1">
      <alignment horizontal="center" vertical="center" wrapText="1"/>
    </xf>
    <xf numFmtId="15" fontId="17" fillId="0" borderId="22" xfId="0" applyNumberFormat="1" applyFont="1" applyBorder="1" applyAlignment="1">
      <alignment horizontal="center" vertical="center"/>
    </xf>
    <xf numFmtId="0" fontId="3" fillId="7" borderId="43" xfId="0" applyFont="1" applyFill="1" applyBorder="1" applyAlignment="1">
      <alignment horizontal="left" vertical="top"/>
    </xf>
    <xf numFmtId="0" fontId="3" fillId="8" borderId="41" xfId="0" applyFont="1" applyFill="1" applyBorder="1" applyAlignment="1">
      <alignment horizontal="left" vertical="top"/>
    </xf>
    <xf numFmtId="15" fontId="17" fillId="0" borderId="22" xfId="0" applyNumberFormat="1" applyFont="1" applyBorder="1" applyAlignment="1">
      <alignment horizontal="center" vertical="center"/>
    </xf>
    <xf numFmtId="166" fontId="0" fillId="2" borderId="6" xfId="0" applyNumberFormat="1" applyFill="1" applyBorder="1" applyAlignment="1">
      <alignment horizontal="center" vertical="center"/>
    </xf>
    <xf numFmtId="16" fontId="58" fillId="0" borderId="6" xfId="0" quotePrefix="1" applyNumberFormat="1" applyFont="1" applyBorder="1" applyAlignment="1">
      <alignment horizontal="center" vertical="center"/>
    </xf>
    <xf numFmtId="0" fontId="0" fillId="2" borderId="6" xfId="0" applyFill="1" applyBorder="1" applyAlignment="1">
      <alignment horizontal="center" vertical="center"/>
    </xf>
    <xf numFmtId="0" fontId="0" fillId="2" borderId="6" xfId="0" applyFill="1" applyBorder="1" applyAlignment="1">
      <alignment horizontal="center" vertical="center"/>
    </xf>
    <xf numFmtId="0" fontId="0" fillId="2" borderId="6" xfId="0" applyFill="1" applyBorder="1" applyAlignment="1">
      <alignment horizontal="center" vertical="center"/>
    </xf>
    <xf numFmtId="0" fontId="0" fillId="2" borderId="6" xfId="0" applyFill="1" applyBorder="1" applyAlignment="1">
      <alignment horizontal="center" vertical="center"/>
    </xf>
    <xf numFmtId="0" fontId="0" fillId="2" borderId="6" xfId="0" applyFill="1" applyBorder="1" applyAlignment="1">
      <alignment horizontal="center" vertical="center"/>
    </xf>
    <xf numFmtId="0" fontId="0" fillId="2" borderId="6" xfId="0" applyFill="1" applyBorder="1" applyAlignment="1">
      <alignment horizontal="center" vertical="center"/>
    </xf>
    <xf numFmtId="0" fontId="0" fillId="2" borderId="6" xfId="0" applyFill="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0" fontId="0" fillId="2" borderId="6" xfId="0" applyFill="1" applyBorder="1" applyAlignment="1">
      <alignment horizontal="center" vertical="center"/>
    </xf>
    <xf numFmtId="0" fontId="3" fillId="7" borderId="43" xfId="0" applyFont="1" applyFill="1" applyBorder="1" applyAlignment="1">
      <alignment horizontal="left" vertical="top"/>
    </xf>
    <xf numFmtId="0" fontId="3" fillId="8" borderId="41" xfId="0" applyFont="1" applyFill="1" applyBorder="1" applyAlignment="1">
      <alignment horizontal="left" vertical="top"/>
    </xf>
    <xf numFmtId="0" fontId="0" fillId="2" borderId="6" xfId="0" applyFill="1" applyBorder="1" applyAlignment="1">
      <alignment horizontal="center" vertical="center"/>
    </xf>
    <xf numFmtId="0" fontId="0" fillId="2" borderId="6" xfId="0" applyFill="1" applyBorder="1" applyAlignment="1">
      <alignment horizontal="center" vertical="center"/>
    </xf>
    <xf numFmtId="0" fontId="0" fillId="2" borderId="6" xfId="0" applyFill="1" applyBorder="1" applyAlignment="1">
      <alignment horizontal="center" vertical="center"/>
    </xf>
    <xf numFmtId="0" fontId="0" fillId="2" borderId="6" xfId="0" applyFill="1" applyBorder="1" applyAlignment="1">
      <alignment horizontal="center" vertical="center"/>
    </xf>
    <xf numFmtId="0" fontId="0" fillId="2" borderId="6" xfId="0" applyFill="1" applyBorder="1" applyAlignment="1">
      <alignment horizontal="center" vertical="center"/>
    </xf>
    <xf numFmtId="20" fontId="0" fillId="0" borderId="0" xfId="0" applyNumberFormat="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59" fillId="2" borderId="6" xfId="0" applyFont="1" applyFill="1" applyBorder="1" applyAlignment="1">
      <alignment wrapText="1"/>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47" fillId="2" borderId="6" xfId="0" applyFont="1" applyFill="1" applyBorder="1" applyAlignment="1">
      <alignment vertical="center" wrapText="1"/>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3" fillId="7" borderId="43" xfId="0" applyFont="1" applyFill="1" applyBorder="1" applyAlignment="1">
      <alignment horizontal="left" vertical="top"/>
    </xf>
    <xf numFmtId="0" fontId="3" fillId="8" borderId="41" xfId="0" applyFont="1" applyFill="1" applyBorder="1" applyAlignment="1">
      <alignment horizontal="left" vertical="top"/>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wrapText="1"/>
    </xf>
    <xf numFmtId="0" fontId="63" fillId="0" borderId="0" xfId="0" applyFont="1" applyAlignment="1">
      <alignment horizontal="left" vertical="center" wrapText="1" indent="1"/>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wrapText="1"/>
    </xf>
    <xf numFmtId="0" fontId="3" fillId="7" borderId="43" xfId="0" applyFont="1" applyFill="1" applyBorder="1" applyAlignment="1">
      <alignment horizontal="left" vertical="top"/>
    </xf>
    <xf numFmtId="0" fontId="3" fillId="8" borderId="41" xfId="0" applyFont="1" applyFill="1" applyBorder="1" applyAlignment="1">
      <alignment horizontal="left" vertical="top"/>
    </xf>
    <xf numFmtId="15" fontId="17" fillId="0" borderId="22" xfId="0" applyNumberFormat="1" applyFont="1" applyBorder="1" applyAlignment="1">
      <alignment horizontal="center" vertical="center"/>
    </xf>
    <xf numFmtId="0" fontId="18" fillId="3" borderId="6" xfId="0" applyFont="1"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20" fillId="2" borderId="6" xfId="0" applyFont="1" applyFill="1" applyBorder="1" applyAlignment="1">
      <alignment vertical="center" wrapText="1"/>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3" fillId="7" borderId="43" xfId="0" applyFont="1" applyFill="1" applyBorder="1" applyAlignment="1">
      <alignment horizontal="left" vertical="top"/>
    </xf>
    <xf numFmtId="0" fontId="3" fillId="8" borderId="41" xfId="0" applyFont="1" applyFill="1" applyBorder="1" applyAlignment="1">
      <alignment horizontal="left" vertical="top"/>
    </xf>
    <xf numFmtId="15" fontId="17" fillId="0" borderId="22" xfId="0" applyNumberFormat="1" applyFont="1" applyBorder="1" applyAlignment="1">
      <alignment horizontal="center" vertical="center"/>
    </xf>
    <xf numFmtId="0" fontId="18" fillId="3" borderId="6" xfId="0" applyFont="1" applyFill="1" applyBorder="1" applyAlignment="1">
      <alignment horizontal="center" vertical="center"/>
    </xf>
    <xf numFmtId="15" fontId="17" fillId="0" borderId="22" xfId="0" applyNumberFormat="1" applyFont="1" applyBorder="1" applyAlignment="1">
      <alignment horizontal="center" vertical="center"/>
    </xf>
    <xf numFmtId="0" fontId="66" fillId="2" borderId="6" xfId="0" applyFont="1" applyFill="1" applyBorder="1" applyAlignment="1">
      <alignment horizontal="center" vertical="center" wrapText="1"/>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0" fillId="2" borderId="23" xfId="0" applyFill="1" applyBorder="1" applyAlignment="1">
      <alignment horizontal="center" vertical="center"/>
    </xf>
    <xf numFmtId="0" fontId="0" fillId="2" borderId="21" xfId="0"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0" fillId="2" borderId="0" xfId="0" applyNumberFormat="1" applyFill="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3" fillId="7" borderId="43" xfId="0" applyFont="1" applyFill="1" applyBorder="1" applyAlignment="1">
      <alignment horizontal="left" vertical="top"/>
    </xf>
    <xf numFmtId="0" fontId="3" fillId="8" borderId="41" xfId="0" applyFont="1" applyFill="1" applyBorder="1" applyAlignment="1">
      <alignment horizontal="left" vertical="top"/>
    </xf>
    <xf numFmtId="0" fontId="18" fillId="3" borderId="6" xfId="0" applyFont="1"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34" fillId="2" borderId="6" xfId="0" applyFont="1" applyFill="1" applyBorder="1" applyAlignment="1">
      <alignment vertical="center" wrapText="1"/>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2" fontId="0" fillId="0" borderId="13" xfId="0" applyNumberFormat="1" applyFont="1"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 fontId="4" fillId="2" borderId="7" xfId="0" applyNumberFormat="1" applyFont="1" applyFill="1" applyBorder="1" applyAlignment="1">
      <alignment horizontal="center" vertical="center"/>
    </xf>
    <xf numFmtId="15" fontId="17" fillId="0" borderId="22" xfId="0" applyNumberFormat="1" applyFont="1" applyBorder="1" applyAlignment="1">
      <alignment horizontal="center" vertical="center"/>
    </xf>
    <xf numFmtId="0" fontId="5" fillId="0" borderId="51" xfId="0" applyFont="1" applyBorder="1" applyAlignment="1">
      <alignment vertical="center"/>
    </xf>
    <xf numFmtId="0" fontId="5" fillId="0" borderId="46" xfId="0" applyFont="1" applyBorder="1" applyAlignment="1">
      <alignment vertical="center"/>
    </xf>
    <xf numFmtId="0" fontId="5" fillId="0" borderId="52" xfId="0" applyFont="1" applyBorder="1" applyAlignment="1">
      <alignment vertical="center"/>
    </xf>
    <xf numFmtId="1" fontId="68" fillId="2" borderId="7" xfId="0" applyNumberFormat="1" applyFont="1" applyFill="1" applyBorder="1" applyAlignment="1">
      <alignment horizontal="center" vertical="center"/>
    </xf>
    <xf numFmtId="1" fontId="68" fillId="2" borderId="0" xfId="0" applyNumberFormat="1" applyFont="1" applyFill="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0" fontId="0" fillId="15" borderId="6" xfId="0" applyFill="1" applyBorder="1" applyAlignment="1">
      <alignment horizontal="center" vertical="center"/>
    </xf>
    <xf numFmtId="15" fontId="0" fillId="15" borderId="6" xfId="0" applyNumberFormat="1"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3" fillId="7" borderId="43" xfId="0" applyFont="1" applyFill="1" applyBorder="1" applyAlignment="1">
      <alignment horizontal="left" vertical="top"/>
    </xf>
    <xf numFmtId="0" fontId="3" fillId="8" borderId="41" xfId="0" applyFont="1" applyFill="1" applyBorder="1" applyAlignment="1">
      <alignment horizontal="left" vertical="top"/>
    </xf>
    <xf numFmtId="15" fontId="17" fillId="0" borderId="22" xfId="0" applyNumberFormat="1" applyFont="1" applyBorder="1" applyAlignment="1">
      <alignment horizontal="center" vertical="center"/>
    </xf>
    <xf numFmtId="0" fontId="18" fillId="3" borderId="6" xfId="0" applyFont="1" applyFill="1" applyBorder="1" applyAlignment="1">
      <alignment horizontal="center" vertical="center"/>
    </xf>
    <xf numFmtId="0" fontId="39" fillId="0" borderId="6"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20" fontId="0" fillId="0" borderId="6" xfId="0" applyNumberFormat="1" applyFill="1" applyBorder="1" applyAlignment="1">
      <alignment horizontal="center" vertical="center"/>
    </xf>
    <xf numFmtId="15" fontId="0" fillId="0" borderId="6" xfId="0" applyNumberFormat="1"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3" fillId="7" borderId="43" xfId="0" applyFont="1" applyFill="1" applyBorder="1" applyAlignment="1">
      <alignment horizontal="left" vertical="top"/>
    </xf>
    <xf numFmtId="0" fontId="3" fillId="8" borderId="41" xfId="0" applyFont="1" applyFill="1" applyBorder="1" applyAlignment="1">
      <alignment horizontal="left" vertical="top"/>
    </xf>
    <xf numFmtId="15" fontId="17" fillId="0" borderId="22" xfId="0" applyNumberFormat="1" applyFont="1" applyBorder="1" applyAlignment="1">
      <alignment horizontal="center" vertical="center"/>
    </xf>
    <xf numFmtId="0" fontId="18" fillId="3" borderId="6" xfId="0" applyFont="1"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58" fillId="0" borderId="9" xfId="0" quotePrefix="1" applyNumberFormat="1" applyFont="1" applyBorder="1" applyAlignment="1">
      <alignment horizontal="center" vertical="center"/>
    </xf>
    <xf numFmtId="0" fontId="58" fillId="0" borderId="7" xfId="0" quotePrefix="1" applyNumberFormat="1" applyFont="1" applyBorder="1" applyAlignment="1">
      <alignment horizontal="center" vertical="center"/>
    </xf>
    <xf numFmtId="0" fontId="58" fillId="0" borderId="8" xfId="0" quotePrefix="1"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70" fillId="0" borderId="0" xfId="0" applyFont="1"/>
    <xf numFmtId="15" fontId="71" fillId="0" borderId="22" xfId="0" applyNumberFormat="1" applyFont="1" applyBorder="1" applyAlignment="1">
      <alignment horizontal="center" vertical="center"/>
    </xf>
    <xf numFmtId="20" fontId="71" fillId="0" borderId="22" xfId="0" applyNumberFormat="1" applyFont="1" applyBorder="1" applyAlignment="1">
      <alignment horizontal="center" vertical="center"/>
    </xf>
    <xf numFmtId="164" fontId="71" fillId="0" borderId="23" xfId="0" applyNumberFormat="1" applyFont="1" applyBorder="1" applyAlignment="1" applyProtection="1">
      <alignment horizontal="center" vertical="center"/>
      <protection locked="0"/>
    </xf>
    <xf numFmtId="0" fontId="71" fillId="0" borderId="6" xfId="0" quotePrefix="1" applyNumberFormat="1" applyFont="1" applyBorder="1" applyAlignment="1">
      <alignment horizontal="center" vertical="center"/>
    </xf>
    <xf numFmtId="164" fontId="71" fillId="0" borderId="21" xfId="0" applyNumberFormat="1" applyFont="1" applyBorder="1" applyAlignment="1">
      <alignment horizontal="center" vertical="center"/>
    </xf>
    <xf numFmtId="2" fontId="71" fillId="0" borderId="23" xfId="0" applyNumberFormat="1" applyFont="1" applyBorder="1" applyAlignment="1">
      <alignment horizontal="center" vertical="center"/>
    </xf>
    <xf numFmtId="2" fontId="71" fillId="0" borderId="23" xfId="0" applyNumberFormat="1" applyFont="1" applyBorder="1" applyAlignment="1">
      <alignment horizontal="center" vertical="center" wrapText="1"/>
    </xf>
    <xf numFmtId="2" fontId="71" fillId="0" borderId="6" xfId="0" applyNumberFormat="1" applyFont="1" applyBorder="1" applyAlignment="1">
      <alignment horizontal="center" vertical="center"/>
    </xf>
    <xf numFmtId="0" fontId="70" fillId="2" borderId="6" xfId="0" applyFont="1" applyFill="1" applyBorder="1" applyAlignment="1">
      <alignment horizontal="center" vertical="center"/>
    </xf>
    <xf numFmtId="0" fontId="71" fillId="0" borderId="6" xfId="0" applyNumberFormat="1" applyFont="1" applyBorder="1" applyAlignment="1">
      <alignment horizontal="center" vertical="center"/>
    </xf>
    <xf numFmtId="49" fontId="71" fillId="0" borderId="6" xfId="0" applyNumberFormat="1" applyFont="1" applyBorder="1" applyAlignment="1">
      <alignment horizontal="center" vertical="center"/>
    </xf>
    <xf numFmtId="0" fontId="72" fillId="2" borderId="6" xfId="0" applyFont="1" applyFill="1" applyBorder="1" applyAlignment="1">
      <alignment vertical="center" wrapText="1"/>
    </xf>
    <xf numFmtId="0" fontId="70" fillId="2" borderId="0" xfId="0" applyFont="1" applyFill="1"/>
    <xf numFmtId="15" fontId="17" fillId="0" borderId="22" xfId="0" applyNumberFormat="1" applyFont="1" applyBorder="1" applyAlignment="1">
      <alignment horizontal="center" vertical="center"/>
    </xf>
    <xf numFmtId="0" fontId="3" fillId="7" borderId="43" xfId="0" applyFont="1" applyFill="1" applyBorder="1" applyAlignment="1">
      <alignment horizontal="left" vertical="top"/>
    </xf>
    <xf numFmtId="0" fontId="3" fillId="8" borderId="41" xfId="0" applyFont="1" applyFill="1" applyBorder="1" applyAlignment="1">
      <alignment horizontal="left" vertical="top"/>
    </xf>
    <xf numFmtId="0" fontId="18" fillId="3" borderId="6" xfId="0" applyFont="1"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0" fontId="0" fillId="2" borderId="23" xfId="0" applyFill="1" applyBorder="1" applyAlignment="1">
      <alignment horizontal="center"/>
    </xf>
    <xf numFmtId="0" fontId="0" fillId="2" borderId="21" xfId="0" applyFill="1" applyBorder="1" applyAlignment="1">
      <alignment horizont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0" fontId="3" fillId="7" borderId="43" xfId="0" applyFont="1" applyFill="1" applyBorder="1" applyAlignment="1">
      <alignment horizontal="left" vertical="top"/>
    </xf>
    <xf numFmtId="0" fontId="3" fillId="8" borderId="41" xfId="0" applyFont="1" applyFill="1" applyBorder="1" applyAlignment="1">
      <alignment horizontal="left" vertical="top"/>
    </xf>
    <xf numFmtId="15" fontId="17" fillId="0" borderId="22" xfId="0" applyNumberFormat="1" applyFont="1" applyBorder="1" applyAlignment="1">
      <alignment horizontal="center" vertical="center"/>
    </xf>
    <xf numFmtId="0" fontId="18" fillId="3" borderId="6" xfId="0" applyFont="1" applyFill="1" applyBorder="1" applyAlignment="1">
      <alignment horizontal="center" vertical="center"/>
    </xf>
    <xf numFmtId="15" fontId="17" fillId="0" borderId="22" xfId="0" applyNumberFormat="1" applyFont="1" applyBorder="1" applyAlignment="1">
      <alignment horizontal="center" vertical="center"/>
    </xf>
    <xf numFmtId="0" fontId="0" fillId="2" borderId="6" xfId="0" applyFill="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15" fontId="17" fillId="0" borderId="22" xfId="0" applyNumberFormat="1" applyFont="1" applyBorder="1" applyAlignment="1">
      <alignment horizontal="center" vertical="center"/>
    </xf>
    <xf numFmtId="0" fontId="2" fillId="2" borderId="6" xfId="0" applyFont="1" applyFill="1" applyBorder="1" applyAlignment="1">
      <alignment wrapText="1"/>
    </xf>
    <xf numFmtId="15" fontId="17" fillId="0" borderId="6" xfId="0" applyNumberFormat="1" applyFont="1" applyBorder="1" applyAlignment="1">
      <alignment horizontal="center" vertical="center"/>
    </xf>
    <xf numFmtId="164" fontId="17" fillId="0" borderId="6" xfId="0" applyNumberFormat="1" applyFont="1" applyBorder="1" applyAlignment="1" applyProtection="1">
      <alignment horizontal="center" vertical="center"/>
      <protection locked="0"/>
    </xf>
    <xf numFmtId="164"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0" fontId="0" fillId="16" borderId="6" xfId="0" applyFill="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0" fontId="0" fillId="0" borderId="13" xfId="0" applyFont="1" applyFill="1" applyBorder="1" applyAlignment="1">
      <alignment horizontal="center" vertical="center"/>
    </xf>
    <xf numFmtId="2" fontId="0" fillId="0" borderId="30" xfId="0" applyNumberFormat="1" applyFont="1" applyFill="1" applyBorder="1" applyAlignment="1">
      <alignment horizontal="center" vertical="center"/>
    </xf>
    <xf numFmtId="1" fontId="0" fillId="0" borderId="13" xfId="0" applyNumberFormat="1" applyFont="1" applyFill="1" applyBorder="1" applyAlignment="1">
      <alignment horizontal="center" vertical="center"/>
    </xf>
    <xf numFmtId="0" fontId="3" fillId="7" borderId="43" xfId="0" applyFont="1" applyFill="1" applyBorder="1" applyAlignment="1">
      <alignment horizontal="left" vertical="top"/>
    </xf>
    <xf numFmtId="0" fontId="3" fillId="8" borderId="41" xfId="0" applyFont="1" applyFill="1" applyBorder="1" applyAlignment="1">
      <alignment horizontal="left" vertical="top"/>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0" fontId="18" fillId="3" borderId="6" xfId="0" applyFont="1" applyFill="1" applyBorder="1" applyAlignment="1">
      <alignment horizontal="center" vertical="center"/>
    </xf>
    <xf numFmtId="2" fontId="17" fillId="0" borderId="6" xfId="0" applyNumberFormat="1" applyFont="1" applyBorder="1" applyAlignment="1">
      <alignment horizontal="center" vertical="center"/>
    </xf>
    <xf numFmtId="0" fontId="0" fillId="2" borderId="18" xfId="0" applyFont="1" applyFill="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34" fillId="0" borderId="9" xfId="0" applyNumberFormat="1" applyFont="1" applyBorder="1" applyAlignment="1">
      <alignment vertical="center"/>
    </xf>
    <xf numFmtId="2" fontId="34" fillId="0" borderId="7" xfId="0" applyNumberFormat="1" applyFont="1" applyBorder="1" applyAlignment="1">
      <alignment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0" fontId="3" fillId="7" borderId="43" xfId="0" applyFont="1" applyFill="1" applyBorder="1" applyAlignment="1">
      <alignment horizontal="left" vertical="top"/>
    </xf>
    <xf numFmtId="0" fontId="3" fillId="8" borderId="41" xfId="0" applyFont="1" applyFill="1" applyBorder="1" applyAlignment="1">
      <alignment horizontal="left" vertical="top"/>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0" fontId="3" fillId="7" borderId="43" xfId="0" applyFont="1" applyFill="1" applyBorder="1" applyAlignment="1">
      <alignment horizontal="left" vertical="top"/>
    </xf>
    <xf numFmtId="0" fontId="3" fillId="8" borderId="41" xfId="0" applyFont="1" applyFill="1" applyBorder="1" applyAlignment="1">
      <alignment horizontal="left" vertical="top"/>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0" fillId="2" borderId="4" xfId="0" applyNumberFormat="1" applyFont="1" applyFill="1" applyBorder="1" applyAlignment="1">
      <alignment horizontal="center" vertical="center"/>
    </xf>
    <xf numFmtId="2" fontId="0" fillId="0" borderId="15" xfId="0" applyNumberFormat="1" applyFont="1" applyFill="1" applyBorder="1" applyAlignment="1">
      <alignment horizontal="center" vertical="center"/>
    </xf>
    <xf numFmtId="0" fontId="0" fillId="2" borderId="16" xfId="0" applyFont="1" applyFill="1" applyBorder="1" applyAlignment="1">
      <alignment horizontal="center" vertical="center"/>
    </xf>
    <xf numFmtId="2" fontId="0" fillId="2" borderId="18" xfId="0" applyNumberFormat="1" applyFont="1" applyFill="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0" fontId="0" fillId="2" borderId="35" xfId="0" applyFill="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0" fontId="0" fillId="2" borderId="6" xfId="0" applyFill="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2" fontId="17" fillId="0" borderId="6" xfId="0" applyNumberFormat="1" applyFont="1" applyBorder="1" applyAlignment="1">
      <alignment horizontal="center" vertical="center"/>
    </xf>
    <xf numFmtId="0" fontId="11" fillId="0" borderId="16" xfId="0" applyFont="1" applyBorder="1" applyAlignment="1">
      <alignment horizontal="center" vertical="center" wrapText="1"/>
    </xf>
    <xf numFmtId="0" fontId="11" fillId="0" borderId="30" xfId="0" applyFont="1" applyBorder="1" applyAlignment="1">
      <alignment horizontal="center" vertical="center" wrapText="1"/>
    </xf>
    <xf numFmtId="0" fontId="11" fillId="0" borderId="31" xfId="0" applyFont="1" applyBorder="1" applyAlignment="1">
      <alignment horizontal="center" vertical="center" wrapText="1"/>
    </xf>
    <xf numFmtId="15" fontId="19" fillId="6" borderId="16" xfId="0" applyNumberFormat="1" applyFont="1" applyFill="1" applyBorder="1" applyAlignment="1">
      <alignment horizontal="center" vertical="center" wrapText="1"/>
    </xf>
    <xf numFmtId="15" fontId="19" fillId="6" borderId="30" xfId="0" applyNumberFormat="1" applyFont="1" applyFill="1" applyBorder="1" applyAlignment="1">
      <alignment horizontal="center" vertical="center" wrapText="1"/>
    </xf>
    <xf numFmtId="15" fontId="19" fillId="6" borderId="18" xfId="0" applyNumberFormat="1" applyFont="1" applyFill="1" applyBorder="1" applyAlignment="1">
      <alignment horizontal="center" vertical="center" wrapText="1"/>
    </xf>
    <xf numFmtId="0" fontId="11" fillId="0" borderId="18" xfId="0" applyFont="1" applyBorder="1" applyAlignment="1">
      <alignment horizontal="center" vertical="center" wrapText="1"/>
    </xf>
    <xf numFmtId="0" fontId="3" fillId="7" borderId="43" xfId="0" applyFont="1" applyFill="1" applyBorder="1" applyAlignment="1">
      <alignment horizontal="left" vertical="top"/>
    </xf>
    <xf numFmtId="0" fontId="3" fillId="7" borderId="26" xfId="0" applyFont="1" applyFill="1" applyBorder="1" applyAlignment="1">
      <alignment horizontal="left" vertical="top"/>
    </xf>
    <xf numFmtId="0" fontId="3" fillId="8" borderId="41" xfId="0" applyFont="1" applyFill="1" applyBorder="1" applyAlignment="1">
      <alignment horizontal="left" vertical="top"/>
    </xf>
    <xf numFmtId="0" fontId="3" fillId="8" borderId="19" xfId="0" applyFont="1" applyFill="1" applyBorder="1" applyAlignment="1">
      <alignment horizontal="left" vertical="top"/>
    </xf>
    <xf numFmtId="0" fontId="3" fillId="9" borderId="15" xfId="0" applyFont="1" applyFill="1" applyBorder="1" applyAlignment="1">
      <alignment horizontal="center"/>
    </xf>
    <xf numFmtId="0" fontId="3" fillId="9" borderId="42" xfId="0" applyFont="1" applyFill="1" applyBorder="1" applyAlignment="1">
      <alignment horizontal="center"/>
    </xf>
    <xf numFmtId="0" fontId="21" fillId="0" borderId="16" xfId="0" applyFont="1" applyBorder="1" applyAlignment="1">
      <alignment horizontal="center" vertical="center" wrapText="1"/>
    </xf>
    <xf numFmtId="0" fontId="21" fillId="0" borderId="30" xfId="0" applyFont="1" applyBorder="1" applyAlignment="1">
      <alignment horizontal="center" vertical="center" wrapText="1"/>
    </xf>
    <xf numFmtId="0" fontId="21" fillId="0" borderId="18"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30" xfId="0" applyFont="1" applyBorder="1" applyAlignment="1">
      <alignment horizontal="center" vertical="center" wrapText="1"/>
    </xf>
    <xf numFmtId="0" fontId="8" fillId="0" borderId="18" xfId="0" applyFont="1" applyBorder="1" applyAlignment="1">
      <alignment horizontal="center" vertical="center" wrapText="1"/>
    </xf>
    <xf numFmtId="15" fontId="19" fillId="6" borderId="16" xfId="0" applyNumberFormat="1" applyFont="1" applyFill="1" applyBorder="1" applyAlignment="1">
      <alignment horizontal="center" vertical="center"/>
    </xf>
    <xf numFmtId="15" fontId="19" fillId="6" borderId="30" xfId="0" applyNumberFormat="1" applyFont="1" applyFill="1" applyBorder="1" applyAlignment="1">
      <alignment horizontal="center" vertical="center"/>
    </xf>
    <xf numFmtId="15" fontId="19" fillId="6" borderId="18" xfId="0" applyNumberFormat="1" applyFont="1" applyFill="1" applyBorder="1" applyAlignment="1">
      <alignment horizontal="center" vertical="center"/>
    </xf>
    <xf numFmtId="0" fontId="11" fillId="0" borderId="3"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61" xfId="0" applyFont="1" applyBorder="1" applyAlignment="1">
      <alignment horizontal="center" vertical="center" wrapText="1"/>
    </xf>
    <xf numFmtId="0" fontId="52" fillId="11" borderId="11" xfId="0" applyFont="1" applyFill="1" applyBorder="1" applyAlignment="1">
      <alignment horizontal="center" wrapText="1"/>
    </xf>
    <xf numFmtId="0" fontId="53" fillId="0" borderId="16" xfId="0" applyFont="1" applyBorder="1" applyAlignment="1">
      <alignment horizontal="center" vertical="center" wrapText="1"/>
    </xf>
    <xf numFmtId="0" fontId="53" fillId="0" borderId="30" xfId="0" applyFont="1" applyBorder="1" applyAlignment="1">
      <alignment horizontal="center" vertical="center" wrapText="1"/>
    </xf>
    <xf numFmtId="0" fontId="53" fillId="0" borderId="31" xfId="0" applyFont="1" applyBorder="1" applyAlignment="1">
      <alignment horizontal="center" vertical="center" wrapText="1"/>
    </xf>
    <xf numFmtId="0" fontId="54" fillId="0" borderId="16" xfId="3" applyFont="1" applyBorder="1" applyAlignment="1">
      <alignment horizontal="center" vertical="center" wrapText="1"/>
    </xf>
    <xf numFmtId="0" fontId="54" fillId="0" borderId="30" xfId="0" applyFont="1" applyBorder="1" applyAlignment="1">
      <alignment horizontal="center" vertical="center" wrapText="1"/>
    </xf>
    <xf numFmtId="0" fontId="54" fillId="0" borderId="18" xfId="0" applyFont="1" applyBorder="1" applyAlignment="1">
      <alignment horizontal="center" vertical="center" wrapText="1"/>
    </xf>
    <xf numFmtId="0" fontId="3" fillId="9" borderId="10" xfId="0" applyFont="1" applyFill="1" applyBorder="1" applyAlignment="1">
      <alignment horizontal="center"/>
    </xf>
    <xf numFmtId="0" fontId="3" fillId="9" borderId="11" xfId="0" applyFont="1" applyFill="1" applyBorder="1" applyAlignment="1">
      <alignment horizontal="center"/>
    </xf>
    <xf numFmtId="0" fontId="3" fillId="9" borderId="12" xfId="0" applyFont="1" applyFill="1" applyBorder="1" applyAlignment="1">
      <alignment horizontal="center"/>
    </xf>
    <xf numFmtId="0" fontId="54" fillId="0" borderId="16" xfId="0" applyFont="1" applyBorder="1" applyAlignment="1">
      <alignment horizontal="center" vertical="center" wrapText="1"/>
    </xf>
    <xf numFmtId="0" fontId="54" fillId="0" borderId="30" xfId="3" applyFont="1" applyBorder="1" applyAlignment="1">
      <alignment horizontal="center" vertical="center" wrapText="1"/>
    </xf>
    <xf numFmtId="0" fontId="54" fillId="0" borderId="18" xfId="3" applyFont="1" applyBorder="1" applyAlignment="1">
      <alignment horizontal="center" vertical="center" wrapText="1"/>
    </xf>
    <xf numFmtId="0" fontId="11" fillId="0" borderId="6" xfId="0" applyFont="1" applyBorder="1" applyAlignment="1">
      <alignment horizontal="center" vertical="center" wrapText="1"/>
    </xf>
    <xf numFmtId="0" fontId="11" fillId="0" borderId="48" xfId="0" applyFont="1" applyBorder="1" applyAlignment="1">
      <alignment horizontal="center" vertical="center" wrapText="1"/>
    </xf>
    <xf numFmtId="0" fontId="54" fillId="2" borderId="16" xfId="3" applyFont="1" applyFill="1" applyBorder="1" applyAlignment="1">
      <alignment horizontal="center" vertical="center" wrapText="1"/>
    </xf>
    <xf numFmtId="0" fontId="54" fillId="2" borderId="30" xfId="0" applyFont="1" applyFill="1" applyBorder="1" applyAlignment="1">
      <alignment horizontal="center" vertical="center" wrapText="1"/>
    </xf>
    <xf numFmtId="0" fontId="54" fillId="2" borderId="18" xfId="0" applyFont="1" applyFill="1" applyBorder="1" applyAlignment="1">
      <alignment horizontal="center" vertical="center" wrapText="1"/>
    </xf>
    <xf numFmtId="0" fontId="52" fillId="11" borderId="0" xfId="0" applyFont="1" applyFill="1" applyBorder="1" applyAlignment="1">
      <alignment horizontal="center" wrapText="1"/>
    </xf>
    <xf numFmtId="0" fontId="56" fillId="0" borderId="16" xfId="3" applyFont="1" applyBorder="1" applyAlignment="1">
      <alignment horizontal="center" vertical="center" wrapText="1"/>
    </xf>
    <xf numFmtId="0" fontId="54" fillId="0" borderId="6" xfId="0" applyFont="1" applyBorder="1" applyAlignment="1">
      <alignment horizontal="center" vertical="center" wrapText="1"/>
    </xf>
    <xf numFmtId="0" fontId="54" fillId="0" borderId="31" xfId="0" applyFont="1" applyBorder="1" applyAlignment="1">
      <alignment horizontal="center" vertical="center" wrapText="1"/>
    </xf>
    <xf numFmtId="0" fontId="11" fillId="0" borderId="32" xfId="0" applyFont="1" applyBorder="1" applyAlignment="1">
      <alignment horizontal="center" vertical="center" wrapText="1"/>
    </xf>
    <xf numFmtId="164" fontId="0" fillId="0" borderId="9" xfId="0" applyNumberFormat="1" applyFont="1" applyBorder="1" applyAlignment="1" applyProtection="1">
      <alignment horizontal="center" vertical="center" wrapText="1"/>
      <protection locked="0"/>
    </xf>
    <xf numFmtId="164" fontId="0" fillId="0" borderId="7" xfId="0" applyNumberFormat="1" applyFont="1" applyBorder="1" applyAlignment="1" applyProtection="1">
      <alignment horizontal="center" vertical="center" wrapText="1"/>
      <protection locked="0"/>
    </xf>
    <xf numFmtId="164" fontId="0" fillId="0" borderId="8" xfId="0" applyNumberFormat="1" applyFont="1" applyBorder="1" applyAlignment="1" applyProtection="1">
      <alignment horizontal="center" vertical="center" wrapText="1"/>
      <protection locked="0"/>
    </xf>
    <xf numFmtId="164" fontId="0" fillId="0" borderId="9" xfId="0" applyNumberFormat="1" applyFont="1" applyBorder="1" applyAlignment="1" applyProtection="1">
      <alignment horizontal="center" vertical="center"/>
      <protection locked="0"/>
    </xf>
    <xf numFmtId="164" fontId="0" fillId="0" borderId="7" xfId="0" applyNumberFormat="1" applyFont="1" applyBorder="1" applyAlignment="1" applyProtection="1">
      <alignment horizontal="center" vertical="center"/>
      <protection locked="0"/>
    </xf>
    <xf numFmtId="164" fontId="0" fillId="0" borderId="8" xfId="0" applyNumberFormat="1" applyFont="1" applyBorder="1" applyAlignment="1" applyProtection="1">
      <alignment horizontal="center" vertical="center"/>
      <protection locked="0"/>
    </xf>
    <xf numFmtId="20" fontId="0" fillId="0" borderId="9" xfId="0" quotePrefix="1" applyNumberFormat="1" applyFont="1" applyBorder="1" applyAlignment="1">
      <alignment horizontal="center" vertical="center"/>
    </xf>
    <xf numFmtId="20" fontId="0" fillId="0" borderId="7" xfId="0" quotePrefix="1" applyNumberFormat="1" applyFont="1" applyBorder="1" applyAlignment="1">
      <alignment horizontal="center" vertical="center"/>
    </xf>
    <xf numFmtId="20" fontId="0" fillId="0" borderId="8" xfId="0" quotePrefix="1" applyNumberFormat="1" applyFont="1" applyBorder="1" applyAlignment="1">
      <alignment horizontal="center" vertical="center"/>
    </xf>
    <xf numFmtId="164" fontId="0" fillId="0" borderId="24" xfId="0" applyNumberFormat="1" applyFont="1" applyBorder="1" applyAlignment="1" applyProtection="1">
      <alignment horizontal="center" vertical="center"/>
      <protection locked="0"/>
    </xf>
    <xf numFmtId="164" fontId="0" fillId="0" borderId="49" xfId="0" applyNumberFormat="1" applyFont="1" applyBorder="1" applyAlignment="1" applyProtection="1">
      <alignment horizontal="center" vertical="center"/>
      <protection locked="0"/>
    </xf>
    <xf numFmtId="164" fontId="0" fillId="0" borderId="50" xfId="0" applyNumberFormat="1" applyFont="1" applyBorder="1" applyAlignment="1" applyProtection="1">
      <alignment horizontal="center" vertical="center"/>
      <protection locked="0"/>
    </xf>
    <xf numFmtId="164" fontId="0" fillId="0" borderId="51" xfId="0" applyNumberFormat="1" applyFont="1" applyBorder="1" applyAlignment="1" applyProtection="1">
      <alignment horizontal="center" vertical="center"/>
      <protection locked="0"/>
    </xf>
    <xf numFmtId="164" fontId="0" fillId="0" borderId="46" xfId="0" applyNumberFormat="1" applyFont="1" applyBorder="1" applyAlignment="1" applyProtection="1">
      <alignment horizontal="center" vertical="center"/>
      <protection locked="0"/>
    </xf>
    <xf numFmtId="164" fontId="0" fillId="0" borderId="52" xfId="0" applyNumberFormat="1" applyFont="1" applyBorder="1" applyAlignment="1" applyProtection="1">
      <alignment horizontal="center" vertical="center"/>
      <protection locked="0"/>
    </xf>
    <xf numFmtId="164" fontId="39" fillId="0" borderId="9" xfId="0" applyNumberFormat="1" applyFont="1" applyBorder="1" applyAlignment="1" applyProtection="1">
      <alignment horizontal="center" vertical="center"/>
      <protection locked="0"/>
    </xf>
    <xf numFmtId="164" fontId="39" fillId="0" borderId="7" xfId="0" applyNumberFormat="1" applyFont="1" applyBorder="1" applyAlignment="1" applyProtection="1">
      <alignment horizontal="center" vertical="center"/>
      <protection locked="0"/>
    </xf>
    <xf numFmtId="164" fontId="39" fillId="0" borderId="8" xfId="0" applyNumberFormat="1" applyFont="1" applyBorder="1" applyAlignment="1" applyProtection="1">
      <alignment horizontal="center" vertical="center"/>
      <protection locked="0"/>
    </xf>
    <xf numFmtId="0" fontId="24" fillId="0" borderId="4" xfId="0" applyFont="1" applyBorder="1" applyAlignment="1">
      <alignment horizontal="center"/>
    </xf>
    <xf numFmtId="0" fontId="24" fillId="0" borderId="0" xfId="0" applyFont="1" applyAlignment="1">
      <alignment horizontal="center"/>
    </xf>
    <xf numFmtId="0" fontId="24" fillId="0" borderId="5" xfId="0" applyFont="1" applyBorder="1" applyAlignment="1">
      <alignment horizontal="center"/>
    </xf>
    <xf numFmtId="1" fontId="25" fillId="3" borderId="6" xfId="0" applyNumberFormat="1" applyFont="1" applyFill="1" applyBorder="1" applyAlignment="1">
      <alignment horizontal="center" vertical="center" wrapText="1"/>
    </xf>
    <xf numFmtId="164" fontId="5" fillId="3" borderId="6" xfId="0" quotePrefix="1" applyNumberFormat="1" applyFont="1" applyFill="1" applyBorder="1" applyAlignment="1">
      <alignment horizontal="center" vertical="center" wrapText="1"/>
    </xf>
    <xf numFmtId="1" fontId="4" fillId="2" borderId="7" xfId="0" applyNumberFormat="1" applyFont="1" applyFill="1" applyBorder="1" applyAlignment="1">
      <alignment horizontal="center" vertical="center"/>
    </xf>
    <xf numFmtId="1" fontId="5" fillId="3" borderId="6" xfId="0" applyNumberFormat="1" applyFont="1" applyFill="1" applyBorder="1" applyAlignment="1">
      <alignment horizontal="center" vertical="center"/>
    </xf>
    <xf numFmtId="0" fontId="5" fillId="3" borderId="6" xfId="0" applyFont="1" applyFill="1" applyBorder="1" applyAlignment="1">
      <alignment horizontal="center" vertical="center" wrapText="1"/>
    </xf>
    <xf numFmtId="44" fontId="27" fillId="4" borderId="6" xfId="1" applyFont="1" applyFill="1" applyBorder="1" applyAlignment="1">
      <alignment horizontal="center" vertical="center"/>
    </xf>
    <xf numFmtId="2" fontId="27" fillId="3" borderId="6" xfId="0" applyNumberFormat="1" applyFont="1" applyFill="1" applyBorder="1" applyAlignment="1">
      <alignment horizontal="center" vertical="center" wrapText="1"/>
    </xf>
    <xf numFmtId="2" fontId="27" fillId="5" borderId="6" xfId="0" applyNumberFormat="1" applyFont="1" applyFill="1" applyBorder="1" applyAlignment="1">
      <alignment horizontal="center" vertical="center" wrapText="1"/>
    </xf>
    <xf numFmtId="166" fontId="27" fillId="4" borderId="6" xfId="0" applyNumberFormat="1" applyFont="1" applyFill="1" applyBorder="1" applyAlignment="1">
      <alignment horizontal="center" vertical="center" wrapText="1"/>
    </xf>
    <xf numFmtId="0" fontId="5" fillId="0" borderId="6" xfId="0" applyFont="1" applyBorder="1" applyAlignment="1">
      <alignment horizontal="center" vertical="center" wrapText="1"/>
    </xf>
    <xf numFmtId="0" fontId="5" fillId="3" borderId="8" xfId="0" applyFont="1" applyFill="1" applyBorder="1" applyAlignment="1">
      <alignment horizontal="center" vertical="center" wrapText="1"/>
    </xf>
    <xf numFmtId="0" fontId="5" fillId="0" borderId="9" xfId="0" applyFont="1" applyBorder="1" applyAlignment="1">
      <alignment horizontal="center" vertical="center"/>
    </xf>
    <xf numFmtId="0" fontId="5" fillId="0" borderId="8" xfId="0" applyFont="1" applyBorder="1" applyAlignment="1">
      <alignment horizontal="center" vertical="center"/>
    </xf>
    <xf numFmtId="0" fontId="5" fillId="3" borderId="8" xfId="0" applyFont="1" applyFill="1" applyBorder="1" applyAlignment="1">
      <alignment horizontal="center" vertical="center"/>
    </xf>
    <xf numFmtId="0" fontId="5" fillId="3" borderId="6" xfId="0" applyFont="1" applyFill="1" applyBorder="1" applyAlignment="1">
      <alignment horizontal="center" vertical="center"/>
    </xf>
    <xf numFmtId="0" fontId="5" fillId="2" borderId="6"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5" fillId="2" borderId="8" xfId="0" applyFont="1" applyFill="1" applyBorder="1" applyAlignment="1">
      <alignment horizontal="center" vertical="center" wrapText="1"/>
    </xf>
    <xf numFmtId="164" fontId="17" fillId="0" borderId="9" xfId="0" applyNumberFormat="1" applyFont="1" applyBorder="1" applyAlignment="1" applyProtection="1">
      <alignment horizontal="center" vertical="center"/>
      <protection locked="0"/>
    </xf>
    <xf numFmtId="164" fontId="17" fillId="0" borderId="7" xfId="0" applyNumberFormat="1" applyFont="1" applyBorder="1" applyAlignment="1" applyProtection="1">
      <alignment horizontal="center" vertical="center"/>
      <protection locked="0"/>
    </xf>
    <xf numFmtId="164" fontId="17" fillId="0" borderId="8" xfId="0" applyNumberFormat="1" applyFont="1" applyBorder="1" applyAlignment="1" applyProtection="1">
      <alignment horizontal="center" vertical="center"/>
      <protection locked="0"/>
    </xf>
    <xf numFmtId="0" fontId="5" fillId="0" borderId="9" xfId="0" applyFont="1" applyBorder="1" applyAlignment="1">
      <alignment horizontal="center" vertical="center" wrapText="1"/>
    </xf>
    <xf numFmtId="0" fontId="5" fillId="0" borderId="8" xfId="0" applyFont="1" applyBorder="1" applyAlignment="1">
      <alignment horizontal="center" vertical="center" wrapText="1"/>
    </xf>
    <xf numFmtId="164" fontId="71" fillId="0" borderId="9" xfId="0" applyNumberFormat="1" applyFont="1" applyBorder="1" applyAlignment="1" applyProtection="1">
      <alignment horizontal="center" vertical="center"/>
      <protection locked="0"/>
    </xf>
    <xf numFmtId="164" fontId="71" fillId="0" borderId="7" xfId="0" applyNumberFormat="1" applyFont="1" applyBorder="1" applyAlignment="1" applyProtection="1">
      <alignment horizontal="center" vertical="center"/>
      <protection locked="0"/>
    </xf>
    <xf numFmtId="164" fontId="71" fillId="0" borderId="8" xfId="0" applyNumberFormat="1" applyFont="1" applyBorder="1" applyAlignment="1" applyProtection="1">
      <alignment horizontal="center" vertical="center"/>
      <protection locked="0"/>
    </xf>
    <xf numFmtId="164" fontId="64" fillId="0" borderId="9" xfId="0" applyNumberFormat="1" applyFont="1" applyBorder="1" applyAlignment="1" applyProtection="1">
      <alignment horizontal="center" vertical="center" wrapText="1"/>
      <protection locked="0"/>
    </xf>
    <xf numFmtId="164" fontId="64" fillId="0" borderId="7" xfId="0" applyNumberFormat="1" applyFont="1" applyBorder="1" applyAlignment="1" applyProtection="1">
      <alignment horizontal="center" vertical="center" wrapText="1"/>
      <protection locked="0"/>
    </xf>
    <xf numFmtId="164" fontId="64" fillId="0" borderId="8" xfId="0" applyNumberFormat="1" applyFont="1" applyBorder="1" applyAlignment="1" applyProtection="1">
      <alignment horizontal="center" vertical="center" wrapText="1"/>
      <protection locked="0"/>
    </xf>
    <xf numFmtId="164" fontId="39" fillId="0" borderId="9" xfId="0" applyNumberFormat="1" applyFont="1" applyBorder="1" applyAlignment="1" applyProtection="1">
      <alignment horizontal="center" vertical="center" wrapText="1"/>
      <protection locked="0"/>
    </xf>
    <xf numFmtId="164" fontId="39" fillId="0" borderId="7" xfId="0" applyNumberFormat="1" applyFont="1" applyBorder="1" applyAlignment="1" applyProtection="1">
      <alignment horizontal="center" vertical="center" wrapText="1"/>
      <protection locked="0"/>
    </xf>
    <xf numFmtId="164" fontId="39" fillId="0" borderId="8" xfId="0" applyNumberFormat="1" applyFont="1" applyBorder="1" applyAlignment="1" applyProtection="1">
      <alignment horizontal="center" vertical="center" wrapText="1"/>
      <protection locked="0"/>
    </xf>
    <xf numFmtId="20" fontId="39" fillId="0" borderId="43" xfId="0" applyNumberFormat="1" applyFont="1" applyBorder="1" applyAlignment="1">
      <alignment horizontal="center" vertical="center" wrapText="1"/>
    </xf>
    <xf numFmtId="20" fontId="39" fillId="0" borderId="7" xfId="0" applyNumberFormat="1" applyFont="1" applyBorder="1" applyAlignment="1">
      <alignment horizontal="center" vertical="center" wrapText="1"/>
    </xf>
    <xf numFmtId="20" fontId="39" fillId="0" borderId="8" xfId="0" applyNumberFormat="1" applyFont="1" applyBorder="1" applyAlignment="1">
      <alignment horizontal="center" vertical="center" wrapText="1"/>
    </xf>
    <xf numFmtId="2" fontId="20" fillId="0" borderId="9" xfId="0" applyNumberFormat="1" applyFont="1" applyBorder="1" applyAlignment="1">
      <alignment horizontal="center" vertical="center"/>
    </xf>
    <xf numFmtId="2" fontId="20" fillId="0" borderId="7" xfId="0" applyNumberFormat="1" applyFont="1" applyBorder="1" applyAlignment="1">
      <alignment horizontal="center" vertical="center"/>
    </xf>
    <xf numFmtId="2" fontId="20" fillId="0" borderId="8" xfId="0" applyNumberFormat="1" applyFont="1" applyBorder="1" applyAlignment="1">
      <alignment horizontal="center" vertical="center"/>
    </xf>
    <xf numFmtId="2" fontId="39" fillId="0" borderId="9" xfId="0" applyNumberFormat="1" applyFont="1" applyBorder="1" applyAlignment="1">
      <alignment horizontal="center" vertical="center" wrapText="1"/>
    </xf>
    <xf numFmtId="2" fontId="39" fillId="0" borderId="7" xfId="0" applyNumberFormat="1" applyFont="1" applyBorder="1" applyAlignment="1">
      <alignment horizontal="center" vertical="center"/>
    </xf>
    <xf numFmtId="2" fontId="39" fillId="0" borderId="8" xfId="0" applyNumberFormat="1" applyFont="1" applyBorder="1" applyAlignment="1">
      <alignment horizontal="center" vertical="center"/>
    </xf>
    <xf numFmtId="2" fontId="61" fillId="0" borderId="9" xfId="0" applyNumberFormat="1" applyFont="1" applyBorder="1" applyAlignment="1">
      <alignment horizontal="center" vertical="center"/>
    </xf>
    <xf numFmtId="2" fontId="61" fillId="0" borderId="7" xfId="0" applyNumberFormat="1" applyFont="1" applyBorder="1" applyAlignment="1">
      <alignment horizontal="center" vertical="center"/>
    </xf>
    <xf numFmtId="2" fontId="61" fillId="0" borderId="8" xfId="0" applyNumberFormat="1" applyFont="1" applyBorder="1" applyAlignment="1">
      <alignment horizontal="center" vertical="center"/>
    </xf>
    <xf numFmtId="2" fontId="18" fillId="5" borderId="16" xfId="0" applyNumberFormat="1" applyFont="1" applyFill="1" applyBorder="1" applyAlignment="1">
      <alignment horizontal="center" vertical="center" wrapText="1"/>
    </xf>
    <xf numFmtId="2" fontId="18" fillId="5" borderId="18" xfId="0" applyNumberFormat="1" applyFont="1" applyFill="1" applyBorder="1" applyAlignment="1">
      <alignment horizontal="center" vertical="center" wrapText="1"/>
    </xf>
    <xf numFmtId="2" fontId="18" fillId="5" borderId="2" xfId="0" applyNumberFormat="1" applyFont="1" applyFill="1" applyBorder="1" applyAlignment="1">
      <alignment horizontal="center" vertical="center" wrapText="1"/>
    </xf>
    <xf numFmtId="2" fontId="18" fillId="5" borderId="11" xfId="0" applyNumberFormat="1" applyFont="1" applyFill="1" applyBorder="1" applyAlignment="1">
      <alignment horizontal="center" vertical="center" wrapText="1"/>
    </xf>
    <xf numFmtId="20" fontId="39" fillId="0" borderId="43" xfId="0" applyNumberFormat="1" applyFont="1" applyBorder="1" applyAlignment="1">
      <alignment horizontal="center" vertical="center"/>
    </xf>
    <xf numFmtId="20" fontId="39" fillId="0" borderId="7" xfId="0" applyNumberFormat="1" applyFont="1" applyBorder="1" applyAlignment="1">
      <alignment horizontal="center" vertical="center"/>
    </xf>
    <xf numFmtId="20" fontId="39" fillId="0" borderId="8" xfId="0" applyNumberFormat="1" applyFont="1" applyBorder="1" applyAlignment="1">
      <alignment horizontal="center" vertical="center"/>
    </xf>
    <xf numFmtId="0" fontId="20" fillId="0" borderId="1" xfId="0" applyFont="1" applyBorder="1" applyAlignment="1">
      <alignment horizontal="center"/>
    </xf>
    <xf numFmtId="0" fontId="20" fillId="0" borderId="2" xfId="0" applyFont="1" applyBorder="1" applyAlignment="1">
      <alignment horizontal="center"/>
    </xf>
    <xf numFmtId="0" fontId="20" fillId="0" borderId="3" xfId="0" applyFont="1" applyBorder="1" applyAlignment="1">
      <alignment horizontal="center"/>
    </xf>
    <xf numFmtId="0" fontId="20" fillId="0" borderId="4" xfId="0" applyFont="1" applyBorder="1" applyAlignment="1">
      <alignment horizontal="center"/>
    </xf>
    <xf numFmtId="0" fontId="20" fillId="0" borderId="0" xfId="0" applyFont="1" applyAlignment="1">
      <alignment horizontal="center"/>
    </xf>
    <xf numFmtId="0" fontId="20" fillId="0" borderId="5" xfId="0" applyFont="1" applyBorder="1" applyAlignment="1">
      <alignment horizontal="center"/>
    </xf>
    <xf numFmtId="1" fontId="15" fillId="3" borderId="6" xfId="0" applyNumberFormat="1" applyFont="1" applyFill="1" applyBorder="1" applyAlignment="1">
      <alignment horizontal="center" vertical="center" wrapText="1"/>
    </xf>
    <xf numFmtId="164" fontId="13" fillId="3" borderId="6" xfId="0" quotePrefix="1" applyNumberFormat="1" applyFont="1" applyFill="1" applyBorder="1" applyAlignment="1">
      <alignment horizontal="center" vertical="center" wrapText="1"/>
    </xf>
    <xf numFmtId="1" fontId="14" fillId="2" borderId="7" xfId="0" applyNumberFormat="1" applyFont="1" applyFill="1" applyBorder="1" applyAlignment="1">
      <alignment horizontal="center" vertical="center"/>
    </xf>
    <xf numFmtId="1" fontId="14" fillId="2" borderId="8" xfId="0" applyNumberFormat="1" applyFont="1" applyFill="1" applyBorder="1" applyAlignment="1">
      <alignment horizontal="center" vertical="center"/>
    </xf>
    <xf numFmtId="1" fontId="13" fillId="3" borderId="6" xfId="0" applyNumberFormat="1" applyFont="1" applyFill="1" applyBorder="1" applyAlignment="1">
      <alignment horizontal="center" vertical="center"/>
    </xf>
    <xf numFmtId="0" fontId="13" fillId="3" borderId="6" xfId="0" applyFont="1" applyFill="1" applyBorder="1" applyAlignment="1">
      <alignment horizontal="center" vertical="center" wrapText="1"/>
    </xf>
    <xf numFmtId="2" fontId="18" fillId="3" borderId="16" xfId="0" applyNumberFormat="1" applyFont="1" applyFill="1" applyBorder="1" applyAlignment="1">
      <alignment horizontal="center" vertical="center" wrapText="1"/>
    </xf>
    <xf numFmtId="2" fontId="18" fillId="3" borderId="18" xfId="0" applyNumberFormat="1" applyFont="1" applyFill="1" applyBorder="1" applyAlignment="1">
      <alignment horizontal="center" vertical="center" wrapText="1"/>
    </xf>
    <xf numFmtId="0" fontId="13" fillId="0" borderId="9" xfId="0" applyFont="1" applyBorder="1" applyAlignment="1">
      <alignment horizontal="center" vertical="center"/>
    </xf>
    <xf numFmtId="0" fontId="13" fillId="0" borderId="8" xfId="0" applyFont="1" applyBorder="1" applyAlignment="1">
      <alignment horizontal="center" vertical="center"/>
    </xf>
    <xf numFmtId="0" fontId="13" fillId="2" borderId="6" xfId="0" applyFont="1" applyFill="1" applyBorder="1" applyAlignment="1">
      <alignment horizontal="center" vertical="center" wrapText="1"/>
    </xf>
    <xf numFmtId="0" fontId="13" fillId="3" borderId="8" xfId="0" applyFont="1" applyFill="1" applyBorder="1" applyAlignment="1">
      <alignment horizontal="center" vertical="center"/>
    </xf>
    <xf numFmtId="0" fontId="13" fillId="3" borderId="6" xfId="0" applyFont="1" applyFill="1" applyBorder="1" applyAlignment="1">
      <alignment horizontal="center" vertical="center"/>
    </xf>
    <xf numFmtId="0" fontId="13" fillId="0" borderId="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6" xfId="0" applyFont="1" applyBorder="1" applyAlignment="1">
      <alignment horizontal="center" vertical="center" wrapText="1"/>
    </xf>
    <xf numFmtId="0" fontId="13" fillId="3" borderId="8" xfId="0" applyFont="1" applyFill="1" applyBorder="1" applyAlignment="1">
      <alignment horizontal="center" vertical="center" wrapText="1"/>
    </xf>
    <xf numFmtId="0" fontId="67" fillId="2" borderId="9" xfId="0" applyFont="1" applyFill="1" applyBorder="1" applyAlignment="1">
      <alignment horizontal="center" vertical="center" wrapText="1"/>
    </xf>
    <xf numFmtId="0" fontId="67" fillId="2" borderId="8" xfId="0" applyFont="1" applyFill="1" applyBorder="1" applyAlignment="1">
      <alignment horizontal="center" vertical="center" wrapText="1"/>
    </xf>
    <xf numFmtId="166" fontId="18" fillId="4" borderId="1" xfId="0" applyNumberFormat="1" applyFont="1" applyFill="1" applyBorder="1" applyAlignment="1">
      <alignment horizontal="center" vertical="center" wrapText="1"/>
    </xf>
    <xf numFmtId="166" fontId="18" fillId="4" borderId="4" xfId="0" applyNumberFormat="1" applyFont="1" applyFill="1" applyBorder="1" applyAlignment="1">
      <alignment horizontal="center" vertical="center" wrapText="1"/>
    </xf>
    <xf numFmtId="2" fontId="17" fillId="0" borderId="6" xfId="0" applyNumberFormat="1" applyFont="1" applyBorder="1" applyAlignment="1">
      <alignment horizontal="center" vertical="center"/>
    </xf>
    <xf numFmtId="2" fontId="17" fillId="0" borderId="9" xfId="0" applyNumberFormat="1" applyFont="1" applyBorder="1" applyAlignment="1">
      <alignment horizontal="center" vertical="center"/>
    </xf>
    <xf numFmtId="2" fontId="17" fillId="0" borderId="7" xfId="0" applyNumberFormat="1" applyFont="1" applyBorder="1" applyAlignment="1">
      <alignment horizontal="center" vertical="center"/>
    </xf>
    <xf numFmtId="2" fontId="17" fillId="0" borderId="8" xfId="0" applyNumberFormat="1" applyFont="1" applyBorder="1" applyAlignment="1">
      <alignment horizontal="center" vertical="center"/>
    </xf>
    <xf numFmtId="0" fontId="18" fillId="3" borderId="8" xfId="0" applyFont="1" applyFill="1" applyBorder="1" applyAlignment="1">
      <alignment horizontal="center" vertical="center" wrapText="1"/>
    </xf>
    <xf numFmtId="0" fontId="18" fillId="3" borderId="6" xfId="0" applyFont="1" applyFill="1" applyBorder="1" applyAlignment="1">
      <alignment horizontal="center" vertical="center" wrapText="1"/>
    </xf>
    <xf numFmtId="0" fontId="18" fillId="3" borderId="8" xfId="0" applyFont="1" applyFill="1" applyBorder="1" applyAlignment="1">
      <alignment horizontal="center" vertical="center"/>
    </xf>
    <xf numFmtId="0" fontId="18" fillId="3" borderId="6" xfId="0" applyFont="1" applyFill="1" applyBorder="1" applyAlignment="1">
      <alignment horizontal="center" vertical="center"/>
    </xf>
    <xf numFmtId="0" fontId="0" fillId="0" borderId="1" xfId="0" applyFont="1" applyBorder="1" applyAlignment="1">
      <alignment horizontal="center"/>
    </xf>
    <xf numFmtId="0" fontId="0" fillId="0" borderId="2" xfId="0" applyFont="1" applyBorder="1" applyAlignment="1">
      <alignment horizontal="center"/>
    </xf>
    <xf numFmtId="0" fontId="0" fillId="0" borderId="3" xfId="0" applyFont="1" applyBorder="1" applyAlignment="1">
      <alignment horizontal="center"/>
    </xf>
    <xf numFmtId="0" fontId="0" fillId="0" borderId="4" xfId="0" applyFont="1" applyBorder="1" applyAlignment="1">
      <alignment horizontal="center"/>
    </xf>
    <xf numFmtId="0" fontId="0" fillId="0" borderId="0" xfId="0" applyFont="1" applyAlignment="1">
      <alignment horizontal="center"/>
    </xf>
    <xf numFmtId="0" fontId="0" fillId="0" borderId="5" xfId="0" applyFont="1" applyBorder="1" applyAlignment="1">
      <alignment horizontal="center"/>
    </xf>
    <xf numFmtId="164" fontId="18" fillId="3" borderId="6" xfId="0" quotePrefix="1" applyNumberFormat="1" applyFont="1" applyFill="1" applyBorder="1" applyAlignment="1">
      <alignment horizontal="center" vertical="center" wrapText="1"/>
    </xf>
    <xf numFmtId="1" fontId="20" fillId="2" borderId="7" xfId="0" applyNumberFormat="1" applyFont="1" applyFill="1" applyBorder="1" applyAlignment="1">
      <alignment horizontal="center" vertical="center"/>
    </xf>
    <xf numFmtId="1" fontId="20" fillId="2" borderId="0" xfId="0" applyNumberFormat="1" applyFont="1" applyFill="1" applyBorder="1" applyAlignment="1">
      <alignment horizontal="center" vertical="center"/>
    </xf>
    <xf numFmtId="1" fontId="20" fillId="2" borderId="8" xfId="0" applyNumberFormat="1" applyFont="1" applyFill="1" applyBorder="1" applyAlignment="1">
      <alignment horizontal="center" vertical="center"/>
    </xf>
    <xf numFmtId="20" fontId="17" fillId="0" borderId="24" xfId="0" quotePrefix="1" applyNumberFormat="1" applyFont="1" applyBorder="1" applyAlignment="1">
      <alignment horizontal="center" vertical="center" wrapText="1"/>
    </xf>
    <xf numFmtId="20" fontId="17" fillId="0" borderId="49" xfId="0" quotePrefix="1" applyNumberFormat="1" applyFont="1" applyBorder="1" applyAlignment="1">
      <alignment horizontal="center" vertical="center" wrapText="1"/>
    </xf>
    <xf numFmtId="20" fontId="17" fillId="0" borderId="50" xfId="0" quotePrefix="1" applyNumberFormat="1" applyFont="1" applyBorder="1" applyAlignment="1">
      <alignment horizontal="center" vertical="center" wrapText="1"/>
    </xf>
    <xf numFmtId="20" fontId="17" fillId="0" borderId="53" xfId="0" quotePrefix="1" applyNumberFormat="1" applyFont="1" applyBorder="1" applyAlignment="1">
      <alignment horizontal="center" vertical="center" wrapText="1"/>
    </xf>
    <xf numFmtId="20" fontId="17" fillId="0" borderId="0" xfId="0" quotePrefix="1" applyNumberFormat="1" applyFont="1" applyBorder="1" applyAlignment="1">
      <alignment horizontal="center" vertical="center" wrapText="1"/>
    </xf>
    <xf numFmtId="20" fontId="17" fillId="0" borderId="54" xfId="0" quotePrefix="1" applyNumberFormat="1" applyFont="1" applyBorder="1" applyAlignment="1">
      <alignment horizontal="center" vertical="center" wrapText="1"/>
    </xf>
    <xf numFmtId="20" fontId="17" fillId="0" borderId="51" xfId="0" quotePrefix="1" applyNumberFormat="1" applyFont="1" applyBorder="1" applyAlignment="1">
      <alignment horizontal="center" vertical="center" wrapText="1"/>
    </xf>
    <xf numFmtId="20" fontId="17" fillId="0" borderId="46" xfId="0" quotePrefix="1" applyNumberFormat="1" applyFont="1" applyBorder="1" applyAlignment="1">
      <alignment horizontal="center" vertical="center" wrapText="1"/>
    </xf>
    <xf numFmtId="20" fontId="17" fillId="0" borderId="52" xfId="0" quotePrefix="1" applyNumberFormat="1" applyFont="1" applyBorder="1" applyAlignment="1">
      <alignment horizontal="center" vertical="center" wrapText="1"/>
    </xf>
    <xf numFmtId="15" fontId="17" fillId="0" borderId="20" xfId="0" applyNumberFormat="1" applyFont="1" applyBorder="1" applyAlignment="1">
      <alignment horizontal="center" vertical="center"/>
    </xf>
    <xf numFmtId="15" fontId="17" fillId="0" borderId="22" xfId="0" applyNumberFormat="1" applyFont="1" applyBorder="1" applyAlignment="1">
      <alignment horizontal="center" vertical="center"/>
    </xf>
    <xf numFmtId="166" fontId="18" fillId="4" borderId="10" xfId="0" applyNumberFormat="1" applyFont="1" applyFill="1" applyBorder="1" applyAlignment="1">
      <alignment horizontal="center" vertical="center" wrapText="1"/>
    </xf>
    <xf numFmtId="0" fontId="18" fillId="0" borderId="9" xfId="0" applyFont="1" applyBorder="1" applyAlignment="1">
      <alignment horizontal="center" vertical="center"/>
    </xf>
    <xf numFmtId="0" fontId="18" fillId="0" borderId="8" xfId="0" applyFont="1" applyBorder="1" applyAlignment="1">
      <alignment horizontal="center" vertical="center"/>
    </xf>
    <xf numFmtId="0" fontId="18" fillId="2" borderId="6" xfId="0" applyFont="1" applyFill="1" applyBorder="1" applyAlignment="1">
      <alignment horizontal="center" vertical="center" wrapText="1"/>
    </xf>
    <xf numFmtId="0" fontId="18" fillId="0" borderId="9" xfId="0" applyFont="1" applyBorder="1" applyAlignment="1">
      <alignment horizontal="center" vertical="center" wrapText="1"/>
    </xf>
    <xf numFmtId="0" fontId="18" fillId="0" borderId="8" xfId="0" applyFont="1" applyBorder="1" applyAlignment="1">
      <alignment horizontal="center" vertical="center" wrapText="1"/>
    </xf>
    <xf numFmtId="0" fontId="18" fillId="0" borderId="6" xfId="0" applyFont="1" applyBorder="1" applyAlignment="1">
      <alignment horizontal="center" vertical="center" wrapText="1"/>
    </xf>
    <xf numFmtId="0" fontId="0" fillId="2" borderId="9" xfId="0" applyFill="1" applyBorder="1" applyAlignment="1">
      <alignment horizontal="center" vertical="center" wrapText="1"/>
    </xf>
    <xf numFmtId="0" fontId="0" fillId="2" borderId="7" xfId="0" applyFill="1" applyBorder="1" applyAlignment="1">
      <alignment horizontal="center" vertical="center" wrapText="1"/>
    </xf>
    <xf numFmtId="0" fontId="0" fillId="2" borderId="8" xfId="0" applyFill="1" applyBorder="1" applyAlignment="1">
      <alignment horizontal="center" vertical="center" wrapText="1"/>
    </xf>
    <xf numFmtId="0" fontId="0" fillId="14" borderId="0" xfId="0" applyFill="1" applyAlignment="1">
      <alignment horizontal="center" vertical="center"/>
    </xf>
    <xf numFmtId="0" fontId="0" fillId="14" borderId="46" xfId="0" applyFill="1" applyBorder="1" applyAlignment="1">
      <alignment horizontal="center" vertical="center"/>
    </xf>
    <xf numFmtId="0" fontId="0" fillId="2" borderId="23" xfId="0" applyFill="1" applyBorder="1" applyAlignment="1">
      <alignment horizontal="center" vertical="center"/>
    </xf>
    <xf numFmtId="0" fontId="0" fillId="2" borderId="21" xfId="0" applyFill="1" applyBorder="1" applyAlignment="1">
      <alignment horizontal="center" vertical="center"/>
    </xf>
    <xf numFmtId="0" fontId="0" fillId="2" borderId="24" xfId="0" applyFill="1" applyBorder="1" applyAlignment="1">
      <alignment horizontal="center" vertical="center" wrapText="1"/>
    </xf>
    <xf numFmtId="0" fontId="0" fillId="2" borderId="49" xfId="0" applyFill="1" applyBorder="1" applyAlignment="1">
      <alignment horizontal="center" vertical="center" wrapText="1"/>
    </xf>
    <xf numFmtId="0" fontId="0" fillId="2" borderId="50" xfId="0" applyFill="1" applyBorder="1" applyAlignment="1">
      <alignment horizontal="center" vertical="center" wrapText="1"/>
    </xf>
    <xf numFmtId="0" fontId="0" fillId="2" borderId="51" xfId="0" applyFill="1" applyBorder="1" applyAlignment="1">
      <alignment horizontal="center" vertical="center" wrapText="1"/>
    </xf>
    <xf numFmtId="0" fontId="0" fillId="2" borderId="46" xfId="0" applyFill="1" applyBorder="1" applyAlignment="1">
      <alignment horizontal="center" vertical="center" wrapText="1"/>
    </xf>
    <xf numFmtId="0" fontId="0" fillId="2" borderId="52" xfId="0" applyFill="1" applyBorder="1" applyAlignment="1">
      <alignment horizontal="center" vertical="center" wrapText="1"/>
    </xf>
    <xf numFmtId="0" fontId="57" fillId="2" borderId="9" xfId="0" applyFont="1" applyFill="1" applyBorder="1" applyAlignment="1">
      <alignment horizontal="center" vertical="center" wrapText="1"/>
    </xf>
    <xf numFmtId="0" fontId="0" fillId="0" borderId="23" xfId="0" applyFill="1" applyBorder="1" applyAlignment="1">
      <alignment horizontal="center" vertical="center"/>
    </xf>
    <xf numFmtId="0" fontId="0" fillId="0" borderId="21" xfId="0" applyFill="1" applyBorder="1" applyAlignment="1">
      <alignment horizontal="center" vertical="center"/>
    </xf>
    <xf numFmtId="0" fontId="0" fillId="2" borderId="6" xfId="0" applyFill="1" applyBorder="1" applyAlignment="1">
      <alignment horizontal="center" vertical="center" wrapText="1"/>
    </xf>
    <xf numFmtId="0" fontId="22" fillId="10" borderId="6" xfId="0" applyFont="1" applyFill="1" applyBorder="1" applyAlignment="1">
      <alignment horizontal="center" vertical="center"/>
    </xf>
    <xf numFmtId="0" fontId="3" fillId="2" borderId="6" xfId="0" applyFont="1" applyFill="1" applyBorder="1" applyAlignment="1">
      <alignment horizontal="center" vertical="center" wrapText="1"/>
    </xf>
    <xf numFmtId="0" fontId="0" fillId="0" borderId="9"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49" fontId="36" fillId="2" borderId="6" xfId="3" applyNumberFormat="1" applyFont="1" applyFill="1" applyBorder="1" applyAlignment="1">
      <alignment horizontal="center" vertical="center" wrapText="1"/>
    </xf>
    <xf numFmtId="49" fontId="36" fillId="2" borderId="6" xfId="0" applyNumberFormat="1" applyFont="1" applyFill="1" applyBorder="1" applyAlignment="1">
      <alignment horizontal="center" vertical="center" wrapText="1"/>
    </xf>
    <xf numFmtId="0" fontId="0" fillId="2" borderId="6" xfId="0" applyFill="1" applyBorder="1" applyAlignment="1">
      <alignment horizontal="center" vertical="center"/>
    </xf>
    <xf numFmtId="0" fontId="0" fillId="12" borderId="0" xfId="0" applyFill="1" applyAlignment="1">
      <alignment horizontal="center" vertical="center"/>
    </xf>
    <xf numFmtId="0" fontId="0" fillId="12" borderId="46" xfId="0" applyFill="1" applyBorder="1" applyAlignment="1">
      <alignment horizontal="center" vertical="center"/>
    </xf>
    <xf numFmtId="0" fontId="0" fillId="2" borderId="53" xfId="0" applyFill="1" applyBorder="1" applyAlignment="1">
      <alignment horizontal="center" vertical="center" wrapText="1"/>
    </xf>
    <xf numFmtId="0" fontId="0" fillId="2" borderId="0" xfId="0" applyFill="1" applyBorder="1" applyAlignment="1">
      <alignment horizontal="center" vertical="center" wrapText="1"/>
    </xf>
    <xf numFmtId="0" fontId="0" fillId="2" borderId="54" xfId="0" applyFill="1" applyBorder="1" applyAlignment="1">
      <alignment horizontal="center" vertical="center" wrapText="1"/>
    </xf>
    <xf numFmtId="0" fontId="0" fillId="2" borderId="35" xfId="0" applyFill="1" applyBorder="1" applyAlignment="1">
      <alignment horizontal="center" vertical="center"/>
    </xf>
    <xf numFmtId="0" fontId="0" fillId="2" borderId="23" xfId="0" applyNumberFormat="1" applyFill="1" applyBorder="1" applyAlignment="1">
      <alignment horizontal="center" vertical="center"/>
    </xf>
    <xf numFmtId="0" fontId="0" fillId="2" borderId="35" xfId="0" applyNumberFormat="1" applyFill="1" applyBorder="1" applyAlignment="1">
      <alignment horizontal="center" vertical="center"/>
    </xf>
    <xf numFmtId="0" fontId="0" fillId="2" borderId="21" xfId="0" applyNumberFormat="1" applyFill="1" applyBorder="1" applyAlignment="1">
      <alignment horizontal="center" vertical="center"/>
    </xf>
    <xf numFmtId="0" fontId="60" fillId="2" borderId="6" xfId="0" applyFont="1" applyFill="1" applyBorder="1" applyAlignment="1">
      <alignment horizontal="center" vertical="center" wrapText="1"/>
    </xf>
    <xf numFmtId="0" fontId="65" fillId="14" borderId="0" xfId="0" applyFont="1" applyFill="1" applyAlignment="1">
      <alignment horizontal="center" vertical="center"/>
    </xf>
    <xf numFmtId="0" fontId="65" fillId="14" borderId="46" xfId="0" applyFont="1" applyFill="1" applyBorder="1" applyAlignment="1">
      <alignment horizontal="center" vertical="center"/>
    </xf>
    <xf numFmtId="0" fontId="66" fillId="2" borderId="6" xfId="0" applyFont="1" applyFill="1" applyBorder="1" applyAlignment="1">
      <alignment horizontal="center" vertical="center" wrapText="1"/>
    </xf>
    <xf numFmtId="0" fontId="0" fillId="2" borderId="24" xfId="0" quotePrefix="1" applyFill="1" applyBorder="1" applyAlignment="1">
      <alignment horizontal="center" vertical="center" wrapText="1"/>
    </xf>
    <xf numFmtId="0" fontId="0" fillId="2" borderId="49" xfId="0" quotePrefix="1" applyFill="1" applyBorder="1" applyAlignment="1">
      <alignment horizontal="center" vertical="center" wrapText="1"/>
    </xf>
    <xf numFmtId="0" fontId="0" fillId="2" borderId="50" xfId="0" quotePrefix="1" applyFill="1" applyBorder="1" applyAlignment="1">
      <alignment horizontal="center" vertical="center" wrapText="1"/>
    </xf>
    <xf numFmtId="0" fontId="0" fillId="2" borderId="51" xfId="0" quotePrefix="1" applyFill="1" applyBorder="1" applyAlignment="1">
      <alignment horizontal="center" vertical="center" wrapText="1"/>
    </xf>
    <xf numFmtId="0" fontId="0" fillId="2" borderId="46" xfId="0" quotePrefix="1" applyFill="1" applyBorder="1" applyAlignment="1">
      <alignment horizontal="center" vertical="center" wrapText="1"/>
    </xf>
    <xf numFmtId="0" fontId="0" fillId="2" borderId="52" xfId="0" quotePrefix="1" applyFill="1" applyBorder="1" applyAlignment="1">
      <alignment horizontal="center" vertical="center" wrapText="1"/>
    </xf>
    <xf numFmtId="0" fontId="23" fillId="10" borderId="6" xfId="0" applyFont="1" applyFill="1" applyBorder="1" applyAlignment="1">
      <alignment horizontal="center" vertical="center"/>
    </xf>
    <xf numFmtId="2" fontId="0" fillId="0" borderId="9" xfId="0" applyNumberFormat="1" applyBorder="1" applyAlignment="1">
      <alignment horizontal="center"/>
    </xf>
    <xf numFmtId="2" fontId="0" fillId="0" borderId="7" xfId="0" applyNumberFormat="1" applyBorder="1" applyAlignment="1">
      <alignment horizontal="center"/>
    </xf>
    <xf numFmtId="0" fontId="58" fillId="0" borderId="9" xfId="0" quotePrefix="1" applyNumberFormat="1" applyFont="1" applyBorder="1" applyAlignment="1">
      <alignment horizontal="center" vertical="center"/>
    </xf>
    <xf numFmtId="0" fontId="58" fillId="0" borderId="7" xfId="0" quotePrefix="1" applyNumberFormat="1" applyFont="1" applyBorder="1" applyAlignment="1">
      <alignment horizontal="center" vertical="center"/>
    </xf>
    <xf numFmtId="0" fontId="58" fillId="0" borderId="8" xfId="0" quotePrefix="1" applyNumberFormat="1" applyFont="1" applyBorder="1" applyAlignment="1">
      <alignment horizontal="center" vertical="center"/>
    </xf>
    <xf numFmtId="2" fontId="2" fillId="0" borderId="9" xfId="0" applyNumberFormat="1" applyFont="1" applyBorder="1" applyAlignment="1">
      <alignment horizontal="center" vertical="center"/>
    </xf>
    <xf numFmtId="2" fontId="2" fillId="0" borderId="7" xfId="0" applyNumberFormat="1" applyFont="1" applyBorder="1" applyAlignment="1">
      <alignment horizontal="center" vertical="center"/>
    </xf>
    <xf numFmtId="164" fontId="18" fillId="0" borderId="9" xfId="0" quotePrefix="1" applyNumberFormat="1" applyFont="1" applyBorder="1" applyAlignment="1">
      <alignment horizontal="center" vertical="center"/>
    </xf>
    <xf numFmtId="164" fontId="18" fillId="0" borderId="7" xfId="0" quotePrefix="1" applyNumberFormat="1" applyFont="1" applyBorder="1" applyAlignment="1">
      <alignment horizontal="center" vertical="center"/>
    </xf>
    <xf numFmtId="164" fontId="18" fillId="0" borderId="8" xfId="0" quotePrefix="1" applyNumberFormat="1" applyFont="1" applyBorder="1" applyAlignment="1">
      <alignment horizontal="center" vertical="center"/>
    </xf>
    <xf numFmtId="2" fontId="2" fillId="0" borderId="6" xfId="0" applyNumberFormat="1" applyFont="1" applyBorder="1" applyAlignment="1">
      <alignment horizontal="center" vertical="center"/>
    </xf>
    <xf numFmtId="164" fontId="74" fillId="0" borderId="9" xfId="0" quotePrefix="1" applyNumberFormat="1" applyFont="1" applyBorder="1" applyAlignment="1">
      <alignment horizontal="center" vertical="center"/>
    </xf>
    <xf numFmtId="164" fontId="74" fillId="0" borderId="7" xfId="0" quotePrefix="1" applyNumberFormat="1" applyFont="1" applyBorder="1" applyAlignment="1">
      <alignment horizontal="center" vertical="center"/>
    </xf>
    <xf numFmtId="164" fontId="74" fillId="0" borderId="8" xfId="0" quotePrefix="1" applyNumberFormat="1" applyFont="1" applyBorder="1" applyAlignment="1">
      <alignment horizontal="center" vertical="center"/>
    </xf>
    <xf numFmtId="164" fontId="58" fillId="0" borderId="9" xfId="0" quotePrefix="1" applyNumberFormat="1" applyFont="1" applyBorder="1" applyAlignment="1">
      <alignment horizontal="center" vertical="center"/>
    </xf>
    <xf numFmtId="164" fontId="58" fillId="0" borderId="7" xfId="0" quotePrefix="1" applyNumberFormat="1" applyFont="1" applyBorder="1" applyAlignment="1">
      <alignment horizontal="center" vertical="center"/>
    </xf>
    <xf numFmtId="164" fontId="58" fillId="0" borderId="8" xfId="0" quotePrefix="1" applyNumberFormat="1" applyFont="1" applyBorder="1" applyAlignment="1">
      <alignment horizontal="center" vertical="center"/>
    </xf>
    <xf numFmtId="0" fontId="6" fillId="0" borderId="11" xfId="0" applyFont="1" applyBorder="1" applyAlignment="1">
      <alignment horizontal="left" vertic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5" xfId="0" applyBorder="1" applyAlignment="1">
      <alignment horizontal="center"/>
    </xf>
    <xf numFmtId="15" fontId="20" fillId="0" borderId="20" xfId="0" applyNumberFormat="1" applyFont="1" applyBorder="1" applyAlignment="1">
      <alignment horizontal="center" vertical="center"/>
    </xf>
    <xf numFmtId="15" fontId="20" fillId="0" borderId="22" xfId="0" applyNumberFormat="1" applyFont="1" applyBorder="1" applyAlignment="1">
      <alignment horizontal="center" vertical="center"/>
    </xf>
    <xf numFmtId="0" fontId="6" fillId="0" borderId="11" xfId="0" applyFont="1" applyBorder="1" applyAlignment="1" applyProtection="1">
      <alignment horizontal="center" vertical="center"/>
      <protection hidden="1"/>
    </xf>
    <xf numFmtId="2" fontId="0" fillId="0" borderId="9" xfId="0" applyNumberFormat="1" applyBorder="1" applyAlignment="1">
      <alignment horizontal="center" vertical="center"/>
    </xf>
    <xf numFmtId="2" fontId="0" fillId="0" borderId="7" xfId="0" applyNumberFormat="1" applyBorder="1" applyAlignment="1">
      <alignment horizontal="center" vertical="center"/>
    </xf>
    <xf numFmtId="2" fontId="0" fillId="0" borderId="8" xfId="0" applyNumberFormat="1" applyBorder="1" applyAlignment="1">
      <alignment horizontal="center" vertical="center"/>
    </xf>
  </cellXfs>
  <cellStyles count="4">
    <cellStyle name="Currency" xfId="2" builtinId="4"/>
    <cellStyle name="Currency 2" xfId="1"/>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20</xdr:col>
      <xdr:colOff>4045707</xdr:colOff>
      <xdr:row>0</xdr:row>
      <xdr:rowOff>0</xdr:rowOff>
    </xdr:from>
    <xdr:to>
      <xdr:col>21</xdr:col>
      <xdr:colOff>32490</xdr:colOff>
      <xdr:row>4</xdr:row>
      <xdr:rowOff>97968</xdr:rowOff>
    </xdr:to>
    <xdr:pic>
      <xdr:nvPicPr>
        <xdr:cNvPr id="2" name="Picture 2">
          <a:extLst>
            <a:ext uri="{FF2B5EF4-FFF2-40B4-BE49-F238E27FC236}">
              <a16:creationId xmlns:a16="http://schemas.microsoft.com/office/drawing/2014/main" id="{ECE511EB-E5A0-4471-B8A1-8FBB5E9DBEA5}"/>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446974" y="0"/>
          <a:ext cx="1153769" cy="1272283"/>
        </a:xfrm>
        <a:prstGeom prst="rect">
          <a:avLst/>
        </a:prstGeom>
        <a:noFill/>
        <a:ln w="9525">
          <a:noFill/>
          <a:miter lim="800000"/>
          <a:headEnd/>
          <a:tailEnd/>
        </a:ln>
      </xdr:spPr>
    </xdr:pic>
    <xdr:clientData/>
  </xdr:twoCellAnchor>
  <xdr:twoCellAnchor editAs="oneCell">
    <xdr:from>
      <xdr:col>0</xdr:col>
      <xdr:colOff>193432</xdr:colOff>
      <xdr:row>0</xdr:row>
      <xdr:rowOff>0</xdr:rowOff>
    </xdr:from>
    <xdr:to>
      <xdr:col>3</xdr:col>
      <xdr:colOff>79375</xdr:colOff>
      <xdr:row>1</xdr:row>
      <xdr:rowOff>113393</xdr:rowOff>
    </xdr:to>
    <xdr:pic>
      <xdr:nvPicPr>
        <xdr:cNvPr id="3" name="Picture 2">
          <a:extLst>
            <a:ext uri="{FF2B5EF4-FFF2-40B4-BE49-F238E27FC236}">
              <a16:creationId xmlns:a16="http://schemas.microsoft.com/office/drawing/2014/main" id="{DB226ED8-C021-4D41-AFC4-FB6C9A43969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1466" t="5951" r="1309" b="9523"/>
        <a:stretch>
          <a:fillRect/>
        </a:stretch>
      </xdr:blipFill>
      <xdr:spPr bwMode="auto">
        <a:xfrm>
          <a:off x="193432" y="0"/>
          <a:ext cx="2584693" cy="3401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21</xdr:col>
      <xdr:colOff>4918919</xdr:colOff>
      <xdr:row>0</xdr:row>
      <xdr:rowOff>0</xdr:rowOff>
    </xdr:from>
    <xdr:to>
      <xdr:col>22</xdr:col>
      <xdr:colOff>32482</xdr:colOff>
      <xdr:row>5</xdr:row>
      <xdr:rowOff>107005</xdr:rowOff>
    </xdr:to>
    <xdr:pic>
      <xdr:nvPicPr>
        <xdr:cNvPr id="4" name="Picture 2">
          <a:extLst>
            <a:ext uri="{FF2B5EF4-FFF2-40B4-BE49-F238E27FC236}">
              <a16:creationId xmlns:a16="http://schemas.microsoft.com/office/drawing/2014/main" id="{ECE511EB-E5A0-4471-B8A1-8FBB5E9DBEA5}"/>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6429544" y="0"/>
          <a:ext cx="1241313" cy="1488130"/>
        </a:xfrm>
        <a:prstGeom prst="rect">
          <a:avLst/>
        </a:prstGeom>
        <a:noFill/>
        <a:ln w="9525">
          <a:noFill/>
          <a:miter lim="800000"/>
          <a:headEnd/>
          <a:tailEnd/>
        </a:ln>
      </xdr:spPr>
    </xdr:pic>
    <xdr:clientData/>
  </xdr:twoCellAnchor>
  <xdr:twoCellAnchor editAs="oneCell">
    <xdr:from>
      <xdr:col>1</xdr:col>
      <xdr:colOff>50558</xdr:colOff>
      <xdr:row>0</xdr:row>
      <xdr:rowOff>0</xdr:rowOff>
    </xdr:from>
    <xdr:to>
      <xdr:col>3</xdr:col>
      <xdr:colOff>1174750</xdr:colOff>
      <xdr:row>2</xdr:row>
      <xdr:rowOff>78871</xdr:rowOff>
    </xdr:to>
    <xdr:pic>
      <xdr:nvPicPr>
        <xdr:cNvPr id="5" name="Picture 4">
          <a:extLst>
            <a:ext uri="{FF2B5EF4-FFF2-40B4-BE49-F238E27FC236}">
              <a16:creationId xmlns:a16="http://schemas.microsoft.com/office/drawing/2014/main" id="{DB226ED8-C021-4D41-AFC4-FB6C9A43969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1466" t="5951" r="1309" b="9523"/>
        <a:stretch>
          <a:fillRect/>
        </a:stretch>
      </xdr:blipFill>
      <xdr:spPr bwMode="auto">
        <a:xfrm>
          <a:off x="66433" y="0"/>
          <a:ext cx="3791192" cy="5074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21</xdr:col>
      <xdr:colOff>3698875</xdr:colOff>
      <xdr:row>0</xdr:row>
      <xdr:rowOff>0</xdr:rowOff>
    </xdr:from>
    <xdr:to>
      <xdr:col>21</xdr:col>
      <xdr:colOff>4970318</xdr:colOff>
      <xdr:row>3</xdr:row>
      <xdr:rowOff>657899</xdr:rowOff>
    </xdr:to>
    <xdr:pic>
      <xdr:nvPicPr>
        <xdr:cNvPr id="2" name="Picture 2">
          <a:extLst>
            <a:ext uri="{FF2B5EF4-FFF2-40B4-BE49-F238E27FC236}">
              <a16:creationId xmlns:a16="http://schemas.microsoft.com/office/drawing/2014/main" id="{ECE511EB-E5A0-4471-B8A1-8FBB5E9DBEA5}"/>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6463625" y="0"/>
          <a:ext cx="1271443" cy="1324649"/>
        </a:xfrm>
        <a:prstGeom prst="rect">
          <a:avLst/>
        </a:prstGeom>
        <a:noFill/>
        <a:ln w="9525">
          <a:noFill/>
          <a:miter lim="800000"/>
          <a:headEnd/>
          <a:tailEnd/>
        </a:ln>
      </xdr:spPr>
    </xdr:pic>
    <xdr:clientData/>
  </xdr:twoCellAnchor>
  <xdr:twoCellAnchor editAs="oneCell">
    <xdr:from>
      <xdr:col>1</xdr:col>
      <xdr:colOff>1374242</xdr:colOff>
      <xdr:row>0</xdr:row>
      <xdr:rowOff>59170</xdr:rowOff>
    </xdr:from>
    <xdr:to>
      <xdr:col>4</xdr:col>
      <xdr:colOff>523875</xdr:colOff>
      <xdr:row>2</xdr:row>
      <xdr:rowOff>21459</xdr:rowOff>
    </xdr:to>
    <xdr:pic>
      <xdr:nvPicPr>
        <xdr:cNvPr id="3" name="Picture 2">
          <a:extLst>
            <a:ext uri="{FF2B5EF4-FFF2-40B4-BE49-F238E27FC236}">
              <a16:creationId xmlns:a16="http://schemas.microsoft.com/office/drawing/2014/main" id="{DB226ED8-C021-4D41-AFC4-FB6C9A43969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1466" t="5951" r="1309" b="9523"/>
        <a:stretch>
          <a:fillRect/>
        </a:stretch>
      </xdr:blipFill>
      <xdr:spPr bwMode="auto">
        <a:xfrm>
          <a:off x="1390117" y="59170"/>
          <a:ext cx="2642133" cy="502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165247</xdr:colOff>
      <xdr:row>0</xdr:row>
      <xdr:rowOff>95547</xdr:rowOff>
    </xdr:from>
    <xdr:to>
      <xdr:col>3</xdr:col>
      <xdr:colOff>58079</xdr:colOff>
      <xdr:row>3</xdr:row>
      <xdr:rowOff>31389</xdr:rowOff>
    </xdr:to>
    <xdr:pic>
      <xdr:nvPicPr>
        <xdr:cNvPr id="2" name="Picture 1">
          <a:extLst>
            <a:ext uri="{FF2B5EF4-FFF2-40B4-BE49-F238E27FC236}">
              <a16:creationId xmlns:a16="http://schemas.microsoft.com/office/drawing/2014/main" id="{7FE5F143-93D0-4BC7-883C-20847608D6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466" t="5951" r="1309" b="9523"/>
        <a:stretch>
          <a:fillRect/>
        </a:stretch>
      </xdr:blipFill>
      <xdr:spPr bwMode="auto">
        <a:xfrm>
          <a:off x="165247" y="95547"/>
          <a:ext cx="3017497" cy="4934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226899</xdr:colOff>
      <xdr:row>1</xdr:row>
      <xdr:rowOff>92570</xdr:rowOff>
    </xdr:from>
    <xdr:to>
      <xdr:col>2</xdr:col>
      <xdr:colOff>476250</xdr:colOff>
      <xdr:row>3</xdr:row>
      <xdr:rowOff>223797</xdr:rowOff>
    </xdr:to>
    <xdr:pic>
      <xdr:nvPicPr>
        <xdr:cNvPr id="2" name="Picture 1">
          <a:extLst>
            <a:ext uri="{FF2B5EF4-FFF2-40B4-BE49-F238E27FC236}">
              <a16:creationId xmlns:a16="http://schemas.microsoft.com/office/drawing/2014/main" id="{7FE5F143-93D0-4BC7-883C-20847608D6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466" t="5951" r="1309" b="9523"/>
        <a:stretch>
          <a:fillRect/>
        </a:stretch>
      </xdr:blipFill>
      <xdr:spPr bwMode="auto">
        <a:xfrm>
          <a:off x="226899" y="287955"/>
          <a:ext cx="2496274" cy="5219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830386</xdr:colOff>
      <xdr:row>0</xdr:row>
      <xdr:rowOff>122115</xdr:rowOff>
    </xdr:from>
    <xdr:to>
      <xdr:col>11</xdr:col>
      <xdr:colOff>1770673</xdr:colOff>
      <xdr:row>3</xdr:row>
      <xdr:rowOff>464039</xdr:rowOff>
    </xdr:to>
    <xdr:pic>
      <xdr:nvPicPr>
        <xdr:cNvPr id="3" name="Picture 2">
          <a:extLst>
            <a:ext uri="{FF2B5EF4-FFF2-40B4-BE49-F238E27FC236}">
              <a16:creationId xmlns:a16="http://schemas.microsoft.com/office/drawing/2014/main" id="{A2A72943-F0FF-445B-8383-77A5297F7A29}"/>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0831636" y="122115"/>
          <a:ext cx="940287" cy="928078"/>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202475</xdr:colOff>
      <xdr:row>0</xdr:row>
      <xdr:rowOff>153628</xdr:rowOff>
    </xdr:from>
    <xdr:to>
      <xdr:col>3</xdr:col>
      <xdr:colOff>73268</xdr:colOff>
      <xdr:row>3</xdr:row>
      <xdr:rowOff>89470</xdr:rowOff>
    </xdr:to>
    <xdr:pic>
      <xdr:nvPicPr>
        <xdr:cNvPr id="2" name="Picture 1">
          <a:extLst>
            <a:ext uri="{FF2B5EF4-FFF2-40B4-BE49-F238E27FC236}">
              <a16:creationId xmlns:a16="http://schemas.microsoft.com/office/drawing/2014/main" id="{7FE5F143-93D0-4BC7-883C-20847608D6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466" t="5951" r="1309" b="9523"/>
        <a:stretch>
          <a:fillRect/>
        </a:stretch>
      </xdr:blipFill>
      <xdr:spPr bwMode="auto">
        <a:xfrm>
          <a:off x="202475" y="153628"/>
          <a:ext cx="2996947" cy="5219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190740</xdr:colOff>
      <xdr:row>0</xdr:row>
      <xdr:rowOff>116518</xdr:rowOff>
    </xdr:from>
    <xdr:to>
      <xdr:col>3</xdr:col>
      <xdr:colOff>606136</xdr:colOff>
      <xdr:row>3</xdr:row>
      <xdr:rowOff>52360</xdr:rowOff>
    </xdr:to>
    <xdr:pic>
      <xdr:nvPicPr>
        <xdr:cNvPr id="2" name="Picture 1">
          <a:extLst>
            <a:ext uri="{FF2B5EF4-FFF2-40B4-BE49-F238E27FC236}">
              <a16:creationId xmlns:a16="http://schemas.microsoft.com/office/drawing/2014/main" id="{7D62AB27-963D-4336-B3C3-09E84CC502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466" t="5951" r="1309" b="9523"/>
        <a:stretch>
          <a:fillRect/>
        </a:stretch>
      </xdr:blipFill>
      <xdr:spPr bwMode="auto">
        <a:xfrm>
          <a:off x="190740" y="116518"/>
          <a:ext cx="3545039" cy="492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21</xdr:col>
      <xdr:colOff>1642319</xdr:colOff>
      <xdr:row>0</xdr:row>
      <xdr:rowOff>173374</xdr:rowOff>
    </xdr:from>
    <xdr:to>
      <xdr:col>21</xdr:col>
      <xdr:colOff>2886807</xdr:colOff>
      <xdr:row>5</xdr:row>
      <xdr:rowOff>293079</xdr:rowOff>
    </xdr:to>
    <xdr:pic>
      <xdr:nvPicPr>
        <xdr:cNvPr id="2" name="Picture 2">
          <a:extLst>
            <a:ext uri="{FF2B5EF4-FFF2-40B4-BE49-F238E27FC236}">
              <a16:creationId xmlns:a16="http://schemas.microsoft.com/office/drawing/2014/main" id="{A2A72943-F0FF-445B-8383-77A5297F7A29}"/>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5518319" y="173374"/>
          <a:ext cx="1244488" cy="1853255"/>
        </a:xfrm>
        <a:prstGeom prst="rect">
          <a:avLst/>
        </a:prstGeom>
        <a:noFill/>
        <a:ln w="9525">
          <a:noFill/>
          <a:miter lim="800000"/>
          <a:headEnd/>
          <a:tailEnd/>
        </a:ln>
      </xdr:spPr>
    </xdr:pic>
    <xdr:clientData/>
  </xdr:twoCellAnchor>
  <xdr:twoCellAnchor editAs="oneCell">
    <xdr:from>
      <xdr:col>0</xdr:col>
      <xdr:colOff>0</xdr:colOff>
      <xdr:row>0</xdr:row>
      <xdr:rowOff>0</xdr:rowOff>
    </xdr:from>
    <xdr:to>
      <xdr:col>2</xdr:col>
      <xdr:colOff>975528</xdr:colOff>
      <xdr:row>2</xdr:row>
      <xdr:rowOff>81643</xdr:rowOff>
    </xdr:to>
    <xdr:pic>
      <xdr:nvPicPr>
        <xdr:cNvPr id="3" name="Picture 2">
          <a:extLst>
            <a:ext uri="{FF2B5EF4-FFF2-40B4-BE49-F238E27FC236}">
              <a16:creationId xmlns:a16="http://schemas.microsoft.com/office/drawing/2014/main" id="{287453B8-90BC-431A-B133-E5496FA7E2D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1466" t="5951" r="1309" b="9523"/>
        <a:stretch>
          <a:fillRect/>
        </a:stretch>
      </xdr:blipFill>
      <xdr:spPr bwMode="auto">
        <a:xfrm>
          <a:off x="0" y="0"/>
          <a:ext cx="2377064" cy="4626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file:///\\clean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ings"/>
      <sheetName val="MACRO125 "/>
      <sheetName val="MACRO125"/>
      <sheetName val="Macro1"/>
      <sheetName val="Module1"/>
      <sheetName val="WELL SCHEMATIC LOGGER"/>
      <sheetName val="UA-66 Equipment List"/>
      <sheetName val="Connections"/>
      <sheetName val="INSTALLATION TOOLS"/>
      <sheetName val="COUPLING CHART"/>
      <sheetName val="Sheet3"/>
      <sheetName val="String"/>
      <sheetName val="BACK LOAD NOTE"/>
      <sheetName val="Book1"/>
      <sheetName val="9) BACK LOAD NOTE."/>
      <sheetName val="Sheet1"/>
      <sheetName val="Sheet2"/>
      <sheetName val="Book1.xlsx"/>
      <sheetName val="calculo de gas Total"/>
      <sheetName val="LG-270"/>
      <sheetName val="20- Calibration mainLEH 2146Jun"/>
      <sheetName val="counters"/>
      <sheetName val="130508"/>
      <sheetName val="TSP"/>
      <sheetName val="EVENT"/>
      <sheetName val="summary results"/>
      <sheetName val="Lg211"/>
      <sheetName val="graphics"/>
      <sheetName val="*****"/>
      <sheetName val="MSF-132"/>
      <sheetName val="SURVEY"/>
      <sheetName val="DATABASE"/>
      <sheetName val="TOTAL MERAK REVENUE"/>
      <sheetName val="TOTAL FIELD COST COLOMBIA Merak"/>
      <sheetName val="Comments Merak"/>
      <sheetName val="Compensation"/>
      <sheetName val="M&amp;S"/>
      <sheetName val="Depreciation"/>
      <sheetName val="Transportation_Movilization"/>
      <sheetName val="Lease_Rent"/>
      <sheetName val="office_camp"/>
      <sheetName val="Travel_Entertainment"/>
      <sheetName val="Other Expenses"/>
      <sheetName val="Shared Cost"/>
      <sheetName val="Other Inc Exp"/>
      <sheetName val="Total Revenue Reservoir"/>
      <sheetName val="TOTAL FIELD COST COLOMBIA Res"/>
      <sheetName val="Comments Res"/>
      <sheetName val="Other Inc Expenses"/>
      <sheetName val="base marzo 06"/>
      <sheetName val="LegalPath"/>
      <sheetName val="master file"/>
      <sheetName val="Control"/>
      <sheetName val="TOTAL_MERAK_REVENUE"/>
      <sheetName val="TOTAL_FIELD_COST_COLOMBIA_Merak"/>
      <sheetName val="Comments_Merak"/>
      <sheetName val="Other_Expenses"/>
      <sheetName val="Shared_Cost"/>
      <sheetName val="Other_Inc_Exp"/>
      <sheetName val="Total_Revenue_Reservoir"/>
      <sheetName val="TOTAL_FIELD_COST_COLOMBIA_Res"/>
      <sheetName val="Comments_Res"/>
      <sheetName val="Other_Inc_Expenses"/>
      <sheetName val="base_marzo_06"/>
      <sheetName val="master_file"/>
      <sheetName val="Cover"/>
      <sheetName val="AUF_SCREEN"/>
      <sheetName val="COMP. DIAG"/>
      <sheetName val="Final Tally_D3_Run#2 &amp; Y tool"/>
      <sheetName val="Tally"/>
      <sheetName val="K Factor"/>
      <sheetName val="Pruebas"/>
      <sheetName val="Est.Mecánico"/>
      <sheetName val="SEG.POZO"/>
      <sheetName val="Fisicoquímico"/>
      <sheetName val="ParafAsfalArena"/>
      <sheetName val="Pruebas  gráfico"/>
      <sheetName val="Gráfico Producción"/>
      <sheetName val="AP_MFILE_LOOKUP"/>
      <sheetName val="Est_Mecánico"/>
      <sheetName val="SEG_POZO"/>
      <sheetName val="Pruebas__gráfico"/>
      <sheetName val="Gráfico_Producción"/>
      <sheetName val="BHATALLY"/>
      <sheetName val="Dropdown List"/>
      <sheetName val="BANK DATA"/>
      <sheetName val="Master data"/>
      <sheetName val="BANK DATA (2)"/>
      <sheetName val="INFORMATION"/>
      <sheetName val="DATA"/>
      <sheetName val="CALCULATIONS"/>
      <sheetName val="RESULTS"/>
      <sheetName val="MSF-001"/>
      <sheetName val="Geodetic Report"/>
      <sheetName val="P&amp;V View"/>
      <sheetName val="Geodetic Report (2)"/>
      <sheetName val="welltest"/>
      <sheetName val="TIKtcp.xls"/>
      <sheetName val="Report"/>
      <sheetName val="Events"/>
      <sheetName val="4.5GLtcp.xls"/>
      <sheetName val="EStcp.xls"/>
      <sheetName val="CARGO"/>
      <sheetName val="#REF"/>
      <sheetName val="CARGO.xls"/>
      <sheetName val="Header"/>
      <sheetName val="Main Result"/>
      <sheetName val="MData"/>
      <sheetName val="OilM"/>
      <sheetName val="OilT"/>
      <sheetName val="Gas"/>
      <sheetName val="LowGas"/>
      <sheetName val="Water"/>
      <sheetName val="QF_c"/>
      <sheetName val="TABLA MAESTRA"/>
      <sheetName val="CONTENIDO"/>
      <sheetName val="$$1.1.TABLA RESUMEN CONDICIONES"/>
      <sheetName val="$$1.2.CAPACIDAD DE PRODUCCION"/>
      <sheetName val="$$1.3.RECOMENDACIONES"/>
      <sheetName val="1.4.Inventario Hocol @ Jul.31"/>
      <sheetName val="1.5. Equipos-SFC"/>
      <sheetName val="1.5.sf-14"/>
      <sheetName val="sf-19"/>
      <sheetName val="sf-25 "/>
      <sheetName val="sf-53"/>
      <sheetName val="sf-61"/>
      <sheetName val="sf-68"/>
      <sheetName val="sf-71"/>
      <sheetName val="sf-75"/>
      <sheetName val="sf-94"/>
      <sheetName val="sf-98"/>
      <sheetName val="sf-99"/>
      <sheetName val="sf -111"/>
      <sheetName val="sf-129"/>
      <sheetName val="sf-130"/>
      <sheetName val="sf-133 "/>
      <sheetName val="sf-137"/>
      <sheetName val="sf-142"/>
      <sheetName val="1.6.1 PREDICTIVOS SFC"/>
      <sheetName val="1.6.2. DATOS VSD &amp; XMER"/>
      <sheetName val="1.6.3. Carga en Componentes"/>
      <sheetName val="1.6.4. Consumo KVA "/>
      <sheetName val="1.7.1.Fluido x Mes"/>
      <sheetName val="1.7.2.Potencial Vs. Real"/>
      <sheetName val="1.7.3Contribucion Producción"/>
      <sheetName val="Data servicios"/>
      <sheetName val="2.1.Crecimiento"/>
      <sheetName val="2.2.1. Servicio-Pozo"/>
      <sheetName val="2.2.2. Causas Servicios"/>
      <sheetName val="2.2.3. Histor-Estadis Serv"/>
      <sheetName val="2.4. .MTBF"/>
      <sheetName val="2.4.Tear Down"/>
      <sheetName val="3.1 IG US$-BbL33"/>
      <sheetName val="Mhw-1Chart"/>
      <sheetName val="Mhw-1 test"/>
      <sheetName val="BC - 1 (2)"/>
      <sheetName val="Email"/>
      <sheetName val="BANGKIRAI CENTRAL-1"/>
      <sheetName val="Master"/>
      <sheetName val="Summary"/>
      <sheetName val="WTH"/>
      <sheetName val="Fish"/>
      <sheetName val="Gun (1)"/>
      <sheetName val="Gun (2)"/>
      <sheetName val="CBF Pins"/>
      <sheetName val="CBF-N2 Pins"/>
      <sheetName val="DPF Pins"/>
      <sheetName val="HDF Pins"/>
      <sheetName val="HDF Delay"/>
      <sheetName val="HDF-N2 Pins"/>
      <sheetName val="HDF-N2 Delay"/>
      <sheetName val="HDF Delay (POUV)"/>
      <sheetName val="POUV Pins"/>
      <sheetName val="FLUP Pins"/>
      <sheetName val="e-Fire Command"/>
      <sheetName val="Consulta"/>
      <sheetName val="Sol-Mat"/>
      <sheetName val="Issues EP"/>
      <sheetName val="POBaker"/>
      <sheetName val="Desassy"/>
      <sheetName val="ID Heavy"/>
      <sheetName val="STOCK MASTER"/>
      <sheetName val="Grouping"/>
      <sheetName val="Codigus"/>
      <sheetName val="P.A.Files"/>
      <sheetName val="Resistencia  FT"/>
      <sheetName val="Issues_EP"/>
      <sheetName val="ID_Heavy"/>
      <sheetName val="STOCK_MASTER"/>
      <sheetName val="P_A_Files"/>
      <sheetName val="Run Sheet"/>
      <sheetName val="col de teste"/>
      <sheetName val="Call Sheet"/>
      <sheetName val="Tests"/>
      <sheetName val="Paramètres"/>
      <sheetName val="BSW"/>
      <sheetName val="Likalala PCI"/>
      <sheetName val="Prosper PVT"/>
      <sheetName val="MyJob-Correlation"/>
      <sheetName val="CSR"/>
      <sheetName val="1.1.Current operation condition"/>
      <sheetName val="1.2.Well capacity"/>
      <sheetName val="1.3. Recommendations"/>
      <sheetName val="1.4. Inventory"/>
      <sheetName val="1.5. Equipments"/>
      <sheetName val="1.6 Current Run Life"/>
      <sheetName val="YA-03"/>
      <sheetName val="YA-10"/>
      <sheetName val="YA-16"/>
      <sheetName val="YB-01"/>
      <sheetName val="YB-03"/>
      <sheetName val="YB-09"/>
      <sheetName val="YB-11"/>
      <sheetName val="YB-12"/>
      <sheetName val="YB-13"/>
      <sheetName val="YB-15"/>
      <sheetName val="cleaned"/>
      <sheetName val="Front page"/>
      <sheetName val="index "/>
      <sheetName val="Test program"/>
      <sheetName val="Measuring Eqpt."/>
      <sheetName val="Eqpt. Layout"/>
      <sheetName val="Eqpt. Spec."/>
      <sheetName val="Test String Tally"/>
      <sheetName val="Sampling List"/>
      <sheetName val="Operation"/>
      <sheetName val="Data Sheet"/>
      <sheetName val="Gas Calcs"/>
      <sheetName val="Meter calcs."/>
      <sheetName val="PVT Sampling"/>
      <sheetName val="divider"/>
      <sheetName val="COVER SHEET"/>
      <sheetName val="8.Data Sheet (2)"/>
      <sheetName val="Field readings"/>
      <sheetName val="8.Data Sheet"/>
      <sheetName val="7.Main Result  "/>
      <sheetName val="6.Seq Of Events"/>
      <sheetName val="15.Tank Calcs."/>
      <sheetName val="ALL Top Cover"/>
      <sheetName val="1.Cover"/>
      <sheetName val="2.Index"/>
      <sheetName val="3.Measuring Equipment"/>
      <sheetName val="4.P&amp;ID"/>
      <sheetName val="5.lay out"/>
      <sheetName val="9.Gas &amp; Liquids Analysis  "/>
      <sheetName val="12.OIL Calcs method - Meter "/>
      <sheetName val="14.Oil Rate Calculation Method"/>
      <sheetName val="DST#2WT"/>
      <sheetName val="WT DATA"/>
      <sheetName val="Cover    "/>
      <sheetName val="Seq Of Events"/>
      <sheetName val="DST BHA METRIC"/>
      <sheetName val="Oil Meter calcs."/>
      <sheetName val="Layout"/>
      <sheetName val="SEPRPT"/>
      <sheetName val="CM21605"/>
      <sheetName val="CMSAMP~1"/>
      <sheetName val="1. RUN REPORT COVER"/>
      <sheetName val="5. SENSOR RIH SHEET"/>
      <sheetName val="8. SERVICE TICKET"/>
      <sheetName val="9. CLIENT SATISF. REPORT"/>
      <sheetName val="REPORT COVER"/>
      <sheetName val="RUN ACTIVITY REPORT"/>
      <sheetName val="WELL SCHEMATIC"/>
      <sheetName val="RIH &amp; STARTUP REPORT"/>
      <sheetName val="SEQUENCE OF EVENTS"/>
      <sheetName val="Drilling Time"/>
      <sheetName val="\CAIRN INDIA\Well Test\benox\ma"/>
      <sheetName val="B1"/>
      <sheetName val="B2"/>
      <sheetName val="B3"/>
      <sheetName val="B4"/>
      <sheetName val="B5"/>
      <sheetName val="D17"/>
      <sheetName val="B6"/>
      <sheetName val="B7"/>
      <sheetName val="#D17"/>
      <sheetName val="D21(D1-J)"/>
      <sheetName val="[cleaned][cleaned]DST_2_DST_2_3"/>
      <sheetName val="[cleaned][cleaned]DST_2_DST_2_2"/>
      <sheetName val="[cleaned][cleaned]DST_2_DST_2_5"/>
      <sheetName val="[cleaned][cleaned]DST_2_DST_2_4"/>
      <sheetName val="DST#2\DST#2WT.XLS"/>
      <sheetName val="[cleaned]DST#2\DST#2WT.XLS"/>
      <sheetName val="[cleaned][cleaned]DST_2_DST_2_6"/>
      <sheetName val="[cleaned][cleaned]DST_2_DST__18"/>
      <sheetName val="[cleaned][cleaned]DST_2_DST__17"/>
      <sheetName val="[cleaned][cleaned]DST_2_DST_2_8"/>
      <sheetName val="[cleaned][cleaned]DST_2_DST_2_7"/>
      <sheetName val="[cleaned][cleaned]DST_2_DST_2_9"/>
      <sheetName val="[cleaned][cleaned]DST_2_DST__11"/>
      <sheetName val="[cleaned][cleaned]DST_2_DST__10"/>
      <sheetName val="[cleaned][cleaned]DST_2_DST__12"/>
      <sheetName val="[cleaned][cleaned]DST_2_DST__14"/>
      <sheetName val="[cleaned][cleaned]DST_2_DST__13"/>
      <sheetName val="[cleaned][cleaned]DST_2_DST__16"/>
      <sheetName val="[cleaned][cleaned]DST_2_DST__15"/>
      <sheetName val="[cleaned][cleaned]DST_2_DST__19"/>
      <sheetName val="[cleaned][cleaned]DST_2_DST__28"/>
      <sheetName val="[cleaned][cleaned]DST_2_DST__29"/>
      <sheetName val="[cleaned][cleaned]DST_2_DST__20"/>
      <sheetName val="[cleaned][cleaned]DST_2_DST__23"/>
      <sheetName val="[cleaned][cleaned]DST_2_DST__21"/>
      <sheetName val="[cleaned][cleaned]DST_2_DST__22"/>
      <sheetName val="[cleaned][cleaned]DST_2_DST__24"/>
      <sheetName val="[cleaned][cleaned]DST_2_DST__25"/>
      <sheetName val="[cleaned][cleaned]DST_2_DST__26"/>
      <sheetName val="[cleaned][cleaned]DST_2_DST__27"/>
      <sheetName val="[cleaned][cleaned]DST_2_DST__30"/>
      <sheetName val="[cleaned][cleaned]DST_2_DST__32"/>
      <sheetName val="[cleaned][cleaned]DST_2_DST__31"/>
      <sheetName val="3. WELL SCHEMATIC"/>
    </sheetNames>
    <definedNames>
      <definedName name="API"/>
      <definedName name="Fah"/>
      <definedName name="Fb"/>
      <definedName name="Fpv"/>
      <definedName name="Fr"/>
      <definedName name="K"/>
      <definedName name="Shrinkage"/>
      <definedName name="Y"/>
    </defined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refreshError="1"/>
      <sheetData sheetId="13" refreshError="1"/>
      <sheetData sheetId="14"/>
      <sheetData sheetId="15"/>
      <sheetData sheetId="16"/>
      <sheetData sheetId="17" refreshError="1"/>
      <sheetData sheetId="18"/>
      <sheetData sheetId="19" refreshError="1"/>
      <sheetData sheetId="20" refreshError="1"/>
      <sheetData sheetId="21" refreshError="1"/>
      <sheetData sheetId="22" refreshError="1"/>
      <sheetData sheetId="23"/>
      <sheetData sheetId="24"/>
      <sheetData sheetId="25"/>
      <sheetData sheetId="26"/>
      <sheetData sheetId="27"/>
      <sheetData sheetId="28" refreshError="1"/>
      <sheetData sheetId="29"/>
      <sheetData sheetId="30">
        <row r="3">
          <cell r="C3" t="str">
            <v>Hocol</v>
          </cell>
        </row>
      </sheetData>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refreshError="1"/>
      <sheetData sheetId="71"/>
      <sheetData sheetId="72"/>
      <sheetData sheetId="73">
        <row r="3">
          <cell r="C3" t="str">
            <v>Hocol</v>
          </cell>
        </row>
      </sheetData>
      <sheetData sheetId="74"/>
      <sheetData sheetId="75"/>
      <sheetData sheetId="76">
        <row r="3">
          <cell r="C3" t="str">
            <v>Hocol</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ow r="2">
          <cell r="A2" t="str">
            <v>AD</v>
          </cell>
        </row>
      </sheetData>
      <sheetData sheetId="87"/>
      <sheetData sheetId="88"/>
      <sheetData sheetId="89">
        <row r="2">
          <cell r="A2" t="str">
            <v>AD</v>
          </cell>
        </row>
      </sheetData>
      <sheetData sheetId="90"/>
      <sheetData sheetId="91">
        <row r="2">
          <cell r="F2">
            <v>924.00489445840299</v>
          </cell>
        </row>
      </sheetData>
      <sheetData sheetId="92" refreshError="1"/>
      <sheetData sheetId="93">
        <row r="6">
          <cell r="K6" t="str">
            <v>RKB</v>
          </cell>
        </row>
      </sheetData>
      <sheetData sheetId="94">
        <row r="2">
          <cell r="F2">
            <v>924.00489445840299</v>
          </cell>
        </row>
      </sheetData>
      <sheetData sheetId="95"/>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sheetData sheetId="106"/>
      <sheetData sheetId="107"/>
      <sheetData sheetId="108"/>
      <sheetData sheetId="109" refreshError="1"/>
      <sheetData sheetId="110"/>
      <sheetData sheetId="111"/>
      <sheetData sheetId="112">
        <row r="6">
          <cell r="K6" t="str">
            <v>RKB</v>
          </cell>
        </row>
      </sheetData>
      <sheetData sheetId="113" refreshError="1"/>
      <sheetData sheetId="114" refreshError="1"/>
      <sheetData sheetId="115" refreshError="1"/>
      <sheetData sheetId="116"/>
      <sheetData sheetId="117"/>
      <sheetData sheetId="118"/>
      <sheetData sheetId="119">
        <row r="3">
          <cell r="C3" t="str">
            <v>Hocol</v>
          </cell>
        </row>
      </sheetData>
      <sheetData sheetId="120"/>
      <sheetData sheetId="121"/>
      <sheetData sheetId="122"/>
      <sheetData sheetId="123"/>
      <sheetData sheetId="124"/>
      <sheetData sheetId="125"/>
      <sheetData sheetId="126"/>
      <sheetData sheetId="127"/>
      <sheetData sheetId="128"/>
      <sheetData sheetId="129"/>
      <sheetData sheetId="130"/>
      <sheetData sheetId="131"/>
      <sheetData sheetId="132">
        <row r="2">
          <cell r="A2" t="str">
            <v>AD</v>
          </cell>
        </row>
      </sheetData>
      <sheetData sheetId="133"/>
      <sheetData sheetId="134"/>
      <sheetData sheetId="135"/>
      <sheetData sheetId="136"/>
      <sheetData sheetId="137">
        <row r="2">
          <cell r="F2">
            <v>924.00489445840299</v>
          </cell>
        </row>
      </sheetData>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ow r="6">
          <cell r="C6">
            <v>37338</v>
          </cell>
        </row>
      </sheetData>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refreshError="1"/>
      <sheetData sheetId="190" refreshError="1"/>
      <sheetData sheetId="191" refreshError="1"/>
      <sheetData sheetId="192" refreshError="1"/>
      <sheetData sheetId="193"/>
      <sheetData sheetId="194"/>
      <sheetData sheetId="195"/>
      <sheetData sheetId="196"/>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sheetData sheetId="220"/>
      <sheetData sheetId="221"/>
      <sheetData sheetId="222"/>
      <sheetData sheetId="223"/>
      <sheetData sheetId="224" refreshError="1"/>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sheetData sheetId="270"/>
      <sheetData sheetId="271"/>
      <sheetData sheetId="272"/>
      <sheetData sheetId="273"/>
      <sheetData sheetId="274">
        <row r="10">
          <cell r="Y10">
            <v>44102</v>
          </cell>
        </row>
      </sheetData>
      <sheetData sheetId="275"/>
      <sheetData sheetId="276">
        <row r="10">
          <cell r="Y10">
            <v>44102</v>
          </cell>
        </row>
      </sheetData>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4.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5.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6.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7.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8.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9"/>
  <sheetViews>
    <sheetView topLeftCell="A97" workbookViewId="0">
      <selection activeCell="C123" sqref="C123"/>
    </sheetView>
  </sheetViews>
  <sheetFormatPr defaultRowHeight="15" x14ac:dyDescent="0.25"/>
  <cols>
    <col min="1" max="1" width="31.28515625" customWidth="1"/>
    <col min="2" max="2" width="26.28515625" customWidth="1"/>
    <col min="3" max="3" width="10.28515625" customWidth="1"/>
    <col min="4" max="4" width="42.28515625" customWidth="1"/>
  </cols>
  <sheetData>
    <row r="1" spans="1:4" ht="16.5" thickBot="1" x14ac:dyDescent="0.3">
      <c r="A1" s="108" t="s">
        <v>98</v>
      </c>
      <c r="B1" s="109" t="s">
        <v>99</v>
      </c>
      <c r="C1" s="110" t="s">
        <v>100</v>
      </c>
      <c r="D1" s="111" t="s">
        <v>101</v>
      </c>
    </row>
    <row r="2" spans="1:4" ht="15.75" x14ac:dyDescent="0.25">
      <c r="A2" s="1420">
        <v>44197</v>
      </c>
      <c r="B2" s="112" t="s">
        <v>17</v>
      </c>
      <c r="C2" s="113"/>
      <c r="D2" s="114"/>
    </row>
    <row r="3" spans="1:4" x14ac:dyDescent="0.25">
      <c r="A3" s="1421"/>
      <c r="B3" s="115" t="s">
        <v>102</v>
      </c>
      <c r="C3" s="57"/>
      <c r="D3" s="116"/>
    </row>
    <row r="4" spans="1:4" x14ac:dyDescent="0.25">
      <c r="A4" s="1421"/>
      <c r="B4" s="117" t="s">
        <v>103</v>
      </c>
      <c r="C4" s="118"/>
      <c r="D4" s="116"/>
    </row>
    <row r="5" spans="1:4" ht="15.75" thickBot="1" x14ac:dyDescent="0.3">
      <c r="A5" s="1422"/>
      <c r="B5" s="119" t="s">
        <v>104</v>
      </c>
      <c r="C5" s="120"/>
      <c r="D5" s="121"/>
    </row>
    <row r="6" spans="1:4" ht="15.75" x14ac:dyDescent="0.25">
      <c r="A6" s="1420">
        <v>44198</v>
      </c>
      <c r="B6" s="112" t="s">
        <v>17</v>
      </c>
      <c r="C6" s="113"/>
      <c r="D6" s="114"/>
    </row>
    <row r="7" spans="1:4" x14ac:dyDescent="0.25">
      <c r="A7" s="1421"/>
      <c r="B7" s="115" t="s">
        <v>102</v>
      </c>
      <c r="C7" s="57"/>
      <c r="D7" s="116"/>
    </row>
    <row r="8" spans="1:4" x14ac:dyDescent="0.25">
      <c r="A8" s="1421"/>
      <c r="B8" s="117" t="s">
        <v>103</v>
      </c>
      <c r="C8" s="118"/>
      <c r="D8" s="116"/>
    </row>
    <row r="9" spans="1:4" ht="15.75" thickBot="1" x14ac:dyDescent="0.3">
      <c r="A9" s="1422"/>
      <c r="B9" s="119" t="s">
        <v>104</v>
      </c>
      <c r="C9" s="120"/>
      <c r="D9" s="121"/>
    </row>
    <row r="10" spans="1:4" ht="15.75" x14ac:dyDescent="0.25">
      <c r="A10" s="1420">
        <v>44199</v>
      </c>
      <c r="B10" s="112" t="s">
        <v>17</v>
      </c>
      <c r="C10" s="113"/>
      <c r="D10" s="114"/>
    </row>
    <row r="11" spans="1:4" x14ac:dyDescent="0.25">
      <c r="A11" s="1421"/>
      <c r="B11" s="115" t="s">
        <v>102</v>
      </c>
      <c r="C11" s="57"/>
      <c r="D11" s="116"/>
    </row>
    <row r="12" spans="1:4" x14ac:dyDescent="0.25">
      <c r="A12" s="1421"/>
      <c r="B12" s="117" t="s">
        <v>103</v>
      </c>
      <c r="C12" s="118"/>
      <c r="D12" s="116"/>
    </row>
    <row r="13" spans="1:4" ht="15.75" thickBot="1" x14ac:dyDescent="0.3">
      <c r="A13" s="1422"/>
      <c r="B13" s="119" t="s">
        <v>104</v>
      </c>
      <c r="C13" s="120"/>
      <c r="D13" s="121"/>
    </row>
    <row r="14" spans="1:4" ht="15.75" x14ac:dyDescent="0.25">
      <c r="A14" s="1420">
        <v>44200</v>
      </c>
      <c r="B14" s="122" t="s">
        <v>17</v>
      </c>
      <c r="C14" s="123"/>
      <c r="D14" s="116"/>
    </row>
    <row r="15" spans="1:4" x14ac:dyDescent="0.25">
      <c r="A15" s="1421"/>
      <c r="B15" s="115" t="s">
        <v>102</v>
      </c>
      <c r="C15" s="57"/>
      <c r="D15" s="116"/>
    </row>
    <row r="16" spans="1:4" x14ac:dyDescent="0.25">
      <c r="A16" s="1421"/>
      <c r="B16" s="117" t="s">
        <v>103</v>
      </c>
      <c r="C16" s="118"/>
      <c r="D16" s="116"/>
    </row>
    <row r="17" spans="1:4" ht="15.75" thickBot="1" x14ac:dyDescent="0.3">
      <c r="A17" s="1422"/>
      <c r="B17" s="119" t="s">
        <v>104</v>
      </c>
      <c r="C17" s="120"/>
      <c r="D17" s="121"/>
    </row>
    <row r="18" spans="1:4" ht="15.75" x14ac:dyDescent="0.25">
      <c r="A18" s="1420">
        <v>44201</v>
      </c>
      <c r="B18" s="122" t="s">
        <v>17</v>
      </c>
      <c r="C18" s="113"/>
      <c r="D18" s="1417"/>
    </row>
    <row r="19" spans="1:4" x14ac:dyDescent="0.25">
      <c r="A19" s="1421"/>
      <c r="B19" s="115" t="s">
        <v>102</v>
      </c>
      <c r="C19" s="57"/>
      <c r="D19" s="1418"/>
    </row>
    <row r="20" spans="1:4" x14ac:dyDescent="0.25">
      <c r="A20" s="1421"/>
      <c r="B20" s="117" t="s">
        <v>103</v>
      </c>
      <c r="C20" s="124"/>
      <c r="D20" s="1418"/>
    </row>
    <row r="21" spans="1:4" ht="15.75" thickBot="1" x14ac:dyDescent="0.3">
      <c r="A21" s="1422"/>
      <c r="B21" s="119" t="s">
        <v>104</v>
      </c>
      <c r="C21" s="120"/>
      <c r="D21" s="1419"/>
    </row>
    <row r="22" spans="1:4" ht="15.75" x14ac:dyDescent="0.25">
      <c r="A22" s="1420">
        <v>44202</v>
      </c>
      <c r="B22" s="112" t="s">
        <v>17</v>
      </c>
      <c r="C22" s="113"/>
      <c r="D22" s="1417"/>
    </row>
    <row r="23" spans="1:4" x14ac:dyDescent="0.25">
      <c r="A23" s="1421"/>
      <c r="B23" s="125" t="s">
        <v>102</v>
      </c>
      <c r="C23" s="57"/>
      <c r="D23" s="1418"/>
    </row>
    <row r="24" spans="1:4" x14ac:dyDescent="0.25">
      <c r="A24" s="1421"/>
      <c r="B24" s="117" t="s">
        <v>103</v>
      </c>
      <c r="C24" s="118"/>
      <c r="D24" s="1418"/>
    </row>
    <row r="25" spans="1:4" ht="15.75" thickBot="1" x14ac:dyDescent="0.3">
      <c r="A25" s="1422"/>
      <c r="B25" s="119" t="s">
        <v>104</v>
      </c>
      <c r="C25" s="120"/>
      <c r="D25" s="1423"/>
    </row>
    <row r="26" spans="1:4" ht="27.75" customHeight="1" x14ac:dyDescent="0.25">
      <c r="A26" s="1420">
        <v>44203</v>
      </c>
      <c r="B26" s="112" t="s">
        <v>17</v>
      </c>
      <c r="C26" s="113"/>
      <c r="D26" s="1417"/>
    </row>
    <row r="27" spans="1:4" x14ac:dyDescent="0.25">
      <c r="A27" s="1421"/>
      <c r="B27" s="115" t="s">
        <v>102</v>
      </c>
      <c r="C27" s="126"/>
      <c r="D27" s="1418"/>
    </row>
    <row r="28" spans="1:4" x14ac:dyDescent="0.25">
      <c r="A28" s="1421"/>
      <c r="B28" s="117" t="s">
        <v>103</v>
      </c>
      <c r="C28" s="126"/>
      <c r="D28" s="1418"/>
    </row>
    <row r="29" spans="1:4" ht="15.75" thickBot="1" x14ac:dyDescent="0.3">
      <c r="A29" s="1422"/>
      <c r="B29" s="119" t="s">
        <v>104</v>
      </c>
      <c r="C29" s="120"/>
      <c r="D29" s="1423"/>
    </row>
    <row r="30" spans="1:4" ht="15.75" x14ac:dyDescent="0.25">
      <c r="A30" s="1420">
        <v>44204</v>
      </c>
      <c r="B30" s="122" t="s">
        <v>17</v>
      </c>
      <c r="C30" s="123"/>
      <c r="D30" s="116"/>
    </row>
    <row r="31" spans="1:4" x14ac:dyDescent="0.25">
      <c r="A31" s="1421"/>
      <c r="B31" s="125" t="s">
        <v>102</v>
      </c>
      <c r="C31" s="57"/>
      <c r="D31" s="116"/>
    </row>
    <row r="32" spans="1:4" x14ac:dyDescent="0.25">
      <c r="A32" s="1421"/>
      <c r="B32" s="117" t="s">
        <v>103</v>
      </c>
      <c r="C32" s="118"/>
      <c r="D32" s="116"/>
    </row>
    <row r="33" spans="1:4" ht="15.75" thickBot="1" x14ac:dyDescent="0.3">
      <c r="A33" s="1422"/>
      <c r="B33" s="119" t="s">
        <v>104</v>
      </c>
      <c r="C33" s="120"/>
      <c r="D33" s="121"/>
    </row>
    <row r="34" spans="1:4" ht="15.75" x14ac:dyDescent="0.25">
      <c r="A34" s="1420">
        <v>44205</v>
      </c>
      <c r="B34" s="112" t="s">
        <v>17</v>
      </c>
      <c r="C34" s="113"/>
      <c r="D34" s="114"/>
    </row>
    <row r="35" spans="1:4" x14ac:dyDescent="0.25">
      <c r="A35" s="1421"/>
      <c r="B35" s="115" t="s">
        <v>102</v>
      </c>
      <c r="C35" s="57"/>
      <c r="D35" s="116"/>
    </row>
    <row r="36" spans="1:4" x14ac:dyDescent="0.25">
      <c r="A36" s="1421"/>
      <c r="B36" s="117" t="s">
        <v>103</v>
      </c>
      <c r="C36" s="118"/>
      <c r="D36" s="116"/>
    </row>
    <row r="37" spans="1:4" ht="15.75" thickBot="1" x14ac:dyDescent="0.3">
      <c r="A37" s="1422"/>
      <c r="B37" s="119" t="s">
        <v>104</v>
      </c>
      <c r="C37" s="120"/>
      <c r="D37" s="121"/>
    </row>
    <row r="38" spans="1:4" ht="15.75" x14ac:dyDescent="0.25">
      <c r="A38" s="1420">
        <v>44206</v>
      </c>
      <c r="B38" s="122" t="s">
        <v>17</v>
      </c>
      <c r="C38" s="123">
        <v>1</v>
      </c>
      <c r="D38" s="116"/>
    </row>
    <row r="39" spans="1:4" x14ac:dyDescent="0.25">
      <c r="A39" s="1421"/>
      <c r="B39" s="115" t="s">
        <v>102</v>
      </c>
      <c r="C39" s="143">
        <v>5</v>
      </c>
      <c r="D39" s="116" t="s">
        <v>85</v>
      </c>
    </row>
    <row r="40" spans="1:4" x14ac:dyDescent="0.25">
      <c r="A40" s="1421"/>
      <c r="B40" s="117" t="s">
        <v>103</v>
      </c>
      <c r="C40" s="126">
        <v>0</v>
      </c>
      <c r="D40" s="116"/>
    </row>
    <row r="41" spans="1:4" ht="15.75" thickBot="1" x14ac:dyDescent="0.3">
      <c r="A41" s="1422"/>
      <c r="B41" s="119" t="s">
        <v>104</v>
      </c>
      <c r="C41" s="120">
        <v>0</v>
      </c>
      <c r="D41" s="121"/>
    </row>
    <row r="42" spans="1:4" ht="15.75" x14ac:dyDescent="0.25">
      <c r="A42" s="1420">
        <v>44207</v>
      </c>
      <c r="B42" s="122" t="s">
        <v>17</v>
      </c>
      <c r="C42" s="113">
        <v>1</v>
      </c>
      <c r="D42" s="1417" t="s">
        <v>86</v>
      </c>
    </row>
    <row r="43" spans="1:4" x14ac:dyDescent="0.25">
      <c r="A43" s="1421"/>
      <c r="B43" s="115" t="s">
        <v>102</v>
      </c>
      <c r="C43" s="143">
        <v>21.87</v>
      </c>
      <c r="D43" s="1418"/>
    </row>
    <row r="44" spans="1:4" x14ac:dyDescent="0.25">
      <c r="A44" s="1421"/>
      <c r="B44" s="117" t="s">
        <v>103</v>
      </c>
      <c r="C44" s="142">
        <v>0.13402777777777777</v>
      </c>
      <c r="D44" s="1418"/>
    </row>
    <row r="45" spans="1:4" ht="15.75" thickBot="1" x14ac:dyDescent="0.3">
      <c r="A45" s="1422"/>
      <c r="B45" s="119" t="s">
        <v>104</v>
      </c>
      <c r="C45" s="120">
        <v>0</v>
      </c>
      <c r="D45" s="1423"/>
    </row>
    <row r="46" spans="1:4" ht="15.75" x14ac:dyDescent="0.25">
      <c r="A46" s="1420">
        <v>44208</v>
      </c>
      <c r="B46" s="122" t="s">
        <v>17</v>
      </c>
      <c r="C46" s="113">
        <v>1</v>
      </c>
      <c r="D46" s="1417"/>
    </row>
    <row r="47" spans="1:4" x14ac:dyDescent="0.25">
      <c r="A47" s="1421"/>
      <c r="B47" s="115" t="s">
        <v>102</v>
      </c>
      <c r="C47" s="57">
        <v>24</v>
      </c>
      <c r="D47" s="1418"/>
    </row>
    <row r="48" spans="1:4" x14ac:dyDescent="0.25">
      <c r="A48" s="1421"/>
      <c r="B48" s="117" t="s">
        <v>103</v>
      </c>
      <c r="C48" s="118">
        <v>0</v>
      </c>
      <c r="D48" s="1418"/>
    </row>
    <row r="49" spans="1:4" ht="15.75" thickBot="1" x14ac:dyDescent="0.3">
      <c r="A49" s="1422"/>
      <c r="B49" s="119" t="s">
        <v>104</v>
      </c>
      <c r="C49" s="120">
        <v>0</v>
      </c>
      <c r="D49" s="1423"/>
    </row>
    <row r="50" spans="1:4" ht="15.75" x14ac:dyDescent="0.25">
      <c r="A50" s="1420">
        <v>44209</v>
      </c>
      <c r="B50" s="122" t="s">
        <v>17</v>
      </c>
      <c r="C50" s="113">
        <v>1</v>
      </c>
      <c r="D50" s="1417"/>
    </row>
    <row r="51" spans="1:4" x14ac:dyDescent="0.25">
      <c r="A51" s="1421"/>
      <c r="B51" s="115" t="s">
        <v>102</v>
      </c>
      <c r="C51" s="57">
        <v>24</v>
      </c>
      <c r="D51" s="1418"/>
    </row>
    <row r="52" spans="1:4" x14ac:dyDescent="0.25">
      <c r="A52" s="1421"/>
      <c r="B52" s="117" t="s">
        <v>103</v>
      </c>
      <c r="C52" s="118">
        <v>0</v>
      </c>
      <c r="D52" s="1418"/>
    </row>
    <row r="53" spans="1:4" ht="15.75" thickBot="1" x14ac:dyDescent="0.3">
      <c r="A53" s="1422"/>
      <c r="B53" s="119" t="s">
        <v>104</v>
      </c>
      <c r="C53" s="120">
        <v>0</v>
      </c>
      <c r="D53" s="1423"/>
    </row>
    <row r="54" spans="1:4" ht="15.75" x14ac:dyDescent="0.25">
      <c r="A54" s="1420">
        <v>44210</v>
      </c>
      <c r="B54" s="122" t="s">
        <v>17</v>
      </c>
      <c r="C54" s="113">
        <v>1</v>
      </c>
      <c r="D54" s="1417"/>
    </row>
    <row r="55" spans="1:4" x14ac:dyDescent="0.25">
      <c r="A55" s="1421"/>
      <c r="B55" s="115" t="s">
        <v>102</v>
      </c>
      <c r="C55" s="57">
        <v>24</v>
      </c>
      <c r="D55" s="1418"/>
    </row>
    <row r="56" spans="1:4" x14ac:dyDescent="0.25">
      <c r="A56" s="1421"/>
      <c r="B56" s="117" t="s">
        <v>103</v>
      </c>
      <c r="C56" s="118">
        <v>0</v>
      </c>
      <c r="D56" s="1418"/>
    </row>
    <row r="57" spans="1:4" ht="15.75" thickBot="1" x14ac:dyDescent="0.3">
      <c r="A57" s="1422"/>
      <c r="B57" s="119" t="s">
        <v>104</v>
      </c>
      <c r="C57" s="120">
        <v>0</v>
      </c>
      <c r="D57" s="1423"/>
    </row>
    <row r="58" spans="1:4" ht="15.75" x14ac:dyDescent="0.25">
      <c r="A58" s="1420">
        <v>44211</v>
      </c>
      <c r="B58" s="112" t="s">
        <v>17</v>
      </c>
      <c r="C58" s="113">
        <v>1</v>
      </c>
      <c r="D58" s="114"/>
    </row>
    <row r="59" spans="1:4" x14ac:dyDescent="0.25">
      <c r="A59" s="1421"/>
      <c r="B59" s="115" t="s">
        <v>102</v>
      </c>
      <c r="C59" s="57">
        <v>24</v>
      </c>
      <c r="D59" s="116"/>
    </row>
    <row r="60" spans="1:4" x14ac:dyDescent="0.25">
      <c r="A60" s="1421"/>
      <c r="B60" s="117" t="s">
        <v>103</v>
      </c>
      <c r="C60" s="118">
        <v>0</v>
      </c>
      <c r="D60" s="116"/>
    </row>
    <row r="61" spans="1:4" ht="15.75" thickBot="1" x14ac:dyDescent="0.3">
      <c r="A61" s="1422"/>
      <c r="B61" s="119" t="s">
        <v>104</v>
      </c>
      <c r="C61" s="120">
        <v>0</v>
      </c>
      <c r="D61" s="121"/>
    </row>
    <row r="62" spans="1:4" ht="15.75" x14ac:dyDescent="0.25">
      <c r="A62" s="1420">
        <v>44212</v>
      </c>
      <c r="B62" s="122" t="s">
        <v>17</v>
      </c>
      <c r="C62" s="150">
        <v>1</v>
      </c>
      <c r="D62" s="116"/>
    </row>
    <row r="63" spans="1:4" x14ac:dyDescent="0.25">
      <c r="A63" s="1421"/>
      <c r="B63" s="115" t="s">
        <v>102</v>
      </c>
      <c r="C63" s="151">
        <v>24</v>
      </c>
      <c r="D63" s="116"/>
    </row>
    <row r="64" spans="1:4" x14ac:dyDescent="0.25">
      <c r="A64" s="1421"/>
      <c r="B64" s="117" t="s">
        <v>103</v>
      </c>
      <c r="C64" s="152">
        <v>0</v>
      </c>
      <c r="D64" s="116"/>
    </row>
    <row r="65" spans="1:4" ht="15.75" thickBot="1" x14ac:dyDescent="0.3">
      <c r="A65" s="1422"/>
      <c r="B65" s="119" t="s">
        <v>104</v>
      </c>
      <c r="C65" s="153">
        <v>0</v>
      </c>
      <c r="D65" s="121"/>
    </row>
    <row r="66" spans="1:4" ht="15.75" x14ac:dyDescent="0.25">
      <c r="A66" s="1420">
        <v>44213</v>
      </c>
      <c r="B66" s="122" t="s">
        <v>17</v>
      </c>
      <c r="C66" s="150">
        <v>1</v>
      </c>
      <c r="D66" s="1417"/>
    </row>
    <row r="67" spans="1:4" x14ac:dyDescent="0.25">
      <c r="A67" s="1421"/>
      <c r="B67" s="115" t="s">
        <v>102</v>
      </c>
      <c r="C67" s="151">
        <v>24</v>
      </c>
      <c r="D67" s="1418"/>
    </row>
    <row r="68" spans="1:4" x14ac:dyDescent="0.25">
      <c r="A68" s="1421"/>
      <c r="B68" s="117" t="s">
        <v>103</v>
      </c>
      <c r="C68" s="152">
        <v>0</v>
      </c>
      <c r="D68" s="1418"/>
    </row>
    <row r="69" spans="1:4" ht="15.75" thickBot="1" x14ac:dyDescent="0.3">
      <c r="A69" s="1422"/>
      <c r="B69" s="119" t="s">
        <v>104</v>
      </c>
      <c r="C69" s="153">
        <v>0</v>
      </c>
      <c r="D69" s="1423"/>
    </row>
    <row r="70" spans="1:4" ht="15.75" x14ac:dyDescent="0.25">
      <c r="A70" s="1420">
        <v>44214</v>
      </c>
      <c r="B70" s="122" t="s">
        <v>17</v>
      </c>
      <c r="C70" s="150">
        <v>1</v>
      </c>
      <c r="D70" s="129"/>
    </row>
    <row r="71" spans="1:4" x14ac:dyDescent="0.25">
      <c r="A71" s="1421"/>
      <c r="B71" s="115" t="s">
        <v>102</v>
      </c>
      <c r="C71" s="151">
        <v>24</v>
      </c>
      <c r="D71" s="127"/>
    </row>
    <row r="72" spans="1:4" x14ac:dyDescent="0.25">
      <c r="A72" s="1421"/>
      <c r="B72" s="117" t="s">
        <v>103</v>
      </c>
      <c r="C72" s="152">
        <v>0</v>
      </c>
      <c r="D72" s="127"/>
    </row>
    <row r="73" spans="1:4" ht="15.75" thickBot="1" x14ac:dyDescent="0.3">
      <c r="A73" s="1422"/>
      <c r="B73" s="119" t="s">
        <v>104</v>
      </c>
      <c r="C73" s="153">
        <v>0</v>
      </c>
      <c r="D73" s="128"/>
    </row>
    <row r="74" spans="1:4" ht="15.75" x14ac:dyDescent="0.25">
      <c r="A74" s="1420">
        <v>44215</v>
      </c>
      <c r="B74" s="122" t="s">
        <v>17</v>
      </c>
      <c r="C74" s="150">
        <v>1</v>
      </c>
      <c r="D74" s="1417"/>
    </row>
    <row r="75" spans="1:4" x14ac:dyDescent="0.25">
      <c r="A75" s="1421"/>
      <c r="B75" s="115" t="s">
        <v>102</v>
      </c>
      <c r="C75" s="151">
        <v>24</v>
      </c>
      <c r="D75" s="1418"/>
    </row>
    <row r="76" spans="1:4" x14ac:dyDescent="0.25">
      <c r="A76" s="1421"/>
      <c r="B76" s="117" t="s">
        <v>103</v>
      </c>
      <c r="C76" s="152">
        <v>0</v>
      </c>
      <c r="D76" s="1418"/>
    </row>
    <row r="77" spans="1:4" ht="15.75" thickBot="1" x14ac:dyDescent="0.3">
      <c r="A77" s="1422"/>
      <c r="B77" s="119" t="s">
        <v>104</v>
      </c>
      <c r="C77" s="153">
        <v>0</v>
      </c>
      <c r="D77" s="1423"/>
    </row>
    <row r="78" spans="1:4" ht="15.75" x14ac:dyDescent="0.25">
      <c r="A78" s="1420">
        <v>44216</v>
      </c>
      <c r="B78" s="122" t="s">
        <v>17</v>
      </c>
      <c r="C78" s="150">
        <v>1</v>
      </c>
      <c r="D78" s="1417"/>
    </row>
    <row r="79" spans="1:4" x14ac:dyDescent="0.25">
      <c r="A79" s="1421"/>
      <c r="B79" s="115" t="s">
        <v>102</v>
      </c>
      <c r="C79" s="151">
        <v>24</v>
      </c>
      <c r="D79" s="1418"/>
    </row>
    <row r="80" spans="1:4" x14ac:dyDescent="0.25">
      <c r="A80" s="1421"/>
      <c r="B80" s="117" t="s">
        <v>103</v>
      </c>
      <c r="C80" s="152">
        <v>0</v>
      </c>
      <c r="D80" s="1418"/>
    </row>
    <row r="81" spans="1:4" ht="15.75" thickBot="1" x14ac:dyDescent="0.3">
      <c r="A81" s="1422"/>
      <c r="B81" s="119" t="s">
        <v>104</v>
      </c>
      <c r="C81" s="153">
        <v>0</v>
      </c>
      <c r="D81" s="1423"/>
    </row>
    <row r="82" spans="1:4" ht="15.75" x14ac:dyDescent="0.25">
      <c r="A82" s="1420">
        <v>44217</v>
      </c>
      <c r="B82" s="122" t="s">
        <v>17</v>
      </c>
      <c r="C82" s="150">
        <v>1</v>
      </c>
      <c r="D82" s="1417"/>
    </row>
    <row r="83" spans="1:4" x14ac:dyDescent="0.25">
      <c r="A83" s="1421"/>
      <c r="B83" s="115" t="s">
        <v>102</v>
      </c>
      <c r="C83" s="151">
        <v>24</v>
      </c>
      <c r="D83" s="1418"/>
    </row>
    <row r="84" spans="1:4" x14ac:dyDescent="0.25">
      <c r="A84" s="1421"/>
      <c r="B84" s="117" t="s">
        <v>103</v>
      </c>
      <c r="C84" s="152">
        <v>0</v>
      </c>
      <c r="D84" s="1418"/>
    </row>
    <row r="85" spans="1:4" ht="15.75" thickBot="1" x14ac:dyDescent="0.3">
      <c r="A85" s="1422"/>
      <c r="B85" s="119" t="s">
        <v>104</v>
      </c>
      <c r="C85" s="153">
        <v>0</v>
      </c>
      <c r="D85" s="1423"/>
    </row>
    <row r="86" spans="1:4" ht="15.75" x14ac:dyDescent="0.25">
      <c r="A86" s="1420">
        <v>44218</v>
      </c>
      <c r="B86" s="122" t="s">
        <v>17</v>
      </c>
      <c r="C86" s="150">
        <v>1</v>
      </c>
      <c r="D86" s="1417"/>
    </row>
    <row r="87" spans="1:4" x14ac:dyDescent="0.25">
      <c r="A87" s="1421"/>
      <c r="B87" s="115" t="s">
        <v>102</v>
      </c>
      <c r="C87" s="151">
        <v>24</v>
      </c>
      <c r="D87" s="1418"/>
    </row>
    <row r="88" spans="1:4" x14ac:dyDescent="0.25">
      <c r="A88" s="1421"/>
      <c r="B88" s="117" t="s">
        <v>103</v>
      </c>
      <c r="C88" s="152">
        <v>0</v>
      </c>
      <c r="D88" s="1418"/>
    </row>
    <row r="89" spans="1:4" ht="15.75" thickBot="1" x14ac:dyDescent="0.3">
      <c r="A89" s="1422"/>
      <c r="B89" s="119" t="s">
        <v>104</v>
      </c>
      <c r="C89" s="153">
        <v>0</v>
      </c>
      <c r="D89" s="1423"/>
    </row>
    <row r="90" spans="1:4" ht="15.75" x14ac:dyDescent="0.25">
      <c r="A90" s="1420">
        <v>44219</v>
      </c>
      <c r="B90" s="122" t="s">
        <v>17</v>
      </c>
      <c r="C90" s="150">
        <v>1</v>
      </c>
      <c r="D90" s="1417"/>
    </row>
    <row r="91" spans="1:4" x14ac:dyDescent="0.25">
      <c r="A91" s="1421"/>
      <c r="B91" s="115" t="s">
        <v>102</v>
      </c>
      <c r="C91" s="151">
        <v>24</v>
      </c>
      <c r="D91" s="1418"/>
    </row>
    <row r="92" spans="1:4" x14ac:dyDescent="0.25">
      <c r="A92" s="1421"/>
      <c r="B92" s="117" t="s">
        <v>103</v>
      </c>
      <c r="C92" s="152">
        <v>0</v>
      </c>
      <c r="D92" s="1418"/>
    </row>
    <row r="93" spans="1:4" ht="15.75" thickBot="1" x14ac:dyDescent="0.3">
      <c r="A93" s="1422"/>
      <c r="B93" s="119" t="s">
        <v>104</v>
      </c>
      <c r="C93" s="153">
        <v>0</v>
      </c>
      <c r="D93" s="1423"/>
    </row>
    <row r="94" spans="1:4" ht="15.75" x14ac:dyDescent="0.25">
      <c r="A94" s="1420">
        <v>44220</v>
      </c>
      <c r="B94" s="122" t="s">
        <v>17</v>
      </c>
      <c r="C94" s="150">
        <v>1</v>
      </c>
      <c r="D94" s="1417"/>
    </row>
    <row r="95" spans="1:4" x14ac:dyDescent="0.25">
      <c r="A95" s="1421"/>
      <c r="B95" s="115" t="s">
        <v>102</v>
      </c>
      <c r="C95" s="151">
        <v>24</v>
      </c>
      <c r="D95" s="1418"/>
    </row>
    <row r="96" spans="1:4" x14ac:dyDescent="0.25">
      <c r="A96" s="1421"/>
      <c r="B96" s="117" t="s">
        <v>103</v>
      </c>
      <c r="C96" s="152">
        <v>0</v>
      </c>
      <c r="D96" s="1418"/>
    </row>
    <row r="97" spans="1:4" ht="15.75" thickBot="1" x14ac:dyDescent="0.3">
      <c r="A97" s="1422"/>
      <c r="B97" s="119" t="s">
        <v>104</v>
      </c>
      <c r="C97" s="153">
        <v>0</v>
      </c>
      <c r="D97" s="1423"/>
    </row>
    <row r="98" spans="1:4" ht="15.75" x14ac:dyDescent="0.25">
      <c r="A98" s="1420">
        <v>44221</v>
      </c>
      <c r="B98" s="122" t="s">
        <v>17</v>
      </c>
      <c r="C98" s="150">
        <v>1</v>
      </c>
      <c r="D98" s="129"/>
    </row>
    <row r="99" spans="1:4" x14ac:dyDescent="0.25">
      <c r="A99" s="1421"/>
      <c r="B99" s="115" t="s">
        <v>102</v>
      </c>
      <c r="C99" s="151">
        <v>24</v>
      </c>
      <c r="D99" s="127"/>
    </row>
    <row r="100" spans="1:4" x14ac:dyDescent="0.25">
      <c r="A100" s="1421"/>
      <c r="B100" s="117" t="s">
        <v>103</v>
      </c>
      <c r="C100" s="152">
        <v>0</v>
      </c>
      <c r="D100" s="127"/>
    </row>
    <row r="101" spans="1:4" ht="15.75" thickBot="1" x14ac:dyDescent="0.3">
      <c r="A101" s="1422"/>
      <c r="B101" s="119" t="s">
        <v>104</v>
      </c>
      <c r="C101" s="153">
        <v>0</v>
      </c>
      <c r="D101" s="128"/>
    </row>
    <row r="102" spans="1:4" ht="15.75" x14ac:dyDescent="0.25">
      <c r="A102" s="1420">
        <v>44222</v>
      </c>
      <c r="B102" s="122" t="s">
        <v>17</v>
      </c>
      <c r="C102" s="150">
        <v>1</v>
      </c>
      <c r="D102" s="1417"/>
    </row>
    <row r="103" spans="1:4" x14ac:dyDescent="0.25">
      <c r="A103" s="1421"/>
      <c r="B103" s="117" t="s">
        <v>102</v>
      </c>
      <c r="C103" s="151">
        <v>24</v>
      </c>
      <c r="D103" s="1418"/>
    </row>
    <row r="104" spans="1:4" x14ac:dyDescent="0.25">
      <c r="A104" s="1421"/>
      <c r="B104" s="117" t="s">
        <v>103</v>
      </c>
      <c r="C104" s="152">
        <v>0</v>
      </c>
      <c r="D104" s="1418"/>
    </row>
    <row r="105" spans="1:4" ht="15.75" thickBot="1" x14ac:dyDescent="0.3">
      <c r="A105" s="1422"/>
      <c r="B105" s="119" t="s">
        <v>104</v>
      </c>
      <c r="C105" s="153">
        <v>0</v>
      </c>
      <c r="D105" s="1423"/>
    </row>
    <row r="106" spans="1:4" ht="15.75" x14ac:dyDescent="0.25">
      <c r="A106" s="1420">
        <v>44223</v>
      </c>
      <c r="B106" s="112" t="s">
        <v>17</v>
      </c>
      <c r="C106" s="150">
        <v>1</v>
      </c>
      <c r="D106" s="1417"/>
    </row>
    <row r="107" spans="1:4" x14ac:dyDescent="0.25">
      <c r="A107" s="1421"/>
      <c r="B107" s="117" t="s">
        <v>102</v>
      </c>
      <c r="C107" s="151">
        <v>24</v>
      </c>
      <c r="D107" s="1418"/>
    </row>
    <row r="108" spans="1:4" x14ac:dyDescent="0.25">
      <c r="A108" s="1421"/>
      <c r="B108" s="117" t="s">
        <v>103</v>
      </c>
      <c r="C108" s="152">
        <v>0</v>
      </c>
      <c r="D108" s="1418"/>
    </row>
    <row r="109" spans="1:4" ht="15.75" thickBot="1" x14ac:dyDescent="0.3">
      <c r="A109" s="1422"/>
      <c r="B109" s="119" t="s">
        <v>104</v>
      </c>
      <c r="C109" s="153">
        <v>0</v>
      </c>
      <c r="D109" s="1423"/>
    </row>
    <row r="110" spans="1:4" ht="15.75" x14ac:dyDescent="0.25">
      <c r="A110" s="1420">
        <v>44224</v>
      </c>
      <c r="B110" s="112" t="s">
        <v>17</v>
      </c>
      <c r="C110" s="150">
        <v>1</v>
      </c>
      <c r="D110" s="1417"/>
    </row>
    <row r="111" spans="1:4" x14ac:dyDescent="0.25">
      <c r="A111" s="1421"/>
      <c r="B111" s="117" t="s">
        <v>102</v>
      </c>
      <c r="C111" s="151">
        <v>24</v>
      </c>
      <c r="D111" s="1418"/>
    </row>
    <row r="112" spans="1:4" x14ac:dyDescent="0.25">
      <c r="A112" s="1421"/>
      <c r="B112" s="117" t="s">
        <v>103</v>
      </c>
      <c r="C112" s="152">
        <v>0</v>
      </c>
      <c r="D112" s="1418"/>
    </row>
    <row r="113" spans="1:4" ht="15.75" thickBot="1" x14ac:dyDescent="0.3">
      <c r="A113" s="1422"/>
      <c r="B113" s="119" t="s">
        <v>104</v>
      </c>
      <c r="C113" s="153">
        <v>0</v>
      </c>
      <c r="D113" s="1423"/>
    </row>
    <row r="114" spans="1:4" ht="15.75" x14ac:dyDescent="0.25">
      <c r="A114" s="1420">
        <v>44225</v>
      </c>
      <c r="B114" s="112" t="s">
        <v>17</v>
      </c>
      <c r="C114" s="150">
        <v>1</v>
      </c>
      <c r="D114" s="1417"/>
    </row>
    <row r="115" spans="1:4" x14ac:dyDescent="0.25">
      <c r="A115" s="1421"/>
      <c r="B115" s="117" t="s">
        <v>102</v>
      </c>
      <c r="C115" s="151">
        <v>24</v>
      </c>
      <c r="D115" s="1418"/>
    </row>
    <row r="116" spans="1:4" x14ac:dyDescent="0.25">
      <c r="A116" s="1421"/>
      <c r="B116" s="117" t="s">
        <v>103</v>
      </c>
      <c r="C116" s="152">
        <v>0</v>
      </c>
      <c r="D116" s="1418"/>
    </row>
    <row r="117" spans="1:4" ht="15.75" thickBot="1" x14ac:dyDescent="0.3">
      <c r="A117" s="1422"/>
      <c r="B117" s="119" t="s">
        <v>104</v>
      </c>
      <c r="C117" s="153">
        <v>0</v>
      </c>
      <c r="D117" s="1423"/>
    </row>
    <row r="118" spans="1:4" ht="15.75" x14ac:dyDescent="0.25">
      <c r="A118" s="1420">
        <v>44226</v>
      </c>
      <c r="B118" s="112" t="s">
        <v>17</v>
      </c>
      <c r="C118" s="150">
        <v>1</v>
      </c>
      <c r="D118" s="1417"/>
    </row>
    <row r="119" spans="1:4" x14ac:dyDescent="0.25">
      <c r="A119" s="1421"/>
      <c r="B119" s="117" t="s">
        <v>102</v>
      </c>
      <c r="C119" s="151">
        <v>24</v>
      </c>
      <c r="D119" s="1418"/>
    </row>
    <row r="120" spans="1:4" x14ac:dyDescent="0.25">
      <c r="A120" s="1421"/>
      <c r="B120" s="117" t="s">
        <v>103</v>
      </c>
      <c r="C120" s="152">
        <v>0</v>
      </c>
      <c r="D120" s="1418"/>
    </row>
    <row r="121" spans="1:4" ht="15.75" thickBot="1" x14ac:dyDescent="0.3">
      <c r="A121" s="1422"/>
      <c r="B121" s="119" t="s">
        <v>104</v>
      </c>
      <c r="C121" s="153">
        <v>0</v>
      </c>
      <c r="D121" s="1423"/>
    </row>
    <row r="122" spans="1:4" ht="15.75" x14ac:dyDescent="0.25">
      <c r="A122" s="1420">
        <v>44227</v>
      </c>
      <c r="B122" s="112" t="s">
        <v>17</v>
      </c>
      <c r="C122" s="150">
        <v>1</v>
      </c>
      <c r="D122" s="1417"/>
    </row>
    <row r="123" spans="1:4" x14ac:dyDescent="0.25">
      <c r="A123" s="1421"/>
      <c r="B123" s="117" t="s">
        <v>102</v>
      </c>
      <c r="C123" s="151">
        <v>24</v>
      </c>
      <c r="D123" s="1418"/>
    </row>
    <row r="124" spans="1:4" x14ac:dyDescent="0.25">
      <c r="A124" s="1421"/>
      <c r="B124" s="117" t="s">
        <v>103</v>
      </c>
      <c r="C124" s="152">
        <v>0</v>
      </c>
      <c r="D124" s="1418"/>
    </row>
    <row r="125" spans="1:4" ht="15.75" thickBot="1" x14ac:dyDescent="0.3">
      <c r="A125" s="1422"/>
      <c r="B125" s="119" t="s">
        <v>104</v>
      </c>
      <c r="C125" s="153">
        <v>0</v>
      </c>
      <c r="D125" s="1423"/>
    </row>
    <row r="126" spans="1:4" x14ac:dyDescent="0.25">
      <c r="A126" s="130" t="s">
        <v>105</v>
      </c>
      <c r="B126" s="131"/>
      <c r="C126" s="132">
        <f>SUM(C123,C119,C115,C111,C107,C103,C99,C95,C91,C87,C83,C79,C75,C71,C67,C119+C63,D59,C55,C51,C47,C43,C39,C35,C31,C27,C23,C19,C15,C11,C7,C3)</f>
        <v>506.87</v>
      </c>
      <c r="D126" s="115"/>
    </row>
    <row r="127" spans="1:4" x14ac:dyDescent="0.25">
      <c r="A127" s="133" t="s">
        <v>106</v>
      </c>
      <c r="B127" s="134"/>
      <c r="C127" s="135">
        <f>SUM(C116,C112,C108,C104,C100,C96,C92,C88,C84,C80,C76,C72,C68,C64,C60,C56,C52,C48,C44,C40,C36,C32,C28,C24,C16,C12,C8,C4)</f>
        <v>0.13402777777777777</v>
      </c>
      <c r="D127" s="117"/>
    </row>
    <row r="128" spans="1:4" ht="15.75" thickBot="1" x14ac:dyDescent="0.3">
      <c r="A128" s="136" t="s">
        <v>107</v>
      </c>
      <c r="B128" s="137"/>
      <c r="C128" s="138">
        <f>SUM(C117,C113,C109,C105,C101,C97,C93,C89,C85,C81,C77,C73,C69,C65,C61,C57,C53,C49,C45,C41,C37,C33,C29,C25,C21,C17,C13,C9,C5)</f>
        <v>0</v>
      </c>
      <c r="D128" s="119"/>
    </row>
    <row r="129" spans="1:4" ht="15.75" thickBot="1" x14ac:dyDescent="0.3">
      <c r="A129" s="139" t="s">
        <v>108</v>
      </c>
      <c r="B129" s="140"/>
      <c r="C129" s="140"/>
      <c r="D129" s="141"/>
    </row>
  </sheetData>
  <mergeCells count="51">
    <mergeCell ref="A122:A125"/>
    <mergeCell ref="D122:D125"/>
    <mergeCell ref="D42:D45"/>
    <mergeCell ref="D26:D29"/>
    <mergeCell ref="A110:A113"/>
    <mergeCell ref="D110:D113"/>
    <mergeCell ref="A114:A117"/>
    <mergeCell ref="D114:D117"/>
    <mergeCell ref="A118:A121"/>
    <mergeCell ref="D118:D121"/>
    <mergeCell ref="A94:A97"/>
    <mergeCell ref="D94:D97"/>
    <mergeCell ref="A98:A101"/>
    <mergeCell ref="A102:A105"/>
    <mergeCell ref="D102:D105"/>
    <mergeCell ref="A106:A109"/>
    <mergeCell ref="D106:D109"/>
    <mergeCell ref="A78:A81"/>
    <mergeCell ref="D78:D81"/>
    <mergeCell ref="A82:A85"/>
    <mergeCell ref="D82:D85"/>
    <mergeCell ref="A86:A89"/>
    <mergeCell ref="A90:A93"/>
    <mergeCell ref="D90:D93"/>
    <mergeCell ref="D86:D89"/>
    <mergeCell ref="A74:A77"/>
    <mergeCell ref="D74:D77"/>
    <mergeCell ref="A42:A45"/>
    <mergeCell ref="A46:A49"/>
    <mergeCell ref="D46:D49"/>
    <mergeCell ref="A50:A53"/>
    <mergeCell ref="D50:D53"/>
    <mergeCell ref="A54:A57"/>
    <mergeCell ref="D54:D57"/>
    <mergeCell ref="A58:A61"/>
    <mergeCell ref="A62:A65"/>
    <mergeCell ref="A66:A69"/>
    <mergeCell ref="D66:D69"/>
    <mergeCell ref="A70:A73"/>
    <mergeCell ref="D18:D21"/>
    <mergeCell ref="A38:A41"/>
    <mergeCell ref="A2:A5"/>
    <mergeCell ref="A6:A9"/>
    <mergeCell ref="A10:A13"/>
    <mergeCell ref="A14:A17"/>
    <mergeCell ref="A18:A21"/>
    <mergeCell ref="A22:A25"/>
    <mergeCell ref="D22:D25"/>
    <mergeCell ref="A26:A29"/>
    <mergeCell ref="A30:A33"/>
    <mergeCell ref="A34:A37"/>
  </mergeCell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E117"/>
  <sheetViews>
    <sheetView workbookViewId="0">
      <pane xSplit="1" ySplit="1" topLeftCell="B89" activePane="bottomRight" state="frozen"/>
      <selection pane="topRight" activeCell="B1" sqref="B1"/>
      <selection pane="bottomLeft" activeCell="A2" sqref="A2"/>
      <selection pane="bottomRight" activeCell="E110" sqref="E110:E113"/>
    </sheetView>
  </sheetViews>
  <sheetFormatPr defaultRowHeight="15" x14ac:dyDescent="0.25"/>
  <cols>
    <col min="1" max="1" width="31.28515625" customWidth="1"/>
    <col min="2" max="2" width="26.28515625" customWidth="1"/>
    <col min="3" max="4" width="10.28515625" customWidth="1"/>
    <col min="5" max="5" width="42.28515625" customWidth="1"/>
  </cols>
  <sheetData>
    <row r="1" spans="1:5" ht="16.5" thickBot="1" x14ac:dyDescent="0.3">
      <c r="A1" s="108" t="s">
        <v>98</v>
      </c>
      <c r="B1" s="109" t="s">
        <v>99</v>
      </c>
      <c r="C1" s="110" t="s">
        <v>100</v>
      </c>
      <c r="D1" s="173" t="s">
        <v>157</v>
      </c>
      <c r="E1" s="111" t="s">
        <v>101</v>
      </c>
    </row>
    <row r="2" spans="1:5" ht="15.75" x14ac:dyDescent="0.25">
      <c r="A2" s="1420">
        <v>44228</v>
      </c>
      <c r="B2" s="112" t="s">
        <v>17</v>
      </c>
      <c r="C2" s="150">
        <v>1</v>
      </c>
      <c r="D2" s="150"/>
      <c r="E2" s="114"/>
    </row>
    <row r="3" spans="1:5" x14ac:dyDescent="0.25">
      <c r="A3" s="1421"/>
      <c r="B3" s="115" t="s">
        <v>102</v>
      </c>
      <c r="C3" s="151">
        <v>24</v>
      </c>
      <c r="D3" s="151"/>
      <c r="E3" s="116"/>
    </row>
    <row r="4" spans="1:5" x14ac:dyDescent="0.25">
      <c r="A4" s="1421"/>
      <c r="B4" s="117" t="s">
        <v>103</v>
      </c>
      <c r="C4" s="151">
        <v>0</v>
      </c>
      <c r="D4" s="151"/>
      <c r="E4" s="116"/>
    </row>
    <row r="5" spans="1:5" ht="15.75" thickBot="1" x14ac:dyDescent="0.3">
      <c r="A5" s="1422"/>
      <c r="B5" s="119" t="s">
        <v>104</v>
      </c>
      <c r="C5" s="153">
        <v>0</v>
      </c>
      <c r="D5" s="153"/>
      <c r="E5" s="121"/>
    </row>
    <row r="6" spans="1:5" ht="15.75" x14ac:dyDescent="0.25">
      <c r="A6" s="1420">
        <v>44229</v>
      </c>
      <c r="B6" s="112" t="s">
        <v>17</v>
      </c>
      <c r="C6" s="150">
        <v>1</v>
      </c>
      <c r="D6" s="150"/>
      <c r="E6" s="114"/>
    </row>
    <row r="7" spans="1:5" x14ac:dyDescent="0.25">
      <c r="A7" s="1421"/>
      <c r="B7" s="115" t="s">
        <v>102</v>
      </c>
      <c r="C7" s="151">
        <v>24</v>
      </c>
      <c r="D7" s="151"/>
      <c r="E7" s="116"/>
    </row>
    <row r="8" spans="1:5" x14ac:dyDescent="0.25">
      <c r="A8" s="1421"/>
      <c r="B8" s="117" t="s">
        <v>103</v>
      </c>
      <c r="C8" s="151">
        <v>0</v>
      </c>
      <c r="D8" s="151"/>
      <c r="E8" s="116"/>
    </row>
    <row r="9" spans="1:5" ht="15.75" thickBot="1" x14ac:dyDescent="0.3">
      <c r="A9" s="1422"/>
      <c r="B9" s="119" t="s">
        <v>104</v>
      </c>
      <c r="C9" s="153">
        <v>0</v>
      </c>
      <c r="D9" s="153"/>
      <c r="E9" s="121"/>
    </row>
    <row r="10" spans="1:5" ht="15.75" x14ac:dyDescent="0.25">
      <c r="A10" s="1420">
        <v>44230</v>
      </c>
      <c r="B10" s="112" t="s">
        <v>17</v>
      </c>
      <c r="C10" s="150">
        <v>1</v>
      </c>
      <c r="D10" s="150"/>
      <c r="E10" s="114"/>
    </row>
    <row r="11" spans="1:5" x14ac:dyDescent="0.25">
      <c r="A11" s="1421"/>
      <c r="B11" s="115" t="s">
        <v>102</v>
      </c>
      <c r="C11" s="151">
        <v>24</v>
      </c>
      <c r="D11" s="151"/>
      <c r="E11" s="116"/>
    </row>
    <row r="12" spans="1:5" x14ac:dyDescent="0.25">
      <c r="A12" s="1421"/>
      <c r="B12" s="117" t="s">
        <v>103</v>
      </c>
      <c r="C12" s="151">
        <v>0</v>
      </c>
      <c r="D12" s="151"/>
      <c r="E12" s="116"/>
    </row>
    <row r="13" spans="1:5" ht="15.75" thickBot="1" x14ac:dyDescent="0.3">
      <c r="A13" s="1422"/>
      <c r="B13" s="119" t="s">
        <v>104</v>
      </c>
      <c r="C13" s="153">
        <v>0</v>
      </c>
      <c r="D13" s="153"/>
      <c r="E13" s="121"/>
    </row>
    <row r="14" spans="1:5" ht="15.75" x14ac:dyDescent="0.25">
      <c r="A14" s="1420">
        <v>44231</v>
      </c>
      <c r="B14" s="122" t="s">
        <v>17</v>
      </c>
      <c r="C14" s="150">
        <v>1</v>
      </c>
      <c r="D14" s="150"/>
      <c r="E14" s="116"/>
    </row>
    <row r="15" spans="1:5" x14ac:dyDescent="0.25">
      <c r="A15" s="1421"/>
      <c r="B15" s="115" t="s">
        <v>102</v>
      </c>
      <c r="C15" s="151">
        <v>24</v>
      </c>
      <c r="D15" s="151"/>
      <c r="E15" s="116"/>
    </row>
    <row r="16" spans="1:5" x14ac:dyDescent="0.25">
      <c r="A16" s="1421"/>
      <c r="B16" s="117" t="s">
        <v>103</v>
      </c>
      <c r="C16" s="151">
        <v>0</v>
      </c>
      <c r="D16" s="151"/>
      <c r="E16" s="116"/>
    </row>
    <row r="17" spans="1:5" ht="15.75" thickBot="1" x14ac:dyDescent="0.3">
      <c r="A17" s="1422"/>
      <c r="B17" s="119" t="s">
        <v>104</v>
      </c>
      <c r="C17" s="153">
        <v>0</v>
      </c>
      <c r="D17" s="153"/>
      <c r="E17" s="121"/>
    </row>
    <row r="18" spans="1:5" ht="15.75" x14ac:dyDescent="0.25">
      <c r="A18" s="1420">
        <v>44232</v>
      </c>
      <c r="B18" s="122" t="s">
        <v>17</v>
      </c>
      <c r="C18" s="150">
        <v>1</v>
      </c>
      <c r="D18" s="150"/>
      <c r="E18" s="1417" t="s">
        <v>149</v>
      </c>
    </row>
    <row r="19" spans="1:5" x14ac:dyDescent="0.25">
      <c r="A19" s="1421"/>
      <c r="B19" s="115" t="s">
        <v>102</v>
      </c>
      <c r="C19" s="151">
        <v>21.41</v>
      </c>
      <c r="D19" s="151"/>
      <c r="E19" s="1418"/>
    </row>
    <row r="20" spans="1:5" x14ac:dyDescent="0.25">
      <c r="A20" s="1421"/>
      <c r="B20" s="117" t="s">
        <v>103</v>
      </c>
      <c r="C20" s="151">
        <v>2.19</v>
      </c>
      <c r="D20" s="151"/>
      <c r="E20" s="1418"/>
    </row>
    <row r="21" spans="1:5" ht="15.75" thickBot="1" x14ac:dyDescent="0.3">
      <c r="A21" s="1422"/>
      <c r="B21" s="119" t="s">
        <v>104</v>
      </c>
      <c r="C21" s="153">
        <v>0</v>
      </c>
      <c r="D21" s="153"/>
      <c r="E21" s="1419"/>
    </row>
    <row r="22" spans="1:5" ht="15.75" x14ac:dyDescent="0.25">
      <c r="A22" s="1420">
        <v>44233</v>
      </c>
      <c r="B22" s="112" t="s">
        <v>17</v>
      </c>
      <c r="C22" s="150">
        <v>1</v>
      </c>
      <c r="D22" s="150"/>
      <c r="E22" s="1417"/>
    </row>
    <row r="23" spans="1:5" x14ac:dyDescent="0.25">
      <c r="A23" s="1421"/>
      <c r="B23" s="125" t="s">
        <v>102</v>
      </c>
      <c r="C23" s="151">
        <v>24</v>
      </c>
      <c r="D23" s="151"/>
      <c r="E23" s="1418"/>
    </row>
    <row r="24" spans="1:5" x14ac:dyDescent="0.25">
      <c r="A24" s="1421"/>
      <c r="B24" s="117" t="s">
        <v>103</v>
      </c>
      <c r="C24" s="151">
        <v>0</v>
      </c>
      <c r="D24" s="151"/>
      <c r="E24" s="1418"/>
    </row>
    <row r="25" spans="1:5" ht="15.75" thickBot="1" x14ac:dyDescent="0.3">
      <c r="A25" s="1422"/>
      <c r="B25" s="119" t="s">
        <v>104</v>
      </c>
      <c r="C25" s="153">
        <v>0</v>
      </c>
      <c r="D25" s="153"/>
      <c r="E25" s="1423"/>
    </row>
    <row r="26" spans="1:5" ht="15.75" x14ac:dyDescent="0.25">
      <c r="A26" s="1420">
        <v>44234</v>
      </c>
      <c r="B26" s="112" t="s">
        <v>17</v>
      </c>
      <c r="C26" s="150">
        <v>1</v>
      </c>
      <c r="D26" s="150"/>
      <c r="E26" s="1417"/>
    </row>
    <row r="27" spans="1:5" x14ac:dyDescent="0.25">
      <c r="A27" s="1421"/>
      <c r="B27" s="115" t="s">
        <v>102</v>
      </c>
      <c r="C27" s="151">
        <v>24</v>
      </c>
      <c r="D27" s="151"/>
      <c r="E27" s="1418"/>
    </row>
    <row r="28" spans="1:5" x14ac:dyDescent="0.25">
      <c r="A28" s="1421"/>
      <c r="B28" s="117" t="s">
        <v>103</v>
      </c>
      <c r="C28" s="151">
        <v>0</v>
      </c>
      <c r="D28" s="151"/>
      <c r="E28" s="1418"/>
    </row>
    <row r="29" spans="1:5" ht="15.75" thickBot="1" x14ac:dyDescent="0.3">
      <c r="A29" s="1422"/>
      <c r="B29" s="119" t="s">
        <v>104</v>
      </c>
      <c r="C29" s="153">
        <v>0</v>
      </c>
      <c r="D29" s="153"/>
      <c r="E29" s="1423"/>
    </row>
    <row r="30" spans="1:5" ht="15.75" x14ac:dyDescent="0.25">
      <c r="A30" s="1420">
        <v>44235</v>
      </c>
      <c r="B30" s="122" t="s">
        <v>17</v>
      </c>
      <c r="C30" s="150">
        <v>1</v>
      </c>
      <c r="D30" s="150"/>
      <c r="E30" s="116"/>
    </row>
    <row r="31" spans="1:5" x14ac:dyDescent="0.25">
      <c r="A31" s="1421"/>
      <c r="B31" s="125" t="s">
        <v>102</v>
      </c>
      <c r="C31" s="151">
        <v>24</v>
      </c>
      <c r="D31" s="151"/>
      <c r="E31" s="116"/>
    </row>
    <row r="32" spans="1:5" x14ac:dyDescent="0.25">
      <c r="A32" s="1421"/>
      <c r="B32" s="117" t="s">
        <v>103</v>
      </c>
      <c r="C32" s="151">
        <v>0</v>
      </c>
      <c r="D32" s="151"/>
      <c r="E32" s="116"/>
    </row>
    <row r="33" spans="1:5" ht="15.75" thickBot="1" x14ac:dyDescent="0.3">
      <c r="A33" s="1422"/>
      <c r="B33" s="119" t="s">
        <v>104</v>
      </c>
      <c r="C33" s="153">
        <v>0</v>
      </c>
      <c r="D33" s="153"/>
      <c r="E33" s="121"/>
    </row>
    <row r="34" spans="1:5" ht="15.75" x14ac:dyDescent="0.25">
      <c r="A34" s="1420">
        <v>44236</v>
      </c>
      <c r="B34" s="112" t="s">
        <v>17</v>
      </c>
      <c r="C34" s="150">
        <v>1</v>
      </c>
      <c r="D34" s="150"/>
      <c r="E34" s="1430" t="s">
        <v>168</v>
      </c>
    </row>
    <row r="35" spans="1:5" x14ac:dyDescent="0.25">
      <c r="A35" s="1421"/>
      <c r="B35" s="115" t="s">
        <v>102</v>
      </c>
      <c r="C35" s="151">
        <v>24</v>
      </c>
      <c r="D35" s="151"/>
      <c r="E35" s="1431"/>
    </row>
    <row r="36" spans="1:5" x14ac:dyDescent="0.25">
      <c r="A36" s="1421"/>
      <c r="B36" s="117" t="s">
        <v>103</v>
      </c>
      <c r="C36" s="151">
        <v>0</v>
      </c>
      <c r="D36" s="151"/>
      <c r="E36" s="1431"/>
    </row>
    <row r="37" spans="1:5" ht="15.75" thickBot="1" x14ac:dyDescent="0.3">
      <c r="A37" s="1422"/>
      <c r="B37" s="119" t="s">
        <v>104</v>
      </c>
      <c r="C37" s="153">
        <v>0</v>
      </c>
      <c r="D37" s="153"/>
      <c r="E37" s="1432"/>
    </row>
    <row r="38" spans="1:5" ht="15.75" x14ac:dyDescent="0.25">
      <c r="A38" s="1420">
        <v>44237</v>
      </c>
      <c r="B38" s="122" t="s">
        <v>17</v>
      </c>
      <c r="C38" s="150">
        <v>1</v>
      </c>
      <c r="D38" s="174">
        <v>1</v>
      </c>
      <c r="E38" s="116"/>
    </row>
    <row r="39" spans="1:5" x14ac:dyDescent="0.25">
      <c r="A39" s="1421"/>
      <c r="B39" s="115" t="s">
        <v>102</v>
      </c>
      <c r="C39" s="151">
        <v>24</v>
      </c>
      <c r="D39" s="175">
        <v>9.83</v>
      </c>
      <c r="E39" s="116"/>
    </row>
    <row r="40" spans="1:5" x14ac:dyDescent="0.25">
      <c r="A40" s="1421"/>
      <c r="B40" s="117" t="s">
        <v>103</v>
      </c>
      <c r="C40" s="151">
        <v>0</v>
      </c>
      <c r="D40" s="151">
        <v>0</v>
      </c>
      <c r="E40" s="116"/>
    </row>
    <row r="41" spans="1:5" ht="15.75" thickBot="1" x14ac:dyDescent="0.3">
      <c r="A41" s="1422"/>
      <c r="B41" s="119" t="s">
        <v>104</v>
      </c>
      <c r="C41" s="153">
        <v>0</v>
      </c>
      <c r="D41" s="153">
        <v>0</v>
      </c>
      <c r="E41" s="121"/>
    </row>
    <row r="42" spans="1:5" ht="15.75" x14ac:dyDescent="0.25">
      <c r="A42" s="1420">
        <v>44238</v>
      </c>
      <c r="B42" s="122" t="s">
        <v>17</v>
      </c>
      <c r="C42" s="150">
        <v>1</v>
      </c>
      <c r="D42" s="150">
        <v>1</v>
      </c>
      <c r="E42" s="1417"/>
    </row>
    <row r="43" spans="1:5" x14ac:dyDescent="0.25">
      <c r="A43" s="1421"/>
      <c r="B43" s="115" t="s">
        <v>102</v>
      </c>
      <c r="C43" s="151">
        <v>24</v>
      </c>
      <c r="D43" s="151">
        <v>24</v>
      </c>
      <c r="E43" s="1418"/>
    </row>
    <row r="44" spans="1:5" x14ac:dyDescent="0.25">
      <c r="A44" s="1421"/>
      <c r="B44" s="117" t="s">
        <v>103</v>
      </c>
      <c r="C44" s="151">
        <v>0</v>
      </c>
      <c r="D44" s="151">
        <v>0</v>
      </c>
      <c r="E44" s="1418"/>
    </row>
    <row r="45" spans="1:5" ht="15.75" thickBot="1" x14ac:dyDescent="0.3">
      <c r="A45" s="1422"/>
      <c r="B45" s="119" t="s">
        <v>104</v>
      </c>
      <c r="C45" s="153">
        <v>0</v>
      </c>
      <c r="D45" s="153">
        <v>0</v>
      </c>
      <c r="E45" s="1423"/>
    </row>
    <row r="46" spans="1:5" ht="15.75" x14ac:dyDescent="0.25">
      <c r="A46" s="1420">
        <v>44239</v>
      </c>
      <c r="B46" s="122" t="s">
        <v>17</v>
      </c>
      <c r="C46" s="150">
        <v>1</v>
      </c>
      <c r="D46" s="150">
        <v>1</v>
      </c>
      <c r="E46" s="1430" t="s">
        <v>184</v>
      </c>
    </row>
    <row r="47" spans="1:5" x14ac:dyDescent="0.25">
      <c r="A47" s="1421"/>
      <c r="B47" s="115" t="s">
        <v>102</v>
      </c>
      <c r="C47" s="151">
        <v>24</v>
      </c>
      <c r="D47" s="151">
        <v>24</v>
      </c>
      <c r="E47" s="1418"/>
    </row>
    <row r="48" spans="1:5" x14ac:dyDescent="0.25">
      <c r="A48" s="1421"/>
      <c r="B48" s="117" t="s">
        <v>103</v>
      </c>
      <c r="C48" s="151">
        <v>0</v>
      </c>
      <c r="D48" s="151">
        <v>0</v>
      </c>
      <c r="E48" s="1418"/>
    </row>
    <row r="49" spans="1:5" ht="15.75" thickBot="1" x14ac:dyDescent="0.3">
      <c r="A49" s="1422"/>
      <c r="B49" s="119" t="s">
        <v>104</v>
      </c>
      <c r="C49" s="153">
        <v>0</v>
      </c>
      <c r="D49" s="153">
        <v>0</v>
      </c>
      <c r="E49" s="1423"/>
    </row>
    <row r="50" spans="1:5" ht="15.75" x14ac:dyDescent="0.25">
      <c r="A50" s="1420">
        <v>44240</v>
      </c>
      <c r="B50" s="122" t="s">
        <v>17</v>
      </c>
      <c r="C50" s="150">
        <v>1</v>
      </c>
      <c r="D50" s="150">
        <v>1</v>
      </c>
      <c r="E50" s="1417"/>
    </row>
    <row r="51" spans="1:5" x14ac:dyDescent="0.25">
      <c r="A51" s="1421"/>
      <c r="B51" s="115" t="s">
        <v>102</v>
      </c>
      <c r="C51" s="151">
        <v>24</v>
      </c>
      <c r="D51" s="151">
        <v>24</v>
      </c>
      <c r="E51" s="1418"/>
    </row>
    <row r="52" spans="1:5" x14ac:dyDescent="0.25">
      <c r="A52" s="1421"/>
      <c r="B52" s="117" t="s">
        <v>103</v>
      </c>
      <c r="C52" s="151">
        <v>0</v>
      </c>
      <c r="D52" s="151">
        <v>0</v>
      </c>
      <c r="E52" s="1418"/>
    </row>
    <row r="53" spans="1:5" ht="15.75" thickBot="1" x14ac:dyDescent="0.3">
      <c r="A53" s="1422"/>
      <c r="B53" s="119" t="s">
        <v>104</v>
      </c>
      <c r="C53" s="153">
        <v>0</v>
      </c>
      <c r="D53" s="153">
        <v>0</v>
      </c>
      <c r="E53" s="1423"/>
    </row>
    <row r="54" spans="1:5" ht="15.75" x14ac:dyDescent="0.25">
      <c r="A54" s="1420">
        <v>44241</v>
      </c>
      <c r="B54" s="122" t="s">
        <v>17</v>
      </c>
      <c r="C54" s="150">
        <v>1</v>
      </c>
      <c r="D54" s="150">
        <v>1</v>
      </c>
      <c r="E54" s="1430" t="s">
        <v>187</v>
      </c>
    </row>
    <row r="55" spans="1:5" x14ac:dyDescent="0.25">
      <c r="A55" s="1421"/>
      <c r="B55" s="115" t="s">
        <v>102</v>
      </c>
      <c r="C55" s="151">
        <v>24</v>
      </c>
      <c r="D55" s="151">
        <v>9.5</v>
      </c>
      <c r="E55" s="1418"/>
    </row>
    <row r="56" spans="1:5" x14ac:dyDescent="0.25">
      <c r="A56" s="1421"/>
      <c r="B56" s="117" t="s">
        <v>103</v>
      </c>
      <c r="C56" s="151">
        <v>0</v>
      </c>
      <c r="D56" s="151">
        <v>0</v>
      </c>
      <c r="E56" s="1418"/>
    </row>
    <row r="57" spans="1:5" ht="15.75" thickBot="1" x14ac:dyDescent="0.3">
      <c r="A57" s="1422"/>
      <c r="B57" s="119" t="s">
        <v>104</v>
      </c>
      <c r="C57" s="153">
        <v>0</v>
      </c>
      <c r="D57" s="153">
        <v>0</v>
      </c>
      <c r="E57" s="1423"/>
    </row>
    <row r="58" spans="1:5" ht="15.75" x14ac:dyDescent="0.25">
      <c r="A58" s="1420">
        <v>44242</v>
      </c>
      <c r="B58" s="112" t="s">
        <v>17</v>
      </c>
      <c r="C58" s="150">
        <v>1</v>
      </c>
      <c r="D58" s="150">
        <v>1</v>
      </c>
      <c r="E58" s="114"/>
    </row>
    <row r="59" spans="1:5" x14ac:dyDescent="0.25">
      <c r="A59" s="1421"/>
      <c r="B59" s="115" t="s">
        <v>102</v>
      </c>
      <c r="C59" s="151">
        <v>24</v>
      </c>
      <c r="D59" s="151">
        <v>24</v>
      </c>
      <c r="E59" s="116"/>
    </row>
    <row r="60" spans="1:5" x14ac:dyDescent="0.25">
      <c r="A60" s="1421"/>
      <c r="B60" s="117" t="s">
        <v>103</v>
      </c>
      <c r="C60" s="151">
        <v>0</v>
      </c>
      <c r="D60" s="151">
        <v>0</v>
      </c>
      <c r="E60" s="116"/>
    </row>
    <row r="61" spans="1:5" ht="15.75" thickBot="1" x14ac:dyDescent="0.3">
      <c r="A61" s="1422"/>
      <c r="B61" s="119" t="s">
        <v>104</v>
      </c>
      <c r="C61" s="153">
        <v>0</v>
      </c>
      <c r="D61" s="153">
        <v>0</v>
      </c>
      <c r="E61" s="121"/>
    </row>
    <row r="62" spans="1:5" ht="15.75" x14ac:dyDescent="0.25">
      <c r="A62" s="1420">
        <v>44243</v>
      </c>
      <c r="B62" s="122" t="s">
        <v>17</v>
      </c>
      <c r="C62" s="150">
        <v>1</v>
      </c>
      <c r="D62" s="150">
        <v>1</v>
      </c>
      <c r="E62" s="116"/>
    </row>
    <row r="63" spans="1:5" x14ac:dyDescent="0.25">
      <c r="A63" s="1421"/>
      <c r="B63" s="115" t="s">
        <v>102</v>
      </c>
      <c r="C63" s="151">
        <v>24</v>
      </c>
      <c r="D63" s="151">
        <v>24</v>
      </c>
      <c r="E63" s="116"/>
    </row>
    <row r="64" spans="1:5" x14ac:dyDescent="0.25">
      <c r="A64" s="1421"/>
      <c r="B64" s="117" t="s">
        <v>103</v>
      </c>
      <c r="C64" s="151">
        <v>0</v>
      </c>
      <c r="D64" s="151">
        <v>0</v>
      </c>
      <c r="E64" s="116"/>
    </row>
    <row r="65" spans="1:5" ht="15.75" thickBot="1" x14ac:dyDescent="0.3">
      <c r="A65" s="1422"/>
      <c r="B65" s="119" t="s">
        <v>104</v>
      </c>
      <c r="C65" s="153">
        <v>0</v>
      </c>
      <c r="D65" s="153">
        <v>0</v>
      </c>
      <c r="E65" s="121"/>
    </row>
    <row r="66" spans="1:5" ht="15.75" x14ac:dyDescent="0.25">
      <c r="A66" s="1420">
        <v>44244</v>
      </c>
      <c r="B66" s="122" t="s">
        <v>17</v>
      </c>
      <c r="C66" s="150">
        <v>1</v>
      </c>
      <c r="D66" s="150">
        <v>1</v>
      </c>
      <c r="E66" s="1417"/>
    </row>
    <row r="67" spans="1:5" x14ac:dyDescent="0.25">
      <c r="A67" s="1421"/>
      <c r="B67" s="115" t="s">
        <v>102</v>
      </c>
      <c r="C67" s="151">
        <v>24</v>
      </c>
      <c r="D67" s="151">
        <v>24</v>
      </c>
      <c r="E67" s="1418"/>
    </row>
    <row r="68" spans="1:5" x14ac:dyDescent="0.25">
      <c r="A68" s="1421"/>
      <c r="B68" s="117" t="s">
        <v>103</v>
      </c>
      <c r="C68" s="151">
        <v>0</v>
      </c>
      <c r="D68" s="151">
        <v>0</v>
      </c>
      <c r="E68" s="1418"/>
    </row>
    <row r="69" spans="1:5" ht="15.75" thickBot="1" x14ac:dyDescent="0.3">
      <c r="A69" s="1422"/>
      <c r="B69" s="119" t="s">
        <v>104</v>
      </c>
      <c r="C69" s="153">
        <v>0</v>
      </c>
      <c r="D69" s="153">
        <v>0</v>
      </c>
      <c r="E69" s="1423"/>
    </row>
    <row r="70" spans="1:5" ht="15.75" x14ac:dyDescent="0.25">
      <c r="A70" s="1420">
        <v>44245</v>
      </c>
      <c r="B70" s="122" t="s">
        <v>17</v>
      </c>
      <c r="C70" s="150">
        <v>1</v>
      </c>
      <c r="D70" s="150">
        <v>1</v>
      </c>
      <c r="E70" s="154"/>
    </row>
    <row r="71" spans="1:5" x14ac:dyDescent="0.25">
      <c r="A71" s="1421"/>
      <c r="B71" s="115" t="s">
        <v>102</v>
      </c>
      <c r="C71" s="151">
        <v>24</v>
      </c>
      <c r="D71" s="151">
        <v>24</v>
      </c>
      <c r="E71" s="155"/>
    </row>
    <row r="72" spans="1:5" x14ac:dyDescent="0.25">
      <c r="A72" s="1421"/>
      <c r="B72" s="117" t="s">
        <v>103</v>
      </c>
      <c r="C72" s="151">
        <v>0</v>
      </c>
      <c r="D72" s="151">
        <v>0</v>
      </c>
      <c r="E72" s="155"/>
    </row>
    <row r="73" spans="1:5" ht="15.75" thickBot="1" x14ac:dyDescent="0.3">
      <c r="A73" s="1422"/>
      <c r="B73" s="119" t="s">
        <v>104</v>
      </c>
      <c r="C73" s="153">
        <v>0</v>
      </c>
      <c r="D73" s="153">
        <v>0</v>
      </c>
      <c r="E73" s="156"/>
    </row>
    <row r="74" spans="1:5" ht="15.75" x14ac:dyDescent="0.25">
      <c r="A74" s="1420">
        <v>44246</v>
      </c>
      <c r="B74" s="122" t="s">
        <v>17</v>
      </c>
      <c r="C74" s="150">
        <v>1</v>
      </c>
      <c r="D74" s="150">
        <v>1</v>
      </c>
      <c r="E74" s="1417"/>
    </row>
    <row r="75" spans="1:5" x14ac:dyDescent="0.25">
      <c r="A75" s="1421"/>
      <c r="B75" s="115" t="s">
        <v>102</v>
      </c>
      <c r="C75" s="151">
        <v>24</v>
      </c>
      <c r="D75" s="151">
        <v>24</v>
      </c>
      <c r="E75" s="1418"/>
    </row>
    <row r="76" spans="1:5" x14ac:dyDescent="0.25">
      <c r="A76" s="1421"/>
      <c r="B76" s="117" t="s">
        <v>103</v>
      </c>
      <c r="C76" s="151">
        <v>0</v>
      </c>
      <c r="D76" s="151">
        <v>0</v>
      </c>
      <c r="E76" s="1418"/>
    </row>
    <row r="77" spans="1:5" ht="15.75" thickBot="1" x14ac:dyDescent="0.3">
      <c r="A77" s="1422"/>
      <c r="B77" s="119" t="s">
        <v>104</v>
      </c>
      <c r="C77" s="153">
        <v>0</v>
      </c>
      <c r="D77" s="153">
        <v>0</v>
      </c>
      <c r="E77" s="1423"/>
    </row>
    <row r="78" spans="1:5" ht="15.75" x14ac:dyDescent="0.25">
      <c r="A78" s="1420">
        <v>44247</v>
      </c>
      <c r="B78" s="122" t="s">
        <v>17</v>
      </c>
      <c r="C78" s="150">
        <v>1</v>
      </c>
      <c r="D78" s="150">
        <v>1</v>
      </c>
      <c r="E78" s="1430"/>
    </row>
    <row r="79" spans="1:5" x14ac:dyDescent="0.25">
      <c r="A79" s="1421"/>
      <c r="B79" s="115" t="s">
        <v>102</v>
      </c>
      <c r="C79" s="151">
        <v>24</v>
      </c>
      <c r="D79" s="151">
        <v>24</v>
      </c>
      <c r="E79" s="1431"/>
    </row>
    <row r="80" spans="1:5" x14ac:dyDescent="0.25">
      <c r="A80" s="1421"/>
      <c r="B80" s="117" t="s">
        <v>103</v>
      </c>
      <c r="C80" s="151">
        <v>0</v>
      </c>
      <c r="D80" s="151">
        <v>0</v>
      </c>
      <c r="E80" s="1431"/>
    </row>
    <row r="81" spans="1:5" ht="15.75" thickBot="1" x14ac:dyDescent="0.3">
      <c r="A81" s="1422"/>
      <c r="B81" s="119" t="s">
        <v>104</v>
      </c>
      <c r="C81" s="153">
        <v>0</v>
      </c>
      <c r="D81" s="153">
        <v>1</v>
      </c>
      <c r="E81" s="1432"/>
    </row>
    <row r="82" spans="1:5" ht="15.75" x14ac:dyDescent="0.25">
      <c r="A82" s="1420">
        <v>44248</v>
      </c>
      <c r="B82" s="122" t="s">
        <v>17</v>
      </c>
      <c r="C82" s="150">
        <v>1</v>
      </c>
      <c r="D82" s="174">
        <v>1</v>
      </c>
      <c r="E82" s="1430" t="s">
        <v>207</v>
      </c>
    </row>
    <row r="83" spans="1:5" x14ac:dyDescent="0.25">
      <c r="A83" s="1421"/>
      <c r="B83" s="115" t="s">
        <v>102</v>
      </c>
      <c r="C83" s="151">
        <v>24</v>
      </c>
      <c r="D83" s="175">
        <v>1.37</v>
      </c>
      <c r="E83" s="1431"/>
    </row>
    <row r="84" spans="1:5" x14ac:dyDescent="0.25">
      <c r="A84" s="1421"/>
      <c r="B84" s="117" t="s">
        <v>103</v>
      </c>
      <c r="C84" s="151">
        <v>0</v>
      </c>
      <c r="D84" s="176">
        <v>0</v>
      </c>
      <c r="E84" s="1431"/>
    </row>
    <row r="85" spans="1:5" ht="15.75" thickBot="1" x14ac:dyDescent="0.3">
      <c r="A85" s="1422"/>
      <c r="B85" s="119" t="s">
        <v>104</v>
      </c>
      <c r="C85" s="153">
        <v>0</v>
      </c>
      <c r="D85" s="177">
        <v>22.63</v>
      </c>
      <c r="E85" s="1432"/>
    </row>
    <row r="86" spans="1:5" ht="15.75" x14ac:dyDescent="0.25">
      <c r="A86" s="1420">
        <v>44249</v>
      </c>
      <c r="B86" s="122" t="s">
        <v>17</v>
      </c>
      <c r="C86" s="150">
        <v>1</v>
      </c>
      <c r="D86" s="174">
        <v>1</v>
      </c>
      <c r="E86" s="1430"/>
    </row>
    <row r="87" spans="1:5" x14ac:dyDescent="0.25">
      <c r="A87" s="1421"/>
      <c r="B87" s="115" t="s">
        <v>102</v>
      </c>
      <c r="C87" s="151">
        <v>24</v>
      </c>
      <c r="D87" s="175">
        <v>0</v>
      </c>
      <c r="E87" s="1431"/>
    </row>
    <row r="88" spans="1:5" x14ac:dyDescent="0.25">
      <c r="A88" s="1421"/>
      <c r="B88" s="117" t="s">
        <v>103</v>
      </c>
      <c r="C88" s="151">
        <v>0</v>
      </c>
      <c r="D88" s="176">
        <v>0</v>
      </c>
      <c r="E88" s="1431"/>
    </row>
    <row r="89" spans="1:5" ht="15.75" thickBot="1" x14ac:dyDescent="0.3">
      <c r="A89" s="1422"/>
      <c r="B89" s="119" t="s">
        <v>104</v>
      </c>
      <c r="C89" s="153">
        <v>0</v>
      </c>
      <c r="D89" s="151">
        <v>24</v>
      </c>
      <c r="E89" s="1432"/>
    </row>
    <row r="90" spans="1:5" ht="15.75" x14ac:dyDescent="0.25">
      <c r="A90" s="1420">
        <v>44250</v>
      </c>
      <c r="B90" s="122" t="s">
        <v>17</v>
      </c>
      <c r="C90" s="150">
        <v>1</v>
      </c>
      <c r="D90" s="174">
        <v>1</v>
      </c>
      <c r="E90" s="1430"/>
    </row>
    <row r="91" spans="1:5" x14ac:dyDescent="0.25">
      <c r="A91" s="1421"/>
      <c r="B91" s="115" t="s">
        <v>102</v>
      </c>
      <c r="C91" s="151">
        <v>24</v>
      </c>
      <c r="D91" s="175">
        <v>0</v>
      </c>
      <c r="E91" s="1431"/>
    </row>
    <row r="92" spans="1:5" x14ac:dyDescent="0.25">
      <c r="A92" s="1421"/>
      <c r="B92" s="117" t="s">
        <v>103</v>
      </c>
      <c r="C92" s="151">
        <v>0</v>
      </c>
      <c r="D92" s="176">
        <v>0</v>
      </c>
      <c r="E92" s="1431"/>
    </row>
    <row r="93" spans="1:5" ht="15.75" thickBot="1" x14ac:dyDescent="0.3">
      <c r="A93" s="1422"/>
      <c r="B93" s="119" t="s">
        <v>104</v>
      </c>
      <c r="C93" s="153">
        <v>0</v>
      </c>
      <c r="D93" s="151">
        <v>24</v>
      </c>
      <c r="E93" s="1432"/>
    </row>
    <row r="94" spans="1:5" ht="15.75" x14ac:dyDescent="0.25">
      <c r="A94" s="1420">
        <v>44251</v>
      </c>
      <c r="B94" s="122" t="s">
        <v>17</v>
      </c>
      <c r="C94" s="150">
        <v>1</v>
      </c>
      <c r="D94" s="174">
        <v>1</v>
      </c>
      <c r="E94" s="1417"/>
    </row>
    <row r="95" spans="1:5" x14ac:dyDescent="0.25">
      <c r="A95" s="1421"/>
      <c r="B95" s="115" t="s">
        <v>102</v>
      </c>
      <c r="C95" s="151">
        <v>24</v>
      </c>
      <c r="D95" s="175">
        <v>0</v>
      </c>
      <c r="E95" s="1418"/>
    </row>
    <row r="96" spans="1:5" x14ac:dyDescent="0.25">
      <c r="A96" s="1421"/>
      <c r="B96" s="117" t="s">
        <v>103</v>
      </c>
      <c r="C96" s="151">
        <v>0</v>
      </c>
      <c r="D96" s="176">
        <v>0</v>
      </c>
      <c r="E96" s="1418"/>
    </row>
    <row r="97" spans="1:5" ht="15.75" thickBot="1" x14ac:dyDescent="0.3">
      <c r="A97" s="1422"/>
      <c r="B97" s="119" t="s">
        <v>104</v>
      </c>
      <c r="C97" s="153">
        <v>0</v>
      </c>
      <c r="D97" s="151">
        <v>24</v>
      </c>
      <c r="E97" s="1423"/>
    </row>
    <row r="98" spans="1:5" ht="15.75" x14ac:dyDescent="0.25">
      <c r="A98" s="1420">
        <v>44252</v>
      </c>
      <c r="B98" s="122" t="s">
        <v>17</v>
      </c>
      <c r="C98" s="150">
        <v>1</v>
      </c>
      <c r="D98" s="174">
        <v>1</v>
      </c>
      <c r="E98" s="154"/>
    </row>
    <row r="99" spans="1:5" x14ac:dyDescent="0.25">
      <c r="A99" s="1421"/>
      <c r="B99" s="115" t="s">
        <v>102</v>
      </c>
      <c r="C99" s="151">
        <v>24</v>
      </c>
      <c r="D99" s="175">
        <v>0</v>
      </c>
      <c r="E99" s="155"/>
    </row>
    <row r="100" spans="1:5" x14ac:dyDescent="0.25">
      <c r="A100" s="1421"/>
      <c r="B100" s="117" t="s">
        <v>103</v>
      </c>
      <c r="C100" s="151">
        <v>0</v>
      </c>
      <c r="D100" s="176">
        <v>0</v>
      </c>
      <c r="E100" s="155"/>
    </row>
    <row r="101" spans="1:5" ht="15.75" thickBot="1" x14ac:dyDescent="0.3">
      <c r="A101" s="1422"/>
      <c r="B101" s="119" t="s">
        <v>104</v>
      </c>
      <c r="C101" s="153">
        <v>0</v>
      </c>
      <c r="D101" s="151">
        <v>24</v>
      </c>
      <c r="E101" s="156"/>
    </row>
    <row r="102" spans="1:5" ht="15.75" x14ac:dyDescent="0.25">
      <c r="A102" s="1420">
        <v>44253</v>
      </c>
      <c r="B102" s="122" t="s">
        <v>17</v>
      </c>
      <c r="C102" s="150">
        <v>1</v>
      </c>
      <c r="D102" s="174">
        <v>1</v>
      </c>
      <c r="E102" s="1417"/>
    </row>
    <row r="103" spans="1:5" x14ac:dyDescent="0.25">
      <c r="A103" s="1421"/>
      <c r="B103" s="117" t="s">
        <v>102</v>
      </c>
      <c r="C103" s="151">
        <v>24</v>
      </c>
      <c r="D103" s="175">
        <v>0</v>
      </c>
      <c r="E103" s="1418"/>
    </row>
    <row r="104" spans="1:5" x14ac:dyDescent="0.25">
      <c r="A104" s="1421"/>
      <c r="B104" s="117" t="s">
        <v>103</v>
      </c>
      <c r="C104" s="151">
        <v>0</v>
      </c>
      <c r="D104" s="176">
        <v>0</v>
      </c>
      <c r="E104" s="1418"/>
    </row>
    <row r="105" spans="1:5" ht="15.75" thickBot="1" x14ac:dyDescent="0.3">
      <c r="A105" s="1422"/>
      <c r="B105" s="119" t="s">
        <v>104</v>
      </c>
      <c r="C105" s="153">
        <v>0</v>
      </c>
      <c r="D105" s="151">
        <v>24</v>
      </c>
      <c r="E105" s="1423"/>
    </row>
    <row r="106" spans="1:5" ht="15.75" x14ac:dyDescent="0.25">
      <c r="A106" s="1420">
        <v>44254</v>
      </c>
      <c r="B106" s="112" t="s">
        <v>17</v>
      </c>
      <c r="C106" s="150">
        <v>1</v>
      </c>
      <c r="D106" s="174">
        <v>1</v>
      </c>
      <c r="E106" s="1417"/>
    </row>
    <row r="107" spans="1:5" x14ac:dyDescent="0.25">
      <c r="A107" s="1421"/>
      <c r="B107" s="117" t="s">
        <v>102</v>
      </c>
      <c r="C107" s="151">
        <v>24</v>
      </c>
      <c r="D107" s="175">
        <v>0</v>
      </c>
      <c r="E107" s="1418"/>
    </row>
    <row r="108" spans="1:5" x14ac:dyDescent="0.25">
      <c r="A108" s="1421"/>
      <c r="B108" s="117" t="s">
        <v>103</v>
      </c>
      <c r="C108" s="151">
        <v>0</v>
      </c>
      <c r="D108" s="176">
        <v>0</v>
      </c>
      <c r="E108" s="1418"/>
    </row>
    <row r="109" spans="1:5" ht="15.75" thickBot="1" x14ac:dyDescent="0.3">
      <c r="A109" s="1422"/>
      <c r="B109" s="119" t="s">
        <v>104</v>
      </c>
      <c r="C109" s="153">
        <v>0</v>
      </c>
      <c r="D109" s="151">
        <v>24</v>
      </c>
      <c r="E109" s="1423"/>
    </row>
    <row r="110" spans="1:5" ht="15.75" x14ac:dyDescent="0.25">
      <c r="A110" s="1420">
        <v>44255</v>
      </c>
      <c r="B110" s="112" t="s">
        <v>17</v>
      </c>
      <c r="C110" s="150">
        <v>1</v>
      </c>
      <c r="D110" s="174">
        <v>1</v>
      </c>
      <c r="E110" s="1417"/>
    </row>
    <row r="111" spans="1:5" x14ac:dyDescent="0.25">
      <c r="A111" s="1421"/>
      <c r="B111" s="117" t="s">
        <v>102</v>
      </c>
      <c r="C111" s="151">
        <v>24</v>
      </c>
      <c r="D111" s="175">
        <v>0</v>
      </c>
      <c r="E111" s="1418"/>
    </row>
    <row r="112" spans="1:5" x14ac:dyDescent="0.25">
      <c r="A112" s="1421"/>
      <c r="B112" s="117" t="s">
        <v>103</v>
      </c>
      <c r="C112" s="151">
        <v>0</v>
      </c>
      <c r="D112" s="176">
        <v>0</v>
      </c>
      <c r="E112" s="1418"/>
    </row>
    <row r="113" spans="1:5" ht="15.75" thickBot="1" x14ac:dyDescent="0.3">
      <c r="A113" s="1422"/>
      <c r="B113" s="119" t="s">
        <v>104</v>
      </c>
      <c r="C113" s="153">
        <v>0</v>
      </c>
      <c r="D113" s="151">
        <v>24</v>
      </c>
      <c r="E113" s="1423"/>
    </row>
    <row r="114" spans="1:5" x14ac:dyDescent="0.25">
      <c r="A114" s="130" t="s">
        <v>131</v>
      </c>
      <c r="B114" s="131"/>
      <c r="C114" s="132">
        <f>SUM(C111,C107,C103,C99,C95,C91,C87,C83,C79,C75,C71,C67,C63,E59,C55,C51,C47,C43,C39,C35,C31,C27,C23,C19,C15,C11,C7,C3)</f>
        <v>645.41</v>
      </c>
      <c r="D114" s="132">
        <f>SUM(D111,D107,D103,D99,D95,D91,D87,D83,D79,D75,D71,D67,D63,F59,D55,D51,D47,D43,D39,D35,D31,D27,D23,D19,D15,D11,D7,D3)</f>
        <v>212.70000000000002</v>
      </c>
      <c r="E114" s="115"/>
    </row>
    <row r="115" spans="1:5" x14ac:dyDescent="0.25">
      <c r="A115" s="1424" t="s">
        <v>132</v>
      </c>
      <c r="B115" s="1425"/>
      <c r="C115" s="135">
        <f>SUM(C112,C108,C104,C100,C96,C92,C88,C84,C80,C76,C72,C68,C64,C60,C56,C52,C48,C44,C40,C36,C32,C28,C24,C20,C16,C12,C8,C4)</f>
        <v>2.19</v>
      </c>
      <c r="D115" s="135">
        <f>SUM(D112,D108,D104,D100,D96,D92,D88,D84,D80,D76,D72,D68,D64,D60,D56,D52,D48,D44,D40,D36,D32,D28,D24,D20,D16,D12,D8,D4)</f>
        <v>0</v>
      </c>
      <c r="E115" s="117"/>
    </row>
    <row r="116" spans="1:5" ht="15.75" thickBot="1" x14ac:dyDescent="0.3">
      <c r="A116" s="1426" t="s">
        <v>133</v>
      </c>
      <c r="B116" s="1427"/>
      <c r="C116" s="138">
        <f>SUM(C113,C109,C105,C101,C97,C93,C89,C85,C81,C77,C73,C69,C65,C61,C57,C53,C49,C45,C41,C37,C33,C29,C25,C21,C17,C13,C9,C5)</f>
        <v>0</v>
      </c>
      <c r="D116" s="138">
        <f>SUM(D113,D109,D105,D101,D97,D93,D89,D85,D81,D77,D73,D69,D65,D61,D57,D53,D49,D45,D41,D37,D33,D29,D25,D21,D17,D13,D9,D5)</f>
        <v>191.63</v>
      </c>
      <c r="E116" s="119"/>
    </row>
    <row r="117" spans="1:5" ht="15.75" thickBot="1" x14ac:dyDescent="0.3">
      <c r="A117" s="1428" t="s">
        <v>108</v>
      </c>
      <c r="B117" s="1429"/>
      <c r="C117" s="140"/>
      <c r="D117" s="171"/>
      <c r="E117" s="141"/>
    </row>
  </sheetData>
  <mergeCells count="49">
    <mergeCell ref="E18:E21"/>
    <mergeCell ref="A2:A5"/>
    <mergeCell ref="A6:A9"/>
    <mergeCell ref="A10:A13"/>
    <mergeCell ref="A14:A17"/>
    <mergeCell ref="A18:A21"/>
    <mergeCell ref="A50:A53"/>
    <mergeCell ref="E50:E53"/>
    <mergeCell ref="A22:A25"/>
    <mergeCell ref="E22:E25"/>
    <mergeCell ref="A26:A29"/>
    <mergeCell ref="E26:E29"/>
    <mergeCell ref="A30:A33"/>
    <mergeCell ref="A34:A37"/>
    <mergeCell ref="A38:A41"/>
    <mergeCell ref="A42:A45"/>
    <mergeCell ref="E42:E45"/>
    <mergeCell ref="A46:A49"/>
    <mergeCell ref="E46:E49"/>
    <mergeCell ref="E34:E37"/>
    <mergeCell ref="A82:A85"/>
    <mergeCell ref="E82:E85"/>
    <mergeCell ref="A54:A57"/>
    <mergeCell ref="E54:E57"/>
    <mergeCell ref="A58:A61"/>
    <mergeCell ref="A62:A65"/>
    <mergeCell ref="A66:A69"/>
    <mergeCell ref="E66:E69"/>
    <mergeCell ref="A70:A73"/>
    <mergeCell ref="A74:A77"/>
    <mergeCell ref="E74:E77"/>
    <mergeCell ref="A78:A81"/>
    <mergeCell ref="E78:E81"/>
    <mergeCell ref="A86:A89"/>
    <mergeCell ref="E86:E89"/>
    <mergeCell ref="A90:A93"/>
    <mergeCell ref="E90:E93"/>
    <mergeCell ref="A94:A97"/>
    <mergeCell ref="E94:E97"/>
    <mergeCell ref="E102:E105"/>
    <mergeCell ref="A106:A109"/>
    <mergeCell ref="E106:E109"/>
    <mergeCell ref="A110:A113"/>
    <mergeCell ref="E110:E113"/>
    <mergeCell ref="A115:B115"/>
    <mergeCell ref="A116:B116"/>
    <mergeCell ref="A117:B117"/>
    <mergeCell ref="A98:A101"/>
    <mergeCell ref="A102:A105"/>
  </mergeCells>
  <phoneticPr fontId="1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G129"/>
  <sheetViews>
    <sheetView workbookViewId="0">
      <pane xSplit="1" ySplit="1" topLeftCell="B101" activePane="bottomRight" state="frozen"/>
      <selection pane="topRight" activeCell="B1" sqref="B1"/>
      <selection pane="bottomLeft" activeCell="A2" sqref="A2"/>
      <selection pane="bottomRight" activeCell="E86" sqref="E86"/>
    </sheetView>
  </sheetViews>
  <sheetFormatPr defaultRowHeight="15" x14ac:dyDescent="0.25"/>
  <cols>
    <col min="1" max="1" width="31.28515625" customWidth="1"/>
    <col min="2" max="2" width="26.28515625" customWidth="1"/>
    <col min="3" max="3" width="10.42578125" style="233" customWidth="1"/>
    <col min="4" max="4" width="10.42578125" style="181" customWidth="1"/>
    <col min="5" max="6" width="10.42578125" customWidth="1"/>
    <col min="7" max="7" width="42.28515625" customWidth="1"/>
  </cols>
  <sheetData>
    <row r="1" spans="1:7" ht="16.5" thickBot="1" x14ac:dyDescent="0.3">
      <c r="A1" s="108" t="s">
        <v>98</v>
      </c>
      <c r="B1" s="109" t="s">
        <v>99</v>
      </c>
      <c r="C1" s="173" t="s">
        <v>310</v>
      </c>
      <c r="D1" s="173" t="s">
        <v>239</v>
      </c>
      <c r="E1" s="110" t="s">
        <v>100</v>
      </c>
      <c r="F1" s="173" t="s">
        <v>157</v>
      </c>
      <c r="G1" s="111" t="s">
        <v>101</v>
      </c>
    </row>
    <row r="2" spans="1:7" ht="15.75" x14ac:dyDescent="0.25">
      <c r="A2" s="1420">
        <v>44256</v>
      </c>
      <c r="B2" s="112" t="s">
        <v>17</v>
      </c>
      <c r="C2" s="182"/>
      <c r="D2" s="182"/>
      <c r="E2" s="150">
        <v>1</v>
      </c>
      <c r="F2" s="150">
        <v>1</v>
      </c>
      <c r="G2" s="1417"/>
    </row>
    <row r="3" spans="1:7" x14ac:dyDescent="0.25">
      <c r="A3" s="1421"/>
      <c r="B3" s="115" t="s">
        <v>102</v>
      </c>
      <c r="C3" s="183"/>
      <c r="D3" s="183"/>
      <c r="E3" s="151">
        <v>24</v>
      </c>
      <c r="F3" s="151">
        <v>0</v>
      </c>
      <c r="G3" s="1418"/>
    </row>
    <row r="4" spans="1:7" x14ac:dyDescent="0.25">
      <c r="A4" s="1421"/>
      <c r="B4" s="117" t="s">
        <v>103</v>
      </c>
      <c r="C4" s="184"/>
      <c r="D4" s="184"/>
      <c r="E4" s="151">
        <v>0</v>
      </c>
      <c r="F4" s="151">
        <v>0</v>
      </c>
      <c r="G4" s="1418"/>
    </row>
    <row r="5" spans="1:7" ht="15.75" thickBot="1" x14ac:dyDescent="0.3">
      <c r="A5" s="1422"/>
      <c r="B5" s="119" t="s">
        <v>104</v>
      </c>
      <c r="C5" s="185"/>
      <c r="D5" s="185"/>
      <c r="E5" s="153">
        <v>0</v>
      </c>
      <c r="F5" s="151">
        <v>24</v>
      </c>
      <c r="G5" s="1419"/>
    </row>
    <row r="6" spans="1:7" ht="15.75" x14ac:dyDescent="0.25">
      <c r="A6" s="1420">
        <v>44257</v>
      </c>
      <c r="B6" s="112" t="s">
        <v>17</v>
      </c>
      <c r="C6" s="182"/>
      <c r="D6" s="182"/>
      <c r="E6" s="150">
        <v>1</v>
      </c>
      <c r="F6" s="150">
        <v>1</v>
      </c>
      <c r="G6" s="1417"/>
    </row>
    <row r="7" spans="1:7" x14ac:dyDescent="0.25">
      <c r="A7" s="1421"/>
      <c r="B7" s="115" t="s">
        <v>102</v>
      </c>
      <c r="C7" s="183"/>
      <c r="D7" s="183"/>
      <c r="E7" s="151">
        <v>24</v>
      </c>
      <c r="F7" s="151">
        <v>0</v>
      </c>
      <c r="G7" s="1418"/>
    </row>
    <row r="8" spans="1:7" x14ac:dyDescent="0.25">
      <c r="A8" s="1421"/>
      <c r="B8" s="117" t="s">
        <v>103</v>
      </c>
      <c r="C8" s="184"/>
      <c r="D8" s="184"/>
      <c r="E8" s="151">
        <v>0</v>
      </c>
      <c r="F8" s="151">
        <v>0</v>
      </c>
      <c r="G8" s="1418"/>
    </row>
    <row r="9" spans="1:7" ht="15.75" thickBot="1" x14ac:dyDescent="0.3">
      <c r="A9" s="1422"/>
      <c r="B9" s="119" t="s">
        <v>104</v>
      </c>
      <c r="C9" s="185"/>
      <c r="D9" s="185"/>
      <c r="E9" s="153">
        <v>0</v>
      </c>
      <c r="F9" s="151">
        <v>24</v>
      </c>
      <c r="G9" s="1419"/>
    </row>
    <row r="10" spans="1:7" ht="15.75" x14ac:dyDescent="0.25">
      <c r="A10" s="1420">
        <v>44258</v>
      </c>
      <c r="B10" s="112" t="s">
        <v>17</v>
      </c>
      <c r="C10" s="182"/>
      <c r="D10" s="182"/>
      <c r="E10" s="150">
        <v>1</v>
      </c>
      <c r="F10" s="150">
        <v>1</v>
      </c>
      <c r="G10" s="1417"/>
    </row>
    <row r="11" spans="1:7" x14ac:dyDescent="0.25">
      <c r="A11" s="1421"/>
      <c r="B11" s="115" t="s">
        <v>102</v>
      </c>
      <c r="C11" s="183"/>
      <c r="D11" s="183"/>
      <c r="E11" s="151">
        <v>24</v>
      </c>
      <c r="F11" s="151">
        <v>0</v>
      </c>
      <c r="G11" s="1418"/>
    </row>
    <row r="12" spans="1:7" x14ac:dyDescent="0.25">
      <c r="A12" s="1421"/>
      <c r="B12" s="117" t="s">
        <v>103</v>
      </c>
      <c r="C12" s="184"/>
      <c r="D12" s="184"/>
      <c r="E12" s="151">
        <v>0</v>
      </c>
      <c r="F12" s="151">
        <v>0</v>
      </c>
      <c r="G12" s="1418"/>
    </row>
    <row r="13" spans="1:7" ht="15.75" thickBot="1" x14ac:dyDescent="0.3">
      <c r="A13" s="1422"/>
      <c r="B13" s="119" t="s">
        <v>104</v>
      </c>
      <c r="C13" s="185"/>
      <c r="D13" s="185"/>
      <c r="E13" s="153">
        <v>0</v>
      </c>
      <c r="F13" s="151">
        <v>24</v>
      </c>
      <c r="G13" s="1419"/>
    </row>
    <row r="14" spans="1:7" ht="15.75" x14ac:dyDescent="0.25">
      <c r="A14" s="1420">
        <v>44259</v>
      </c>
      <c r="B14" s="122" t="s">
        <v>17</v>
      </c>
      <c r="C14" s="186"/>
      <c r="D14" s="186"/>
      <c r="E14" s="150">
        <v>1</v>
      </c>
      <c r="F14" s="150">
        <v>1</v>
      </c>
      <c r="G14" s="1417"/>
    </row>
    <row r="15" spans="1:7" x14ac:dyDescent="0.25">
      <c r="A15" s="1421"/>
      <c r="B15" s="115" t="s">
        <v>102</v>
      </c>
      <c r="C15" s="183"/>
      <c r="D15" s="183"/>
      <c r="E15" s="151">
        <v>24</v>
      </c>
      <c r="F15" s="151">
        <v>0</v>
      </c>
      <c r="G15" s="1418"/>
    </row>
    <row r="16" spans="1:7" x14ac:dyDescent="0.25">
      <c r="A16" s="1421"/>
      <c r="B16" s="117" t="s">
        <v>103</v>
      </c>
      <c r="C16" s="184"/>
      <c r="D16" s="184"/>
      <c r="E16" s="151">
        <v>0</v>
      </c>
      <c r="F16" s="151">
        <v>0</v>
      </c>
      <c r="G16" s="1418"/>
    </row>
    <row r="17" spans="1:7" ht="15.75" thickBot="1" x14ac:dyDescent="0.3">
      <c r="A17" s="1422"/>
      <c r="B17" s="119" t="s">
        <v>104</v>
      </c>
      <c r="C17" s="185"/>
      <c r="D17" s="185"/>
      <c r="E17" s="153">
        <v>0</v>
      </c>
      <c r="F17" s="151">
        <v>24</v>
      </c>
      <c r="G17" s="1419"/>
    </row>
    <row r="18" spans="1:7" ht="15.75" x14ac:dyDescent="0.25">
      <c r="A18" s="1420">
        <v>44260</v>
      </c>
      <c r="B18" s="122" t="s">
        <v>17</v>
      </c>
      <c r="C18" s="186"/>
      <c r="D18" s="186"/>
      <c r="E18" s="150">
        <v>1</v>
      </c>
      <c r="F18" s="150">
        <v>1</v>
      </c>
      <c r="G18" s="1417"/>
    </row>
    <row r="19" spans="1:7" x14ac:dyDescent="0.25">
      <c r="A19" s="1421"/>
      <c r="B19" s="115" t="s">
        <v>102</v>
      </c>
      <c r="C19" s="183"/>
      <c r="D19" s="183"/>
      <c r="E19" s="151">
        <v>24</v>
      </c>
      <c r="F19" s="151">
        <v>0</v>
      </c>
      <c r="G19" s="1418"/>
    </row>
    <row r="20" spans="1:7" x14ac:dyDescent="0.25">
      <c r="A20" s="1421"/>
      <c r="B20" s="117" t="s">
        <v>103</v>
      </c>
      <c r="C20" s="184"/>
      <c r="D20" s="184"/>
      <c r="E20" s="151">
        <v>0</v>
      </c>
      <c r="F20" s="151">
        <v>0</v>
      </c>
      <c r="G20" s="1418"/>
    </row>
    <row r="21" spans="1:7" ht="15.75" thickBot="1" x14ac:dyDescent="0.3">
      <c r="A21" s="1422"/>
      <c r="B21" s="119" t="s">
        <v>104</v>
      </c>
      <c r="C21" s="185"/>
      <c r="D21" s="185"/>
      <c r="E21" s="153">
        <v>0</v>
      </c>
      <c r="F21" s="151">
        <v>24</v>
      </c>
      <c r="G21" s="1419"/>
    </row>
    <row r="22" spans="1:7" ht="15.75" x14ac:dyDescent="0.25">
      <c r="A22" s="1420">
        <v>44261</v>
      </c>
      <c r="B22" s="112" t="s">
        <v>17</v>
      </c>
      <c r="C22" s="182"/>
      <c r="D22" s="182"/>
      <c r="E22" s="150">
        <v>1</v>
      </c>
      <c r="F22" s="150">
        <v>1</v>
      </c>
      <c r="G22" s="1417"/>
    </row>
    <row r="23" spans="1:7" x14ac:dyDescent="0.25">
      <c r="A23" s="1421"/>
      <c r="B23" s="125" t="s">
        <v>102</v>
      </c>
      <c r="C23" s="183"/>
      <c r="D23" s="183"/>
      <c r="E23" s="151">
        <v>24</v>
      </c>
      <c r="F23" s="151">
        <v>0</v>
      </c>
      <c r="G23" s="1418"/>
    </row>
    <row r="24" spans="1:7" x14ac:dyDescent="0.25">
      <c r="A24" s="1421"/>
      <c r="B24" s="117" t="s">
        <v>103</v>
      </c>
      <c r="C24" s="184"/>
      <c r="D24" s="184"/>
      <c r="E24" s="151">
        <v>0</v>
      </c>
      <c r="F24" s="151">
        <v>0</v>
      </c>
      <c r="G24" s="1418"/>
    </row>
    <row r="25" spans="1:7" ht="15.75" thickBot="1" x14ac:dyDescent="0.3">
      <c r="A25" s="1422"/>
      <c r="B25" s="119" t="s">
        <v>104</v>
      </c>
      <c r="C25" s="185"/>
      <c r="D25" s="185"/>
      <c r="E25" s="153">
        <v>0</v>
      </c>
      <c r="F25" s="151">
        <v>24</v>
      </c>
      <c r="G25" s="1423"/>
    </row>
    <row r="26" spans="1:7" ht="15.75" x14ac:dyDescent="0.25">
      <c r="A26" s="1420">
        <v>44262</v>
      </c>
      <c r="B26" s="112" t="s">
        <v>17</v>
      </c>
      <c r="C26" s="182"/>
      <c r="D26" s="182"/>
      <c r="E26" s="150">
        <v>1</v>
      </c>
      <c r="F26" s="150">
        <v>1</v>
      </c>
      <c r="G26" s="1417"/>
    </row>
    <row r="27" spans="1:7" x14ac:dyDescent="0.25">
      <c r="A27" s="1421"/>
      <c r="B27" s="115" t="s">
        <v>102</v>
      </c>
      <c r="C27" s="183"/>
      <c r="D27" s="183"/>
      <c r="E27" s="151">
        <v>24</v>
      </c>
      <c r="F27" s="151">
        <v>0</v>
      </c>
      <c r="G27" s="1418"/>
    </row>
    <row r="28" spans="1:7" x14ac:dyDescent="0.25">
      <c r="A28" s="1421"/>
      <c r="B28" s="117" t="s">
        <v>103</v>
      </c>
      <c r="C28" s="184"/>
      <c r="D28" s="184"/>
      <c r="E28" s="151">
        <v>0</v>
      </c>
      <c r="F28" s="151">
        <v>0</v>
      </c>
      <c r="G28" s="1418"/>
    </row>
    <row r="29" spans="1:7" ht="15.75" thickBot="1" x14ac:dyDescent="0.3">
      <c r="A29" s="1422"/>
      <c r="B29" s="119" t="s">
        <v>104</v>
      </c>
      <c r="C29" s="185"/>
      <c r="D29" s="185"/>
      <c r="E29" s="153">
        <v>0</v>
      </c>
      <c r="F29" s="151">
        <v>24</v>
      </c>
      <c r="G29" s="1423"/>
    </row>
    <row r="30" spans="1:7" ht="15.75" x14ac:dyDescent="0.25">
      <c r="A30" s="1420">
        <v>44263</v>
      </c>
      <c r="B30" s="122" t="s">
        <v>17</v>
      </c>
      <c r="C30" s="186"/>
      <c r="D30" s="186"/>
      <c r="E30" s="150">
        <v>1</v>
      </c>
      <c r="F30" s="150">
        <v>1</v>
      </c>
      <c r="G30" s="1417"/>
    </row>
    <row r="31" spans="1:7" x14ac:dyDescent="0.25">
      <c r="A31" s="1421"/>
      <c r="B31" s="125" t="s">
        <v>102</v>
      </c>
      <c r="C31" s="183"/>
      <c r="D31" s="183"/>
      <c r="E31" s="151">
        <v>24</v>
      </c>
      <c r="F31" s="151">
        <v>0</v>
      </c>
      <c r="G31" s="1418"/>
    </row>
    <row r="32" spans="1:7" x14ac:dyDescent="0.25">
      <c r="A32" s="1421"/>
      <c r="B32" s="117" t="s">
        <v>103</v>
      </c>
      <c r="C32" s="184"/>
      <c r="D32" s="184"/>
      <c r="E32" s="151">
        <v>0</v>
      </c>
      <c r="F32" s="151">
        <v>0</v>
      </c>
      <c r="G32" s="1418"/>
    </row>
    <row r="33" spans="1:7" ht="15.75" thickBot="1" x14ac:dyDescent="0.3">
      <c r="A33" s="1422"/>
      <c r="B33" s="119" t="s">
        <v>104</v>
      </c>
      <c r="C33" s="185"/>
      <c r="D33" s="185"/>
      <c r="E33" s="153">
        <v>0</v>
      </c>
      <c r="F33" s="151">
        <v>24</v>
      </c>
      <c r="G33" s="1423"/>
    </row>
    <row r="34" spans="1:7" ht="15.75" x14ac:dyDescent="0.25">
      <c r="A34" s="1420">
        <v>44264</v>
      </c>
      <c r="B34" s="112" t="s">
        <v>17</v>
      </c>
      <c r="C34" s="182"/>
      <c r="D34" s="182"/>
      <c r="E34" s="150">
        <v>1</v>
      </c>
      <c r="F34" s="150">
        <v>1</v>
      </c>
      <c r="G34" s="1430"/>
    </row>
    <row r="35" spans="1:7" x14ac:dyDescent="0.25">
      <c r="A35" s="1421"/>
      <c r="B35" s="115" t="s">
        <v>102</v>
      </c>
      <c r="C35" s="183"/>
      <c r="D35" s="183"/>
      <c r="E35" s="151">
        <v>24</v>
      </c>
      <c r="F35" s="151">
        <v>0</v>
      </c>
      <c r="G35" s="1431"/>
    </row>
    <row r="36" spans="1:7" x14ac:dyDescent="0.25">
      <c r="A36" s="1421"/>
      <c r="B36" s="117" t="s">
        <v>103</v>
      </c>
      <c r="C36" s="184"/>
      <c r="D36" s="184"/>
      <c r="E36" s="151">
        <v>0</v>
      </c>
      <c r="F36" s="151">
        <v>0</v>
      </c>
      <c r="G36" s="1431"/>
    </row>
    <row r="37" spans="1:7" ht="15.75" thickBot="1" x14ac:dyDescent="0.3">
      <c r="A37" s="1422"/>
      <c r="B37" s="119" t="s">
        <v>104</v>
      </c>
      <c r="C37" s="185"/>
      <c r="D37" s="185"/>
      <c r="E37" s="153">
        <v>0</v>
      </c>
      <c r="F37" s="151">
        <v>24</v>
      </c>
      <c r="G37" s="1432"/>
    </row>
    <row r="38" spans="1:7" ht="15.75" x14ac:dyDescent="0.25">
      <c r="A38" s="1420">
        <v>44265</v>
      </c>
      <c r="B38" s="122" t="s">
        <v>17</v>
      </c>
      <c r="C38" s="186"/>
      <c r="D38" s="186"/>
      <c r="E38" s="150">
        <v>1</v>
      </c>
      <c r="F38" s="150">
        <v>1</v>
      </c>
      <c r="G38" s="1417"/>
    </row>
    <row r="39" spans="1:7" x14ac:dyDescent="0.25">
      <c r="A39" s="1421"/>
      <c r="B39" s="115" t="s">
        <v>102</v>
      </c>
      <c r="C39" s="183"/>
      <c r="D39" s="183"/>
      <c r="E39" s="151">
        <v>24</v>
      </c>
      <c r="F39" s="151">
        <v>0</v>
      </c>
      <c r="G39" s="1418"/>
    </row>
    <row r="40" spans="1:7" x14ac:dyDescent="0.25">
      <c r="A40" s="1421"/>
      <c r="B40" s="117" t="s">
        <v>103</v>
      </c>
      <c r="C40" s="184"/>
      <c r="D40" s="184"/>
      <c r="E40" s="151">
        <v>0</v>
      </c>
      <c r="F40" s="151">
        <v>0</v>
      </c>
      <c r="G40" s="1418"/>
    </row>
    <row r="41" spans="1:7" ht="15.75" thickBot="1" x14ac:dyDescent="0.3">
      <c r="A41" s="1422"/>
      <c r="B41" s="119" t="s">
        <v>104</v>
      </c>
      <c r="C41" s="185"/>
      <c r="D41" s="185"/>
      <c r="E41" s="153">
        <v>0</v>
      </c>
      <c r="F41" s="151">
        <v>24</v>
      </c>
      <c r="G41" s="1423"/>
    </row>
    <row r="42" spans="1:7" ht="15.75" x14ac:dyDescent="0.25">
      <c r="A42" s="1420">
        <v>44266</v>
      </c>
      <c r="B42" s="122" t="s">
        <v>17</v>
      </c>
      <c r="C42" s="186"/>
      <c r="D42" s="186"/>
      <c r="E42" s="150">
        <v>1</v>
      </c>
      <c r="F42" s="150">
        <v>1</v>
      </c>
      <c r="G42" s="1417"/>
    </row>
    <row r="43" spans="1:7" x14ac:dyDescent="0.25">
      <c r="A43" s="1421"/>
      <c r="B43" s="115" t="s">
        <v>102</v>
      </c>
      <c r="C43" s="183"/>
      <c r="D43" s="183"/>
      <c r="E43" s="151">
        <v>24</v>
      </c>
      <c r="F43" s="151">
        <v>0</v>
      </c>
      <c r="G43" s="1418"/>
    </row>
    <row r="44" spans="1:7" x14ac:dyDescent="0.25">
      <c r="A44" s="1421"/>
      <c r="B44" s="117" t="s">
        <v>103</v>
      </c>
      <c r="C44" s="184"/>
      <c r="D44" s="184"/>
      <c r="E44" s="151">
        <v>0</v>
      </c>
      <c r="F44" s="151">
        <v>0</v>
      </c>
      <c r="G44" s="1418"/>
    </row>
    <row r="45" spans="1:7" ht="15.75" thickBot="1" x14ac:dyDescent="0.3">
      <c r="A45" s="1422"/>
      <c r="B45" s="119" t="s">
        <v>104</v>
      </c>
      <c r="C45" s="185"/>
      <c r="D45" s="185"/>
      <c r="E45" s="153">
        <v>0</v>
      </c>
      <c r="F45" s="151">
        <v>24</v>
      </c>
      <c r="G45" s="1423"/>
    </row>
    <row r="46" spans="1:7" ht="15.75" x14ac:dyDescent="0.25">
      <c r="A46" s="1420">
        <v>44267</v>
      </c>
      <c r="B46" s="122" t="s">
        <v>17</v>
      </c>
      <c r="C46" s="186"/>
      <c r="D46" s="186"/>
      <c r="E46" s="150">
        <v>1</v>
      </c>
      <c r="F46" s="150">
        <v>1</v>
      </c>
      <c r="G46" s="1430"/>
    </row>
    <row r="47" spans="1:7" x14ac:dyDescent="0.25">
      <c r="A47" s="1421"/>
      <c r="B47" s="115" t="s">
        <v>102</v>
      </c>
      <c r="C47" s="183"/>
      <c r="D47" s="183"/>
      <c r="E47" s="151">
        <v>24</v>
      </c>
      <c r="F47" s="151">
        <v>0</v>
      </c>
      <c r="G47" s="1418"/>
    </row>
    <row r="48" spans="1:7" x14ac:dyDescent="0.25">
      <c r="A48" s="1421"/>
      <c r="B48" s="117" t="s">
        <v>103</v>
      </c>
      <c r="C48" s="184"/>
      <c r="D48" s="184"/>
      <c r="E48" s="151">
        <v>0</v>
      </c>
      <c r="F48" s="151">
        <v>0</v>
      </c>
      <c r="G48" s="1418"/>
    </row>
    <row r="49" spans="1:7" ht="15.75" thickBot="1" x14ac:dyDescent="0.3">
      <c r="A49" s="1422"/>
      <c r="B49" s="119" t="s">
        <v>104</v>
      </c>
      <c r="C49" s="185"/>
      <c r="D49" s="185"/>
      <c r="E49" s="153">
        <v>0</v>
      </c>
      <c r="F49" s="151">
        <v>24</v>
      </c>
      <c r="G49" s="1423"/>
    </row>
    <row r="50" spans="1:7" ht="15.75" x14ac:dyDescent="0.25">
      <c r="A50" s="1420">
        <v>44268</v>
      </c>
      <c r="B50" s="122" t="s">
        <v>17</v>
      </c>
      <c r="C50" s="186"/>
      <c r="D50" s="186"/>
      <c r="E50" s="150">
        <v>1</v>
      </c>
      <c r="F50" s="150">
        <v>1</v>
      </c>
      <c r="G50" s="1417"/>
    </row>
    <row r="51" spans="1:7" x14ac:dyDescent="0.25">
      <c r="A51" s="1421"/>
      <c r="B51" s="115" t="s">
        <v>102</v>
      </c>
      <c r="C51" s="183"/>
      <c r="D51" s="183"/>
      <c r="E51" s="151">
        <v>24</v>
      </c>
      <c r="F51" s="151">
        <v>0</v>
      </c>
      <c r="G51" s="1418"/>
    </row>
    <row r="52" spans="1:7" x14ac:dyDescent="0.25">
      <c r="A52" s="1421"/>
      <c r="B52" s="117" t="s">
        <v>103</v>
      </c>
      <c r="C52" s="184"/>
      <c r="D52" s="184"/>
      <c r="E52" s="151">
        <v>0</v>
      </c>
      <c r="F52" s="151">
        <v>0</v>
      </c>
      <c r="G52" s="1418"/>
    </row>
    <row r="53" spans="1:7" ht="15.75" thickBot="1" x14ac:dyDescent="0.3">
      <c r="A53" s="1422"/>
      <c r="B53" s="119" t="s">
        <v>104</v>
      </c>
      <c r="C53" s="185"/>
      <c r="D53" s="185"/>
      <c r="E53" s="153">
        <v>0</v>
      </c>
      <c r="F53" s="151">
        <v>24</v>
      </c>
      <c r="G53" s="1423"/>
    </row>
    <row r="54" spans="1:7" ht="15.75" x14ac:dyDescent="0.25">
      <c r="A54" s="1420">
        <v>44269</v>
      </c>
      <c r="B54" s="122" t="s">
        <v>17</v>
      </c>
      <c r="C54" s="186"/>
      <c r="D54" s="186"/>
      <c r="E54" s="150">
        <v>1</v>
      </c>
      <c r="F54" s="150">
        <v>1</v>
      </c>
      <c r="G54" s="1430"/>
    </row>
    <row r="55" spans="1:7" x14ac:dyDescent="0.25">
      <c r="A55" s="1421"/>
      <c r="B55" s="115" t="s">
        <v>102</v>
      </c>
      <c r="C55" s="183"/>
      <c r="D55" s="183"/>
      <c r="E55" s="151">
        <v>24</v>
      </c>
      <c r="F55" s="151">
        <v>0</v>
      </c>
      <c r="G55" s="1418"/>
    </row>
    <row r="56" spans="1:7" x14ac:dyDescent="0.25">
      <c r="A56" s="1421"/>
      <c r="B56" s="117" t="s">
        <v>103</v>
      </c>
      <c r="C56" s="184"/>
      <c r="D56" s="184"/>
      <c r="E56" s="151">
        <v>0</v>
      </c>
      <c r="F56" s="151">
        <v>0</v>
      </c>
      <c r="G56" s="1418"/>
    </row>
    <row r="57" spans="1:7" ht="15.75" thickBot="1" x14ac:dyDescent="0.3">
      <c r="A57" s="1422"/>
      <c r="B57" s="119" t="s">
        <v>104</v>
      </c>
      <c r="C57" s="185"/>
      <c r="D57" s="185"/>
      <c r="E57" s="153">
        <v>0</v>
      </c>
      <c r="F57" s="151">
        <v>24</v>
      </c>
      <c r="G57" s="1423"/>
    </row>
    <row r="58" spans="1:7" ht="15.75" x14ac:dyDescent="0.25">
      <c r="A58" s="1420">
        <v>44270</v>
      </c>
      <c r="B58" s="112" t="s">
        <v>17</v>
      </c>
      <c r="C58" s="150"/>
      <c r="D58" s="150">
        <v>1</v>
      </c>
      <c r="E58" s="150">
        <v>1</v>
      </c>
      <c r="F58" s="150">
        <v>1</v>
      </c>
      <c r="G58" s="1430"/>
    </row>
    <row r="59" spans="1:7" x14ac:dyDescent="0.25">
      <c r="A59" s="1421"/>
      <c r="B59" s="115" t="s">
        <v>102</v>
      </c>
      <c r="C59" s="151"/>
      <c r="D59" s="151">
        <v>18</v>
      </c>
      <c r="E59" s="151">
        <v>24</v>
      </c>
      <c r="F59" s="151">
        <v>0</v>
      </c>
      <c r="G59" s="1418"/>
    </row>
    <row r="60" spans="1:7" x14ac:dyDescent="0.25">
      <c r="A60" s="1421"/>
      <c r="B60" s="117" t="s">
        <v>103</v>
      </c>
      <c r="C60" s="151"/>
      <c r="D60" s="151">
        <v>6</v>
      </c>
      <c r="E60" s="151">
        <v>0</v>
      </c>
      <c r="F60" s="151">
        <v>0</v>
      </c>
      <c r="G60" s="1418"/>
    </row>
    <row r="61" spans="1:7" ht="15.75" thickBot="1" x14ac:dyDescent="0.3">
      <c r="A61" s="1422"/>
      <c r="B61" s="119" t="s">
        <v>104</v>
      </c>
      <c r="C61" s="153"/>
      <c r="D61" s="153">
        <v>0</v>
      </c>
      <c r="E61" s="153">
        <v>0</v>
      </c>
      <c r="F61" s="151">
        <v>24</v>
      </c>
      <c r="G61" s="1423"/>
    </row>
    <row r="62" spans="1:7" ht="15.75" x14ac:dyDescent="0.25">
      <c r="A62" s="1420">
        <v>44271</v>
      </c>
      <c r="B62" s="122" t="s">
        <v>17</v>
      </c>
      <c r="C62" s="150"/>
      <c r="D62" s="150">
        <v>1</v>
      </c>
      <c r="E62" s="150">
        <v>1</v>
      </c>
      <c r="F62" s="150">
        <v>1</v>
      </c>
      <c r="G62" s="1430"/>
    </row>
    <row r="63" spans="1:7" x14ac:dyDescent="0.25">
      <c r="A63" s="1421"/>
      <c r="B63" s="115" t="s">
        <v>102</v>
      </c>
      <c r="C63" s="151"/>
      <c r="D63" s="151">
        <v>24</v>
      </c>
      <c r="E63" s="151">
        <v>24</v>
      </c>
      <c r="F63" s="151">
        <v>0</v>
      </c>
      <c r="G63" s="1418"/>
    </row>
    <row r="64" spans="1:7" x14ac:dyDescent="0.25">
      <c r="A64" s="1421"/>
      <c r="B64" s="117" t="s">
        <v>103</v>
      </c>
      <c r="C64" s="151"/>
      <c r="D64" s="151">
        <v>0</v>
      </c>
      <c r="E64" s="151">
        <v>0</v>
      </c>
      <c r="F64" s="151">
        <v>0</v>
      </c>
      <c r="G64" s="1418"/>
    </row>
    <row r="65" spans="1:7" ht="15.75" thickBot="1" x14ac:dyDescent="0.3">
      <c r="A65" s="1422"/>
      <c r="B65" s="119" t="s">
        <v>104</v>
      </c>
      <c r="C65" s="153"/>
      <c r="D65" s="153">
        <v>0</v>
      </c>
      <c r="E65" s="153">
        <v>0</v>
      </c>
      <c r="F65" s="151">
        <v>24</v>
      </c>
      <c r="G65" s="1423"/>
    </row>
    <row r="66" spans="1:7" ht="15.75" x14ac:dyDescent="0.25">
      <c r="A66" s="1420">
        <v>44272</v>
      </c>
      <c r="B66" s="122" t="s">
        <v>17</v>
      </c>
      <c r="C66" s="150"/>
      <c r="D66" s="150">
        <v>1</v>
      </c>
      <c r="E66" s="150">
        <v>1</v>
      </c>
      <c r="F66" s="150">
        <v>1</v>
      </c>
      <c r="G66" s="1417"/>
    </row>
    <row r="67" spans="1:7" x14ac:dyDescent="0.25">
      <c r="A67" s="1421"/>
      <c r="B67" s="115" t="s">
        <v>102</v>
      </c>
      <c r="C67" s="151"/>
      <c r="D67" s="151">
        <v>24</v>
      </c>
      <c r="E67" s="151">
        <v>24</v>
      </c>
      <c r="F67" s="151">
        <v>0</v>
      </c>
      <c r="G67" s="1418"/>
    </row>
    <row r="68" spans="1:7" x14ac:dyDescent="0.25">
      <c r="A68" s="1421"/>
      <c r="B68" s="117" t="s">
        <v>103</v>
      </c>
      <c r="C68" s="151"/>
      <c r="D68" s="151">
        <v>0</v>
      </c>
      <c r="E68" s="151">
        <v>0</v>
      </c>
      <c r="F68" s="151">
        <v>0</v>
      </c>
      <c r="G68" s="1418"/>
    </row>
    <row r="69" spans="1:7" ht="15.75" thickBot="1" x14ac:dyDescent="0.3">
      <c r="A69" s="1422"/>
      <c r="B69" s="119" t="s">
        <v>104</v>
      </c>
      <c r="C69" s="153"/>
      <c r="D69" s="153">
        <v>0</v>
      </c>
      <c r="E69" s="153">
        <v>0</v>
      </c>
      <c r="F69" s="151">
        <v>24</v>
      </c>
      <c r="G69" s="1423"/>
    </row>
    <row r="70" spans="1:7" ht="15.75" x14ac:dyDescent="0.25">
      <c r="A70" s="1420">
        <v>44273</v>
      </c>
      <c r="B70" s="122" t="s">
        <v>17</v>
      </c>
      <c r="C70" s="186"/>
      <c r="D70" s="186">
        <v>1</v>
      </c>
      <c r="E70" s="150">
        <v>1</v>
      </c>
      <c r="F70" s="150">
        <v>1</v>
      </c>
      <c r="G70" s="1430" t="s">
        <v>264</v>
      </c>
    </row>
    <row r="71" spans="1:7" x14ac:dyDescent="0.25">
      <c r="A71" s="1421"/>
      <c r="B71" s="115" t="s">
        <v>102</v>
      </c>
      <c r="C71" s="183"/>
      <c r="D71" s="183">
        <v>24</v>
      </c>
      <c r="E71" s="151">
        <v>21.44</v>
      </c>
      <c r="F71" s="151">
        <v>0</v>
      </c>
      <c r="G71" s="1418"/>
    </row>
    <row r="72" spans="1:7" x14ac:dyDescent="0.25">
      <c r="A72" s="1421"/>
      <c r="B72" s="117" t="s">
        <v>103</v>
      </c>
      <c r="C72" s="184"/>
      <c r="D72" s="184">
        <v>0</v>
      </c>
      <c r="E72" s="151">
        <v>2.56</v>
      </c>
      <c r="F72" s="151">
        <v>0</v>
      </c>
      <c r="G72" s="1418"/>
    </row>
    <row r="73" spans="1:7" ht="15.75" thickBot="1" x14ac:dyDescent="0.3">
      <c r="A73" s="1422"/>
      <c r="B73" s="119" t="s">
        <v>104</v>
      </c>
      <c r="C73" s="185"/>
      <c r="D73" s="185">
        <v>0</v>
      </c>
      <c r="E73" s="153">
        <v>0</v>
      </c>
      <c r="F73" s="151">
        <v>24</v>
      </c>
      <c r="G73" s="1423"/>
    </row>
    <row r="74" spans="1:7" ht="18" customHeight="1" x14ac:dyDescent="0.25">
      <c r="A74" s="1420">
        <v>44274</v>
      </c>
      <c r="B74" s="122" t="s">
        <v>17</v>
      </c>
      <c r="C74" s="186"/>
      <c r="D74" s="186">
        <v>1</v>
      </c>
      <c r="E74" s="150">
        <v>1</v>
      </c>
      <c r="F74" s="150">
        <v>1</v>
      </c>
      <c r="G74" s="1417" t="s">
        <v>275</v>
      </c>
    </row>
    <row r="75" spans="1:7" ht="18" customHeight="1" x14ac:dyDescent="0.25">
      <c r="A75" s="1421"/>
      <c r="B75" s="115" t="s">
        <v>102</v>
      </c>
      <c r="C75" s="183"/>
      <c r="D75" s="183">
        <v>24</v>
      </c>
      <c r="E75" s="151">
        <v>21.07</v>
      </c>
      <c r="F75" s="151">
        <v>0</v>
      </c>
      <c r="G75" s="1418"/>
    </row>
    <row r="76" spans="1:7" ht="18" customHeight="1" x14ac:dyDescent="0.25">
      <c r="A76" s="1421"/>
      <c r="B76" s="117" t="s">
        <v>103</v>
      </c>
      <c r="C76" s="184"/>
      <c r="D76" s="184">
        <v>0</v>
      </c>
      <c r="E76" s="151">
        <v>1.93</v>
      </c>
      <c r="F76" s="151">
        <v>0</v>
      </c>
      <c r="G76" s="1418"/>
    </row>
    <row r="77" spans="1:7" ht="18" customHeight="1" thickBot="1" x14ac:dyDescent="0.3">
      <c r="A77" s="1422"/>
      <c r="B77" s="119" t="s">
        <v>104</v>
      </c>
      <c r="C77" s="185"/>
      <c r="D77" s="185">
        <v>0</v>
      </c>
      <c r="E77" s="153">
        <v>0</v>
      </c>
      <c r="F77" s="151">
        <v>24</v>
      </c>
      <c r="G77" s="1423"/>
    </row>
    <row r="78" spans="1:7" ht="15.75" x14ac:dyDescent="0.25">
      <c r="A78" s="1420">
        <v>44275</v>
      </c>
      <c r="B78" s="122" t="s">
        <v>17</v>
      </c>
      <c r="C78" s="186"/>
      <c r="D78" s="186">
        <v>1</v>
      </c>
      <c r="E78" s="150">
        <v>1</v>
      </c>
      <c r="F78" s="150">
        <v>1</v>
      </c>
      <c r="G78" s="1430" t="s">
        <v>279</v>
      </c>
    </row>
    <row r="79" spans="1:7" x14ac:dyDescent="0.25">
      <c r="A79" s="1421"/>
      <c r="B79" s="115" t="s">
        <v>102</v>
      </c>
      <c r="C79" s="183"/>
      <c r="D79" s="183">
        <v>24</v>
      </c>
      <c r="E79" s="151">
        <v>22.72</v>
      </c>
      <c r="F79" s="151">
        <v>0</v>
      </c>
      <c r="G79" s="1431"/>
    </row>
    <row r="80" spans="1:7" x14ac:dyDescent="0.25">
      <c r="A80" s="1421"/>
      <c r="B80" s="117" t="s">
        <v>103</v>
      </c>
      <c r="C80" s="184"/>
      <c r="D80" s="184">
        <v>0</v>
      </c>
      <c r="E80" s="151">
        <v>1.28</v>
      </c>
      <c r="F80" s="151">
        <v>0</v>
      </c>
      <c r="G80" s="1431"/>
    </row>
    <row r="81" spans="1:7" ht="15.75" thickBot="1" x14ac:dyDescent="0.3">
      <c r="A81" s="1422"/>
      <c r="B81" s="119" t="s">
        <v>104</v>
      </c>
      <c r="C81" s="185"/>
      <c r="D81" s="185">
        <v>0</v>
      </c>
      <c r="E81" s="153">
        <v>0</v>
      </c>
      <c r="F81" s="151">
        <v>24</v>
      </c>
      <c r="G81" s="1432"/>
    </row>
    <row r="82" spans="1:7" ht="15.75" x14ac:dyDescent="0.25">
      <c r="A82" s="1420">
        <v>44276</v>
      </c>
      <c r="B82" s="122" t="s">
        <v>17</v>
      </c>
      <c r="C82" s="186"/>
      <c r="D82" s="186">
        <v>1</v>
      </c>
      <c r="E82" s="150">
        <v>1</v>
      </c>
      <c r="F82" s="150">
        <v>1</v>
      </c>
      <c r="G82" s="1430"/>
    </row>
    <row r="83" spans="1:7" x14ac:dyDescent="0.25">
      <c r="A83" s="1421"/>
      <c r="B83" s="115" t="s">
        <v>102</v>
      </c>
      <c r="C83" s="183"/>
      <c r="D83" s="183">
        <v>24</v>
      </c>
      <c r="E83" s="151">
        <v>24</v>
      </c>
      <c r="F83" s="151">
        <v>0</v>
      </c>
      <c r="G83" s="1431"/>
    </row>
    <row r="84" spans="1:7" x14ac:dyDescent="0.25">
      <c r="A84" s="1421"/>
      <c r="B84" s="117" t="s">
        <v>103</v>
      </c>
      <c r="C84" s="184"/>
      <c r="D84" s="184">
        <v>0</v>
      </c>
      <c r="E84" s="151">
        <v>0</v>
      </c>
      <c r="F84" s="151">
        <v>0</v>
      </c>
      <c r="G84" s="1431"/>
    </row>
    <row r="85" spans="1:7" ht="15.75" thickBot="1" x14ac:dyDescent="0.3">
      <c r="A85" s="1422"/>
      <c r="B85" s="119" t="s">
        <v>104</v>
      </c>
      <c r="C85" s="185"/>
      <c r="D85" s="185">
        <v>0</v>
      </c>
      <c r="E85" s="153">
        <v>0</v>
      </c>
      <c r="F85" s="151">
        <v>24</v>
      </c>
      <c r="G85" s="1432"/>
    </row>
    <row r="86" spans="1:7" ht="15.75" x14ac:dyDescent="0.25">
      <c r="A86" s="1420">
        <v>44277</v>
      </c>
      <c r="B86" s="122" t="s">
        <v>17</v>
      </c>
      <c r="C86" s="186"/>
      <c r="D86" s="186">
        <v>1</v>
      </c>
      <c r="E86" s="150">
        <v>1</v>
      </c>
      <c r="F86" s="150">
        <v>1</v>
      </c>
      <c r="G86" s="1430"/>
    </row>
    <row r="87" spans="1:7" x14ac:dyDescent="0.25">
      <c r="A87" s="1421"/>
      <c r="B87" s="115" t="s">
        <v>102</v>
      </c>
      <c r="C87" s="183"/>
      <c r="D87" s="183">
        <v>24</v>
      </c>
      <c r="E87" s="151">
        <v>24</v>
      </c>
      <c r="F87" s="151">
        <v>0</v>
      </c>
      <c r="G87" s="1431"/>
    </row>
    <row r="88" spans="1:7" x14ac:dyDescent="0.25">
      <c r="A88" s="1421"/>
      <c r="B88" s="117" t="s">
        <v>103</v>
      </c>
      <c r="C88" s="184"/>
      <c r="D88" s="184">
        <v>0</v>
      </c>
      <c r="E88" s="151">
        <v>0</v>
      </c>
      <c r="F88" s="151">
        <v>0</v>
      </c>
      <c r="G88" s="1431"/>
    </row>
    <row r="89" spans="1:7" ht="15.75" thickBot="1" x14ac:dyDescent="0.3">
      <c r="A89" s="1422"/>
      <c r="B89" s="119" t="s">
        <v>104</v>
      </c>
      <c r="C89" s="185"/>
      <c r="D89" s="185">
        <v>0</v>
      </c>
      <c r="E89" s="153">
        <v>0</v>
      </c>
      <c r="F89" s="151">
        <v>24</v>
      </c>
      <c r="G89" s="1432"/>
    </row>
    <row r="90" spans="1:7" ht="15.75" x14ac:dyDescent="0.25">
      <c r="A90" s="1420">
        <v>44278</v>
      </c>
      <c r="B90" s="122" t="s">
        <v>17</v>
      </c>
      <c r="C90" s="186"/>
      <c r="D90" s="186">
        <v>1</v>
      </c>
      <c r="E90" s="150">
        <v>1</v>
      </c>
      <c r="F90" s="150">
        <v>1</v>
      </c>
      <c r="G90" s="1430"/>
    </row>
    <row r="91" spans="1:7" x14ac:dyDescent="0.25">
      <c r="A91" s="1421"/>
      <c r="B91" s="115" t="s">
        <v>102</v>
      </c>
      <c r="C91" s="183"/>
      <c r="D91" s="183">
        <v>24</v>
      </c>
      <c r="E91" s="151">
        <v>24</v>
      </c>
      <c r="F91" s="151">
        <v>0</v>
      </c>
      <c r="G91" s="1431"/>
    </row>
    <row r="92" spans="1:7" x14ac:dyDescent="0.25">
      <c r="A92" s="1421"/>
      <c r="B92" s="117" t="s">
        <v>103</v>
      </c>
      <c r="C92" s="184"/>
      <c r="D92" s="184">
        <v>0</v>
      </c>
      <c r="E92" s="151">
        <v>0</v>
      </c>
      <c r="F92" s="151">
        <v>0</v>
      </c>
      <c r="G92" s="1431"/>
    </row>
    <row r="93" spans="1:7" ht="15.75" thickBot="1" x14ac:dyDescent="0.3">
      <c r="A93" s="1422"/>
      <c r="B93" s="119" t="s">
        <v>104</v>
      </c>
      <c r="C93" s="185"/>
      <c r="D93" s="185">
        <v>0</v>
      </c>
      <c r="E93" s="153">
        <v>0</v>
      </c>
      <c r="F93" s="151">
        <v>24</v>
      </c>
      <c r="G93" s="1432"/>
    </row>
    <row r="94" spans="1:7" ht="15.75" x14ac:dyDescent="0.25">
      <c r="A94" s="1420">
        <v>44279</v>
      </c>
      <c r="B94" s="122" t="s">
        <v>17</v>
      </c>
      <c r="C94" s="186"/>
      <c r="D94" s="186">
        <v>1</v>
      </c>
      <c r="E94" s="150">
        <v>1</v>
      </c>
      <c r="F94" s="150">
        <v>1</v>
      </c>
      <c r="G94" s="1417"/>
    </row>
    <row r="95" spans="1:7" x14ac:dyDescent="0.25">
      <c r="A95" s="1421"/>
      <c r="B95" s="115" t="s">
        <v>102</v>
      </c>
      <c r="C95" s="183"/>
      <c r="D95" s="183">
        <v>24</v>
      </c>
      <c r="E95" s="151">
        <v>24</v>
      </c>
      <c r="F95" s="151">
        <v>0</v>
      </c>
      <c r="G95" s="1418"/>
    </row>
    <row r="96" spans="1:7" x14ac:dyDescent="0.25">
      <c r="A96" s="1421"/>
      <c r="B96" s="117" t="s">
        <v>103</v>
      </c>
      <c r="C96" s="184"/>
      <c r="D96" s="184">
        <v>0</v>
      </c>
      <c r="E96" s="151">
        <v>0</v>
      </c>
      <c r="F96" s="151">
        <v>0</v>
      </c>
      <c r="G96" s="1418"/>
    </row>
    <row r="97" spans="1:7" ht="15.75" thickBot="1" x14ac:dyDescent="0.3">
      <c r="A97" s="1422"/>
      <c r="B97" s="119" t="s">
        <v>104</v>
      </c>
      <c r="C97" s="185"/>
      <c r="D97" s="185">
        <v>0</v>
      </c>
      <c r="E97" s="153">
        <v>0</v>
      </c>
      <c r="F97" s="151">
        <v>24</v>
      </c>
      <c r="G97" s="1423"/>
    </row>
    <row r="98" spans="1:7" ht="15.75" x14ac:dyDescent="0.25">
      <c r="A98" s="1420">
        <v>44280</v>
      </c>
      <c r="B98" s="122" t="s">
        <v>17</v>
      </c>
      <c r="C98" s="186"/>
      <c r="D98" s="186">
        <v>1</v>
      </c>
      <c r="E98" s="150">
        <v>1</v>
      </c>
      <c r="F98" s="150">
        <v>1</v>
      </c>
      <c r="G98" s="1417"/>
    </row>
    <row r="99" spans="1:7" x14ac:dyDescent="0.25">
      <c r="A99" s="1421"/>
      <c r="B99" s="115" t="s">
        <v>102</v>
      </c>
      <c r="C99" s="183"/>
      <c r="D99" s="183">
        <v>24</v>
      </c>
      <c r="E99" s="151">
        <v>24</v>
      </c>
      <c r="F99" s="151">
        <v>0</v>
      </c>
      <c r="G99" s="1418"/>
    </row>
    <row r="100" spans="1:7" x14ac:dyDescent="0.25">
      <c r="A100" s="1421"/>
      <c r="B100" s="117" t="s">
        <v>103</v>
      </c>
      <c r="C100" s="184"/>
      <c r="D100" s="184">
        <v>0</v>
      </c>
      <c r="E100" s="151">
        <v>0</v>
      </c>
      <c r="F100" s="151">
        <v>0</v>
      </c>
      <c r="G100" s="1418"/>
    </row>
    <row r="101" spans="1:7" ht="15.75" thickBot="1" x14ac:dyDescent="0.3">
      <c r="A101" s="1422"/>
      <c r="B101" s="119" t="s">
        <v>104</v>
      </c>
      <c r="C101" s="185"/>
      <c r="D101" s="185">
        <v>0</v>
      </c>
      <c r="E101" s="153">
        <v>0</v>
      </c>
      <c r="F101" s="151">
        <v>24</v>
      </c>
      <c r="G101" s="1423"/>
    </row>
    <row r="102" spans="1:7" ht="15.75" x14ac:dyDescent="0.25">
      <c r="A102" s="1420">
        <v>44281</v>
      </c>
      <c r="B102" s="122" t="s">
        <v>17</v>
      </c>
      <c r="C102" s="186"/>
      <c r="D102" s="186">
        <v>1</v>
      </c>
      <c r="E102" s="150">
        <v>1</v>
      </c>
      <c r="F102" s="150">
        <v>1</v>
      </c>
      <c r="G102" s="1417"/>
    </row>
    <row r="103" spans="1:7" x14ac:dyDescent="0.25">
      <c r="A103" s="1421"/>
      <c r="B103" s="117" t="s">
        <v>102</v>
      </c>
      <c r="C103" s="183"/>
      <c r="D103" s="183">
        <v>24</v>
      </c>
      <c r="E103" s="151">
        <v>24</v>
      </c>
      <c r="F103" s="151">
        <v>0</v>
      </c>
      <c r="G103" s="1418"/>
    </row>
    <row r="104" spans="1:7" x14ac:dyDescent="0.25">
      <c r="A104" s="1421"/>
      <c r="B104" s="117" t="s">
        <v>103</v>
      </c>
      <c r="C104" s="184"/>
      <c r="D104" s="184">
        <v>0</v>
      </c>
      <c r="E104" s="151">
        <v>0</v>
      </c>
      <c r="F104" s="151">
        <v>0</v>
      </c>
      <c r="G104" s="1418"/>
    </row>
    <row r="105" spans="1:7" ht="15.75" thickBot="1" x14ac:dyDescent="0.3">
      <c r="A105" s="1422"/>
      <c r="B105" s="119" t="s">
        <v>104</v>
      </c>
      <c r="C105" s="185"/>
      <c r="D105" s="185">
        <v>0</v>
      </c>
      <c r="E105" s="153">
        <v>0</v>
      </c>
      <c r="F105" s="151">
        <v>24</v>
      </c>
      <c r="G105" s="1423"/>
    </row>
    <row r="106" spans="1:7" ht="15.75" x14ac:dyDescent="0.25">
      <c r="A106" s="1420">
        <v>44282</v>
      </c>
      <c r="B106" s="112" t="s">
        <v>17</v>
      </c>
      <c r="C106" s="186"/>
      <c r="D106" s="186">
        <v>1</v>
      </c>
      <c r="E106" s="150">
        <v>1</v>
      </c>
      <c r="F106" s="150">
        <v>1</v>
      </c>
      <c r="G106" s="1417"/>
    </row>
    <row r="107" spans="1:7" x14ac:dyDescent="0.25">
      <c r="A107" s="1421"/>
      <c r="B107" s="117" t="s">
        <v>102</v>
      </c>
      <c r="C107" s="183"/>
      <c r="D107" s="183">
        <v>24</v>
      </c>
      <c r="E107" s="151">
        <v>24</v>
      </c>
      <c r="F107" s="151">
        <v>0</v>
      </c>
      <c r="G107" s="1418"/>
    </row>
    <row r="108" spans="1:7" x14ac:dyDescent="0.25">
      <c r="A108" s="1421"/>
      <c r="B108" s="117" t="s">
        <v>103</v>
      </c>
      <c r="C108" s="184"/>
      <c r="D108" s="184">
        <v>0</v>
      </c>
      <c r="E108" s="151">
        <v>0</v>
      </c>
      <c r="F108" s="151">
        <v>0</v>
      </c>
      <c r="G108" s="1418"/>
    </row>
    <row r="109" spans="1:7" ht="15.75" thickBot="1" x14ac:dyDescent="0.3">
      <c r="A109" s="1422"/>
      <c r="B109" s="119" t="s">
        <v>104</v>
      </c>
      <c r="C109" s="185"/>
      <c r="D109" s="185">
        <v>0</v>
      </c>
      <c r="E109" s="153">
        <v>0</v>
      </c>
      <c r="F109" s="151">
        <v>24</v>
      </c>
      <c r="G109" s="1423"/>
    </row>
    <row r="110" spans="1:7" ht="15.75" x14ac:dyDescent="0.25">
      <c r="A110" s="1420">
        <v>44283</v>
      </c>
      <c r="B110" s="112" t="s">
        <v>17</v>
      </c>
      <c r="C110" s="186"/>
      <c r="D110" s="186">
        <v>1</v>
      </c>
      <c r="E110" s="150">
        <v>1</v>
      </c>
      <c r="F110" s="150">
        <v>1</v>
      </c>
      <c r="G110" s="1417"/>
    </row>
    <row r="111" spans="1:7" x14ac:dyDescent="0.25">
      <c r="A111" s="1421"/>
      <c r="B111" s="117" t="s">
        <v>102</v>
      </c>
      <c r="C111" s="183"/>
      <c r="D111" s="183">
        <v>24</v>
      </c>
      <c r="E111" s="151">
        <v>24</v>
      </c>
      <c r="F111" s="151">
        <v>0</v>
      </c>
      <c r="G111" s="1418"/>
    </row>
    <row r="112" spans="1:7" x14ac:dyDescent="0.25">
      <c r="A112" s="1421"/>
      <c r="B112" s="117" t="s">
        <v>103</v>
      </c>
      <c r="C112" s="184"/>
      <c r="D112" s="184">
        <v>0</v>
      </c>
      <c r="E112" s="151">
        <v>0</v>
      </c>
      <c r="F112" s="151">
        <v>0</v>
      </c>
      <c r="G112" s="1418"/>
    </row>
    <row r="113" spans="1:7" ht="15.75" thickBot="1" x14ac:dyDescent="0.3">
      <c r="A113" s="1422"/>
      <c r="B113" s="119" t="s">
        <v>104</v>
      </c>
      <c r="C113" s="185"/>
      <c r="D113" s="185">
        <v>0</v>
      </c>
      <c r="E113" s="153">
        <v>0</v>
      </c>
      <c r="F113" s="151">
        <v>24</v>
      </c>
      <c r="G113" s="1423"/>
    </row>
    <row r="114" spans="1:7" ht="15.75" x14ac:dyDescent="0.25">
      <c r="A114" s="1420">
        <v>44284</v>
      </c>
      <c r="B114" s="122" t="s">
        <v>17</v>
      </c>
      <c r="C114" s="186">
        <v>1</v>
      </c>
      <c r="D114" s="186">
        <v>1</v>
      </c>
      <c r="E114" s="150">
        <v>1</v>
      </c>
      <c r="F114" s="150">
        <v>1</v>
      </c>
      <c r="G114" s="1417"/>
    </row>
    <row r="115" spans="1:7" x14ac:dyDescent="0.25">
      <c r="A115" s="1421"/>
      <c r="B115" s="117" t="s">
        <v>102</v>
      </c>
      <c r="C115" s="184">
        <v>24</v>
      </c>
      <c r="D115" s="183">
        <v>24</v>
      </c>
      <c r="E115" s="151">
        <v>24</v>
      </c>
      <c r="F115" s="151">
        <v>0</v>
      </c>
      <c r="G115" s="1418"/>
    </row>
    <row r="116" spans="1:7" x14ac:dyDescent="0.25">
      <c r="A116" s="1421"/>
      <c r="B116" s="117" t="s">
        <v>103</v>
      </c>
      <c r="C116" s="184">
        <v>0</v>
      </c>
      <c r="D116" s="184">
        <v>0</v>
      </c>
      <c r="E116" s="151">
        <v>0</v>
      </c>
      <c r="F116" s="151">
        <v>0</v>
      </c>
      <c r="G116" s="1418"/>
    </row>
    <row r="117" spans="1:7" ht="15.75" thickBot="1" x14ac:dyDescent="0.3">
      <c r="A117" s="1422"/>
      <c r="B117" s="119" t="s">
        <v>104</v>
      </c>
      <c r="C117" s="185">
        <v>0</v>
      </c>
      <c r="D117" s="185">
        <v>0</v>
      </c>
      <c r="E117" s="153">
        <v>0</v>
      </c>
      <c r="F117" s="151">
        <v>24</v>
      </c>
      <c r="G117" s="1423"/>
    </row>
    <row r="118" spans="1:7" ht="15.75" x14ac:dyDescent="0.25">
      <c r="A118" s="1420">
        <v>44285</v>
      </c>
      <c r="B118" s="112" t="s">
        <v>17</v>
      </c>
      <c r="C118" s="186">
        <v>1</v>
      </c>
      <c r="D118" s="186">
        <v>1</v>
      </c>
      <c r="E118" s="150">
        <v>1</v>
      </c>
      <c r="F118" s="150">
        <v>1</v>
      </c>
      <c r="G118" s="1417"/>
    </row>
    <row r="119" spans="1:7" x14ac:dyDescent="0.25">
      <c r="A119" s="1421"/>
      <c r="B119" s="117" t="s">
        <v>102</v>
      </c>
      <c r="C119" s="184">
        <v>24</v>
      </c>
      <c r="D119" s="183">
        <v>24</v>
      </c>
      <c r="E119" s="151">
        <v>24</v>
      </c>
      <c r="F119" s="151">
        <v>0</v>
      </c>
      <c r="G119" s="1418"/>
    </row>
    <row r="120" spans="1:7" x14ac:dyDescent="0.25">
      <c r="A120" s="1421"/>
      <c r="B120" s="117" t="s">
        <v>103</v>
      </c>
      <c r="C120" s="184">
        <v>0</v>
      </c>
      <c r="D120" s="184">
        <v>0</v>
      </c>
      <c r="E120" s="151">
        <v>0</v>
      </c>
      <c r="F120" s="151">
        <v>0</v>
      </c>
      <c r="G120" s="1418"/>
    </row>
    <row r="121" spans="1:7" ht="15.75" thickBot="1" x14ac:dyDescent="0.3">
      <c r="A121" s="1422"/>
      <c r="B121" s="119" t="s">
        <v>104</v>
      </c>
      <c r="C121" s="185">
        <v>0</v>
      </c>
      <c r="D121" s="185">
        <v>0</v>
      </c>
      <c r="E121" s="153">
        <v>0</v>
      </c>
      <c r="F121" s="151">
        <v>24</v>
      </c>
      <c r="G121" s="1423"/>
    </row>
    <row r="122" spans="1:7" ht="15.75" x14ac:dyDescent="0.25">
      <c r="A122" s="1420">
        <v>44286</v>
      </c>
      <c r="B122" s="112" t="s">
        <v>17</v>
      </c>
      <c r="C122" s="186">
        <v>1</v>
      </c>
      <c r="D122" s="186">
        <v>1</v>
      </c>
      <c r="E122" s="150">
        <v>1</v>
      </c>
      <c r="F122" s="150">
        <v>1</v>
      </c>
      <c r="G122" s="1417"/>
    </row>
    <row r="123" spans="1:7" x14ac:dyDescent="0.25">
      <c r="A123" s="1421"/>
      <c r="B123" s="117" t="s">
        <v>102</v>
      </c>
      <c r="C123" s="184">
        <v>24</v>
      </c>
      <c r="D123" s="183">
        <v>24</v>
      </c>
      <c r="E123" s="151">
        <v>24</v>
      </c>
      <c r="F123" s="151">
        <v>0</v>
      </c>
      <c r="G123" s="1418"/>
    </row>
    <row r="124" spans="1:7" x14ac:dyDescent="0.25">
      <c r="A124" s="1421"/>
      <c r="B124" s="117" t="s">
        <v>103</v>
      </c>
      <c r="C124" s="184">
        <v>0</v>
      </c>
      <c r="D124" s="184">
        <v>0</v>
      </c>
      <c r="E124" s="151">
        <v>0</v>
      </c>
      <c r="F124" s="151">
        <v>0</v>
      </c>
      <c r="G124" s="1418"/>
    </row>
    <row r="125" spans="1:7" ht="15.75" thickBot="1" x14ac:dyDescent="0.3">
      <c r="A125" s="1422"/>
      <c r="B125" s="119" t="s">
        <v>104</v>
      </c>
      <c r="C125" s="185">
        <v>0</v>
      </c>
      <c r="D125" s="185">
        <v>0</v>
      </c>
      <c r="E125" s="153">
        <v>0</v>
      </c>
      <c r="F125" s="151">
        <v>24</v>
      </c>
      <c r="G125" s="1423"/>
    </row>
    <row r="126" spans="1:7" x14ac:dyDescent="0.25">
      <c r="A126" s="130" t="s">
        <v>131</v>
      </c>
      <c r="B126" s="131"/>
      <c r="C126" s="187"/>
      <c r="D126" s="251"/>
      <c r="E126" s="132">
        <f>SUM(E111,E107,E103,E99,E95,E91,E87,E83,E79,E75,E71,E67,E63,G59,E55,E51,E47,E43,E39,E35,E31,E27,E23,E19,E15,E11,E7,E3)</f>
        <v>641.23</v>
      </c>
      <c r="F126" s="132">
        <f>SUM(F111,F107,F103,F99,F95,F91,F87,F83,F79,F75,F71,F67,F63,H59,F55,F51,F47,F43,F39,F35,F31,F27,F23,F19,F15,F11,F7,F3)</f>
        <v>0</v>
      </c>
      <c r="G126" s="115"/>
    </row>
    <row r="127" spans="1:7" x14ac:dyDescent="0.25">
      <c r="A127" s="1424" t="s">
        <v>132</v>
      </c>
      <c r="B127" s="1425"/>
      <c r="C127" s="188"/>
      <c r="D127" s="252"/>
      <c r="E127" s="135">
        <f>SUM(E112,E108,E104,E100,E96,E92,E88,E84,E80,E76,E72,E68,E64,E60,E56,E52,E48,E44,E40,E36,E32,E28,E24,E20,E16,E12,E8,E4)</f>
        <v>5.77</v>
      </c>
      <c r="F127" s="135">
        <f>SUM(F112,F108,F104,F100,F96,F92,F88,F84,F80,F76,F72,F68,F64,F60,F56,F52,F48,F44,F40,F36,F32,F28,F24,F20,F16,F12,F8,F4)</f>
        <v>0</v>
      </c>
      <c r="G127" s="117"/>
    </row>
    <row r="128" spans="1:7" ht="15.75" thickBot="1" x14ac:dyDescent="0.3">
      <c r="A128" s="1426" t="s">
        <v>133</v>
      </c>
      <c r="B128" s="1427"/>
      <c r="C128" s="189"/>
      <c r="D128" s="253"/>
      <c r="E128" s="138">
        <f>SUM(E113,E109,E105,E101,E97,E93,E89,E85,E81,E77,E73,E69,E65,E61,E57,E53,E49,E45,E41,E37,E33,E29,E25,E21,E17,E13,E9,E5)</f>
        <v>0</v>
      </c>
      <c r="F128" s="138">
        <f>SUM(F113,F109,F105,F101,F97,F93,F89,F85,F81,F77,F73,F69,F65,F61,F57,F53,F49,F45,F41,F37,F33,F29,F25,F21,F17,F13,F9,F5)</f>
        <v>672</v>
      </c>
      <c r="G128" s="119"/>
    </row>
    <row r="129" spans="1:7" ht="15.75" thickBot="1" x14ac:dyDescent="0.3">
      <c r="A129" s="1428" t="s">
        <v>108</v>
      </c>
      <c r="B129" s="1429"/>
      <c r="C129" s="232"/>
      <c r="D129" s="180"/>
      <c r="E129" s="178"/>
      <c r="F129" s="178"/>
      <c r="G129" s="141"/>
    </row>
  </sheetData>
  <mergeCells count="65">
    <mergeCell ref="G18:G21"/>
    <mergeCell ref="G6:G9"/>
    <mergeCell ref="G10:G13"/>
    <mergeCell ref="G14:G17"/>
    <mergeCell ref="G2:G5"/>
    <mergeCell ref="A2:A5"/>
    <mergeCell ref="A6:A9"/>
    <mergeCell ref="A10:A13"/>
    <mergeCell ref="A14:A17"/>
    <mergeCell ref="A18:A21"/>
    <mergeCell ref="A50:A53"/>
    <mergeCell ref="G50:G53"/>
    <mergeCell ref="G38:G41"/>
    <mergeCell ref="A22:A25"/>
    <mergeCell ref="G22:G25"/>
    <mergeCell ref="A26:A29"/>
    <mergeCell ref="G26:G29"/>
    <mergeCell ref="A30:A33"/>
    <mergeCell ref="A34:A37"/>
    <mergeCell ref="G34:G37"/>
    <mergeCell ref="G30:G33"/>
    <mergeCell ref="A38:A41"/>
    <mergeCell ref="A42:A45"/>
    <mergeCell ref="G42:G45"/>
    <mergeCell ref="A46:A49"/>
    <mergeCell ref="G46:G49"/>
    <mergeCell ref="A82:A85"/>
    <mergeCell ref="G82:G85"/>
    <mergeCell ref="G70:G73"/>
    <mergeCell ref="A54:A57"/>
    <mergeCell ref="G54:G57"/>
    <mergeCell ref="A58:A61"/>
    <mergeCell ref="A62:A65"/>
    <mergeCell ref="A66:A69"/>
    <mergeCell ref="G66:G69"/>
    <mergeCell ref="G58:G61"/>
    <mergeCell ref="G62:G65"/>
    <mergeCell ref="A70:A73"/>
    <mergeCell ref="A74:A77"/>
    <mergeCell ref="G74:G77"/>
    <mergeCell ref="A78:A81"/>
    <mergeCell ref="G78:G81"/>
    <mergeCell ref="A110:A113"/>
    <mergeCell ref="G110:G113"/>
    <mergeCell ref="G98:G101"/>
    <mergeCell ref="A86:A89"/>
    <mergeCell ref="G86:G89"/>
    <mergeCell ref="A90:A93"/>
    <mergeCell ref="G90:G93"/>
    <mergeCell ref="A94:A97"/>
    <mergeCell ref="G94:G97"/>
    <mergeCell ref="A98:A101"/>
    <mergeCell ref="A102:A105"/>
    <mergeCell ref="G102:G105"/>
    <mergeCell ref="A106:A109"/>
    <mergeCell ref="G106:G109"/>
    <mergeCell ref="A127:B127"/>
    <mergeCell ref="A128:B128"/>
    <mergeCell ref="A129:B129"/>
    <mergeCell ref="A114:A117"/>
    <mergeCell ref="G114:G117"/>
    <mergeCell ref="A118:A121"/>
    <mergeCell ref="G118:G121"/>
    <mergeCell ref="A122:A125"/>
    <mergeCell ref="G122:G1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I132"/>
  <sheetViews>
    <sheetView workbookViewId="0">
      <pane ySplit="1" topLeftCell="A114" activePane="bottomLeft" state="frozen"/>
      <selection pane="bottomLeft" activeCell="G118" sqref="G118:G121"/>
    </sheetView>
  </sheetViews>
  <sheetFormatPr defaultRowHeight="15" x14ac:dyDescent="0.25"/>
  <cols>
    <col min="1" max="1" width="31.28515625" customWidth="1"/>
    <col min="2" max="2" width="26.28515625" customWidth="1"/>
    <col min="3" max="6" width="10.42578125" customWidth="1"/>
    <col min="7" max="7" width="43.7109375" customWidth="1"/>
  </cols>
  <sheetData>
    <row r="1" spans="1:7" ht="16.5" thickBot="1" x14ac:dyDescent="0.3">
      <c r="A1" s="108" t="s">
        <v>98</v>
      </c>
      <c r="B1" s="109" t="s">
        <v>99</v>
      </c>
      <c r="C1" s="173">
        <v>1</v>
      </c>
      <c r="D1" s="173" t="s">
        <v>239</v>
      </c>
      <c r="E1" s="110" t="s">
        <v>100</v>
      </c>
      <c r="F1" s="173" t="s">
        <v>157</v>
      </c>
      <c r="G1" s="111" t="s">
        <v>101</v>
      </c>
    </row>
    <row r="2" spans="1:7" ht="15.75" customHeight="1" x14ac:dyDescent="0.25">
      <c r="A2" s="1420">
        <v>44287</v>
      </c>
      <c r="B2" s="112" t="s">
        <v>17</v>
      </c>
      <c r="C2" s="150">
        <v>1</v>
      </c>
      <c r="D2" s="150">
        <v>1</v>
      </c>
      <c r="E2" s="150">
        <v>1</v>
      </c>
      <c r="F2" s="150">
        <v>1</v>
      </c>
      <c r="G2" s="1417" t="s">
        <v>324</v>
      </c>
    </row>
    <row r="3" spans="1:7" x14ac:dyDescent="0.25">
      <c r="A3" s="1421"/>
      <c r="B3" s="115" t="s">
        <v>102</v>
      </c>
      <c r="C3" s="151">
        <v>19.62</v>
      </c>
      <c r="D3" s="151">
        <v>24</v>
      </c>
      <c r="E3" s="151">
        <v>24</v>
      </c>
      <c r="F3" s="151">
        <v>0</v>
      </c>
      <c r="G3" s="1418"/>
    </row>
    <row r="4" spans="1:7" x14ac:dyDescent="0.25">
      <c r="A4" s="1421"/>
      <c r="B4" s="117" t="s">
        <v>103</v>
      </c>
      <c r="C4" s="151">
        <v>4.38</v>
      </c>
      <c r="D4" s="151">
        <v>0</v>
      </c>
      <c r="E4" s="151">
        <v>0</v>
      </c>
      <c r="F4" s="151">
        <v>0</v>
      </c>
      <c r="G4" s="1418"/>
    </row>
    <row r="5" spans="1:7" ht="15.75" thickBot="1" x14ac:dyDescent="0.3">
      <c r="A5" s="1422"/>
      <c r="B5" s="119" t="s">
        <v>104</v>
      </c>
      <c r="C5" s="151">
        <v>0</v>
      </c>
      <c r="D5" s="254">
        <v>0</v>
      </c>
      <c r="E5" s="254">
        <v>0</v>
      </c>
      <c r="F5" s="151">
        <v>24</v>
      </c>
      <c r="G5" s="1418"/>
    </row>
    <row r="6" spans="1:7" ht="15.75" x14ac:dyDescent="0.25">
      <c r="A6" s="1420">
        <v>44288</v>
      </c>
      <c r="B6" s="112" t="s">
        <v>17</v>
      </c>
      <c r="C6" s="150">
        <v>1</v>
      </c>
      <c r="D6" s="150">
        <v>1</v>
      </c>
      <c r="E6" s="150">
        <v>1</v>
      </c>
      <c r="F6" s="150">
        <v>1</v>
      </c>
      <c r="G6" s="1418"/>
    </row>
    <row r="7" spans="1:7" x14ac:dyDescent="0.25">
      <c r="A7" s="1421"/>
      <c r="B7" s="115" t="s">
        <v>102</v>
      </c>
      <c r="C7" s="151">
        <v>15.85</v>
      </c>
      <c r="D7" s="151">
        <v>24</v>
      </c>
      <c r="E7" s="151">
        <v>24</v>
      </c>
      <c r="F7" s="151">
        <v>0</v>
      </c>
      <c r="G7" s="1418"/>
    </row>
    <row r="8" spans="1:7" x14ac:dyDescent="0.25">
      <c r="A8" s="1421"/>
      <c r="B8" s="117" t="s">
        <v>103</v>
      </c>
      <c r="C8" s="151">
        <v>8.15</v>
      </c>
      <c r="D8" s="151">
        <v>0</v>
      </c>
      <c r="E8" s="151">
        <v>0</v>
      </c>
      <c r="F8" s="151">
        <v>0</v>
      </c>
      <c r="G8" s="1418"/>
    </row>
    <row r="9" spans="1:7" ht="15.75" thickBot="1" x14ac:dyDescent="0.3">
      <c r="A9" s="1422"/>
      <c r="B9" s="119" t="s">
        <v>104</v>
      </c>
      <c r="C9" s="153">
        <v>0</v>
      </c>
      <c r="D9" s="254">
        <v>0</v>
      </c>
      <c r="E9" s="254">
        <v>0</v>
      </c>
      <c r="F9" s="151">
        <v>24</v>
      </c>
      <c r="G9" s="1423"/>
    </row>
    <row r="10" spans="1:7" ht="15.75" x14ac:dyDescent="0.25">
      <c r="A10" s="1420">
        <v>44289</v>
      </c>
      <c r="B10" s="112" t="s">
        <v>17</v>
      </c>
      <c r="C10" s="150">
        <v>1</v>
      </c>
      <c r="D10" s="150">
        <v>1</v>
      </c>
      <c r="E10" s="150">
        <v>1</v>
      </c>
      <c r="F10" s="150">
        <v>1</v>
      </c>
      <c r="G10" s="1417"/>
    </row>
    <row r="11" spans="1:7" x14ac:dyDescent="0.25">
      <c r="A11" s="1421"/>
      <c r="B11" s="115" t="s">
        <v>102</v>
      </c>
      <c r="C11" s="151">
        <v>24</v>
      </c>
      <c r="D11" s="151">
        <v>24</v>
      </c>
      <c r="E11" s="151">
        <v>24</v>
      </c>
      <c r="F11" s="151">
        <v>0</v>
      </c>
      <c r="G11" s="1418"/>
    </row>
    <row r="12" spans="1:7" x14ac:dyDescent="0.25">
      <c r="A12" s="1421"/>
      <c r="B12" s="117" t="s">
        <v>103</v>
      </c>
      <c r="C12" s="151">
        <v>0</v>
      </c>
      <c r="D12" s="151">
        <v>0</v>
      </c>
      <c r="E12" s="151">
        <v>0</v>
      </c>
      <c r="F12" s="151">
        <v>0</v>
      </c>
      <c r="G12" s="1418"/>
    </row>
    <row r="13" spans="1:7" ht="15.75" thickBot="1" x14ac:dyDescent="0.3">
      <c r="A13" s="1422"/>
      <c r="B13" s="119" t="s">
        <v>104</v>
      </c>
      <c r="C13" s="153">
        <v>0</v>
      </c>
      <c r="D13" s="254">
        <v>0</v>
      </c>
      <c r="E13" s="254">
        <v>0</v>
      </c>
      <c r="F13" s="151">
        <v>24</v>
      </c>
      <c r="G13" s="1419"/>
    </row>
    <row r="14" spans="1:7" ht="15.75" x14ac:dyDescent="0.25">
      <c r="A14" s="1420">
        <v>44290</v>
      </c>
      <c r="B14" s="122" t="s">
        <v>17</v>
      </c>
      <c r="C14" s="150">
        <v>1</v>
      </c>
      <c r="D14" s="150">
        <v>1</v>
      </c>
      <c r="E14" s="150">
        <v>1</v>
      </c>
      <c r="F14" s="150">
        <v>1</v>
      </c>
      <c r="G14" s="1417"/>
    </row>
    <row r="15" spans="1:7" x14ac:dyDescent="0.25">
      <c r="A15" s="1421"/>
      <c r="B15" s="115" t="s">
        <v>102</v>
      </c>
      <c r="C15" s="151">
        <v>24</v>
      </c>
      <c r="D15" s="151">
        <v>24</v>
      </c>
      <c r="E15" s="151">
        <v>24</v>
      </c>
      <c r="F15" s="151">
        <v>0</v>
      </c>
      <c r="G15" s="1418"/>
    </row>
    <row r="16" spans="1:7" x14ac:dyDescent="0.25">
      <c r="A16" s="1421"/>
      <c r="B16" s="117" t="s">
        <v>103</v>
      </c>
      <c r="C16" s="151">
        <v>0</v>
      </c>
      <c r="D16" s="151">
        <v>0</v>
      </c>
      <c r="E16" s="151">
        <v>0</v>
      </c>
      <c r="F16" s="151">
        <v>0</v>
      </c>
      <c r="G16" s="1418"/>
    </row>
    <row r="17" spans="1:7" ht="15.75" thickBot="1" x14ac:dyDescent="0.3">
      <c r="A17" s="1422"/>
      <c r="B17" s="119" t="s">
        <v>104</v>
      </c>
      <c r="C17" s="153">
        <v>0</v>
      </c>
      <c r="D17" s="254">
        <v>0</v>
      </c>
      <c r="E17" s="254">
        <v>0</v>
      </c>
      <c r="F17" s="151">
        <v>24</v>
      </c>
      <c r="G17" s="1419"/>
    </row>
    <row r="18" spans="1:7" ht="15.75" x14ac:dyDescent="0.25">
      <c r="A18" s="1420">
        <v>44291</v>
      </c>
      <c r="B18" s="122" t="s">
        <v>17</v>
      </c>
      <c r="C18" s="150">
        <v>1</v>
      </c>
      <c r="D18" s="150">
        <v>1</v>
      </c>
      <c r="E18" s="150">
        <v>1</v>
      </c>
      <c r="F18" s="150">
        <v>1</v>
      </c>
      <c r="G18" s="1417"/>
    </row>
    <row r="19" spans="1:7" x14ac:dyDescent="0.25">
      <c r="A19" s="1421"/>
      <c r="B19" s="115" t="s">
        <v>102</v>
      </c>
      <c r="C19" s="151">
        <v>24</v>
      </c>
      <c r="D19" s="151">
        <v>24</v>
      </c>
      <c r="E19" s="151">
        <v>24</v>
      </c>
      <c r="F19" s="151">
        <v>0</v>
      </c>
      <c r="G19" s="1418"/>
    </row>
    <row r="20" spans="1:7" x14ac:dyDescent="0.25">
      <c r="A20" s="1421"/>
      <c r="B20" s="117" t="s">
        <v>103</v>
      </c>
      <c r="C20" s="151">
        <v>0</v>
      </c>
      <c r="D20" s="151">
        <v>0</v>
      </c>
      <c r="E20" s="151">
        <v>0</v>
      </c>
      <c r="F20" s="151">
        <v>0</v>
      </c>
      <c r="G20" s="1418"/>
    </row>
    <row r="21" spans="1:7" ht="15.75" thickBot="1" x14ac:dyDescent="0.3">
      <c r="A21" s="1422"/>
      <c r="B21" s="119" t="s">
        <v>104</v>
      </c>
      <c r="C21" s="153">
        <v>0</v>
      </c>
      <c r="D21" s="254">
        <v>0</v>
      </c>
      <c r="E21" s="254">
        <v>0</v>
      </c>
      <c r="F21" s="151">
        <v>24</v>
      </c>
      <c r="G21" s="1419"/>
    </row>
    <row r="22" spans="1:7" ht="15.75" x14ac:dyDescent="0.25">
      <c r="A22" s="1420">
        <v>44292</v>
      </c>
      <c r="B22" s="112" t="s">
        <v>17</v>
      </c>
      <c r="C22" s="150">
        <v>1</v>
      </c>
      <c r="D22" s="150">
        <v>1</v>
      </c>
      <c r="E22" s="150">
        <v>1</v>
      </c>
      <c r="F22" s="150">
        <v>1</v>
      </c>
      <c r="G22" s="1417"/>
    </row>
    <row r="23" spans="1:7" x14ac:dyDescent="0.25">
      <c r="A23" s="1421"/>
      <c r="B23" s="125" t="s">
        <v>102</v>
      </c>
      <c r="C23" s="151">
        <v>24</v>
      </c>
      <c r="D23" s="151">
        <v>24</v>
      </c>
      <c r="E23" s="151">
        <v>24</v>
      </c>
      <c r="F23" s="151">
        <v>0</v>
      </c>
      <c r="G23" s="1418"/>
    </row>
    <row r="24" spans="1:7" x14ac:dyDescent="0.25">
      <c r="A24" s="1421"/>
      <c r="B24" s="117" t="s">
        <v>103</v>
      </c>
      <c r="C24" s="151">
        <v>0</v>
      </c>
      <c r="D24" s="151">
        <v>0</v>
      </c>
      <c r="E24" s="151">
        <v>0</v>
      </c>
      <c r="F24" s="151">
        <v>0</v>
      </c>
      <c r="G24" s="1418"/>
    </row>
    <row r="25" spans="1:7" ht="15.75" thickBot="1" x14ac:dyDescent="0.3">
      <c r="A25" s="1422"/>
      <c r="B25" s="119" t="s">
        <v>104</v>
      </c>
      <c r="C25" s="153">
        <v>0</v>
      </c>
      <c r="D25" s="254">
        <v>0</v>
      </c>
      <c r="E25" s="254">
        <v>0</v>
      </c>
      <c r="F25" s="151">
        <v>24</v>
      </c>
      <c r="G25" s="1423"/>
    </row>
    <row r="26" spans="1:7" ht="24" customHeight="1" x14ac:dyDescent="0.25">
      <c r="A26" s="1420">
        <v>44293</v>
      </c>
      <c r="B26" s="112" t="s">
        <v>17</v>
      </c>
      <c r="C26" s="150">
        <v>1</v>
      </c>
      <c r="D26" s="150">
        <v>1</v>
      </c>
      <c r="E26" s="150">
        <v>1</v>
      </c>
      <c r="F26" s="150">
        <v>1</v>
      </c>
      <c r="G26" s="1417" t="s">
        <v>348</v>
      </c>
    </row>
    <row r="27" spans="1:7" ht="24" customHeight="1" x14ac:dyDescent="0.25">
      <c r="A27" s="1421"/>
      <c r="B27" s="115" t="s">
        <v>102</v>
      </c>
      <c r="C27" s="151">
        <v>20.079999999999998</v>
      </c>
      <c r="D27" s="151">
        <v>24</v>
      </c>
      <c r="E27" s="151">
        <v>24</v>
      </c>
      <c r="F27" s="151">
        <v>0</v>
      </c>
      <c r="G27" s="1418"/>
    </row>
    <row r="28" spans="1:7" ht="24" customHeight="1" x14ac:dyDescent="0.25">
      <c r="A28" s="1421"/>
      <c r="B28" s="117" t="s">
        <v>103</v>
      </c>
      <c r="C28" s="151">
        <v>3.92</v>
      </c>
      <c r="D28" s="151">
        <v>0</v>
      </c>
      <c r="E28" s="151">
        <v>0</v>
      </c>
      <c r="F28" s="151">
        <v>0</v>
      </c>
      <c r="G28" s="1418"/>
    </row>
    <row r="29" spans="1:7" ht="24" customHeight="1" thickBot="1" x14ac:dyDescent="0.3">
      <c r="A29" s="1422"/>
      <c r="B29" s="119" t="s">
        <v>104</v>
      </c>
      <c r="C29" s="153">
        <v>0</v>
      </c>
      <c r="D29" s="254">
        <v>0</v>
      </c>
      <c r="E29" s="254">
        <v>0</v>
      </c>
      <c r="F29" s="151">
        <v>24</v>
      </c>
      <c r="G29" s="1423"/>
    </row>
    <row r="30" spans="1:7" ht="15.75" x14ac:dyDescent="0.25">
      <c r="A30" s="1420">
        <v>44294</v>
      </c>
      <c r="B30" s="122" t="s">
        <v>17</v>
      </c>
      <c r="C30" s="150">
        <v>1</v>
      </c>
      <c r="D30" s="150">
        <v>1</v>
      </c>
      <c r="E30" s="150">
        <v>1</v>
      </c>
      <c r="F30" s="150">
        <v>1</v>
      </c>
      <c r="G30" s="1417"/>
    </row>
    <row r="31" spans="1:7" x14ac:dyDescent="0.25">
      <c r="A31" s="1421"/>
      <c r="B31" s="125" t="s">
        <v>102</v>
      </c>
      <c r="C31" s="151">
        <v>24</v>
      </c>
      <c r="D31" s="151">
        <v>24</v>
      </c>
      <c r="E31" s="151">
        <v>24</v>
      </c>
      <c r="F31" s="151">
        <v>0</v>
      </c>
      <c r="G31" s="1418"/>
    </row>
    <row r="32" spans="1:7" x14ac:dyDescent="0.25">
      <c r="A32" s="1421"/>
      <c r="B32" s="117" t="s">
        <v>103</v>
      </c>
      <c r="C32" s="151">
        <v>0</v>
      </c>
      <c r="D32" s="151">
        <v>0</v>
      </c>
      <c r="E32" s="151">
        <v>0</v>
      </c>
      <c r="F32" s="151">
        <v>0</v>
      </c>
      <c r="G32" s="1418"/>
    </row>
    <row r="33" spans="1:7" ht="15.75" thickBot="1" x14ac:dyDescent="0.3">
      <c r="A33" s="1422"/>
      <c r="B33" s="119" t="s">
        <v>104</v>
      </c>
      <c r="C33" s="153">
        <v>0</v>
      </c>
      <c r="D33" s="254">
        <v>0</v>
      </c>
      <c r="E33" s="254">
        <v>0</v>
      </c>
      <c r="F33" s="151">
        <v>24</v>
      </c>
      <c r="G33" s="1423"/>
    </row>
    <row r="34" spans="1:7" ht="15.75" x14ac:dyDescent="0.25">
      <c r="A34" s="1420">
        <v>44295</v>
      </c>
      <c r="B34" s="112" t="s">
        <v>17</v>
      </c>
      <c r="C34" s="150">
        <v>1</v>
      </c>
      <c r="D34" s="150">
        <v>1</v>
      </c>
      <c r="E34" s="150">
        <v>1</v>
      </c>
      <c r="F34" s="150">
        <v>1</v>
      </c>
      <c r="G34" s="1430"/>
    </row>
    <row r="35" spans="1:7" x14ac:dyDescent="0.25">
      <c r="A35" s="1421"/>
      <c r="B35" s="115" t="s">
        <v>102</v>
      </c>
      <c r="C35" s="151">
        <v>24</v>
      </c>
      <c r="D35" s="151">
        <v>24</v>
      </c>
      <c r="E35" s="151">
        <v>24</v>
      </c>
      <c r="F35" s="151">
        <v>0</v>
      </c>
      <c r="G35" s="1431"/>
    </row>
    <row r="36" spans="1:7" x14ac:dyDescent="0.25">
      <c r="A36" s="1421"/>
      <c r="B36" s="117" t="s">
        <v>103</v>
      </c>
      <c r="C36" s="151">
        <v>0</v>
      </c>
      <c r="D36" s="151">
        <v>0</v>
      </c>
      <c r="E36" s="151">
        <v>0</v>
      </c>
      <c r="F36" s="151">
        <v>0</v>
      </c>
      <c r="G36" s="1431"/>
    </row>
    <row r="37" spans="1:7" ht="15.75" thickBot="1" x14ac:dyDescent="0.3">
      <c r="A37" s="1422"/>
      <c r="B37" s="119" t="s">
        <v>104</v>
      </c>
      <c r="C37" s="153">
        <v>0</v>
      </c>
      <c r="D37" s="254">
        <v>0</v>
      </c>
      <c r="E37" s="254">
        <v>0</v>
      </c>
      <c r="F37" s="151">
        <v>24</v>
      </c>
      <c r="G37" s="1432"/>
    </row>
    <row r="38" spans="1:7" ht="15.75" x14ac:dyDescent="0.25">
      <c r="A38" s="1420">
        <v>44296</v>
      </c>
      <c r="B38" s="122" t="s">
        <v>17</v>
      </c>
      <c r="C38" s="150">
        <v>1</v>
      </c>
      <c r="D38" s="150">
        <v>1</v>
      </c>
      <c r="E38" s="150">
        <v>1</v>
      </c>
      <c r="F38" s="150">
        <v>1</v>
      </c>
      <c r="G38" s="1417"/>
    </row>
    <row r="39" spans="1:7" x14ac:dyDescent="0.25">
      <c r="A39" s="1421"/>
      <c r="B39" s="115" t="s">
        <v>102</v>
      </c>
      <c r="C39" s="151">
        <v>24</v>
      </c>
      <c r="D39" s="151">
        <v>24</v>
      </c>
      <c r="E39" s="151">
        <v>24</v>
      </c>
      <c r="F39" s="151">
        <v>0</v>
      </c>
      <c r="G39" s="1418"/>
    </row>
    <row r="40" spans="1:7" x14ac:dyDescent="0.25">
      <c r="A40" s="1421"/>
      <c r="B40" s="117" t="s">
        <v>103</v>
      </c>
      <c r="C40" s="151">
        <v>0</v>
      </c>
      <c r="D40" s="151">
        <v>0</v>
      </c>
      <c r="E40" s="151">
        <v>0</v>
      </c>
      <c r="F40" s="151">
        <v>0</v>
      </c>
      <c r="G40" s="1418"/>
    </row>
    <row r="41" spans="1:7" ht="15.75" thickBot="1" x14ac:dyDescent="0.3">
      <c r="A41" s="1422"/>
      <c r="B41" s="119" t="s">
        <v>104</v>
      </c>
      <c r="C41" s="153">
        <v>0</v>
      </c>
      <c r="D41" s="254">
        <v>0</v>
      </c>
      <c r="E41" s="254">
        <v>0</v>
      </c>
      <c r="F41" s="151">
        <v>24</v>
      </c>
      <c r="G41" s="1423"/>
    </row>
    <row r="42" spans="1:7" ht="15.75" x14ac:dyDescent="0.25">
      <c r="A42" s="1420">
        <v>44297</v>
      </c>
      <c r="B42" s="122" t="s">
        <v>17</v>
      </c>
      <c r="C42" s="150">
        <v>1</v>
      </c>
      <c r="D42" s="150">
        <v>1</v>
      </c>
      <c r="E42" s="150">
        <v>1</v>
      </c>
      <c r="F42" s="150">
        <v>1</v>
      </c>
      <c r="G42" s="1417" t="s">
        <v>363</v>
      </c>
    </row>
    <row r="43" spans="1:7" x14ac:dyDescent="0.25">
      <c r="A43" s="1421"/>
      <c r="B43" s="115" t="s">
        <v>102</v>
      </c>
      <c r="C43" s="151">
        <v>24</v>
      </c>
      <c r="D43" s="151">
        <v>23.02</v>
      </c>
      <c r="E43" s="151">
        <v>24</v>
      </c>
      <c r="F43" s="151">
        <v>0</v>
      </c>
      <c r="G43" s="1418"/>
    </row>
    <row r="44" spans="1:7" x14ac:dyDescent="0.25">
      <c r="A44" s="1421"/>
      <c r="B44" s="117" t="s">
        <v>103</v>
      </c>
      <c r="C44" s="151">
        <v>0</v>
      </c>
      <c r="D44" s="151">
        <v>0.98</v>
      </c>
      <c r="E44" s="151">
        <v>0</v>
      </c>
      <c r="F44" s="151">
        <v>0</v>
      </c>
      <c r="G44" s="1418"/>
    </row>
    <row r="45" spans="1:7" ht="15.75" thickBot="1" x14ac:dyDescent="0.3">
      <c r="A45" s="1422"/>
      <c r="B45" s="119" t="s">
        <v>104</v>
      </c>
      <c r="C45" s="153">
        <v>0</v>
      </c>
      <c r="D45" s="254">
        <v>0</v>
      </c>
      <c r="E45" s="254">
        <v>0</v>
      </c>
      <c r="F45" s="151">
        <v>24</v>
      </c>
      <c r="G45" s="1423"/>
    </row>
    <row r="46" spans="1:7" ht="15.75" x14ac:dyDescent="0.25">
      <c r="A46" s="1420">
        <v>44298</v>
      </c>
      <c r="B46" s="122" t="s">
        <v>17</v>
      </c>
      <c r="C46" s="150">
        <v>1</v>
      </c>
      <c r="D46" s="150">
        <v>1</v>
      </c>
      <c r="E46" s="150">
        <v>1</v>
      </c>
      <c r="F46" s="150">
        <v>1</v>
      </c>
      <c r="G46" s="1430"/>
    </row>
    <row r="47" spans="1:7" x14ac:dyDescent="0.25">
      <c r="A47" s="1421"/>
      <c r="B47" s="115" t="s">
        <v>102</v>
      </c>
      <c r="C47" s="151">
        <v>24</v>
      </c>
      <c r="D47" s="151">
        <v>24</v>
      </c>
      <c r="E47" s="151">
        <v>24</v>
      </c>
      <c r="F47" s="151">
        <v>0</v>
      </c>
      <c r="G47" s="1418"/>
    </row>
    <row r="48" spans="1:7" x14ac:dyDescent="0.25">
      <c r="A48" s="1421"/>
      <c r="B48" s="117" t="s">
        <v>103</v>
      </c>
      <c r="C48" s="151">
        <v>0</v>
      </c>
      <c r="D48" s="151">
        <v>0</v>
      </c>
      <c r="E48" s="151">
        <v>0</v>
      </c>
      <c r="F48" s="151">
        <v>0</v>
      </c>
      <c r="G48" s="1418"/>
    </row>
    <row r="49" spans="1:7" ht="15.75" thickBot="1" x14ac:dyDescent="0.3">
      <c r="A49" s="1422"/>
      <c r="B49" s="119" t="s">
        <v>104</v>
      </c>
      <c r="C49" s="153">
        <v>0</v>
      </c>
      <c r="D49" s="254">
        <v>0</v>
      </c>
      <c r="E49" s="254">
        <v>0</v>
      </c>
      <c r="F49" s="151">
        <v>24</v>
      </c>
      <c r="G49" s="1423"/>
    </row>
    <row r="50" spans="1:7" ht="15.75" x14ac:dyDescent="0.25">
      <c r="A50" s="1420">
        <v>44299</v>
      </c>
      <c r="B50" s="122" t="s">
        <v>17</v>
      </c>
      <c r="C50" s="150">
        <v>1</v>
      </c>
      <c r="D50" s="150">
        <v>1</v>
      </c>
      <c r="E50" s="150">
        <v>1</v>
      </c>
      <c r="F50" s="150">
        <v>1</v>
      </c>
      <c r="G50" s="1417"/>
    </row>
    <row r="51" spans="1:7" x14ac:dyDescent="0.25">
      <c r="A51" s="1421"/>
      <c r="B51" s="115" t="s">
        <v>102</v>
      </c>
      <c r="C51" s="151">
        <v>24</v>
      </c>
      <c r="D51" s="151">
        <v>24</v>
      </c>
      <c r="E51" s="151">
        <v>24</v>
      </c>
      <c r="F51" s="151">
        <v>0</v>
      </c>
      <c r="G51" s="1418"/>
    </row>
    <row r="52" spans="1:7" x14ac:dyDescent="0.25">
      <c r="A52" s="1421"/>
      <c r="B52" s="117" t="s">
        <v>103</v>
      </c>
      <c r="C52" s="151">
        <v>0</v>
      </c>
      <c r="D52" s="151">
        <v>0</v>
      </c>
      <c r="E52" s="151">
        <v>0</v>
      </c>
      <c r="F52" s="151">
        <v>0</v>
      </c>
      <c r="G52" s="1418"/>
    </row>
    <row r="53" spans="1:7" ht="15.75" thickBot="1" x14ac:dyDescent="0.3">
      <c r="A53" s="1422"/>
      <c r="B53" s="119" t="s">
        <v>104</v>
      </c>
      <c r="C53" s="153">
        <v>0</v>
      </c>
      <c r="D53" s="254">
        <v>0</v>
      </c>
      <c r="E53" s="254">
        <v>0</v>
      </c>
      <c r="F53" s="151">
        <v>24</v>
      </c>
      <c r="G53" s="1423"/>
    </row>
    <row r="54" spans="1:7" ht="21.75" customHeight="1" x14ac:dyDescent="0.25">
      <c r="A54" s="1420">
        <v>44300</v>
      </c>
      <c r="B54" s="122" t="s">
        <v>17</v>
      </c>
      <c r="C54" s="150">
        <v>1</v>
      </c>
      <c r="D54" s="150">
        <v>1</v>
      </c>
      <c r="E54" s="150">
        <v>1</v>
      </c>
      <c r="F54" s="150">
        <v>1</v>
      </c>
      <c r="G54" s="1417" t="s">
        <v>377</v>
      </c>
    </row>
    <row r="55" spans="1:7" ht="21.75" customHeight="1" x14ac:dyDescent="0.25">
      <c r="A55" s="1421"/>
      <c r="B55" s="115" t="s">
        <v>102</v>
      </c>
      <c r="C55" s="151">
        <v>24</v>
      </c>
      <c r="D55" s="151">
        <v>23.5</v>
      </c>
      <c r="E55" s="151">
        <v>24</v>
      </c>
      <c r="F55" s="151">
        <v>0</v>
      </c>
      <c r="G55" s="1418"/>
    </row>
    <row r="56" spans="1:7" ht="21.75" customHeight="1" x14ac:dyDescent="0.25">
      <c r="A56" s="1421"/>
      <c r="B56" s="117" t="s">
        <v>103</v>
      </c>
      <c r="C56" s="151">
        <v>0</v>
      </c>
      <c r="D56" s="151">
        <v>0.5</v>
      </c>
      <c r="E56" s="151">
        <v>0</v>
      </c>
      <c r="F56" s="151">
        <v>0</v>
      </c>
      <c r="G56" s="1418"/>
    </row>
    <row r="57" spans="1:7" ht="21.75" customHeight="1" thickBot="1" x14ac:dyDescent="0.3">
      <c r="A57" s="1422"/>
      <c r="B57" s="119" t="s">
        <v>104</v>
      </c>
      <c r="C57" s="153">
        <v>0</v>
      </c>
      <c r="D57" s="254">
        <v>0</v>
      </c>
      <c r="E57" s="254">
        <v>0</v>
      </c>
      <c r="F57" s="151">
        <v>24</v>
      </c>
      <c r="G57" s="1423"/>
    </row>
    <row r="58" spans="1:7" ht="15.75" x14ac:dyDescent="0.25">
      <c r="A58" s="1420">
        <v>44301</v>
      </c>
      <c r="B58" s="112" t="s">
        <v>17</v>
      </c>
      <c r="C58" s="150">
        <v>1</v>
      </c>
      <c r="D58" s="150">
        <v>1</v>
      </c>
      <c r="E58" s="150">
        <v>1</v>
      </c>
      <c r="F58" s="150">
        <v>1</v>
      </c>
      <c r="G58" s="1430"/>
    </row>
    <row r="59" spans="1:7" x14ac:dyDescent="0.25">
      <c r="A59" s="1421"/>
      <c r="B59" s="115" t="s">
        <v>102</v>
      </c>
      <c r="C59" s="151">
        <v>24</v>
      </c>
      <c r="D59" s="151">
        <v>24</v>
      </c>
      <c r="E59" s="151">
        <v>24</v>
      </c>
      <c r="F59" s="151">
        <v>0</v>
      </c>
      <c r="G59" s="1418"/>
    </row>
    <row r="60" spans="1:7" x14ac:dyDescent="0.25">
      <c r="A60" s="1421"/>
      <c r="B60" s="117" t="s">
        <v>103</v>
      </c>
      <c r="C60" s="151">
        <v>0</v>
      </c>
      <c r="D60" s="151">
        <v>0</v>
      </c>
      <c r="E60" s="151">
        <v>0</v>
      </c>
      <c r="F60" s="151">
        <v>0</v>
      </c>
      <c r="G60" s="1418"/>
    </row>
    <row r="61" spans="1:7" ht="15.75" thickBot="1" x14ac:dyDescent="0.3">
      <c r="A61" s="1422"/>
      <c r="B61" s="119" t="s">
        <v>104</v>
      </c>
      <c r="C61" s="153">
        <v>0</v>
      </c>
      <c r="D61" s="254">
        <v>0</v>
      </c>
      <c r="E61" s="254">
        <v>0</v>
      </c>
      <c r="F61" s="151">
        <v>24</v>
      </c>
      <c r="G61" s="1423"/>
    </row>
    <row r="62" spans="1:7" ht="15.75" x14ac:dyDescent="0.25">
      <c r="A62" s="1420">
        <v>44302</v>
      </c>
      <c r="B62" s="122" t="s">
        <v>17</v>
      </c>
      <c r="C62" s="150">
        <v>1</v>
      </c>
      <c r="D62" s="150">
        <v>1</v>
      </c>
      <c r="E62" s="150">
        <v>1</v>
      </c>
      <c r="F62" s="150">
        <v>1</v>
      </c>
      <c r="G62" s="1430"/>
    </row>
    <row r="63" spans="1:7" x14ac:dyDescent="0.25">
      <c r="A63" s="1421"/>
      <c r="B63" s="115" t="s">
        <v>102</v>
      </c>
      <c r="C63" s="151">
        <v>24</v>
      </c>
      <c r="D63" s="151">
        <v>24</v>
      </c>
      <c r="E63" s="151">
        <v>24</v>
      </c>
      <c r="F63" s="151">
        <v>0</v>
      </c>
      <c r="G63" s="1418"/>
    </row>
    <row r="64" spans="1:7" x14ac:dyDescent="0.25">
      <c r="A64" s="1421"/>
      <c r="B64" s="117" t="s">
        <v>103</v>
      </c>
      <c r="C64" s="151">
        <v>0</v>
      </c>
      <c r="D64" s="151">
        <v>0</v>
      </c>
      <c r="E64" s="151">
        <v>0</v>
      </c>
      <c r="F64" s="151">
        <v>0</v>
      </c>
      <c r="G64" s="1418"/>
    </row>
    <row r="65" spans="1:7" ht="15.75" thickBot="1" x14ac:dyDescent="0.3">
      <c r="A65" s="1422"/>
      <c r="B65" s="119" t="s">
        <v>104</v>
      </c>
      <c r="C65" s="153">
        <v>0</v>
      </c>
      <c r="D65" s="254">
        <v>0</v>
      </c>
      <c r="E65" s="254">
        <v>0</v>
      </c>
      <c r="F65" s="151">
        <v>24</v>
      </c>
      <c r="G65" s="1423"/>
    </row>
    <row r="66" spans="1:7" ht="15.75" x14ac:dyDescent="0.25">
      <c r="A66" s="1420">
        <v>44303</v>
      </c>
      <c r="B66" s="122" t="s">
        <v>17</v>
      </c>
      <c r="C66" s="150">
        <v>1</v>
      </c>
      <c r="D66" s="150">
        <v>1</v>
      </c>
      <c r="E66" s="150">
        <v>1</v>
      </c>
      <c r="F66" s="150">
        <v>1</v>
      </c>
      <c r="G66" s="1417"/>
    </row>
    <row r="67" spans="1:7" x14ac:dyDescent="0.25">
      <c r="A67" s="1421"/>
      <c r="B67" s="115" t="s">
        <v>102</v>
      </c>
      <c r="C67" s="151">
        <v>24</v>
      </c>
      <c r="D67" s="151">
        <v>24</v>
      </c>
      <c r="E67" s="151">
        <v>24</v>
      </c>
      <c r="F67" s="151">
        <v>0</v>
      </c>
      <c r="G67" s="1418"/>
    </row>
    <row r="68" spans="1:7" x14ac:dyDescent="0.25">
      <c r="A68" s="1421"/>
      <c r="B68" s="117" t="s">
        <v>103</v>
      </c>
      <c r="C68" s="151">
        <v>0</v>
      </c>
      <c r="D68" s="151">
        <v>0</v>
      </c>
      <c r="E68" s="151">
        <v>0</v>
      </c>
      <c r="F68" s="151">
        <v>0</v>
      </c>
      <c r="G68" s="1418"/>
    </row>
    <row r="69" spans="1:7" ht="15.75" thickBot="1" x14ac:dyDescent="0.3">
      <c r="A69" s="1422"/>
      <c r="B69" s="119" t="s">
        <v>104</v>
      </c>
      <c r="C69" s="153">
        <v>0</v>
      </c>
      <c r="D69" s="254">
        <v>0</v>
      </c>
      <c r="E69" s="254">
        <v>0</v>
      </c>
      <c r="F69" s="151">
        <v>24</v>
      </c>
      <c r="G69" s="1423"/>
    </row>
    <row r="70" spans="1:7" ht="15.75" x14ac:dyDescent="0.25">
      <c r="A70" s="1420">
        <v>44304</v>
      </c>
      <c r="B70" s="122" t="s">
        <v>17</v>
      </c>
      <c r="C70" s="150">
        <v>1</v>
      </c>
      <c r="D70" s="150">
        <v>1</v>
      </c>
      <c r="E70" s="150">
        <v>1</v>
      </c>
      <c r="F70" s="150">
        <v>1</v>
      </c>
      <c r="G70" s="1430"/>
    </row>
    <row r="71" spans="1:7" x14ac:dyDescent="0.25">
      <c r="A71" s="1421"/>
      <c r="B71" s="115" t="s">
        <v>102</v>
      </c>
      <c r="C71" s="151">
        <v>24</v>
      </c>
      <c r="D71" s="151">
        <v>24</v>
      </c>
      <c r="E71" s="151">
        <v>24</v>
      </c>
      <c r="F71" s="151">
        <v>0</v>
      </c>
      <c r="G71" s="1418"/>
    </row>
    <row r="72" spans="1:7" x14ac:dyDescent="0.25">
      <c r="A72" s="1421"/>
      <c r="B72" s="117" t="s">
        <v>103</v>
      </c>
      <c r="C72" s="151">
        <v>0</v>
      </c>
      <c r="D72" s="151">
        <v>0</v>
      </c>
      <c r="E72" s="151">
        <v>0</v>
      </c>
      <c r="F72" s="151">
        <v>0</v>
      </c>
      <c r="G72" s="1418"/>
    </row>
    <row r="73" spans="1:7" ht="15.75" thickBot="1" x14ac:dyDescent="0.3">
      <c r="A73" s="1422"/>
      <c r="B73" s="119" t="s">
        <v>104</v>
      </c>
      <c r="C73" s="153">
        <v>0</v>
      </c>
      <c r="D73" s="254">
        <v>0</v>
      </c>
      <c r="E73" s="254">
        <v>0</v>
      </c>
      <c r="F73" s="151">
        <v>24</v>
      </c>
      <c r="G73" s="1423"/>
    </row>
    <row r="74" spans="1:7" ht="18" customHeight="1" x14ac:dyDescent="0.25">
      <c r="A74" s="1420">
        <v>44305</v>
      </c>
      <c r="B74" s="122" t="s">
        <v>17</v>
      </c>
      <c r="C74" s="150">
        <v>1</v>
      </c>
      <c r="D74" s="150">
        <v>1</v>
      </c>
      <c r="E74" s="150">
        <v>1</v>
      </c>
      <c r="F74" s="150">
        <v>1</v>
      </c>
      <c r="G74" s="1417"/>
    </row>
    <row r="75" spans="1:7" ht="18" customHeight="1" x14ac:dyDescent="0.25">
      <c r="A75" s="1421"/>
      <c r="B75" s="115" t="s">
        <v>102</v>
      </c>
      <c r="C75" s="151">
        <v>24</v>
      </c>
      <c r="D75" s="151">
        <v>24</v>
      </c>
      <c r="E75" s="151">
        <v>24</v>
      </c>
      <c r="F75" s="151">
        <v>0</v>
      </c>
      <c r="G75" s="1418"/>
    </row>
    <row r="76" spans="1:7" ht="18" customHeight="1" x14ac:dyDescent="0.25">
      <c r="A76" s="1421"/>
      <c r="B76" s="117" t="s">
        <v>103</v>
      </c>
      <c r="C76" s="151">
        <v>0</v>
      </c>
      <c r="D76" s="151">
        <v>0</v>
      </c>
      <c r="E76" s="151">
        <v>0</v>
      </c>
      <c r="F76" s="151">
        <v>0</v>
      </c>
      <c r="G76" s="1418"/>
    </row>
    <row r="77" spans="1:7" ht="18" customHeight="1" thickBot="1" x14ac:dyDescent="0.3">
      <c r="A77" s="1422"/>
      <c r="B77" s="119" t="s">
        <v>104</v>
      </c>
      <c r="C77" s="153">
        <v>0</v>
      </c>
      <c r="D77" s="254">
        <v>0</v>
      </c>
      <c r="E77" s="254">
        <v>0</v>
      </c>
      <c r="F77" s="151">
        <v>24</v>
      </c>
      <c r="G77" s="1423"/>
    </row>
    <row r="78" spans="1:7" ht="15.75" x14ac:dyDescent="0.25">
      <c r="A78" s="1420">
        <v>44306</v>
      </c>
      <c r="B78" s="122" t="s">
        <v>17</v>
      </c>
      <c r="C78" s="150">
        <v>1</v>
      </c>
      <c r="D78" s="150">
        <v>1</v>
      </c>
      <c r="E78" s="150">
        <v>1</v>
      </c>
      <c r="F78" s="150">
        <v>1</v>
      </c>
      <c r="G78" s="1430"/>
    </row>
    <row r="79" spans="1:7" x14ac:dyDescent="0.25">
      <c r="A79" s="1421"/>
      <c r="B79" s="115" t="s">
        <v>102</v>
      </c>
      <c r="C79" s="151">
        <v>24.75</v>
      </c>
      <c r="D79" s="151">
        <v>24</v>
      </c>
      <c r="E79" s="151">
        <v>24</v>
      </c>
      <c r="F79" s="151">
        <v>0</v>
      </c>
      <c r="G79" s="1431"/>
    </row>
    <row r="80" spans="1:7" x14ac:dyDescent="0.25">
      <c r="A80" s="1421"/>
      <c r="B80" s="117" t="s">
        <v>103</v>
      </c>
      <c r="C80" s="151">
        <v>2.25</v>
      </c>
      <c r="D80" s="151">
        <v>0</v>
      </c>
      <c r="E80" s="151">
        <v>0</v>
      </c>
      <c r="F80" s="151">
        <v>0</v>
      </c>
      <c r="G80" s="1431"/>
    </row>
    <row r="81" spans="1:7" ht="15.75" thickBot="1" x14ac:dyDescent="0.3">
      <c r="A81" s="1422"/>
      <c r="B81" s="119" t="s">
        <v>104</v>
      </c>
      <c r="C81" s="153">
        <v>0</v>
      </c>
      <c r="D81" s="254">
        <v>0</v>
      </c>
      <c r="E81" s="254">
        <v>0</v>
      </c>
      <c r="F81" s="151">
        <v>24</v>
      </c>
      <c r="G81" s="1432"/>
    </row>
    <row r="82" spans="1:7" ht="15.75" x14ac:dyDescent="0.25">
      <c r="A82" s="1420">
        <v>44307</v>
      </c>
      <c r="B82" s="122" t="s">
        <v>17</v>
      </c>
      <c r="C82" s="150">
        <v>1</v>
      </c>
      <c r="D82" s="150">
        <v>1</v>
      </c>
      <c r="E82" s="150">
        <v>1</v>
      </c>
      <c r="F82" s="150">
        <v>1</v>
      </c>
      <c r="G82" s="1430"/>
    </row>
    <row r="83" spans="1:7" x14ac:dyDescent="0.25">
      <c r="A83" s="1421"/>
      <c r="B83" s="115" t="s">
        <v>102</v>
      </c>
      <c r="C83" s="151">
        <v>24</v>
      </c>
      <c r="D83" s="151">
        <v>24</v>
      </c>
      <c r="E83" s="151">
        <v>24</v>
      </c>
      <c r="F83" s="151">
        <v>0</v>
      </c>
      <c r="G83" s="1431"/>
    </row>
    <row r="84" spans="1:7" x14ac:dyDescent="0.25">
      <c r="A84" s="1421"/>
      <c r="B84" s="117" t="s">
        <v>103</v>
      </c>
      <c r="C84" s="151">
        <v>0</v>
      </c>
      <c r="D84" s="151">
        <v>0</v>
      </c>
      <c r="E84" s="151">
        <v>0</v>
      </c>
      <c r="F84" s="151">
        <v>0</v>
      </c>
      <c r="G84" s="1431"/>
    </row>
    <row r="85" spans="1:7" ht="15.75" thickBot="1" x14ac:dyDescent="0.3">
      <c r="A85" s="1422"/>
      <c r="B85" s="119" t="s">
        <v>104</v>
      </c>
      <c r="C85" s="153">
        <v>0</v>
      </c>
      <c r="D85" s="254">
        <v>0</v>
      </c>
      <c r="E85" s="254">
        <v>0</v>
      </c>
      <c r="F85" s="151">
        <v>24</v>
      </c>
      <c r="G85" s="1432"/>
    </row>
    <row r="86" spans="1:7" ht="15.75" x14ac:dyDescent="0.25">
      <c r="A86" s="1420">
        <v>44308</v>
      </c>
      <c r="B86" s="122" t="s">
        <v>17</v>
      </c>
      <c r="C86" s="150">
        <v>1</v>
      </c>
      <c r="D86" s="150">
        <v>1</v>
      </c>
      <c r="E86" s="150">
        <v>1</v>
      </c>
      <c r="F86" s="150">
        <v>1</v>
      </c>
      <c r="G86" s="1430"/>
    </row>
    <row r="87" spans="1:7" x14ac:dyDescent="0.25">
      <c r="A87" s="1421"/>
      <c r="B87" s="115" t="s">
        <v>102</v>
      </c>
      <c r="C87" s="151">
        <v>24</v>
      </c>
      <c r="D87" s="151">
        <v>24</v>
      </c>
      <c r="E87" s="151">
        <v>24</v>
      </c>
      <c r="F87" s="151">
        <v>0</v>
      </c>
      <c r="G87" s="1431"/>
    </row>
    <row r="88" spans="1:7" x14ac:dyDescent="0.25">
      <c r="A88" s="1421"/>
      <c r="B88" s="117" t="s">
        <v>103</v>
      </c>
      <c r="C88" s="151">
        <v>0</v>
      </c>
      <c r="D88" s="151">
        <v>0</v>
      </c>
      <c r="E88" s="151">
        <v>0</v>
      </c>
      <c r="F88" s="151">
        <v>0</v>
      </c>
      <c r="G88" s="1431"/>
    </row>
    <row r="89" spans="1:7" ht="15.75" thickBot="1" x14ac:dyDescent="0.3">
      <c r="A89" s="1422"/>
      <c r="B89" s="119" t="s">
        <v>104</v>
      </c>
      <c r="C89" s="153">
        <v>0</v>
      </c>
      <c r="D89" s="254">
        <v>0</v>
      </c>
      <c r="E89" s="254">
        <v>0</v>
      </c>
      <c r="F89" s="151">
        <v>24</v>
      </c>
      <c r="G89" s="1432"/>
    </row>
    <row r="90" spans="1:7" ht="15.75" x14ac:dyDescent="0.25">
      <c r="A90" s="1420">
        <v>44309</v>
      </c>
      <c r="B90" s="122" t="s">
        <v>17</v>
      </c>
      <c r="C90" s="150">
        <v>1</v>
      </c>
      <c r="D90" s="150">
        <v>1</v>
      </c>
      <c r="E90" s="150">
        <v>1</v>
      </c>
      <c r="F90" s="150">
        <v>1</v>
      </c>
      <c r="G90" s="1430"/>
    </row>
    <row r="91" spans="1:7" x14ac:dyDescent="0.25">
      <c r="A91" s="1421"/>
      <c r="B91" s="115" t="s">
        <v>102</v>
      </c>
      <c r="C91" s="151">
        <v>21.89</v>
      </c>
      <c r="D91" s="151">
        <v>24</v>
      </c>
      <c r="E91" s="151">
        <v>24</v>
      </c>
      <c r="F91" s="151">
        <v>0</v>
      </c>
      <c r="G91" s="1431"/>
    </row>
    <row r="92" spans="1:7" x14ac:dyDescent="0.25">
      <c r="A92" s="1421"/>
      <c r="B92" s="117" t="s">
        <v>103</v>
      </c>
      <c r="C92" s="151">
        <v>2.11</v>
      </c>
      <c r="D92" s="151">
        <v>0</v>
      </c>
      <c r="E92" s="151">
        <v>0</v>
      </c>
      <c r="F92" s="151">
        <v>0</v>
      </c>
      <c r="G92" s="1431"/>
    </row>
    <row r="93" spans="1:7" ht="15.75" thickBot="1" x14ac:dyDescent="0.3">
      <c r="A93" s="1422"/>
      <c r="B93" s="119" t="s">
        <v>104</v>
      </c>
      <c r="C93" s="153">
        <v>0</v>
      </c>
      <c r="D93" s="254">
        <v>0</v>
      </c>
      <c r="E93" s="254">
        <v>0</v>
      </c>
      <c r="F93" s="151">
        <v>24</v>
      </c>
      <c r="G93" s="1432"/>
    </row>
    <row r="94" spans="1:7" ht="15.75" x14ac:dyDescent="0.25">
      <c r="A94" s="1420">
        <v>44310</v>
      </c>
      <c r="B94" s="122" t="s">
        <v>17</v>
      </c>
      <c r="C94" s="150">
        <v>1</v>
      </c>
      <c r="D94" s="150">
        <v>1</v>
      </c>
      <c r="E94" s="150">
        <v>1</v>
      </c>
      <c r="F94" s="150">
        <v>1</v>
      </c>
      <c r="G94" s="1417"/>
    </row>
    <row r="95" spans="1:7" x14ac:dyDescent="0.25">
      <c r="A95" s="1421"/>
      <c r="B95" s="115" t="s">
        <v>102</v>
      </c>
      <c r="C95" s="151">
        <v>24</v>
      </c>
      <c r="D95" s="151">
        <v>24</v>
      </c>
      <c r="E95" s="151">
        <v>24</v>
      </c>
      <c r="F95" s="151">
        <v>0</v>
      </c>
      <c r="G95" s="1418"/>
    </row>
    <row r="96" spans="1:7" x14ac:dyDescent="0.25">
      <c r="A96" s="1421"/>
      <c r="B96" s="117" t="s">
        <v>103</v>
      </c>
      <c r="C96" s="151">
        <v>0</v>
      </c>
      <c r="D96" s="151">
        <v>0</v>
      </c>
      <c r="E96" s="151">
        <v>0</v>
      </c>
      <c r="F96" s="151">
        <v>0</v>
      </c>
      <c r="G96" s="1418"/>
    </row>
    <row r="97" spans="1:7" ht="15.75" thickBot="1" x14ac:dyDescent="0.3">
      <c r="A97" s="1422"/>
      <c r="B97" s="119" t="s">
        <v>104</v>
      </c>
      <c r="C97" s="153">
        <v>0</v>
      </c>
      <c r="D97" s="254">
        <v>0</v>
      </c>
      <c r="E97" s="254">
        <v>0</v>
      </c>
      <c r="F97" s="151">
        <v>24</v>
      </c>
      <c r="G97" s="1423"/>
    </row>
    <row r="98" spans="1:7" ht="15.75" x14ac:dyDescent="0.25">
      <c r="A98" s="1420">
        <v>44311</v>
      </c>
      <c r="B98" s="122" t="s">
        <v>17</v>
      </c>
      <c r="C98" s="150">
        <v>1</v>
      </c>
      <c r="D98" s="150">
        <v>1</v>
      </c>
      <c r="E98" s="150">
        <v>1</v>
      </c>
      <c r="F98" s="150">
        <v>1</v>
      </c>
      <c r="G98" s="1417"/>
    </row>
    <row r="99" spans="1:7" x14ac:dyDescent="0.25">
      <c r="A99" s="1421"/>
      <c r="B99" s="115" t="s">
        <v>102</v>
      </c>
      <c r="C99" s="151">
        <v>18.559999999999999</v>
      </c>
      <c r="D99" s="151">
        <v>24</v>
      </c>
      <c r="E99" s="151">
        <v>24</v>
      </c>
      <c r="F99" s="151">
        <v>0</v>
      </c>
      <c r="G99" s="1418"/>
    </row>
    <row r="100" spans="1:7" x14ac:dyDescent="0.25">
      <c r="A100" s="1421"/>
      <c r="B100" s="117" t="s">
        <v>103</v>
      </c>
      <c r="C100" s="151">
        <v>5.44</v>
      </c>
      <c r="D100" s="151">
        <v>0</v>
      </c>
      <c r="E100" s="151">
        <v>0</v>
      </c>
      <c r="F100" s="151">
        <v>0</v>
      </c>
      <c r="G100" s="1418"/>
    </row>
    <row r="101" spans="1:7" ht="15.75" thickBot="1" x14ac:dyDescent="0.3">
      <c r="A101" s="1422"/>
      <c r="B101" s="119" t="s">
        <v>104</v>
      </c>
      <c r="C101" s="153">
        <v>0</v>
      </c>
      <c r="D101" s="254">
        <v>0</v>
      </c>
      <c r="E101" s="254">
        <v>0</v>
      </c>
      <c r="F101" s="151">
        <v>24</v>
      </c>
      <c r="G101" s="1423"/>
    </row>
    <row r="102" spans="1:7" ht="15.75" x14ac:dyDescent="0.25">
      <c r="A102" s="1420">
        <v>44312</v>
      </c>
      <c r="B102" s="122" t="s">
        <v>17</v>
      </c>
      <c r="C102" s="150">
        <v>1</v>
      </c>
      <c r="D102" s="150">
        <v>1</v>
      </c>
      <c r="E102" s="150">
        <v>1</v>
      </c>
      <c r="F102" s="150">
        <v>1</v>
      </c>
      <c r="G102" s="1417"/>
    </row>
    <row r="103" spans="1:7" x14ac:dyDescent="0.25">
      <c r="A103" s="1421"/>
      <c r="B103" s="117" t="s">
        <v>102</v>
      </c>
      <c r="C103" s="151">
        <v>20.62</v>
      </c>
      <c r="D103" s="151">
        <v>24</v>
      </c>
      <c r="E103" s="151">
        <v>24</v>
      </c>
      <c r="F103" s="151">
        <v>0</v>
      </c>
      <c r="G103" s="1418"/>
    </row>
    <row r="104" spans="1:7" x14ac:dyDescent="0.25">
      <c r="A104" s="1421"/>
      <c r="B104" s="117" t="s">
        <v>103</v>
      </c>
      <c r="C104" s="151">
        <v>3.38</v>
      </c>
      <c r="D104" s="151">
        <v>0</v>
      </c>
      <c r="E104" s="151">
        <v>0</v>
      </c>
      <c r="F104" s="151">
        <v>0</v>
      </c>
      <c r="G104" s="1418"/>
    </row>
    <row r="105" spans="1:7" ht="15.75" thickBot="1" x14ac:dyDescent="0.3">
      <c r="A105" s="1422"/>
      <c r="B105" s="119" t="s">
        <v>104</v>
      </c>
      <c r="C105" s="153">
        <v>0</v>
      </c>
      <c r="D105" s="254">
        <v>0</v>
      </c>
      <c r="E105" s="254">
        <v>0</v>
      </c>
      <c r="F105" s="151">
        <v>24</v>
      </c>
      <c r="G105" s="1423"/>
    </row>
    <row r="106" spans="1:7" ht="21.75" customHeight="1" x14ac:dyDescent="0.25">
      <c r="A106" s="1420">
        <v>44313</v>
      </c>
      <c r="B106" s="112" t="s">
        <v>17</v>
      </c>
      <c r="C106" s="150">
        <v>1</v>
      </c>
      <c r="D106" s="150">
        <v>1</v>
      </c>
      <c r="E106" s="150">
        <v>1</v>
      </c>
      <c r="F106" s="150">
        <v>1</v>
      </c>
      <c r="G106" s="1417" t="s">
        <v>440</v>
      </c>
    </row>
    <row r="107" spans="1:7" ht="21.75" customHeight="1" x14ac:dyDescent="0.25">
      <c r="A107" s="1421"/>
      <c r="B107" s="117" t="s">
        <v>102</v>
      </c>
      <c r="C107" s="151">
        <v>19.84</v>
      </c>
      <c r="D107" s="151">
        <v>24</v>
      </c>
      <c r="E107" s="151">
        <v>24</v>
      </c>
      <c r="F107" s="151">
        <v>0</v>
      </c>
      <c r="G107" s="1418"/>
    </row>
    <row r="108" spans="1:7" ht="21.75" customHeight="1" x14ac:dyDescent="0.25">
      <c r="A108" s="1421"/>
      <c r="B108" s="117" t="s">
        <v>103</v>
      </c>
      <c r="C108" s="151">
        <v>4.16</v>
      </c>
      <c r="D108" s="151">
        <v>0</v>
      </c>
      <c r="E108" s="151">
        <v>0</v>
      </c>
      <c r="F108" s="151">
        <v>0</v>
      </c>
      <c r="G108" s="1418"/>
    </row>
    <row r="109" spans="1:7" ht="21.75" customHeight="1" thickBot="1" x14ac:dyDescent="0.3">
      <c r="A109" s="1422"/>
      <c r="B109" s="119" t="s">
        <v>104</v>
      </c>
      <c r="C109" s="153">
        <v>0</v>
      </c>
      <c r="D109" s="254">
        <v>0</v>
      </c>
      <c r="E109" s="254">
        <v>0</v>
      </c>
      <c r="F109" s="151">
        <v>24</v>
      </c>
      <c r="G109" s="1423"/>
    </row>
    <row r="110" spans="1:7" ht="30" customHeight="1" x14ac:dyDescent="0.25">
      <c r="A110" s="1420">
        <v>44314</v>
      </c>
      <c r="B110" s="112" t="s">
        <v>17</v>
      </c>
      <c r="C110" s="150">
        <v>1</v>
      </c>
      <c r="D110" s="150">
        <v>1</v>
      </c>
      <c r="E110" s="150">
        <v>1</v>
      </c>
      <c r="F110" s="150">
        <v>1</v>
      </c>
      <c r="G110" s="1417" t="s">
        <v>459</v>
      </c>
    </row>
    <row r="111" spans="1:7" ht="30" customHeight="1" x14ac:dyDescent="0.25">
      <c r="A111" s="1421"/>
      <c r="B111" s="117" t="s">
        <v>102</v>
      </c>
      <c r="C111" s="151">
        <v>3</v>
      </c>
      <c r="D111" s="151">
        <v>24</v>
      </c>
      <c r="E111" s="151">
        <v>24</v>
      </c>
      <c r="F111" s="151">
        <v>0</v>
      </c>
      <c r="G111" s="1418"/>
    </row>
    <row r="112" spans="1:7" ht="30" customHeight="1" x14ac:dyDescent="0.25">
      <c r="A112" s="1421"/>
      <c r="B112" s="117" t="s">
        <v>103</v>
      </c>
      <c r="C112" s="151">
        <v>21</v>
      </c>
      <c r="D112" s="151">
        <v>0</v>
      </c>
      <c r="E112" s="151">
        <v>0</v>
      </c>
      <c r="F112" s="151">
        <v>0</v>
      </c>
      <c r="G112" s="1418"/>
    </row>
    <row r="113" spans="1:7" ht="30" customHeight="1" thickBot="1" x14ac:dyDescent="0.3">
      <c r="A113" s="1422"/>
      <c r="B113" s="119" t="s">
        <v>104</v>
      </c>
      <c r="C113" s="153">
        <v>0</v>
      </c>
      <c r="D113" s="254">
        <v>0</v>
      </c>
      <c r="E113" s="254">
        <v>0</v>
      </c>
      <c r="F113" s="151">
        <v>24</v>
      </c>
      <c r="G113" s="1423"/>
    </row>
    <row r="114" spans="1:7" ht="15.75" x14ac:dyDescent="0.25">
      <c r="A114" s="1420">
        <v>44315</v>
      </c>
      <c r="B114" s="122" t="s">
        <v>17</v>
      </c>
      <c r="C114" s="150">
        <v>1</v>
      </c>
      <c r="D114" s="150">
        <v>1</v>
      </c>
      <c r="E114" s="150">
        <v>1</v>
      </c>
      <c r="F114" s="150">
        <v>1</v>
      </c>
      <c r="G114" s="1417" t="s">
        <v>458</v>
      </c>
    </row>
    <row r="115" spans="1:7" x14ac:dyDescent="0.25">
      <c r="A115" s="1421"/>
      <c r="B115" s="117" t="s">
        <v>102</v>
      </c>
      <c r="C115" s="151">
        <v>16.600000000000001</v>
      </c>
      <c r="D115" s="151">
        <v>24</v>
      </c>
      <c r="E115" s="151">
        <v>24</v>
      </c>
      <c r="F115" s="151">
        <v>0</v>
      </c>
      <c r="G115" s="1418"/>
    </row>
    <row r="116" spans="1:7" x14ac:dyDescent="0.25">
      <c r="A116" s="1421"/>
      <c r="B116" s="117" t="s">
        <v>103</v>
      </c>
      <c r="C116" s="151">
        <v>7.4</v>
      </c>
      <c r="D116" s="151">
        <v>0</v>
      </c>
      <c r="E116" s="151">
        <v>0</v>
      </c>
      <c r="F116" s="151">
        <v>0</v>
      </c>
      <c r="G116" s="1418"/>
    </row>
    <row r="117" spans="1:7" ht="15.75" thickBot="1" x14ac:dyDescent="0.3">
      <c r="A117" s="1422"/>
      <c r="B117" s="119" t="s">
        <v>104</v>
      </c>
      <c r="C117" s="153">
        <v>0</v>
      </c>
      <c r="D117" s="254">
        <v>0</v>
      </c>
      <c r="E117" s="254">
        <v>0</v>
      </c>
      <c r="F117" s="151">
        <v>24</v>
      </c>
      <c r="G117" s="1423"/>
    </row>
    <row r="118" spans="1:7" ht="15.75" x14ac:dyDescent="0.25">
      <c r="A118" s="1420">
        <v>44316</v>
      </c>
      <c r="B118" s="112" t="s">
        <v>17</v>
      </c>
      <c r="C118" s="150">
        <v>1</v>
      </c>
      <c r="D118" s="150">
        <v>1</v>
      </c>
      <c r="E118" s="150">
        <v>1</v>
      </c>
      <c r="F118" s="150">
        <v>1</v>
      </c>
      <c r="G118" s="1417" t="s">
        <v>464</v>
      </c>
    </row>
    <row r="119" spans="1:7" x14ac:dyDescent="0.25">
      <c r="A119" s="1421"/>
      <c r="B119" s="117" t="s">
        <v>102</v>
      </c>
      <c r="C119" s="151">
        <v>22.15</v>
      </c>
      <c r="D119" s="151">
        <v>24</v>
      </c>
      <c r="E119" s="151">
        <v>24</v>
      </c>
      <c r="F119" s="151">
        <v>0</v>
      </c>
      <c r="G119" s="1418"/>
    </row>
    <row r="120" spans="1:7" x14ac:dyDescent="0.25">
      <c r="A120" s="1421"/>
      <c r="B120" s="117" t="s">
        <v>103</v>
      </c>
      <c r="C120" s="151">
        <v>1.85</v>
      </c>
      <c r="D120" s="151">
        <v>0</v>
      </c>
      <c r="E120" s="151">
        <v>0</v>
      </c>
      <c r="F120" s="151">
        <v>0</v>
      </c>
      <c r="G120" s="1418"/>
    </row>
    <row r="121" spans="1:7" ht="15.75" thickBot="1" x14ac:dyDescent="0.3">
      <c r="A121" s="1422"/>
      <c r="B121" s="119" t="s">
        <v>104</v>
      </c>
      <c r="C121" s="153">
        <v>0</v>
      </c>
      <c r="D121" s="254">
        <v>0</v>
      </c>
      <c r="E121" s="254">
        <v>0</v>
      </c>
      <c r="F121" s="151">
        <v>24</v>
      </c>
      <c r="G121" s="1423"/>
    </row>
    <row r="122" spans="1:7" ht="15.75" x14ac:dyDescent="0.25">
      <c r="A122" s="1420"/>
      <c r="B122" s="112" t="s">
        <v>17</v>
      </c>
      <c r="C122" s="150"/>
      <c r="D122" s="150"/>
      <c r="E122" s="150"/>
      <c r="F122" s="150"/>
      <c r="G122" s="1417"/>
    </row>
    <row r="123" spans="1:7" x14ac:dyDescent="0.25">
      <c r="A123" s="1421"/>
      <c r="B123" s="117" t="s">
        <v>102</v>
      </c>
      <c r="C123" s="151"/>
      <c r="D123" s="151"/>
      <c r="E123" s="151"/>
      <c r="F123" s="151"/>
      <c r="G123" s="1418"/>
    </row>
    <row r="124" spans="1:7" x14ac:dyDescent="0.25">
      <c r="A124" s="1421"/>
      <c r="B124" s="117" t="s">
        <v>103</v>
      </c>
      <c r="C124" s="151"/>
      <c r="D124" s="151"/>
      <c r="E124" s="151"/>
      <c r="F124" s="151"/>
      <c r="G124" s="1418"/>
    </row>
    <row r="125" spans="1:7" ht="15.75" thickBot="1" x14ac:dyDescent="0.3">
      <c r="A125" s="1422"/>
      <c r="B125" s="119" t="s">
        <v>104</v>
      </c>
      <c r="C125" s="153"/>
      <c r="D125" s="254"/>
      <c r="E125" s="254"/>
      <c r="F125" s="151"/>
      <c r="G125" s="1423"/>
    </row>
    <row r="126" spans="1:7" x14ac:dyDescent="0.25">
      <c r="A126" s="130" t="s">
        <v>325</v>
      </c>
      <c r="B126" s="131"/>
      <c r="C126" s="132">
        <f>SUM(C119,C115,C111,C107,C103,C99,C95,C91,C87,C83,C79,C75,C71,C67,C63,G59,C55,C51,C47,C43,C39,C35,C31,C27,C23,C19,C15,C11,C7,C3)</f>
        <v>634.96</v>
      </c>
      <c r="D126" s="132">
        <f>SUM(D119,D115,D111,D107,D103,D99,D95,D91,D87,D83,D79,D75,D71,D67,D63,H59,D55,D51,D47,D43,D39,D35,D31,D27,D23,D19,D15,D11,D7,D3)</f>
        <v>694.52</v>
      </c>
      <c r="E126" s="132">
        <f t="shared" ref="E126:F126" si="0">SUM(E119,E115,E111,E107,E103,E99,E95,E91,E87,E83,E79,E75,E71,E67,E63,I59,E55,E51,E47,E43,E39,E35,E31,E27,E23,E19,E15,E11,E7,E3)</f>
        <v>696</v>
      </c>
      <c r="F126" s="132">
        <f t="shared" si="0"/>
        <v>0</v>
      </c>
      <c r="G126" s="115"/>
    </row>
    <row r="127" spans="1:7" x14ac:dyDescent="0.25">
      <c r="A127" s="1424" t="s">
        <v>326</v>
      </c>
      <c r="B127" s="1425"/>
      <c r="C127" s="135">
        <f t="shared" ref="C127:F128" si="1">SUM(C112,C108,C104,C100,C96,C92,C88,C84,C80,C76,C72,C68,C64,C60,C56,C52,C48,C44,C40,C36,C32,C28,C24,C20,C16,C12,C8,C4)</f>
        <v>54.79</v>
      </c>
      <c r="D127" s="135">
        <f t="shared" si="1"/>
        <v>1.48</v>
      </c>
      <c r="E127" s="135">
        <f t="shared" si="1"/>
        <v>0</v>
      </c>
      <c r="F127" s="135">
        <f t="shared" si="1"/>
        <v>0</v>
      </c>
      <c r="G127" s="117"/>
    </row>
    <row r="128" spans="1:7" ht="15.75" thickBot="1" x14ac:dyDescent="0.3">
      <c r="A128" s="1426" t="s">
        <v>327</v>
      </c>
      <c r="B128" s="1427"/>
      <c r="C128" s="138">
        <f t="shared" si="1"/>
        <v>0</v>
      </c>
      <c r="D128" s="138">
        <f t="shared" si="1"/>
        <v>0</v>
      </c>
      <c r="E128" s="138">
        <f t="shared" si="1"/>
        <v>0</v>
      </c>
      <c r="F128" s="138">
        <f>SUM(F125,F121,F117,F113,F109,F105,F101,F97,F93,F89,F85,F81,F77,F73,F69,F65,F61,F57,F53,F49,F45,F41,F37,F33,F29,F25,F21,F17,F13,F9,F5)</f>
        <v>720</v>
      </c>
      <c r="G128" s="119"/>
    </row>
    <row r="129" spans="1:9" ht="15.75" thickBot="1" x14ac:dyDescent="0.3">
      <c r="A129" s="1428" t="s">
        <v>108</v>
      </c>
      <c r="B129" s="1429"/>
      <c r="C129" s="249"/>
      <c r="D129" s="249"/>
      <c r="E129" s="249"/>
      <c r="F129" s="249"/>
      <c r="G129" s="141"/>
    </row>
    <row r="131" spans="1:9" x14ac:dyDescent="0.25">
      <c r="I131">
        <v>14.566000000000001</v>
      </c>
    </row>
    <row r="132" spans="1:9" x14ac:dyDescent="0.25">
      <c r="I132">
        <v>7.5830000000000002</v>
      </c>
    </row>
  </sheetData>
  <mergeCells count="64">
    <mergeCell ref="A2:A5"/>
    <mergeCell ref="A6:A9"/>
    <mergeCell ref="A10:A13"/>
    <mergeCell ref="G10:G13"/>
    <mergeCell ref="G2:G9"/>
    <mergeCell ref="A14:A17"/>
    <mergeCell ref="G14:G17"/>
    <mergeCell ref="A18:A21"/>
    <mergeCell ref="G18:G21"/>
    <mergeCell ref="A22:A25"/>
    <mergeCell ref="G22:G25"/>
    <mergeCell ref="A26:A29"/>
    <mergeCell ref="G26:G29"/>
    <mergeCell ref="A30:A33"/>
    <mergeCell ref="G30:G33"/>
    <mergeCell ref="A34:A37"/>
    <mergeCell ref="G34:G37"/>
    <mergeCell ref="A38:A41"/>
    <mergeCell ref="G38:G41"/>
    <mergeCell ref="A42:A45"/>
    <mergeCell ref="G42:G45"/>
    <mergeCell ref="A46:A49"/>
    <mergeCell ref="G46:G49"/>
    <mergeCell ref="A50:A53"/>
    <mergeCell ref="G50:G53"/>
    <mergeCell ref="A54:A57"/>
    <mergeCell ref="G54:G57"/>
    <mergeCell ref="A58:A61"/>
    <mergeCell ref="G58:G61"/>
    <mergeCell ref="A62:A65"/>
    <mergeCell ref="G62:G65"/>
    <mergeCell ref="A66:A69"/>
    <mergeCell ref="G66:G69"/>
    <mergeCell ref="A70:A73"/>
    <mergeCell ref="G70:G73"/>
    <mergeCell ref="A74:A77"/>
    <mergeCell ref="G74:G77"/>
    <mergeCell ref="A78:A81"/>
    <mergeCell ref="G78:G81"/>
    <mergeCell ref="A82:A85"/>
    <mergeCell ref="G82:G85"/>
    <mergeCell ref="A86:A89"/>
    <mergeCell ref="G86:G89"/>
    <mergeCell ref="A90:A93"/>
    <mergeCell ref="G90:G93"/>
    <mergeCell ref="A94:A97"/>
    <mergeCell ref="G94:G97"/>
    <mergeCell ref="A98:A101"/>
    <mergeCell ref="G98:G101"/>
    <mergeCell ref="A102:A105"/>
    <mergeCell ref="G102:G105"/>
    <mergeCell ref="A106:A109"/>
    <mergeCell ref="G106:G109"/>
    <mergeCell ref="A110:A113"/>
    <mergeCell ref="G110:G113"/>
    <mergeCell ref="A114:A117"/>
    <mergeCell ref="G114:G117"/>
    <mergeCell ref="A118:A121"/>
    <mergeCell ref="G118:G121"/>
    <mergeCell ref="A122:A125"/>
    <mergeCell ref="G122:G125"/>
    <mergeCell ref="A127:B127"/>
    <mergeCell ref="A128:B128"/>
    <mergeCell ref="A129:B129"/>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G129"/>
  <sheetViews>
    <sheetView zoomScale="90" zoomScaleNormal="90" workbookViewId="0">
      <pane ySplit="1" topLeftCell="A2" activePane="bottomLeft" state="frozen"/>
      <selection pane="bottomLeft" activeCell="G122" sqref="G122:G125"/>
    </sheetView>
  </sheetViews>
  <sheetFormatPr defaultRowHeight="15" x14ac:dyDescent="0.25"/>
  <cols>
    <col min="1" max="1" width="31.28515625" customWidth="1"/>
    <col min="2" max="2" width="26.28515625" customWidth="1"/>
    <col min="3" max="6" width="10.42578125" customWidth="1"/>
    <col min="7" max="7" width="43.7109375" customWidth="1"/>
  </cols>
  <sheetData>
    <row r="1" spans="1:7" ht="16.5" thickBot="1" x14ac:dyDescent="0.3">
      <c r="A1" s="108" t="s">
        <v>98</v>
      </c>
      <c r="B1" s="109" t="s">
        <v>99</v>
      </c>
      <c r="C1" s="173" t="s">
        <v>310</v>
      </c>
      <c r="D1" s="173" t="s">
        <v>239</v>
      </c>
      <c r="E1" s="110" t="s">
        <v>100</v>
      </c>
      <c r="F1" s="173" t="s">
        <v>157</v>
      </c>
      <c r="G1" s="111" t="s">
        <v>101</v>
      </c>
    </row>
    <row r="2" spans="1:7" ht="15.75" customHeight="1" x14ac:dyDescent="0.25">
      <c r="A2" s="1420">
        <v>44317</v>
      </c>
      <c r="B2" s="112" t="s">
        <v>17</v>
      </c>
      <c r="C2" s="150">
        <v>1</v>
      </c>
      <c r="D2" s="150">
        <v>1</v>
      </c>
      <c r="E2" s="150">
        <v>1</v>
      </c>
      <c r="F2" s="150">
        <v>1</v>
      </c>
      <c r="G2" s="1417"/>
    </row>
    <row r="3" spans="1:7" x14ac:dyDescent="0.25">
      <c r="A3" s="1421"/>
      <c r="B3" s="115" t="s">
        <v>102</v>
      </c>
      <c r="C3" s="151">
        <v>24</v>
      </c>
      <c r="D3" s="151">
        <v>24</v>
      </c>
      <c r="E3" s="151">
        <v>24</v>
      </c>
      <c r="F3" s="151">
        <v>0</v>
      </c>
      <c r="G3" s="1418"/>
    </row>
    <row r="4" spans="1:7" x14ac:dyDescent="0.25">
      <c r="A4" s="1421"/>
      <c r="B4" s="117" t="s">
        <v>103</v>
      </c>
      <c r="C4" s="151">
        <v>0</v>
      </c>
      <c r="D4" s="151">
        <v>0</v>
      </c>
      <c r="E4" s="151">
        <v>0</v>
      </c>
      <c r="F4" s="151">
        <v>24</v>
      </c>
      <c r="G4" s="1418"/>
    </row>
    <row r="5" spans="1:7" ht="15.75" thickBot="1" x14ac:dyDescent="0.3">
      <c r="A5" s="1422"/>
      <c r="B5" s="119" t="s">
        <v>104</v>
      </c>
      <c r="C5" s="151">
        <v>0</v>
      </c>
      <c r="D5" s="151">
        <v>0</v>
      </c>
      <c r="E5" s="151">
        <v>0</v>
      </c>
      <c r="F5" s="151">
        <v>0</v>
      </c>
      <c r="G5" s="1419"/>
    </row>
    <row r="6" spans="1:7" ht="24.95" customHeight="1" x14ac:dyDescent="0.25">
      <c r="A6" s="1420">
        <v>44318</v>
      </c>
      <c r="B6" s="112" t="s">
        <v>17</v>
      </c>
      <c r="C6" s="150">
        <v>1</v>
      </c>
      <c r="D6" s="150">
        <v>1</v>
      </c>
      <c r="E6" s="150">
        <v>1</v>
      </c>
      <c r="F6" s="150">
        <v>1</v>
      </c>
      <c r="G6" s="1417" t="s">
        <v>572</v>
      </c>
    </row>
    <row r="7" spans="1:7" ht="24.95" customHeight="1" x14ac:dyDescent="0.25">
      <c r="A7" s="1421"/>
      <c r="B7" s="115" t="s">
        <v>102</v>
      </c>
      <c r="C7" s="151">
        <v>16.2</v>
      </c>
      <c r="D7" s="151">
        <v>24</v>
      </c>
      <c r="E7" s="151">
        <v>24</v>
      </c>
      <c r="F7" s="151">
        <v>0</v>
      </c>
      <c r="G7" s="1418"/>
    </row>
    <row r="8" spans="1:7" ht="24.95" customHeight="1" x14ac:dyDescent="0.25">
      <c r="A8" s="1421"/>
      <c r="B8" s="117" t="s">
        <v>103</v>
      </c>
      <c r="C8" s="151">
        <v>7.8</v>
      </c>
      <c r="D8" s="151">
        <v>0</v>
      </c>
      <c r="E8" s="151">
        <v>0</v>
      </c>
      <c r="F8" s="151">
        <v>24</v>
      </c>
      <c r="G8" s="1418"/>
    </row>
    <row r="9" spans="1:7" ht="24.95" customHeight="1" thickBot="1" x14ac:dyDescent="0.3">
      <c r="A9" s="1422"/>
      <c r="B9" s="119" t="s">
        <v>104</v>
      </c>
      <c r="C9" s="151">
        <v>0</v>
      </c>
      <c r="D9" s="151">
        <v>0</v>
      </c>
      <c r="E9" s="151">
        <v>0</v>
      </c>
      <c r="F9" s="151">
        <v>0</v>
      </c>
      <c r="G9" s="1419"/>
    </row>
    <row r="10" spans="1:7" ht="15.75" x14ac:dyDescent="0.25">
      <c r="A10" s="1420">
        <v>44319</v>
      </c>
      <c r="B10" s="112" t="s">
        <v>17</v>
      </c>
      <c r="C10" s="150">
        <v>1</v>
      </c>
      <c r="D10" s="150">
        <v>1</v>
      </c>
      <c r="E10" s="150">
        <v>1</v>
      </c>
      <c r="F10" s="150">
        <v>1</v>
      </c>
      <c r="G10" s="1417"/>
    </row>
    <row r="11" spans="1:7" x14ac:dyDescent="0.25">
      <c r="A11" s="1421"/>
      <c r="B11" s="115" t="s">
        <v>102</v>
      </c>
      <c r="C11" s="151">
        <v>24</v>
      </c>
      <c r="D11" s="151">
        <v>24</v>
      </c>
      <c r="E11" s="151">
        <v>24</v>
      </c>
      <c r="F11" s="151">
        <v>0</v>
      </c>
      <c r="G11" s="1418"/>
    </row>
    <row r="12" spans="1:7" x14ac:dyDescent="0.25">
      <c r="A12" s="1421"/>
      <c r="B12" s="117" t="s">
        <v>103</v>
      </c>
      <c r="C12" s="151">
        <v>0</v>
      </c>
      <c r="D12" s="151">
        <v>0</v>
      </c>
      <c r="E12" s="151">
        <v>0</v>
      </c>
      <c r="F12" s="151">
        <v>24</v>
      </c>
      <c r="G12" s="1418"/>
    </row>
    <row r="13" spans="1:7" ht="15.75" thickBot="1" x14ac:dyDescent="0.3">
      <c r="A13" s="1422"/>
      <c r="B13" s="119" t="s">
        <v>104</v>
      </c>
      <c r="C13" s="151">
        <v>0</v>
      </c>
      <c r="D13" s="151">
        <v>0</v>
      </c>
      <c r="E13" s="151">
        <v>0</v>
      </c>
      <c r="F13" s="151">
        <v>0</v>
      </c>
      <c r="G13" s="1419"/>
    </row>
    <row r="14" spans="1:7" ht="15.75" x14ac:dyDescent="0.25">
      <c r="A14" s="1420">
        <v>44320</v>
      </c>
      <c r="B14" s="122" t="s">
        <v>17</v>
      </c>
      <c r="C14" s="150">
        <v>1</v>
      </c>
      <c r="D14" s="150">
        <v>1</v>
      </c>
      <c r="E14" s="150">
        <v>1</v>
      </c>
      <c r="F14" s="150">
        <v>1</v>
      </c>
      <c r="G14" s="1417"/>
    </row>
    <row r="15" spans="1:7" x14ac:dyDescent="0.25">
      <c r="A15" s="1421"/>
      <c r="B15" s="115" t="s">
        <v>102</v>
      </c>
      <c r="C15" s="151">
        <v>24</v>
      </c>
      <c r="D15" s="151">
        <v>24</v>
      </c>
      <c r="E15" s="151">
        <v>24</v>
      </c>
      <c r="F15" s="151">
        <v>0</v>
      </c>
      <c r="G15" s="1418"/>
    </row>
    <row r="16" spans="1:7" x14ac:dyDescent="0.25">
      <c r="A16" s="1421"/>
      <c r="B16" s="117" t="s">
        <v>103</v>
      </c>
      <c r="C16" s="151">
        <v>0</v>
      </c>
      <c r="D16" s="151">
        <v>0</v>
      </c>
      <c r="E16" s="151">
        <v>0</v>
      </c>
      <c r="F16" s="151">
        <v>24</v>
      </c>
      <c r="G16" s="1418"/>
    </row>
    <row r="17" spans="1:7" ht="15.75" thickBot="1" x14ac:dyDescent="0.3">
      <c r="A17" s="1422"/>
      <c r="B17" s="119" t="s">
        <v>104</v>
      </c>
      <c r="C17" s="151">
        <v>0</v>
      </c>
      <c r="D17" s="151">
        <v>0</v>
      </c>
      <c r="E17" s="151">
        <v>0</v>
      </c>
      <c r="F17" s="151">
        <v>0</v>
      </c>
      <c r="G17" s="1419"/>
    </row>
    <row r="18" spans="1:7" ht="15.75" x14ac:dyDescent="0.25">
      <c r="A18" s="1420">
        <v>44321</v>
      </c>
      <c r="B18" s="122" t="s">
        <v>17</v>
      </c>
      <c r="C18" s="150">
        <v>1</v>
      </c>
      <c r="D18" s="150">
        <v>1</v>
      </c>
      <c r="E18" s="150">
        <v>1</v>
      </c>
      <c r="F18" s="150">
        <v>1</v>
      </c>
      <c r="G18" s="1417"/>
    </row>
    <row r="19" spans="1:7" x14ac:dyDescent="0.25">
      <c r="A19" s="1421"/>
      <c r="B19" s="115" t="s">
        <v>102</v>
      </c>
      <c r="C19" s="151">
        <v>24</v>
      </c>
      <c r="D19" s="151">
        <v>24</v>
      </c>
      <c r="E19" s="151">
        <v>24</v>
      </c>
      <c r="F19" s="151">
        <v>0</v>
      </c>
      <c r="G19" s="1418"/>
    </row>
    <row r="20" spans="1:7" x14ac:dyDescent="0.25">
      <c r="A20" s="1421"/>
      <c r="B20" s="117" t="s">
        <v>103</v>
      </c>
      <c r="C20" s="151">
        <v>0</v>
      </c>
      <c r="D20" s="151">
        <v>0</v>
      </c>
      <c r="E20" s="151">
        <v>0</v>
      </c>
      <c r="F20" s="151">
        <v>24</v>
      </c>
      <c r="G20" s="1418"/>
    </row>
    <row r="21" spans="1:7" ht="15.75" thickBot="1" x14ac:dyDescent="0.3">
      <c r="A21" s="1422"/>
      <c r="B21" s="119" t="s">
        <v>104</v>
      </c>
      <c r="C21" s="151">
        <v>0</v>
      </c>
      <c r="D21" s="151">
        <v>0</v>
      </c>
      <c r="E21" s="151">
        <v>0</v>
      </c>
      <c r="F21" s="151">
        <v>0</v>
      </c>
      <c r="G21" s="1419"/>
    </row>
    <row r="22" spans="1:7" ht="15.75" x14ac:dyDescent="0.25">
      <c r="A22" s="1420">
        <v>44322</v>
      </c>
      <c r="B22" s="112" t="s">
        <v>17</v>
      </c>
      <c r="C22" s="150">
        <v>1</v>
      </c>
      <c r="D22" s="150">
        <v>1</v>
      </c>
      <c r="E22" s="150">
        <v>1</v>
      </c>
      <c r="F22" s="150">
        <v>1</v>
      </c>
      <c r="G22" s="1417" t="s">
        <v>569</v>
      </c>
    </row>
    <row r="23" spans="1:7" x14ac:dyDescent="0.25">
      <c r="A23" s="1421"/>
      <c r="B23" s="125" t="s">
        <v>102</v>
      </c>
      <c r="C23" s="151">
        <v>20.7</v>
      </c>
      <c r="D23" s="151">
        <v>24</v>
      </c>
      <c r="E23" s="151">
        <v>24</v>
      </c>
      <c r="F23" s="151">
        <v>0</v>
      </c>
      <c r="G23" s="1418"/>
    </row>
    <row r="24" spans="1:7" x14ac:dyDescent="0.25">
      <c r="A24" s="1421"/>
      <c r="B24" s="117" t="s">
        <v>103</v>
      </c>
      <c r="C24" s="151">
        <v>3.3</v>
      </c>
      <c r="D24" s="151">
        <v>0</v>
      </c>
      <c r="E24" s="151">
        <v>0</v>
      </c>
      <c r="F24" s="151">
        <v>24</v>
      </c>
      <c r="G24" s="1418"/>
    </row>
    <row r="25" spans="1:7" ht="15.75" thickBot="1" x14ac:dyDescent="0.3">
      <c r="A25" s="1422"/>
      <c r="B25" s="119" t="s">
        <v>104</v>
      </c>
      <c r="C25" s="151">
        <v>0</v>
      </c>
      <c r="D25" s="151">
        <v>0</v>
      </c>
      <c r="E25" s="151">
        <v>0</v>
      </c>
      <c r="F25" s="151">
        <v>0</v>
      </c>
      <c r="G25" s="1423"/>
    </row>
    <row r="26" spans="1:7" ht="14.25" customHeight="1" x14ac:dyDescent="0.25">
      <c r="A26" s="1420">
        <v>44323</v>
      </c>
      <c r="B26" s="112" t="s">
        <v>17</v>
      </c>
      <c r="C26" s="150">
        <v>1</v>
      </c>
      <c r="D26" s="150">
        <v>1</v>
      </c>
      <c r="E26" s="150">
        <v>1</v>
      </c>
      <c r="F26" s="150">
        <v>1</v>
      </c>
      <c r="G26" s="1417"/>
    </row>
    <row r="27" spans="1:7" ht="15.75" customHeight="1" x14ac:dyDescent="0.25">
      <c r="A27" s="1421"/>
      <c r="B27" s="115" t="s">
        <v>102</v>
      </c>
      <c r="C27" s="151">
        <v>24</v>
      </c>
      <c r="D27" s="151">
        <v>24</v>
      </c>
      <c r="E27" s="151">
        <v>24</v>
      </c>
      <c r="F27" s="151">
        <v>0</v>
      </c>
      <c r="G27" s="1418"/>
    </row>
    <row r="28" spans="1:7" ht="17.25" customHeight="1" x14ac:dyDescent="0.25">
      <c r="A28" s="1421"/>
      <c r="B28" s="117" t="s">
        <v>103</v>
      </c>
      <c r="C28" s="151">
        <v>0</v>
      </c>
      <c r="D28" s="151">
        <v>0</v>
      </c>
      <c r="E28" s="151">
        <v>0</v>
      </c>
      <c r="F28" s="151">
        <v>24</v>
      </c>
      <c r="G28" s="1418"/>
    </row>
    <row r="29" spans="1:7" ht="19.5" customHeight="1" thickBot="1" x14ac:dyDescent="0.3">
      <c r="A29" s="1422"/>
      <c r="B29" s="119" t="s">
        <v>104</v>
      </c>
      <c r="C29" s="151">
        <v>0</v>
      </c>
      <c r="D29" s="151">
        <v>0</v>
      </c>
      <c r="E29" s="151">
        <v>0</v>
      </c>
      <c r="F29" s="151">
        <v>0</v>
      </c>
      <c r="G29" s="1423"/>
    </row>
    <row r="30" spans="1:7" ht="15.75" x14ac:dyDescent="0.25">
      <c r="A30" s="1420">
        <v>44324</v>
      </c>
      <c r="B30" s="122" t="s">
        <v>17</v>
      </c>
      <c r="C30" s="150">
        <v>1</v>
      </c>
      <c r="D30" s="150">
        <v>1</v>
      </c>
      <c r="E30" s="150">
        <v>1</v>
      </c>
      <c r="F30" s="150">
        <v>1</v>
      </c>
      <c r="G30" s="1417"/>
    </row>
    <row r="31" spans="1:7" x14ac:dyDescent="0.25">
      <c r="A31" s="1421"/>
      <c r="B31" s="125" t="s">
        <v>102</v>
      </c>
      <c r="C31" s="151">
        <v>24</v>
      </c>
      <c r="D31" s="151">
        <v>24</v>
      </c>
      <c r="E31" s="151">
        <v>24</v>
      </c>
      <c r="F31" s="151">
        <v>0</v>
      </c>
      <c r="G31" s="1418"/>
    </row>
    <row r="32" spans="1:7" x14ac:dyDescent="0.25">
      <c r="A32" s="1421"/>
      <c r="B32" s="117" t="s">
        <v>103</v>
      </c>
      <c r="C32" s="151">
        <v>0</v>
      </c>
      <c r="D32" s="151">
        <v>0</v>
      </c>
      <c r="E32" s="151">
        <v>0</v>
      </c>
      <c r="F32" s="151">
        <v>24</v>
      </c>
      <c r="G32" s="1418"/>
    </row>
    <row r="33" spans="1:7" ht="15.75" thickBot="1" x14ac:dyDescent="0.3">
      <c r="A33" s="1422"/>
      <c r="B33" s="119" t="s">
        <v>104</v>
      </c>
      <c r="C33" s="151">
        <v>0</v>
      </c>
      <c r="D33" s="151">
        <v>0</v>
      </c>
      <c r="E33" s="151">
        <v>0</v>
      </c>
      <c r="F33" s="151">
        <v>0</v>
      </c>
      <c r="G33" s="1423"/>
    </row>
    <row r="34" spans="1:7" ht="15.75" x14ac:dyDescent="0.25">
      <c r="A34" s="1420">
        <v>44325</v>
      </c>
      <c r="B34" s="112" t="s">
        <v>17</v>
      </c>
      <c r="C34" s="150">
        <v>1</v>
      </c>
      <c r="D34" s="150">
        <v>1</v>
      </c>
      <c r="E34" s="150">
        <v>1</v>
      </c>
      <c r="F34" s="150">
        <v>1</v>
      </c>
      <c r="G34" s="1417" t="s">
        <v>570</v>
      </c>
    </row>
    <row r="35" spans="1:7" x14ac:dyDescent="0.25">
      <c r="A35" s="1421"/>
      <c r="B35" s="115" t="s">
        <v>102</v>
      </c>
      <c r="C35" s="151">
        <v>2.0830000000000002</v>
      </c>
      <c r="D35" s="151">
        <v>24</v>
      </c>
      <c r="E35" s="151">
        <v>24</v>
      </c>
      <c r="F35" s="151">
        <v>0</v>
      </c>
      <c r="G35" s="1418"/>
    </row>
    <row r="36" spans="1:7" x14ac:dyDescent="0.25">
      <c r="A36" s="1421"/>
      <c r="B36" s="117" t="s">
        <v>103</v>
      </c>
      <c r="C36" s="151">
        <v>21.917000000000002</v>
      </c>
      <c r="D36" s="151">
        <v>0</v>
      </c>
      <c r="E36" s="151">
        <v>0</v>
      </c>
      <c r="F36" s="151">
        <v>24</v>
      </c>
      <c r="G36" s="1418"/>
    </row>
    <row r="37" spans="1:7" ht="15.75" thickBot="1" x14ac:dyDescent="0.3">
      <c r="A37" s="1422"/>
      <c r="B37" s="119" t="s">
        <v>104</v>
      </c>
      <c r="C37" s="151">
        <v>0</v>
      </c>
      <c r="D37" s="151">
        <v>0</v>
      </c>
      <c r="E37" s="151">
        <v>0</v>
      </c>
      <c r="F37" s="151">
        <v>0</v>
      </c>
      <c r="G37" s="1423"/>
    </row>
    <row r="38" spans="1:7" ht="15.75" x14ac:dyDescent="0.25">
      <c r="A38" s="1420">
        <v>44326</v>
      </c>
      <c r="B38" s="122" t="s">
        <v>17</v>
      </c>
      <c r="C38" s="150">
        <v>1</v>
      </c>
      <c r="D38" s="150">
        <v>1</v>
      </c>
      <c r="E38" s="150">
        <v>1</v>
      </c>
      <c r="F38" s="150">
        <v>1</v>
      </c>
      <c r="G38" s="1417"/>
    </row>
    <row r="39" spans="1:7" x14ac:dyDescent="0.25">
      <c r="A39" s="1421"/>
      <c r="B39" s="115" t="s">
        <v>102</v>
      </c>
      <c r="C39" s="151">
        <v>0</v>
      </c>
      <c r="D39" s="151">
        <v>24</v>
      </c>
      <c r="E39" s="151">
        <v>24</v>
      </c>
      <c r="F39" s="151">
        <v>0</v>
      </c>
      <c r="G39" s="1418"/>
    </row>
    <row r="40" spans="1:7" x14ac:dyDescent="0.25">
      <c r="A40" s="1421"/>
      <c r="B40" s="117" t="s">
        <v>103</v>
      </c>
      <c r="C40" s="151">
        <v>24</v>
      </c>
      <c r="D40" s="151">
        <v>0</v>
      </c>
      <c r="E40" s="151">
        <v>0</v>
      </c>
      <c r="F40" s="151">
        <v>24</v>
      </c>
      <c r="G40" s="1418"/>
    </row>
    <row r="41" spans="1:7" ht="15.75" thickBot="1" x14ac:dyDescent="0.3">
      <c r="A41" s="1422"/>
      <c r="B41" s="119" t="s">
        <v>104</v>
      </c>
      <c r="C41" s="151">
        <v>0</v>
      </c>
      <c r="D41" s="151">
        <v>0</v>
      </c>
      <c r="E41" s="151">
        <v>0</v>
      </c>
      <c r="F41" s="151">
        <v>0</v>
      </c>
      <c r="G41" s="1423"/>
    </row>
    <row r="42" spans="1:7" ht="15.75" x14ac:dyDescent="0.25">
      <c r="A42" s="1420">
        <v>44327</v>
      </c>
      <c r="B42" s="122" t="s">
        <v>17</v>
      </c>
      <c r="C42" s="150">
        <v>1</v>
      </c>
      <c r="D42" s="150">
        <v>1</v>
      </c>
      <c r="E42" s="150">
        <v>1</v>
      </c>
      <c r="F42" s="150">
        <v>1</v>
      </c>
      <c r="G42" s="1417"/>
    </row>
    <row r="43" spans="1:7" x14ac:dyDescent="0.25">
      <c r="A43" s="1421"/>
      <c r="B43" s="115" t="s">
        <v>102</v>
      </c>
      <c r="C43" s="151">
        <v>0</v>
      </c>
      <c r="D43" s="151">
        <v>24</v>
      </c>
      <c r="E43" s="151">
        <v>24</v>
      </c>
      <c r="F43" s="151">
        <v>0</v>
      </c>
      <c r="G43" s="1418"/>
    </row>
    <row r="44" spans="1:7" x14ac:dyDescent="0.25">
      <c r="A44" s="1421"/>
      <c r="B44" s="117" t="s">
        <v>103</v>
      </c>
      <c r="C44" s="151">
        <v>24</v>
      </c>
      <c r="D44" s="151">
        <v>0</v>
      </c>
      <c r="E44" s="151">
        <v>0</v>
      </c>
      <c r="F44" s="151">
        <v>24</v>
      </c>
      <c r="G44" s="1418"/>
    </row>
    <row r="45" spans="1:7" ht="15.75" thickBot="1" x14ac:dyDescent="0.3">
      <c r="A45" s="1422"/>
      <c r="B45" s="119" t="s">
        <v>104</v>
      </c>
      <c r="C45" s="151">
        <v>0</v>
      </c>
      <c r="D45" s="151">
        <v>0</v>
      </c>
      <c r="E45" s="151">
        <v>0</v>
      </c>
      <c r="F45" s="151">
        <v>0</v>
      </c>
      <c r="G45" s="1423"/>
    </row>
    <row r="46" spans="1:7" ht="15.75" x14ac:dyDescent="0.25">
      <c r="A46" s="1420">
        <v>44328</v>
      </c>
      <c r="B46" s="122" t="s">
        <v>17</v>
      </c>
      <c r="C46" s="150">
        <v>1</v>
      </c>
      <c r="D46" s="150">
        <v>1</v>
      </c>
      <c r="E46" s="150">
        <v>1</v>
      </c>
      <c r="F46" s="150">
        <v>1</v>
      </c>
      <c r="G46" s="1430"/>
    </row>
    <row r="47" spans="1:7" x14ac:dyDescent="0.25">
      <c r="A47" s="1421"/>
      <c r="B47" s="115" t="s">
        <v>102</v>
      </c>
      <c r="C47" s="151">
        <v>0</v>
      </c>
      <c r="D47" s="151">
        <v>24</v>
      </c>
      <c r="E47" s="151">
        <v>24</v>
      </c>
      <c r="F47" s="151">
        <v>0</v>
      </c>
      <c r="G47" s="1418"/>
    </row>
    <row r="48" spans="1:7" x14ac:dyDescent="0.25">
      <c r="A48" s="1421"/>
      <c r="B48" s="117" t="s">
        <v>103</v>
      </c>
      <c r="C48" s="151">
        <v>24</v>
      </c>
      <c r="D48" s="151">
        <v>0</v>
      </c>
      <c r="E48" s="151">
        <v>0</v>
      </c>
      <c r="F48" s="151">
        <v>24</v>
      </c>
      <c r="G48" s="1418"/>
    </row>
    <row r="49" spans="1:7" ht="15.75" thickBot="1" x14ac:dyDescent="0.3">
      <c r="A49" s="1422"/>
      <c r="B49" s="119" t="s">
        <v>104</v>
      </c>
      <c r="C49" s="151">
        <v>0</v>
      </c>
      <c r="D49" s="151">
        <v>0</v>
      </c>
      <c r="E49" s="151">
        <v>0</v>
      </c>
      <c r="F49" s="151">
        <v>0</v>
      </c>
      <c r="G49" s="1423"/>
    </row>
    <row r="50" spans="1:7" ht="15.75" x14ac:dyDescent="0.25">
      <c r="A50" s="1420">
        <v>44329</v>
      </c>
      <c r="B50" s="122" t="s">
        <v>17</v>
      </c>
      <c r="C50" s="150">
        <v>1</v>
      </c>
      <c r="D50" s="150">
        <v>1</v>
      </c>
      <c r="E50" s="150">
        <v>1</v>
      </c>
      <c r="F50" s="150">
        <v>1</v>
      </c>
      <c r="G50" s="1417"/>
    </row>
    <row r="51" spans="1:7" x14ac:dyDescent="0.25">
      <c r="A51" s="1421"/>
      <c r="B51" s="115" t="s">
        <v>102</v>
      </c>
      <c r="C51" s="151">
        <v>0</v>
      </c>
      <c r="D51" s="151">
        <v>24</v>
      </c>
      <c r="E51" s="151">
        <v>24</v>
      </c>
      <c r="F51" s="151">
        <v>0</v>
      </c>
      <c r="G51" s="1418"/>
    </row>
    <row r="52" spans="1:7" x14ac:dyDescent="0.25">
      <c r="A52" s="1421"/>
      <c r="B52" s="117" t="s">
        <v>103</v>
      </c>
      <c r="C52" s="151">
        <v>24</v>
      </c>
      <c r="D52" s="151">
        <v>0</v>
      </c>
      <c r="E52" s="151">
        <v>0</v>
      </c>
      <c r="F52" s="151">
        <v>24</v>
      </c>
      <c r="G52" s="1418"/>
    </row>
    <row r="53" spans="1:7" ht="15.75" thickBot="1" x14ac:dyDescent="0.3">
      <c r="A53" s="1422"/>
      <c r="B53" s="119" t="s">
        <v>104</v>
      </c>
      <c r="C53" s="151">
        <v>0</v>
      </c>
      <c r="D53" s="151">
        <v>0</v>
      </c>
      <c r="E53" s="151">
        <v>0</v>
      </c>
      <c r="F53" s="151">
        <v>0</v>
      </c>
      <c r="G53" s="1423"/>
    </row>
    <row r="54" spans="1:7" ht="15.75" x14ac:dyDescent="0.25">
      <c r="A54" s="1420">
        <v>44330</v>
      </c>
      <c r="B54" s="122" t="s">
        <v>17</v>
      </c>
      <c r="C54" s="150">
        <v>1</v>
      </c>
      <c r="D54" s="150">
        <v>1</v>
      </c>
      <c r="E54" s="150">
        <v>1</v>
      </c>
      <c r="F54" s="150">
        <v>1</v>
      </c>
      <c r="G54" s="1417"/>
    </row>
    <row r="55" spans="1:7" x14ac:dyDescent="0.25">
      <c r="A55" s="1421"/>
      <c r="B55" s="115" t="s">
        <v>102</v>
      </c>
      <c r="C55" s="151">
        <v>0</v>
      </c>
      <c r="D55" s="151">
        <v>24</v>
      </c>
      <c r="E55" s="151">
        <v>24</v>
      </c>
      <c r="F55" s="151">
        <v>0</v>
      </c>
      <c r="G55" s="1418"/>
    </row>
    <row r="56" spans="1:7" x14ac:dyDescent="0.25">
      <c r="A56" s="1421"/>
      <c r="B56" s="117" t="s">
        <v>103</v>
      </c>
      <c r="C56" s="151">
        <v>24</v>
      </c>
      <c r="D56" s="151">
        <v>0</v>
      </c>
      <c r="E56" s="151">
        <v>0</v>
      </c>
      <c r="F56" s="151">
        <v>24</v>
      </c>
      <c r="G56" s="1418"/>
    </row>
    <row r="57" spans="1:7" ht="15.75" thickBot="1" x14ac:dyDescent="0.3">
      <c r="A57" s="1422"/>
      <c r="B57" s="119" t="s">
        <v>104</v>
      </c>
      <c r="C57" s="151">
        <v>0</v>
      </c>
      <c r="D57" s="151">
        <v>0</v>
      </c>
      <c r="E57" s="151">
        <v>0</v>
      </c>
      <c r="F57" s="151">
        <v>0</v>
      </c>
      <c r="G57" s="1423"/>
    </row>
    <row r="58" spans="1:7" ht="15.75" x14ac:dyDescent="0.25">
      <c r="A58" s="1420">
        <v>44331</v>
      </c>
      <c r="B58" s="112" t="s">
        <v>17</v>
      </c>
      <c r="C58" s="150">
        <v>1</v>
      </c>
      <c r="D58" s="150">
        <v>1</v>
      </c>
      <c r="E58" s="150">
        <v>1</v>
      </c>
      <c r="F58" s="150">
        <v>1</v>
      </c>
      <c r="G58" s="1430"/>
    </row>
    <row r="59" spans="1:7" x14ac:dyDescent="0.25">
      <c r="A59" s="1421"/>
      <c r="B59" s="115" t="s">
        <v>102</v>
      </c>
      <c r="C59" s="151">
        <v>0</v>
      </c>
      <c r="D59" s="151">
        <v>24</v>
      </c>
      <c r="E59" s="151">
        <v>24</v>
      </c>
      <c r="F59" s="151">
        <v>0</v>
      </c>
      <c r="G59" s="1418"/>
    </row>
    <row r="60" spans="1:7" x14ac:dyDescent="0.25">
      <c r="A60" s="1421"/>
      <c r="B60" s="117" t="s">
        <v>103</v>
      </c>
      <c r="C60" s="151">
        <v>24</v>
      </c>
      <c r="D60" s="151">
        <v>0</v>
      </c>
      <c r="E60" s="151">
        <v>0</v>
      </c>
      <c r="F60" s="151">
        <v>24</v>
      </c>
      <c r="G60" s="1418"/>
    </row>
    <row r="61" spans="1:7" ht="15.75" thickBot="1" x14ac:dyDescent="0.3">
      <c r="A61" s="1422"/>
      <c r="B61" s="119" t="s">
        <v>104</v>
      </c>
      <c r="C61" s="151">
        <v>0</v>
      </c>
      <c r="D61" s="151">
        <v>0</v>
      </c>
      <c r="E61" s="151">
        <v>0</v>
      </c>
      <c r="F61" s="151">
        <v>0</v>
      </c>
      <c r="G61" s="1423"/>
    </row>
    <row r="62" spans="1:7" ht="15.75" x14ac:dyDescent="0.25">
      <c r="A62" s="1420">
        <v>44332</v>
      </c>
      <c r="B62" s="122" t="s">
        <v>17</v>
      </c>
      <c r="C62" s="150">
        <v>1</v>
      </c>
      <c r="D62" s="150">
        <v>1</v>
      </c>
      <c r="E62" s="150">
        <v>1</v>
      </c>
      <c r="F62" s="150">
        <v>1</v>
      </c>
      <c r="G62" s="1430"/>
    </row>
    <row r="63" spans="1:7" x14ac:dyDescent="0.25">
      <c r="A63" s="1421"/>
      <c r="B63" s="115" t="s">
        <v>102</v>
      </c>
      <c r="C63" s="151">
        <v>0</v>
      </c>
      <c r="D63" s="151">
        <v>24</v>
      </c>
      <c r="E63" s="151">
        <v>24</v>
      </c>
      <c r="F63" s="151">
        <v>0</v>
      </c>
      <c r="G63" s="1418"/>
    </row>
    <row r="64" spans="1:7" x14ac:dyDescent="0.25">
      <c r="A64" s="1421"/>
      <c r="B64" s="117" t="s">
        <v>103</v>
      </c>
      <c r="C64" s="151">
        <v>24</v>
      </c>
      <c r="D64" s="151">
        <v>0</v>
      </c>
      <c r="E64" s="151">
        <v>0</v>
      </c>
      <c r="F64" s="151">
        <v>24</v>
      </c>
      <c r="G64" s="1418"/>
    </row>
    <row r="65" spans="1:7" ht="15.75" thickBot="1" x14ac:dyDescent="0.3">
      <c r="A65" s="1422"/>
      <c r="B65" s="119" t="s">
        <v>104</v>
      </c>
      <c r="C65" s="151">
        <v>0</v>
      </c>
      <c r="D65" s="151">
        <v>0</v>
      </c>
      <c r="E65" s="151">
        <v>0</v>
      </c>
      <c r="F65" s="151">
        <v>0</v>
      </c>
      <c r="G65" s="1423"/>
    </row>
    <row r="66" spans="1:7" ht="26.25" customHeight="1" x14ac:dyDescent="0.25">
      <c r="A66" s="1420">
        <v>44333</v>
      </c>
      <c r="B66" s="122" t="s">
        <v>17</v>
      </c>
      <c r="C66" s="150">
        <v>1</v>
      </c>
      <c r="D66" s="150">
        <v>1</v>
      </c>
      <c r="E66" s="150">
        <v>1</v>
      </c>
      <c r="F66" s="150">
        <v>1</v>
      </c>
      <c r="G66" s="1417" t="s">
        <v>571</v>
      </c>
    </row>
    <row r="67" spans="1:7" ht="27" customHeight="1" x14ac:dyDescent="0.25">
      <c r="A67" s="1421"/>
      <c r="B67" s="115" t="s">
        <v>102</v>
      </c>
      <c r="C67" s="151">
        <v>0</v>
      </c>
      <c r="D67" s="151">
        <v>22.7</v>
      </c>
      <c r="E67" s="151">
        <v>23.18</v>
      </c>
      <c r="F67" s="151">
        <v>0</v>
      </c>
      <c r="G67" s="1418"/>
    </row>
    <row r="68" spans="1:7" ht="26.25" customHeight="1" x14ac:dyDescent="0.25">
      <c r="A68" s="1421"/>
      <c r="B68" s="117" t="s">
        <v>103</v>
      </c>
      <c r="C68" s="151">
        <v>24</v>
      </c>
      <c r="D68" s="151">
        <v>1.3</v>
      </c>
      <c r="E68" s="151">
        <v>0.82</v>
      </c>
      <c r="F68" s="151">
        <v>24</v>
      </c>
      <c r="G68" s="1418"/>
    </row>
    <row r="69" spans="1:7" ht="33.75" customHeight="1" thickBot="1" x14ac:dyDescent="0.3">
      <c r="A69" s="1422"/>
      <c r="B69" s="119" t="s">
        <v>104</v>
      </c>
      <c r="C69" s="151">
        <v>0</v>
      </c>
      <c r="D69" s="151">
        <v>0</v>
      </c>
      <c r="E69" s="151">
        <v>0</v>
      </c>
      <c r="F69" s="151">
        <v>0</v>
      </c>
      <c r="G69" s="1423"/>
    </row>
    <row r="70" spans="1:7" ht="15.75" x14ac:dyDescent="0.25">
      <c r="A70" s="1420">
        <v>44334</v>
      </c>
      <c r="B70" s="122" t="s">
        <v>17</v>
      </c>
      <c r="C70" s="150">
        <v>1</v>
      </c>
      <c r="D70" s="150">
        <v>1</v>
      </c>
      <c r="E70" s="150">
        <v>1</v>
      </c>
      <c r="F70" s="150">
        <v>1</v>
      </c>
      <c r="G70" s="1430"/>
    </row>
    <row r="71" spans="1:7" x14ac:dyDescent="0.25">
      <c r="A71" s="1421"/>
      <c r="B71" s="115" t="s">
        <v>102</v>
      </c>
      <c r="C71" s="151">
        <v>0</v>
      </c>
      <c r="D71" s="151">
        <v>24</v>
      </c>
      <c r="E71" s="151">
        <v>24</v>
      </c>
      <c r="F71" s="151">
        <v>0</v>
      </c>
      <c r="G71" s="1418"/>
    </row>
    <row r="72" spans="1:7" x14ac:dyDescent="0.25">
      <c r="A72" s="1421"/>
      <c r="B72" s="117" t="s">
        <v>103</v>
      </c>
      <c r="C72" s="151">
        <v>24</v>
      </c>
      <c r="D72" s="151">
        <v>0</v>
      </c>
      <c r="E72" s="151">
        <v>0</v>
      </c>
      <c r="F72" s="151">
        <v>24</v>
      </c>
      <c r="G72" s="1418"/>
    </row>
    <row r="73" spans="1:7" ht="15.75" thickBot="1" x14ac:dyDescent="0.3">
      <c r="A73" s="1422"/>
      <c r="B73" s="119" t="s">
        <v>104</v>
      </c>
      <c r="C73" s="151">
        <v>0</v>
      </c>
      <c r="D73" s="151">
        <v>0</v>
      </c>
      <c r="E73" s="151">
        <v>0</v>
      </c>
      <c r="F73" s="151">
        <v>0</v>
      </c>
      <c r="G73" s="1423"/>
    </row>
    <row r="74" spans="1:7" ht="18" customHeight="1" x14ac:dyDescent="0.25">
      <c r="A74" s="1420">
        <v>44335</v>
      </c>
      <c r="B74" s="122" t="s">
        <v>17</v>
      </c>
      <c r="C74" s="150">
        <v>1</v>
      </c>
      <c r="D74" s="150">
        <v>1</v>
      </c>
      <c r="E74" s="150">
        <v>1</v>
      </c>
      <c r="F74" s="150">
        <v>1</v>
      </c>
      <c r="G74" s="1417"/>
    </row>
    <row r="75" spans="1:7" ht="18" customHeight="1" x14ac:dyDescent="0.25">
      <c r="A75" s="1421"/>
      <c r="B75" s="115" t="s">
        <v>102</v>
      </c>
      <c r="C75" s="151">
        <v>0</v>
      </c>
      <c r="D75" s="151">
        <v>24</v>
      </c>
      <c r="E75" s="151">
        <v>24</v>
      </c>
      <c r="F75" s="151">
        <v>0</v>
      </c>
      <c r="G75" s="1418"/>
    </row>
    <row r="76" spans="1:7" ht="18" customHeight="1" x14ac:dyDescent="0.25">
      <c r="A76" s="1421"/>
      <c r="B76" s="117" t="s">
        <v>103</v>
      </c>
      <c r="C76" s="151">
        <v>24</v>
      </c>
      <c r="D76" s="151">
        <v>0</v>
      </c>
      <c r="E76" s="151">
        <v>0</v>
      </c>
      <c r="F76" s="151">
        <v>24</v>
      </c>
      <c r="G76" s="1418"/>
    </row>
    <row r="77" spans="1:7" ht="18" customHeight="1" thickBot="1" x14ac:dyDescent="0.3">
      <c r="A77" s="1422"/>
      <c r="B77" s="119" t="s">
        <v>104</v>
      </c>
      <c r="C77" s="151">
        <v>0</v>
      </c>
      <c r="D77" s="151">
        <v>0</v>
      </c>
      <c r="E77" s="151">
        <v>0</v>
      </c>
      <c r="F77" s="151">
        <v>0</v>
      </c>
      <c r="G77" s="1423"/>
    </row>
    <row r="78" spans="1:7" ht="15.75" x14ac:dyDescent="0.25">
      <c r="A78" s="1420">
        <v>44336</v>
      </c>
      <c r="B78" s="122" t="s">
        <v>17</v>
      </c>
      <c r="C78" s="150">
        <v>1</v>
      </c>
      <c r="D78" s="150">
        <v>1</v>
      </c>
      <c r="E78" s="150">
        <v>1</v>
      </c>
      <c r="F78" s="150">
        <v>1</v>
      </c>
      <c r="G78" s="1430"/>
    </row>
    <row r="79" spans="1:7" x14ac:dyDescent="0.25">
      <c r="A79" s="1421"/>
      <c r="B79" s="115" t="s">
        <v>102</v>
      </c>
      <c r="C79" s="151">
        <v>0</v>
      </c>
      <c r="D79" s="151">
        <v>24</v>
      </c>
      <c r="E79" s="151">
        <v>24</v>
      </c>
      <c r="F79" s="151">
        <v>0</v>
      </c>
      <c r="G79" s="1431"/>
    </row>
    <row r="80" spans="1:7" x14ac:dyDescent="0.25">
      <c r="A80" s="1421"/>
      <c r="B80" s="117" t="s">
        <v>103</v>
      </c>
      <c r="C80" s="151">
        <v>24</v>
      </c>
      <c r="D80" s="151">
        <v>0</v>
      </c>
      <c r="E80" s="151">
        <v>0</v>
      </c>
      <c r="F80" s="151">
        <v>24</v>
      </c>
      <c r="G80" s="1431"/>
    </row>
    <row r="81" spans="1:7" ht="15.75" thickBot="1" x14ac:dyDescent="0.3">
      <c r="A81" s="1422"/>
      <c r="B81" s="119" t="s">
        <v>104</v>
      </c>
      <c r="C81" s="151">
        <v>0</v>
      </c>
      <c r="D81" s="151">
        <v>0</v>
      </c>
      <c r="E81" s="151">
        <v>0</v>
      </c>
      <c r="F81" s="151">
        <v>0</v>
      </c>
      <c r="G81" s="1432"/>
    </row>
    <row r="82" spans="1:7" ht="15.75" x14ac:dyDescent="0.25">
      <c r="A82" s="1420">
        <v>44337</v>
      </c>
      <c r="B82" s="122" t="s">
        <v>17</v>
      </c>
      <c r="C82" s="150">
        <v>1</v>
      </c>
      <c r="D82" s="150">
        <v>1</v>
      </c>
      <c r="E82" s="150">
        <v>1</v>
      </c>
      <c r="F82" s="150">
        <v>1</v>
      </c>
      <c r="G82" s="1430"/>
    </row>
    <row r="83" spans="1:7" x14ac:dyDescent="0.25">
      <c r="A83" s="1421"/>
      <c r="B83" s="115" t="s">
        <v>102</v>
      </c>
      <c r="C83" s="151">
        <v>0</v>
      </c>
      <c r="D83" s="151">
        <v>24</v>
      </c>
      <c r="E83" s="151">
        <v>24</v>
      </c>
      <c r="F83" s="151">
        <v>0</v>
      </c>
      <c r="G83" s="1431"/>
    </row>
    <row r="84" spans="1:7" x14ac:dyDescent="0.25">
      <c r="A84" s="1421"/>
      <c r="B84" s="117" t="s">
        <v>103</v>
      </c>
      <c r="C84" s="151">
        <v>24</v>
      </c>
      <c r="D84" s="151">
        <v>0</v>
      </c>
      <c r="E84" s="151">
        <v>0</v>
      </c>
      <c r="F84" s="151">
        <v>24</v>
      </c>
      <c r="G84" s="1431"/>
    </row>
    <row r="85" spans="1:7" ht="15.75" thickBot="1" x14ac:dyDescent="0.3">
      <c r="A85" s="1422"/>
      <c r="B85" s="119" t="s">
        <v>104</v>
      </c>
      <c r="C85" s="151">
        <v>0</v>
      </c>
      <c r="D85" s="151">
        <v>0</v>
      </c>
      <c r="E85" s="151">
        <v>0</v>
      </c>
      <c r="F85" s="151">
        <v>0</v>
      </c>
      <c r="G85" s="1432"/>
    </row>
    <row r="86" spans="1:7" ht="15.75" x14ac:dyDescent="0.25">
      <c r="A86" s="1420">
        <v>44338</v>
      </c>
      <c r="B86" s="122" t="s">
        <v>17</v>
      </c>
      <c r="C86" s="150">
        <v>1</v>
      </c>
      <c r="D86" s="150">
        <v>1</v>
      </c>
      <c r="E86" s="150">
        <v>1</v>
      </c>
      <c r="F86" s="150">
        <v>1</v>
      </c>
      <c r="G86" s="1430"/>
    </row>
    <row r="87" spans="1:7" x14ac:dyDescent="0.25">
      <c r="A87" s="1421"/>
      <c r="B87" s="115" t="s">
        <v>102</v>
      </c>
      <c r="C87" s="151">
        <v>0</v>
      </c>
      <c r="D87" s="151">
        <v>24</v>
      </c>
      <c r="E87" s="151">
        <v>24</v>
      </c>
      <c r="F87" s="151">
        <v>0</v>
      </c>
      <c r="G87" s="1431"/>
    </row>
    <row r="88" spans="1:7" x14ac:dyDescent="0.25">
      <c r="A88" s="1421"/>
      <c r="B88" s="117" t="s">
        <v>103</v>
      </c>
      <c r="C88" s="151">
        <v>24</v>
      </c>
      <c r="D88" s="151">
        <v>0</v>
      </c>
      <c r="E88" s="151">
        <v>0</v>
      </c>
      <c r="F88" s="151">
        <v>24</v>
      </c>
      <c r="G88" s="1431"/>
    </row>
    <row r="89" spans="1:7" ht="15.75" thickBot="1" x14ac:dyDescent="0.3">
      <c r="A89" s="1422"/>
      <c r="B89" s="119" t="s">
        <v>104</v>
      </c>
      <c r="C89" s="151">
        <v>0</v>
      </c>
      <c r="D89" s="151">
        <v>0</v>
      </c>
      <c r="E89" s="151">
        <v>0</v>
      </c>
      <c r="F89" s="151">
        <v>0</v>
      </c>
      <c r="G89" s="1432"/>
    </row>
    <row r="90" spans="1:7" ht="15.75" x14ac:dyDescent="0.25">
      <c r="A90" s="1420">
        <v>44339</v>
      </c>
      <c r="B90" s="122" t="s">
        <v>17</v>
      </c>
      <c r="C90" s="150">
        <v>1</v>
      </c>
      <c r="D90" s="150">
        <v>1</v>
      </c>
      <c r="E90" s="150">
        <v>1</v>
      </c>
      <c r="F90" s="150">
        <v>1</v>
      </c>
      <c r="G90" s="1430"/>
    </row>
    <row r="91" spans="1:7" x14ac:dyDescent="0.25">
      <c r="A91" s="1421"/>
      <c r="B91" s="115" t="s">
        <v>102</v>
      </c>
      <c r="C91" s="151">
        <v>0</v>
      </c>
      <c r="D91" s="151">
        <v>24</v>
      </c>
      <c r="E91" s="151">
        <v>24</v>
      </c>
      <c r="F91" s="151">
        <v>0</v>
      </c>
      <c r="G91" s="1431"/>
    </row>
    <row r="92" spans="1:7" x14ac:dyDescent="0.25">
      <c r="A92" s="1421"/>
      <c r="B92" s="117" t="s">
        <v>103</v>
      </c>
      <c r="C92" s="151">
        <v>24</v>
      </c>
      <c r="D92" s="151">
        <v>0</v>
      </c>
      <c r="E92" s="151">
        <v>0</v>
      </c>
      <c r="F92" s="151">
        <v>24</v>
      </c>
      <c r="G92" s="1431"/>
    </row>
    <row r="93" spans="1:7" ht="15.75" thickBot="1" x14ac:dyDescent="0.3">
      <c r="A93" s="1422"/>
      <c r="B93" s="119" t="s">
        <v>104</v>
      </c>
      <c r="C93" s="151">
        <v>0</v>
      </c>
      <c r="D93" s="151">
        <v>0</v>
      </c>
      <c r="E93" s="151">
        <v>0</v>
      </c>
      <c r="F93" s="151">
        <v>0</v>
      </c>
      <c r="G93" s="1432"/>
    </row>
    <row r="94" spans="1:7" ht="15.75" x14ac:dyDescent="0.25">
      <c r="A94" s="1420">
        <v>44340</v>
      </c>
      <c r="B94" s="122" t="s">
        <v>17</v>
      </c>
      <c r="C94" s="150">
        <v>1</v>
      </c>
      <c r="D94" s="150">
        <v>1</v>
      </c>
      <c r="E94" s="150">
        <v>1</v>
      </c>
      <c r="F94" s="150">
        <v>1</v>
      </c>
      <c r="G94" s="1417"/>
    </row>
    <row r="95" spans="1:7" x14ac:dyDescent="0.25">
      <c r="A95" s="1421"/>
      <c r="B95" s="115" t="s">
        <v>102</v>
      </c>
      <c r="C95" s="151">
        <v>0</v>
      </c>
      <c r="D95" s="151">
        <v>24</v>
      </c>
      <c r="E95" s="151">
        <v>24</v>
      </c>
      <c r="F95" s="151">
        <v>0</v>
      </c>
      <c r="G95" s="1418"/>
    </row>
    <row r="96" spans="1:7" x14ac:dyDescent="0.25">
      <c r="A96" s="1421"/>
      <c r="B96" s="117" t="s">
        <v>103</v>
      </c>
      <c r="C96" s="151">
        <v>24</v>
      </c>
      <c r="D96" s="151">
        <v>0</v>
      </c>
      <c r="E96" s="151">
        <v>0</v>
      </c>
      <c r="F96" s="151">
        <v>24</v>
      </c>
      <c r="G96" s="1418"/>
    </row>
    <row r="97" spans="1:7" ht="15.75" thickBot="1" x14ac:dyDescent="0.3">
      <c r="A97" s="1422"/>
      <c r="B97" s="119" t="s">
        <v>104</v>
      </c>
      <c r="C97" s="151">
        <v>0</v>
      </c>
      <c r="D97" s="151">
        <v>0</v>
      </c>
      <c r="E97" s="151">
        <v>0</v>
      </c>
      <c r="F97" s="151">
        <v>0</v>
      </c>
      <c r="G97" s="1423"/>
    </row>
    <row r="98" spans="1:7" ht="15.75" x14ac:dyDescent="0.25">
      <c r="A98" s="1420">
        <v>44341</v>
      </c>
      <c r="B98" s="122" t="s">
        <v>17</v>
      </c>
      <c r="C98" s="150">
        <v>1</v>
      </c>
      <c r="D98" s="150">
        <v>1</v>
      </c>
      <c r="E98" s="150">
        <v>1</v>
      </c>
      <c r="F98" s="150">
        <v>1</v>
      </c>
      <c r="G98" s="1417"/>
    </row>
    <row r="99" spans="1:7" x14ac:dyDescent="0.25">
      <c r="A99" s="1421"/>
      <c r="B99" s="115" t="s">
        <v>102</v>
      </c>
      <c r="C99" s="151">
        <v>0</v>
      </c>
      <c r="D99" s="151">
        <v>24</v>
      </c>
      <c r="E99" s="151">
        <v>24</v>
      </c>
      <c r="F99" s="151">
        <v>0</v>
      </c>
      <c r="G99" s="1418"/>
    </row>
    <row r="100" spans="1:7" x14ac:dyDescent="0.25">
      <c r="A100" s="1421"/>
      <c r="B100" s="117" t="s">
        <v>103</v>
      </c>
      <c r="C100" s="151">
        <v>24</v>
      </c>
      <c r="D100" s="151">
        <v>0</v>
      </c>
      <c r="E100" s="151">
        <v>0</v>
      </c>
      <c r="F100" s="151">
        <v>24</v>
      </c>
      <c r="G100" s="1418"/>
    </row>
    <row r="101" spans="1:7" ht="15.75" thickBot="1" x14ac:dyDescent="0.3">
      <c r="A101" s="1422"/>
      <c r="B101" s="119" t="s">
        <v>104</v>
      </c>
      <c r="C101" s="151">
        <v>0</v>
      </c>
      <c r="D101" s="151">
        <v>0</v>
      </c>
      <c r="E101" s="151">
        <v>0</v>
      </c>
      <c r="F101" s="151">
        <v>0</v>
      </c>
      <c r="G101" s="1423"/>
    </row>
    <row r="102" spans="1:7" ht="15.75" x14ac:dyDescent="0.25">
      <c r="A102" s="1420">
        <v>44342</v>
      </c>
      <c r="B102" s="122" t="s">
        <v>17</v>
      </c>
      <c r="C102" s="150">
        <v>1</v>
      </c>
      <c r="D102" s="150">
        <v>1</v>
      </c>
      <c r="E102" s="150">
        <v>1</v>
      </c>
      <c r="F102" s="150">
        <v>1</v>
      </c>
      <c r="G102" s="1417"/>
    </row>
    <row r="103" spans="1:7" x14ac:dyDescent="0.25">
      <c r="A103" s="1421"/>
      <c r="B103" s="117" t="s">
        <v>102</v>
      </c>
      <c r="C103" s="151">
        <v>0</v>
      </c>
      <c r="D103" s="151">
        <v>24</v>
      </c>
      <c r="E103" s="151">
        <v>24</v>
      </c>
      <c r="F103" s="151">
        <v>0</v>
      </c>
      <c r="G103" s="1418"/>
    </row>
    <row r="104" spans="1:7" x14ac:dyDescent="0.25">
      <c r="A104" s="1421"/>
      <c r="B104" s="117" t="s">
        <v>103</v>
      </c>
      <c r="C104" s="151">
        <v>24</v>
      </c>
      <c r="D104" s="151">
        <v>0</v>
      </c>
      <c r="E104" s="151">
        <v>0</v>
      </c>
      <c r="F104" s="151">
        <v>24</v>
      </c>
      <c r="G104" s="1418"/>
    </row>
    <row r="105" spans="1:7" ht="15.75" thickBot="1" x14ac:dyDescent="0.3">
      <c r="A105" s="1422"/>
      <c r="B105" s="119" t="s">
        <v>104</v>
      </c>
      <c r="C105" s="151">
        <v>0</v>
      </c>
      <c r="D105" s="151">
        <v>0</v>
      </c>
      <c r="E105" s="151">
        <v>0</v>
      </c>
      <c r="F105" s="151">
        <v>0</v>
      </c>
      <c r="G105" s="1423"/>
    </row>
    <row r="106" spans="1:7" ht="17.25" customHeight="1" x14ac:dyDescent="0.25">
      <c r="A106" s="1420">
        <v>44343</v>
      </c>
      <c r="B106" s="112" t="s">
        <v>17</v>
      </c>
      <c r="C106" s="150">
        <v>1</v>
      </c>
      <c r="D106" s="150">
        <v>1</v>
      </c>
      <c r="E106" s="150">
        <v>1</v>
      </c>
      <c r="F106" s="150">
        <v>1</v>
      </c>
      <c r="G106" s="1417"/>
    </row>
    <row r="107" spans="1:7" ht="16.5" customHeight="1" x14ac:dyDescent="0.25">
      <c r="A107" s="1421"/>
      <c r="B107" s="117" t="s">
        <v>102</v>
      </c>
      <c r="C107" s="151">
        <v>0</v>
      </c>
      <c r="D107" s="151">
        <v>24</v>
      </c>
      <c r="E107" s="151">
        <v>24</v>
      </c>
      <c r="F107" s="151">
        <v>0</v>
      </c>
      <c r="G107" s="1418"/>
    </row>
    <row r="108" spans="1:7" ht="17.25" customHeight="1" x14ac:dyDescent="0.25">
      <c r="A108" s="1421"/>
      <c r="B108" s="117" t="s">
        <v>103</v>
      </c>
      <c r="C108" s="151">
        <v>24</v>
      </c>
      <c r="D108" s="151">
        <v>0</v>
      </c>
      <c r="E108" s="151">
        <v>0</v>
      </c>
      <c r="F108" s="151">
        <v>24</v>
      </c>
      <c r="G108" s="1418"/>
    </row>
    <row r="109" spans="1:7" ht="15.75" customHeight="1" thickBot="1" x14ac:dyDescent="0.3">
      <c r="A109" s="1422"/>
      <c r="B109" s="119" t="s">
        <v>104</v>
      </c>
      <c r="C109" s="151">
        <v>0</v>
      </c>
      <c r="D109" s="151">
        <v>0</v>
      </c>
      <c r="E109" s="151">
        <v>0</v>
      </c>
      <c r="F109" s="151">
        <v>0</v>
      </c>
      <c r="G109" s="1423"/>
    </row>
    <row r="110" spans="1:7" ht="15.75" x14ac:dyDescent="0.25">
      <c r="A110" s="1420">
        <v>44344</v>
      </c>
      <c r="B110" s="112" t="s">
        <v>17</v>
      </c>
      <c r="C110" s="150">
        <v>1</v>
      </c>
      <c r="D110" s="150">
        <v>1</v>
      </c>
      <c r="E110" s="150">
        <v>1</v>
      </c>
      <c r="F110" s="150">
        <v>1</v>
      </c>
      <c r="G110" s="1417"/>
    </row>
    <row r="111" spans="1:7" x14ac:dyDescent="0.25">
      <c r="A111" s="1421"/>
      <c r="B111" s="117" t="s">
        <v>102</v>
      </c>
      <c r="C111" s="151">
        <v>0</v>
      </c>
      <c r="D111" s="151">
        <v>24</v>
      </c>
      <c r="E111" s="151">
        <v>24</v>
      </c>
      <c r="F111" s="151">
        <v>0</v>
      </c>
      <c r="G111" s="1418"/>
    </row>
    <row r="112" spans="1:7" x14ac:dyDescent="0.25">
      <c r="A112" s="1421"/>
      <c r="B112" s="117" t="s">
        <v>103</v>
      </c>
      <c r="C112" s="151">
        <v>24</v>
      </c>
      <c r="D112" s="151">
        <v>0</v>
      </c>
      <c r="E112" s="151">
        <v>0</v>
      </c>
      <c r="F112" s="151">
        <v>24</v>
      </c>
      <c r="G112" s="1418"/>
    </row>
    <row r="113" spans="1:7" ht="15.75" thickBot="1" x14ac:dyDescent="0.3">
      <c r="A113" s="1422"/>
      <c r="B113" s="119" t="s">
        <v>104</v>
      </c>
      <c r="C113" s="151">
        <v>0</v>
      </c>
      <c r="D113" s="151">
        <v>0</v>
      </c>
      <c r="E113" s="151">
        <v>0</v>
      </c>
      <c r="F113" s="151">
        <v>0</v>
      </c>
      <c r="G113" s="1423"/>
    </row>
    <row r="114" spans="1:7" ht="15.75" x14ac:dyDescent="0.25">
      <c r="A114" s="1420">
        <v>44345</v>
      </c>
      <c r="B114" s="122" t="s">
        <v>17</v>
      </c>
      <c r="C114" s="150">
        <v>1</v>
      </c>
      <c r="D114" s="150">
        <v>1</v>
      </c>
      <c r="E114" s="150">
        <v>1</v>
      </c>
      <c r="F114" s="150">
        <v>1</v>
      </c>
      <c r="G114" s="1417"/>
    </row>
    <row r="115" spans="1:7" x14ac:dyDescent="0.25">
      <c r="A115" s="1421"/>
      <c r="B115" s="117" t="s">
        <v>102</v>
      </c>
      <c r="C115" s="151">
        <v>0</v>
      </c>
      <c r="D115" s="151">
        <v>24</v>
      </c>
      <c r="E115" s="151">
        <v>24</v>
      </c>
      <c r="F115" s="151">
        <v>0</v>
      </c>
      <c r="G115" s="1418"/>
    </row>
    <row r="116" spans="1:7" x14ac:dyDescent="0.25">
      <c r="A116" s="1421"/>
      <c r="B116" s="117" t="s">
        <v>103</v>
      </c>
      <c r="C116" s="151">
        <v>24</v>
      </c>
      <c r="D116" s="151">
        <v>0</v>
      </c>
      <c r="E116" s="151">
        <v>0</v>
      </c>
      <c r="F116" s="151">
        <v>24</v>
      </c>
      <c r="G116" s="1418"/>
    </row>
    <row r="117" spans="1:7" ht="15.75" thickBot="1" x14ac:dyDescent="0.3">
      <c r="A117" s="1422"/>
      <c r="B117" s="119" t="s">
        <v>104</v>
      </c>
      <c r="C117" s="151">
        <v>0</v>
      </c>
      <c r="D117" s="151">
        <v>0</v>
      </c>
      <c r="E117" s="151">
        <v>0</v>
      </c>
      <c r="F117" s="151">
        <v>0</v>
      </c>
      <c r="G117" s="1423"/>
    </row>
    <row r="118" spans="1:7" ht="15.75" x14ac:dyDescent="0.25">
      <c r="A118" s="1420">
        <v>44346</v>
      </c>
      <c r="B118" s="112" t="s">
        <v>17</v>
      </c>
      <c r="C118" s="150">
        <v>1</v>
      </c>
      <c r="D118" s="150">
        <v>1</v>
      </c>
      <c r="E118" s="150">
        <v>1</v>
      </c>
      <c r="F118" s="150">
        <v>1</v>
      </c>
      <c r="G118" s="1417"/>
    </row>
    <row r="119" spans="1:7" x14ac:dyDescent="0.25">
      <c r="A119" s="1421"/>
      <c r="B119" s="117" t="s">
        <v>102</v>
      </c>
      <c r="C119" s="151">
        <v>0</v>
      </c>
      <c r="D119" s="151">
        <v>24</v>
      </c>
      <c r="E119" s="151">
        <v>24</v>
      </c>
      <c r="F119" s="151">
        <v>0</v>
      </c>
      <c r="G119" s="1418"/>
    </row>
    <row r="120" spans="1:7" x14ac:dyDescent="0.25">
      <c r="A120" s="1421"/>
      <c r="B120" s="117" t="s">
        <v>103</v>
      </c>
      <c r="C120" s="151">
        <v>24</v>
      </c>
      <c r="D120" s="151">
        <v>0</v>
      </c>
      <c r="E120" s="151">
        <v>0</v>
      </c>
      <c r="F120" s="151">
        <v>24</v>
      </c>
      <c r="G120" s="1418"/>
    </row>
    <row r="121" spans="1:7" ht="15.75" thickBot="1" x14ac:dyDescent="0.3">
      <c r="A121" s="1422"/>
      <c r="B121" s="119" t="s">
        <v>104</v>
      </c>
      <c r="C121" s="151">
        <v>0</v>
      </c>
      <c r="D121" s="151">
        <v>0</v>
      </c>
      <c r="E121" s="151">
        <v>0</v>
      </c>
      <c r="F121" s="151">
        <v>0</v>
      </c>
      <c r="G121" s="1423"/>
    </row>
    <row r="122" spans="1:7" ht="15.75" x14ac:dyDescent="0.25">
      <c r="A122" s="1420">
        <v>44347</v>
      </c>
      <c r="B122" s="112" t="s">
        <v>17</v>
      </c>
      <c r="C122" s="150">
        <v>1</v>
      </c>
      <c r="D122" s="150">
        <v>1</v>
      </c>
      <c r="E122" s="150">
        <v>1</v>
      </c>
      <c r="F122" s="150">
        <v>1</v>
      </c>
      <c r="G122" s="1417"/>
    </row>
    <row r="123" spans="1:7" x14ac:dyDescent="0.25">
      <c r="A123" s="1421"/>
      <c r="B123" s="117" t="s">
        <v>102</v>
      </c>
      <c r="C123" s="151">
        <v>0</v>
      </c>
      <c r="D123" s="151">
        <v>24</v>
      </c>
      <c r="E123" s="151">
        <v>24</v>
      </c>
      <c r="F123" s="151">
        <v>0</v>
      </c>
      <c r="G123" s="1418"/>
    </row>
    <row r="124" spans="1:7" x14ac:dyDescent="0.25">
      <c r="A124" s="1421"/>
      <c r="B124" s="117" t="s">
        <v>103</v>
      </c>
      <c r="C124" s="151">
        <v>24</v>
      </c>
      <c r="D124" s="151">
        <v>0</v>
      </c>
      <c r="E124" s="151">
        <v>0</v>
      </c>
      <c r="F124" s="151">
        <v>24</v>
      </c>
      <c r="G124" s="1418"/>
    </row>
    <row r="125" spans="1:7" ht="15.75" thickBot="1" x14ac:dyDescent="0.3">
      <c r="A125" s="1422"/>
      <c r="B125" s="119" t="s">
        <v>104</v>
      </c>
      <c r="C125" s="151">
        <v>0</v>
      </c>
      <c r="D125" s="151">
        <v>0</v>
      </c>
      <c r="E125" s="151">
        <v>0</v>
      </c>
      <c r="F125" s="151">
        <v>0</v>
      </c>
      <c r="G125" s="1423"/>
    </row>
    <row r="126" spans="1:7" x14ac:dyDescent="0.25">
      <c r="A126" s="130" t="s">
        <v>471</v>
      </c>
      <c r="B126" s="131"/>
      <c r="C126" s="132">
        <f>SUM(C123,C119,C115,C111,C107,C103,C99,C95,C91,C87,C83,C79,C75,C71,C67,C63,G59,C55,C51,C47,C43,C39,C35,C31,C27,C23,C19,C15,C11,C7,C3)</f>
        <v>182.983</v>
      </c>
      <c r="D126" s="132">
        <f>SUM(D123,D119,D115,D111,D107,D103,D99,D95,D91,D87,D83,D79,D75,D71,D67,D63,D59,D55,D51,D47,D43,D39,D35,D31,D27,D23,D19,D15,D11,D7,D3)</f>
        <v>742.7</v>
      </c>
      <c r="E126" s="132">
        <f>SUM(E123,E119,E115,E111,E107,E103,E99,E95,E91,E87,E83,E79,E75,E71,E67,E63,E59,E55,E51,E47,E43,E39,E35,E31,E27,E23,E19,E15,E11,E7,E3)</f>
        <v>743.18000000000006</v>
      </c>
      <c r="F126" s="132">
        <f t="shared" ref="F126" si="0">SUM(F119,F115,F111,F107,F103,F99,F95,F91,F87,F83,F79,F75,F71,F67,F63,J59,F55,F51,F47,F43,F39,F35,F31,F27,F23,F19,F15,F11,F7,F3)</f>
        <v>0</v>
      </c>
      <c r="G126" s="115"/>
    </row>
    <row r="127" spans="1:7" x14ac:dyDescent="0.25">
      <c r="A127" s="1424" t="s">
        <v>472</v>
      </c>
      <c r="B127" s="1425"/>
      <c r="C127" s="135">
        <f>SUM(C124,C120,C116,C112,C108,C104,C100,C96,C92,C88,C84,C80,C76,C72,C68,C64,C60,C56,C52,C48,C44,C40,C36,C32,C28,C24,C20,C16,C12,C8,C4)</f>
        <v>561.01699999999994</v>
      </c>
      <c r="D127" s="135">
        <f t="shared" ref="C127:E128" si="1">SUM(D112,D108,D104,D100,D96,D92,D88,D84,D80,D76,D72,D68,D64,D60,D56,D52,D48,D44,D40,D36,D32,D28,D24,D20,D16,D12,D8,D4)</f>
        <v>1.3</v>
      </c>
      <c r="E127" s="135">
        <f t="shared" si="1"/>
        <v>0.82</v>
      </c>
      <c r="F127" s="135">
        <f>SUM(F124,F120,F116,F112,F108,F104,F100,F96,F92,F88,F84,F80,F76,F72,F68,F64,F60,F56,F52,F48,F44,F40,F36,F32,F28,F24,F20,F16,F12,F8,F4)</f>
        <v>744</v>
      </c>
      <c r="G127" s="117"/>
    </row>
    <row r="128" spans="1:7" ht="15.75" thickBot="1" x14ac:dyDescent="0.3">
      <c r="A128" s="1426" t="s">
        <v>473</v>
      </c>
      <c r="B128" s="1427"/>
      <c r="C128" s="138">
        <f t="shared" si="1"/>
        <v>0</v>
      </c>
      <c r="D128" s="138">
        <f t="shared" si="1"/>
        <v>0</v>
      </c>
      <c r="E128" s="138">
        <f t="shared" si="1"/>
        <v>0</v>
      </c>
      <c r="F128" s="138">
        <f>SUM(F125,F121,F117,F113,F109,F105,F101,F97,F93,F89,F85,F81,F77,F73,F69,F65,F61,F57,F53,F49,F45,F41,F37,F33,F29,F25,F21,F17,F13,F9,F5)</f>
        <v>0</v>
      </c>
      <c r="G128" s="119"/>
    </row>
    <row r="129" spans="1:7" ht="15.75" thickBot="1" x14ac:dyDescent="0.3">
      <c r="A129" s="1428" t="s">
        <v>108</v>
      </c>
      <c r="B129" s="1429"/>
      <c r="C129" s="255"/>
      <c r="D129" s="255"/>
      <c r="E129" s="255"/>
      <c r="F129" s="255"/>
      <c r="G129" s="141"/>
    </row>
  </sheetData>
  <mergeCells count="65">
    <mergeCell ref="A2:A5"/>
    <mergeCell ref="A6:A9"/>
    <mergeCell ref="A10:A13"/>
    <mergeCell ref="G10:G13"/>
    <mergeCell ref="A14:A17"/>
    <mergeCell ref="G14:G17"/>
    <mergeCell ref="A18:A21"/>
    <mergeCell ref="G18:G21"/>
    <mergeCell ref="A22:A25"/>
    <mergeCell ref="G22:G25"/>
    <mergeCell ref="A26:A29"/>
    <mergeCell ref="G26:G29"/>
    <mergeCell ref="A30:A33"/>
    <mergeCell ref="G30:G33"/>
    <mergeCell ref="A34:A37"/>
    <mergeCell ref="G34:G37"/>
    <mergeCell ref="A38:A41"/>
    <mergeCell ref="G38:G41"/>
    <mergeCell ref="A42:A45"/>
    <mergeCell ref="G42:G45"/>
    <mergeCell ref="A46:A49"/>
    <mergeCell ref="G46:G49"/>
    <mergeCell ref="A50:A53"/>
    <mergeCell ref="G50:G53"/>
    <mergeCell ref="A54:A57"/>
    <mergeCell ref="G54:G57"/>
    <mergeCell ref="A58:A61"/>
    <mergeCell ref="G58:G61"/>
    <mergeCell ref="A62:A65"/>
    <mergeCell ref="G62:G65"/>
    <mergeCell ref="A66:A69"/>
    <mergeCell ref="G66:G69"/>
    <mergeCell ref="A70:A73"/>
    <mergeCell ref="G70:G73"/>
    <mergeCell ref="A74:A77"/>
    <mergeCell ref="G74:G77"/>
    <mergeCell ref="A78:A81"/>
    <mergeCell ref="G78:G81"/>
    <mergeCell ref="A82:A85"/>
    <mergeCell ref="G82:G85"/>
    <mergeCell ref="A86:A89"/>
    <mergeCell ref="G86:G89"/>
    <mergeCell ref="G110:G113"/>
    <mergeCell ref="A90:A93"/>
    <mergeCell ref="G90:G93"/>
    <mergeCell ref="A94:A97"/>
    <mergeCell ref="G94:G97"/>
    <mergeCell ref="A98:A101"/>
    <mergeCell ref="G98:G101"/>
    <mergeCell ref="A127:B127"/>
    <mergeCell ref="A128:B128"/>
    <mergeCell ref="A129:B129"/>
    <mergeCell ref="G2:G5"/>
    <mergeCell ref="G6:G9"/>
    <mergeCell ref="A114:A117"/>
    <mergeCell ref="G114:G117"/>
    <mergeCell ref="A118:A121"/>
    <mergeCell ref="G118:G121"/>
    <mergeCell ref="A122:A125"/>
    <mergeCell ref="G122:G125"/>
    <mergeCell ref="A102:A105"/>
    <mergeCell ref="G102:G105"/>
    <mergeCell ref="A106:A109"/>
    <mergeCell ref="G106:G109"/>
    <mergeCell ref="A110:A11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G129"/>
  <sheetViews>
    <sheetView zoomScale="90" zoomScaleNormal="90" workbookViewId="0">
      <pane ySplit="1" topLeftCell="A110" activePane="bottomLeft" state="frozen"/>
      <selection pane="bottomLeft" activeCell="C118" sqref="C118:F121"/>
    </sheetView>
  </sheetViews>
  <sheetFormatPr defaultRowHeight="15" x14ac:dyDescent="0.25"/>
  <cols>
    <col min="1" max="1" width="31.28515625" customWidth="1"/>
    <col min="2" max="2" width="26.28515625" customWidth="1"/>
    <col min="3" max="6" width="10.42578125" customWidth="1"/>
    <col min="7" max="7" width="43.7109375" customWidth="1"/>
  </cols>
  <sheetData>
    <row r="1" spans="1:7" ht="16.5" thickBot="1" x14ac:dyDescent="0.3">
      <c r="A1" s="108" t="s">
        <v>98</v>
      </c>
      <c r="B1" s="109" t="s">
        <v>99</v>
      </c>
      <c r="C1" s="173" t="s">
        <v>310</v>
      </c>
      <c r="D1" s="173" t="s">
        <v>239</v>
      </c>
      <c r="E1" s="110" t="s">
        <v>100</v>
      </c>
      <c r="F1" s="173" t="s">
        <v>157</v>
      </c>
      <c r="G1" s="111" t="s">
        <v>101</v>
      </c>
    </row>
    <row r="2" spans="1:7" ht="15.75" x14ac:dyDescent="0.25">
      <c r="A2" s="1420">
        <v>44348</v>
      </c>
      <c r="B2" s="112" t="s">
        <v>17</v>
      </c>
      <c r="C2" s="150">
        <v>1</v>
      </c>
      <c r="D2" s="150">
        <v>1</v>
      </c>
      <c r="E2" s="150">
        <v>1</v>
      </c>
      <c r="F2" s="150">
        <v>1</v>
      </c>
      <c r="G2" s="1417" t="s">
        <v>599</v>
      </c>
    </row>
    <row r="3" spans="1:7" x14ac:dyDescent="0.25">
      <c r="A3" s="1421"/>
      <c r="B3" s="115" t="s">
        <v>102</v>
      </c>
      <c r="C3" s="151">
        <v>19.45</v>
      </c>
      <c r="D3" s="151">
        <v>24</v>
      </c>
      <c r="E3" s="151">
        <v>24</v>
      </c>
      <c r="F3" s="151">
        <v>0</v>
      </c>
      <c r="G3" s="1418"/>
    </row>
    <row r="4" spans="1:7" x14ac:dyDescent="0.25">
      <c r="A4" s="1421"/>
      <c r="B4" s="117" t="s">
        <v>103</v>
      </c>
      <c r="C4" s="151">
        <v>4.55</v>
      </c>
      <c r="D4" s="151">
        <v>0</v>
      </c>
      <c r="E4" s="151">
        <v>0</v>
      </c>
      <c r="F4" s="151">
        <v>24</v>
      </c>
      <c r="G4" s="1418"/>
    </row>
    <row r="5" spans="1:7" ht="15.75" thickBot="1" x14ac:dyDescent="0.3">
      <c r="A5" s="1422"/>
      <c r="B5" s="119" t="s">
        <v>104</v>
      </c>
      <c r="C5" s="151">
        <v>0</v>
      </c>
      <c r="D5" s="151">
        <v>0</v>
      </c>
      <c r="E5" s="151">
        <v>0</v>
      </c>
      <c r="F5" s="151">
        <v>0</v>
      </c>
      <c r="G5" s="1419"/>
    </row>
    <row r="6" spans="1:7" ht="15.75" x14ac:dyDescent="0.25">
      <c r="A6" s="1420">
        <v>44349</v>
      </c>
      <c r="B6" s="112" t="s">
        <v>17</v>
      </c>
      <c r="C6" s="150">
        <v>1</v>
      </c>
      <c r="D6" s="150">
        <v>1</v>
      </c>
      <c r="E6" s="150">
        <v>1</v>
      </c>
      <c r="F6" s="150">
        <v>1</v>
      </c>
      <c r="G6" s="1417"/>
    </row>
    <row r="7" spans="1:7" x14ac:dyDescent="0.25">
      <c r="A7" s="1421"/>
      <c r="B7" s="115" t="s">
        <v>102</v>
      </c>
      <c r="C7" s="151">
        <v>24</v>
      </c>
      <c r="D7" s="151">
        <v>24</v>
      </c>
      <c r="E7" s="151">
        <v>24</v>
      </c>
      <c r="F7" s="151">
        <v>0</v>
      </c>
      <c r="G7" s="1418"/>
    </row>
    <row r="8" spans="1:7" x14ac:dyDescent="0.25">
      <c r="A8" s="1421"/>
      <c r="B8" s="117" t="s">
        <v>103</v>
      </c>
      <c r="C8" s="151">
        <v>0</v>
      </c>
      <c r="D8" s="151">
        <v>0</v>
      </c>
      <c r="E8" s="151">
        <v>0</v>
      </c>
      <c r="F8" s="151">
        <v>24</v>
      </c>
      <c r="G8" s="1418"/>
    </row>
    <row r="9" spans="1:7" ht="15.75" thickBot="1" x14ac:dyDescent="0.3">
      <c r="A9" s="1422"/>
      <c r="B9" s="119" t="s">
        <v>104</v>
      </c>
      <c r="C9" s="151">
        <v>0</v>
      </c>
      <c r="D9" s="151">
        <v>0</v>
      </c>
      <c r="E9" s="151">
        <v>0</v>
      </c>
      <c r="F9" s="151">
        <v>0</v>
      </c>
      <c r="G9" s="1419"/>
    </row>
    <row r="10" spans="1:7" ht="15.75" x14ac:dyDescent="0.25">
      <c r="A10" s="1420">
        <v>44350</v>
      </c>
      <c r="B10" s="112" t="s">
        <v>17</v>
      </c>
      <c r="C10" s="150">
        <v>1</v>
      </c>
      <c r="D10" s="150">
        <v>1</v>
      </c>
      <c r="E10" s="150">
        <v>1</v>
      </c>
      <c r="F10" s="150">
        <v>1</v>
      </c>
      <c r="G10" s="1417"/>
    </row>
    <row r="11" spans="1:7" x14ac:dyDescent="0.25">
      <c r="A11" s="1421"/>
      <c r="B11" s="115" t="s">
        <v>102</v>
      </c>
      <c r="C11" s="151">
        <v>24</v>
      </c>
      <c r="D11" s="151">
        <v>24</v>
      </c>
      <c r="E11" s="151">
        <v>24</v>
      </c>
      <c r="F11" s="151">
        <v>0</v>
      </c>
      <c r="G11" s="1418"/>
    </row>
    <row r="12" spans="1:7" x14ac:dyDescent="0.25">
      <c r="A12" s="1421"/>
      <c r="B12" s="117" t="s">
        <v>103</v>
      </c>
      <c r="C12" s="151">
        <v>0</v>
      </c>
      <c r="D12" s="151">
        <v>0</v>
      </c>
      <c r="E12" s="151">
        <v>0</v>
      </c>
      <c r="F12" s="151">
        <v>24</v>
      </c>
      <c r="G12" s="1418"/>
    </row>
    <row r="13" spans="1:7" ht="15.75" thickBot="1" x14ac:dyDescent="0.3">
      <c r="A13" s="1422"/>
      <c r="B13" s="119" t="s">
        <v>104</v>
      </c>
      <c r="C13" s="151">
        <v>0</v>
      </c>
      <c r="D13" s="151">
        <v>0</v>
      </c>
      <c r="E13" s="151">
        <v>0</v>
      </c>
      <c r="F13" s="151">
        <v>0</v>
      </c>
      <c r="G13" s="1419"/>
    </row>
    <row r="14" spans="1:7" ht="15.75" x14ac:dyDescent="0.25">
      <c r="A14" s="1420">
        <v>44351</v>
      </c>
      <c r="B14" s="122" t="s">
        <v>17</v>
      </c>
      <c r="C14" s="150">
        <v>1</v>
      </c>
      <c r="D14" s="150">
        <v>1</v>
      </c>
      <c r="E14" s="150">
        <v>1</v>
      </c>
      <c r="F14" s="150">
        <v>1</v>
      </c>
      <c r="G14" s="1417"/>
    </row>
    <row r="15" spans="1:7" x14ac:dyDescent="0.25">
      <c r="A15" s="1421"/>
      <c r="B15" s="115" t="s">
        <v>102</v>
      </c>
      <c r="C15" s="151">
        <v>24</v>
      </c>
      <c r="D15" s="151">
        <v>24</v>
      </c>
      <c r="E15" s="151">
        <v>24</v>
      </c>
      <c r="F15" s="151">
        <v>0</v>
      </c>
      <c r="G15" s="1418"/>
    </row>
    <row r="16" spans="1:7" x14ac:dyDescent="0.25">
      <c r="A16" s="1421"/>
      <c r="B16" s="117" t="s">
        <v>103</v>
      </c>
      <c r="C16" s="151">
        <v>0</v>
      </c>
      <c r="D16" s="151">
        <v>0</v>
      </c>
      <c r="E16" s="151">
        <v>0</v>
      </c>
      <c r="F16" s="151">
        <v>24</v>
      </c>
      <c r="G16" s="1418"/>
    </row>
    <row r="17" spans="1:7" ht="15.75" thickBot="1" x14ac:dyDescent="0.3">
      <c r="A17" s="1422"/>
      <c r="B17" s="119" t="s">
        <v>104</v>
      </c>
      <c r="C17" s="151">
        <v>0</v>
      </c>
      <c r="D17" s="151">
        <v>0</v>
      </c>
      <c r="E17" s="151">
        <v>0</v>
      </c>
      <c r="F17" s="151">
        <v>0</v>
      </c>
      <c r="G17" s="1419"/>
    </row>
    <row r="18" spans="1:7" ht="15.75" x14ac:dyDescent="0.25">
      <c r="A18" s="1420">
        <v>44352</v>
      </c>
      <c r="B18" s="122" t="s">
        <v>17</v>
      </c>
      <c r="C18" s="150">
        <v>1</v>
      </c>
      <c r="D18" s="150">
        <v>1</v>
      </c>
      <c r="E18" s="150">
        <v>1</v>
      </c>
      <c r="F18" s="150">
        <v>1</v>
      </c>
      <c r="G18" s="1417"/>
    </row>
    <row r="19" spans="1:7" x14ac:dyDescent="0.25">
      <c r="A19" s="1421"/>
      <c r="B19" s="115" t="s">
        <v>102</v>
      </c>
      <c r="C19" s="151">
        <v>24</v>
      </c>
      <c r="D19" s="151">
        <v>24</v>
      </c>
      <c r="E19" s="151">
        <v>24</v>
      </c>
      <c r="F19" s="151">
        <v>0</v>
      </c>
      <c r="G19" s="1418"/>
    </row>
    <row r="20" spans="1:7" x14ac:dyDescent="0.25">
      <c r="A20" s="1421"/>
      <c r="B20" s="117" t="s">
        <v>103</v>
      </c>
      <c r="C20" s="151">
        <v>0</v>
      </c>
      <c r="D20" s="151">
        <v>0</v>
      </c>
      <c r="E20" s="151">
        <v>0</v>
      </c>
      <c r="F20" s="151">
        <v>24</v>
      </c>
      <c r="G20" s="1418"/>
    </row>
    <row r="21" spans="1:7" ht="15.75" thickBot="1" x14ac:dyDescent="0.3">
      <c r="A21" s="1422"/>
      <c r="B21" s="119" t="s">
        <v>104</v>
      </c>
      <c r="C21" s="151">
        <v>0</v>
      </c>
      <c r="D21" s="151">
        <v>0</v>
      </c>
      <c r="E21" s="151">
        <v>0</v>
      </c>
      <c r="F21" s="151">
        <v>0</v>
      </c>
      <c r="G21" s="1419"/>
    </row>
    <row r="22" spans="1:7" ht="15.75" x14ac:dyDescent="0.25">
      <c r="A22" s="1420">
        <v>44353</v>
      </c>
      <c r="B22" s="112" t="s">
        <v>17</v>
      </c>
      <c r="C22" s="150">
        <v>1</v>
      </c>
      <c r="D22" s="150">
        <v>1</v>
      </c>
      <c r="E22" s="150">
        <v>1</v>
      </c>
      <c r="F22" s="150">
        <v>1</v>
      </c>
      <c r="G22" s="1417"/>
    </row>
    <row r="23" spans="1:7" x14ac:dyDescent="0.25">
      <c r="A23" s="1421"/>
      <c r="B23" s="125" t="s">
        <v>102</v>
      </c>
      <c r="C23" s="151">
        <v>24</v>
      </c>
      <c r="D23" s="151">
        <v>24</v>
      </c>
      <c r="E23" s="151">
        <v>24</v>
      </c>
      <c r="F23" s="151">
        <v>0</v>
      </c>
      <c r="G23" s="1418"/>
    </row>
    <row r="24" spans="1:7" x14ac:dyDescent="0.25">
      <c r="A24" s="1421"/>
      <c r="B24" s="117" t="s">
        <v>103</v>
      </c>
      <c r="C24" s="151">
        <v>0</v>
      </c>
      <c r="D24" s="151">
        <v>0</v>
      </c>
      <c r="E24" s="151">
        <v>0</v>
      </c>
      <c r="F24" s="151">
        <v>24</v>
      </c>
      <c r="G24" s="1418"/>
    </row>
    <row r="25" spans="1:7" ht="15.75" thickBot="1" x14ac:dyDescent="0.3">
      <c r="A25" s="1422"/>
      <c r="B25" s="119" t="s">
        <v>104</v>
      </c>
      <c r="C25" s="151">
        <v>0</v>
      </c>
      <c r="D25" s="151">
        <v>0</v>
      </c>
      <c r="E25" s="151">
        <v>0</v>
      </c>
      <c r="F25" s="151">
        <v>0</v>
      </c>
      <c r="G25" s="1423"/>
    </row>
    <row r="26" spans="1:7" ht="15.75" x14ac:dyDescent="0.25">
      <c r="A26" s="1420">
        <v>44354</v>
      </c>
      <c r="B26" s="112" t="s">
        <v>17</v>
      </c>
      <c r="C26" s="150">
        <v>1</v>
      </c>
      <c r="D26" s="150">
        <v>1</v>
      </c>
      <c r="E26" s="150">
        <v>1</v>
      </c>
      <c r="F26" s="150">
        <v>1</v>
      </c>
      <c r="G26" s="1417"/>
    </row>
    <row r="27" spans="1:7" x14ac:dyDescent="0.25">
      <c r="A27" s="1421"/>
      <c r="B27" s="115" t="s">
        <v>102</v>
      </c>
      <c r="C27" s="151">
        <v>24</v>
      </c>
      <c r="D27" s="151">
        <v>24</v>
      </c>
      <c r="E27" s="151">
        <v>24</v>
      </c>
      <c r="F27" s="151">
        <v>0</v>
      </c>
      <c r="G27" s="1418"/>
    </row>
    <row r="28" spans="1:7" x14ac:dyDescent="0.25">
      <c r="A28" s="1421"/>
      <c r="B28" s="117" t="s">
        <v>103</v>
      </c>
      <c r="C28" s="151">
        <v>0</v>
      </c>
      <c r="D28" s="151">
        <v>0</v>
      </c>
      <c r="E28" s="151">
        <v>0</v>
      </c>
      <c r="F28" s="151">
        <v>24</v>
      </c>
      <c r="G28" s="1418"/>
    </row>
    <row r="29" spans="1:7" ht="15.75" thickBot="1" x14ac:dyDescent="0.3">
      <c r="A29" s="1422"/>
      <c r="B29" s="119" t="s">
        <v>104</v>
      </c>
      <c r="C29" s="151">
        <v>0</v>
      </c>
      <c r="D29" s="151">
        <v>0</v>
      </c>
      <c r="E29" s="151">
        <v>0</v>
      </c>
      <c r="F29" s="151">
        <v>0</v>
      </c>
      <c r="G29" s="1423"/>
    </row>
    <row r="30" spans="1:7" ht="15.75" x14ac:dyDescent="0.25">
      <c r="A30" s="1420">
        <v>44355</v>
      </c>
      <c r="B30" s="122" t="s">
        <v>17</v>
      </c>
      <c r="C30" s="150">
        <v>1</v>
      </c>
      <c r="D30" s="150">
        <v>1</v>
      </c>
      <c r="E30" s="150">
        <v>1</v>
      </c>
      <c r="F30" s="150">
        <v>1</v>
      </c>
      <c r="G30" s="1417"/>
    </row>
    <row r="31" spans="1:7" x14ac:dyDescent="0.25">
      <c r="A31" s="1421"/>
      <c r="B31" s="125" t="s">
        <v>102</v>
      </c>
      <c r="C31" s="151">
        <v>24</v>
      </c>
      <c r="D31" s="151">
        <v>24</v>
      </c>
      <c r="E31" s="151">
        <v>24</v>
      </c>
      <c r="F31" s="151">
        <v>0</v>
      </c>
      <c r="G31" s="1418"/>
    </row>
    <row r="32" spans="1:7" x14ac:dyDescent="0.25">
      <c r="A32" s="1421"/>
      <c r="B32" s="117" t="s">
        <v>103</v>
      </c>
      <c r="C32" s="151">
        <v>0</v>
      </c>
      <c r="D32" s="151">
        <v>0</v>
      </c>
      <c r="E32" s="151">
        <v>0</v>
      </c>
      <c r="F32" s="151">
        <v>24</v>
      </c>
      <c r="G32" s="1418"/>
    </row>
    <row r="33" spans="1:7" ht="15.75" thickBot="1" x14ac:dyDescent="0.3">
      <c r="A33" s="1422"/>
      <c r="B33" s="119" t="s">
        <v>104</v>
      </c>
      <c r="C33" s="151">
        <v>0</v>
      </c>
      <c r="D33" s="151">
        <v>0</v>
      </c>
      <c r="E33" s="151">
        <v>0</v>
      </c>
      <c r="F33" s="151">
        <v>0</v>
      </c>
      <c r="G33" s="1423"/>
    </row>
    <row r="34" spans="1:7" ht="15.75" x14ac:dyDescent="0.25">
      <c r="A34" s="1420">
        <v>44356</v>
      </c>
      <c r="B34" s="112" t="s">
        <v>17</v>
      </c>
      <c r="C34" s="150">
        <v>1</v>
      </c>
      <c r="D34" s="150">
        <v>1</v>
      </c>
      <c r="E34" s="150">
        <v>1</v>
      </c>
      <c r="F34" s="150">
        <v>1</v>
      </c>
      <c r="G34" s="1417" t="s">
        <v>619</v>
      </c>
    </row>
    <row r="35" spans="1:7" x14ac:dyDescent="0.25">
      <c r="A35" s="1421"/>
      <c r="B35" s="115" t="s">
        <v>102</v>
      </c>
      <c r="C35" s="151">
        <v>1.67</v>
      </c>
      <c r="D35" s="151">
        <v>24</v>
      </c>
      <c r="E35" s="151">
        <v>24</v>
      </c>
      <c r="F35" s="151">
        <v>0</v>
      </c>
      <c r="G35" s="1418"/>
    </row>
    <row r="36" spans="1:7" x14ac:dyDescent="0.25">
      <c r="A36" s="1421"/>
      <c r="B36" s="117" t="s">
        <v>103</v>
      </c>
      <c r="C36" s="151">
        <v>22.33</v>
      </c>
      <c r="D36" s="151">
        <v>0</v>
      </c>
      <c r="E36" s="151">
        <v>0</v>
      </c>
      <c r="F36" s="151">
        <v>24</v>
      </c>
      <c r="G36" s="1418"/>
    </row>
    <row r="37" spans="1:7" ht="15.75" thickBot="1" x14ac:dyDescent="0.3">
      <c r="A37" s="1422"/>
      <c r="B37" s="119" t="s">
        <v>104</v>
      </c>
      <c r="C37" s="151">
        <v>0</v>
      </c>
      <c r="D37" s="151">
        <v>0</v>
      </c>
      <c r="E37" s="151">
        <v>0</v>
      </c>
      <c r="F37" s="151">
        <v>0</v>
      </c>
      <c r="G37" s="1423"/>
    </row>
    <row r="38" spans="1:7" ht="15.75" x14ac:dyDescent="0.25">
      <c r="A38" s="1420">
        <v>44357</v>
      </c>
      <c r="B38" s="122" t="s">
        <v>17</v>
      </c>
      <c r="C38" s="150">
        <v>1</v>
      </c>
      <c r="D38" s="150">
        <v>1</v>
      </c>
      <c r="E38" s="150">
        <v>1</v>
      </c>
      <c r="F38" s="150">
        <v>1</v>
      </c>
      <c r="G38" s="1417" t="s">
        <v>627</v>
      </c>
    </row>
    <row r="39" spans="1:7" x14ac:dyDescent="0.25">
      <c r="A39" s="1421"/>
      <c r="B39" s="115" t="s">
        <v>102</v>
      </c>
      <c r="C39" s="151">
        <v>0</v>
      </c>
      <c r="D39" s="151">
        <v>23.22</v>
      </c>
      <c r="E39" s="151">
        <v>24</v>
      </c>
      <c r="F39" s="151">
        <v>0</v>
      </c>
      <c r="G39" s="1418"/>
    </row>
    <row r="40" spans="1:7" x14ac:dyDescent="0.25">
      <c r="A40" s="1421"/>
      <c r="B40" s="117" t="s">
        <v>103</v>
      </c>
      <c r="C40" s="151">
        <v>24</v>
      </c>
      <c r="D40" s="151">
        <v>0</v>
      </c>
      <c r="E40" s="151">
        <v>0</v>
      </c>
      <c r="F40" s="151">
        <v>24</v>
      </c>
      <c r="G40" s="1418"/>
    </row>
    <row r="41" spans="1:7" ht="15.75" thickBot="1" x14ac:dyDescent="0.3">
      <c r="A41" s="1422"/>
      <c r="B41" s="119" t="s">
        <v>104</v>
      </c>
      <c r="C41" s="151">
        <v>0</v>
      </c>
      <c r="D41" s="151">
        <v>0.78</v>
      </c>
      <c r="E41" s="151">
        <v>0</v>
      </c>
      <c r="F41" s="151">
        <v>0</v>
      </c>
      <c r="G41" s="1423"/>
    </row>
    <row r="42" spans="1:7" ht="15.75" x14ac:dyDescent="0.25">
      <c r="A42" s="1420">
        <v>44358</v>
      </c>
      <c r="B42" s="122" t="s">
        <v>17</v>
      </c>
      <c r="C42" s="150">
        <v>1</v>
      </c>
      <c r="D42" s="150">
        <v>1</v>
      </c>
      <c r="E42" s="150">
        <v>1</v>
      </c>
      <c r="F42" s="150">
        <v>1</v>
      </c>
      <c r="G42" s="1417"/>
    </row>
    <row r="43" spans="1:7" x14ac:dyDescent="0.25">
      <c r="A43" s="1421"/>
      <c r="B43" s="115" t="s">
        <v>102</v>
      </c>
      <c r="C43" s="151">
        <v>0</v>
      </c>
      <c r="D43" s="151">
        <v>6.33</v>
      </c>
      <c r="E43" s="151">
        <v>24</v>
      </c>
      <c r="F43" s="151">
        <v>0</v>
      </c>
      <c r="G43" s="1418"/>
    </row>
    <row r="44" spans="1:7" x14ac:dyDescent="0.25">
      <c r="A44" s="1421"/>
      <c r="B44" s="117" t="s">
        <v>103</v>
      </c>
      <c r="C44" s="151">
        <v>24</v>
      </c>
      <c r="D44" s="151">
        <v>0</v>
      </c>
      <c r="E44" s="151">
        <v>0</v>
      </c>
      <c r="F44" s="151">
        <v>24</v>
      </c>
      <c r="G44" s="1418"/>
    </row>
    <row r="45" spans="1:7" ht="15.75" thickBot="1" x14ac:dyDescent="0.3">
      <c r="A45" s="1422"/>
      <c r="B45" s="119" t="s">
        <v>104</v>
      </c>
      <c r="C45" s="151">
        <v>0</v>
      </c>
      <c r="D45" s="151">
        <v>17.670000000000002</v>
      </c>
      <c r="E45" s="151">
        <v>0</v>
      </c>
      <c r="F45" s="151">
        <v>0</v>
      </c>
      <c r="G45" s="1423"/>
    </row>
    <row r="46" spans="1:7" ht="15.75" x14ac:dyDescent="0.25">
      <c r="A46" s="1420">
        <v>44359</v>
      </c>
      <c r="B46" s="122" t="s">
        <v>17</v>
      </c>
      <c r="C46" s="150">
        <v>1</v>
      </c>
      <c r="D46" s="150">
        <v>1</v>
      </c>
      <c r="E46" s="150">
        <v>1</v>
      </c>
      <c r="F46" s="150">
        <v>1</v>
      </c>
      <c r="G46" s="1430"/>
    </row>
    <row r="47" spans="1:7" x14ac:dyDescent="0.25">
      <c r="A47" s="1421"/>
      <c r="B47" s="115" t="s">
        <v>102</v>
      </c>
      <c r="C47" s="151">
        <v>0</v>
      </c>
      <c r="D47" s="151">
        <v>24</v>
      </c>
      <c r="E47" s="151">
        <v>24</v>
      </c>
      <c r="F47" s="151">
        <v>0</v>
      </c>
      <c r="G47" s="1418"/>
    </row>
    <row r="48" spans="1:7" x14ac:dyDescent="0.25">
      <c r="A48" s="1421"/>
      <c r="B48" s="117" t="s">
        <v>103</v>
      </c>
      <c r="C48" s="151">
        <v>24</v>
      </c>
      <c r="D48" s="151">
        <v>0</v>
      </c>
      <c r="E48" s="151">
        <v>0</v>
      </c>
      <c r="F48" s="151">
        <v>24</v>
      </c>
      <c r="G48" s="1418"/>
    </row>
    <row r="49" spans="1:7" ht="15.75" thickBot="1" x14ac:dyDescent="0.3">
      <c r="A49" s="1422"/>
      <c r="B49" s="119" t="s">
        <v>104</v>
      </c>
      <c r="C49" s="151">
        <v>0</v>
      </c>
      <c r="D49" s="151">
        <v>0</v>
      </c>
      <c r="E49" s="151">
        <v>0</v>
      </c>
      <c r="F49" s="151">
        <v>0</v>
      </c>
      <c r="G49" s="1423"/>
    </row>
    <row r="50" spans="1:7" ht="15.75" x14ac:dyDescent="0.25">
      <c r="A50" s="1420">
        <v>44360</v>
      </c>
      <c r="B50" s="122" t="s">
        <v>17</v>
      </c>
      <c r="C50" s="150">
        <v>1</v>
      </c>
      <c r="D50" s="150">
        <v>1</v>
      </c>
      <c r="E50" s="150">
        <v>1</v>
      </c>
      <c r="F50" s="150">
        <v>1</v>
      </c>
      <c r="G50" s="1417"/>
    </row>
    <row r="51" spans="1:7" x14ac:dyDescent="0.25">
      <c r="A51" s="1421"/>
      <c r="B51" s="115" t="s">
        <v>102</v>
      </c>
      <c r="C51" s="151">
        <v>0</v>
      </c>
      <c r="D51" s="151">
        <v>24</v>
      </c>
      <c r="E51" s="151">
        <v>24</v>
      </c>
      <c r="F51" s="151">
        <v>0</v>
      </c>
      <c r="G51" s="1418"/>
    </row>
    <row r="52" spans="1:7" x14ac:dyDescent="0.25">
      <c r="A52" s="1421"/>
      <c r="B52" s="117" t="s">
        <v>103</v>
      </c>
      <c r="C52" s="151">
        <v>24</v>
      </c>
      <c r="D52" s="151">
        <v>0</v>
      </c>
      <c r="E52" s="151">
        <v>0</v>
      </c>
      <c r="F52" s="151">
        <v>24</v>
      </c>
      <c r="G52" s="1418"/>
    </row>
    <row r="53" spans="1:7" ht="15.75" thickBot="1" x14ac:dyDescent="0.3">
      <c r="A53" s="1422"/>
      <c r="B53" s="119" t="s">
        <v>104</v>
      </c>
      <c r="C53" s="151">
        <v>0</v>
      </c>
      <c r="D53" s="151">
        <v>0</v>
      </c>
      <c r="E53" s="151">
        <v>0</v>
      </c>
      <c r="F53" s="151">
        <v>0</v>
      </c>
      <c r="G53" s="1423"/>
    </row>
    <row r="54" spans="1:7" ht="15.75" x14ac:dyDescent="0.25">
      <c r="A54" s="1420">
        <v>44361</v>
      </c>
      <c r="B54" s="122" t="s">
        <v>17</v>
      </c>
      <c r="C54" s="150">
        <v>1</v>
      </c>
      <c r="D54" s="150">
        <v>1</v>
      </c>
      <c r="E54" s="150">
        <v>1</v>
      </c>
      <c r="F54" s="150">
        <v>1</v>
      </c>
      <c r="G54" s="1417"/>
    </row>
    <row r="55" spans="1:7" x14ac:dyDescent="0.25">
      <c r="A55" s="1421"/>
      <c r="B55" s="115" t="s">
        <v>102</v>
      </c>
      <c r="C55" s="151">
        <v>0</v>
      </c>
      <c r="D55" s="151">
        <v>24</v>
      </c>
      <c r="E55" s="151">
        <v>24</v>
      </c>
      <c r="F55" s="151">
        <v>0</v>
      </c>
      <c r="G55" s="1418"/>
    </row>
    <row r="56" spans="1:7" x14ac:dyDescent="0.25">
      <c r="A56" s="1421"/>
      <c r="B56" s="117" t="s">
        <v>103</v>
      </c>
      <c r="C56" s="151">
        <v>24</v>
      </c>
      <c r="D56" s="151">
        <v>0</v>
      </c>
      <c r="E56" s="151">
        <v>0</v>
      </c>
      <c r="F56" s="151">
        <v>24</v>
      </c>
      <c r="G56" s="1418"/>
    </row>
    <row r="57" spans="1:7" ht="15.75" thickBot="1" x14ac:dyDescent="0.3">
      <c r="A57" s="1422"/>
      <c r="B57" s="119" t="s">
        <v>104</v>
      </c>
      <c r="C57" s="151">
        <v>0</v>
      </c>
      <c r="D57" s="151">
        <v>0</v>
      </c>
      <c r="E57" s="151">
        <v>0</v>
      </c>
      <c r="F57" s="151">
        <v>0</v>
      </c>
      <c r="G57" s="1423"/>
    </row>
    <row r="58" spans="1:7" ht="15.75" x14ac:dyDescent="0.25">
      <c r="A58" s="1420">
        <v>44362</v>
      </c>
      <c r="B58" s="112" t="s">
        <v>17</v>
      </c>
      <c r="C58" s="150">
        <v>1</v>
      </c>
      <c r="D58" s="150">
        <v>1</v>
      </c>
      <c r="E58" s="150">
        <v>1</v>
      </c>
      <c r="F58" s="150">
        <v>1</v>
      </c>
      <c r="G58" s="1430"/>
    </row>
    <row r="59" spans="1:7" x14ac:dyDescent="0.25">
      <c r="A59" s="1421"/>
      <c r="B59" s="115" t="s">
        <v>102</v>
      </c>
      <c r="C59" s="151">
        <v>0</v>
      </c>
      <c r="D59" s="151">
        <v>24</v>
      </c>
      <c r="E59" s="151">
        <v>24</v>
      </c>
      <c r="F59" s="151">
        <v>0</v>
      </c>
      <c r="G59" s="1418"/>
    </row>
    <row r="60" spans="1:7" x14ac:dyDescent="0.25">
      <c r="A60" s="1421"/>
      <c r="B60" s="117" t="s">
        <v>103</v>
      </c>
      <c r="C60" s="151">
        <v>24</v>
      </c>
      <c r="D60" s="151">
        <v>0</v>
      </c>
      <c r="E60" s="151">
        <v>0</v>
      </c>
      <c r="F60" s="151">
        <v>24</v>
      </c>
      <c r="G60" s="1418"/>
    </row>
    <row r="61" spans="1:7" ht="15.75" thickBot="1" x14ac:dyDescent="0.3">
      <c r="A61" s="1422"/>
      <c r="B61" s="119" t="s">
        <v>104</v>
      </c>
      <c r="C61" s="151">
        <v>0</v>
      </c>
      <c r="D61" s="151">
        <v>0</v>
      </c>
      <c r="E61" s="151">
        <v>0</v>
      </c>
      <c r="F61" s="151">
        <v>0</v>
      </c>
      <c r="G61" s="1423"/>
    </row>
    <row r="62" spans="1:7" ht="15.75" x14ac:dyDescent="0.25">
      <c r="A62" s="1420">
        <v>44363</v>
      </c>
      <c r="B62" s="122" t="s">
        <v>17</v>
      </c>
      <c r="C62" s="150">
        <v>1</v>
      </c>
      <c r="D62" s="150">
        <v>1</v>
      </c>
      <c r="E62" s="150">
        <v>1</v>
      </c>
      <c r="F62" s="150">
        <v>1</v>
      </c>
      <c r="G62" s="1430"/>
    </row>
    <row r="63" spans="1:7" x14ac:dyDescent="0.25">
      <c r="A63" s="1421"/>
      <c r="B63" s="115" t="s">
        <v>102</v>
      </c>
      <c r="C63" s="151">
        <v>0</v>
      </c>
      <c r="D63" s="151">
        <v>24</v>
      </c>
      <c r="E63" s="151">
        <v>24</v>
      </c>
      <c r="F63" s="151">
        <v>0</v>
      </c>
      <c r="G63" s="1418"/>
    </row>
    <row r="64" spans="1:7" x14ac:dyDescent="0.25">
      <c r="A64" s="1421"/>
      <c r="B64" s="117" t="s">
        <v>103</v>
      </c>
      <c r="C64" s="151">
        <v>24</v>
      </c>
      <c r="D64" s="151">
        <v>0</v>
      </c>
      <c r="E64" s="151">
        <v>0</v>
      </c>
      <c r="F64" s="151">
        <v>24</v>
      </c>
      <c r="G64" s="1418"/>
    </row>
    <row r="65" spans="1:7" ht="15.75" thickBot="1" x14ac:dyDescent="0.3">
      <c r="A65" s="1422"/>
      <c r="B65" s="119" t="s">
        <v>104</v>
      </c>
      <c r="C65" s="151">
        <v>0</v>
      </c>
      <c r="D65" s="151">
        <v>0</v>
      </c>
      <c r="E65" s="151">
        <v>0</v>
      </c>
      <c r="F65" s="151">
        <v>0</v>
      </c>
      <c r="G65" s="1423"/>
    </row>
    <row r="66" spans="1:7" ht="22.5" customHeight="1" x14ac:dyDescent="0.25">
      <c r="A66" s="1420">
        <v>44364</v>
      </c>
      <c r="B66" s="122" t="s">
        <v>17</v>
      </c>
      <c r="C66" s="150">
        <v>1</v>
      </c>
      <c r="D66" s="150">
        <v>1</v>
      </c>
      <c r="E66" s="150">
        <v>1</v>
      </c>
      <c r="F66" s="150">
        <v>1</v>
      </c>
      <c r="G66" s="1417" t="s">
        <v>655</v>
      </c>
    </row>
    <row r="67" spans="1:7" ht="22.5" customHeight="1" x14ac:dyDescent="0.25">
      <c r="A67" s="1421"/>
      <c r="B67" s="115" t="s">
        <v>102</v>
      </c>
      <c r="C67" s="151">
        <v>0</v>
      </c>
      <c r="D67" s="151">
        <v>9.75</v>
      </c>
      <c r="E67" s="151">
        <v>24</v>
      </c>
      <c r="F67" s="151">
        <v>0</v>
      </c>
      <c r="G67" s="1418"/>
    </row>
    <row r="68" spans="1:7" ht="22.5" customHeight="1" x14ac:dyDescent="0.25">
      <c r="A68" s="1421"/>
      <c r="B68" s="117" t="s">
        <v>103</v>
      </c>
      <c r="C68" s="151">
        <v>24</v>
      </c>
      <c r="D68" s="151">
        <v>14.25</v>
      </c>
      <c r="E68" s="151">
        <v>0</v>
      </c>
      <c r="F68" s="151">
        <v>24</v>
      </c>
      <c r="G68" s="1418"/>
    </row>
    <row r="69" spans="1:7" ht="22.5" customHeight="1" thickBot="1" x14ac:dyDescent="0.3">
      <c r="A69" s="1422"/>
      <c r="B69" s="119" t="s">
        <v>104</v>
      </c>
      <c r="C69" s="151">
        <v>0</v>
      </c>
      <c r="D69" s="151">
        <v>0</v>
      </c>
      <c r="E69" s="151">
        <v>0</v>
      </c>
      <c r="F69" s="151">
        <v>0</v>
      </c>
      <c r="G69" s="1418"/>
    </row>
    <row r="70" spans="1:7" ht="22.5" customHeight="1" x14ac:dyDescent="0.25">
      <c r="A70" s="1420">
        <v>44365</v>
      </c>
      <c r="B70" s="122" t="s">
        <v>17</v>
      </c>
      <c r="C70" s="150">
        <v>1</v>
      </c>
      <c r="D70" s="150">
        <v>1</v>
      </c>
      <c r="E70" s="150">
        <v>1</v>
      </c>
      <c r="F70" s="150">
        <v>1</v>
      </c>
      <c r="G70" s="1418"/>
    </row>
    <row r="71" spans="1:7" ht="22.5" customHeight="1" x14ac:dyDescent="0.25">
      <c r="A71" s="1421"/>
      <c r="B71" s="115" t="s">
        <v>102</v>
      </c>
      <c r="C71" s="151">
        <v>0</v>
      </c>
      <c r="D71" s="151">
        <v>0</v>
      </c>
      <c r="E71" s="151">
        <v>24</v>
      </c>
      <c r="F71" s="151">
        <v>0</v>
      </c>
      <c r="G71" s="1418"/>
    </row>
    <row r="72" spans="1:7" ht="22.5" customHeight="1" x14ac:dyDescent="0.25">
      <c r="A72" s="1421"/>
      <c r="B72" s="117" t="s">
        <v>103</v>
      </c>
      <c r="C72" s="151">
        <v>24</v>
      </c>
      <c r="D72" s="151">
        <v>24</v>
      </c>
      <c r="E72" s="151">
        <v>0</v>
      </c>
      <c r="F72" s="151">
        <v>24</v>
      </c>
      <c r="G72" s="1418"/>
    </row>
    <row r="73" spans="1:7" ht="22.5" customHeight="1" thickBot="1" x14ac:dyDescent="0.3">
      <c r="A73" s="1422"/>
      <c r="B73" s="119" t="s">
        <v>104</v>
      </c>
      <c r="C73" s="151">
        <v>0</v>
      </c>
      <c r="D73" s="151">
        <v>0</v>
      </c>
      <c r="E73" s="151">
        <v>0</v>
      </c>
      <c r="F73" s="151">
        <v>0</v>
      </c>
      <c r="G73" s="1418"/>
    </row>
    <row r="74" spans="1:7" ht="22.5" customHeight="1" x14ac:dyDescent="0.25">
      <c r="A74" s="1420">
        <v>44366</v>
      </c>
      <c r="B74" s="122" t="s">
        <v>17</v>
      </c>
      <c r="C74" s="150">
        <v>1</v>
      </c>
      <c r="D74" s="150">
        <v>1</v>
      </c>
      <c r="E74" s="150">
        <v>1</v>
      </c>
      <c r="F74" s="150">
        <v>1</v>
      </c>
      <c r="G74" s="1418"/>
    </row>
    <row r="75" spans="1:7" ht="22.5" customHeight="1" x14ac:dyDescent="0.25">
      <c r="A75" s="1421"/>
      <c r="B75" s="115" t="s">
        <v>102</v>
      </c>
      <c r="C75" s="151">
        <v>0</v>
      </c>
      <c r="D75" s="151">
        <v>5.32</v>
      </c>
      <c r="E75" s="151">
        <v>24</v>
      </c>
      <c r="F75" s="151">
        <v>0</v>
      </c>
      <c r="G75" s="1418"/>
    </row>
    <row r="76" spans="1:7" ht="22.5" customHeight="1" x14ac:dyDescent="0.25">
      <c r="A76" s="1421"/>
      <c r="B76" s="117" t="s">
        <v>103</v>
      </c>
      <c r="C76" s="151">
        <v>24</v>
      </c>
      <c r="D76" s="151">
        <v>18.68</v>
      </c>
      <c r="E76" s="151">
        <v>0</v>
      </c>
      <c r="F76" s="151">
        <v>24</v>
      </c>
      <c r="G76" s="1418"/>
    </row>
    <row r="77" spans="1:7" ht="22.5" customHeight="1" thickBot="1" x14ac:dyDescent="0.3">
      <c r="A77" s="1422"/>
      <c r="B77" s="119" t="s">
        <v>104</v>
      </c>
      <c r="C77" s="151">
        <v>0</v>
      </c>
      <c r="D77" s="151">
        <v>0</v>
      </c>
      <c r="E77" s="151">
        <v>0</v>
      </c>
      <c r="F77" s="151">
        <v>0</v>
      </c>
      <c r="G77" s="1418"/>
    </row>
    <row r="78" spans="1:7" ht="22.5" customHeight="1" x14ac:dyDescent="0.25">
      <c r="A78" s="1420">
        <v>44367</v>
      </c>
      <c r="B78" s="122" t="s">
        <v>17</v>
      </c>
      <c r="C78" s="150">
        <v>1</v>
      </c>
      <c r="D78" s="150">
        <v>1</v>
      </c>
      <c r="E78" s="150">
        <v>1</v>
      </c>
      <c r="F78" s="150">
        <v>1</v>
      </c>
      <c r="G78" s="1418"/>
    </row>
    <row r="79" spans="1:7" ht="22.5" customHeight="1" x14ac:dyDescent="0.25">
      <c r="A79" s="1421"/>
      <c r="B79" s="115" t="s">
        <v>102</v>
      </c>
      <c r="C79" s="151">
        <v>0</v>
      </c>
      <c r="D79" s="151">
        <v>11.92</v>
      </c>
      <c r="E79" s="151">
        <v>24</v>
      </c>
      <c r="F79" s="151">
        <v>0</v>
      </c>
      <c r="G79" s="1418"/>
    </row>
    <row r="80" spans="1:7" ht="22.5" customHeight="1" x14ac:dyDescent="0.25">
      <c r="A80" s="1421"/>
      <c r="B80" s="117" t="s">
        <v>103</v>
      </c>
      <c r="C80" s="151">
        <v>24</v>
      </c>
      <c r="D80" s="151">
        <v>12.08</v>
      </c>
      <c r="E80" s="151">
        <v>0</v>
      </c>
      <c r="F80" s="151">
        <v>24</v>
      </c>
      <c r="G80" s="1418"/>
    </row>
    <row r="81" spans="1:7" ht="22.5" customHeight="1" thickBot="1" x14ac:dyDescent="0.3">
      <c r="A81" s="1422"/>
      <c r="B81" s="119" t="s">
        <v>104</v>
      </c>
      <c r="C81" s="151">
        <v>0</v>
      </c>
      <c r="D81" s="151">
        <v>0</v>
      </c>
      <c r="E81" s="151">
        <v>0</v>
      </c>
      <c r="F81" s="151">
        <v>0</v>
      </c>
      <c r="G81" s="1423"/>
    </row>
    <row r="82" spans="1:7" ht="15.75" x14ac:dyDescent="0.25">
      <c r="A82" s="1420">
        <v>44368</v>
      </c>
      <c r="B82" s="122" t="s">
        <v>17</v>
      </c>
      <c r="C82" s="150">
        <v>1</v>
      </c>
      <c r="D82" s="150">
        <v>1</v>
      </c>
      <c r="E82" s="150">
        <v>1</v>
      </c>
      <c r="F82" s="150">
        <v>1</v>
      </c>
      <c r="G82" s="1430"/>
    </row>
    <row r="83" spans="1:7" x14ac:dyDescent="0.25">
      <c r="A83" s="1421"/>
      <c r="B83" s="115" t="s">
        <v>102</v>
      </c>
      <c r="C83" s="151">
        <v>0</v>
      </c>
      <c r="D83" s="151">
        <v>24</v>
      </c>
      <c r="E83" s="151">
        <v>24</v>
      </c>
      <c r="F83" s="151">
        <v>0</v>
      </c>
      <c r="G83" s="1431"/>
    </row>
    <row r="84" spans="1:7" x14ac:dyDescent="0.25">
      <c r="A84" s="1421"/>
      <c r="B84" s="117" t="s">
        <v>103</v>
      </c>
      <c r="C84" s="151">
        <v>24</v>
      </c>
      <c r="D84" s="151">
        <v>0</v>
      </c>
      <c r="E84" s="151">
        <v>0</v>
      </c>
      <c r="F84" s="151">
        <v>24</v>
      </c>
      <c r="G84" s="1431"/>
    </row>
    <row r="85" spans="1:7" ht="15.75" thickBot="1" x14ac:dyDescent="0.3">
      <c r="A85" s="1422"/>
      <c r="B85" s="119" t="s">
        <v>104</v>
      </c>
      <c r="C85" s="151">
        <v>0</v>
      </c>
      <c r="D85" s="151">
        <v>0</v>
      </c>
      <c r="E85" s="151">
        <v>0</v>
      </c>
      <c r="F85" s="151">
        <v>0</v>
      </c>
      <c r="G85" s="1432"/>
    </row>
    <row r="86" spans="1:7" ht="15.75" x14ac:dyDescent="0.25">
      <c r="A86" s="1420">
        <v>44369</v>
      </c>
      <c r="B86" s="122" t="s">
        <v>17</v>
      </c>
      <c r="C86" s="150">
        <v>1</v>
      </c>
      <c r="D86" s="150">
        <v>1</v>
      </c>
      <c r="E86" s="150">
        <v>1</v>
      </c>
      <c r="F86" s="150">
        <v>1</v>
      </c>
      <c r="G86" s="1430"/>
    </row>
    <row r="87" spans="1:7" x14ac:dyDescent="0.25">
      <c r="A87" s="1421"/>
      <c r="B87" s="115" t="s">
        <v>102</v>
      </c>
      <c r="C87" s="151">
        <v>0</v>
      </c>
      <c r="D87" s="151">
        <v>24</v>
      </c>
      <c r="E87" s="151">
        <v>24</v>
      </c>
      <c r="F87" s="151">
        <v>0</v>
      </c>
      <c r="G87" s="1431"/>
    </row>
    <row r="88" spans="1:7" x14ac:dyDescent="0.25">
      <c r="A88" s="1421"/>
      <c r="B88" s="117" t="s">
        <v>103</v>
      </c>
      <c r="C88" s="151">
        <v>24</v>
      </c>
      <c r="D88" s="151">
        <v>0</v>
      </c>
      <c r="E88" s="151">
        <v>0</v>
      </c>
      <c r="F88" s="151">
        <v>24</v>
      </c>
      <c r="G88" s="1431"/>
    </row>
    <row r="89" spans="1:7" ht="15.75" thickBot="1" x14ac:dyDescent="0.3">
      <c r="A89" s="1422"/>
      <c r="B89" s="119" t="s">
        <v>104</v>
      </c>
      <c r="C89" s="151">
        <v>0</v>
      </c>
      <c r="D89" s="151">
        <v>0</v>
      </c>
      <c r="E89" s="151">
        <v>0</v>
      </c>
      <c r="F89" s="151">
        <v>0</v>
      </c>
      <c r="G89" s="1432"/>
    </row>
    <row r="90" spans="1:7" ht="15.75" x14ac:dyDescent="0.25">
      <c r="A90" s="1420">
        <v>44370</v>
      </c>
      <c r="B90" s="122" t="s">
        <v>17</v>
      </c>
      <c r="C90" s="150">
        <v>1</v>
      </c>
      <c r="D90" s="150">
        <v>1</v>
      </c>
      <c r="E90" s="150">
        <v>1</v>
      </c>
      <c r="F90" s="150">
        <v>1</v>
      </c>
      <c r="G90" s="1430"/>
    </row>
    <row r="91" spans="1:7" x14ac:dyDescent="0.25">
      <c r="A91" s="1421"/>
      <c r="B91" s="115" t="s">
        <v>102</v>
      </c>
      <c r="C91" s="151">
        <v>0</v>
      </c>
      <c r="D91" s="151">
        <v>24</v>
      </c>
      <c r="E91" s="151">
        <v>24</v>
      </c>
      <c r="F91" s="151">
        <v>0</v>
      </c>
      <c r="G91" s="1431"/>
    </row>
    <row r="92" spans="1:7" x14ac:dyDescent="0.25">
      <c r="A92" s="1421"/>
      <c r="B92" s="117" t="s">
        <v>103</v>
      </c>
      <c r="C92" s="151">
        <v>24</v>
      </c>
      <c r="D92" s="151">
        <v>0</v>
      </c>
      <c r="E92" s="151">
        <v>0</v>
      </c>
      <c r="F92" s="151">
        <v>24</v>
      </c>
      <c r="G92" s="1431"/>
    </row>
    <row r="93" spans="1:7" ht="15.75" thickBot="1" x14ac:dyDescent="0.3">
      <c r="A93" s="1422"/>
      <c r="B93" s="119" t="s">
        <v>104</v>
      </c>
      <c r="C93" s="151">
        <v>0</v>
      </c>
      <c r="D93" s="151">
        <v>0</v>
      </c>
      <c r="E93" s="151">
        <v>0</v>
      </c>
      <c r="F93" s="151">
        <v>0</v>
      </c>
      <c r="G93" s="1432"/>
    </row>
    <row r="94" spans="1:7" ht="15.75" x14ac:dyDescent="0.25">
      <c r="A94" s="1420">
        <v>44371</v>
      </c>
      <c r="B94" s="122" t="s">
        <v>17</v>
      </c>
      <c r="C94" s="150">
        <v>1</v>
      </c>
      <c r="D94" s="150">
        <v>1</v>
      </c>
      <c r="E94" s="150">
        <v>1</v>
      </c>
      <c r="F94" s="150">
        <v>1</v>
      </c>
      <c r="G94" s="1417"/>
    </row>
    <row r="95" spans="1:7" x14ac:dyDescent="0.25">
      <c r="A95" s="1421"/>
      <c r="B95" s="115" t="s">
        <v>102</v>
      </c>
      <c r="C95" s="151">
        <v>0</v>
      </c>
      <c r="D95" s="151">
        <v>24</v>
      </c>
      <c r="E95" s="151">
        <v>24</v>
      </c>
      <c r="F95" s="151">
        <v>0</v>
      </c>
      <c r="G95" s="1418"/>
    </row>
    <row r="96" spans="1:7" x14ac:dyDescent="0.25">
      <c r="A96" s="1421"/>
      <c r="B96" s="117" t="s">
        <v>103</v>
      </c>
      <c r="C96" s="151">
        <v>24</v>
      </c>
      <c r="D96" s="151">
        <v>0</v>
      </c>
      <c r="E96" s="151">
        <v>0</v>
      </c>
      <c r="F96" s="151">
        <v>24</v>
      </c>
      <c r="G96" s="1418"/>
    </row>
    <row r="97" spans="1:7" ht="15.75" thickBot="1" x14ac:dyDescent="0.3">
      <c r="A97" s="1422"/>
      <c r="B97" s="119" t="s">
        <v>104</v>
      </c>
      <c r="C97" s="151">
        <v>0</v>
      </c>
      <c r="D97" s="151">
        <v>0</v>
      </c>
      <c r="E97" s="151">
        <v>0</v>
      </c>
      <c r="F97" s="151">
        <v>0</v>
      </c>
      <c r="G97" s="1423"/>
    </row>
    <row r="98" spans="1:7" ht="15.75" x14ac:dyDescent="0.25">
      <c r="A98" s="1420">
        <v>44372</v>
      </c>
      <c r="B98" s="122" t="s">
        <v>17</v>
      </c>
      <c r="C98" s="150">
        <v>1</v>
      </c>
      <c r="D98" s="150">
        <v>1</v>
      </c>
      <c r="E98" s="150">
        <v>1</v>
      </c>
      <c r="F98" s="150">
        <v>1</v>
      </c>
      <c r="G98" s="1417"/>
    </row>
    <row r="99" spans="1:7" x14ac:dyDescent="0.25">
      <c r="A99" s="1421"/>
      <c r="B99" s="115" t="s">
        <v>102</v>
      </c>
      <c r="C99" s="151">
        <v>0</v>
      </c>
      <c r="D99" s="151">
        <v>24</v>
      </c>
      <c r="E99" s="151">
        <v>24</v>
      </c>
      <c r="F99" s="151">
        <v>0</v>
      </c>
      <c r="G99" s="1418"/>
    </row>
    <row r="100" spans="1:7" x14ac:dyDescent="0.25">
      <c r="A100" s="1421"/>
      <c r="B100" s="117" t="s">
        <v>103</v>
      </c>
      <c r="C100" s="151">
        <v>24</v>
      </c>
      <c r="D100" s="151">
        <v>0</v>
      </c>
      <c r="E100" s="151">
        <v>0</v>
      </c>
      <c r="F100" s="151">
        <v>24</v>
      </c>
      <c r="G100" s="1418"/>
    </row>
    <row r="101" spans="1:7" ht="15.75" thickBot="1" x14ac:dyDescent="0.3">
      <c r="A101" s="1422"/>
      <c r="B101" s="119" t="s">
        <v>104</v>
      </c>
      <c r="C101" s="151">
        <v>0</v>
      </c>
      <c r="D101" s="151">
        <v>0</v>
      </c>
      <c r="E101" s="151">
        <v>0</v>
      </c>
      <c r="F101" s="151">
        <v>0</v>
      </c>
      <c r="G101" s="1423"/>
    </row>
    <row r="102" spans="1:7" ht="15.75" x14ac:dyDescent="0.25">
      <c r="A102" s="1420">
        <v>44373</v>
      </c>
      <c r="B102" s="122" t="s">
        <v>17</v>
      </c>
      <c r="C102" s="150">
        <v>1</v>
      </c>
      <c r="D102" s="150">
        <v>1</v>
      </c>
      <c r="E102" s="150">
        <v>1</v>
      </c>
      <c r="F102" s="150">
        <v>1</v>
      </c>
      <c r="G102" s="1417"/>
    </row>
    <row r="103" spans="1:7" x14ac:dyDescent="0.25">
      <c r="A103" s="1421"/>
      <c r="B103" s="117" t="s">
        <v>102</v>
      </c>
      <c r="C103" s="151">
        <v>0</v>
      </c>
      <c r="D103" s="151">
        <v>24</v>
      </c>
      <c r="E103" s="151">
        <v>24</v>
      </c>
      <c r="F103" s="151">
        <v>0</v>
      </c>
      <c r="G103" s="1418"/>
    </row>
    <row r="104" spans="1:7" x14ac:dyDescent="0.25">
      <c r="A104" s="1421"/>
      <c r="B104" s="117" t="s">
        <v>103</v>
      </c>
      <c r="C104" s="151">
        <v>24</v>
      </c>
      <c r="D104" s="151">
        <v>0</v>
      </c>
      <c r="E104" s="151">
        <v>0</v>
      </c>
      <c r="F104" s="151">
        <v>24</v>
      </c>
      <c r="G104" s="1418"/>
    </row>
    <row r="105" spans="1:7" ht="15.75" thickBot="1" x14ac:dyDescent="0.3">
      <c r="A105" s="1422"/>
      <c r="B105" s="119" t="s">
        <v>104</v>
      </c>
      <c r="C105" s="151">
        <v>0</v>
      </c>
      <c r="D105" s="151">
        <v>0</v>
      </c>
      <c r="E105" s="151">
        <v>0</v>
      </c>
      <c r="F105" s="151">
        <v>0</v>
      </c>
      <c r="G105" s="1423"/>
    </row>
    <row r="106" spans="1:7" ht="15.75" x14ac:dyDescent="0.25">
      <c r="A106" s="1420">
        <v>44374</v>
      </c>
      <c r="B106" s="112" t="s">
        <v>17</v>
      </c>
      <c r="C106" s="150">
        <v>1</v>
      </c>
      <c r="D106" s="150">
        <v>1</v>
      </c>
      <c r="E106" s="150">
        <v>1</v>
      </c>
      <c r="F106" s="150">
        <v>1</v>
      </c>
      <c r="G106" s="1417"/>
    </row>
    <row r="107" spans="1:7" x14ac:dyDescent="0.25">
      <c r="A107" s="1421"/>
      <c r="B107" s="117" t="s">
        <v>102</v>
      </c>
      <c r="C107" s="151">
        <v>0</v>
      </c>
      <c r="D107" s="151">
        <v>24</v>
      </c>
      <c r="E107" s="151">
        <v>24</v>
      </c>
      <c r="F107" s="151">
        <v>0</v>
      </c>
      <c r="G107" s="1418"/>
    </row>
    <row r="108" spans="1:7" x14ac:dyDescent="0.25">
      <c r="A108" s="1421"/>
      <c r="B108" s="117" t="s">
        <v>103</v>
      </c>
      <c r="C108" s="151">
        <v>24</v>
      </c>
      <c r="D108" s="151">
        <v>0</v>
      </c>
      <c r="E108" s="151">
        <v>0</v>
      </c>
      <c r="F108" s="151">
        <v>24</v>
      </c>
      <c r="G108" s="1418"/>
    </row>
    <row r="109" spans="1:7" ht="15.75" thickBot="1" x14ac:dyDescent="0.3">
      <c r="A109" s="1422"/>
      <c r="B109" s="119" t="s">
        <v>104</v>
      </c>
      <c r="C109" s="151">
        <v>0</v>
      </c>
      <c r="D109" s="151">
        <v>0</v>
      </c>
      <c r="E109" s="151">
        <v>0</v>
      </c>
      <c r="F109" s="151">
        <v>0</v>
      </c>
      <c r="G109" s="1423"/>
    </row>
    <row r="110" spans="1:7" ht="15.75" x14ac:dyDescent="0.25">
      <c r="A110" s="1420">
        <v>44375</v>
      </c>
      <c r="B110" s="112" t="s">
        <v>17</v>
      </c>
      <c r="C110" s="150">
        <v>1</v>
      </c>
      <c r="D110" s="150">
        <v>1</v>
      </c>
      <c r="E110" s="150">
        <v>1</v>
      </c>
      <c r="F110" s="150">
        <v>1</v>
      </c>
      <c r="G110" s="1417"/>
    </row>
    <row r="111" spans="1:7" x14ac:dyDescent="0.25">
      <c r="A111" s="1421"/>
      <c r="B111" s="117" t="s">
        <v>102</v>
      </c>
      <c r="C111" s="151">
        <v>0</v>
      </c>
      <c r="D111" s="151">
        <v>24</v>
      </c>
      <c r="E111" s="151">
        <v>24</v>
      </c>
      <c r="F111" s="151">
        <v>0</v>
      </c>
      <c r="G111" s="1418"/>
    </row>
    <row r="112" spans="1:7" x14ac:dyDescent="0.25">
      <c r="A112" s="1421"/>
      <c r="B112" s="117" t="s">
        <v>103</v>
      </c>
      <c r="C112" s="151">
        <v>24</v>
      </c>
      <c r="D112" s="151">
        <v>0</v>
      </c>
      <c r="E112" s="151">
        <v>0</v>
      </c>
      <c r="F112" s="151">
        <v>24</v>
      </c>
      <c r="G112" s="1418"/>
    </row>
    <row r="113" spans="1:7" ht="15.75" thickBot="1" x14ac:dyDescent="0.3">
      <c r="A113" s="1422"/>
      <c r="B113" s="119" t="s">
        <v>104</v>
      </c>
      <c r="C113" s="151">
        <v>0</v>
      </c>
      <c r="D113" s="151">
        <v>0</v>
      </c>
      <c r="E113" s="151">
        <v>0</v>
      </c>
      <c r="F113" s="151">
        <v>0</v>
      </c>
      <c r="G113" s="1423"/>
    </row>
    <row r="114" spans="1:7" ht="15.75" x14ac:dyDescent="0.25">
      <c r="A114" s="1420">
        <v>44376</v>
      </c>
      <c r="B114" s="122" t="s">
        <v>17</v>
      </c>
      <c r="C114" s="150">
        <v>1</v>
      </c>
      <c r="D114" s="150">
        <v>1</v>
      </c>
      <c r="E114" s="150">
        <v>1</v>
      </c>
      <c r="F114" s="150">
        <v>1</v>
      </c>
      <c r="G114" s="1417"/>
    </row>
    <row r="115" spans="1:7" x14ac:dyDescent="0.25">
      <c r="A115" s="1421"/>
      <c r="B115" s="117" t="s">
        <v>102</v>
      </c>
      <c r="C115" s="151">
        <v>0</v>
      </c>
      <c r="D115" s="151">
        <v>24</v>
      </c>
      <c r="E115" s="151">
        <v>24</v>
      </c>
      <c r="F115" s="151">
        <v>0</v>
      </c>
      <c r="G115" s="1418"/>
    </row>
    <row r="116" spans="1:7" x14ac:dyDescent="0.25">
      <c r="A116" s="1421"/>
      <c r="B116" s="117" t="s">
        <v>103</v>
      </c>
      <c r="C116" s="151">
        <v>24</v>
      </c>
      <c r="D116" s="151">
        <v>0</v>
      </c>
      <c r="E116" s="151">
        <v>0</v>
      </c>
      <c r="F116" s="151">
        <v>24</v>
      </c>
      <c r="G116" s="1418"/>
    </row>
    <row r="117" spans="1:7" ht="15.75" thickBot="1" x14ac:dyDescent="0.3">
      <c r="A117" s="1422"/>
      <c r="B117" s="119" t="s">
        <v>104</v>
      </c>
      <c r="C117" s="151">
        <v>0</v>
      </c>
      <c r="D117" s="151">
        <v>0</v>
      </c>
      <c r="E117" s="151">
        <v>0</v>
      </c>
      <c r="F117" s="151">
        <v>0</v>
      </c>
      <c r="G117" s="1423"/>
    </row>
    <row r="118" spans="1:7" ht="15.75" x14ac:dyDescent="0.25">
      <c r="A118" s="1420">
        <v>44377</v>
      </c>
      <c r="B118" s="112" t="s">
        <v>17</v>
      </c>
      <c r="C118" s="150">
        <v>1</v>
      </c>
      <c r="D118" s="150">
        <v>1</v>
      </c>
      <c r="E118" s="150">
        <v>1</v>
      </c>
      <c r="F118" s="150">
        <v>1</v>
      </c>
      <c r="G118" s="1417"/>
    </row>
    <row r="119" spans="1:7" x14ac:dyDescent="0.25">
      <c r="A119" s="1421"/>
      <c r="B119" s="117" t="s">
        <v>102</v>
      </c>
      <c r="C119" s="151">
        <v>0</v>
      </c>
      <c r="D119" s="151">
        <v>24</v>
      </c>
      <c r="E119" s="151">
        <v>24</v>
      </c>
      <c r="F119" s="151">
        <v>0</v>
      </c>
      <c r="G119" s="1418"/>
    </row>
    <row r="120" spans="1:7" x14ac:dyDescent="0.25">
      <c r="A120" s="1421"/>
      <c r="B120" s="117" t="s">
        <v>103</v>
      </c>
      <c r="C120" s="151">
        <v>24</v>
      </c>
      <c r="D120" s="151">
        <v>0</v>
      </c>
      <c r="E120" s="151">
        <v>0</v>
      </c>
      <c r="F120" s="151">
        <v>24</v>
      </c>
      <c r="G120" s="1418"/>
    </row>
    <row r="121" spans="1:7" ht="15.75" thickBot="1" x14ac:dyDescent="0.3">
      <c r="A121" s="1422"/>
      <c r="B121" s="119" t="s">
        <v>104</v>
      </c>
      <c r="C121" s="151">
        <v>0</v>
      </c>
      <c r="D121" s="151">
        <v>0</v>
      </c>
      <c r="E121" s="151">
        <v>0</v>
      </c>
      <c r="F121" s="151">
        <v>0</v>
      </c>
      <c r="G121" s="1423"/>
    </row>
    <row r="122" spans="1:7" ht="15.75" x14ac:dyDescent="0.25">
      <c r="A122" s="1420"/>
      <c r="B122" s="112" t="s">
        <v>17</v>
      </c>
      <c r="C122" s="150"/>
      <c r="D122" s="150"/>
      <c r="E122" s="150"/>
      <c r="F122" s="150"/>
      <c r="G122" s="1417"/>
    </row>
    <row r="123" spans="1:7" x14ac:dyDescent="0.25">
      <c r="A123" s="1421"/>
      <c r="B123" s="117" t="s">
        <v>102</v>
      </c>
      <c r="C123" s="151"/>
      <c r="D123" s="151"/>
      <c r="E123" s="151"/>
      <c r="F123" s="151"/>
      <c r="G123" s="1418"/>
    </row>
    <row r="124" spans="1:7" x14ac:dyDescent="0.25">
      <c r="A124" s="1421"/>
      <c r="B124" s="117" t="s">
        <v>103</v>
      </c>
      <c r="C124" s="151"/>
      <c r="D124" s="151"/>
      <c r="E124" s="151"/>
      <c r="F124" s="151"/>
      <c r="G124" s="1418"/>
    </row>
    <row r="125" spans="1:7" ht="15.75" thickBot="1" x14ac:dyDescent="0.3">
      <c r="A125" s="1422"/>
      <c r="B125" s="119" t="s">
        <v>104</v>
      </c>
      <c r="C125" s="151"/>
      <c r="D125" s="151"/>
      <c r="E125" s="151"/>
      <c r="F125" s="151"/>
      <c r="G125" s="1423"/>
    </row>
    <row r="126" spans="1:7" x14ac:dyDescent="0.25">
      <c r="A126" s="130" t="s">
        <v>581</v>
      </c>
      <c r="B126" s="131"/>
      <c r="C126" s="132">
        <f>SUM(C123,C119,C115,C111,C107,C103,C99,C95,C91,C87,C83,C79,C75,C71,C67,C63,G59,C55,C51,C47,C43,C39,C35,C31,C27,C23,C19,C15,C11,C7,C3)</f>
        <v>189.12</v>
      </c>
      <c r="D126" s="132">
        <f>SUM(D123,D119,D115,D111,D107,D103,D99,D95,D91,D87,D83,D79,D75,D71,D67,D63,D59,D55,D51,D47,D43,D39,D35,D31,D27,D23,D19,D15,D11,D7,D3)</f>
        <v>632.54</v>
      </c>
      <c r="E126" s="132">
        <f>SUM(E123,E119,E115,E111,E107,E103,E99,E95,E91,E87,E83,E79,E75,E71,E67,E63,E59,E55,E51,E47,E43,E39,E35,E31,E27,E23,E19,E15,E11,E7,E3)</f>
        <v>720</v>
      </c>
      <c r="F126" s="132">
        <f t="shared" ref="F126" si="0">SUM(F119,F115,F111,F107,F103,F99,F95,F91,F87,F83,F79,F75,F71,F67,F63,J59,F55,F51,F47,F43,F39,F35,F31,F27,F23,F19,F15,F11,F7,F3)</f>
        <v>0</v>
      </c>
      <c r="G126" s="115"/>
    </row>
    <row r="127" spans="1:7" x14ac:dyDescent="0.25">
      <c r="A127" s="1424" t="s">
        <v>582</v>
      </c>
      <c r="B127" s="1425"/>
      <c r="C127" s="135">
        <f>SUM(C124,C120,C116,C112,C108,C104,C100,C96,C92,C88,C84,C80,C76,C72,C68,C64,C60,C56,C52,C48,C44,C40,C36,C32,C28,C24,C20,C16,C12,C8,C4)</f>
        <v>530.88</v>
      </c>
      <c r="D127" s="135">
        <f t="shared" ref="C127:E128" si="1">SUM(D112,D108,D104,D100,D96,D92,D88,D84,D80,D76,D72,D68,D64,D60,D56,D52,D48,D44,D40,D36,D32,D28,D24,D20,D16,D12,D8,D4)</f>
        <v>69.009999999999991</v>
      </c>
      <c r="E127" s="135">
        <f t="shared" si="1"/>
        <v>0</v>
      </c>
      <c r="F127" s="135">
        <f>SUM(F124,F120,F116,F112,F108,F104,F100,F96,F92,F88,F84,F80,F76,F72,F68,F64,F60,F56,F52,F48,F44,F40,F36,F32,F28,F24,F20,F16,F12,F8,F4)</f>
        <v>720</v>
      </c>
      <c r="G127" s="117"/>
    </row>
    <row r="128" spans="1:7" ht="15.75" thickBot="1" x14ac:dyDescent="0.3">
      <c r="A128" s="1426" t="s">
        <v>583</v>
      </c>
      <c r="B128" s="1427"/>
      <c r="C128" s="138">
        <f t="shared" si="1"/>
        <v>0</v>
      </c>
      <c r="D128" s="138">
        <f t="shared" si="1"/>
        <v>18.450000000000003</v>
      </c>
      <c r="E128" s="138">
        <f t="shared" si="1"/>
        <v>0</v>
      </c>
      <c r="F128" s="138">
        <f>SUM(F125,F121,F117,F113,F109,F105,F101,F97,F93,F89,F85,F81,F77,F73,F69,F65,F61,F57,F53,F49,F45,F41,F37,F33,F29,F25,F21,F17,F13,F9,F5)</f>
        <v>0</v>
      </c>
      <c r="G128" s="119"/>
    </row>
    <row r="129" spans="1:7" ht="15.75" thickBot="1" x14ac:dyDescent="0.3">
      <c r="A129" s="1428" t="s">
        <v>108</v>
      </c>
      <c r="B129" s="1429"/>
      <c r="C129" s="256"/>
      <c r="D129" s="256"/>
      <c r="E129" s="256"/>
      <c r="F129" s="256"/>
      <c r="G129" s="141"/>
    </row>
  </sheetData>
  <mergeCells count="62">
    <mergeCell ref="A122:A125"/>
    <mergeCell ref="G122:G125"/>
    <mergeCell ref="A127:B127"/>
    <mergeCell ref="A128:B128"/>
    <mergeCell ref="A129:B129"/>
    <mergeCell ref="A110:A113"/>
    <mergeCell ref="G110:G113"/>
    <mergeCell ref="A114:A117"/>
    <mergeCell ref="G114:G117"/>
    <mergeCell ref="A118:A121"/>
    <mergeCell ref="G118:G121"/>
    <mergeCell ref="A98:A101"/>
    <mergeCell ref="G98:G101"/>
    <mergeCell ref="A102:A105"/>
    <mergeCell ref="G102:G105"/>
    <mergeCell ref="A106:A109"/>
    <mergeCell ref="G106:G109"/>
    <mergeCell ref="A86:A89"/>
    <mergeCell ref="G86:G89"/>
    <mergeCell ref="A90:A93"/>
    <mergeCell ref="G90:G93"/>
    <mergeCell ref="A94:A97"/>
    <mergeCell ref="G94:G97"/>
    <mergeCell ref="A74:A77"/>
    <mergeCell ref="A78:A81"/>
    <mergeCell ref="A82:A85"/>
    <mergeCell ref="G82:G85"/>
    <mergeCell ref="G66:G81"/>
    <mergeCell ref="A62:A65"/>
    <mergeCell ref="G62:G65"/>
    <mergeCell ref="A66:A69"/>
    <mergeCell ref="A70:A73"/>
    <mergeCell ref="A50:A53"/>
    <mergeCell ref="G50:G53"/>
    <mergeCell ref="A54:A57"/>
    <mergeCell ref="G54:G57"/>
    <mergeCell ref="A58:A61"/>
    <mergeCell ref="G58:G61"/>
    <mergeCell ref="A38:A41"/>
    <mergeCell ref="G38:G41"/>
    <mergeCell ref="A42:A45"/>
    <mergeCell ref="G42:G45"/>
    <mergeCell ref="A46:A49"/>
    <mergeCell ref="G46:G49"/>
    <mergeCell ref="A26:A29"/>
    <mergeCell ref="G26:G29"/>
    <mergeCell ref="A30:A33"/>
    <mergeCell ref="G30:G33"/>
    <mergeCell ref="A34:A37"/>
    <mergeCell ref="G34:G37"/>
    <mergeCell ref="A14:A17"/>
    <mergeCell ref="G14:G17"/>
    <mergeCell ref="A18:A21"/>
    <mergeCell ref="G18:G21"/>
    <mergeCell ref="A22:A25"/>
    <mergeCell ref="G22:G25"/>
    <mergeCell ref="A2:A5"/>
    <mergeCell ref="G2:G5"/>
    <mergeCell ref="A6:A9"/>
    <mergeCell ref="G6:G9"/>
    <mergeCell ref="A10:A13"/>
    <mergeCell ref="G10:G1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G129"/>
  <sheetViews>
    <sheetView workbookViewId="0">
      <pane ySplit="1" topLeftCell="A116" activePane="bottomLeft" state="frozen"/>
      <selection pane="bottomLeft" activeCell="C122" sqref="C122:F125"/>
    </sheetView>
  </sheetViews>
  <sheetFormatPr defaultRowHeight="15" x14ac:dyDescent="0.25"/>
  <cols>
    <col min="1" max="1" width="31.28515625" customWidth="1"/>
    <col min="2" max="2" width="26.28515625" customWidth="1"/>
    <col min="3" max="6" width="10.42578125" customWidth="1"/>
    <col min="7" max="7" width="43.7109375" customWidth="1"/>
  </cols>
  <sheetData>
    <row r="1" spans="1:7" ht="16.5" thickBot="1" x14ac:dyDescent="0.3">
      <c r="A1" s="108" t="s">
        <v>98</v>
      </c>
      <c r="B1" s="109" t="s">
        <v>99</v>
      </c>
      <c r="C1" s="173" t="s">
        <v>310</v>
      </c>
      <c r="D1" s="173" t="s">
        <v>239</v>
      </c>
      <c r="E1" s="110" t="s">
        <v>100</v>
      </c>
      <c r="F1" s="173" t="s">
        <v>157</v>
      </c>
      <c r="G1" s="111" t="s">
        <v>101</v>
      </c>
    </row>
    <row r="2" spans="1:7" ht="15.75" x14ac:dyDescent="0.25">
      <c r="A2" s="1420">
        <v>44378</v>
      </c>
      <c r="B2" s="112" t="s">
        <v>17</v>
      </c>
      <c r="C2" s="150">
        <v>1</v>
      </c>
      <c r="D2" s="150">
        <v>1</v>
      </c>
      <c r="E2" s="150">
        <v>1</v>
      </c>
      <c r="F2" s="150">
        <v>1</v>
      </c>
      <c r="G2" s="1417"/>
    </row>
    <row r="3" spans="1:7" x14ac:dyDescent="0.25">
      <c r="A3" s="1421"/>
      <c r="B3" s="115" t="s">
        <v>102</v>
      </c>
      <c r="C3" s="151">
        <v>0</v>
      </c>
      <c r="D3" s="151">
        <v>24</v>
      </c>
      <c r="E3" s="151">
        <v>24</v>
      </c>
      <c r="F3" s="151">
        <v>0</v>
      </c>
      <c r="G3" s="1418"/>
    </row>
    <row r="4" spans="1:7" x14ac:dyDescent="0.25">
      <c r="A4" s="1421"/>
      <c r="B4" s="117" t="s">
        <v>103</v>
      </c>
      <c r="C4" s="151">
        <v>24</v>
      </c>
      <c r="D4" s="151">
        <v>0</v>
      </c>
      <c r="E4" s="151">
        <v>0</v>
      </c>
      <c r="F4" s="151">
        <v>24</v>
      </c>
      <c r="G4" s="1418"/>
    </row>
    <row r="5" spans="1:7" ht="15.75" thickBot="1" x14ac:dyDescent="0.3">
      <c r="A5" s="1422"/>
      <c r="B5" s="119" t="s">
        <v>104</v>
      </c>
      <c r="C5" s="151">
        <v>0</v>
      </c>
      <c r="D5" s="151">
        <v>0</v>
      </c>
      <c r="E5" s="151">
        <v>0</v>
      </c>
      <c r="F5" s="151">
        <v>0</v>
      </c>
      <c r="G5" s="1419"/>
    </row>
    <row r="6" spans="1:7" ht="15.75" x14ac:dyDescent="0.25">
      <c r="A6" s="1420">
        <v>44379</v>
      </c>
      <c r="B6" s="112" t="s">
        <v>17</v>
      </c>
      <c r="C6" s="150">
        <v>1</v>
      </c>
      <c r="D6" s="150">
        <v>1</v>
      </c>
      <c r="E6" s="150">
        <v>1</v>
      </c>
      <c r="F6" s="150">
        <v>1</v>
      </c>
      <c r="G6" s="1417"/>
    </row>
    <row r="7" spans="1:7" x14ac:dyDescent="0.25">
      <c r="A7" s="1421"/>
      <c r="B7" s="115" t="s">
        <v>102</v>
      </c>
      <c r="C7" s="151">
        <v>0</v>
      </c>
      <c r="D7" s="151">
        <v>24</v>
      </c>
      <c r="E7" s="151">
        <v>24</v>
      </c>
      <c r="F7" s="151">
        <v>0</v>
      </c>
      <c r="G7" s="1418"/>
    </row>
    <row r="8" spans="1:7" x14ac:dyDescent="0.25">
      <c r="A8" s="1421"/>
      <c r="B8" s="117" t="s">
        <v>103</v>
      </c>
      <c r="C8" s="151">
        <v>24</v>
      </c>
      <c r="D8" s="151">
        <v>0</v>
      </c>
      <c r="E8" s="151">
        <v>0</v>
      </c>
      <c r="F8" s="151">
        <v>24</v>
      </c>
      <c r="G8" s="1418"/>
    </row>
    <row r="9" spans="1:7" ht="15.75" thickBot="1" x14ac:dyDescent="0.3">
      <c r="A9" s="1422"/>
      <c r="B9" s="119" t="s">
        <v>104</v>
      </c>
      <c r="C9" s="151">
        <v>0</v>
      </c>
      <c r="D9" s="151">
        <v>0</v>
      </c>
      <c r="E9" s="151">
        <v>0</v>
      </c>
      <c r="F9" s="151">
        <v>0</v>
      </c>
      <c r="G9" s="1419"/>
    </row>
    <row r="10" spans="1:7" ht="15.75" x14ac:dyDescent="0.25">
      <c r="A10" s="1420">
        <v>44380</v>
      </c>
      <c r="B10" s="112" t="s">
        <v>17</v>
      </c>
      <c r="C10" s="150">
        <v>1</v>
      </c>
      <c r="D10" s="150">
        <v>1</v>
      </c>
      <c r="E10" s="150">
        <v>1</v>
      </c>
      <c r="F10" s="150">
        <v>1</v>
      </c>
      <c r="G10" s="1417" t="s">
        <v>709</v>
      </c>
    </row>
    <row r="11" spans="1:7" x14ac:dyDescent="0.25">
      <c r="A11" s="1421"/>
      <c r="B11" s="115" t="s">
        <v>102</v>
      </c>
      <c r="C11" s="151">
        <v>16.170000000000002</v>
      </c>
      <c r="D11" s="151">
        <v>24</v>
      </c>
      <c r="E11" s="151">
        <v>24</v>
      </c>
      <c r="F11" s="151">
        <v>0</v>
      </c>
      <c r="G11" s="1418"/>
    </row>
    <row r="12" spans="1:7" x14ac:dyDescent="0.25">
      <c r="A12" s="1421"/>
      <c r="B12" s="117" t="s">
        <v>103</v>
      </c>
      <c r="C12" s="151">
        <v>7.83</v>
      </c>
      <c r="D12" s="151">
        <v>0</v>
      </c>
      <c r="E12" s="151">
        <v>0</v>
      </c>
      <c r="F12" s="151">
        <v>24</v>
      </c>
      <c r="G12" s="1418"/>
    </row>
    <row r="13" spans="1:7" ht="15.75" thickBot="1" x14ac:dyDescent="0.3">
      <c r="A13" s="1422"/>
      <c r="B13" s="119" t="s">
        <v>104</v>
      </c>
      <c r="C13" s="151">
        <v>0</v>
      </c>
      <c r="D13" s="151">
        <v>0</v>
      </c>
      <c r="E13" s="151">
        <v>0</v>
      </c>
      <c r="F13" s="151">
        <v>0</v>
      </c>
      <c r="G13" s="1419"/>
    </row>
    <row r="14" spans="1:7" ht="15.75" x14ac:dyDescent="0.25">
      <c r="A14" s="1420">
        <v>44381</v>
      </c>
      <c r="B14" s="122" t="s">
        <v>17</v>
      </c>
      <c r="C14" s="150">
        <v>1</v>
      </c>
      <c r="D14" s="150">
        <v>1</v>
      </c>
      <c r="E14" s="150">
        <v>1</v>
      </c>
      <c r="F14" s="150">
        <v>1</v>
      </c>
      <c r="G14" s="1417"/>
    </row>
    <row r="15" spans="1:7" x14ac:dyDescent="0.25">
      <c r="A15" s="1421"/>
      <c r="B15" s="115" t="s">
        <v>102</v>
      </c>
      <c r="C15" s="151">
        <v>24</v>
      </c>
      <c r="D15" s="151">
        <v>24</v>
      </c>
      <c r="E15" s="151">
        <v>24</v>
      </c>
      <c r="F15" s="151">
        <v>0</v>
      </c>
      <c r="G15" s="1418"/>
    </row>
    <row r="16" spans="1:7" x14ac:dyDescent="0.25">
      <c r="A16" s="1421"/>
      <c r="B16" s="117" t="s">
        <v>103</v>
      </c>
      <c r="C16" s="151">
        <v>0</v>
      </c>
      <c r="D16" s="151">
        <v>0</v>
      </c>
      <c r="E16" s="151">
        <v>0</v>
      </c>
      <c r="F16" s="151">
        <v>24</v>
      </c>
      <c r="G16" s="1418"/>
    </row>
    <row r="17" spans="1:7" ht="15.75" thickBot="1" x14ac:dyDescent="0.3">
      <c r="A17" s="1422"/>
      <c r="B17" s="119" t="s">
        <v>104</v>
      </c>
      <c r="C17" s="151">
        <v>0</v>
      </c>
      <c r="D17" s="151">
        <v>0</v>
      </c>
      <c r="E17" s="151">
        <v>0</v>
      </c>
      <c r="F17" s="151">
        <v>0</v>
      </c>
      <c r="G17" s="1419"/>
    </row>
    <row r="18" spans="1:7" ht="15.75" x14ac:dyDescent="0.25">
      <c r="A18" s="1420">
        <v>44382</v>
      </c>
      <c r="B18" s="122" t="s">
        <v>17</v>
      </c>
      <c r="C18" s="150">
        <v>1</v>
      </c>
      <c r="D18" s="150">
        <v>1</v>
      </c>
      <c r="E18" s="150">
        <v>1</v>
      </c>
      <c r="F18" s="150">
        <v>1</v>
      </c>
      <c r="G18" s="1417"/>
    </row>
    <row r="19" spans="1:7" x14ac:dyDescent="0.25">
      <c r="A19" s="1421"/>
      <c r="B19" s="115" t="s">
        <v>102</v>
      </c>
      <c r="C19" s="151">
        <v>24</v>
      </c>
      <c r="D19" s="151">
        <v>24</v>
      </c>
      <c r="E19" s="151">
        <v>24</v>
      </c>
      <c r="F19" s="151">
        <v>0</v>
      </c>
      <c r="G19" s="1418"/>
    </row>
    <row r="20" spans="1:7" x14ac:dyDescent="0.25">
      <c r="A20" s="1421"/>
      <c r="B20" s="117" t="s">
        <v>103</v>
      </c>
      <c r="C20" s="151">
        <v>0</v>
      </c>
      <c r="D20" s="151">
        <v>0</v>
      </c>
      <c r="E20" s="151">
        <v>0</v>
      </c>
      <c r="F20" s="151">
        <v>24</v>
      </c>
      <c r="G20" s="1418"/>
    </row>
    <row r="21" spans="1:7" ht="15.75" thickBot="1" x14ac:dyDescent="0.3">
      <c r="A21" s="1422"/>
      <c r="B21" s="119" t="s">
        <v>104</v>
      </c>
      <c r="C21" s="151">
        <v>0</v>
      </c>
      <c r="D21" s="151">
        <v>0</v>
      </c>
      <c r="E21" s="151">
        <v>0</v>
      </c>
      <c r="F21" s="151">
        <v>0</v>
      </c>
      <c r="G21" s="1419"/>
    </row>
    <row r="22" spans="1:7" ht="15.75" x14ac:dyDescent="0.25">
      <c r="A22" s="1420">
        <v>44383</v>
      </c>
      <c r="B22" s="112" t="s">
        <v>17</v>
      </c>
      <c r="C22" s="150">
        <v>1</v>
      </c>
      <c r="D22" s="150">
        <v>1</v>
      </c>
      <c r="E22" s="150">
        <v>1</v>
      </c>
      <c r="F22" s="150">
        <v>1</v>
      </c>
      <c r="G22" s="1417"/>
    </row>
    <row r="23" spans="1:7" x14ac:dyDescent="0.25">
      <c r="A23" s="1421"/>
      <c r="B23" s="125" t="s">
        <v>102</v>
      </c>
      <c r="C23" s="151">
        <v>24</v>
      </c>
      <c r="D23" s="151">
        <v>24</v>
      </c>
      <c r="E23" s="151">
        <v>24</v>
      </c>
      <c r="F23" s="151">
        <v>0</v>
      </c>
      <c r="G23" s="1418"/>
    </row>
    <row r="24" spans="1:7" x14ac:dyDescent="0.25">
      <c r="A24" s="1421"/>
      <c r="B24" s="117" t="s">
        <v>103</v>
      </c>
      <c r="C24" s="151">
        <v>0</v>
      </c>
      <c r="D24" s="151">
        <v>0</v>
      </c>
      <c r="E24" s="151">
        <v>0</v>
      </c>
      <c r="F24" s="151">
        <v>24</v>
      </c>
      <c r="G24" s="1418"/>
    </row>
    <row r="25" spans="1:7" ht="15.75" thickBot="1" x14ac:dyDescent="0.3">
      <c r="A25" s="1422"/>
      <c r="B25" s="119" t="s">
        <v>104</v>
      </c>
      <c r="C25" s="151">
        <v>0</v>
      </c>
      <c r="D25" s="151">
        <v>0</v>
      </c>
      <c r="E25" s="151">
        <v>0</v>
      </c>
      <c r="F25" s="151">
        <v>0</v>
      </c>
      <c r="G25" s="1423"/>
    </row>
    <row r="26" spans="1:7" ht="15.75" x14ac:dyDescent="0.25">
      <c r="A26" s="1420">
        <v>44384</v>
      </c>
      <c r="B26" s="112" t="s">
        <v>17</v>
      </c>
      <c r="C26" s="150">
        <v>1</v>
      </c>
      <c r="D26" s="150">
        <v>1</v>
      </c>
      <c r="E26" s="150">
        <v>1</v>
      </c>
      <c r="F26" s="150">
        <v>1</v>
      </c>
      <c r="G26" s="1417"/>
    </row>
    <row r="27" spans="1:7" x14ac:dyDescent="0.25">
      <c r="A27" s="1421"/>
      <c r="B27" s="115" t="s">
        <v>102</v>
      </c>
      <c r="C27" s="151">
        <v>24</v>
      </c>
      <c r="D27" s="151">
        <v>24</v>
      </c>
      <c r="E27" s="151">
        <v>24</v>
      </c>
      <c r="F27" s="151">
        <v>0</v>
      </c>
      <c r="G27" s="1418"/>
    </row>
    <row r="28" spans="1:7" x14ac:dyDescent="0.25">
      <c r="A28" s="1421"/>
      <c r="B28" s="117" t="s">
        <v>103</v>
      </c>
      <c r="C28" s="151">
        <v>0</v>
      </c>
      <c r="D28" s="151">
        <v>0</v>
      </c>
      <c r="E28" s="151">
        <v>0</v>
      </c>
      <c r="F28" s="151">
        <v>24</v>
      </c>
      <c r="G28" s="1418"/>
    </row>
    <row r="29" spans="1:7" ht="15.75" thickBot="1" x14ac:dyDescent="0.3">
      <c r="A29" s="1422"/>
      <c r="B29" s="119" t="s">
        <v>104</v>
      </c>
      <c r="C29" s="151">
        <v>0</v>
      </c>
      <c r="D29" s="151">
        <v>0</v>
      </c>
      <c r="E29" s="151">
        <v>0</v>
      </c>
      <c r="F29" s="151">
        <v>0</v>
      </c>
      <c r="G29" s="1423"/>
    </row>
    <row r="30" spans="1:7" ht="15.75" x14ac:dyDescent="0.25">
      <c r="A30" s="1420">
        <v>44385</v>
      </c>
      <c r="B30" s="122" t="s">
        <v>17</v>
      </c>
      <c r="C30" s="150">
        <v>1</v>
      </c>
      <c r="D30" s="150">
        <v>1</v>
      </c>
      <c r="E30" s="150">
        <v>1</v>
      </c>
      <c r="F30" s="150">
        <v>1</v>
      </c>
      <c r="G30" s="1417"/>
    </row>
    <row r="31" spans="1:7" x14ac:dyDescent="0.25">
      <c r="A31" s="1421"/>
      <c r="B31" s="125" t="s">
        <v>102</v>
      </c>
      <c r="C31" s="151">
        <v>24</v>
      </c>
      <c r="D31" s="151">
        <v>24</v>
      </c>
      <c r="E31" s="151">
        <v>24</v>
      </c>
      <c r="F31" s="151">
        <v>0</v>
      </c>
      <c r="G31" s="1418"/>
    </row>
    <row r="32" spans="1:7" x14ac:dyDescent="0.25">
      <c r="A32" s="1421"/>
      <c r="B32" s="117" t="s">
        <v>103</v>
      </c>
      <c r="C32" s="151">
        <v>0</v>
      </c>
      <c r="D32" s="151">
        <v>0</v>
      </c>
      <c r="E32" s="151">
        <v>0</v>
      </c>
      <c r="F32" s="151">
        <v>24</v>
      </c>
      <c r="G32" s="1418"/>
    </row>
    <row r="33" spans="1:7" ht="15.75" thickBot="1" x14ac:dyDescent="0.3">
      <c r="A33" s="1422"/>
      <c r="B33" s="119" t="s">
        <v>104</v>
      </c>
      <c r="C33" s="151">
        <v>0</v>
      </c>
      <c r="D33" s="151">
        <v>0</v>
      </c>
      <c r="E33" s="151">
        <v>0</v>
      </c>
      <c r="F33" s="151">
        <v>0</v>
      </c>
      <c r="G33" s="1423"/>
    </row>
    <row r="34" spans="1:7" ht="15.75" x14ac:dyDescent="0.25">
      <c r="A34" s="1420">
        <v>44386</v>
      </c>
      <c r="B34" s="112" t="s">
        <v>17</v>
      </c>
      <c r="C34" s="150">
        <v>1</v>
      </c>
      <c r="D34" s="150">
        <v>1</v>
      </c>
      <c r="E34" s="150">
        <v>1</v>
      </c>
      <c r="F34" s="150">
        <v>1</v>
      </c>
      <c r="G34" s="1417" t="s">
        <v>741</v>
      </c>
    </row>
    <row r="35" spans="1:7" x14ac:dyDescent="0.25">
      <c r="A35" s="1421"/>
      <c r="B35" s="115" t="s">
        <v>102</v>
      </c>
      <c r="C35" s="151">
        <v>1.1399999999999999</v>
      </c>
      <c r="D35" s="151">
        <v>24</v>
      </c>
      <c r="E35" s="151">
        <v>24</v>
      </c>
      <c r="F35" s="151">
        <v>0</v>
      </c>
      <c r="G35" s="1418"/>
    </row>
    <row r="36" spans="1:7" x14ac:dyDescent="0.25">
      <c r="A36" s="1421"/>
      <c r="B36" s="117" t="s">
        <v>103</v>
      </c>
      <c r="C36" s="151">
        <v>22.86</v>
      </c>
      <c r="D36" s="151">
        <v>0</v>
      </c>
      <c r="E36" s="151">
        <v>0</v>
      </c>
      <c r="F36" s="151">
        <v>24</v>
      </c>
      <c r="G36" s="1418"/>
    </row>
    <row r="37" spans="1:7" ht="15.75" thickBot="1" x14ac:dyDescent="0.3">
      <c r="A37" s="1422"/>
      <c r="B37" s="119" t="s">
        <v>104</v>
      </c>
      <c r="C37" s="151">
        <v>0</v>
      </c>
      <c r="D37" s="151">
        <v>0</v>
      </c>
      <c r="E37" s="151">
        <v>0</v>
      </c>
      <c r="F37" s="151">
        <v>0</v>
      </c>
      <c r="G37" s="1423"/>
    </row>
    <row r="38" spans="1:7" ht="15.75" x14ac:dyDescent="0.25">
      <c r="A38" s="1420">
        <v>44387</v>
      </c>
      <c r="B38" s="122" t="s">
        <v>17</v>
      </c>
      <c r="C38" s="150">
        <v>1</v>
      </c>
      <c r="D38" s="150">
        <v>1</v>
      </c>
      <c r="E38" s="150">
        <v>1</v>
      </c>
      <c r="F38" s="150">
        <v>1</v>
      </c>
      <c r="G38" s="1417"/>
    </row>
    <row r="39" spans="1:7" x14ac:dyDescent="0.25">
      <c r="A39" s="1421"/>
      <c r="B39" s="115" t="s">
        <v>102</v>
      </c>
      <c r="C39" s="151">
        <v>0</v>
      </c>
      <c r="D39" s="151">
        <v>24</v>
      </c>
      <c r="E39" s="151">
        <v>24</v>
      </c>
      <c r="F39" s="151">
        <v>0</v>
      </c>
      <c r="G39" s="1418"/>
    </row>
    <row r="40" spans="1:7" x14ac:dyDescent="0.25">
      <c r="A40" s="1421"/>
      <c r="B40" s="117" t="s">
        <v>103</v>
      </c>
      <c r="C40" s="151">
        <v>24</v>
      </c>
      <c r="D40" s="151">
        <v>0</v>
      </c>
      <c r="E40" s="151">
        <v>0</v>
      </c>
      <c r="F40" s="151">
        <v>24</v>
      </c>
      <c r="G40" s="1418"/>
    </row>
    <row r="41" spans="1:7" ht="15.75" thickBot="1" x14ac:dyDescent="0.3">
      <c r="A41" s="1422"/>
      <c r="B41" s="119" t="s">
        <v>104</v>
      </c>
      <c r="C41" s="151">
        <v>0</v>
      </c>
      <c r="D41" s="151">
        <v>0</v>
      </c>
      <c r="E41" s="151">
        <v>0</v>
      </c>
      <c r="F41" s="151">
        <v>0</v>
      </c>
      <c r="G41" s="1423"/>
    </row>
    <row r="42" spans="1:7" ht="15.75" x14ac:dyDescent="0.25">
      <c r="A42" s="1420">
        <v>44388</v>
      </c>
      <c r="B42" s="122" t="s">
        <v>17</v>
      </c>
      <c r="C42" s="150">
        <v>1</v>
      </c>
      <c r="D42" s="150">
        <v>1</v>
      </c>
      <c r="E42" s="150">
        <v>1</v>
      </c>
      <c r="F42" s="150">
        <v>1</v>
      </c>
      <c r="G42" s="1417" t="s">
        <v>746</v>
      </c>
    </row>
    <row r="43" spans="1:7" x14ac:dyDescent="0.25">
      <c r="A43" s="1421"/>
      <c r="B43" s="115" t="s">
        <v>102</v>
      </c>
      <c r="C43" s="151">
        <v>14</v>
      </c>
      <c r="D43" s="151">
        <v>24</v>
      </c>
      <c r="E43" s="151">
        <v>24</v>
      </c>
      <c r="F43" s="151">
        <v>0</v>
      </c>
      <c r="G43" s="1418"/>
    </row>
    <row r="44" spans="1:7" x14ac:dyDescent="0.25">
      <c r="A44" s="1421"/>
      <c r="B44" s="117" t="s">
        <v>103</v>
      </c>
      <c r="C44" s="151">
        <v>10</v>
      </c>
      <c r="D44" s="151">
        <v>0</v>
      </c>
      <c r="E44" s="151">
        <v>0</v>
      </c>
      <c r="F44" s="151">
        <v>24</v>
      </c>
      <c r="G44" s="1418"/>
    </row>
    <row r="45" spans="1:7" ht="15.75" thickBot="1" x14ac:dyDescent="0.3">
      <c r="A45" s="1422"/>
      <c r="B45" s="119" t="s">
        <v>104</v>
      </c>
      <c r="C45" s="151">
        <v>0</v>
      </c>
      <c r="D45" s="151">
        <v>0</v>
      </c>
      <c r="E45" s="151">
        <v>0</v>
      </c>
      <c r="F45" s="151">
        <v>0</v>
      </c>
      <c r="G45" s="1423"/>
    </row>
    <row r="46" spans="1:7" ht="15.75" x14ac:dyDescent="0.25">
      <c r="A46" s="1420">
        <v>44389</v>
      </c>
      <c r="B46" s="122" t="s">
        <v>17</v>
      </c>
      <c r="C46" s="150">
        <v>1</v>
      </c>
      <c r="D46" s="150">
        <v>1</v>
      </c>
      <c r="E46" s="150">
        <v>1</v>
      </c>
      <c r="F46" s="150">
        <v>1</v>
      </c>
      <c r="G46" s="1430"/>
    </row>
    <row r="47" spans="1:7" x14ac:dyDescent="0.25">
      <c r="A47" s="1421"/>
      <c r="B47" s="115" t="s">
        <v>102</v>
      </c>
      <c r="C47" s="151">
        <v>24</v>
      </c>
      <c r="D47" s="151">
        <v>24</v>
      </c>
      <c r="E47" s="151">
        <v>24</v>
      </c>
      <c r="F47" s="151">
        <v>0</v>
      </c>
      <c r="G47" s="1418"/>
    </row>
    <row r="48" spans="1:7" x14ac:dyDescent="0.25">
      <c r="A48" s="1421"/>
      <c r="B48" s="117" t="s">
        <v>103</v>
      </c>
      <c r="C48" s="151">
        <v>0</v>
      </c>
      <c r="D48" s="151">
        <v>0</v>
      </c>
      <c r="E48" s="151">
        <v>0</v>
      </c>
      <c r="F48" s="151">
        <v>24</v>
      </c>
      <c r="G48" s="1418"/>
    </row>
    <row r="49" spans="1:7" ht="15.75" thickBot="1" x14ac:dyDescent="0.3">
      <c r="A49" s="1422"/>
      <c r="B49" s="119" t="s">
        <v>104</v>
      </c>
      <c r="C49" s="151">
        <v>0</v>
      </c>
      <c r="D49" s="151">
        <v>0</v>
      </c>
      <c r="E49" s="151">
        <v>0</v>
      </c>
      <c r="F49" s="151">
        <v>0</v>
      </c>
      <c r="G49" s="1423"/>
    </row>
    <row r="50" spans="1:7" ht="15.75" x14ac:dyDescent="0.25">
      <c r="A50" s="1420">
        <v>44390</v>
      </c>
      <c r="B50" s="122" t="s">
        <v>17</v>
      </c>
      <c r="C50" s="150">
        <v>1</v>
      </c>
      <c r="D50" s="150">
        <v>1</v>
      </c>
      <c r="E50" s="150">
        <v>1</v>
      </c>
      <c r="F50" s="150">
        <v>1</v>
      </c>
      <c r="G50" s="1417"/>
    </row>
    <row r="51" spans="1:7" x14ac:dyDescent="0.25">
      <c r="A51" s="1421"/>
      <c r="B51" s="115" t="s">
        <v>102</v>
      </c>
      <c r="C51" s="151">
        <v>24</v>
      </c>
      <c r="D51" s="151">
        <v>24</v>
      </c>
      <c r="E51" s="151">
        <v>24</v>
      </c>
      <c r="F51" s="151">
        <v>0</v>
      </c>
      <c r="G51" s="1418"/>
    </row>
    <row r="52" spans="1:7" x14ac:dyDescent="0.25">
      <c r="A52" s="1421"/>
      <c r="B52" s="117" t="s">
        <v>103</v>
      </c>
      <c r="C52" s="151">
        <v>0</v>
      </c>
      <c r="D52" s="151">
        <v>0</v>
      </c>
      <c r="E52" s="151">
        <v>0</v>
      </c>
      <c r="F52" s="151">
        <v>24</v>
      </c>
      <c r="G52" s="1418"/>
    </row>
    <row r="53" spans="1:7" ht="15.75" thickBot="1" x14ac:dyDescent="0.3">
      <c r="A53" s="1422"/>
      <c r="B53" s="119" t="s">
        <v>104</v>
      </c>
      <c r="C53" s="151">
        <v>0</v>
      </c>
      <c r="D53" s="151">
        <v>0</v>
      </c>
      <c r="E53" s="151">
        <v>0</v>
      </c>
      <c r="F53" s="151">
        <v>0</v>
      </c>
      <c r="G53" s="1423"/>
    </row>
    <row r="54" spans="1:7" ht="15.75" x14ac:dyDescent="0.25">
      <c r="A54" s="1420">
        <v>44391</v>
      </c>
      <c r="B54" s="122" t="s">
        <v>17</v>
      </c>
      <c r="C54" s="150">
        <v>1</v>
      </c>
      <c r="D54" s="150">
        <v>1</v>
      </c>
      <c r="E54" s="150">
        <v>1</v>
      </c>
      <c r="F54" s="150">
        <v>1</v>
      </c>
      <c r="G54" s="1417"/>
    </row>
    <row r="55" spans="1:7" x14ac:dyDescent="0.25">
      <c r="A55" s="1421"/>
      <c r="B55" s="115" t="s">
        <v>102</v>
      </c>
      <c r="C55" s="151">
        <v>24</v>
      </c>
      <c r="D55" s="151">
        <v>24</v>
      </c>
      <c r="E55" s="151">
        <v>24</v>
      </c>
      <c r="F55" s="151">
        <v>0</v>
      </c>
      <c r="G55" s="1418"/>
    </row>
    <row r="56" spans="1:7" x14ac:dyDescent="0.25">
      <c r="A56" s="1421"/>
      <c r="B56" s="117" t="s">
        <v>103</v>
      </c>
      <c r="C56" s="151">
        <v>0</v>
      </c>
      <c r="D56" s="151">
        <v>0</v>
      </c>
      <c r="E56" s="151">
        <v>0</v>
      </c>
      <c r="F56" s="151">
        <v>24</v>
      </c>
      <c r="G56" s="1418"/>
    </row>
    <row r="57" spans="1:7" ht="15.75" thickBot="1" x14ac:dyDescent="0.3">
      <c r="A57" s="1422"/>
      <c r="B57" s="119" t="s">
        <v>104</v>
      </c>
      <c r="C57" s="151">
        <v>0</v>
      </c>
      <c r="D57" s="151">
        <v>0</v>
      </c>
      <c r="E57" s="151">
        <v>0</v>
      </c>
      <c r="F57" s="151">
        <v>0</v>
      </c>
      <c r="G57" s="1423"/>
    </row>
    <row r="58" spans="1:7" ht="15.75" x14ac:dyDescent="0.25">
      <c r="A58" s="1420">
        <v>44392</v>
      </c>
      <c r="B58" s="112" t="s">
        <v>17</v>
      </c>
      <c r="C58" s="150">
        <v>1</v>
      </c>
      <c r="D58" s="150">
        <v>1</v>
      </c>
      <c r="E58" s="150">
        <v>1</v>
      </c>
      <c r="F58" s="150">
        <v>1</v>
      </c>
      <c r="G58" s="1430"/>
    </row>
    <row r="59" spans="1:7" x14ac:dyDescent="0.25">
      <c r="A59" s="1421"/>
      <c r="B59" s="115" t="s">
        <v>102</v>
      </c>
      <c r="C59" s="151">
        <v>24</v>
      </c>
      <c r="D59" s="151">
        <v>24</v>
      </c>
      <c r="E59" s="151">
        <v>24</v>
      </c>
      <c r="F59" s="151">
        <v>0</v>
      </c>
      <c r="G59" s="1418"/>
    </row>
    <row r="60" spans="1:7" x14ac:dyDescent="0.25">
      <c r="A60" s="1421"/>
      <c r="B60" s="117" t="s">
        <v>103</v>
      </c>
      <c r="C60" s="151">
        <v>0</v>
      </c>
      <c r="D60" s="151">
        <v>0</v>
      </c>
      <c r="E60" s="151">
        <v>0</v>
      </c>
      <c r="F60" s="151">
        <v>24</v>
      </c>
      <c r="G60" s="1418"/>
    </row>
    <row r="61" spans="1:7" ht="15.75" thickBot="1" x14ac:dyDescent="0.3">
      <c r="A61" s="1422"/>
      <c r="B61" s="119" t="s">
        <v>104</v>
      </c>
      <c r="C61" s="151">
        <v>0</v>
      </c>
      <c r="D61" s="151">
        <v>0</v>
      </c>
      <c r="E61" s="151">
        <v>0</v>
      </c>
      <c r="F61" s="151">
        <v>0</v>
      </c>
      <c r="G61" s="1423"/>
    </row>
    <row r="62" spans="1:7" ht="15.75" x14ac:dyDescent="0.25">
      <c r="A62" s="1420">
        <v>44393</v>
      </c>
      <c r="B62" s="122" t="s">
        <v>17</v>
      </c>
      <c r="C62" s="150">
        <v>1</v>
      </c>
      <c r="D62" s="150">
        <v>1</v>
      </c>
      <c r="E62" s="150">
        <v>1</v>
      </c>
      <c r="F62" s="150">
        <v>1</v>
      </c>
      <c r="G62" s="1430" t="s">
        <v>772</v>
      </c>
    </row>
    <row r="63" spans="1:7" x14ac:dyDescent="0.25">
      <c r="A63" s="1421"/>
      <c r="B63" s="115" t="s">
        <v>102</v>
      </c>
      <c r="C63" s="151">
        <v>15.7</v>
      </c>
      <c r="D63" s="151">
        <v>24</v>
      </c>
      <c r="E63" s="151">
        <v>24</v>
      </c>
      <c r="F63" s="151">
        <v>0</v>
      </c>
      <c r="G63" s="1418"/>
    </row>
    <row r="64" spans="1:7" x14ac:dyDescent="0.25">
      <c r="A64" s="1421"/>
      <c r="B64" s="117" t="s">
        <v>103</v>
      </c>
      <c r="C64" s="151">
        <v>8.3000000000000007</v>
      </c>
      <c r="D64" s="151">
        <v>0</v>
      </c>
      <c r="E64" s="151">
        <v>0</v>
      </c>
      <c r="F64" s="151">
        <v>24</v>
      </c>
      <c r="G64" s="1418"/>
    </row>
    <row r="65" spans="1:7" ht="15.75" thickBot="1" x14ac:dyDescent="0.3">
      <c r="A65" s="1422"/>
      <c r="B65" s="119" t="s">
        <v>104</v>
      </c>
      <c r="C65" s="151">
        <v>0</v>
      </c>
      <c r="D65" s="151">
        <v>0</v>
      </c>
      <c r="E65" s="151">
        <v>0</v>
      </c>
      <c r="F65" s="151">
        <v>0</v>
      </c>
      <c r="G65" s="1423"/>
    </row>
    <row r="66" spans="1:7" ht="22.5" customHeight="1" x14ac:dyDescent="0.25">
      <c r="A66" s="1420">
        <v>44394</v>
      </c>
      <c r="B66" s="112" t="s">
        <v>17</v>
      </c>
      <c r="C66" s="150">
        <v>1</v>
      </c>
      <c r="D66" s="150">
        <v>1</v>
      </c>
      <c r="E66" s="150">
        <v>1</v>
      </c>
      <c r="F66" s="150">
        <v>1</v>
      </c>
      <c r="G66" s="1417" t="s">
        <v>784</v>
      </c>
    </row>
    <row r="67" spans="1:7" ht="22.5" customHeight="1" x14ac:dyDescent="0.25">
      <c r="A67" s="1421"/>
      <c r="B67" s="115" t="s">
        <v>102</v>
      </c>
      <c r="C67" s="151">
        <v>0</v>
      </c>
      <c r="D67" s="151">
        <v>23.13</v>
      </c>
      <c r="E67" s="151">
        <v>23.22</v>
      </c>
      <c r="F67" s="151">
        <v>0</v>
      </c>
      <c r="G67" s="1418"/>
    </row>
    <row r="68" spans="1:7" ht="22.5" customHeight="1" x14ac:dyDescent="0.25">
      <c r="A68" s="1421"/>
      <c r="B68" s="117" t="s">
        <v>103</v>
      </c>
      <c r="C68" s="151">
        <v>24</v>
      </c>
      <c r="D68" s="151">
        <v>0.87</v>
      </c>
      <c r="E68" s="151">
        <v>0.78</v>
      </c>
      <c r="F68" s="151">
        <v>24</v>
      </c>
      <c r="G68" s="1418"/>
    </row>
    <row r="69" spans="1:7" ht="22.5" customHeight="1" thickBot="1" x14ac:dyDescent="0.3">
      <c r="A69" s="1422"/>
      <c r="B69" s="119" t="s">
        <v>104</v>
      </c>
      <c r="C69" s="260">
        <v>0</v>
      </c>
      <c r="D69" s="260">
        <v>0</v>
      </c>
      <c r="E69" s="260">
        <v>0</v>
      </c>
      <c r="F69" s="260">
        <v>0</v>
      </c>
      <c r="G69" s="1423"/>
    </row>
    <row r="70" spans="1:7" ht="34.5" customHeight="1" x14ac:dyDescent="0.25">
      <c r="A70" s="1420">
        <v>44395</v>
      </c>
      <c r="B70" s="122" t="s">
        <v>17</v>
      </c>
      <c r="C70" s="150">
        <v>1</v>
      </c>
      <c r="D70" s="174">
        <v>1</v>
      </c>
      <c r="E70" s="150">
        <v>1</v>
      </c>
      <c r="F70" s="150">
        <v>1</v>
      </c>
      <c r="G70" s="1417" t="s">
        <v>785</v>
      </c>
    </row>
    <row r="71" spans="1:7" ht="34.5" customHeight="1" x14ac:dyDescent="0.25">
      <c r="A71" s="1421"/>
      <c r="B71" s="115" t="s">
        <v>102</v>
      </c>
      <c r="C71" s="151">
        <v>0</v>
      </c>
      <c r="D71" s="151">
        <v>23.12</v>
      </c>
      <c r="E71" s="151">
        <v>24</v>
      </c>
      <c r="F71" s="151">
        <v>0</v>
      </c>
      <c r="G71" s="1418"/>
    </row>
    <row r="72" spans="1:7" ht="34.5" customHeight="1" x14ac:dyDescent="0.25">
      <c r="A72" s="1421"/>
      <c r="B72" s="117" t="s">
        <v>103</v>
      </c>
      <c r="C72" s="151">
        <v>24</v>
      </c>
      <c r="D72" s="151">
        <v>0.88</v>
      </c>
      <c r="E72" s="151">
        <v>0</v>
      </c>
      <c r="F72" s="151">
        <v>24</v>
      </c>
      <c r="G72" s="1418"/>
    </row>
    <row r="73" spans="1:7" ht="34.5" customHeight="1" thickBot="1" x14ac:dyDescent="0.3">
      <c r="A73" s="1422"/>
      <c r="B73" s="119" t="s">
        <v>104</v>
      </c>
      <c r="C73" s="260">
        <v>0</v>
      </c>
      <c r="D73" s="151">
        <v>0</v>
      </c>
      <c r="E73" s="151">
        <v>0</v>
      </c>
      <c r="F73" s="260">
        <v>0</v>
      </c>
      <c r="G73" s="1423"/>
    </row>
    <row r="74" spans="1:7" ht="22.5" customHeight="1" x14ac:dyDescent="0.25">
      <c r="A74" s="1420">
        <v>44396</v>
      </c>
      <c r="B74" s="122" t="s">
        <v>17</v>
      </c>
      <c r="C74" s="150">
        <v>1</v>
      </c>
      <c r="D74" s="150">
        <v>1</v>
      </c>
      <c r="E74" s="150">
        <v>1</v>
      </c>
      <c r="F74" s="150">
        <v>1</v>
      </c>
      <c r="G74" s="1417"/>
    </row>
    <row r="75" spans="1:7" ht="22.5" customHeight="1" x14ac:dyDescent="0.25">
      <c r="A75" s="1421"/>
      <c r="B75" s="115" t="s">
        <v>102</v>
      </c>
      <c r="C75" s="151">
        <v>0</v>
      </c>
      <c r="D75" s="151">
        <v>24</v>
      </c>
      <c r="E75" s="151">
        <v>24</v>
      </c>
      <c r="F75" s="151">
        <v>0</v>
      </c>
      <c r="G75" s="1418"/>
    </row>
    <row r="76" spans="1:7" ht="22.5" customHeight="1" x14ac:dyDescent="0.25">
      <c r="A76" s="1421"/>
      <c r="B76" s="117" t="s">
        <v>103</v>
      </c>
      <c r="C76" s="151">
        <v>24</v>
      </c>
      <c r="D76" s="151">
        <v>0</v>
      </c>
      <c r="E76" s="151">
        <v>0</v>
      </c>
      <c r="F76" s="151">
        <v>24</v>
      </c>
      <c r="G76" s="1418"/>
    </row>
    <row r="77" spans="1:7" ht="22.5" customHeight="1" thickBot="1" x14ac:dyDescent="0.3">
      <c r="A77" s="1422"/>
      <c r="B77" s="119" t="s">
        <v>104</v>
      </c>
      <c r="C77" s="260">
        <v>0</v>
      </c>
      <c r="D77" s="151">
        <v>0</v>
      </c>
      <c r="E77" s="151">
        <v>0</v>
      </c>
      <c r="F77" s="260">
        <v>0</v>
      </c>
      <c r="G77" s="1423"/>
    </row>
    <row r="78" spans="1:7" ht="22.5" customHeight="1" x14ac:dyDescent="0.25">
      <c r="A78" s="1420">
        <v>44397</v>
      </c>
      <c r="B78" s="122" t="s">
        <v>17</v>
      </c>
      <c r="C78" s="150">
        <v>1</v>
      </c>
      <c r="D78" s="150">
        <v>1</v>
      </c>
      <c r="E78" s="150">
        <v>1</v>
      </c>
      <c r="F78" s="150">
        <v>1</v>
      </c>
      <c r="G78" s="258"/>
    </row>
    <row r="79" spans="1:7" ht="22.5" customHeight="1" x14ac:dyDescent="0.25">
      <c r="A79" s="1421"/>
      <c r="B79" s="115" t="s">
        <v>102</v>
      </c>
      <c r="C79" s="151">
        <v>0</v>
      </c>
      <c r="D79" s="151">
        <v>24</v>
      </c>
      <c r="E79" s="151">
        <v>24</v>
      </c>
      <c r="F79" s="151">
        <v>0</v>
      </c>
      <c r="G79" s="258"/>
    </row>
    <row r="80" spans="1:7" ht="22.5" customHeight="1" x14ac:dyDescent="0.25">
      <c r="A80" s="1421"/>
      <c r="B80" s="117" t="s">
        <v>103</v>
      </c>
      <c r="C80" s="151">
        <v>24</v>
      </c>
      <c r="D80" s="151">
        <v>0</v>
      </c>
      <c r="E80" s="151">
        <v>0</v>
      </c>
      <c r="F80" s="151">
        <v>24</v>
      </c>
      <c r="G80" s="258"/>
    </row>
    <row r="81" spans="1:7" ht="22.5" customHeight="1" thickBot="1" x14ac:dyDescent="0.3">
      <c r="A81" s="1422"/>
      <c r="B81" s="119" t="s">
        <v>104</v>
      </c>
      <c r="C81" s="260">
        <v>0</v>
      </c>
      <c r="D81" s="151">
        <v>0</v>
      </c>
      <c r="E81" s="151">
        <v>0</v>
      </c>
      <c r="F81" s="260">
        <v>0</v>
      </c>
      <c r="G81" s="259"/>
    </row>
    <row r="82" spans="1:7" ht="15.75" x14ac:dyDescent="0.25">
      <c r="A82" s="1420">
        <v>44398</v>
      </c>
      <c r="B82" s="122" t="s">
        <v>17</v>
      </c>
      <c r="C82" s="150">
        <v>1</v>
      </c>
      <c r="D82" s="150">
        <v>1</v>
      </c>
      <c r="E82" s="150">
        <v>1</v>
      </c>
      <c r="F82" s="150">
        <v>1</v>
      </c>
      <c r="G82" s="1430" t="s">
        <v>836</v>
      </c>
    </row>
    <row r="83" spans="1:7" x14ac:dyDescent="0.25">
      <c r="A83" s="1421"/>
      <c r="B83" s="115" t="s">
        <v>102</v>
      </c>
      <c r="C83" s="151">
        <v>0</v>
      </c>
      <c r="D83" s="151">
        <v>19.940000000000001</v>
      </c>
      <c r="E83" s="151">
        <v>24</v>
      </c>
      <c r="F83" s="151">
        <v>0</v>
      </c>
      <c r="G83" s="1431"/>
    </row>
    <row r="84" spans="1:7" x14ac:dyDescent="0.25">
      <c r="A84" s="1421"/>
      <c r="B84" s="117" t="s">
        <v>103</v>
      </c>
      <c r="C84" s="151">
        <v>24</v>
      </c>
      <c r="D84" s="151">
        <v>4.0599999999999996</v>
      </c>
      <c r="E84" s="151">
        <v>0</v>
      </c>
      <c r="F84" s="151">
        <v>24</v>
      </c>
      <c r="G84" s="1431"/>
    </row>
    <row r="85" spans="1:7" ht="15.75" thickBot="1" x14ac:dyDescent="0.3">
      <c r="A85" s="1422"/>
      <c r="B85" s="119" t="s">
        <v>104</v>
      </c>
      <c r="C85" s="260">
        <v>0</v>
      </c>
      <c r="D85" s="151">
        <v>0</v>
      </c>
      <c r="E85" s="151">
        <v>0</v>
      </c>
      <c r="F85" s="260">
        <v>0</v>
      </c>
      <c r="G85" s="1432"/>
    </row>
    <row r="86" spans="1:7" ht="15.75" x14ac:dyDescent="0.25">
      <c r="A86" s="1420">
        <v>44399</v>
      </c>
      <c r="B86" s="122" t="s">
        <v>17</v>
      </c>
      <c r="C86" s="150">
        <v>1</v>
      </c>
      <c r="D86" s="150">
        <v>1</v>
      </c>
      <c r="E86" s="150">
        <v>1</v>
      </c>
      <c r="F86" s="150">
        <v>1</v>
      </c>
      <c r="G86" s="1430" t="s">
        <v>837</v>
      </c>
    </row>
    <row r="87" spans="1:7" x14ac:dyDescent="0.25">
      <c r="A87" s="1421"/>
      <c r="B87" s="115" t="s">
        <v>102</v>
      </c>
      <c r="C87" s="151">
        <v>0</v>
      </c>
      <c r="D87" s="151">
        <v>17.399999999999999</v>
      </c>
      <c r="E87" s="151">
        <v>24</v>
      </c>
      <c r="F87" s="151">
        <v>0</v>
      </c>
      <c r="G87" s="1431"/>
    </row>
    <row r="88" spans="1:7" x14ac:dyDescent="0.25">
      <c r="A88" s="1421"/>
      <c r="B88" s="117" t="s">
        <v>103</v>
      </c>
      <c r="C88" s="151">
        <v>24</v>
      </c>
      <c r="D88" s="151">
        <v>6.6</v>
      </c>
      <c r="E88" s="151">
        <v>0</v>
      </c>
      <c r="F88" s="151">
        <v>24</v>
      </c>
      <c r="G88" s="1431"/>
    </row>
    <row r="89" spans="1:7" ht="15.75" thickBot="1" x14ac:dyDescent="0.3">
      <c r="A89" s="1422"/>
      <c r="B89" s="119" t="s">
        <v>104</v>
      </c>
      <c r="C89" s="260">
        <v>0</v>
      </c>
      <c r="D89" s="151">
        <v>0</v>
      </c>
      <c r="E89" s="151">
        <v>0</v>
      </c>
      <c r="F89" s="260">
        <v>0</v>
      </c>
      <c r="G89" s="1432"/>
    </row>
    <row r="90" spans="1:7" ht="15.75" x14ac:dyDescent="0.25">
      <c r="A90" s="1420">
        <v>44400</v>
      </c>
      <c r="B90" s="122" t="s">
        <v>17</v>
      </c>
      <c r="C90" s="150">
        <v>1</v>
      </c>
      <c r="D90" s="150">
        <v>1</v>
      </c>
      <c r="E90" s="150">
        <v>1</v>
      </c>
      <c r="F90" s="150">
        <v>1</v>
      </c>
      <c r="G90" s="1430" t="s">
        <v>838</v>
      </c>
    </row>
    <row r="91" spans="1:7" x14ac:dyDescent="0.25">
      <c r="A91" s="1421"/>
      <c r="B91" s="115" t="s">
        <v>102</v>
      </c>
      <c r="C91" s="151">
        <v>0</v>
      </c>
      <c r="D91" s="151">
        <v>21.1</v>
      </c>
      <c r="E91" s="151">
        <v>24</v>
      </c>
      <c r="F91" s="151">
        <v>0</v>
      </c>
      <c r="G91" s="1431"/>
    </row>
    <row r="92" spans="1:7" x14ac:dyDescent="0.25">
      <c r="A92" s="1421"/>
      <c r="B92" s="117" t="s">
        <v>103</v>
      </c>
      <c r="C92" s="151">
        <v>24</v>
      </c>
      <c r="D92" s="151">
        <v>2.9</v>
      </c>
      <c r="E92" s="151">
        <v>0</v>
      </c>
      <c r="F92" s="151">
        <v>24</v>
      </c>
      <c r="G92" s="1431"/>
    </row>
    <row r="93" spans="1:7" ht="15.75" thickBot="1" x14ac:dyDescent="0.3">
      <c r="A93" s="1422"/>
      <c r="B93" s="119" t="s">
        <v>104</v>
      </c>
      <c r="C93" s="260">
        <v>0</v>
      </c>
      <c r="D93" s="151">
        <v>0</v>
      </c>
      <c r="E93" s="151">
        <v>0</v>
      </c>
      <c r="F93" s="260">
        <v>0</v>
      </c>
      <c r="G93" s="1432"/>
    </row>
    <row r="94" spans="1:7" ht="15.75" x14ac:dyDescent="0.25">
      <c r="A94" s="1420">
        <v>44401</v>
      </c>
      <c r="B94" s="122" t="s">
        <v>17</v>
      </c>
      <c r="C94" s="150">
        <v>1</v>
      </c>
      <c r="D94" s="150">
        <v>1</v>
      </c>
      <c r="E94" s="150">
        <v>1</v>
      </c>
      <c r="F94" s="150">
        <v>1</v>
      </c>
      <c r="G94" s="1417" t="s">
        <v>840</v>
      </c>
    </row>
    <row r="95" spans="1:7" x14ac:dyDescent="0.25">
      <c r="A95" s="1421"/>
      <c r="B95" s="115" t="s">
        <v>102</v>
      </c>
      <c r="C95" s="151">
        <v>17.670000000000002</v>
      </c>
      <c r="D95" s="151">
        <v>24</v>
      </c>
      <c r="E95" s="151">
        <v>24</v>
      </c>
      <c r="F95" s="151">
        <v>0</v>
      </c>
      <c r="G95" s="1418"/>
    </row>
    <row r="96" spans="1:7" x14ac:dyDescent="0.25">
      <c r="A96" s="1421"/>
      <c r="B96" s="117" t="s">
        <v>103</v>
      </c>
      <c r="C96" s="151">
        <v>6.33</v>
      </c>
      <c r="D96" s="151">
        <v>0</v>
      </c>
      <c r="E96" s="151">
        <v>0</v>
      </c>
      <c r="F96" s="151">
        <v>24</v>
      </c>
      <c r="G96" s="1418"/>
    </row>
    <row r="97" spans="1:7" ht="15.75" thickBot="1" x14ac:dyDescent="0.3">
      <c r="A97" s="1422"/>
      <c r="B97" s="119" t="s">
        <v>104</v>
      </c>
      <c r="C97" s="151">
        <v>0</v>
      </c>
      <c r="D97" s="151">
        <v>0</v>
      </c>
      <c r="E97" s="151">
        <v>0</v>
      </c>
      <c r="F97" s="260">
        <v>0</v>
      </c>
      <c r="G97" s="1423"/>
    </row>
    <row r="98" spans="1:7" ht="15.75" x14ac:dyDescent="0.25">
      <c r="A98" s="1420">
        <v>44402</v>
      </c>
      <c r="B98" s="122" t="s">
        <v>17</v>
      </c>
      <c r="C98" s="150">
        <v>1</v>
      </c>
      <c r="D98" s="150">
        <v>1</v>
      </c>
      <c r="E98" s="150">
        <v>1</v>
      </c>
      <c r="F98" s="150">
        <v>1</v>
      </c>
      <c r="G98" s="1417"/>
    </row>
    <row r="99" spans="1:7" x14ac:dyDescent="0.25">
      <c r="A99" s="1421"/>
      <c r="B99" s="115" t="s">
        <v>102</v>
      </c>
      <c r="C99" s="151">
        <v>24</v>
      </c>
      <c r="D99" s="151">
        <v>24</v>
      </c>
      <c r="E99" s="151">
        <v>24</v>
      </c>
      <c r="F99" s="151">
        <v>0</v>
      </c>
      <c r="G99" s="1418"/>
    </row>
    <row r="100" spans="1:7" x14ac:dyDescent="0.25">
      <c r="A100" s="1421"/>
      <c r="B100" s="117" t="s">
        <v>103</v>
      </c>
      <c r="C100" s="151">
        <v>0</v>
      </c>
      <c r="D100" s="151">
        <v>0</v>
      </c>
      <c r="E100" s="151">
        <v>0</v>
      </c>
      <c r="F100" s="151">
        <v>24</v>
      </c>
      <c r="G100" s="1418"/>
    </row>
    <row r="101" spans="1:7" ht="15.75" thickBot="1" x14ac:dyDescent="0.3">
      <c r="A101" s="1422"/>
      <c r="B101" s="119" t="s">
        <v>104</v>
      </c>
      <c r="C101" s="151">
        <v>0</v>
      </c>
      <c r="D101" s="151">
        <v>0</v>
      </c>
      <c r="E101" s="151">
        <v>0</v>
      </c>
      <c r="F101" s="260">
        <v>0</v>
      </c>
      <c r="G101" s="1423"/>
    </row>
    <row r="102" spans="1:7" ht="15.75" x14ac:dyDescent="0.25">
      <c r="A102" s="1420">
        <v>44403</v>
      </c>
      <c r="B102" s="122" t="s">
        <v>17</v>
      </c>
      <c r="C102" s="150">
        <v>1</v>
      </c>
      <c r="D102" s="150">
        <v>1</v>
      </c>
      <c r="E102" s="150">
        <v>1</v>
      </c>
      <c r="F102" s="150">
        <v>1</v>
      </c>
      <c r="G102" s="1417"/>
    </row>
    <row r="103" spans="1:7" x14ac:dyDescent="0.25">
      <c r="A103" s="1421"/>
      <c r="B103" s="117" t="s">
        <v>102</v>
      </c>
      <c r="C103" s="151">
        <v>24</v>
      </c>
      <c r="D103" s="151">
        <v>24</v>
      </c>
      <c r="E103" s="151">
        <v>24</v>
      </c>
      <c r="F103" s="151">
        <v>0</v>
      </c>
      <c r="G103" s="1418"/>
    </row>
    <row r="104" spans="1:7" x14ac:dyDescent="0.25">
      <c r="A104" s="1421"/>
      <c r="B104" s="117" t="s">
        <v>103</v>
      </c>
      <c r="C104" s="151">
        <v>0</v>
      </c>
      <c r="D104" s="151">
        <v>0</v>
      </c>
      <c r="E104" s="151">
        <v>0</v>
      </c>
      <c r="F104" s="151">
        <v>24</v>
      </c>
      <c r="G104" s="1418"/>
    </row>
    <row r="105" spans="1:7" ht="15.75" thickBot="1" x14ac:dyDescent="0.3">
      <c r="A105" s="1422"/>
      <c r="B105" s="119" t="s">
        <v>104</v>
      </c>
      <c r="C105" s="151">
        <v>0</v>
      </c>
      <c r="D105" s="151">
        <v>0</v>
      </c>
      <c r="E105" s="151">
        <v>0</v>
      </c>
      <c r="F105" s="260">
        <v>0</v>
      </c>
      <c r="G105" s="1423"/>
    </row>
    <row r="106" spans="1:7" ht="15.75" x14ac:dyDescent="0.25">
      <c r="A106" s="1420">
        <v>44404</v>
      </c>
      <c r="B106" s="112" t="s">
        <v>17</v>
      </c>
      <c r="C106" s="150">
        <v>1</v>
      </c>
      <c r="D106" s="150">
        <v>1</v>
      </c>
      <c r="E106" s="150">
        <v>1</v>
      </c>
      <c r="F106" s="150">
        <v>1</v>
      </c>
      <c r="G106" s="1417"/>
    </row>
    <row r="107" spans="1:7" x14ac:dyDescent="0.25">
      <c r="A107" s="1421"/>
      <c r="B107" s="117" t="s">
        <v>102</v>
      </c>
      <c r="C107" s="151">
        <v>24</v>
      </c>
      <c r="D107" s="151">
        <v>24</v>
      </c>
      <c r="E107" s="151">
        <v>24</v>
      </c>
      <c r="F107" s="151">
        <v>0</v>
      </c>
      <c r="G107" s="1418"/>
    </row>
    <row r="108" spans="1:7" x14ac:dyDescent="0.25">
      <c r="A108" s="1421"/>
      <c r="B108" s="117" t="s">
        <v>103</v>
      </c>
      <c r="C108" s="151">
        <v>0</v>
      </c>
      <c r="D108" s="151">
        <v>0</v>
      </c>
      <c r="E108" s="151">
        <v>0</v>
      </c>
      <c r="F108" s="151">
        <v>24</v>
      </c>
      <c r="G108" s="1418"/>
    </row>
    <row r="109" spans="1:7" ht="15.75" thickBot="1" x14ac:dyDescent="0.3">
      <c r="A109" s="1422"/>
      <c r="B109" s="119" t="s">
        <v>104</v>
      </c>
      <c r="C109" s="151">
        <v>0</v>
      </c>
      <c r="D109" s="151">
        <v>0</v>
      </c>
      <c r="E109" s="151">
        <v>0</v>
      </c>
      <c r="F109" s="260">
        <v>0</v>
      </c>
      <c r="G109" s="1423"/>
    </row>
    <row r="110" spans="1:7" ht="25.5" customHeight="1" x14ac:dyDescent="0.25">
      <c r="A110" s="1420">
        <v>44405</v>
      </c>
      <c r="B110" s="112" t="s">
        <v>17</v>
      </c>
      <c r="C110" s="150">
        <v>1</v>
      </c>
      <c r="D110" s="150">
        <v>1</v>
      </c>
      <c r="E110" s="150">
        <v>1</v>
      </c>
      <c r="F110" s="150">
        <v>1</v>
      </c>
      <c r="G110" s="1417" t="s">
        <v>839</v>
      </c>
    </row>
    <row r="111" spans="1:7" ht="25.5" customHeight="1" x14ac:dyDescent="0.25">
      <c r="A111" s="1421"/>
      <c r="B111" s="117" t="s">
        <v>102</v>
      </c>
      <c r="C111" s="151">
        <v>13.48</v>
      </c>
      <c r="D111" s="151">
        <v>24</v>
      </c>
      <c r="E111" s="151">
        <v>24</v>
      </c>
      <c r="F111" s="151">
        <v>0</v>
      </c>
      <c r="G111" s="1418"/>
    </row>
    <row r="112" spans="1:7" ht="25.5" customHeight="1" x14ac:dyDescent="0.25">
      <c r="A112" s="1421"/>
      <c r="B112" s="117" t="s">
        <v>103</v>
      </c>
      <c r="C112" s="151">
        <v>10.52</v>
      </c>
      <c r="D112" s="151">
        <v>0</v>
      </c>
      <c r="E112" s="151">
        <v>0</v>
      </c>
      <c r="F112" s="151">
        <v>24</v>
      </c>
      <c r="G112" s="1418"/>
    </row>
    <row r="113" spans="1:7" ht="25.5" customHeight="1" thickBot="1" x14ac:dyDescent="0.3">
      <c r="A113" s="1422"/>
      <c r="B113" s="119" t="s">
        <v>104</v>
      </c>
      <c r="C113" s="151">
        <v>0</v>
      </c>
      <c r="D113" s="151">
        <v>0</v>
      </c>
      <c r="E113" s="151">
        <v>0</v>
      </c>
      <c r="F113" s="260">
        <v>0</v>
      </c>
      <c r="G113" s="1423"/>
    </row>
    <row r="114" spans="1:7" ht="15.75" x14ac:dyDescent="0.25">
      <c r="A114" s="1420">
        <v>44406</v>
      </c>
      <c r="B114" s="122" t="s">
        <v>17</v>
      </c>
      <c r="C114" s="150">
        <v>1</v>
      </c>
      <c r="D114" s="150">
        <v>1</v>
      </c>
      <c r="E114" s="150">
        <v>1</v>
      </c>
      <c r="F114" s="150">
        <v>1</v>
      </c>
      <c r="G114" s="1417"/>
    </row>
    <row r="115" spans="1:7" x14ac:dyDescent="0.25">
      <c r="A115" s="1421"/>
      <c r="B115" s="117" t="s">
        <v>102</v>
      </c>
      <c r="C115" s="151">
        <v>0</v>
      </c>
      <c r="D115" s="151">
        <v>24</v>
      </c>
      <c r="E115" s="151">
        <v>24</v>
      </c>
      <c r="F115" s="151">
        <v>0</v>
      </c>
      <c r="G115" s="1418"/>
    </row>
    <row r="116" spans="1:7" x14ac:dyDescent="0.25">
      <c r="A116" s="1421"/>
      <c r="B116" s="117" t="s">
        <v>103</v>
      </c>
      <c r="C116" s="151">
        <v>24</v>
      </c>
      <c r="D116" s="151">
        <v>0</v>
      </c>
      <c r="E116" s="151">
        <v>0</v>
      </c>
      <c r="F116" s="151">
        <v>24</v>
      </c>
      <c r="G116" s="1418"/>
    </row>
    <row r="117" spans="1:7" ht="15.75" thickBot="1" x14ac:dyDescent="0.3">
      <c r="A117" s="1422"/>
      <c r="B117" s="119" t="s">
        <v>104</v>
      </c>
      <c r="C117" s="151">
        <v>0</v>
      </c>
      <c r="D117" s="151">
        <v>0</v>
      </c>
      <c r="E117" s="151">
        <v>0</v>
      </c>
      <c r="F117" s="260">
        <v>0</v>
      </c>
      <c r="G117" s="1423"/>
    </row>
    <row r="118" spans="1:7" ht="15.75" x14ac:dyDescent="0.25">
      <c r="A118" s="1420">
        <v>44407</v>
      </c>
      <c r="B118" s="112" t="s">
        <v>17</v>
      </c>
      <c r="C118" s="150">
        <v>1</v>
      </c>
      <c r="D118" s="150">
        <v>1</v>
      </c>
      <c r="E118" s="150">
        <v>1</v>
      </c>
      <c r="F118" s="150">
        <v>1</v>
      </c>
      <c r="G118" s="1417"/>
    </row>
    <row r="119" spans="1:7" x14ac:dyDescent="0.25">
      <c r="A119" s="1421"/>
      <c r="B119" s="117" t="s">
        <v>102</v>
      </c>
      <c r="C119" s="151">
        <v>0</v>
      </c>
      <c r="D119" s="151">
        <v>24</v>
      </c>
      <c r="E119" s="151">
        <v>24</v>
      </c>
      <c r="F119" s="151">
        <v>0</v>
      </c>
      <c r="G119" s="1418"/>
    </row>
    <row r="120" spans="1:7" x14ac:dyDescent="0.25">
      <c r="A120" s="1421"/>
      <c r="B120" s="117" t="s">
        <v>103</v>
      </c>
      <c r="C120" s="151">
        <v>24</v>
      </c>
      <c r="D120" s="151">
        <v>0</v>
      </c>
      <c r="E120" s="151">
        <v>0</v>
      </c>
      <c r="F120" s="151">
        <v>24</v>
      </c>
      <c r="G120" s="1418"/>
    </row>
    <row r="121" spans="1:7" ht="15.75" thickBot="1" x14ac:dyDescent="0.3">
      <c r="A121" s="1422"/>
      <c r="B121" s="119" t="s">
        <v>104</v>
      </c>
      <c r="C121" s="151">
        <v>0</v>
      </c>
      <c r="D121" s="151">
        <v>0</v>
      </c>
      <c r="E121" s="151">
        <v>0</v>
      </c>
      <c r="F121" s="260">
        <v>0</v>
      </c>
      <c r="G121" s="1423"/>
    </row>
    <row r="122" spans="1:7" ht="15.75" x14ac:dyDescent="0.25">
      <c r="A122" s="1420">
        <v>44408</v>
      </c>
      <c r="B122" s="112" t="s">
        <v>17</v>
      </c>
      <c r="C122" s="150">
        <v>1</v>
      </c>
      <c r="D122" s="150">
        <v>1</v>
      </c>
      <c r="E122" s="150">
        <v>1</v>
      </c>
      <c r="F122" s="150">
        <v>1</v>
      </c>
      <c r="G122" s="1417"/>
    </row>
    <row r="123" spans="1:7" x14ac:dyDescent="0.25">
      <c r="A123" s="1421"/>
      <c r="B123" s="117" t="s">
        <v>102</v>
      </c>
      <c r="C123" s="151">
        <v>0</v>
      </c>
      <c r="D123" s="151">
        <v>24</v>
      </c>
      <c r="E123" s="151">
        <v>24</v>
      </c>
      <c r="F123" s="151">
        <v>0</v>
      </c>
      <c r="G123" s="1418"/>
    </row>
    <row r="124" spans="1:7" x14ac:dyDescent="0.25">
      <c r="A124" s="1421"/>
      <c r="B124" s="117" t="s">
        <v>103</v>
      </c>
      <c r="C124" s="151">
        <v>24</v>
      </c>
      <c r="D124" s="151">
        <v>0</v>
      </c>
      <c r="E124" s="151">
        <v>0</v>
      </c>
      <c r="F124" s="151">
        <v>24</v>
      </c>
      <c r="G124" s="1418"/>
    </row>
    <row r="125" spans="1:7" ht="15.75" thickBot="1" x14ac:dyDescent="0.3">
      <c r="A125" s="1422"/>
      <c r="B125" s="119" t="s">
        <v>104</v>
      </c>
      <c r="C125" s="151">
        <v>0</v>
      </c>
      <c r="D125" s="151">
        <v>0</v>
      </c>
      <c r="E125" s="151">
        <v>0</v>
      </c>
      <c r="F125" s="260">
        <v>0</v>
      </c>
      <c r="G125" s="1423"/>
    </row>
    <row r="126" spans="1:7" x14ac:dyDescent="0.25">
      <c r="A126" s="130" t="s">
        <v>689</v>
      </c>
      <c r="B126" s="131"/>
      <c r="C126" s="132">
        <f>SUM(C123,C119,C115,C111,C107,C103,C99,C95,C91,C87,C83,C79,C75,C71,C67,C63,C59,C55,C51,C47,C43,C39,C35,C31,C27,C23,C19,C15,C11,C7,C3)</f>
        <v>366.16</v>
      </c>
      <c r="D126" s="132">
        <f t="shared" ref="D126" si="0">SUM(D123,D119,D115,D111,D107,D103,D99,D95,D91,D87,D83,D79,D75,D71,D67,D63,D59,D55,D51,D47,D43,D39,D35,D31,D27,D23,D19,D15,D11,D7,D3)</f>
        <v>728.69</v>
      </c>
      <c r="E126" s="132">
        <f>SUM(E123,E119,E115,E111,E107,E103,E99,E95,E91,E87,E83,E79,E75,E71,E67,E63,E59,E55,E51,E47,E43,E39,E35,E31,E27,E23,E19,E15,E11,E7,E3)</f>
        <v>743.22</v>
      </c>
      <c r="F126" s="132">
        <f>SUM(F123,F119,F115,F111,F107,F103,F99,F95,F91,F87,F83,F79,F75,F71,F67,F63,F59,F55,F51,F47,F43,F39,F35,F31,F27,F23,F19,F15,F11,F7,F3)</f>
        <v>0</v>
      </c>
      <c r="G126" s="115"/>
    </row>
    <row r="127" spans="1:7" x14ac:dyDescent="0.25">
      <c r="A127" s="1424" t="s">
        <v>690</v>
      </c>
      <c r="B127" s="1425"/>
      <c r="C127" s="135">
        <f t="shared" ref="C127:E127" si="1">SUM(C124,C120,C116,C112,C108,C104,C100,C96,C92,C88,C84,C80,C76,C72,C68,C64,C60,C56,C52,C48,C44,C40,C36,C32,C28,C24,C20,C16,C12,C8,C4)</f>
        <v>377.84000000000003</v>
      </c>
      <c r="D127" s="135">
        <f t="shared" si="1"/>
        <v>15.309999999999999</v>
      </c>
      <c r="E127" s="135">
        <f t="shared" si="1"/>
        <v>0.78</v>
      </c>
      <c r="F127" s="135">
        <f>SUM(F124,F120,F116,F112,F108,F104,F100,F96,F92,F88,F84,F80,F76,F72,F68,F64,F60,F56,F52,F48,F44,F40,F36,F32,F28,F24,F20,F16,F12,F8,F4)</f>
        <v>744</v>
      </c>
      <c r="G127" s="117"/>
    </row>
    <row r="128" spans="1:7" ht="15.75" thickBot="1" x14ac:dyDescent="0.3">
      <c r="A128" s="1426" t="s">
        <v>691</v>
      </c>
      <c r="B128" s="1427"/>
      <c r="C128" s="138">
        <f t="shared" ref="C128:E128" si="2">SUM(C113,C109,C105,C101,C97,C93,C89,C85,C81,C77,C73,C69,C65,C61,C57,C53,C49,C45,C41,C37,C33,C29,C25,C21,C17,C13,C9,C5)</f>
        <v>0</v>
      </c>
      <c r="D128" s="138">
        <f t="shared" si="2"/>
        <v>0</v>
      </c>
      <c r="E128" s="138">
        <f t="shared" si="2"/>
        <v>0</v>
      </c>
      <c r="F128" s="138">
        <f>SUM(F125,F121,F117,F113,F109,F105,F101,F97,F93,F89,F85,F81,F77,F73,F69,F65,F61,F57,F53,F49,F45,F41,F37,F33,F29,F25,F21,F17,F13,F9,F5)</f>
        <v>0</v>
      </c>
      <c r="G128" s="119"/>
    </row>
    <row r="129" spans="1:7" ht="15.75" thickBot="1" x14ac:dyDescent="0.3">
      <c r="A129" s="1428" t="s">
        <v>108</v>
      </c>
      <c r="B129" s="1429"/>
      <c r="C129" s="257"/>
      <c r="D129" s="257"/>
      <c r="E129" s="257"/>
      <c r="F129" s="257"/>
      <c r="G129" s="141"/>
    </row>
  </sheetData>
  <mergeCells count="64">
    <mergeCell ref="A2:A5"/>
    <mergeCell ref="G2:G5"/>
    <mergeCell ref="A6:A9"/>
    <mergeCell ref="G6:G9"/>
    <mergeCell ref="A10:A13"/>
    <mergeCell ref="G10:G13"/>
    <mergeCell ref="A14:A17"/>
    <mergeCell ref="G14:G17"/>
    <mergeCell ref="A18:A21"/>
    <mergeCell ref="G18:G21"/>
    <mergeCell ref="A22:A25"/>
    <mergeCell ref="G22:G25"/>
    <mergeCell ref="A26:A29"/>
    <mergeCell ref="G26:G29"/>
    <mergeCell ref="A30:A33"/>
    <mergeCell ref="G30:G33"/>
    <mergeCell ref="A34:A37"/>
    <mergeCell ref="G34:G37"/>
    <mergeCell ref="A38:A41"/>
    <mergeCell ref="G38:G41"/>
    <mergeCell ref="A42:A45"/>
    <mergeCell ref="G42:G45"/>
    <mergeCell ref="A46:A49"/>
    <mergeCell ref="G46:G49"/>
    <mergeCell ref="A78:A81"/>
    <mergeCell ref="G66:G69"/>
    <mergeCell ref="G70:G73"/>
    <mergeCell ref="G74:G77"/>
    <mergeCell ref="A50:A53"/>
    <mergeCell ref="G50:G53"/>
    <mergeCell ref="A54:A57"/>
    <mergeCell ref="G54:G57"/>
    <mergeCell ref="A58:A61"/>
    <mergeCell ref="G58:G61"/>
    <mergeCell ref="A62:A65"/>
    <mergeCell ref="G62:G65"/>
    <mergeCell ref="A66:A69"/>
    <mergeCell ref="A70:A73"/>
    <mergeCell ref="A74:A77"/>
    <mergeCell ref="A82:A85"/>
    <mergeCell ref="G82:G85"/>
    <mergeCell ref="A86:A89"/>
    <mergeCell ref="G86:G89"/>
    <mergeCell ref="A90:A93"/>
    <mergeCell ref="G90:G93"/>
    <mergeCell ref="A94:A97"/>
    <mergeCell ref="G94:G97"/>
    <mergeCell ref="A98:A101"/>
    <mergeCell ref="G98:G101"/>
    <mergeCell ref="A102:A105"/>
    <mergeCell ref="G102:G105"/>
    <mergeCell ref="A106:A109"/>
    <mergeCell ref="G106:G109"/>
    <mergeCell ref="A110:A113"/>
    <mergeCell ref="G110:G113"/>
    <mergeCell ref="A114:A117"/>
    <mergeCell ref="G114:G117"/>
    <mergeCell ref="A129:B129"/>
    <mergeCell ref="A118:A121"/>
    <mergeCell ref="G118:G121"/>
    <mergeCell ref="A122:A125"/>
    <mergeCell ref="G122:G125"/>
    <mergeCell ref="A127:B127"/>
    <mergeCell ref="A128:B12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G129"/>
  <sheetViews>
    <sheetView workbookViewId="0">
      <pane ySplit="1" topLeftCell="A98" activePane="bottomLeft" state="frozen"/>
      <selection pane="bottomLeft" activeCell="G110" sqref="G110:G113"/>
    </sheetView>
  </sheetViews>
  <sheetFormatPr defaultRowHeight="15" x14ac:dyDescent="0.25"/>
  <cols>
    <col min="1" max="1" width="31.28515625" customWidth="1"/>
    <col min="2" max="2" width="26.28515625" customWidth="1"/>
    <col min="3" max="6" width="10.42578125" customWidth="1"/>
    <col min="7" max="7" width="43.7109375" customWidth="1"/>
  </cols>
  <sheetData>
    <row r="1" spans="1:7" ht="16.5" thickBot="1" x14ac:dyDescent="0.3">
      <c r="A1" s="108" t="s">
        <v>98</v>
      </c>
      <c r="B1" s="109" t="s">
        <v>99</v>
      </c>
      <c r="C1" s="173" t="s">
        <v>310</v>
      </c>
      <c r="D1" s="173" t="s">
        <v>239</v>
      </c>
      <c r="E1" s="110" t="s">
        <v>100</v>
      </c>
      <c r="F1" s="173" t="s">
        <v>157</v>
      </c>
      <c r="G1" s="111" t="s">
        <v>101</v>
      </c>
    </row>
    <row r="2" spans="1:7" ht="15.75" x14ac:dyDescent="0.25">
      <c r="A2" s="1420">
        <v>44409</v>
      </c>
      <c r="B2" s="112" t="s">
        <v>17</v>
      </c>
      <c r="C2" s="150">
        <v>1</v>
      </c>
      <c r="D2" s="150">
        <v>1</v>
      </c>
      <c r="E2" s="150">
        <v>1</v>
      </c>
      <c r="F2" s="150">
        <v>1</v>
      </c>
      <c r="G2" s="1417"/>
    </row>
    <row r="3" spans="1:7" x14ac:dyDescent="0.25">
      <c r="A3" s="1421"/>
      <c r="B3" s="115" t="s">
        <v>102</v>
      </c>
      <c r="C3" s="151">
        <v>0</v>
      </c>
      <c r="D3" s="151">
        <v>24</v>
      </c>
      <c r="E3" s="151">
        <v>24</v>
      </c>
      <c r="F3" s="151">
        <v>0</v>
      </c>
      <c r="G3" s="1418"/>
    </row>
    <row r="4" spans="1:7" x14ac:dyDescent="0.25">
      <c r="A4" s="1421"/>
      <c r="B4" s="117" t="s">
        <v>103</v>
      </c>
      <c r="C4" s="151">
        <v>24</v>
      </c>
      <c r="D4" s="151">
        <v>0</v>
      </c>
      <c r="E4" s="151">
        <v>0</v>
      </c>
      <c r="F4" s="151">
        <v>24</v>
      </c>
      <c r="G4" s="1418"/>
    </row>
    <row r="5" spans="1:7" ht="15.75" thickBot="1" x14ac:dyDescent="0.3">
      <c r="A5" s="1422"/>
      <c r="B5" s="119" t="s">
        <v>104</v>
      </c>
      <c r="C5" s="151">
        <v>0</v>
      </c>
      <c r="D5" s="151">
        <v>0</v>
      </c>
      <c r="E5" s="151">
        <v>0</v>
      </c>
      <c r="F5" s="260">
        <v>0</v>
      </c>
      <c r="G5" s="1419"/>
    </row>
    <row r="6" spans="1:7" ht="15.75" x14ac:dyDescent="0.25">
      <c r="A6" s="1420">
        <v>44410</v>
      </c>
      <c r="B6" s="112" t="s">
        <v>17</v>
      </c>
      <c r="C6" s="150">
        <v>1</v>
      </c>
      <c r="D6" s="150">
        <v>1</v>
      </c>
      <c r="E6" s="150">
        <v>1</v>
      </c>
      <c r="F6" s="150">
        <v>1</v>
      </c>
      <c r="G6" s="1417" t="s">
        <v>852</v>
      </c>
    </row>
    <row r="7" spans="1:7" x14ac:dyDescent="0.25">
      <c r="A7" s="1421"/>
      <c r="B7" s="115" t="s">
        <v>102</v>
      </c>
      <c r="C7" s="151">
        <v>12.82</v>
      </c>
      <c r="D7" s="151">
        <v>24</v>
      </c>
      <c r="E7" s="151">
        <v>24</v>
      </c>
      <c r="F7" s="151">
        <v>0</v>
      </c>
      <c r="G7" s="1418"/>
    </row>
    <row r="8" spans="1:7" x14ac:dyDescent="0.25">
      <c r="A8" s="1421"/>
      <c r="B8" s="117" t="s">
        <v>103</v>
      </c>
      <c r="C8" s="151">
        <v>11.18</v>
      </c>
      <c r="D8" s="151">
        <v>0</v>
      </c>
      <c r="E8" s="151">
        <v>0</v>
      </c>
      <c r="F8" s="151">
        <v>24</v>
      </c>
      <c r="G8" s="1418"/>
    </row>
    <row r="9" spans="1:7" ht="15.75" thickBot="1" x14ac:dyDescent="0.3">
      <c r="A9" s="1422"/>
      <c r="B9" s="119" t="s">
        <v>104</v>
      </c>
      <c r="C9" s="151">
        <v>0</v>
      </c>
      <c r="D9" s="151">
        <v>0</v>
      </c>
      <c r="E9" s="151">
        <v>0</v>
      </c>
      <c r="F9" s="260">
        <v>0</v>
      </c>
      <c r="G9" s="1419"/>
    </row>
    <row r="10" spans="1:7" ht="15.75" x14ac:dyDescent="0.25">
      <c r="A10" s="1420">
        <v>44411</v>
      </c>
      <c r="B10" s="112" t="s">
        <v>17</v>
      </c>
      <c r="C10" s="150">
        <v>1</v>
      </c>
      <c r="D10" s="150">
        <v>1</v>
      </c>
      <c r="E10" s="150">
        <v>1</v>
      </c>
      <c r="F10" s="150">
        <v>1</v>
      </c>
      <c r="G10" s="1417" t="s">
        <v>862</v>
      </c>
    </row>
    <row r="11" spans="1:7" x14ac:dyDescent="0.25">
      <c r="A11" s="1421"/>
      <c r="B11" s="115" t="s">
        <v>102</v>
      </c>
      <c r="C11" s="151">
        <v>24</v>
      </c>
      <c r="D11" s="151">
        <v>22.38</v>
      </c>
      <c r="E11" s="151">
        <v>24</v>
      </c>
      <c r="F11" s="151">
        <v>0</v>
      </c>
      <c r="G11" s="1418"/>
    </row>
    <row r="12" spans="1:7" x14ac:dyDescent="0.25">
      <c r="A12" s="1421"/>
      <c r="B12" s="117" t="s">
        <v>103</v>
      </c>
      <c r="C12" s="151">
        <v>0</v>
      </c>
      <c r="D12" s="151">
        <v>1.62</v>
      </c>
      <c r="E12" s="151">
        <v>0</v>
      </c>
      <c r="F12" s="151">
        <v>24</v>
      </c>
      <c r="G12" s="1418"/>
    </row>
    <row r="13" spans="1:7" ht="32.25" customHeight="1" thickBot="1" x14ac:dyDescent="0.3">
      <c r="A13" s="1422"/>
      <c r="B13" s="119" t="s">
        <v>104</v>
      </c>
      <c r="C13" s="151">
        <v>0</v>
      </c>
      <c r="D13" s="151">
        <v>0</v>
      </c>
      <c r="E13" s="151">
        <v>0</v>
      </c>
      <c r="F13" s="260">
        <v>0</v>
      </c>
      <c r="G13" s="1419"/>
    </row>
    <row r="14" spans="1:7" ht="15.75" x14ac:dyDescent="0.25">
      <c r="A14" s="1420">
        <v>44412</v>
      </c>
      <c r="B14" s="122" t="s">
        <v>17</v>
      </c>
      <c r="C14" s="150">
        <v>1</v>
      </c>
      <c r="D14" s="150">
        <v>1</v>
      </c>
      <c r="E14" s="150">
        <v>1</v>
      </c>
      <c r="F14" s="150">
        <v>1</v>
      </c>
      <c r="G14" s="1417" t="s">
        <v>875</v>
      </c>
    </row>
    <row r="15" spans="1:7" x14ac:dyDescent="0.25">
      <c r="A15" s="1421"/>
      <c r="B15" s="115" t="s">
        <v>102</v>
      </c>
      <c r="C15" s="151">
        <v>24</v>
      </c>
      <c r="D15" s="151">
        <v>22.72</v>
      </c>
      <c r="E15" s="151">
        <v>24</v>
      </c>
      <c r="F15" s="151">
        <v>0</v>
      </c>
      <c r="G15" s="1418"/>
    </row>
    <row r="16" spans="1:7" x14ac:dyDescent="0.25">
      <c r="A16" s="1421"/>
      <c r="B16" s="117" t="s">
        <v>103</v>
      </c>
      <c r="C16" s="151">
        <v>0</v>
      </c>
      <c r="D16" s="151">
        <v>1.28</v>
      </c>
      <c r="E16" s="151">
        <v>0</v>
      </c>
      <c r="F16" s="151">
        <v>24</v>
      </c>
      <c r="G16" s="1418"/>
    </row>
    <row r="17" spans="1:7" ht="15.75" thickBot="1" x14ac:dyDescent="0.3">
      <c r="A17" s="1422"/>
      <c r="B17" s="119" t="s">
        <v>104</v>
      </c>
      <c r="C17" s="151">
        <v>0</v>
      </c>
      <c r="D17" s="151">
        <v>0</v>
      </c>
      <c r="E17" s="151">
        <v>0</v>
      </c>
      <c r="F17" s="260">
        <v>0</v>
      </c>
      <c r="G17" s="1419"/>
    </row>
    <row r="18" spans="1:7" ht="20.25" customHeight="1" x14ac:dyDescent="0.25">
      <c r="A18" s="1420">
        <v>44413</v>
      </c>
      <c r="B18" s="122" t="s">
        <v>17</v>
      </c>
      <c r="C18" s="150">
        <v>1</v>
      </c>
      <c r="D18" s="150">
        <v>1</v>
      </c>
      <c r="E18" s="150">
        <v>1</v>
      </c>
      <c r="F18" s="150">
        <v>1</v>
      </c>
      <c r="G18" s="1417" t="s">
        <v>881</v>
      </c>
    </row>
    <row r="19" spans="1:7" ht="20.25" customHeight="1" x14ac:dyDescent="0.25">
      <c r="A19" s="1421"/>
      <c r="B19" s="115" t="s">
        <v>102</v>
      </c>
      <c r="C19" s="151">
        <v>1.96</v>
      </c>
      <c r="D19" s="151">
        <v>21.43</v>
      </c>
      <c r="E19" s="151">
        <v>24</v>
      </c>
      <c r="F19" s="151">
        <v>0</v>
      </c>
      <c r="G19" s="1418"/>
    </row>
    <row r="20" spans="1:7" ht="20.25" customHeight="1" x14ac:dyDescent="0.25">
      <c r="A20" s="1421"/>
      <c r="B20" s="117" t="s">
        <v>103</v>
      </c>
      <c r="C20" s="151">
        <v>22.04</v>
      </c>
      <c r="D20" s="151">
        <v>2.57</v>
      </c>
      <c r="E20" s="151">
        <v>0</v>
      </c>
      <c r="F20" s="151">
        <v>24</v>
      </c>
      <c r="G20" s="1418"/>
    </row>
    <row r="21" spans="1:7" ht="20.25" customHeight="1" thickBot="1" x14ac:dyDescent="0.3">
      <c r="A21" s="1422"/>
      <c r="B21" s="119" t="s">
        <v>104</v>
      </c>
      <c r="C21" s="151">
        <v>0</v>
      </c>
      <c r="D21" s="151">
        <v>0</v>
      </c>
      <c r="E21" s="151">
        <v>0</v>
      </c>
      <c r="F21" s="260">
        <v>0</v>
      </c>
      <c r="G21" s="1419"/>
    </row>
    <row r="22" spans="1:7" ht="15.75" x14ac:dyDescent="0.25">
      <c r="A22" s="1420">
        <v>44414</v>
      </c>
      <c r="B22" s="112" t="s">
        <v>17</v>
      </c>
      <c r="C22" s="150">
        <v>1</v>
      </c>
      <c r="D22" s="150">
        <v>1</v>
      </c>
      <c r="E22" s="150">
        <v>1</v>
      </c>
      <c r="F22" s="150">
        <v>1</v>
      </c>
      <c r="G22" s="1417" t="s">
        <v>895</v>
      </c>
    </row>
    <row r="23" spans="1:7" x14ac:dyDescent="0.25">
      <c r="A23" s="1421"/>
      <c r="B23" s="125" t="s">
        <v>102</v>
      </c>
      <c r="C23" s="151">
        <v>0</v>
      </c>
      <c r="D23" s="151">
        <v>22.78</v>
      </c>
      <c r="E23" s="151">
        <v>24</v>
      </c>
      <c r="F23" s="151">
        <v>0</v>
      </c>
      <c r="G23" s="1418"/>
    </row>
    <row r="24" spans="1:7" x14ac:dyDescent="0.25">
      <c r="A24" s="1421"/>
      <c r="B24" s="117" t="s">
        <v>103</v>
      </c>
      <c r="C24" s="151">
        <v>24</v>
      </c>
      <c r="D24" s="151">
        <v>1.22</v>
      </c>
      <c r="E24" s="151">
        <v>0</v>
      </c>
      <c r="F24" s="151">
        <v>24</v>
      </c>
      <c r="G24" s="1418"/>
    </row>
    <row r="25" spans="1:7" ht="15.75" thickBot="1" x14ac:dyDescent="0.3">
      <c r="A25" s="1422"/>
      <c r="B25" s="119" t="s">
        <v>104</v>
      </c>
      <c r="C25" s="260">
        <v>0</v>
      </c>
      <c r="D25" s="151">
        <v>0</v>
      </c>
      <c r="E25" s="151">
        <v>0</v>
      </c>
      <c r="F25" s="260">
        <v>0</v>
      </c>
      <c r="G25" s="1423"/>
    </row>
    <row r="26" spans="1:7" ht="15.75" x14ac:dyDescent="0.25">
      <c r="A26" s="1420">
        <v>44415</v>
      </c>
      <c r="B26" s="112" t="s">
        <v>17</v>
      </c>
      <c r="C26" s="150">
        <v>1</v>
      </c>
      <c r="D26" s="150">
        <v>1</v>
      </c>
      <c r="E26" s="150">
        <v>1</v>
      </c>
      <c r="F26" s="150">
        <v>1</v>
      </c>
      <c r="G26" s="1417" t="s">
        <v>884</v>
      </c>
    </row>
    <row r="27" spans="1:7" x14ac:dyDescent="0.25">
      <c r="A27" s="1421"/>
      <c r="B27" s="115" t="s">
        <v>102</v>
      </c>
      <c r="C27" s="151">
        <v>0</v>
      </c>
      <c r="D27" s="151">
        <v>18.420000000000002</v>
      </c>
      <c r="E27" s="151">
        <v>24</v>
      </c>
      <c r="F27" s="151">
        <v>0</v>
      </c>
      <c r="G27" s="1418"/>
    </row>
    <row r="28" spans="1:7" x14ac:dyDescent="0.25">
      <c r="A28" s="1421"/>
      <c r="B28" s="117" t="s">
        <v>103</v>
      </c>
      <c r="C28" s="151">
        <v>24</v>
      </c>
      <c r="D28" s="151">
        <v>5.58</v>
      </c>
      <c r="E28" s="151">
        <v>0</v>
      </c>
      <c r="F28" s="151">
        <v>24</v>
      </c>
      <c r="G28" s="1418"/>
    </row>
    <row r="29" spans="1:7" ht="15.75" thickBot="1" x14ac:dyDescent="0.3">
      <c r="A29" s="1422"/>
      <c r="B29" s="119" t="s">
        <v>104</v>
      </c>
      <c r="C29" s="260">
        <v>0</v>
      </c>
      <c r="D29" s="151">
        <v>0</v>
      </c>
      <c r="E29" s="151">
        <v>0</v>
      </c>
      <c r="F29" s="260">
        <v>0</v>
      </c>
      <c r="G29" s="1423"/>
    </row>
    <row r="30" spans="1:7" ht="15.75" x14ac:dyDescent="0.25">
      <c r="A30" s="1420">
        <v>44416</v>
      </c>
      <c r="B30" s="122" t="s">
        <v>17</v>
      </c>
      <c r="C30" s="150">
        <v>1</v>
      </c>
      <c r="D30" s="150">
        <v>1</v>
      </c>
      <c r="E30" s="150">
        <v>1</v>
      </c>
      <c r="F30" s="150">
        <v>1</v>
      </c>
      <c r="G30" s="1417" t="s">
        <v>901</v>
      </c>
    </row>
    <row r="31" spans="1:7" x14ac:dyDescent="0.25">
      <c r="A31" s="1421"/>
      <c r="B31" s="125" t="s">
        <v>102</v>
      </c>
      <c r="C31" s="151">
        <v>0</v>
      </c>
      <c r="D31" s="151">
        <v>3.82</v>
      </c>
      <c r="E31" s="151">
        <v>24</v>
      </c>
      <c r="F31" s="151">
        <v>0</v>
      </c>
      <c r="G31" s="1418"/>
    </row>
    <row r="32" spans="1:7" x14ac:dyDescent="0.25">
      <c r="A32" s="1421"/>
      <c r="B32" s="117" t="s">
        <v>103</v>
      </c>
      <c r="C32" s="151">
        <v>24</v>
      </c>
      <c r="D32" s="151">
        <v>20.18</v>
      </c>
      <c r="E32" s="151">
        <v>0</v>
      </c>
      <c r="F32" s="151">
        <v>24</v>
      </c>
      <c r="G32" s="1418"/>
    </row>
    <row r="33" spans="1:7" ht="15.75" thickBot="1" x14ac:dyDescent="0.3">
      <c r="A33" s="1422"/>
      <c r="B33" s="119" t="s">
        <v>104</v>
      </c>
      <c r="C33" s="260">
        <v>0</v>
      </c>
      <c r="D33" s="151">
        <v>0</v>
      </c>
      <c r="E33" s="151">
        <v>0</v>
      </c>
      <c r="F33" s="260">
        <v>0</v>
      </c>
      <c r="G33" s="1423"/>
    </row>
    <row r="34" spans="1:7" ht="15.75" x14ac:dyDescent="0.25">
      <c r="A34" s="1420">
        <v>44417</v>
      </c>
      <c r="B34" s="112" t="s">
        <v>17</v>
      </c>
      <c r="C34" s="150">
        <v>1</v>
      </c>
      <c r="D34" s="150">
        <v>1</v>
      </c>
      <c r="E34" s="150">
        <v>1</v>
      </c>
      <c r="F34" s="150">
        <v>1</v>
      </c>
      <c r="G34" s="1417" t="s">
        <v>909</v>
      </c>
    </row>
    <row r="35" spans="1:7" x14ac:dyDescent="0.25">
      <c r="A35" s="1421"/>
      <c r="B35" s="115" t="s">
        <v>102</v>
      </c>
      <c r="C35" s="151">
        <v>12.42</v>
      </c>
      <c r="D35" s="151">
        <v>15.77</v>
      </c>
      <c r="E35" s="151">
        <v>24</v>
      </c>
      <c r="F35" s="151">
        <v>0</v>
      </c>
      <c r="G35" s="1418"/>
    </row>
    <row r="36" spans="1:7" x14ac:dyDescent="0.25">
      <c r="A36" s="1421"/>
      <c r="B36" s="117" t="s">
        <v>103</v>
      </c>
      <c r="C36" s="151">
        <v>11.58</v>
      </c>
      <c r="D36" s="151">
        <v>8.23</v>
      </c>
      <c r="E36" s="151">
        <v>0</v>
      </c>
      <c r="F36" s="151">
        <v>24</v>
      </c>
      <c r="G36" s="1418"/>
    </row>
    <row r="37" spans="1:7" ht="15.75" thickBot="1" x14ac:dyDescent="0.3">
      <c r="A37" s="1422"/>
      <c r="B37" s="119" t="s">
        <v>104</v>
      </c>
      <c r="C37" s="151">
        <v>0</v>
      </c>
      <c r="D37" s="151">
        <v>0</v>
      </c>
      <c r="E37" s="151">
        <v>0</v>
      </c>
      <c r="F37" s="260">
        <v>0</v>
      </c>
      <c r="G37" s="1423"/>
    </row>
    <row r="38" spans="1:7" ht="15.75" x14ac:dyDescent="0.25">
      <c r="A38" s="1420">
        <v>44418</v>
      </c>
      <c r="B38" s="122" t="s">
        <v>17</v>
      </c>
      <c r="C38" s="150">
        <v>1</v>
      </c>
      <c r="D38" s="150">
        <v>1</v>
      </c>
      <c r="E38" s="150">
        <v>1</v>
      </c>
      <c r="F38" s="150">
        <v>1</v>
      </c>
      <c r="G38" s="1417"/>
    </row>
    <row r="39" spans="1:7" x14ac:dyDescent="0.25">
      <c r="A39" s="1421"/>
      <c r="B39" s="115" t="s">
        <v>102</v>
      </c>
      <c r="C39" s="151">
        <v>24</v>
      </c>
      <c r="D39" s="151">
        <v>24</v>
      </c>
      <c r="E39" s="151">
        <v>24</v>
      </c>
      <c r="F39" s="151">
        <v>0</v>
      </c>
      <c r="G39" s="1418"/>
    </row>
    <row r="40" spans="1:7" x14ac:dyDescent="0.25">
      <c r="A40" s="1421"/>
      <c r="B40" s="117" t="s">
        <v>103</v>
      </c>
      <c r="C40" s="151">
        <v>0</v>
      </c>
      <c r="D40" s="151">
        <v>0</v>
      </c>
      <c r="E40" s="151">
        <v>0</v>
      </c>
      <c r="F40" s="151">
        <v>24</v>
      </c>
      <c r="G40" s="1418"/>
    </row>
    <row r="41" spans="1:7" ht="15.75" thickBot="1" x14ac:dyDescent="0.3">
      <c r="A41" s="1422"/>
      <c r="B41" s="119" t="s">
        <v>104</v>
      </c>
      <c r="C41" s="151">
        <v>0</v>
      </c>
      <c r="D41" s="151">
        <v>0</v>
      </c>
      <c r="E41" s="151">
        <v>0</v>
      </c>
      <c r="F41" s="260">
        <v>0</v>
      </c>
      <c r="G41" s="1423"/>
    </row>
    <row r="42" spans="1:7" ht="15.75" x14ac:dyDescent="0.25">
      <c r="A42" s="1420">
        <v>44419</v>
      </c>
      <c r="B42" s="122" t="s">
        <v>17</v>
      </c>
      <c r="C42" s="150">
        <v>1</v>
      </c>
      <c r="D42" s="150">
        <v>1</v>
      </c>
      <c r="E42" s="150">
        <v>1</v>
      </c>
      <c r="F42" s="150">
        <v>1</v>
      </c>
      <c r="G42" s="1417" t="s">
        <v>1283</v>
      </c>
    </row>
    <row r="43" spans="1:7" x14ac:dyDescent="0.25">
      <c r="A43" s="1421"/>
      <c r="B43" s="115" t="s">
        <v>102</v>
      </c>
      <c r="C43" s="151">
        <v>15.22</v>
      </c>
      <c r="D43" s="151">
        <v>24</v>
      </c>
      <c r="E43" s="151">
        <v>24</v>
      </c>
      <c r="F43" s="151">
        <v>0</v>
      </c>
      <c r="G43" s="1418"/>
    </row>
    <row r="44" spans="1:7" x14ac:dyDescent="0.25">
      <c r="A44" s="1421"/>
      <c r="B44" s="117" t="s">
        <v>103</v>
      </c>
      <c r="C44" s="151">
        <v>8.7799999999999994</v>
      </c>
      <c r="D44" s="151">
        <v>0</v>
      </c>
      <c r="E44" s="151">
        <v>0</v>
      </c>
      <c r="F44" s="151">
        <v>24</v>
      </c>
      <c r="G44" s="1418"/>
    </row>
    <row r="45" spans="1:7" ht="15.75" thickBot="1" x14ac:dyDescent="0.3">
      <c r="A45" s="1422"/>
      <c r="B45" s="119" t="s">
        <v>104</v>
      </c>
      <c r="C45" s="151">
        <v>0</v>
      </c>
      <c r="D45" s="151">
        <v>0</v>
      </c>
      <c r="E45" s="151">
        <v>0</v>
      </c>
      <c r="F45" s="260">
        <v>0</v>
      </c>
      <c r="G45" s="1423"/>
    </row>
    <row r="46" spans="1:7" ht="15.75" x14ac:dyDescent="0.25">
      <c r="A46" s="1420">
        <v>44420</v>
      </c>
      <c r="B46" s="122" t="s">
        <v>17</v>
      </c>
      <c r="C46" s="150">
        <v>1</v>
      </c>
      <c r="D46" s="150">
        <v>1</v>
      </c>
      <c r="E46" s="150">
        <v>1</v>
      </c>
      <c r="F46" s="150">
        <v>1</v>
      </c>
      <c r="G46" s="1430"/>
    </row>
    <row r="47" spans="1:7" x14ac:dyDescent="0.25">
      <c r="A47" s="1421"/>
      <c r="B47" s="115" t="s">
        <v>102</v>
      </c>
      <c r="C47" s="151">
        <v>0</v>
      </c>
      <c r="D47" s="151">
        <v>24</v>
      </c>
      <c r="E47" s="151">
        <v>24</v>
      </c>
      <c r="F47" s="151">
        <v>0</v>
      </c>
      <c r="G47" s="1418"/>
    </row>
    <row r="48" spans="1:7" x14ac:dyDescent="0.25">
      <c r="A48" s="1421"/>
      <c r="B48" s="117" t="s">
        <v>103</v>
      </c>
      <c r="C48" s="151">
        <v>24</v>
      </c>
      <c r="D48" s="151">
        <v>0</v>
      </c>
      <c r="E48" s="151">
        <v>0</v>
      </c>
      <c r="F48" s="151">
        <v>24</v>
      </c>
      <c r="G48" s="1418"/>
    </row>
    <row r="49" spans="1:7" ht="15.75" thickBot="1" x14ac:dyDescent="0.3">
      <c r="A49" s="1422"/>
      <c r="B49" s="119" t="s">
        <v>104</v>
      </c>
      <c r="C49" s="151">
        <v>0</v>
      </c>
      <c r="D49" s="151">
        <v>0</v>
      </c>
      <c r="E49" s="151">
        <v>0</v>
      </c>
      <c r="F49" s="260">
        <v>0</v>
      </c>
      <c r="G49" s="1423"/>
    </row>
    <row r="50" spans="1:7" ht="15.75" x14ac:dyDescent="0.25">
      <c r="A50" s="1420">
        <v>44421</v>
      </c>
      <c r="B50" s="122" t="s">
        <v>17</v>
      </c>
      <c r="C50" s="150">
        <v>1</v>
      </c>
      <c r="D50" s="150">
        <v>1</v>
      </c>
      <c r="E50" s="150">
        <v>1</v>
      </c>
      <c r="F50" s="150">
        <v>1</v>
      </c>
      <c r="G50" s="1417" t="s">
        <v>933</v>
      </c>
    </row>
    <row r="51" spans="1:7" x14ac:dyDescent="0.25">
      <c r="A51" s="1421"/>
      <c r="B51" s="115" t="s">
        <v>102</v>
      </c>
      <c r="C51" s="151">
        <v>0</v>
      </c>
      <c r="D51" s="151">
        <v>23</v>
      </c>
      <c r="E51" s="151">
        <v>24</v>
      </c>
      <c r="F51" s="151">
        <v>0</v>
      </c>
      <c r="G51" s="1418"/>
    </row>
    <row r="52" spans="1:7" x14ac:dyDescent="0.25">
      <c r="A52" s="1421"/>
      <c r="B52" s="117" t="s">
        <v>103</v>
      </c>
      <c r="C52" s="151">
        <v>24</v>
      </c>
      <c r="D52" s="151">
        <v>1</v>
      </c>
      <c r="E52" s="151">
        <v>0</v>
      </c>
      <c r="F52" s="151">
        <v>24</v>
      </c>
      <c r="G52" s="1418"/>
    </row>
    <row r="53" spans="1:7" ht="15.75" thickBot="1" x14ac:dyDescent="0.3">
      <c r="A53" s="1422"/>
      <c r="B53" s="119" t="s">
        <v>104</v>
      </c>
      <c r="C53" s="151">
        <v>0</v>
      </c>
      <c r="D53" s="151">
        <v>0</v>
      </c>
      <c r="E53" s="151">
        <v>0</v>
      </c>
      <c r="F53" s="260">
        <v>0</v>
      </c>
      <c r="G53" s="1423"/>
    </row>
    <row r="54" spans="1:7" ht="15.75" x14ac:dyDescent="0.25">
      <c r="A54" s="1420">
        <v>44422</v>
      </c>
      <c r="B54" s="122" t="s">
        <v>17</v>
      </c>
      <c r="C54" s="150">
        <v>1</v>
      </c>
      <c r="D54" s="150">
        <v>1</v>
      </c>
      <c r="E54" s="150">
        <v>1</v>
      </c>
      <c r="F54" s="150">
        <v>1</v>
      </c>
      <c r="G54" s="1417" t="s">
        <v>947</v>
      </c>
    </row>
    <row r="55" spans="1:7" x14ac:dyDescent="0.25">
      <c r="A55" s="1421"/>
      <c r="B55" s="115" t="s">
        <v>102</v>
      </c>
      <c r="C55" s="151">
        <v>18.829999999999998</v>
      </c>
      <c r="D55" s="151">
        <v>24</v>
      </c>
      <c r="E55" s="151">
        <v>24</v>
      </c>
      <c r="F55" s="151">
        <v>0</v>
      </c>
      <c r="G55" s="1418"/>
    </row>
    <row r="56" spans="1:7" x14ac:dyDescent="0.25">
      <c r="A56" s="1421"/>
      <c r="B56" s="117" t="s">
        <v>103</v>
      </c>
      <c r="C56" s="151">
        <v>5.17</v>
      </c>
      <c r="D56" s="151">
        <v>0</v>
      </c>
      <c r="E56" s="151">
        <v>0</v>
      </c>
      <c r="F56" s="151">
        <v>24</v>
      </c>
      <c r="G56" s="1418"/>
    </row>
    <row r="57" spans="1:7" ht="15.75" thickBot="1" x14ac:dyDescent="0.3">
      <c r="A57" s="1422"/>
      <c r="B57" s="119" t="s">
        <v>104</v>
      </c>
      <c r="C57" s="151">
        <v>0</v>
      </c>
      <c r="D57" s="151">
        <v>0</v>
      </c>
      <c r="E57" s="151">
        <v>0</v>
      </c>
      <c r="F57" s="260">
        <v>0</v>
      </c>
      <c r="G57" s="1423"/>
    </row>
    <row r="58" spans="1:7" ht="15.75" x14ac:dyDescent="0.25">
      <c r="A58" s="1420">
        <v>44423</v>
      </c>
      <c r="B58" s="112" t="s">
        <v>17</v>
      </c>
      <c r="C58" s="150">
        <v>1</v>
      </c>
      <c r="D58" s="150">
        <v>1</v>
      </c>
      <c r="E58" s="150">
        <v>1</v>
      </c>
      <c r="F58" s="150">
        <v>1</v>
      </c>
      <c r="G58" s="1417" t="s">
        <v>967</v>
      </c>
    </row>
    <row r="59" spans="1:7" x14ac:dyDescent="0.25">
      <c r="A59" s="1421"/>
      <c r="B59" s="115" t="s">
        <v>102</v>
      </c>
      <c r="C59" s="151">
        <v>15</v>
      </c>
      <c r="D59" s="151">
        <v>24</v>
      </c>
      <c r="E59" s="151">
        <v>24</v>
      </c>
      <c r="F59" s="151">
        <v>0</v>
      </c>
      <c r="G59" s="1418"/>
    </row>
    <row r="60" spans="1:7" x14ac:dyDescent="0.25">
      <c r="A60" s="1421"/>
      <c r="B60" s="117" t="s">
        <v>103</v>
      </c>
      <c r="C60" s="151">
        <v>9</v>
      </c>
      <c r="D60" s="151">
        <v>0</v>
      </c>
      <c r="E60" s="151">
        <v>0</v>
      </c>
      <c r="F60" s="151">
        <v>24</v>
      </c>
      <c r="G60" s="1418"/>
    </row>
    <row r="61" spans="1:7" ht="15.75" thickBot="1" x14ac:dyDescent="0.3">
      <c r="A61" s="1422"/>
      <c r="B61" s="119" t="s">
        <v>104</v>
      </c>
      <c r="C61" s="151">
        <v>0</v>
      </c>
      <c r="D61" s="151">
        <v>0</v>
      </c>
      <c r="E61" s="151">
        <v>0</v>
      </c>
      <c r="F61" s="260">
        <v>0</v>
      </c>
      <c r="G61" s="1423"/>
    </row>
    <row r="62" spans="1:7" ht="15.75" x14ac:dyDescent="0.25">
      <c r="A62" s="1420">
        <v>44424</v>
      </c>
      <c r="B62" s="122" t="s">
        <v>17</v>
      </c>
      <c r="C62" s="150">
        <v>1</v>
      </c>
      <c r="D62" s="150">
        <v>1</v>
      </c>
      <c r="E62" s="150">
        <v>1</v>
      </c>
      <c r="F62" s="150">
        <v>1</v>
      </c>
      <c r="G62" s="1430"/>
    </row>
    <row r="63" spans="1:7" x14ac:dyDescent="0.25">
      <c r="A63" s="1421"/>
      <c r="B63" s="115" t="s">
        <v>102</v>
      </c>
      <c r="C63" s="151">
        <v>0</v>
      </c>
      <c r="D63" s="151">
        <v>24</v>
      </c>
      <c r="E63" s="151">
        <v>24</v>
      </c>
      <c r="F63" s="151">
        <v>0</v>
      </c>
      <c r="G63" s="1418"/>
    </row>
    <row r="64" spans="1:7" x14ac:dyDescent="0.25">
      <c r="A64" s="1421"/>
      <c r="B64" s="117" t="s">
        <v>103</v>
      </c>
      <c r="C64" s="151">
        <v>24</v>
      </c>
      <c r="D64" s="151">
        <v>0</v>
      </c>
      <c r="E64" s="151">
        <v>0</v>
      </c>
      <c r="F64" s="151">
        <v>24</v>
      </c>
      <c r="G64" s="1418"/>
    </row>
    <row r="65" spans="1:7" ht="15.75" thickBot="1" x14ac:dyDescent="0.3">
      <c r="A65" s="1422"/>
      <c r="B65" s="119" t="s">
        <v>104</v>
      </c>
      <c r="C65" s="151">
        <v>0</v>
      </c>
      <c r="D65" s="151">
        <v>0</v>
      </c>
      <c r="E65" s="151">
        <v>0</v>
      </c>
      <c r="F65" s="260">
        <v>0</v>
      </c>
      <c r="G65" s="1423"/>
    </row>
    <row r="66" spans="1:7" ht="15.75" x14ac:dyDescent="0.25">
      <c r="A66" s="1420">
        <v>44425</v>
      </c>
      <c r="B66" s="112" t="s">
        <v>17</v>
      </c>
      <c r="C66" s="150">
        <v>1</v>
      </c>
      <c r="D66" s="150">
        <v>1</v>
      </c>
      <c r="E66" s="150">
        <v>1</v>
      </c>
      <c r="F66" s="150">
        <v>1</v>
      </c>
      <c r="G66" s="1417"/>
    </row>
    <row r="67" spans="1:7" x14ac:dyDescent="0.25">
      <c r="A67" s="1421"/>
      <c r="B67" s="115" t="s">
        <v>102</v>
      </c>
      <c r="C67" s="151">
        <v>0</v>
      </c>
      <c r="D67" s="151">
        <v>24</v>
      </c>
      <c r="E67" s="151">
        <v>24</v>
      </c>
      <c r="F67" s="151">
        <v>0</v>
      </c>
      <c r="G67" s="1418"/>
    </row>
    <row r="68" spans="1:7" x14ac:dyDescent="0.25">
      <c r="A68" s="1421"/>
      <c r="B68" s="117" t="s">
        <v>103</v>
      </c>
      <c r="C68" s="151">
        <v>24</v>
      </c>
      <c r="D68" s="151">
        <v>0</v>
      </c>
      <c r="E68" s="151">
        <v>0</v>
      </c>
      <c r="F68" s="151">
        <v>24</v>
      </c>
      <c r="G68" s="1418"/>
    </row>
    <row r="69" spans="1:7" ht="15.75" thickBot="1" x14ac:dyDescent="0.3">
      <c r="A69" s="1422"/>
      <c r="B69" s="119" t="s">
        <v>104</v>
      </c>
      <c r="C69" s="151">
        <v>0</v>
      </c>
      <c r="D69" s="151">
        <v>0</v>
      </c>
      <c r="E69" s="151">
        <v>0</v>
      </c>
      <c r="F69" s="260">
        <v>0</v>
      </c>
      <c r="G69" s="1423"/>
    </row>
    <row r="70" spans="1:7" ht="15.75" x14ac:dyDescent="0.25">
      <c r="A70" s="1420">
        <v>44426</v>
      </c>
      <c r="B70" s="122" t="s">
        <v>17</v>
      </c>
      <c r="C70" s="150">
        <v>1</v>
      </c>
      <c r="D70" s="150">
        <v>1</v>
      </c>
      <c r="E70" s="150">
        <v>1</v>
      </c>
      <c r="F70" s="150">
        <v>1</v>
      </c>
      <c r="G70" s="1417"/>
    </row>
    <row r="71" spans="1:7" x14ac:dyDescent="0.25">
      <c r="A71" s="1421"/>
      <c r="B71" s="115" t="s">
        <v>102</v>
      </c>
      <c r="C71" s="151">
        <v>0</v>
      </c>
      <c r="D71" s="151">
        <v>24</v>
      </c>
      <c r="E71" s="151">
        <v>24</v>
      </c>
      <c r="F71" s="151">
        <v>0</v>
      </c>
      <c r="G71" s="1418"/>
    </row>
    <row r="72" spans="1:7" x14ac:dyDescent="0.25">
      <c r="A72" s="1421"/>
      <c r="B72" s="117" t="s">
        <v>103</v>
      </c>
      <c r="C72" s="151">
        <v>24</v>
      </c>
      <c r="D72" s="151">
        <v>0</v>
      </c>
      <c r="E72" s="151">
        <v>0</v>
      </c>
      <c r="F72" s="151">
        <v>24</v>
      </c>
      <c r="G72" s="1418"/>
    </row>
    <row r="73" spans="1:7" ht="15.75" thickBot="1" x14ac:dyDescent="0.3">
      <c r="A73" s="1422"/>
      <c r="B73" s="119" t="s">
        <v>104</v>
      </c>
      <c r="C73" s="151">
        <v>0</v>
      </c>
      <c r="D73" s="151">
        <v>0</v>
      </c>
      <c r="E73" s="151">
        <v>0</v>
      </c>
      <c r="F73" s="260">
        <v>0</v>
      </c>
      <c r="G73" s="1423"/>
    </row>
    <row r="74" spans="1:7" ht="15.75" x14ac:dyDescent="0.25">
      <c r="A74" s="1420">
        <v>44427</v>
      </c>
      <c r="B74" s="122" t="s">
        <v>17</v>
      </c>
      <c r="C74" s="150">
        <v>1</v>
      </c>
      <c r="D74" s="150">
        <v>1</v>
      </c>
      <c r="E74" s="150">
        <v>1</v>
      </c>
      <c r="F74" s="150">
        <v>1</v>
      </c>
      <c r="G74" s="1417"/>
    </row>
    <row r="75" spans="1:7" x14ac:dyDescent="0.25">
      <c r="A75" s="1421"/>
      <c r="B75" s="115" t="s">
        <v>102</v>
      </c>
      <c r="C75" s="151">
        <v>0</v>
      </c>
      <c r="D75" s="151">
        <v>24</v>
      </c>
      <c r="E75" s="151">
        <v>24</v>
      </c>
      <c r="F75" s="151">
        <v>0</v>
      </c>
      <c r="G75" s="1418"/>
    </row>
    <row r="76" spans="1:7" x14ac:dyDescent="0.25">
      <c r="A76" s="1421"/>
      <c r="B76" s="117" t="s">
        <v>103</v>
      </c>
      <c r="C76" s="151">
        <v>24</v>
      </c>
      <c r="D76" s="151">
        <v>0</v>
      </c>
      <c r="E76" s="151">
        <v>0</v>
      </c>
      <c r="F76" s="151">
        <v>24</v>
      </c>
      <c r="G76" s="1418"/>
    </row>
    <row r="77" spans="1:7" ht="15.75" thickBot="1" x14ac:dyDescent="0.3">
      <c r="A77" s="1422"/>
      <c r="B77" s="119" t="s">
        <v>104</v>
      </c>
      <c r="C77" s="151">
        <v>0</v>
      </c>
      <c r="D77" s="151">
        <v>0</v>
      </c>
      <c r="E77" s="151">
        <v>0</v>
      </c>
      <c r="F77" s="260">
        <v>0</v>
      </c>
      <c r="G77" s="1423"/>
    </row>
    <row r="78" spans="1:7" ht="15.75" x14ac:dyDescent="0.25">
      <c r="A78" s="1420">
        <v>44428</v>
      </c>
      <c r="B78" s="122" t="s">
        <v>17</v>
      </c>
      <c r="C78" s="150">
        <v>1</v>
      </c>
      <c r="D78" s="150">
        <v>1</v>
      </c>
      <c r="E78" s="150">
        <v>1</v>
      </c>
      <c r="F78" s="150">
        <v>1</v>
      </c>
      <c r="G78" s="258"/>
    </row>
    <row r="79" spans="1:7" x14ac:dyDescent="0.25">
      <c r="A79" s="1421"/>
      <c r="B79" s="115" t="s">
        <v>102</v>
      </c>
      <c r="C79" s="151">
        <v>0</v>
      </c>
      <c r="D79" s="151">
        <v>24</v>
      </c>
      <c r="E79" s="151">
        <v>24</v>
      </c>
      <c r="F79" s="151">
        <v>0</v>
      </c>
      <c r="G79" s="258"/>
    </row>
    <row r="80" spans="1:7" x14ac:dyDescent="0.25">
      <c r="A80" s="1421"/>
      <c r="B80" s="117" t="s">
        <v>103</v>
      </c>
      <c r="C80" s="151">
        <v>24</v>
      </c>
      <c r="D80" s="151">
        <v>0</v>
      </c>
      <c r="E80" s="151">
        <v>0</v>
      </c>
      <c r="F80" s="151">
        <v>24</v>
      </c>
      <c r="G80" s="258"/>
    </row>
    <row r="81" spans="1:7" ht="15.75" thickBot="1" x14ac:dyDescent="0.3">
      <c r="A81" s="1422"/>
      <c r="B81" s="119" t="s">
        <v>104</v>
      </c>
      <c r="C81" s="151">
        <v>0</v>
      </c>
      <c r="D81" s="151">
        <v>0</v>
      </c>
      <c r="E81" s="151">
        <v>0</v>
      </c>
      <c r="F81" s="260">
        <v>0</v>
      </c>
      <c r="G81" s="259"/>
    </row>
    <row r="82" spans="1:7" ht="15.75" x14ac:dyDescent="0.25">
      <c r="A82" s="1420">
        <v>44429</v>
      </c>
      <c r="B82" s="122" t="s">
        <v>17</v>
      </c>
      <c r="C82" s="150">
        <v>1</v>
      </c>
      <c r="D82" s="150">
        <v>1</v>
      </c>
      <c r="E82" s="150">
        <v>1</v>
      </c>
      <c r="F82" s="150">
        <v>1</v>
      </c>
      <c r="G82" s="1430"/>
    </row>
    <row r="83" spans="1:7" x14ac:dyDescent="0.25">
      <c r="A83" s="1421"/>
      <c r="B83" s="115" t="s">
        <v>102</v>
      </c>
      <c r="C83" s="151">
        <v>0</v>
      </c>
      <c r="D83" s="151">
        <v>24</v>
      </c>
      <c r="E83" s="151">
        <v>24</v>
      </c>
      <c r="F83" s="151">
        <v>0</v>
      </c>
      <c r="G83" s="1431"/>
    </row>
    <row r="84" spans="1:7" x14ac:dyDescent="0.25">
      <c r="A84" s="1421"/>
      <c r="B84" s="117" t="s">
        <v>103</v>
      </c>
      <c r="C84" s="151">
        <v>24</v>
      </c>
      <c r="D84" s="151">
        <v>0</v>
      </c>
      <c r="E84" s="151">
        <v>0</v>
      </c>
      <c r="F84" s="151">
        <v>24</v>
      </c>
      <c r="G84" s="1431"/>
    </row>
    <row r="85" spans="1:7" ht="15.75" thickBot="1" x14ac:dyDescent="0.3">
      <c r="A85" s="1422"/>
      <c r="B85" s="119" t="s">
        <v>104</v>
      </c>
      <c r="C85" s="151">
        <v>0</v>
      </c>
      <c r="D85" s="151">
        <v>0</v>
      </c>
      <c r="E85" s="151">
        <v>0</v>
      </c>
      <c r="F85" s="260">
        <v>0</v>
      </c>
      <c r="G85" s="1432"/>
    </row>
    <row r="86" spans="1:7" ht="15.75" x14ac:dyDescent="0.25">
      <c r="A86" s="1420">
        <v>44430</v>
      </c>
      <c r="B86" s="122" t="s">
        <v>17</v>
      </c>
      <c r="C86" s="150">
        <v>1</v>
      </c>
      <c r="D86" s="150">
        <v>1</v>
      </c>
      <c r="E86" s="150">
        <v>1</v>
      </c>
      <c r="F86" s="150">
        <v>1</v>
      </c>
      <c r="G86" s="1430" t="s">
        <v>996</v>
      </c>
    </row>
    <row r="87" spans="1:7" x14ac:dyDescent="0.25">
      <c r="A87" s="1421"/>
      <c r="B87" s="115" t="s">
        <v>102</v>
      </c>
      <c r="C87" s="151">
        <v>21</v>
      </c>
      <c r="D87" s="151">
        <v>24</v>
      </c>
      <c r="E87" s="151">
        <v>24</v>
      </c>
      <c r="F87" s="151">
        <v>0</v>
      </c>
      <c r="G87" s="1431"/>
    </row>
    <row r="88" spans="1:7" x14ac:dyDescent="0.25">
      <c r="A88" s="1421"/>
      <c r="B88" s="117" t="s">
        <v>103</v>
      </c>
      <c r="C88" s="151">
        <v>3</v>
      </c>
      <c r="D88" s="151">
        <v>0</v>
      </c>
      <c r="E88" s="151">
        <v>0</v>
      </c>
      <c r="F88" s="151">
        <v>24</v>
      </c>
      <c r="G88" s="1431"/>
    </row>
    <row r="89" spans="1:7" ht="15.75" thickBot="1" x14ac:dyDescent="0.3">
      <c r="A89" s="1422"/>
      <c r="B89" s="119" t="s">
        <v>104</v>
      </c>
      <c r="C89" s="151">
        <v>0</v>
      </c>
      <c r="D89" s="151">
        <v>0</v>
      </c>
      <c r="E89" s="151">
        <v>0</v>
      </c>
      <c r="F89" s="260">
        <v>0</v>
      </c>
      <c r="G89" s="1432"/>
    </row>
    <row r="90" spans="1:7" ht="15.75" x14ac:dyDescent="0.25">
      <c r="A90" s="1420">
        <v>44431</v>
      </c>
      <c r="B90" s="122" t="s">
        <v>17</v>
      </c>
      <c r="C90" s="150">
        <v>1</v>
      </c>
      <c r="D90" s="150">
        <v>1</v>
      </c>
      <c r="E90" s="150">
        <v>1</v>
      </c>
      <c r="F90" s="150">
        <v>1</v>
      </c>
      <c r="G90" s="1430"/>
    </row>
    <row r="91" spans="1:7" x14ac:dyDescent="0.25">
      <c r="A91" s="1421"/>
      <c r="B91" s="115" t="s">
        <v>102</v>
      </c>
      <c r="C91" s="151">
        <v>24</v>
      </c>
      <c r="D91" s="151">
        <v>24</v>
      </c>
      <c r="E91" s="151">
        <v>24</v>
      </c>
      <c r="F91" s="151">
        <v>0</v>
      </c>
      <c r="G91" s="1431"/>
    </row>
    <row r="92" spans="1:7" x14ac:dyDescent="0.25">
      <c r="A92" s="1421"/>
      <c r="B92" s="117" t="s">
        <v>103</v>
      </c>
      <c r="C92" s="151">
        <v>0</v>
      </c>
      <c r="D92" s="151">
        <v>0</v>
      </c>
      <c r="E92" s="151">
        <v>0</v>
      </c>
      <c r="F92" s="151">
        <v>24</v>
      </c>
      <c r="G92" s="1431"/>
    </row>
    <row r="93" spans="1:7" ht="15.75" thickBot="1" x14ac:dyDescent="0.3">
      <c r="A93" s="1422"/>
      <c r="B93" s="119" t="s">
        <v>104</v>
      </c>
      <c r="C93" s="151">
        <v>0</v>
      </c>
      <c r="D93" s="151">
        <v>0</v>
      </c>
      <c r="E93" s="151">
        <v>0</v>
      </c>
      <c r="F93" s="260">
        <v>0</v>
      </c>
      <c r="G93" s="1432"/>
    </row>
    <row r="94" spans="1:7" ht="15.75" x14ac:dyDescent="0.25">
      <c r="A94" s="1420">
        <v>44432</v>
      </c>
      <c r="B94" s="122" t="s">
        <v>17</v>
      </c>
      <c r="C94" s="150">
        <v>1</v>
      </c>
      <c r="D94" s="150">
        <v>1</v>
      </c>
      <c r="E94" s="150">
        <v>1</v>
      </c>
      <c r="F94" s="150">
        <v>1</v>
      </c>
      <c r="G94" s="1417" t="s">
        <v>1013</v>
      </c>
    </row>
    <row r="95" spans="1:7" x14ac:dyDescent="0.25">
      <c r="A95" s="1421"/>
      <c r="B95" s="115" t="s">
        <v>102</v>
      </c>
      <c r="C95" s="151">
        <v>24</v>
      </c>
      <c r="D95" s="151">
        <v>22.18</v>
      </c>
      <c r="E95" s="151">
        <v>24</v>
      </c>
      <c r="F95" s="151">
        <v>0</v>
      </c>
      <c r="G95" s="1418"/>
    </row>
    <row r="96" spans="1:7" x14ac:dyDescent="0.25">
      <c r="A96" s="1421"/>
      <c r="B96" s="117" t="s">
        <v>103</v>
      </c>
      <c r="C96" s="151">
        <v>0</v>
      </c>
      <c r="D96" s="151">
        <v>1.82</v>
      </c>
      <c r="E96" s="151">
        <v>0</v>
      </c>
      <c r="F96" s="151">
        <v>24</v>
      </c>
      <c r="G96" s="1418"/>
    </row>
    <row r="97" spans="1:7" ht="15.75" thickBot="1" x14ac:dyDescent="0.3">
      <c r="A97" s="1422"/>
      <c r="B97" s="119" t="s">
        <v>104</v>
      </c>
      <c r="C97" s="151">
        <v>0</v>
      </c>
      <c r="D97" s="151">
        <v>0</v>
      </c>
      <c r="E97" s="151">
        <v>0</v>
      </c>
      <c r="F97" s="260">
        <v>0</v>
      </c>
      <c r="G97" s="1423"/>
    </row>
    <row r="98" spans="1:7" ht="15.75" x14ac:dyDescent="0.25">
      <c r="A98" s="1420">
        <v>44433</v>
      </c>
      <c r="B98" s="122" t="s">
        <v>17</v>
      </c>
      <c r="C98" s="150">
        <v>1</v>
      </c>
      <c r="D98" s="150">
        <v>1</v>
      </c>
      <c r="E98" s="150">
        <v>1</v>
      </c>
      <c r="F98" s="150">
        <v>1</v>
      </c>
      <c r="G98" s="1417" t="s">
        <v>1033</v>
      </c>
    </row>
    <row r="99" spans="1:7" x14ac:dyDescent="0.25">
      <c r="A99" s="1421"/>
      <c r="B99" s="115" t="s">
        <v>102</v>
      </c>
      <c r="C99" s="151">
        <v>9</v>
      </c>
      <c r="D99" s="151">
        <v>23.33</v>
      </c>
      <c r="E99" s="151">
        <v>24</v>
      </c>
      <c r="F99" s="151">
        <v>0</v>
      </c>
      <c r="G99" s="1418"/>
    </row>
    <row r="100" spans="1:7" ht="30" customHeight="1" x14ac:dyDescent="0.25">
      <c r="A100" s="1421"/>
      <c r="B100" s="117" t="s">
        <v>103</v>
      </c>
      <c r="C100" s="151">
        <v>15</v>
      </c>
      <c r="D100" s="151">
        <v>0.67</v>
      </c>
      <c r="E100" s="151">
        <v>0</v>
      </c>
      <c r="F100" s="151">
        <v>24</v>
      </c>
      <c r="G100" s="1418"/>
    </row>
    <row r="101" spans="1:7" ht="57" customHeight="1" thickBot="1" x14ac:dyDescent="0.3">
      <c r="A101" s="1422"/>
      <c r="B101" s="119" t="s">
        <v>104</v>
      </c>
      <c r="C101" s="151">
        <v>0</v>
      </c>
      <c r="D101" s="151">
        <v>0</v>
      </c>
      <c r="E101" s="151">
        <v>0</v>
      </c>
      <c r="F101" s="260">
        <v>0</v>
      </c>
      <c r="G101" s="1423"/>
    </row>
    <row r="102" spans="1:7" ht="15.75" x14ac:dyDescent="0.25">
      <c r="A102" s="1420">
        <v>44434</v>
      </c>
      <c r="B102" s="122" t="s">
        <v>17</v>
      </c>
      <c r="C102" s="150">
        <v>1</v>
      </c>
      <c r="D102" s="150">
        <v>1</v>
      </c>
      <c r="E102" s="150">
        <v>1</v>
      </c>
      <c r="F102" s="150">
        <v>1</v>
      </c>
      <c r="G102" s="1417"/>
    </row>
    <row r="103" spans="1:7" x14ac:dyDescent="0.25">
      <c r="A103" s="1421"/>
      <c r="B103" s="117" t="s">
        <v>102</v>
      </c>
      <c r="C103" s="151">
        <v>0</v>
      </c>
      <c r="D103" s="151">
        <v>24</v>
      </c>
      <c r="E103" s="151">
        <v>24</v>
      </c>
      <c r="F103" s="151">
        <v>0</v>
      </c>
      <c r="G103" s="1418"/>
    </row>
    <row r="104" spans="1:7" x14ac:dyDescent="0.25">
      <c r="A104" s="1421"/>
      <c r="B104" s="117" t="s">
        <v>103</v>
      </c>
      <c r="C104" s="151">
        <v>24</v>
      </c>
      <c r="D104" s="151">
        <v>0</v>
      </c>
      <c r="E104" s="151">
        <v>0</v>
      </c>
      <c r="F104" s="151">
        <v>24</v>
      </c>
      <c r="G104" s="1418"/>
    </row>
    <row r="105" spans="1:7" ht="15.75" thickBot="1" x14ac:dyDescent="0.3">
      <c r="A105" s="1422"/>
      <c r="B105" s="119" t="s">
        <v>104</v>
      </c>
      <c r="C105" s="151">
        <v>0</v>
      </c>
      <c r="D105" s="151">
        <v>0</v>
      </c>
      <c r="E105" s="151">
        <v>0</v>
      </c>
      <c r="F105" s="260">
        <v>0</v>
      </c>
      <c r="G105" s="1423"/>
    </row>
    <row r="106" spans="1:7" ht="15.75" x14ac:dyDescent="0.25">
      <c r="A106" s="1420">
        <v>44435</v>
      </c>
      <c r="B106" s="112" t="s">
        <v>17</v>
      </c>
      <c r="C106" s="150">
        <v>1</v>
      </c>
      <c r="D106" s="150">
        <v>1</v>
      </c>
      <c r="E106" s="150">
        <v>1</v>
      </c>
      <c r="F106" s="150">
        <v>1</v>
      </c>
      <c r="G106" s="1417"/>
    </row>
    <row r="107" spans="1:7" x14ac:dyDescent="0.25">
      <c r="A107" s="1421"/>
      <c r="B107" s="117" t="s">
        <v>102</v>
      </c>
      <c r="C107" s="151">
        <v>0</v>
      </c>
      <c r="D107" s="151">
        <v>24</v>
      </c>
      <c r="E107" s="151">
        <v>24</v>
      </c>
      <c r="F107" s="151">
        <v>0</v>
      </c>
      <c r="G107" s="1418"/>
    </row>
    <row r="108" spans="1:7" x14ac:dyDescent="0.25">
      <c r="A108" s="1421"/>
      <c r="B108" s="117" t="s">
        <v>103</v>
      </c>
      <c r="C108" s="151">
        <v>24</v>
      </c>
      <c r="D108" s="151">
        <v>0</v>
      </c>
      <c r="E108" s="151">
        <v>0</v>
      </c>
      <c r="F108" s="151">
        <v>24</v>
      </c>
      <c r="G108" s="1418"/>
    </row>
    <row r="109" spans="1:7" ht="15.75" thickBot="1" x14ac:dyDescent="0.3">
      <c r="A109" s="1422"/>
      <c r="B109" s="119" t="s">
        <v>104</v>
      </c>
      <c r="C109" s="151">
        <v>0</v>
      </c>
      <c r="D109" s="151">
        <v>0</v>
      </c>
      <c r="E109" s="151">
        <v>0</v>
      </c>
      <c r="F109" s="260">
        <v>0</v>
      </c>
      <c r="G109" s="1423"/>
    </row>
    <row r="110" spans="1:7" ht="15.75" x14ac:dyDescent="0.25">
      <c r="A110" s="1420">
        <v>44436</v>
      </c>
      <c r="B110" s="112" t="s">
        <v>17</v>
      </c>
      <c r="C110" s="150">
        <v>1</v>
      </c>
      <c r="D110" s="150">
        <v>1</v>
      </c>
      <c r="E110" s="150">
        <v>1</v>
      </c>
      <c r="F110" s="150">
        <v>1</v>
      </c>
      <c r="G110" s="1417" t="s">
        <v>1049</v>
      </c>
    </row>
    <row r="111" spans="1:7" x14ac:dyDescent="0.25">
      <c r="A111" s="1421"/>
      <c r="B111" s="117" t="s">
        <v>102</v>
      </c>
      <c r="C111" s="151">
        <v>0</v>
      </c>
      <c r="D111" s="151">
        <v>23.17</v>
      </c>
      <c r="E111" s="151">
        <v>24</v>
      </c>
      <c r="F111" s="151">
        <v>0</v>
      </c>
      <c r="G111" s="1418"/>
    </row>
    <row r="112" spans="1:7" x14ac:dyDescent="0.25">
      <c r="A112" s="1421"/>
      <c r="B112" s="117" t="s">
        <v>103</v>
      </c>
      <c r="C112" s="151">
        <v>24</v>
      </c>
      <c r="D112" s="151">
        <v>0.83</v>
      </c>
      <c r="E112" s="151">
        <v>0</v>
      </c>
      <c r="F112" s="151">
        <v>24</v>
      </c>
      <c r="G112" s="1418"/>
    </row>
    <row r="113" spans="1:7" ht="25.5" customHeight="1" thickBot="1" x14ac:dyDescent="0.3">
      <c r="A113" s="1422"/>
      <c r="B113" s="119" t="s">
        <v>104</v>
      </c>
      <c r="C113" s="151">
        <v>0</v>
      </c>
      <c r="D113" s="151">
        <v>0</v>
      </c>
      <c r="E113" s="151">
        <v>0</v>
      </c>
      <c r="F113" s="260">
        <v>0</v>
      </c>
      <c r="G113" s="1423"/>
    </row>
    <row r="114" spans="1:7" ht="15.75" x14ac:dyDescent="0.25">
      <c r="A114" s="1420">
        <v>44437</v>
      </c>
      <c r="B114" s="122" t="s">
        <v>17</v>
      </c>
      <c r="C114" s="150">
        <v>1</v>
      </c>
      <c r="D114" s="150">
        <v>1</v>
      </c>
      <c r="E114" s="150">
        <v>1</v>
      </c>
      <c r="F114" s="150">
        <v>1</v>
      </c>
      <c r="G114" s="1417" t="s">
        <v>1064</v>
      </c>
    </row>
    <row r="115" spans="1:7" x14ac:dyDescent="0.25">
      <c r="A115" s="1421"/>
      <c r="B115" s="117" t="s">
        <v>102</v>
      </c>
      <c r="C115" s="151">
        <v>0</v>
      </c>
      <c r="D115" s="151">
        <v>17</v>
      </c>
      <c r="E115" s="151">
        <v>24</v>
      </c>
      <c r="F115" s="151">
        <v>0</v>
      </c>
      <c r="G115" s="1418"/>
    </row>
    <row r="116" spans="1:7" x14ac:dyDescent="0.25">
      <c r="A116" s="1421"/>
      <c r="B116" s="117" t="s">
        <v>103</v>
      </c>
      <c r="C116" s="151">
        <v>24</v>
      </c>
      <c r="D116" s="151">
        <v>7</v>
      </c>
      <c r="E116" s="151">
        <v>0</v>
      </c>
      <c r="F116" s="151">
        <v>24</v>
      </c>
      <c r="G116" s="1418"/>
    </row>
    <row r="117" spans="1:7" ht="49.5" customHeight="1" thickBot="1" x14ac:dyDescent="0.3">
      <c r="A117" s="1422"/>
      <c r="B117" s="119" t="s">
        <v>104</v>
      </c>
      <c r="C117" s="151">
        <v>0</v>
      </c>
      <c r="D117" s="151">
        <v>0</v>
      </c>
      <c r="E117" s="151">
        <v>0</v>
      </c>
      <c r="F117" s="260">
        <v>0</v>
      </c>
      <c r="G117" s="1423"/>
    </row>
    <row r="118" spans="1:7" ht="15.75" x14ac:dyDescent="0.25">
      <c r="A118" s="1420">
        <v>44438</v>
      </c>
      <c r="B118" s="112" t="s">
        <v>17</v>
      </c>
      <c r="C118" s="150">
        <v>1</v>
      </c>
      <c r="D118" s="150">
        <v>1</v>
      </c>
      <c r="E118" s="150">
        <v>1</v>
      </c>
      <c r="F118" s="150">
        <v>1</v>
      </c>
      <c r="G118" s="1433"/>
    </row>
    <row r="119" spans="1:7" x14ac:dyDescent="0.25">
      <c r="A119" s="1421"/>
      <c r="B119" s="117" t="s">
        <v>102</v>
      </c>
      <c r="C119" s="151">
        <v>0</v>
      </c>
      <c r="D119" s="151">
        <v>24</v>
      </c>
      <c r="E119" s="151">
        <v>24</v>
      </c>
      <c r="F119" s="151">
        <v>0</v>
      </c>
      <c r="G119" s="1434"/>
    </row>
    <row r="120" spans="1:7" x14ac:dyDescent="0.25">
      <c r="A120" s="1421"/>
      <c r="B120" s="117" t="s">
        <v>103</v>
      </c>
      <c r="C120" s="151">
        <v>24</v>
      </c>
      <c r="D120" s="151">
        <v>0</v>
      </c>
      <c r="E120" s="151">
        <v>0</v>
      </c>
      <c r="F120" s="151">
        <v>24</v>
      </c>
      <c r="G120" s="1434"/>
    </row>
    <row r="121" spans="1:7" ht="42.75" customHeight="1" thickBot="1" x14ac:dyDescent="0.3">
      <c r="A121" s="1422"/>
      <c r="B121" s="119" t="s">
        <v>104</v>
      </c>
      <c r="C121" s="151">
        <v>0</v>
      </c>
      <c r="D121" s="151">
        <v>0</v>
      </c>
      <c r="E121" s="151">
        <v>0</v>
      </c>
      <c r="F121" s="260">
        <v>0</v>
      </c>
      <c r="G121" s="1435"/>
    </row>
    <row r="122" spans="1:7" ht="15.75" x14ac:dyDescent="0.25">
      <c r="A122" s="1420">
        <v>44439</v>
      </c>
      <c r="B122" s="112" t="s">
        <v>17</v>
      </c>
      <c r="C122" s="150">
        <v>1</v>
      </c>
      <c r="D122" s="150">
        <v>1</v>
      </c>
      <c r="E122" s="150">
        <v>1</v>
      </c>
      <c r="F122" s="150">
        <v>1</v>
      </c>
      <c r="G122" s="1417" t="s">
        <v>1073</v>
      </c>
    </row>
    <row r="123" spans="1:7" x14ac:dyDescent="0.25">
      <c r="A123" s="1421"/>
      <c r="B123" s="117" t="s">
        <v>102</v>
      </c>
      <c r="C123" s="151">
        <v>18.170000000000002</v>
      </c>
      <c r="D123" s="151">
        <v>24</v>
      </c>
      <c r="E123" s="151">
        <v>24</v>
      </c>
      <c r="F123" s="151">
        <v>0</v>
      </c>
      <c r="G123" s="1418"/>
    </row>
    <row r="124" spans="1:7" x14ac:dyDescent="0.25">
      <c r="A124" s="1421"/>
      <c r="B124" s="117" t="s">
        <v>103</v>
      </c>
      <c r="C124" s="151">
        <v>5.83</v>
      </c>
      <c r="D124" s="151">
        <v>0</v>
      </c>
      <c r="E124" s="151">
        <v>0</v>
      </c>
      <c r="F124" s="151">
        <v>24</v>
      </c>
      <c r="G124" s="1418"/>
    </row>
    <row r="125" spans="1:7" ht="15.75" thickBot="1" x14ac:dyDescent="0.3">
      <c r="A125" s="1422"/>
      <c r="B125" s="119" t="s">
        <v>104</v>
      </c>
      <c r="C125" s="151">
        <v>0</v>
      </c>
      <c r="D125" s="151">
        <v>0</v>
      </c>
      <c r="E125" s="151">
        <v>0</v>
      </c>
      <c r="F125" s="260">
        <v>0</v>
      </c>
      <c r="G125" s="1423"/>
    </row>
    <row r="126" spans="1:7" x14ac:dyDescent="0.25">
      <c r="A126" s="130" t="s">
        <v>689</v>
      </c>
      <c r="B126" s="131"/>
      <c r="C126" s="132">
        <f>SUM(C123,C119,C115,C111,C107,C103,C99,C95,C91,C87,C83,C79,C75,C71,C67,C63,C59,C55,C51,C47,C43,C39,C35,C31,C27,C23,C19,C15,C11,C7,C3)</f>
        <v>244.42</v>
      </c>
      <c r="D126" s="132">
        <f t="shared" ref="D126" si="0">SUM(D123,D119,D115,D111,D107,D103,D99,D95,D91,D87,D83,D79,D75,D71,D67,D63,D59,D55,D51,D47,D43,D39,D35,D31,D27,D23,D19,D15,D11,D7,D3)</f>
        <v>692</v>
      </c>
      <c r="E126" s="132">
        <f>SUM(E123,E119,E115,E111,E107,E103,E99,E95,E91,E87,E83,E79,E75,E71,E67,E63,E59,E55,E51,E47,E43,E39,E35,E31,E27,E23,E19,E15,E11,E7,E3)</f>
        <v>744</v>
      </c>
      <c r="F126" s="132">
        <f>SUM(F123,F119,F115,F111,F107,F103,F99,F95,F91,F87,F83,F79,F75,F71,F67,F63,F59,F55,F51,F47,F43,F39,F35,F31,F27,F23,F19,F15,F11,F7,F3)</f>
        <v>0</v>
      </c>
      <c r="G126" s="115"/>
    </row>
    <row r="127" spans="1:7" x14ac:dyDescent="0.25">
      <c r="A127" s="1424" t="s">
        <v>690</v>
      </c>
      <c r="B127" s="1425"/>
      <c r="C127" s="135">
        <f t="shared" ref="C127:E127" si="1">SUM(C124,C120,C116,C112,C108,C104,C100,C96,C92,C88,C84,C80,C76,C72,C68,C64,C60,C56,C52,C48,C44,C40,C36,C32,C28,C24,C20,C16,C12,C8,C4)</f>
        <v>499.58</v>
      </c>
      <c r="D127" s="135">
        <f t="shared" si="1"/>
        <v>52</v>
      </c>
      <c r="E127" s="135">
        <f t="shared" si="1"/>
        <v>0</v>
      </c>
      <c r="F127" s="135">
        <f>SUM(F124,F120,F116,F112,F108,F104,F100,F96,F92,F88,F84,F80,F76,F72,F68,F64,F60,F56,F52,F48,F44,F40,F36,F32,F28,F24,F20,F16,F12,F8,F4)</f>
        <v>744</v>
      </c>
      <c r="G127" s="117"/>
    </row>
    <row r="128" spans="1:7" ht="15.75" thickBot="1" x14ac:dyDescent="0.3">
      <c r="A128" s="1426" t="s">
        <v>691</v>
      </c>
      <c r="B128" s="1427"/>
      <c r="C128" s="138">
        <f t="shared" ref="C128:E128" si="2">SUM(C113,C109,C105,C101,C97,C93,C89,C85,C81,C77,C73,C69,C65,C61,C57,C53,C49,C45,C41,C37,C33,C29,C25,C21,C17,C13,C9,C5)</f>
        <v>0</v>
      </c>
      <c r="D128" s="138">
        <f t="shared" si="2"/>
        <v>0</v>
      </c>
      <c r="E128" s="138">
        <f t="shared" si="2"/>
        <v>0</v>
      </c>
      <c r="F128" s="138">
        <f>SUM(F125,F121,F117,F113,F109,F105,F101,F97,F93,F89,F85,F81,F77,F73,F69,F65,F61,F57,F53,F49,F45,F41,F37,F33,F29,F25,F21,F17,F13,F9,F5)</f>
        <v>0</v>
      </c>
      <c r="G128" s="119"/>
    </row>
    <row r="129" spans="1:7" ht="15.75" thickBot="1" x14ac:dyDescent="0.3">
      <c r="A129" s="1428" t="s">
        <v>108</v>
      </c>
      <c r="B129" s="1429"/>
      <c r="C129" s="261"/>
      <c r="D129" s="261"/>
      <c r="E129" s="261"/>
      <c r="F129" s="261"/>
      <c r="G129" s="141"/>
    </row>
  </sheetData>
  <mergeCells count="64">
    <mergeCell ref="A127:B127"/>
    <mergeCell ref="A128:B128"/>
    <mergeCell ref="A129:B129"/>
    <mergeCell ref="A114:A117"/>
    <mergeCell ref="G114:G117"/>
    <mergeCell ref="A118:A121"/>
    <mergeCell ref="G118:G121"/>
    <mergeCell ref="A122:A125"/>
    <mergeCell ref="G122:G125"/>
    <mergeCell ref="A102:A105"/>
    <mergeCell ref="G102:G105"/>
    <mergeCell ref="A106:A109"/>
    <mergeCell ref="G106:G109"/>
    <mergeCell ref="A110:A113"/>
    <mergeCell ref="G110:G113"/>
    <mergeCell ref="A90:A93"/>
    <mergeCell ref="G90:G93"/>
    <mergeCell ref="A94:A97"/>
    <mergeCell ref="G94:G97"/>
    <mergeCell ref="A98:A101"/>
    <mergeCell ref="G98:G101"/>
    <mergeCell ref="A86:A89"/>
    <mergeCell ref="G86:G89"/>
    <mergeCell ref="A62:A65"/>
    <mergeCell ref="G62:G65"/>
    <mergeCell ref="A66:A69"/>
    <mergeCell ref="G66:G69"/>
    <mergeCell ref="A70:A73"/>
    <mergeCell ref="G70:G73"/>
    <mergeCell ref="A74:A77"/>
    <mergeCell ref="G74:G77"/>
    <mergeCell ref="A78:A81"/>
    <mergeCell ref="A82:A85"/>
    <mergeCell ref="G82:G85"/>
    <mergeCell ref="A50:A53"/>
    <mergeCell ref="G50:G53"/>
    <mergeCell ref="A54:A57"/>
    <mergeCell ref="G54:G57"/>
    <mergeCell ref="A58:A61"/>
    <mergeCell ref="G58:G61"/>
    <mergeCell ref="A38:A41"/>
    <mergeCell ref="G38:G41"/>
    <mergeCell ref="A42:A45"/>
    <mergeCell ref="G42:G45"/>
    <mergeCell ref="A46:A49"/>
    <mergeCell ref="G46:G49"/>
    <mergeCell ref="A26:A29"/>
    <mergeCell ref="G26:G29"/>
    <mergeCell ref="A30:A33"/>
    <mergeCell ref="G30:G33"/>
    <mergeCell ref="A34:A37"/>
    <mergeCell ref="G34:G37"/>
    <mergeCell ref="A14:A17"/>
    <mergeCell ref="G14:G17"/>
    <mergeCell ref="A18:A21"/>
    <mergeCell ref="G18:G21"/>
    <mergeCell ref="A22:A25"/>
    <mergeCell ref="G22:G25"/>
    <mergeCell ref="A2:A5"/>
    <mergeCell ref="G2:G5"/>
    <mergeCell ref="A6:A9"/>
    <mergeCell ref="G6:G9"/>
    <mergeCell ref="A10:A13"/>
    <mergeCell ref="G10:G13"/>
  </mergeCells>
  <pageMargins left="0.7" right="0.7" top="0.75" bottom="0.75" header="0.3" footer="0.3"/>
  <pageSetup paperSize="9" orientation="portrait"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G129"/>
  <sheetViews>
    <sheetView workbookViewId="0">
      <pane ySplit="1" topLeftCell="A117" activePane="bottomLeft" state="frozen"/>
      <selection pane="bottomLeft" activeCell="G74" sqref="G74:G77"/>
    </sheetView>
  </sheetViews>
  <sheetFormatPr defaultRowHeight="15" x14ac:dyDescent="0.25"/>
  <cols>
    <col min="1" max="1" width="47.7109375" customWidth="1"/>
    <col min="2" max="2" width="25" customWidth="1"/>
    <col min="4" max="4" width="9.140625" style="1"/>
    <col min="7" max="7" width="45.85546875" customWidth="1"/>
  </cols>
  <sheetData>
    <row r="1" spans="1:7" ht="16.5" thickBot="1" x14ac:dyDescent="0.3">
      <c r="A1" s="108" t="s">
        <v>98</v>
      </c>
      <c r="B1" s="446" t="s">
        <v>17</v>
      </c>
      <c r="C1" s="447" t="s">
        <v>310</v>
      </c>
      <c r="D1" s="447" t="s">
        <v>239</v>
      </c>
      <c r="E1" s="447" t="s">
        <v>100</v>
      </c>
      <c r="F1" s="447" t="s">
        <v>157</v>
      </c>
      <c r="G1" s="111" t="s">
        <v>101</v>
      </c>
    </row>
    <row r="2" spans="1:7" x14ac:dyDescent="0.25">
      <c r="A2" s="1436">
        <v>44440</v>
      </c>
      <c r="B2" s="448" t="s">
        <v>102</v>
      </c>
      <c r="C2" s="449">
        <v>1</v>
      </c>
      <c r="D2" s="450">
        <v>1</v>
      </c>
      <c r="E2" s="451">
        <v>1</v>
      </c>
      <c r="F2" s="150">
        <v>1</v>
      </c>
      <c r="G2" s="1439"/>
    </row>
    <row r="3" spans="1:7" x14ac:dyDescent="0.25">
      <c r="A3" s="1437"/>
      <c r="B3" s="453" t="s">
        <v>102</v>
      </c>
      <c r="C3" s="454">
        <v>24</v>
      </c>
      <c r="D3" s="455">
        <v>24</v>
      </c>
      <c r="E3" s="445">
        <v>24</v>
      </c>
      <c r="F3" s="151">
        <v>0</v>
      </c>
      <c r="G3" s="1440"/>
    </row>
    <row r="4" spans="1:7" x14ac:dyDescent="0.25">
      <c r="A4" s="1437"/>
      <c r="B4" s="448" t="s">
        <v>103</v>
      </c>
      <c r="C4" s="454">
        <v>0</v>
      </c>
      <c r="D4" s="455">
        <v>0</v>
      </c>
      <c r="E4" s="445">
        <v>0</v>
      </c>
      <c r="F4" s="151">
        <v>24</v>
      </c>
      <c r="G4" s="1440"/>
    </row>
    <row r="5" spans="1:7" ht="15.75" thickBot="1" x14ac:dyDescent="0.3">
      <c r="A5" s="1438"/>
      <c r="B5" s="457" t="s">
        <v>104</v>
      </c>
      <c r="C5" s="458">
        <v>0</v>
      </c>
      <c r="D5" s="459">
        <v>0</v>
      </c>
      <c r="E5" s="460">
        <v>0</v>
      </c>
      <c r="F5" s="260">
        <v>0</v>
      </c>
      <c r="G5" s="1441"/>
    </row>
    <row r="6" spans="1:7" ht="15.75" x14ac:dyDescent="0.25">
      <c r="A6" s="1436">
        <v>44441</v>
      </c>
      <c r="B6" s="112" t="s">
        <v>17</v>
      </c>
      <c r="C6" s="449">
        <v>1</v>
      </c>
      <c r="D6" s="450">
        <v>1</v>
      </c>
      <c r="E6" s="451">
        <v>1</v>
      </c>
      <c r="F6" s="150">
        <v>1</v>
      </c>
      <c r="G6" s="1439" t="s">
        <v>1092</v>
      </c>
    </row>
    <row r="7" spans="1:7" x14ac:dyDescent="0.25">
      <c r="A7" s="1437"/>
      <c r="B7" s="115" t="s">
        <v>102</v>
      </c>
      <c r="C7" s="454">
        <v>16.75</v>
      </c>
      <c r="D7" s="455">
        <v>24</v>
      </c>
      <c r="E7" s="480">
        <v>24</v>
      </c>
      <c r="F7" s="151">
        <v>0</v>
      </c>
      <c r="G7" s="1440"/>
    </row>
    <row r="8" spans="1:7" x14ac:dyDescent="0.25">
      <c r="A8" s="1437"/>
      <c r="B8" s="117" t="s">
        <v>103</v>
      </c>
      <c r="C8" s="454">
        <v>7.25</v>
      </c>
      <c r="D8" s="455">
        <v>0</v>
      </c>
      <c r="E8" s="480">
        <v>0</v>
      </c>
      <c r="F8" s="151">
        <v>24</v>
      </c>
      <c r="G8" s="1440"/>
    </row>
    <row r="9" spans="1:7" ht="15.75" thickBot="1" x14ac:dyDescent="0.3">
      <c r="A9" s="1438"/>
      <c r="B9" s="119" t="s">
        <v>104</v>
      </c>
      <c r="C9" s="458">
        <v>0</v>
      </c>
      <c r="D9" s="459">
        <v>0</v>
      </c>
      <c r="E9" s="460">
        <v>0</v>
      </c>
      <c r="F9" s="260">
        <v>0</v>
      </c>
      <c r="G9" s="1441"/>
    </row>
    <row r="10" spans="1:7" ht="15.75" x14ac:dyDescent="0.25">
      <c r="A10" s="1436">
        <v>44442</v>
      </c>
      <c r="B10" s="112" t="s">
        <v>17</v>
      </c>
      <c r="C10" s="449">
        <v>1</v>
      </c>
      <c r="D10" s="450">
        <v>1</v>
      </c>
      <c r="E10" s="451">
        <v>1</v>
      </c>
      <c r="F10" s="150">
        <v>1</v>
      </c>
      <c r="G10" s="1439"/>
    </row>
    <row r="11" spans="1:7" x14ac:dyDescent="0.25">
      <c r="A11" s="1437"/>
      <c r="B11" s="115" t="s">
        <v>102</v>
      </c>
      <c r="C11" s="454">
        <v>0</v>
      </c>
      <c r="D11" s="455">
        <v>24</v>
      </c>
      <c r="E11" s="482">
        <v>24</v>
      </c>
      <c r="F11" s="151">
        <v>0</v>
      </c>
      <c r="G11" s="1440"/>
    </row>
    <row r="12" spans="1:7" x14ac:dyDescent="0.25">
      <c r="A12" s="1437"/>
      <c r="B12" s="117" t="s">
        <v>103</v>
      </c>
      <c r="C12" s="454">
        <v>24</v>
      </c>
      <c r="D12" s="455">
        <v>0</v>
      </c>
      <c r="E12" s="482">
        <v>0</v>
      </c>
      <c r="F12" s="151">
        <v>24</v>
      </c>
      <c r="G12" s="1440"/>
    </row>
    <row r="13" spans="1:7" ht="15.75" thickBot="1" x14ac:dyDescent="0.3">
      <c r="A13" s="1438"/>
      <c r="B13" s="119" t="s">
        <v>104</v>
      </c>
      <c r="C13" s="458">
        <v>0</v>
      </c>
      <c r="D13" s="459">
        <v>0</v>
      </c>
      <c r="E13" s="460">
        <v>0</v>
      </c>
      <c r="F13" s="260">
        <v>0</v>
      </c>
      <c r="G13" s="1441"/>
    </row>
    <row r="14" spans="1:7" ht="15.75" x14ac:dyDescent="0.25">
      <c r="A14" s="1436">
        <v>44443</v>
      </c>
      <c r="B14" s="112" t="s">
        <v>17</v>
      </c>
      <c r="C14" s="449">
        <v>1</v>
      </c>
      <c r="D14" s="450">
        <v>1</v>
      </c>
      <c r="E14" s="451">
        <v>1</v>
      </c>
      <c r="F14" s="150">
        <v>1</v>
      </c>
      <c r="G14" s="1439"/>
    </row>
    <row r="15" spans="1:7" x14ac:dyDescent="0.25">
      <c r="A15" s="1437"/>
      <c r="B15" s="115" t="s">
        <v>102</v>
      </c>
      <c r="C15" s="454">
        <v>0</v>
      </c>
      <c r="D15" s="455">
        <v>24</v>
      </c>
      <c r="E15" s="483">
        <v>24</v>
      </c>
      <c r="F15" s="151">
        <v>0</v>
      </c>
      <c r="G15" s="1440"/>
    </row>
    <row r="16" spans="1:7" x14ac:dyDescent="0.25">
      <c r="A16" s="1437"/>
      <c r="B16" s="117" t="s">
        <v>103</v>
      </c>
      <c r="C16" s="454">
        <v>24</v>
      </c>
      <c r="D16" s="455">
        <v>0</v>
      </c>
      <c r="E16" s="483">
        <v>0</v>
      </c>
      <c r="F16" s="151">
        <v>24</v>
      </c>
      <c r="G16" s="1440"/>
    </row>
    <row r="17" spans="1:7" ht="15.75" thickBot="1" x14ac:dyDescent="0.3">
      <c r="A17" s="1438"/>
      <c r="B17" s="119" t="s">
        <v>104</v>
      </c>
      <c r="C17" s="458">
        <v>0</v>
      </c>
      <c r="D17" s="459">
        <v>0</v>
      </c>
      <c r="E17" s="460">
        <v>0</v>
      </c>
      <c r="F17" s="260">
        <v>0</v>
      </c>
      <c r="G17" s="1441"/>
    </row>
    <row r="18" spans="1:7" ht="15.75" x14ac:dyDescent="0.25">
      <c r="A18" s="1436">
        <v>44444</v>
      </c>
      <c r="B18" s="122" t="s">
        <v>17</v>
      </c>
      <c r="C18" s="449">
        <v>1</v>
      </c>
      <c r="D18" s="450">
        <v>1</v>
      </c>
      <c r="E18" s="451">
        <v>1</v>
      </c>
      <c r="F18" s="150">
        <v>1</v>
      </c>
      <c r="G18" s="1439"/>
    </row>
    <row r="19" spans="1:7" x14ac:dyDescent="0.25">
      <c r="A19" s="1437"/>
      <c r="B19" s="115" t="s">
        <v>102</v>
      </c>
      <c r="C19" s="454">
        <v>0</v>
      </c>
      <c r="D19" s="455">
        <v>24</v>
      </c>
      <c r="E19" s="484">
        <v>24</v>
      </c>
      <c r="F19" s="151">
        <v>0</v>
      </c>
      <c r="G19" s="1440"/>
    </row>
    <row r="20" spans="1:7" x14ac:dyDescent="0.25">
      <c r="A20" s="1437"/>
      <c r="B20" s="117" t="s">
        <v>103</v>
      </c>
      <c r="C20" s="454">
        <v>24</v>
      </c>
      <c r="D20" s="455">
        <v>0</v>
      </c>
      <c r="E20" s="484">
        <v>0</v>
      </c>
      <c r="F20" s="151">
        <v>24</v>
      </c>
      <c r="G20" s="1440"/>
    </row>
    <row r="21" spans="1:7" ht="15.75" thickBot="1" x14ac:dyDescent="0.3">
      <c r="A21" s="1438"/>
      <c r="B21" s="119" t="s">
        <v>104</v>
      </c>
      <c r="C21" s="458">
        <v>0</v>
      </c>
      <c r="D21" s="459">
        <v>0</v>
      </c>
      <c r="E21" s="460">
        <v>0</v>
      </c>
      <c r="F21" s="260">
        <v>0</v>
      </c>
      <c r="G21" s="1441"/>
    </row>
    <row r="22" spans="1:7" ht="15.75" x14ac:dyDescent="0.25">
      <c r="A22" s="1436">
        <v>44445</v>
      </c>
      <c r="B22" s="112" t="s">
        <v>17</v>
      </c>
      <c r="C22" s="449">
        <v>1</v>
      </c>
      <c r="D22" s="450">
        <v>1</v>
      </c>
      <c r="E22" s="451">
        <v>1</v>
      </c>
      <c r="F22" s="150">
        <v>1</v>
      </c>
      <c r="G22" s="1439"/>
    </row>
    <row r="23" spans="1:7" x14ac:dyDescent="0.25">
      <c r="A23" s="1437"/>
      <c r="B23" s="125" t="s">
        <v>102</v>
      </c>
      <c r="C23" s="454">
        <v>0</v>
      </c>
      <c r="D23" s="455">
        <v>24</v>
      </c>
      <c r="E23" s="485">
        <v>24</v>
      </c>
      <c r="F23" s="151">
        <v>0</v>
      </c>
      <c r="G23" s="1440"/>
    </row>
    <row r="24" spans="1:7" x14ac:dyDescent="0.25">
      <c r="A24" s="1437"/>
      <c r="B24" s="117" t="s">
        <v>103</v>
      </c>
      <c r="C24" s="454">
        <v>24</v>
      </c>
      <c r="D24" s="455">
        <v>0</v>
      </c>
      <c r="E24" s="485">
        <v>0</v>
      </c>
      <c r="F24" s="151">
        <v>24</v>
      </c>
      <c r="G24" s="1440"/>
    </row>
    <row r="25" spans="1:7" ht="15.75" thickBot="1" x14ac:dyDescent="0.3">
      <c r="A25" s="1438"/>
      <c r="B25" s="119" t="s">
        <v>104</v>
      </c>
      <c r="C25" s="458">
        <v>0</v>
      </c>
      <c r="D25" s="459">
        <v>0</v>
      </c>
      <c r="E25" s="460">
        <v>0</v>
      </c>
      <c r="F25" s="260">
        <v>0</v>
      </c>
      <c r="G25" s="1441"/>
    </row>
    <row r="26" spans="1:7" ht="15.75" customHeight="1" x14ac:dyDescent="0.25">
      <c r="A26" s="1436">
        <v>44446</v>
      </c>
      <c r="B26" s="112" t="s">
        <v>17</v>
      </c>
      <c r="C26" s="449">
        <v>1</v>
      </c>
      <c r="D26" s="450">
        <v>1</v>
      </c>
      <c r="E26" s="451">
        <v>1</v>
      </c>
      <c r="F26" s="150">
        <v>1</v>
      </c>
      <c r="G26" s="1439" t="s">
        <v>1120</v>
      </c>
    </row>
    <row r="27" spans="1:7" x14ac:dyDescent="0.25">
      <c r="A27" s="1437"/>
      <c r="B27" s="115" t="s">
        <v>102</v>
      </c>
      <c r="C27" s="454">
        <v>0</v>
      </c>
      <c r="D27" s="455">
        <v>23.12</v>
      </c>
      <c r="E27" s="486">
        <v>24</v>
      </c>
      <c r="F27" s="151">
        <v>0</v>
      </c>
      <c r="G27" s="1440"/>
    </row>
    <row r="28" spans="1:7" x14ac:dyDescent="0.25">
      <c r="A28" s="1437"/>
      <c r="B28" s="117" t="s">
        <v>103</v>
      </c>
      <c r="C28" s="454">
        <v>24</v>
      </c>
      <c r="D28" s="455">
        <v>0.88</v>
      </c>
      <c r="E28" s="486">
        <v>0</v>
      </c>
      <c r="F28" s="151">
        <v>24</v>
      </c>
      <c r="G28" s="1440"/>
    </row>
    <row r="29" spans="1:7" ht="15.75" thickBot="1" x14ac:dyDescent="0.3">
      <c r="A29" s="1438"/>
      <c r="B29" s="119" t="s">
        <v>104</v>
      </c>
      <c r="C29" s="458">
        <v>0</v>
      </c>
      <c r="D29" s="459">
        <v>0</v>
      </c>
      <c r="E29" s="460">
        <v>0</v>
      </c>
      <c r="F29" s="260">
        <v>0</v>
      </c>
      <c r="G29" s="1441"/>
    </row>
    <row r="30" spans="1:7" ht="15.75" x14ac:dyDescent="0.25">
      <c r="A30" s="1436">
        <v>44447</v>
      </c>
      <c r="B30" s="122" t="s">
        <v>17</v>
      </c>
      <c r="C30" s="449">
        <v>1</v>
      </c>
      <c r="D30" s="450">
        <v>1</v>
      </c>
      <c r="E30" s="451">
        <v>1</v>
      </c>
      <c r="F30" s="150">
        <v>1</v>
      </c>
      <c r="G30" s="1439" t="s">
        <v>1130</v>
      </c>
    </row>
    <row r="31" spans="1:7" x14ac:dyDescent="0.25">
      <c r="A31" s="1437"/>
      <c r="B31" s="125" t="s">
        <v>102</v>
      </c>
      <c r="C31" s="454">
        <v>19.579999999999998</v>
      </c>
      <c r="D31" s="455">
        <v>20.94</v>
      </c>
      <c r="E31" s="487">
        <v>24</v>
      </c>
      <c r="F31" s="151">
        <v>0</v>
      </c>
      <c r="G31" s="1440"/>
    </row>
    <row r="32" spans="1:7" x14ac:dyDescent="0.25">
      <c r="A32" s="1437"/>
      <c r="B32" s="117" t="s">
        <v>103</v>
      </c>
      <c r="C32" s="454">
        <v>4.42</v>
      </c>
      <c r="D32" s="455">
        <v>3.06</v>
      </c>
      <c r="E32" s="487">
        <v>0</v>
      </c>
      <c r="F32" s="151">
        <v>24</v>
      </c>
      <c r="G32" s="1440"/>
    </row>
    <row r="33" spans="1:7" ht="40.5" customHeight="1" thickBot="1" x14ac:dyDescent="0.3">
      <c r="A33" s="1438"/>
      <c r="B33" s="119" t="s">
        <v>104</v>
      </c>
      <c r="C33" s="458">
        <v>0</v>
      </c>
      <c r="D33" s="459">
        <v>0</v>
      </c>
      <c r="E33" s="460">
        <v>0</v>
      </c>
      <c r="F33" s="260">
        <v>0</v>
      </c>
      <c r="G33" s="1441"/>
    </row>
    <row r="34" spans="1:7" ht="15.75" x14ac:dyDescent="0.25">
      <c r="A34" s="1436">
        <v>44448</v>
      </c>
      <c r="B34" s="122" t="s">
        <v>17</v>
      </c>
      <c r="C34" s="451">
        <v>1</v>
      </c>
      <c r="D34" s="450">
        <v>1</v>
      </c>
      <c r="E34" s="451">
        <v>1</v>
      </c>
      <c r="F34" s="150">
        <v>1</v>
      </c>
      <c r="G34" s="1439" t="s">
        <v>1129</v>
      </c>
    </row>
    <row r="35" spans="1:7" x14ac:dyDescent="0.25">
      <c r="A35" s="1437"/>
      <c r="B35" s="115" t="s">
        <v>102</v>
      </c>
      <c r="C35" s="488">
        <v>24</v>
      </c>
      <c r="D35" s="455">
        <v>20.73</v>
      </c>
      <c r="E35" s="488">
        <v>24</v>
      </c>
      <c r="F35" s="151">
        <v>0</v>
      </c>
      <c r="G35" s="1440"/>
    </row>
    <row r="36" spans="1:7" x14ac:dyDescent="0.25">
      <c r="A36" s="1437"/>
      <c r="B36" s="117" t="s">
        <v>103</v>
      </c>
      <c r="C36" s="488">
        <v>0</v>
      </c>
      <c r="D36" s="455">
        <v>3.27</v>
      </c>
      <c r="E36" s="488">
        <v>0</v>
      </c>
      <c r="F36" s="151">
        <v>24</v>
      </c>
      <c r="G36" s="1440"/>
    </row>
    <row r="37" spans="1:7" ht="15.75" thickBot="1" x14ac:dyDescent="0.3">
      <c r="A37" s="1438"/>
      <c r="B37" s="119" t="s">
        <v>104</v>
      </c>
      <c r="C37" s="460">
        <v>0</v>
      </c>
      <c r="D37" s="460">
        <v>0</v>
      </c>
      <c r="E37" s="460">
        <v>0</v>
      </c>
      <c r="F37" s="260">
        <v>0</v>
      </c>
      <c r="G37" s="1441"/>
    </row>
    <row r="38" spans="1:7" ht="15.75" x14ac:dyDescent="0.25">
      <c r="A38" s="1436">
        <v>44449</v>
      </c>
      <c r="B38" s="122" t="s">
        <v>17</v>
      </c>
      <c r="C38" s="451">
        <v>1</v>
      </c>
      <c r="D38" s="450">
        <v>1</v>
      </c>
      <c r="E38" s="451">
        <v>1</v>
      </c>
      <c r="F38" s="150">
        <v>1</v>
      </c>
      <c r="G38" s="1439" t="s">
        <v>1142</v>
      </c>
    </row>
    <row r="39" spans="1:7" x14ac:dyDescent="0.25">
      <c r="A39" s="1437"/>
      <c r="B39" s="115" t="s">
        <v>102</v>
      </c>
      <c r="C39" s="490">
        <v>12.42</v>
      </c>
      <c r="D39" s="455">
        <v>24</v>
      </c>
      <c r="E39" s="490">
        <v>24</v>
      </c>
      <c r="F39" s="151">
        <v>0</v>
      </c>
      <c r="G39" s="1440"/>
    </row>
    <row r="40" spans="1:7" x14ac:dyDescent="0.25">
      <c r="A40" s="1437"/>
      <c r="B40" s="117" t="s">
        <v>103</v>
      </c>
      <c r="C40" s="490">
        <v>11.58</v>
      </c>
      <c r="D40" s="455">
        <v>0</v>
      </c>
      <c r="E40" s="490">
        <v>0</v>
      </c>
      <c r="F40" s="151">
        <v>24</v>
      </c>
      <c r="G40" s="1440"/>
    </row>
    <row r="41" spans="1:7" ht="15.75" thickBot="1" x14ac:dyDescent="0.3">
      <c r="A41" s="1438"/>
      <c r="B41" s="119" t="s">
        <v>104</v>
      </c>
      <c r="C41" s="460">
        <v>0</v>
      </c>
      <c r="D41" s="459">
        <v>0</v>
      </c>
      <c r="E41" s="460">
        <v>0</v>
      </c>
      <c r="F41" s="260">
        <v>0</v>
      </c>
      <c r="G41" s="1441"/>
    </row>
    <row r="42" spans="1:7" ht="15.75" x14ac:dyDescent="0.25">
      <c r="A42" s="1436">
        <v>44450</v>
      </c>
      <c r="B42" s="122" t="s">
        <v>17</v>
      </c>
      <c r="C42" s="449">
        <v>1</v>
      </c>
      <c r="D42" s="450">
        <v>1</v>
      </c>
      <c r="E42" s="451">
        <v>1</v>
      </c>
      <c r="F42" s="150">
        <v>1</v>
      </c>
      <c r="G42" s="1439"/>
    </row>
    <row r="43" spans="1:7" x14ac:dyDescent="0.25">
      <c r="A43" s="1437"/>
      <c r="B43" s="115" t="s">
        <v>102</v>
      </c>
      <c r="C43" s="454">
        <v>0</v>
      </c>
      <c r="D43" s="455">
        <v>24</v>
      </c>
      <c r="E43" s="491">
        <v>24</v>
      </c>
      <c r="F43" s="151">
        <v>0</v>
      </c>
      <c r="G43" s="1440"/>
    </row>
    <row r="44" spans="1:7" x14ac:dyDescent="0.25">
      <c r="A44" s="1437"/>
      <c r="B44" s="117" t="s">
        <v>103</v>
      </c>
      <c r="C44" s="454">
        <v>24</v>
      </c>
      <c r="D44" s="455">
        <v>0</v>
      </c>
      <c r="E44" s="491">
        <v>0</v>
      </c>
      <c r="F44" s="151">
        <v>24</v>
      </c>
      <c r="G44" s="1440"/>
    </row>
    <row r="45" spans="1:7" ht="15.75" thickBot="1" x14ac:dyDescent="0.3">
      <c r="A45" s="1438"/>
      <c r="B45" s="119" t="s">
        <v>104</v>
      </c>
      <c r="C45" s="458">
        <v>0</v>
      </c>
      <c r="D45" s="459">
        <v>0</v>
      </c>
      <c r="E45" s="460">
        <v>0</v>
      </c>
      <c r="F45" s="260">
        <v>0</v>
      </c>
      <c r="G45" s="1442"/>
    </row>
    <row r="46" spans="1:7" ht="15.75" x14ac:dyDescent="0.25">
      <c r="A46" s="1436">
        <v>44451</v>
      </c>
      <c r="B46" s="122" t="s">
        <v>17</v>
      </c>
      <c r="C46" s="449">
        <v>1</v>
      </c>
      <c r="D46" s="450">
        <v>1</v>
      </c>
      <c r="E46" s="451">
        <v>1</v>
      </c>
      <c r="F46" s="150">
        <v>1</v>
      </c>
      <c r="G46" s="1439" t="s">
        <v>1154</v>
      </c>
    </row>
    <row r="47" spans="1:7" x14ac:dyDescent="0.25">
      <c r="A47" s="1437"/>
      <c r="B47" s="115" t="s">
        <v>102</v>
      </c>
      <c r="C47" s="454">
        <v>0</v>
      </c>
      <c r="D47" s="455">
        <v>21</v>
      </c>
      <c r="E47" s="492">
        <v>24</v>
      </c>
      <c r="F47" s="151">
        <v>0</v>
      </c>
      <c r="G47" s="1440"/>
    </row>
    <row r="48" spans="1:7" x14ac:dyDescent="0.25">
      <c r="A48" s="1437"/>
      <c r="B48" s="117" t="s">
        <v>103</v>
      </c>
      <c r="C48" s="454">
        <v>24</v>
      </c>
      <c r="D48" s="455">
        <v>3</v>
      </c>
      <c r="E48" s="492">
        <v>0</v>
      </c>
      <c r="F48" s="151">
        <v>24</v>
      </c>
      <c r="G48" s="1440"/>
    </row>
    <row r="49" spans="1:7" ht="15.75" thickBot="1" x14ac:dyDescent="0.3">
      <c r="A49" s="1438"/>
      <c r="B49" s="119" t="s">
        <v>104</v>
      </c>
      <c r="C49" s="458">
        <v>0</v>
      </c>
      <c r="D49" s="459">
        <v>0</v>
      </c>
      <c r="E49" s="460">
        <v>0</v>
      </c>
      <c r="F49" s="260">
        <v>0</v>
      </c>
      <c r="G49" s="1442"/>
    </row>
    <row r="50" spans="1:7" ht="15.75" x14ac:dyDescent="0.25">
      <c r="A50" s="1436">
        <v>44452</v>
      </c>
      <c r="B50" s="122" t="s">
        <v>17</v>
      </c>
      <c r="C50" s="449">
        <v>1</v>
      </c>
      <c r="D50" s="450">
        <v>1</v>
      </c>
      <c r="E50" s="451">
        <v>1</v>
      </c>
      <c r="F50" s="150">
        <v>1</v>
      </c>
      <c r="G50" s="1439" t="s">
        <v>1164</v>
      </c>
    </row>
    <row r="51" spans="1:7" x14ac:dyDescent="0.25">
      <c r="A51" s="1437"/>
      <c r="B51" s="115" t="s">
        <v>102</v>
      </c>
      <c r="C51" s="454">
        <v>22.25</v>
      </c>
      <c r="D51" s="455">
        <v>24</v>
      </c>
      <c r="E51" s="492">
        <v>24</v>
      </c>
      <c r="F51" s="151">
        <v>0</v>
      </c>
      <c r="G51" s="1440"/>
    </row>
    <row r="52" spans="1:7" x14ac:dyDescent="0.25">
      <c r="A52" s="1437"/>
      <c r="B52" s="117" t="s">
        <v>103</v>
      </c>
      <c r="C52" s="454">
        <v>1.75</v>
      </c>
      <c r="D52" s="455">
        <v>0</v>
      </c>
      <c r="E52" s="492">
        <v>0</v>
      </c>
      <c r="F52" s="151">
        <v>24</v>
      </c>
      <c r="G52" s="1440"/>
    </row>
    <row r="53" spans="1:7" ht="15.75" thickBot="1" x14ac:dyDescent="0.3">
      <c r="A53" s="1438"/>
      <c r="B53" s="119" t="s">
        <v>104</v>
      </c>
      <c r="C53" s="458">
        <v>0</v>
      </c>
      <c r="D53" s="459">
        <v>0</v>
      </c>
      <c r="E53" s="460">
        <v>0</v>
      </c>
      <c r="F53" s="260">
        <v>0</v>
      </c>
      <c r="G53" s="1442"/>
    </row>
    <row r="54" spans="1:7" ht="15.75" x14ac:dyDescent="0.25">
      <c r="A54" s="1436">
        <v>44453</v>
      </c>
      <c r="B54" s="462" t="s">
        <v>17</v>
      </c>
      <c r="C54" s="450">
        <v>1</v>
      </c>
      <c r="D54" s="450">
        <v>1</v>
      </c>
      <c r="E54" s="451">
        <v>1</v>
      </c>
      <c r="F54" s="150">
        <v>1</v>
      </c>
      <c r="G54" s="1439" t="s">
        <v>1180</v>
      </c>
    </row>
    <row r="55" spans="1:7" x14ac:dyDescent="0.25">
      <c r="A55" s="1437"/>
      <c r="B55" s="453" t="s">
        <v>102</v>
      </c>
      <c r="C55" s="455">
        <v>19</v>
      </c>
      <c r="D55" s="455">
        <v>24</v>
      </c>
      <c r="E55" s="493">
        <v>24</v>
      </c>
      <c r="F55" s="151">
        <v>0</v>
      </c>
      <c r="G55" s="1440"/>
    </row>
    <row r="56" spans="1:7" x14ac:dyDescent="0.25">
      <c r="A56" s="1437"/>
      <c r="B56" s="448" t="s">
        <v>103</v>
      </c>
      <c r="C56" s="455">
        <v>5</v>
      </c>
      <c r="D56" s="455">
        <v>0</v>
      </c>
      <c r="E56" s="493">
        <v>0</v>
      </c>
      <c r="F56" s="151">
        <v>24</v>
      </c>
      <c r="G56" s="1440"/>
    </row>
    <row r="57" spans="1:7" ht="15.75" thickBot="1" x14ac:dyDescent="0.3">
      <c r="A57" s="1438"/>
      <c r="B57" s="457" t="s">
        <v>104</v>
      </c>
      <c r="C57" s="459">
        <v>0</v>
      </c>
      <c r="D57" s="459">
        <v>0</v>
      </c>
      <c r="E57" s="460">
        <v>0</v>
      </c>
      <c r="F57" s="260">
        <v>0</v>
      </c>
      <c r="G57" s="1442"/>
    </row>
    <row r="58" spans="1:7" ht="15.75" x14ac:dyDescent="0.25">
      <c r="A58" s="1436">
        <v>44454</v>
      </c>
      <c r="B58" s="122" t="s">
        <v>17</v>
      </c>
      <c r="C58" s="449">
        <v>1</v>
      </c>
      <c r="D58" s="450">
        <v>1</v>
      </c>
      <c r="E58" s="451">
        <v>1</v>
      </c>
      <c r="F58" s="150">
        <v>1</v>
      </c>
      <c r="G58" s="1439"/>
    </row>
    <row r="59" spans="1:7" x14ac:dyDescent="0.25">
      <c r="A59" s="1437"/>
      <c r="B59" s="115" t="s">
        <v>102</v>
      </c>
      <c r="C59" s="454">
        <v>0</v>
      </c>
      <c r="D59" s="455">
        <v>24</v>
      </c>
      <c r="E59" s="494">
        <v>24</v>
      </c>
      <c r="F59" s="151">
        <v>0</v>
      </c>
      <c r="G59" s="1440"/>
    </row>
    <row r="60" spans="1:7" x14ac:dyDescent="0.25">
      <c r="A60" s="1437"/>
      <c r="B60" s="117" t="s">
        <v>103</v>
      </c>
      <c r="C60" s="454">
        <v>24</v>
      </c>
      <c r="D60" s="455">
        <v>0</v>
      </c>
      <c r="E60" s="494">
        <v>0</v>
      </c>
      <c r="F60" s="151">
        <v>24</v>
      </c>
      <c r="G60" s="1440"/>
    </row>
    <row r="61" spans="1:7" ht="15.75" thickBot="1" x14ac:dyDescent="0.3">
      <c r="A61" s="1438"/>
      <c r="B61" s="119" t="s">
        <v>104</v>
      </c>
      <c r="C61" s="458">
        <v>0</v>
      </c>
      <c r="D61" s="459">
        <v>0</v>
      </c>
      <c r="E61" s="460">
        <v>0</v>
      </c>
      <c r="F61" s="260">
        <v>0</v>
      </c>
      <c r="G61" s="1442"/>
    </row>
    <row r="62" spans="1:7" ht="16.5" customHeight="1" x14ac:dyDescent="0.25">
      <c r="A62" s="1436">
        <v>44455</v>
      </c>
      <c r="B62" s="122" t="s">
        <v>17</v>
      </c>
      <c r="C62" s="449">
        <v>1</v>
      </c>
      <c r="D62" s="450">
        <v>1</v>
      </c>
      <c r="E62" s="451">
        <v>1</v>
      </c>
      <c r="F62" s="150">
        <v>1</v>
      </c>
      <c r="G62" s="1417" t="s">
        <v>1193</v>
      </c>
    </row>
    <row r="63" spans="1:7" ht="16.5" customHeight="1" x14ac:dyDescent="0.25">
      <c r="A63" s="1437"/>
      <c r="B63" s="115" t="s">
        <v>102</v>
      </c>
      <c r="C63" s="454">
        <v>18.5</v>
      </c>
      <c r="D63" s="455">
        <v>21.5</v>
      </c>
      <c r="E63" s="495">
        <v>24</v>
      </c>
      <c r="F63" s="151">
        <v>0</v>
      </c>
      <c r="G63" s="1418"/>
    </row>
    <row r="64" spans="1:7" ht="16.5" customHeight="1" x14ac:dyDescent="0.25">
      <c r="A64" s="1437"/>
      <c r="B64" s="117" t="s">
        <v>103</v>
      </c>
      <c r="C64" s="454">
        <v>5.5</v>
      </c>
      <c r="D64" s="455">
        <v>2.5</v>
      </c>
      <c r="E64" s="495">
        <v>0</v>
      </c>
      <c r="F64" s="151">
        <v>24</v>
      </c>
      <c r="G64" s="1418"/>
    </row>
    <row r="65" spans="1:7" ht="16.5" customHeight="1" thickBot="1" x14ac:dyDescent="0.3">
      <c r="A65" s="1438"/>
      <c r="B65" s="119" t="s">
        <v>104</v>
      </c>
      <c r="C65" s="458">
        <v>0</v>
      </c>
      <c r="D65" s="459">
        <v>0</v>
      </c>
      <c r="E65" s="460">
        <v>0</v>
      </c>
      <c r="F65" s="260">
        <v>0</v>
      </c>
      <c r="G65" s="1423"/>
    </row>
    <row r="66" spans="1:7" ht="15.75" x14ac:dyDescent="0.25">
      <c r="A66" s="1436">
        <v>44456</v>
      </c>
      <c r="B66" s="462" t="s">
        <v>17</v>
      </c>
      <c r="C66" s="449">
        <v>1</v>
      </c>
      <c r="D66" s="450">
        <v>1</v>
      </c>
      <c r="E66" s="451">
        <v>1</v>
      </c>
      <c r="F66" s="150">
        <v>1</v>
      </c>
      <c r="G66" s="1439"/>
    </row>
    <row r="67" spans="1:7" x14ac:dyDescent="0.25">
      <c r="A67" s="1437"/>
      <c r="B67" s="453" t="s">
        <v>102</v>
      </c>
      <c r="C67" s="454">
        <v>24</v>
      </c>
      <c r="D67" s="455">
        <v>24</v>
      </c>
      <c r="E67" s="495">
        <v>24</v>
      </c>
      <c r="F67" s="151">
        <v>0</v>
      </c>
      <c r="G67" s="1440"/>
    </row>
    <row r="68" spans="1:7" x14ac:dyDescent="0.25">
      <c r="A68" s="1437"/>
      <c r="B68" s="448" t="s">
        <v>103</v>
      </c>
      <c r="C68" s="454">
        <v>0</v>
      </c>
      <c r="D68" s="455">
        <v>0</v>
      </c>
      <c r="E68" s="495">
        <v>0</v>
      </c>
      <c r="F68" s="151">
        <v>24</v>
      </c>
      <c r="G68" s="1440"/>
    </row>
    <row r="69" spans="1:7" ht="15.75" thickBot="1" x14ac:dyDescent="0.3">
      <c r="A69" s="1438"/>
      <c r="B69" s="457" t="s">
        <v>104</v>
      </c>
      <c r="C69" s="458">
        <v>0</v>
      </c>
      <c r="D69" s="459">
        <v>0</v>
      </c>
      <c r="E69" s="460">
        <v>0</v>
      </c>
      <c r="F69" s="260">
        <v>0</v>
      </c>
      <c r="G69" s="1441"/>
    </row>
    <row r="70" spans="1:7" ht="15.75" x14ac:dyDescent="0.25">
      <c r="A70" s="1436">
        <v>44457</v>
      </c>
      <c r="B70" s="462" t="s">
        <v>17</v>
      </c>
      <c r="C70" s="449">
        <v>1</v>
      </c>
      <c r="D70" s="450">
        <v>1</v>
      </c>
      <c r="E70" s="451">
        <v>1</v>
      </c>
      <c r="F70" s="150">
        <v>1</v>
      </c>
      <c r="G70" s="1439" t="s">
        <v>1202</v>
      </c>
    </row>
    <row r="71" spans="1:7" x14ac:dyDescent="0.25">
      <c r="A71" s="1437"/>
      <c r="B71" s="453" t="s">
        <v>102</v>
      </c>
      <c r="C71" s="454">
        <v>13</v>
      </c>
      <c r="D71" s="455">
        <v>23</v>
      </c>
      <c r="E71" s="496">
        <v>24</v>
      </c>
      <c r="F71" s="151">
        <v>0</v>
      </c>
      <c r="G71" s="1440"/>
    </row>
    <row r="72" spans="1:7" x14ac:dyDescent="0.25">
      <c r="A72" s="1437"/>
      <c r="B72" s="448" t="s">
        <v>103</v>
      </c>
      <c r="C72" s="454">
        <v>11</v>
      </c>
      <c r="D72" s="455">
        <v>1</v>
      </c>
      <c r="E72" s="496">
        <v>0</v>
      </c>
      <c r="F72" s="151">
        <v>24</v>
      </c>
      <c r="G72" s="1440"/>
    </row>
    <row r="73" spans="1:7" ht="15.75" thickBot="1" x14ac:dyDescent="0.3">
      <c r="A73" s="1438"/>
      <c r="B73" s="457" t="s">
        <v>104</v>
      </c>
      <c r="C73" s="458">
        <v>0</v>
      </c>
      <c r="D73" s="459">
        <v>0</v>
      </c>
      <c r="E73" s="460">
        <v>0</v>
      </c>
      <c r="F73" s="260">
        <v>0</v>
      </c>
      <c r="G73" s="1442"/>
    </row>
    <row r="74" spans="1:7" ht="15.75" x14ac:dyDescent="0.25">
      <c r="A74" s="1436">
        <v>44458</v>
      </c>
      <c r="B74" s="462" t="s">
        <v>17</v>
      </c>
      <c r="C74" s="449">
        <v>1</v>
      </c>
      <c r="D74" s="450">
        <v>1</v>
      </c>
      <c r="E74" s="451">
        <v>1</v>
      </c>
      <c r="F74" s="150">
        <v>1</v>
      </c>
      <c r="G74" s="1439" t="s">
        <v>1203</v>
      </c>
    </row>
    <row r="75" spans="1:7" x14ac:dyDescent="0.25">
      <c r="A75" s="1437"/>
      <c r="B75" s="453" t="s">
        <v>102</v>
      </c>
      <c r="C75" s="454">
        <v>0</v>
      </c>
      <c r="D75" s="455">
        <v>21.67</v>
      </c>
      <c r="E75" s="497">
        <v>23.5</v>
      </c>
      <c r="F75" s="151">
        <v>0</v>
      </c>
      <c r="G75" s="1440"/>
    </row>
    <row r="76" spans="1:7" x14ac:dyDescent="0.25">
      <c r="A76" s="1437"/>
      <c r="B76" s="448" t="s">
        <v>103</v>
      </c>
      <c r="C76" s="454">
        <v>24</v>
      </c>
      <c r="D76" s="455">
        <v>2.33</v>
      </c>
      <c r="E76" s="497">
        <v>0.5</v>
      </c>
      <c r="F76" s="151">
        <v>24</v>
      </c>
      <c r="G76" s="1440"/>
    </row>
    <row r="77" spans="1:7" ht="51.75" customHeight="1" thickBot="1" x14ac:dyDescent="0.3">
      <c r="A77" s="1438"/>
      <c r="B77" s="457" t="s">
        <v>104</v>
      </c>
      <c r="C77" s="458">
        <v>0</v>
      </c>
      <c r="D77" s="459">
        <v>0</v>
      </c>
      <c r="E77" s="460">
        <v>0</v>
      </c>
      <c r="F77" s="260">
        <v>0</v>
      </c>
      <c r="G77" s="1441"/>
    </row>
    <row r="78" spans="1:7" ht="15.75" x14ac:dyDescent="0.25">
      <c r="A78" s="1436">
        <v>44459</v>
      </c>
      <c r="B78" s="122" t="s">
        <v>17</v>
      </c>
      <c r="C78" s="449">
        <v>1</v>
      </c>
      <c r="D78" s="450">
        <v>1</v>
      </c>
      <c r="E78" s="451">
        <v>1</v>
      </c>
      <c r="F78" s="150">
        <v>1</v>
      </c>
      <c r="G78" s="1439" t="s">
        <v>1221</v>
      </c>
    </row>
    <row r="79" spans="1:7" x14ac:dyDescent="0.25">
      <c r="A79" s="1437"/>
      <c r="B79" s="115" t="s">
        <v>102</v>
      </c>
      <c r="C79" s="454">
        <v>0</v>
      </c>
      <c r="D79" s="455">
        <v>20</v>
      </c>
      <c r="E79" s="498">
        <v>24</v>
      </c>
      <c r="F79" s="151">
        <v>0</v>
      </c>
      <c r="G79" s="1440"/>
    </row>
    <row r="80" spans="1:7" x14ac:dyDescent="0.25">
      <c r="A80" s="1437"/>
      <c r="B80" s="117" t="s">
        <v>103</v>
      </c>
      <c r="C80" s="454">
        <v>24</v>
      </c>
      <c r="D80" s="455">
        <v>4</v>
      </c>
      <c r="E80" s="498">
        <v>0</v>
      </c>
      <c r="F80" s="151">
        <v>24</v>
      </c>
      <c r="G80" s="1440"/>
    </row>
    <row r="81" spans="1:7" ht="15.75" thickBot="1" x14ac:dyDescent="0.3">
      <c r="A81" s="1438"/>
      <c r="B81" s="119" t="s">
        <v>104</v>
      </c>
      <c r="C81" s="458">
        <v>0</v>
      </c>
      <c r="D81" s="459">
        <v>0</v>
      </c>
      <c r="E81" s="460">
        <v>0</v>
      </c>
      <c r="F81" s="260">
        <v>0</v>
      </c>
      <c r="G81" s="1441"/>
    </row>
    <row r="82" spans="1:7" ht="15.75" x14ac:dyDescent="0.25">
      <c r="A82" s="1436">
        <v>44460</v>
      </c>
      <c r="B82" s="122" t="s">
        <v>17</v>
      </c>
      <c r="C82" s="449">
        <v>1</v>
      </c>
      <c r="D82" s="451">
        <v>1</v>
      </c>
      <c r="E82" s="451">
        <v>1</v>
      </c>
      <c r="F82" s="150">
        <v>1</v>
      </c>
      <c r="G82" s="1439"/>
    </row>
    <row r="83" spans="1:7" x14ac:dyDescent="0.25">
      <c r="A83" s="1437"/>
      <c r="B83" s="115" t="s">
        <v>102</v>
      </c>
      <c r="C83" s="454">
        <v>0</v>
      </c>
      <c r="D83" s="499">
        <v>24</v>
      </c>
      <c r="E83" s="499">
        <v>24</v>
      </c>
      <c r="F83" s="151">
        <v>0</v>
      </c>
      <c r="G83" s="1440"/>
    </row>
    <row r="84" spans="1:7" x14ac:dyDescent="0.25">
      <c r="A84" s="1437"/>
      <c r="B84" s="117" t="s">
        <v>103</v>
      </c>
      <c r="C84" s="454">
        <v>24</v>
      </c>
      <c r="D84" s="499">
        <v>0</v>
      </c>
      <c r="E84" s="499">
        <v>0</v>
      </c>
      <c r="F84" s="151">
        <v>24</v>
      </c>
      <c r="G84" s="1440"/>
    </row>
    <row r="85" spans="1:7" ht="15.75" thickBot="1" x14ac:dyDescent="0.3">
      <c r="A85" s="1438"/>
      <c r="B85" s="119" t="s">
        <v>104</v>
      </c>
      <c r="C85" s="458">
        <v>0</v>
      </c>
      <c r="D85" s="460">
        <v>0</v>
      </c>
      <c r="E85" s="460">
        <v>0</v>
      </c>
      <c r="F85" s="260">
        <v>0</v>
      </c>
      <c r="G85" s="1441"/>
    </row>
    <row r="86" spans="1:7" ht="15.75" x14ac:dyDescent="0.25">
      <c r="A86" s="1436">
        <v>44461</v>
      </c>
      <c r="B86" s="462" t="s">
        <v>17</v>
      </c>
      <c r="C86" s="449">
        <v>1</v>
      </c>
      <c r="D86" s="451">
        <v>1</v>
      </c>
      <c r="E86" s="451">
        <v>1</v>
      </c>
      <c r="F86" s="150">
        <v>1</v>
      </c>
      <c r="G86" s="1439" t="s">
        <v>1232</v>
      </c>
    </row>
    <row r="87" spans="1:7" x14ac:dyDescent="0.25">
      <c r="A87" s="1437"/>
      <c r="B87" s="453" t="s">
        <v>102</v>
      </c>
      <c r="C87" s="454">
        <v>9</v>
      </c>
      <c r="D87" s="502">
        <v>20.079999999999998</v>
      </c>
      <c r="E87" s="502">
        <v>24</v>
      </c>
      <c r="F87" s="151">
        <v>0</v>
      </c>
      <c r="G87" s="1440"/>
    </row>
    <row r="88" spans="1:7" ht="22.5" customHeight="1" x14ac:dyDescent="0.25">
      <c r="A88" s="1437"/>
      <c r="B88" s="448" t="s">
        <v>103</v>
      </c>
      <c r="C88" s="454">
        <v>15</v>
      </c>
      <c r="D88" s="502">
        <v>3.92</v>
      </c>
      <c r="E88" s="502">
        <v>0</v>
      </c>
      <c r="F88" s="151">
        <v>24</v>
      </c>
      <c r="G88" s="1440"/>
    </row>
    <row r="89" spans="1:7" ht="60" customHeight="1" thickBot="1" x14ac:dyDescent="0.3">
      <c r="A89" s="1438"/>
      <c r="B89" s="457" t="s">
        <v>104</v>
      </c>
      <c r="C89" s="458">
        <v>0</v>
      </c>
      <c r="D89" s="460">
        <v>0</v>
      </c>
      <c r="E89" s="460">
        <v>0</v>
      </c>
      <c r="F89" s="260">
        <v>0</v>
      </c>
      <c r="G89" s="1441"/>
    </row>
    <row r="90" spans="1:7" ht="15.75" x14ac:dyDescent="0.25">
      <c r="A90" s="1436">
        <v>44462</v>
      </c>
      <c r="B90" s="462" t="s">
        <v>17</v>
      </c>
      <c r="C90" s="449">
        <v>1</v>
      </c>
      <c r="D90" s="451">
        <v>1</v>
      </c>
      <c r="E90" s="451">
        <v>1</v>
      </c>
      <c r="F90" s="150">
        <v>1</v>
      </c>
      <c r="G90" s="1439" t="s">
        <v>1242</v>
      </c>
    </row>
    <row r="91" spans="1:7" x14ac:dyDescent="0.25">
      <c r="A91" s="1437"/>
      <c r="B91" s="453" t="s">
        <v>102</v>
      </c>
      <c r="C91" s="454">
        <v>24</v>
      </c>
      <c r="D91" s="503">
        <v>17.670000000000002</v>
      </c>
      <c r="E91" s="503">
        <v>24</v>
      </c>
      <c r="F91" s="151">
        <v>0</v>
      </c>
      <c r="G91" s="1440"/>
    </row>
    <row r="92" spans="1:7" x14ac:dyDescent="0.25">
      <c r="A92" s="1437"/>
      <c r="B92" s="448" t="s">
        <v>103</v>
      </c>
      <c r="C92" s="454">
        <v>0</v>
      </c>
      <c r="D92" s="503">
        <v>6.33</v>
      </c>
      <c r="E92" s="503">
        <v>0</v>
      </c>
      <c r="F92" s="151">
        <v>24</v>
      </c>
      <c r="G92" s="1440"/>
    </row>
    <row r="93" spans="1:7" ht="15.75" thickBot="1" x14ac:dyDescent="0.3">
      <c r="A93" s="1438"/>
      <c r="B93" s="457" t="s">
        <v>104</v>
      </c>
      <c r="C93" s="458">
        <v>0</v>
      </c>
      <c r="D93" s="460">
        <v>0</v>
      </c>
      <c r="E93" s="460">
        <v>0</v>
      </c>
      <c r="F93" s="260">
        <v>0</v>
      </c>
      <c r="G93" s="1441"/>
    </row>
    <row r="94" spans="1:7" ht="15.75" x14ac:dyDescent="0.25">
      <c r="A94" s="1436">
        <v>44463</v>
      </c>
      <c r="B94" s="462" t="s">
        <v>17</v>
      </c>
      <c r="C94" s="449">
        <v>1</v>
      </c>
      <c r="D94" s="451">
        <v>1</v>
      </c>
      <c r="E94" s="451">
        <v>1</v>
      </c>
      <c r="F94" s="150">
        <v>1</v>
      </c>
      <c r="G94" s="1439" t="s">
        <v>1254</v>
      </c>
    </row>
    <row r="95" spans="1:7" x14ac:dyDescent="0.25">
      <c r="A95" s="1437"/>
      <c r="B95" s="453" t="s">
        <v>102</v>
      </c>
      <c r="C95" s="454">
        <v>18.079999999999998</v>
      </c>
      <c r="D95" s="504">
        <v>24</v>
      </c>
      <c r="E95" s="504">
        <v>24</v>
      </c>
      <c r="F95" s="151">
        <v>0</v>
      </c>
      <c r="G95" s="1440"/>
    </row>
    <row r="96" spans="1:7" x14ac:dyDescent="0.25">
      <c r="A96" s="1437"/>
      <c r="B96" s="448" t="s">
        <v>103</v>
      </c>
      <c r="C96" s="454">
        <v>5.92</v>
      </c>
      <c r="D96" s="504">
        <v>0</v>
      </c>
      <c r="E96" s="504">
        <v>0</v>
      </c>
      <c r="F96" s="151">
        <v>24</v>
      </c>
      <c r="G96" s="1440"/>
    </row>
    <row r="97" spans="1:7" ht="15.75" thickBot="1" x14ac:dyDescent="0.3">
      <c r="A97" s="1438"/>
      <c r="B97" s="457" t="s">
        <v>104</v>
      </c>
      <c r="C97" s="458">
        <v>0</v>
      </c>
      <c r="D97" s="460">
        <v>0</v>
      </c>
      <c r="E97" s="460">
        <v>0</v>
      </c>
      <c r="F97" s="260">
        <v>0</v>
      </c>
      <c r="G97" s="1441"/>
    </row>
    <row r="98" spans="1:7" ht="15.75" x14ac:dyDescent="0.25">
      <c r="A98" s="1436">
        <v>44464</v>
      </c>
      <c r="B98" s="462" t="s">
        <v>17</v>
      </c>
      <c r="C98" s="449">
        <v>1</v>
      </c>
      <c r="D98" s="450">
        <v>1</v>
      </c>
      <c r="E98" s="451">
        <v>1</v>
      </c>
      <c r="F98" s="150">
        <v>1</v>
      </c>
      <c r="G98" s="1439"/>
    </row>
    <row r="99" spans="1:7" x14ac:dyDescent="0.25">
      <c r="A99" s="1437"/>
      <c r="B99" s="453" t="s">
        <v>102</v>
      </c>
      <c r="C99" s="454">
        <v>0</v>
      </c>
      <c r="D99" s="455">
        <v>24</v>
      </c>
      <c r="E99" s="506">
        <v>24</v>
      </c>
      <c r="F99" s="151">
        <v>0</v>
      </c>
      <c r="G99" s="1440"/>
    </row>
    <row r="100" spans="1:7" x14ac:dyDescent="0.25">
      <c r="A100" s="1437"/>
      <c r="B100" s="448" t="s">
        <v>103</v>
      </c>
      <c r="C100" s="454">
        <v>24</v>
      </c>
      <c r="D100" s="455">
        <v>0</v>
      </c>
      <c r="E100" s="506">
        <v>0</v>
      </c>
      <c r="F100" s="151">
        <v>24</v>
      </c>
      <c r="G100" s="1440"/>
    </row>
    <row r="101" spans="1:7" ht="15.75" thickBot="1" x14ac:dyDescent="0.3">
      <c r="A101" s="1438"/>
      <c r="B101" s="457" t="s">
        <v>104</v>
      </c>
      <c r="C101" s="458">
        <v>0</v>
      </c>
      <c r="D101" s="459">
        <v>0</v>
      </c>
      <c r="E101" s="460">
        <v>0</v>
      </c>
      <c r="F101" s="260">
        <v>0</v>
      </c>
      <c r="G101" s="1441"/>
    </row>
    <row r="102" spans="1:7" ht="15.75" x14ac:dyDescent="0.25">
      <c r="A102" s="1436">
        <v>44465</v>
      </c>
      <c r="B102" s="462" t="s">
        <v>17</v>
      </c>
      <c r="C102" s="449">
        <v>1</v>
      </c>
      <c r="D102" s="450">
        <v>1</v>
      </c>
      <c r="E102" s="451">
        <v>1</v>
      </c>
      <c r="F102" s="150">
        <v>1</v>
      </c>
      <c r="G102" s="1439"/>
    </row>
    <row r="103" spans="1:7" x14ac:dyDescent="0.25">
      <c r="A103" s="1437"/>
      <c r="B103" s="448" t="s">
        <v>102</v>
      </c>
      <c r="C103" s="454">
        <v>0</v>
      </c>
      <c r="D103" s="455">
        <v>24</v>
      </c>
      <c r="E103" s="507">
        <v>24</v>
      </c>
      <c r="F103" s="151">
        <v>0</v>
      </c>
      <c r="G103" s="1440"/>
    </row>
    <row r="104" spans="1:7" x14ac:dyDescent="0.25">
      <c r="A104" s="1437"/>
      <c r="B104" s="448" t="s">
        <v>103</v>
      </c>
      <c r="C104" s="454">
        <v>24</v>
      </c>
      <c r="D104" s="455">
        <v>0</v>
      </c>
      <c r="E104" s="507">
        <v>0</v>
      </c>
      <c r="F104" s="151">
        <v>24</v>
      </c>
      <c r="G104" s="1440"/>
    </row>
    <row r="105" spans="1:7" ht="15.75" thickBot="1" x14ac:dyDescent="0.3">
      <c r="A105" s="1438"/>
      <c r="B105" s="457" t="s">
        <v>104</v>
      </c>
      <c r="C105" s="458">
        <v>0</v>
      </c>
      <c r="D105" s="459">
        <v>0</v>
      </c>
      <c r="E105" s="460">
        <v>0</v>
      </c>
      <c r="F105" s="260">
        <v>0</v>
      </c>
      <c r="G105" s="1441"/>
    </row>
    <row r="106" spans="1:7" ht="15.75" x14ac:dyDescent="0.25">
      <c r="A106" s="1436">
        <v>44466</v>
      </c>
      <c r="B106" s="446" t="s">
        <v>17</v>
      </c>
      <c r="C106" s="449">
        <v>1</v>
      </c>
      <c r="D106" s="450">
        <v>1</v>
      </c>
      <c r="E106" s="451">
        <v>1</v>
      </c>
      <c r="F106" s="150">
        <v>1</v>
      </c>
      <c r="G106" s="1439"/>
    </row>
    <row r="107" spans="1:7" x14ac:dyDescent="0.25">
      <c r="A107" s="1437"/>
      <c r="B107" s="448" t="s">
        <v>102</v>
      </c>
      <c r="C107" s="454">
        <v>0</v>
      </c>
      <c r="D107" s="455">
        <v>24</v>
      </c>
      <c r="E107" s="508">
        <v>24</v>
      </c>
      <c r="F107" s="151">
        <v>0</v>
      </c>
      <c r="G107" s="1440"/>
    </row>
    <row r="108" spans="1:7" x14ac:dyDescent="0.25">
      <c r="A108" s="1437"/>
      <c r="B108" s="448" t="s">
        <v>103</v>
      </c>
      <c r="C108" s="454">
        <v>24</v>
      </c>
      <c r="D108" s="455">
        <v>0</v>
      </c>
      <c r="E108" s="508">
        <v>0</v>
      </c>
      <c r="F108" s="151">
        <v>24</v>
      </c>
      <c r="G108" s="1440"/>
    </row>
    <row r="109" spans="1:7" ht="15.75" thickBot="1" x14ac:dyDescent="0.3">
      <c r="A109" s="1438"/>
      <c r="B109" s="457" t="s">
        <v>104</v>
      </c>
      <c r="C109" s="458">
        <v>0</v>
      </c>
      <c r="D109" s="459">
        <v>0</v>
      </c>
      <c r="E109" s="460">
        <v>0</v>
      </c>
      <c r="F109" s="260">
        <v>0</v>
      </c>
      <c r="G109" s="1441"/>
    </row>
    <row r="110" spans="1:7" ht="15.75" x14ac:dyDescent="0.25">
      <c r="A110" s="1436">
        <v>44467</v>
      </c>
      <c r="B110" s="446" t="s">
        <v>17</v>
      </c>
      <c r="C110" s="449">
        <v>1</v>
      </c>
      <c r="D110" s="450">
        <v>1</v>
      </c>
      <c r="E110" s="451">
        <v>1</v>
      </c>
      <c r="F110" s="150">
        <v>1</v>
      </c>
      <c r="G110" s="1439" t="s">
        <v>1270</v>
      </c>
    </row>
    <row r="111" spans="1:7" x14ac:dyDescent="0.25">
      <c r="A111" s="1437"/>
      <c r="B111" s="448" t="s">
        <v>102</v>
      </c>
      <c r="C111" s="454">
        <v>12.5</v>
      </c>
      <c r="D111" s="455">
        <v>24</v>
      </c>
      <c r="E111" s="509">
        <v>24</v>
      </c>
      <c r="F111" s="151">
        <v>0</v>
      </c>
      <c r="G111" s="1440"/>
    </row>
    <row r="112" spans="1:7" x14ac:dyDescent="0.25">
      <c r="A112" s="1437"/>
      <c r="B112" s="448" t="s">
        <v>103</v>
      </c>
      <c r="C112" s="454">
        <v>11.5</v>
      </c>
      <c r="D112" s="455">
        <v>0</v>
      </c>
      <c r="E112" s="509">
        <v>0</v>
      </c>
      <c r="F112" s="151">
        <v>24</v>
      </c>
      <c r="G112" s="1440"/>
    </row>
    <row r="113" spans="1:7" ht="15.75" thickBot="1" x14ac:dyDescent="0.3">
      <c r="A113" s="1438"/>
      <c r="B113" s="457" t="s">
        <v>104</v>
      </c>
      <c r="C113" s="458">
        <v>0</v>
      </c>
      <c r="D113" s="459">
        <v>0</v>
      </c>
      <c r="E113" s="460">
        <v>0</v>
      </c>
      <c r="F113" s="260">
        <v>0</v>
      </c>
      <c r="G113" s="1441"/>
    </row>
    <row r="114" spans="1:7" ht="15.75" x14ac:dyDescent="0.25">
      <c r="A114" s="1436">
        <v>44468</v>
      </c>
      <c r="B114" s="462" t="s">
        <v>17</v>
      </c>
      <c r="C114" s="450">
        <v>1</v>
      </c>
      <c r="D114" s="450">
        <v>1</v>
      </c>
      <c r="E114" s="451">
        <v>1</v>
      </c>
      <c r="F114" s="150">
        <v>1</v>
      </c>
      <c r="G114" s="1439"/>
    </row>
    <row r="115" spans="1:7" x14ac:dyDescent="0.25">
      <c r="A115" s="1437"/>
      <c r="B115" s="448" t="s">
        <v>102</v>
      </c>
      <c r="C115" s="455">
        <v>24</v>
      </c>
      <c r="D115" s="455">
        <v>24</v>
      </c>
      <c r="E115" s="510">
        <v>24</v>
      </c>
      <c r="F115" s="151">
        <v>0</v>
      </c>
      <c r="G115" s="1440"/>
    </row>
    <row r="116" spans="1:7" x14ac:dyDescent="0.25">
      <c r="A116" s="1437"/>
      <c r="B116" s="448" t="s">
        <v>103</v>
      </c>
      <c r="C116" s="455">
        <v>0</v>
      </c>
      <c r="D116" s="455">
        <v>0</v>
      </c>
      <c r="E116" s="510">
        <v>0</v>
      </c>
      <c r="F116" s="151">
        <v>24</v>
      </c>
      <c r="G116" s="1440"/>
    </row>
    <row r="117" spans="1:7" ht="15.75" thickBot="1" x14ac:dyDescent="0.3">
      <c r="A117" s="1438"/>
      <c r="B117" s="457" t="s">
        <v>104</v>
      </c>
      <c r="C117" s="459">
        <v>0</v>
      </c>
      <c r="D117" s="459">
        <v>0</v>
      </c>
      <c r="E117" s="460">
        <v>0</v>
      </c>
      <c r="F117" s="260">
        <v>0</v>
      </c>
      <c r="G117" s="1441"/>
    </row>
    <row r="118" spans="1:7" ht="15.75" x14ac:dyDescent="0.25">
      <c r="A118" s="1436">
        <v>44469</v>
      </c>
      <c r="B118" s="446" t="s">
        <v>17</v>
      </c>
      <c r="C118" s="450">
        <v>1</v>
      </c>
      <c r="D118" s="450">
        <v>1</v>
      </c>
      <c r="E118" s="451">
        <v>1</v>
      </c>
      <c r="F118" s="150">
        <v>1</v>
      </c>
      <c r="G118" s="1439" t="s">
        <v>1282</v>
      </c>
    </row>
    <row r="119" spans="1:7" x14ac:dyDescent="0.25">
      <c r="A119" s="1437"/>
      <c r="B119" s="448" t="s">
        <v>102</v>
      </c>
      <c r="C119" s="455">
        <v>11.92</v>
      </c>
      <c r="D119" s="455">
        <v>24</v>
      </c>
      <c r="E119" s="511">
        <v>24</v>
      </c>
      <c r="F119" s="151">
        <v>0</v>
      </c>
      <c r="G119" s="1440"/>
    </row>
    <row r="120" spans="1:7" x14ac:dyDescent="0.25">
      <c r="A120" s="1437"/>
      <c r="B120" s="448" t="s">
        <v>103</v>
      </c>
      <c r="C120" s="455">
        <v>12.08</v>
      </c>
      <c r="D120" s="455">
        <v>0</v>
      </c>
      <c r="E120" s="511">
        <v>0</v>
      </c>
      <c r="F120" s="151">
        <v>24</v>
      </c>
      <c r="G120" s="1440"/>
    </row>
    <row r="121" spans="1:7" ht="15.75" thickBot="1" x14ac:dyDescent="0.3">
      <c r="A121" s="1438"/>
      <c r="B121" s="457" t="s">
        <v>104</v>
      </c>
      <c r="C121" s="459">
        <v>0</v>
      </c>
      <c r="D121" s="459">
        <v>0</v>
      </c>
      <c r="E121" s="460">
        <v>0</v>
      </c>
      <c r="F121" s="260">
        <v>0</v>
      </c>
      <c r="G121" s="1441"/>
    </row>
    <row r="122" spans="1:7" ht="15.75" x14ac:dyDescent="0.25">
      <c r="A122" s="1436"/>
      <c r="B122" s="446"/>
      <c r="C122" s="449"/>
      <c r="D122" s="450"/>
      <c r="E122" s="451"/>
      <c r="F122" s="452"/>
      <c r="G122" s="1417"/>
    </row>
    <row r="123" spans="1:7" x14ac:dyDescent="0.25">
      <c r="A123" s="1437"/>
      <c r="B123" s="448"/>
      <c r="C123" s="454"/>
      <c r="D123" s="455"/>
      <c r="E123" s="445"/>
      <c r="F123" s="456"/>
      <c r="G123" s="1418"/>
    </row>
    <row r="124" spans="1:7" x14ac:dyDescent="0.25">
      <c r="A124" s="1437"/>
      <c r="B124" s="448"/>
      <c r="C124" s="454"/>
      <c r="D124" s="455"/>
      <c r="E124" s="445"/>
      <c r="F124" s="456"/>
      <c r="G124" s="1418"/>
    </row>
    <row r="125" spans="1:7" ht="15.75" thickBot="1" x14ac:dyDescent="0.3">
      <c r="A125" s="1437"/>
      <c r="B125" s="463"/>
      <c r="C125" s="458"/>
      <c r="D125" s="459"/>
      <c r="E125" s="460"/>
      <c r="F125" s="461"/>
      <c r="G125" s="1423"/>
    </row>
    <row r="126" spans="1:7" x14ac:dyDescent="0.25">
      <c r="A126" s="464" t="s">
        <v>1074</v>
      </c>
      <c r="B126" s="465"/>
      <c r="C126" s="466">
        <f t="shared" ref="C126:F128" si="0">SUM(C123,C119,C115,C111,C107,C103,C99,C95,C91,C87,C83,C79,C75,C71,C67,C63,C59,C55,C51,C47,C43,C39,C35,C31,C27,C23,C19,C15,C11,C7,C3)</f>
        <v>293</v>
      </c>
      <c r="D126" s="467">
        <f t="shared" si="0"/>
        <v>689.71</v>
      </c>
      <c r="E126" s="467">
        <f t="shared" si="0"/>
        <v>719.5</v>
      </c>
      <c r="F126" s="467">
        <f t="shared" si="0"/>
        <v>0</v>
      </c>
      <c r="G126" s="468"/>
    </row>
    <row r="127" spans="1:7" x14ac:dyDescent="0.25">
      <c r="A127" s="443" t="s">
        <v>1075</v>
      </c>
      <c r="B127" s="134"/>
      <c r="C127" s="469">
        <f t="shared" si="0"/>
        <v>427</v>
      </c>
      <c r="D127" s="470">
        <f t="shared" si="0"/>
        <v>30.289999999999996</v>
      </c>
      <c r="E127" s="470">
        <f t="shared" si="0"/>
        <v>0.5</v>
      </c>
      <c r="F127" s="470">
        <f t="shared" si="0"/>
        <v>720</v>
      </c>
      <c r="G127" s="471"/>
    </row>
    <row r="128" spans="1:7" ht="15.75" thickBot="1" x14ac:dyDescent="0.3">
      <c r="A128" s="444" t="s">
        <v>1076</v>
      </c>
      <c r="B128" s="472"/>
      <c r="C128" s="473">
        <f t="shared" si="0"/>
        <v>0</v>
      </c>
      <c r="D128" s="474">
        <f t="shared" si="0"/>
        <v>0</v>
      </c>
      <c r="E128" s="474">
        <f t="shared" si="0"/>
        <v>0</v>
      </c>
      <c r="F128" s="474">
        <f t="shared" si="0"/>
        <v>0</v>
      </c>
      <c r="G128" s="475"/>
    </row>
    <row r="129" spans="1:7" ht="15.75" thickBot="1" x14ac:dyDescent="0.3">
      <c r="A129" s="476" t="s">
        <v>108</v>
      </c>
      <c r="B129" s="477"/>
      <c r="C129" s="478"/>
      <c r="D129" s="478"/>
      <c r="E129" s="478"/>
      <c r="F129" s="478"/>
      <c r="G129" s="141"/>
    </row>
  </sheetData>
  <mergeCells count="62">
    <mergeCell ref="A2:A5"/>
    <mergeCell ref="G2:G5"/>
    <mergeCell ref="A6:A9"/>
    <mergeCell ref="G6:G9"/>
    <mergeCell ref="A10:A13"/>
    <mergeCell ref="G10:G13"/>
    <mergeCell ref="A14:A17"/>
    <mergeCell ref="G14:G17"/>
    <mergeCell ref="A18:A21"/>
    <mergeCell ref="G18:G21"/>
    <mergeCell ref="A22:A25"/>
    <mergeCell ref="G22:G25"/>
    <mergeCell ref="A26:A29"/>
    <mergeCell ref="G26:G29"/>
    <mergeCell ref="A30:A33"/>
    <mergeCell ref="G30:G33"/>
    <mergeCell ref="A34:A37"/>
    <mergeCell ref="G34:G37"/>
    <mergeCell ref="A38:A41"/>
    <mergeCell ref="G38:G41"/>
    <mergeCell ref="A42:A45"/>
    <mergeCell ref="G42:G45"/>
    <mergeCell ref="A46:A49"/>
    <mergeCell ref="G46:G49"/>
    <mergeCell ref="A50:A53"/>
    <mergeCell ref="G50:G53"/>
    <mergeCell ref="A54:A57"/>
    <mergeCell ref="G54:G57"/>
    <mergeCell ref="A58:A61"/>
    <mergeCell ref="G58:G61"/>
    <mergeCell ref="A62:A65"/>
    <mergeCell ref="G62:G65"/>
    <mergeCell ref="A66:A69"/>
    <mergeCell ref="G66:G69"/>
    <mergeCell ref="A70:A73"/>
    <mergeCell ref="G70:G73"/>
    <mergeCell ref="A74:A77"/>
    <mergeCell ref="G74:G77"/>
    <mergeCell ref="A78:A81"/>
    <mergeCell ref="G78:G81"/>
    <mergeCell ref="A82:A85"/>
    <mergeCell ref="G82:G85"/>
    <mergeCell ref="A86:A89"/>
    <mergeCell ref="G86:G89"/>
    <mergeCell ref="A90:A93"/>
    <mergeCell ref="G90:G93"/>
    <mergeCell ref="A94:A97"/>
    <mergeCell ref="G94:G97"/>
    <mergeCell ref="A98:A101"/>
    <mergeCell ref="G98:G101"/>
    <mergeCell ref="A102:A105"/>
    <mergeCell ref="G102:G105"/>
    <mergeCell ref="A106:A109"/>
    <mergeCell ref="G106:G109"/>
    <mergeCell ref="A122:A125"/>
    <mergeCell ref="G122:G125"/>
    <mergeCell ref="A110:A113"/>
    <mergeCell ref="G110:G113"/>
    <mergeCell ref="A114:A117"/>
    <mergeCell ref="G114:G117"/>
    <mergeCell ref="A118:A121"/>
    <mergeCell ref="G118:G121"/>
  </mergeCells>
  <pageMargins left="0.7" right="0.7" top="0.75" bottom="0.75" header="0.3" footer="0.3"/>
  <pageSetup paperSize="9" orientation="portrait"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G129"/>
  <sheetViews>
    <sheetView workbookViewId="0">
      <pane ySplit="1" topLeftCell="A122" activePane="bottomLeft" state="frozen"/>
      <selection pane="bottomLeft" activeCell="C122" sqref="C122:E125"/>
    </sheetView>
  </sheetViews>
  <sheetFormatPr defaultRowHeight="15" x14ac:dyDescent="0.25"/>
  <cols>
    <col min="1" max="1" width="47.7109375" customWidth="1"/>
    <col min="2" max="2" width="25" customWidth="1"/>
    <col min="4" max="4" width="9.140625" style="1"/>
    <col min="7" max="7" width="44.5703125" customWidth="1"/>
  </cols>
  <sheetData>
    <row r="1" spans="1:7" ht="16.5" thickBot="1" x14ac:dyDescent="0.3">
      <c r="A1" s="108" t="s">
        <v>98</v>
      </c>
      <c r="B1" s="446" t="s">
        <v>17</v>
      </c>
      <c r="C1" s="447" t="s">
        <v>310</v>
      </c>
      <c r="D1" s="447" t="s">
        <v>239</v>
      </c>
      <c r="E1" s="447" t="s">
        <v>100</v>
      </c>
      <c r="F1" s="447" t="s">
        <v>157</v>
      </c>
      <c r="G1" s="111" t="s">
        <v>101</v>
      </c>
    </row>
    <row r="2" spans="1:7" x14ac:dyDescent="0.25">
      <c r="A2" s="1436">
        <v>44470</v>
      </c>
      <c r="B2" s="448" t="s">
        <v>102</v>
      </c>
      <c r="C2" s="150">
        <v>1</v>
      </c>
      <c r="D2" s="450">
        <v>1</v>
      </c>
      <c r="E2" s="451">
        <v>1</v>
      </c>
      <c r="F2" s="150">
        <v>1</v>
      </c>
      <c r="G2" s="1439"/>
    </row>
    <row r="3" spans="1:7" x14ac:dyDescent="0.25">
      <c r="A3" s="1437"/>
      <c r="B3" s="453" t="s">
        <v>102</v>
      </c>
      <c r="C3" s="151">
        <v>0</v>
      </c>
      <c r="D3" s="455">
        <v>24</v>
      </c>
      <c r="E3" s="514">
        <v>24</v>
      </c>
      <c r="F3" s="151">
        <v>0</v>
      </c>
      <c r="G3" s="1440"/>
    </row>
    <row r="4" spans="1:7" x14ac:dyDescent="0.25">
      <c r="A4" s="1437"/>
      <c r="B4" s="448" t="s">
        <v>103</v>
      </c>
      <c r="C4" s="151">
        <v>24</v>
      </c>
      <c r="D4" s="455">
        <v>0</v>
      </c>
      <c r="E4" s="514">
        <v>0</v>
      </c>
      <c r="F4" s="151">
        <v>24</v>
      </c>
      <c r="G4" s="1440"/>
    </row>
    <row r="5" spans="1:7" ht="15.75" thickBot="1" x14ac:dyDescent="0.3">
      <c r="A5" s="1438"/>
      <c r="B5" s="457" t="s">
        <v>104</v>
      </c>
      <c r="C5" s="260">
        <v>0</v>
      </c>
      <c r="D5" s="459">
        <v>0</v>
      </c>
      <c r="E5" s="460">
        <v>0</v>
      </c>
      <c r="F5" s="260">
        <v>0</v>
      </c>
      <c r="G5" s="1441"/>
    </row>
    <row r="6" spans="1:7" ht="15.75" x14ac:dyDescent="0.25">
      <c r="A6" s="1436">
        <v>44471</v>
      </c>
      <c r="B6" s="112" t="s">
        <v>17</v>
      </c>
      <c r="C6" s="150">
        <v>1</v>
      </c>
      <c r="D6" s="450">
        <v>1</v>
      </c>
      <c r="E6" s="451">
        <v>1</v>
      </c>
      <c r="F6" s="150">
        <v>1</v>
      </c>
      <c r="G6" s="1439"/>
    </row>
    <row r="7" spans="1:7" x14ac:dyDescent="0.25">
      <c r="A7" s="1437"/>
      <c r="B7" s="115" t="s">
        <v>102</v>
      </c>
      <c r="C7" s="151">
        <v>0</v>
      </c>
      <c r="D7" s="455">
        <v>24</v>
      </c>
      <c r="E7" s="515">
        <v>24</v>
      </c>
      <c r="F7" s="151">
        <v>0</v>
      </c>
      <c r="G7" s="1440"/>
    </row>
    <row r="8" spans="1:7" x14ac:dyDescent="0.25">
      <c r="A8" s="1437"/>
      <c r="B8" s="117" t="s">
        <v>103</v>
      </c>
      <c r="C8" s="151">
        <v>24</v>
      </c>
      <c r="D8" s="455">
        <v>0</v>
      </c>
      <c r="E8" s="515">
        <v>0</v>
      </c>
      <c r="F8" s="151">
        <v>24</v>
      </c>
      <c r="G8" s="1440"/>
    </row>
    <row r="9" spans="1:7" ht="15.75" thickBot="1" x14ac:dyDescent="0.3">
      <c r="A9" s="1438"/>
      <c r="B9" s="119" t="s">
        <v>104</v>
      </c>
      <c r="C9" s="260">
        <v>0</v>
      </c>
      <c r="D9" s="459">
        <v>0</v>
      </c>
      <c r="E9" s="460">
        <v>0</v>
      </c>
      <c r="F9" s="260">
        <v>0</v>
      </c>
      <c r="G9" s="1441"/>
    </row>
    <row r="10" spans="1:7" ht="15.75" x14ac:dyDescent="0.25">
      <c r="A10" s="1436">
        <v>44472</v>
      </c>
      <c r="B10" s="112" t="s">
        <v>17</v>
      </c>
      <c r="C10" s="150">
        <v>1</v>
      </c>
      <c r="D10" s="450">
        <v>1</v>
      </c>
      <c r="E10" s="451">
        <v>1</v>
      </c>
      <c r="F10" s="150">
        <v>1</v>
      </c>
      <c r="G10" s="1439" t="s">
        <v>1300</v>
      </c>
    </row>
    <row r="11" spans="1:7" x14ac:dyDescent="0.25">
      <c r="A11" s="1437"/>
      <c r="B11" s="115" t="s">
        <v>102</v>
      </c>
      <c r="C11" s="151">
        <v>11</v>
      </c>
      <c r="D11" s="455">
        <v>22.92</v>
      </c>
      <c r="E11" s="516">
        <v>24</v>
      </c>
      <c r="F11" s="151">
        <v>0</v>
      </c>
      <c r="G11" s="1440"/>
    </row>
    <row r="12" spans="1:7" x14ac:dyDescent="0.25">
      <c r="A12" s="1437"/>
      <c r="B12" s="117" t="s">
        <v>103</v>
      </c>
      <c r="C12" s="151">
        <v>13</v>
      </c>
      <c r="D12" s="455">
        <v>1.08</v>
      </c>
      <c r="E12" s="516">
        <v>0</v>
      </c>
      <c r="F12" s="151">
        <v>24</v>
      </c>
      <c r="G12" s="1440"/>
    </row>
    <row r="13" spans="1:7" ht="15.75" thickBot="1" x14ac:dyDescent="0.3">
      <c r="A13" s="1438"/>
      <c r="B13" s="119" t="s">
        <v>104</v>
      </c>
      <c r="C13" s="260">
        <v>0</v>
      </c>
      <c r="D13" s="459">
        <v>0</v>
      </c>
      <c r="E13" s="460">
        <v>0</v>
      </c>
      <c r="F13" s="260">
        <v>0</v>
      </c>
      <c r="G13" s="1441"/>
    </row>
    <row r="14" spans="1:7" ht="15.75" x14ac:dyDescent="0.25">
      <c r="A14" s="1436">
        <v>44473</v>
      </c>
      <c r="B14" s="112" t="s">
        <v>17</v>
      </c>
      <c r="C14" s="150">
        <v>1</v>
      </c>
      <c r="D14" s="450">
        <v>1</v>
      </c>
      <c r="E14" s="451">
        <v>1</v>
      </c>
      <c r="F14" s="150">
        <v>1</v>
      </c>
      <c r="G14" s="1439"/>
    </row>
    <row r="15" spans="1:7" x14ac:dyDescent="0.25">
      <c r="A15" s="1437"/>
      <c r="B15" s="115" t="s">
        <v>102</v>
      </c>
      <c r="C15" s="151">
        <v>24</v>
      </c>
      <c r="D15" s="455">
        <v>24</v>
      </c>
      <c r="E15" s="518">
        <v>24</v>
      </c>
      <c r="F15" s="151">
        <v>0</v>
      </c>
      <c r="G15" s="1440"/>
    </row>
    <row r="16" spans="1:7" x14ac:dyDescent="0.25">
      <c r="A16" s="1437"/>
      <c r="B16" s="117" t="s">
        <v>103</v>
      </c>
      <c r="C16" s="151">
        <v>0</v>
      </c>
      <c r="D16" s="455">
        <v>0</v>
      </c>
      <c r="E16" s="518">
        <v>0</v>
      </c>
      <c r="F16" s="151">
        <v>24</v>
      </c>
      <c r="G16" s="1440"/>
    </row>
    <row r="17" spans="1:7" ht="15.75" thickBot="1" x14ac:dyDescent="0.3">
      <c r="A17" s="1438"/>
      <c r="B17" s="119" t="s">
        <v>104</v>
      </c>
      <c r="C17" s="260">
        <v>0</v>
      </c>
      <c r="D17" s="459">
        <v>0</v>
      </c>
      <c r="E17" s="460">
        <v>0</v>
      </c>
      <c r="F17" s="260">
        <v>0</v>
      </c>
      <c r="G17" s="1441"/>
    </row>
    <row r="18" spans="1:7" ht="15.75" x14ac:dyDescent="0.25">
      <c r="A18" s="1436">
        <v>44474</v>
      </c>
      <c r="B18" s="122" t="s">
        <v>17</v>
      </c>
      <c r="C18" s="150">
        <v>1</v>
      </c>
      <c r="D18" s="450">
        <v>1</v>
      </c>
      <c r="E18" s="451">
        <v>1</v>
      </c>
      <c r="F18" s="150">
        <v>1</v>
      </c>
      <c r="G18" s="1439" t="s">
        <v>1312</v>
      </c>
    </row>
    <row r="19" spans="1:7" x14ac:dyDescent="0.25">
      <c r="A19" s="1437"/>
      <c r="B19" s="115" t="s">
        <v>102</v>
      </c>
      <c r="C19" s="151">
        <v>8.17</v>
      </c>
      <c r="D19" s="455">
        <v>24</v>
      </c>
      <c r="E19" s="519">
        <v>24</v>
      </c>
      <c r="F19" s="151">
        <v>0</v>
      </c>
      <c r="G19" s="1440"/>
    </row>
    <row r="20" spans="1:7" x14ac:dyDescent="0.25">
      <c r="A20" s="1437"/>
      <c r="B20" s="117" t="s">
        <v>103</v>
      </c>
      <c r="C20" s="151">
        <v>15.83</v>
      </c>
      <c r="D20" s="455">
        <v>0</v>
      </c>
      <c r="E20" s="519">
        <v>0</v>
      </c>
      <c r="F20" s="151">
        <v>24</v>
      </c>
      <c r="G20" s="1440"/>
    </row>
    <row r="21" spans="1:7" ht="15.75" thickBot="1" x14ac:dyDescent="0.3">
      <c r="A21" s="1438"/>
      <c r="B21" s="119" t="s">
        <v>104</v>
      </c>
      <c r="C21" s="260">
        <v>0</v>
      </c>
      <c r="D21" s="459">
        <v>0</v>
      </c>
      <c r="E21" s="460">
        <v>0</v>
      </c>
      <c r="F21" s="260">
        <v>0</v>
      </c>
      <c r="G21" s="1441"/>
    </row>
    <row r="22" spans="1:7" ht="15.75" x14ac:dyDescent="0.25">
      <c r="A22" s="1436">
        <v>44475</v>
      </c>
      <c r="B22" s="112" t="s">
        <v>17</v>
      </c>
      <c r="C22" s="150">
        <v>1</v>
      </c>
      <c r="D22" s="450">
        <v>1</v>
      </c>
      <c r="E22" s="451">
        <v>1</v>
      </c>
      <c r="F22" s="150">
        <v>1</v>
      </c>
      <c r="G22" s="1439" t="s">
        <v>1322</v>
      </c>
    </row>
    <row r="23" spans="1:7" x14ac:dyDescent="0.25">
      <c r="A23" s="1437"/>
      <c r="B23" s="125" t="s">
        <v>102</v>
      </c>
      <c r="C23" s="151">
        <v>0</v>
      </c>
      <c r="D23" s="455">
        <v>19.55</v>
      </c>
      <c r="E23" s="455">
        <v>19.55</v>
      </c>
      <c r="F23" s="151">
        <v>0</v>
      </c>
      <c r="G23" s="1440"/>
    </row>
    <row r="24" spans="1:7" x14ac:dyDescent="0.25">
      <c r="A24" s="1437"/>
      <c r="B24" s="117" t="s">
        <v>103</v>
      </c>
      <c r="C24" s="151">
        <v>24</v>
      </c>
      <c r="D24" s="455">
        <v>4.45</v>
      </c>
      <c r="E24" s="455">
        <v>4.45</v>
      </c>
      <c r="F24" s="151">
        <v>24</v>
      </c>
      <c r="G24" s="1440"/>
    </row>
    <row r="25" spans="1:7" ht="15.75" thickBot="1" x14ac:dyDescent="0.3">
      <c r="A25" s="1438"/>
      <c r="B25" s="119" t="s">
        <v>104</v>
      </c>
      <c r="C25" s="260">
        <v>0</v>
      </c>
      <c r="D25" s="459">
        <v>0</v>
      </c>
      <c r="E25" s="460">
        <v>0</v>
      </c>
      <c r="F25" s="260">
        <v>0</v>
      </c>
      <c r="G25" s="1441"/>
    </row>
    <row r="26" spans="1:7" ht="15.75" x14ac:dyDescent="0.25">
      <c r="A26" s="1436">
        <v>44476</v>
      </c>
      <c r="B26" s="112" t="s">
        <v>17</v>
      </c>
      <c r="C26" s="150">
        <v>1</v>
      </c>
      <c r="D26" s="450">
        <v>1</v>
      </c>
      <c r="E26" s="451">
        <v>1</v>
      </c>
      <c r="F26" s="150">
        <v>1</v>
      </c>
      <c r="G26" s="1439"/>
    </row>
    <row r="27" spans="1:7" x14ac:dyDescent="0.25">
      <c r="A27" s="1437"/>
      <c r="B27" s="115" t="s">
        <v>102</v>
      </c>
      <c r="C27" s="151">
        <v>0</v>
      </c>
      <c r="D27" s="455">
        <v>24</v>
      </c>
      <c r="E27" s="520">
        <v>24</v>
      </c>
      <c r="F27" s="151">
        <v>0</v>
      </c>
      <c r="G27" s="1440"/>
    </row>
    <row r="28" spans="1:7" x14ac:dyDescent="0.25">
      <c r="A28" s="1437"/>
      <c r="B28" s="117" t="s">
        <v>103</v>
      </c>
      <c r="C28" s="151">
        <v>24</v>
      </c>
      <c r="D28" s="455">
        <v>0</v>
      </c>
      <c r="E28" s="520">
        <v>0</v>
      </c>
      <c r="F28" s="151">
        <v>24</v>
      </c>
      <c r="G28" s="1440"/>
    </row>
    <row r="29" spans="1:7" ht="15.75" thickBot="1" x14ac:dyDescent="0.3">
      <c r="A29" s="1438"/>
      <c r="B29" s="119" t="s">
        <v>104</v>
      </c>
      <c r="C29" s="260">
        <v>0</v>
      </c>
      <c r="D29" s="459">
        <v>0</v>
      </c>
      <c r="E29" s="460">
        <v>0</v>
      </c>
      <c r="F29" s="260">
        <v>0</v>
      </c>
      <c r="G29" s="1441"/>
    </row>
    <row r="30" spans="1:7" ht="15.75" x14ac:dyDescent="0.25">
      <c r="A30" s="1436">
        <v>44477</v>
      </c>
      <c r="B30" s="122" t="s">
        <v>17</v>
      </c>
      <c r="C30" s="150">
        <v>1</v>
      </c>
      <c r="D30" s="450">
        <v>1</v>
      </c>
      <c r="E30" s="451">
        <v>1</v>
      </c>
      <c r="F30" s="150">
        <v>1</v>
      </c>
      <c r="G30" s="1439" t="s">
        <v>1334</v>
      </c>
    </row>
    <row r="31" spans="1:7" x14ac:dyDescent="0.25">
      <c r="A31" s="1437"/>
      <c r="B31" s="125" t="s">
        <v>102</v>
      </c>
      <c r="C31" s="151">
        <v>16.420000000000002</v>
      </c>
      <c r="D31" s="455">
        <v>22.25</v>
      </c>
      <c r="E31" s="521">
        <v>24</v>
      </c>
      <c r="F31" s="151">
        <v>0</v>
      </c>
      <c r="G31" s="1440"/>
    </row>
    <row r="32" spans="1:7" x14ac:dyDescent="0.25">
      <c r="A32" s="1437"/>
      <c r="B32" s="117" t="s">
        <v>103</v>
      </c>
      <c r="C32" s="151">
        <v>7.58</v>
      </c>
      <c r="D32" s="455">
        <v>1.75</v>
      </c>
      <c r="E32" s="521">
        <v>0</v>
      </c>
      <c r="F32" s="151">
        <v>24</v>
      </c>
      <c r="G32" s="1440"/>
    </row>
    <row r="33" spans="1:7" ht="15.75" thickBot="1" x14ac:dyDescent="0.3">
      <c r="A33" s="1438"/>
      <c r="B33" s="119" t="s">
        <v>104</v>
      </c>
      <c r="C33" s="260">
        <v>0</v>
      </c>
      <c r="D33" s="459">
        <v>0</v>
      </c>
      <c r="E33" s="460">
        <v>0</v>
      </c>
      <c r="F33" s="260">
        <v>0</v>
      </c>
      <c r="G33" s="1441"/>
    </row>
    <row r="34" spans="1:7" ht="15.75" x14ac:dyDescent="0.25">
      <c r="A34" s="1436">
        <v>44478</v>
      </c>
      <c r="B34" s="122" t="s">
        <v>17</v>
      </c>
      <c r="C34" s="150">
        <v>1</v>
      </c>
      <c r="D34" s="450">
        <v>1</v>
      </c>
      <c r="E34" s="451">
        <v>1</v>
      </c>
      <c r="F34" s="150">
        <v>1</v>
      </c>
      <c r="G34" s="1439" t="s">
        <v>1344</v>
      </c>
    </row>
    <row r="35" spans="1:7" x14ac:dyDescent="0.25">
      <c r="A35" s="1437"/>
      <c r="B35" s="115" t="s">
        <v>102</v>
      </c>
      <c r="C35" s="151">
        <v>18.5</v>
      </c>
      <c r="D35" s="455">
        <v>24</v>
      </c>
      <c r="E35" s="522">
        <v>24</v>
      </c>
      <c r="F35" s="151">
        <v>0</v>
      </c>
      <c r="G35" s="1440"/>
    </row>
    <row r="36" spans="1:7" x14ac:dyDescent="0.25">
      <c r="A36" s="1437"/>
      <c r="B36" s="117" t="s">
        <v>103</v>
      </c>
      <c r="C36" s="151">
        <v>5.5</v>
      </c>
      <c r="D36" s="455">
        <v>0</v>
      </c>
      <c r="E36" s="522">
        <v>0</v>
      </c>
      <c r="F36" s="151">
        <v>24</v>
      </c>
      <c r="G36" s="1440"/>
    </row>
    <row r="37" spans="1:7" ht="15.75" thickBot="1" x14ac:dyDescent="0.3">
      <c r="A37" s="1438"/>
      <c r="B37" s="119" t="s">
        <v>104</v>
      </c>
      <c r="C37" s="260">
        <v>0</v>
      </c>
      <c r="D37" s="459">
        <v>0</v>
      </c>
      <c r="E37" s="460">
        <v>0</v>
      </c>
      <c r="F37" s="260">
        <v>0</v>
      </c>
      <c r="G37" s="1441"/>
    </row>
    <row r="38" spans="1:7" ht="15.75" x14ac:dyDescent="0.25">
      <c r="A38" s="1436">
        <v>44479</v>
      </c>
      <c r="B38" s="122" t="s">
        <v>17</v>
      </c>
      <c r="C38" s="150">
        <v>1</v>
      </c>
      <c r="D38" s="450">
        <v>1</v>
      </c>
      <c r="E38" s="451">
        <v>1</v>
      </c>
      <c r="F38" s="150">
        <v>1</v>
      </c>
      <c r="G38" s="1439"/>
    </row>
    <row r="39" spans="1:7" x14ac:dyDescent="0.25">
      <c r="A39" s="1437"/>
      <c r="B39" s="115" t="s">
        <v>102</v>
      </c>
      <c r="C39" s="151">
        <v>0</v>
      </c>
      <c r="D39" s="455">
        <v>24</v>
      </c>
      <c r="E39" s="523">
        <v>24</v>
      </c>
      <c r="F39" s="151">
        <v>0</v>
      </c>
      <c r="G39" s="1440"/>
    </row>
    <row r="40" spans="1:7" x14ac:dyDescent="0.25">
      <c r="A40" s="1437"/>
      <c r="B40" s="117" t="s">
        <v>103</v>
      </c>
      <c r="C40" s="151">
        <v>24</v>
      </c>
      <c r="D40" s="455">
        <v>0</v>
      </c>
      <c r="E40" s="523">
        <v>0</v>
      </c>
      <c r="F40" s="151">
        <v>24</v>
      </c>
      <c r="G40" s="1440"/>
    </row>
    <row r="41" spans="1:7" ht="15.75" thickBot="1" x14ac:dyDescent="0.3">
      <c r="A41" s="1438"/>
      <c r="B41" s="119" t="s">
        <v>104</v>
      </c>
      <c r="C41" s="260">
        <v>0</v>
      </c>
      <c r="D41" s="459">
        <v>0</v>
      </c>
      <c r="E41" s="460">
        <v>0</v>
      </c>
      <c r="F41" s="260">
        <v>0</v>
      </c>
      <c r="G41" s="1441"/>
    </row>
    <row r="42" spans="1:7" ht="15.75" x14ac:dyDescent="0.25">
      <c r="A42" s="1436">
        <v>44480</v>
      </c>
      <c r="B42" s="122" t="s">
        <v>17</v>
      </c>
      <c r="C42" s="150">
        <v>1</v>
      </c>
      <c r="D42" s="450">
        <v>1</v>
      </c>
      <c r="E42" s="451">
        <v>1</v>
      </c>
      <c r="F42" s="150">
        <v>1</v>
      </c>
      <c r="G42" s="1439"/>
    </row>
    <row r="43" spans="1:7" x14ac:dyDescent="0.25">
      <c r="A43" s="1437"/>
      <c r="B43" s="115" t="s">
        <v>102</v>
      </c>
      <c r="C43" s="151">
        <v>0</v>
      </c>
      <c r="D43" s="455">
        <v>24</v>
      </c>
      <c r="E43" s="524">
        <v>24</v>
      </c>
      <c r="F43" s="151">
        <v>0</v>
      </c>
      <c r="G43" s="1440"/>
    </row>
    <row r="44" spans="1:7" x14ac:dyDescent="0.25">
      <c r="A44" s="1437"/>
      <c r="B44" s="117" t="s">
        <v>103</v>
      </c>
      <c r="C44" s="151">
        <v>24</v>
      </c>
      <c r="D44" s="455">
        <v>0</v>
      </c>
      <c r="E44" s="524">
        <v>0</v>
      </c>
      <c r="F44" s="151">
        <v>24</v>
      </c>
      <c r="G44" s="1440"/>
    </row>
    <row r="45" spans="1:7" ht="15.75" thickBot="1" x14ac:dyDescent="0.3">
      <c r="A45" s="1438"/>
      <c r="B45" s="119" t="s">
        <v>104</v>
      </c>
      <c r="C45" s="260">
        <v>0</v>
      </c>
      <c r="D45" s="459">
        <v>0</v>
      </c>
      <c r="E45" s="460">
        <v>0</v>
      </c>
      <c r="F45" s="260">
        <v>0</v>
      </c>
      <c r="G45" s="1442"/>
    </row>
    <row r="46" spans="1:7" ht="15.75" x14ac:dyDescent="0.25">
      <c r="A46" s="1436">
        <v>44481</v>
      </c>
      <c r="B46" s="122" t="s">
        <v>17</v>
      </c>
      <c r="C46" s="150">
        <v>1</v>
      </c>
      <c r="D46" s="450">
        <v>1</v>
      </c>
      <c r="E46" s="451">
        <v>1</v>
      </c>
      <c r="F46" s="150">
        <v>1</v>
      </c>
      <c r="G46" s="1439"/>
    </row>
    <row r="47" spans="1:7" x14ac:dyDescent="0.25">
      <c r="A47" s="1437"/>
      <c r="B47" s="115" t="s">
        <v>102</v>
      </c>
      <c r="C47" s="151">
        <v>0</v>
      </c>
      <c r="D47" s="455">
        <v>24</v>
      </c>
      <c r="E47" s="525">
        <v>24</v>
      </c>
      <c r="F47" s="151">
        <v>0</v>
      </c>
      <c r="G47" s="1440"/>
    </row>
    <row r="48" spans="1:7" x14ac:dyDescent="0.25">
      <c r="A48" s="1437"/>
      <c r="B48" s="117" t="s">
        <v>103</v>
      </c>
      <c r="C48" s="151">
        <v>24</v>
      </c>
      <c r="D48" s="455">
        <v>0</v>
      </c>
      <c r="E48" s="525">
        <v>0</v>
      </c>
      <c r="F48" s="151">
        <v>24</v>
      </c>
      <c r="G48" s="1440"/>
    </row>
    <row r="49" spans="1:7" ht="15.75" thickBot="1" x14ac:dyDescent="0.3">
      <c r="A49" s="1438"/>
      <c r="B49" s="119" t="s">
        <v>104</v>
      </c>
      <c r="C49" s="260">
        <v>0</v>
      </c>
      <c r="D49" s="459">
        <v>0</v>
      </c>
      <c r="E49" s="460">
        <v>0</v>
      </c>
      <c r="F49" s="260">
        <v>0</v>
      </c>
      <c r="G49" s="1442"/>
    </row>
    <row r="50" spans="1:7" ht="15.75" x14ac:dyDescent="0.25">
      <c r="A50" s="1436">
        <v>44482</v>
      </c>
      <c r="B50" s="122" t="s">
        <v>17</v>
      </c>
      <c r="C50" s="150">
        <v>1</v>
      </c>
      <c r="D50" s="450">
        <v>1</v>
      </c>
      <c r="E50" s="451">
        <v>1</v>
      </c>
      <c r="F50" s="150">
        <v>1</v>
      </c>
      <c r="G50" s="1439"/>
    </row>
    <row r="51" spans="1:7" x14ac:dyDescent="0.25">
      <c r="A51" s="1437"/>
      <c r="B51" s="115" t="s">
        <v>102</v>
      </c>
      <c r="C51" s="151">
        <v>0</v>
      </c>
      <c r="D51" s="455">
        <v>24</v>
      </c>
      <c r="E51" s="525">
        <v>24</v>
      </c>
      <c r="F51" s="151">
        <v>0</v>
      </c>
      <c r="G51" s="1440"/>
    </row>
    <row r="52" spans="1:7" x14ac:dyDescent="0.25">
      <c r="A52" s="1437"/>
      <c r="B52" s="117" t="s">
        <v>103</v>
      </c>
      <c r="C52" s="151">
        <v>24</v>
      </c>
      <c r="D52" s="455">
        <v>0</v>
      </c>
      <c r="E52" s="525">
        <v>0</v>
      </c>
      <c r="F52" s="151">
        <v>24</v>
      </c>
      <c r="G52" s="1440"/>
    </row>
    <row r="53" spans="1:7" ht="15.75" thickBot="1" x14ac:dyDescent="0.3">
      <c r="A53" s="1438"/>
      <c r="B53" s="119" t="s">
        <v>104</v>
      </c>
      <c r="C53" s="260">
        <v>0</v>
      </c>
      <c r="D53" s="459">
        <v>0</v>
      </c>
      <c r="E53" s="460">
        <v>0</v>
      </c>
      <c r="F53" s="260">
        <v>0</v>
      </c>
      <c r="G53" s="1442"/>
    </row>
    <row r="54" spans="1:7" ht="15.75" x14ac:dyDescent="0.25">
      <c r="A54" s="1436">
        <v>44483</v>
      </c>
      <c r="B54" s="462" t="s">
        <v>17</v>
      </c>
      <c r="C54" s="150">
        <v>1</v>
      </c>
      <c r="D54" s="450">
        <v>1</v>
      </c>
      <c r="E54" s="451">
        <v>1</v>
      </c>
      <c r="F54" s="150">
        <v>1</v>
      </c>
      <c r="G54" s="1439" t="s">
        <v>1366</v>
      </c>
    </row>
    <row r="55" spans="1:7" x14ac:dyDescent="0.25">
      <c r="A55" s="1437"/>
      <c r="B55" s="453" t="s">
        <v>102</v>
      </c>
      <c r="C55" s="151">
        <v>18</v>
      </c>
      <c r="D55" s="455">
        <v>24</v>
      </c>
      <c r="E55" s="526">
        <v>24</v>
      </c>
      <c r="F55" s="151">
        <v>0</v>
      </c>
      <c r="G55" s="1440"/>
    </row>
    <row r="56" spans="1:7" x14ac:dyDescent="0.25">
      <c r="A56" s="1437"/>
      <c r="B56" s="448" t="s">
        <v>103</v>
      </c>
      <c r="C56" s="151">
        <v>6</v>
      </c>
      <c r="D56" s="455">
        <v>0</v>
      </c>
      <c r="E56" s="526">
        <v>0</v>
      </c>
      <c r="F56" s="151">
        <v>24</v>
      </c>
      <c r="G56" s="1440"/>
    </row>
    <row r="57" spans="1:7" ht="15.75" thickBot="1" x14ac:dyDescent="0.3">
      <c r="A57" s="1438"/>
      <c r="B57" s="457" t="s">
        <v>104</v>
      </c>
      <c r="C57" s="260">
        <v>0</v>
      </c>
      <c r="D57" s="459">
        <v>0</v>
      </c>
      <c r="E57" s="460">
        <v>0</v>
      </c>
      <c r="F57" s="260">
        <v>0</v>
      </c>
      <c r="G57" s="1442"/>
    </row>
    <row r="58" spans="1:7" ht="15.75" x14ac:dyDescent="0.25">
      <c r="A58" s="1436">
        <v>44484</v>
      </c>
      <c r="B58" s="122" t="s">
        <v>17</v>
      </c>
      <c r="C58" s="450">
        <v>1</v>
      </c>
      <c r="D58" s="450">
        <v>1</v>
      </c>
      <c r="E58" s="451">
        <v>1</v>
      </c>
      <c r="F58" s="150">
        <v>1</v>
      </c>
      <c r="G58" s="1439"/>
    </row>
    <row r="59" spans="1:7" x14ac:dyDescent="0.25">
      <c r="A59" s="1437"/>
      <c r="B59" s="115" t="s">
        <v>102</v>
      </c>
      <c r="C59" s="455">
        <v>24</v>
      </c>
      <c r="D59" s="455">
        <v>24</v>
      </c>
      <c r="E59" s="527">
        <v>24</v>
      </c>
      <c r="F59" s="151">
        <v>0</v>
      </c>
      <c r="G59" s="1440"/>
    </row>
    <row r="60" spans="1:7" x14ac:dyDescent="0.25">
      <c r="A60" s="1437"/>
      <c r="B60" s="117" t="s">
        <v>103</v>
      </c>
      <c r="C60" s="455">
        <v>0</v>
      </c>
      <c r="D60" s="455">
        <v>0</v>
      </c>
      <c r="E60" s="527">
        <v>0</v>
      </c>
      <c r="F60" s="151">
        <v>24</v>
      </c>
      <c r="G60" s="1440"/>
    </row>
    <row r="61" spans="1:7" ht="15.75" thickBot="1" x14ac:dyDescent="0.3">
      <c r="A61" s="1438"/>
      <c r="B61" s="119" t="s">
        <v>104</v>
      </c>
      <c r="C61" s="459">
        <v>0</v>
      </c>
      <c r="D61" s="459">
        <v>0</v>
      </c>
      <c r="E61" s="460">
        <v>0</v>
      </c>
      <c r="F61" s="260">
        <v>0</v>
      </c>
      <c r="G61" s="1442"/>
    </row>
    <row r="62" spans="1:7" ht="16.5" customHeight="1" x14ac:dyDescent="0.25">
      <c r="A62" s="1436">
        <v>44485</v>
      </c>
      <c r="B62" s="122" t="s">
        <v>17</v>
      </c>
      <c r="C62" s="450">
        <v>1</v>
      </c>
      <c r="D62" s="450">
        <v>1</v>
      </c>
      <c r="E62" s="451">
        <v>1</v>
      </c>
      <c r="F62" s="150">
        <v>1</v>
      </c>
      <c r="G62" s="1417" t="s">
        <v>1382</v>
      </c>
    </row>
    <row r="63" spans="1:7" ht="16.5" customHeight="1" x14ac:dyDescent="0.25">
      <c r="A63" s="1437"/>
      <c r="B63" s="115" t="s">
        <v>102</v>
      </c>
      <c r="C63" s="455">
        <v>8.08</v>
      </c>
      <c r="D63" s="455">
        <v>24</v>
      </c>
      <c r="E63" s="528">
        <v>24</v>
      </c>
      <c r="F63" s="151">
        <v>0</v>
      </c>
      <c r="G63" s="1418"/>
    </row>
    <row r="64" spans="1:7" ht="16.5" customHeight="1" x14ac:dyDescent="0.25">
      <c r="A64" s="1437"/>
      <c r="B64" s="117" t="s">
        <v>103</v>
      </c>
      <c r="C64" s="455">
        <v>15.92</v>
      </c>
      <c r="D64" s="455">
        <v>0</v>
      </c>
      <c r="E64" s="528">
        <v>0</v>
      </c>
      <c r="F64" s="151">
        <v>24</v>
      </c>
      <c r="G64" s="1418"/>
    </row>
    <row r="65" spans="1:7" ht="16.5" customHeight="1" thickBot="1" x14ac:dyDescent="0.3">
      <c r="A65" s="1438"/>
      <c r="B65" s="119" t="s">
        <v>104</v>
      </c>
      <c r="C65" s="459">
        <v>0</v>
      </c>
      <c r="D65" s="459">
        <v>0</v>
      </c>
      <c r="E65" s="460">
        <v>0</v>
      </c>
      <c r="F65" s="260">
        <v>0</v>
      </c>
      <c r="G65" s="1423"/>
    </row>
    <row r="66" spans="1:7" ht="15.75" x14ac:dyDescent="0.25">
      <c r="A66" s="1436">
        <v>44486</v>
      </c>
      <c r="B66" s="462" t="s">
        <v>17</v>
      </c>
      <c r="C66" s="450">
        <v>1</v>
      </c>
      <c r="D66" s="450">
        <v>1</v>
      </c>
      <c r="E66" s="451">
        <v>1</v>
      </c>
      <c r="F66" s="150">
        <v>1</v>
      </c>
      <c r="G66" s="1439"/>
    </row>
    <row r="67" spans="1:7" x14ac:dyDescent="0.25">
      <c r="A67" s="1437"/>
      <c r="B67" s="453" t="s">
        <v>102</v>
      </c>
      <c r="C67" s="455">
        <v>0</v>
      </c>
      <c r="D67" s="455">
        <v>24</v>
      </c>
      <c r="E67" s="529">
        <v>24</v>
      </c>
      <c r="F67" s="151">
        <v>0</v>
      </c>
      <c r="G67" s="1440"/>
    </row>
    <row r="68" spans="1:7" x14ac:dyDescent="0.25">
      <c r="A68" s="1437"/>
      <c r="B68" s="448" t="s">
        <v>103</v>
      </c>
      <c r="C68" s="455">
        <v>24</v>
      </c>
      <c r="D68" s="455">
        <v>0</v>
      </c>
      <c r="E68" s="529">
        <v>0</v>
      </c>
      <c r="F68" s="151">
        <v>24</v>
      </c>
      <c r="G68" s="1440"/>
    </row>
    <row r="69" spans="1:7" ht="15.75" thickBot="1" x14ac:dyDescent="0.3">
      <c r="A69" s="1438"/>
      <c r="B69" s="457" t="s">
        <v>104</v>
      </c>
      <c r="C69" s="459">
        <v>0</v>
      </c>
      <c r="D69" s="459">
        <v>0</v>
      </c>
      <c r="E69" s="460">
        <v>0</v>
      </c>
      <c r="F69" s="260">
        <v>0</v>
      </c>
      <c r="G69" s="1441"/>
    </row>
    <row r="70" spans="1:7" ht="15.75" x14ac:dyDescent="0.25">
      <c r="A70" s="1436">
        <v>44487</v>
      </c>
      <c r="B70" s="462" t="s">
        <v>17</v>
      </c>
      <c r="C70" s="450">
        <v>1</v>
      </c>
      <c r="D70" s="450">
        <v>1</v>
      </c>
      <c r="E70" s="451">
        <v>1</v>
      </c>
      <c r="F70" s="150">
        <v>1</v>
      </c>
      <c r="G70" s="1439"/>
    </row>
    <row r="71" spans="1:7" x14ac:dyDescent="0.25">
      <c r="A71" s="1437"/>
      <c r="B71" s="453" t="s">
        <v>102</v>
      </c>
      <c r="C71" s="455">
        <v>0</v>
      </c>
      <c r="D71" s="455">
        <v>24</v>
      </c>
      <c r="E71" s="530">
        <v>24</v>
      </c>
      <c r="F71" s="151">
        <v>0</v>
      </c>
      <c r="G71" s="1440"/>
    </row>
    <row r="72" spans="1:7" x14ac:dyDescent="0.25">
      <c r="A72" s="1437"/>
      <c r="B72" s="448" t="s">
        <v>103</v>
      </c>
      <c r="C72" s="455">
        <v>24</v>
      </c>
      <c r="D72" s="455">
        <v>0</v>
      </c>
      <c r="E72" s="530">
        <v>0</v>
      </c>
      <c r="F72" s="151">
        <v>24</v>
      </c>
      <c r="G72" s="1440"/>
    </row>
    <row r="73" spans="1:7" ht="15.75" thickBot="1" x14ac:dyDescent="0.3">
      <c r="A73" s="1438"/>
      <c r="B73" s="457" t="s">
        <v>104</v>
      </c>
      <c r="C73" s="459">
        <v>0</v>
      </c>
      <c r="D73" s="459">
        <v>0</v>
      </c>
      <c r="E73" s="460">
        <v>0</v>
      </c>
      <c r="F73" s="260">
        <v>0</v>
      </c>
      <c r="G73" s="1442"/>
    </row>
    <row r="74" spans="1:7" ht="15.75" x14ac:dyDescent="0.25">
      <c r="A74" s="1436">
        <v>44488</v>
      </c>
      <c r="B74" s="462" t="s">
        <v>17</v>
      </c>
      <c r="C74" s="450">
        <v>1</v>
      </c>
      <c r="D74" s="450">
        <v>1</v>
      </c>
      <c r="E74" s="451">
        <v>1</v>
      </c>
      <c r="F74" s="150">
        <v>1</v>
      </c>
      <c r="G74" s="1439"/>
    </row>
    <row r="75" spans="1:7" x14ac:dyDescent="0.25">
      <c r="A75" s="1437"/>
      <c r="B75" s="453" t="s">
        <v>102</v>
      </c>
      <c r="C75" s="455">
        <v>0</v>
      </c>
      <c r="D75" s="455">
        <v>24</v>
      </c>
      <c r="E75" s="532">
        <v>24</v>
      </c>
      <c r="F75" s="151">
        <v>0</v>
      </c>
      <c r="G75" s="1440"/>
    </row>
    <row r="76" spans="1:7" x14ac:dyDescent="0.25">
      <c r="A76" s="1437"/>
      <c r="B76" s="448" t="s">
        <v>103</v>
      </c>
      <c r="C76" s="455">
        <v>24</v>
      </c>
      <c r="D76" s="455">
        <v>0</v>
      </c>
      <c r="E76" s="532">
        <v>0</v>
      </c>
      <c r="F76" s="151">
        <v>24</v>
      </c>
      <c r="G76" s="1440"/>
    </row>
    <row r="77" spans="1:7" ht="15.75" thickBot="1" x14ac:dyDescent="0.3">
      <c r="A77" s="1438"/>
      <c r="B77" s="457" t="s">
        <v>104</v>
      </c>
      <c r="C77" s="459">
        <v>0</v>
      </c>
      <c r="D77" s="459">
        <v>0</v>
      </c>
      <c r="E77" s="460">
        <v>0</v>
      </c>
      <c r="F77" s="260">
        <v>0</v>
      </c>
      <c r="G77" s="1441"/>
    </row>
    <row r="78" spans="1:7" ht="15.75" x14ac:dyDescent="0.25">
      <c r="A78" s="1436">
        <v>44489</v>
      </c>
      <c r="B78" s="122" t="s">
        <v>17</v>
      </c>
      <c r="C78" s="450">
        <v>1</v>
      </c>
      <c r="D78" s="450">
        <v>1</v>
      </c>
      <c r="E78" s="451">
        <v>1</v>
      </c>
      <c r="F78" s="150">
        <v>1</v>
      </c>
      <c r="G78" s="1439" t="s">
        <v>1399</v>
      </c>
    </row>
    <row r="79" spans="1:7" x14ac:dyDescent="0.25">
      <c r="A79" s="1437"/>
      <c r="B79" s="115" t="s">
        <v>102</v>
      </c>
      <c r="C79" s="455">
        <v>16.75</v>
      </c>
      <c r="D79" s="455">
        <v>24</v>
      </c>
      <c r="E79" s="534">
        <v>24</v>
      </c>
      <c r="F79" s="151">
        <v>0</v>
      </c>
      <c r="G79" s="1440"/>
    </row>
    <row r="80" spans="1:7" x14ac:dyDescent="0.25">
      <c r="A80" s="1437"/>
      <c r="B80" s="117" t="s">
        <v>103</v>
      </c>
      <c r="C80" s="455">
        <v>7.25</v>
      </c>
      <c r="D80" s="455">
        <v>0</v>
      </c>
      <c r="E80" s="534">
        <v>0</v>
      </c>
      <c r="F80" s="151">
        <v>24</v>
      </c>
      <c r="G80" s="1440"/>
    </row>
    <row r="81" spans="1:7" ht="15.75" thickBot="1" x14ac:dyDescent="0.3">
      <c r="A81" s="1438"/>
      <c r="B81" s="119" t="s">
        <v>104</v>
      </c>
      <c r="C81" s="459">
        <v>0</v>
      </c>
      <c r="D81" s="459">
        <v>0</v>
      </c>
      <c r="E81" s="460">
        <v>0</v>
      </c>
      <c r="F81" s="260">
        <v>0</v>
      </c>
      <c r="G81" s="1441"/>
    </row>
    <row r="82" spans="1:7" ht="15.75" x14ac:dyDescent="0.25">
      <c r="A82" s="1436">
        <v>44490</v>
      </c>
      <c r="B82" s="122" t="s">
        <v>17</v>
      </c>
      <c r="C82" s="450">
        <v>1</v>
      </c>
      <c r="D82" s="450">
        <v>1</v>
      </c>
      <c r="E82" s="451">
        <v>1</v>
      </c>
      <c r="F82" s="150">
        <v>1</v>
      </c>
      <c r="G82" s="1439"/>
    </row>
    <row r="83" spans="1:7" x14ac:dyDescent="0.25">
      <c r="A83" s="1437"/>
      <c r="B83" s="115" t="s">
        <v>102</v>
      </c>
      <c r="C83" s="455">
        <v>24</v>
      </c>
      <c r="D83" s="455">
        <v>24</v>
      </c>
      <c r="E83" s="535">
        <v>24</v>
      </c>
      <c r="F83" s="151">
        <v>0</v>
      </c>
      <c r="G83" s="1440"/>
    </row>
    <row r="84" spans="1:7" x14ac:dyDescent="0.25">
      <c r="A84" s="1437"/>
      <c r="B84" s="117" t="s">
        <v>103</v>
      </c>
      <c r="C84" s="455">
        <v>0</v>
      </c>
      <c r="D84" s="455">
        <v>0</v>
      </c>
      <c r="E84" s="535">
        <v>0</v>
      </c>
      <c r="F84" s="151">
        <v>24</v>
      </c>
      <c r="G84" s="1440"/>
    </row>
    <row r="85" spans="1:7" ht="15.75" thickBot="1" x14ac:dyDescent="0.3">
      <c r="A85" s="1438"/>
      <c r="B85" s="119" t="s">
        <v>104</v>
      </c>
      <c r="C85" s="459">
        <v>0</v>
      </c>
      <c r="D85" s="459">
        <v>0</v>
      </c>
      <c r="E85" s="460">
        <v>0</v>
      </c>
      <c r="F85" s="260">
        <v>0</v>
      </c>
      <c r="G85" s="1441"/>
    </row>
    <row r="86" spans="1:7" ht="15.75" x14ac:dyDescent="0.25">
      <c r="A86" s="1436">
        <v>44491</v>
      </c>
      <c r="B86" s="462" t="s">
        <v>17</v>
      </c>
      <c r="C86" s="450">
        <v>1</v>
      </c>
      <c r="D86" s="450">
        <v>1</v>
      </c>
      <c r="E86" s="451">
        <v>1</v>
      </c>
      <c r="F86" s="150">
        <v>1</v>
      </c>
      <c r="G86" s="1439" t="s">
        <v>1410</v>
      </c>
    </row>
    <row r="87" spans="1:7" x14ac:dyDescent="0.25">
      <c r="A87" s="1437"/>
      <c r="B87" s="453" t="s">
        <v>102</v>
      </c>
      <c r="C87" s="455">
        <v>2.58</v>
      </c>
      <c r="D87" s="455">
        <v>19.25</v>
      </c>
      <c r="E87" s="536">
        <v>24</v>
      </c>
      <c r="F87" s="151">
        <v>0</v>
      </c>
      <c r="G87" s="1440"/>
    </row>
    <row r="88" spans="1:7" x14ac:dyDescent="0.25">
      <c r="A88" s="1437"/>
      <c r="B88" s="448" t="s">
        <v>103</v>
      </c>
      <c r="C88" s="455">
        <v>21.42</v>
      </c>
      <c r="D88" s="455">
        <v>4.75</v>
      </c>
      <c r="E88" s="536">
        <v>0</v>
      </c>
      <c r="F88" s="151">
        <v>24</v>
      </c>
      <c r="G88" s="1440"/>
    </row>
    <row r="89" spans="1:7" ht="15.75" thickBot="1" x14ac:dyDescent="0.3">
      <c r="A89" s="1438"/>
      <c r="B89" s="457" t="s">
        <v>104</v>
      </c>
      <c r="C89" s="459">
        <v>0</v>
      </c>
      <c r="D89" s="459">
        <v>0</v>
      </c>
      <c r="E89" s="460">
        <v>0</v>
      </c>
      <c r="F89" s="260">
        <v>0</v>
      </c>
      <c r="G89" s="1441"/>
    </row>
    <row r="90" spans="1:7" ht="15.75" x14ac:dyDescent="0.25">
      <c r="A90" s="1436">
        <v>44492</v>
      </c>
      <c r="B90" s="462" t="s">
        <v>17</v>
      </c>
      <c r="C90" s="450">
        <v>1</v>
      </c>
      <c r="D90" s="450">
        <v>1</v>
      </c>
      <c r="E90" s="451">
        <v>1</v>
      </c>
      <c r="F90" s="150">
        <v>1</v>
      </c>
      <c r="G90" s="1439" t="s">
        <v>1418</v>
      </c>
    </row>
    <row r="91" spans="1:7" x14ac:dyDescent="0.25">
      <c r="A91" s="1437"/>
      <c r="B91" s="453" t="s">
        <v>102</v>
      </c>
      <c r="C91" s="455">
        <v>0</v>
      </c>
      <c r="D91" s="455">
        <v>23.33</v>
      </c>
      <c r="E91" s="537">
        <v>24</v>
      </c>
      <c r="F91" s="151">
        <v>0</v>
      </c>
      <c r="G91" s="1440"/>
    </row>
    <row r="92" spans="1:7" x14ac:dyDescent="0.25">
      <c r="A92" s="1437"/>
      <c r="B92" s="448" t="s">
        <v>103</v>
      </c>
      <c r="C92" s="455">
        <v>24</v>
      </c>
      <c r="D92" s="455">
        <v>0.67</v>
      </c>
      <c r="E92" s="537">
        <v>0</v>
      </c>
      <c r="F92" s="151">
        <v>24</v>
      </c>
      <c r="G92" s="1440"/>
    </row>
    <row r="93" spans="1:7" ht="15.75" thickBot="1" x14ac:dyDescent="0.3">
      <c r="A93" s="1438"/>
      <c r="B93" s="457" t="s">
        <v>104</v>
      </c>
      <c r="C93" s="459">
        <v>0</v>
      </c>
      <c r="D93" s="459">
        <v>0</v>
      </c>
      <c r="E93" s="460">
        <v>0</v>
      </c>
      <c r="F93" s="260">
        <v>0</v>
      </c>
      <c r="G93" s="1441"/>
    </row>
    <row r="94" spans="1:7" ht="15.75" x14ac:dyDescent="0.25">
      <c r="A94" s="1436">
        <v>44493</v>
      </c>
      <c r="B94" s="462" t="s">
        <v>17</v>
      </c>
      <c r="C94" s="450">
        <v>1</v>
      </c>
      <c r="D94" s="450">
        <v>1</v>
      </c>
      <c r="E94" s="451">
        <v>1</v>
      </c>
      <c r="F94" s="150">
        <v>1</v>
      </c>
      <c r="G94" s="1439"/>
    </row>
    <row r="95" spans="1:7" x14ac:dyDescent="0.25">
      <c r="A95" s="1437"/>
      <c r="B95" s="453" t="s">
        <v>102</v>
      </c>
      <c r="C95" s="455">
        <v>0</v>
      </c>
      <c r="D95" s="455">
        <v>24</v>
      </c>
      <c r="E95" s="538">
        <v>24</v>
      </c>
      <c r="F95" s="151">
        <v>0</v>
      </c>
      <c r="G95" s="1440"/>
    </row>
    <row r="96" spans="1:7" x14ac:dyDescent="0.25">
      <c r="A96" s="1437"/>
      <c r="B96" s="448" t="s">
        <v>103</v>
      </c>
      <c r="C96" s="455">
        <v>24</v>
      </c>
      <c r="D96" s="455">
        <v>0</v>
      </c>
      <c r="E96" s="538">
        <v>0</v>
      </c>
      <c r="F96" s="151">
        <v>24</v>
      </c>
      <c r="G96" s="1440"/>
    </row>
    <row r="97" spans="1:7" ht="15.75" thickBot="1" x14ac:dyDescent="0.3">
      <c r="A97" s="1438"/>
      <c r="B97" s="457" t="s">
        <v>104</v>
      </c>
      <c r="C97" s="459">
        <v>0</v>
      </c>
      <c r="D97" s="459">
        <v>0</v>
      </c>
      <c r="E97" s="460">
        <v>0</v>
      </c>
      <c r="F97" s="260">
        <v>0</v>
      </c>
      <c r="G97" s="1441"/>
    </row>
    <row r="98" spans="1:7" ht="25.5" customHeight="1" x14ac:dyDescent="0.25">
      <c r="A98" s="1436">
        <v>44494</v>
      </c>
      <c r="B98" s="462" t="s">
        <v>17</v>
      </c>
      <c r="C98" s="450">
        <v>1</v>
      </c>
      <c r="D98" s="450">
        <v>1</v>
      </c>
      <c r="E98" s="451">
        <v>1</v>
      </c>
      <c r="F98" s="150">
        <v>1</v>
      </c>
      <c r="G98" s="1439" t="s">
        <v>1441</v>
      </c>
    </row>
    <row r="99" spans="1:7" ht="25.5" customHeight="1" x14ac:dyDescent="0.25">
      <c r="A99" s="1437"/>
      <c r="B99" s="453" t="s">
        <v>102</v>
      </c>
      <c r="C99" s="455">
        <v>0</v>
      </c>
      <c r="D99" s="455">
        <v>15.19</v>
      </c>
      <c r="E99" s="539">
        <v>24</v>
      </c>
      <c r="F99" s="151">
        <v>0</v>
      </c>
      <c r="G99" s="1440"/>
    </row>
    <row r="100" spans="1:7" ht="25.5" customHeight="1" x14ac:dyDescent="0.25">
      <c r="A100" s="1437"/>
      <c r="B100" s="448" t="s">
        <v>103</v>
      </c>
      <c r="C100" s="455">
        <v>24</v>
      </c>
      <c r="D100" s="455">
        <v>8.81</v>
      </c>
      <c r="E100" s="539">
        <v>0</v>
      </c>
      <c r="F100" s="151">
        <v>24</v>
      </c>
      <c r="G100" s="1440"/>
    </row>
    <row r="101" spans="1:7" ht="25.5" customHeight="1" thickBot="1" x14ac:dyDescent="0.3">
      <c r="A101" s="1438"/>
      <c r="B101" s="457" t="s">
        <v>104</v>
      </c>
      <c r="C101" s="459">
        <v>0</v>
      </c>
      <c r="D101" s="459">
        <v>0</v>
      </c>
      <c r="E101" s="460">
        <v>0</v>
      </c>
      <c r="F101" s="260">
        <v>0</v>
      </c>
      <c r="G101" s="1441"/>
    </row>
    <row r="102" spans="1:7" ht="26.25" customHeight="1" x14ac:dyDescent="0.25">
      <c r="A102" s="1436">
        <v>44495</v>
      </c>
      <c r="B102" s="462" t="s">
        <v>17</v>
      </c>
      <c r="C102" s="450">
        <v>1</v>
      </c>
      <c r="D102" s="450">
        <v>1</v>
      </c>
      <c r="E102" s="451">
        <v>1</v>
      </c>
      <c r="F102" s="150">
        <v>1</v>
      </c>
      <c r="G102" s="1439" t="s">
        <v>1452</v>
      </c>
    </row>
    <row r="103" spans="1:7" ht="26.25" customHeight="1" x14ac:dyDescent="0.25">
      <c r="A103" s="1437"/>
      <c r="B103" s="448" t="s">
        <v>102</v>
      </c>
      <c r="C103" s="455">
        <v>12.85</v>
      </c>
      <c r="D103" s="455">
        <v>15.09</v>
      </c>
      <c r="E103" s="541">
        <v>24</v>
      </c>
      <c r="F103" s="151">
        <v>0</v>
      </c>
      <c r="G103" s="1440"/>
    </row>
    <row r="104" spans="1:7" ht="26.25" customHeight="1" x14ac:dyDescent="0.25">
      <c r="A104" s="1437"/>
      <c r="B104" s="448" t="s">
        <v>103</v>
      </c>
      <c r="C104" s="455">
        <v>11.15</v>
      </c>
      <c r="D104" s="455">
        <v>8.91</v>
      </c>
      <c r="E104" s="541">
        <v>0</v>
      </c>
      <c r="F104" s="151">
        <v>24</v>
      </c>
      <c r="G104" s="1440"/>
    </row>
    <row r="105" spans="1:7" ht="26.25" customHeight="1" thickBot="1" x14ac:dyDescent="0.3">
      <c r="A105" s="1438"/>
      <c r="B105" s="457" t="s">
        <v>104</v>
      </c>
      <c r="C105" s="459">
        <v>0</v>
      </c>
      <c r="D105" s="459">
        <v>0</v>
      </c>
      <c r="E105" s="460">
        <v>0</v>
      </c>
      <c r="F105" s="260">
        <v>0</v>
      </c>
      <c r="G105" s="1441"/>
    </row>
    <row r="106" spans="1:7" ht="15.75" x14ac:dyDescent="0.25">
      <c r="A106" s="1436">
        <v>44496</v>
      </c>
      <c r="B106" s="446" t="s">
        <v>17</v>
      </c>
      <c r="C106" s="450">
        <v>1</v>
      </c>
      <c r="D106" s="450">
        <v>1</v>
      </c>
      <c r="E106" s="451">
        <v>1</v>
      </c>
      <c r="F106" s="150">
        <v>1</v>
      </c>
      <c r="G106" s="1439"/>
    </row>
    <row r="107" spans="1:7" x14ac:dyDescent="0.25">
      <c r="A107" s="1437"/>
      <c r="B107" s="448" t="s">
        <v>102</v>
      </c>
      <c r="C107" s="455">
        <v>24</v>
      </c>
      <c r="D107" s="455">
        <v>22.75</v>
      </c>
      <c r="E107" s="543">
        <v>24</v>
      </c>
      <c r="F107" s="151">
        <v>0</v>
      </c>
      <c r="G107" s="1440"/>
    </row>
    <row r="108" spans="1:7" x14ac:dyDescent="0.25">
      <c r="A108" s="1437"/>
      <c r="B108" s="448" t="s">
        <v>103</v>
      </c>
      <c r="C108" s="455">
        <v>0</v>
      </c>
      <c r="D108" s="455">
        <v>1.25</v>
      </c>
      <c r="E108" s="543">
        <v>0</v>
      </c>
      <c r="F108" s="151">
        <v>24</v>
      </c>
      <c r="G108" s="1440"/>
    </row>
    <row r="109" spans="1:7" ht="15.75" thickBot="1" x14ac:dyDescent="0.3">
      <c r="A109" s="1438"/>
      <c r="B109" s="457" t="s">
        <v>104</v>
      </c>
      <c r="C109" s="459">
        <v>0</v>
      </c>
      <c r="D109" s="459">
        <v>0</v>
      </c>
      <c r="E109" s="460">
        <v>0</v>
      </c>
      <c r="F109" s="260">
        <v>0</v>
      </c>
      <c r="G109" s="1441"/>
    </row>
    <row r="110" spans="1:7" ht="22.5" customHeight="1" x14ac:dyDescent="0.25">
      <c r="A110" s="1436">
        <v>44497</v>
      </c>
      <c r="B110" s="446" t="s">
        <v>17</v>
      </c>
      <c r="C110" s="450">
        <v>1</v>
      </c>
      <c r="D110" s="450">
        <v>1</v>
      </c>
      <c r="E110" s="451">
        <v>1</v>
      </c>
      <c r="F110" s="150">
        <v>1</v>
      </c>
      <c r="G110" s="1439" t="s">
        <v>1459</v>
      </c>
    </row>
    <row r="111" spans="1:7" ht="22.5" customHeight="1" x14ac:dyDescent="0.25">
      <c r="A111" s="1437"/>
      <c r="B111" s="448" t="s">
        <v>102</v>
      </c>
      <c r="C111" s="455">
        <v>24</v>
      </c>
      <c r="D111" s="455">
        <v>23</v>
      </c>
      <c r="E111" s="545">
        <v>24</v>
      </c>
      <c r="F111" s="151">
        <v>0</v>
      </c>
      <c r="G111" s="1440"/>
    </row>
    <row r="112" spans="1:7" ht="22.5" customHeight="1" x14ac:dyDescent="0.25">
      <c r="A112" s="1437"/>
      <c r="B112" s="448" t="s">
        <v>103</v>
      </c>
      <c r="C112" s="455">
        <v>0</v>
      </c>
      <c r="D112" s="455">
        <v>1</v>
      </c>
      <c r="E112" s="545">
        <v>0</v>
      </c>
      <c r="F112" s="151">
        <v>24</v>
      </c>
      <c r="G112" s="1440"/>
    </row>
    <row r="113" spans="1:7" ht="22.5" customHeight="1" thickBot="1" x14ac:dyDescent="0.3">
      <c r="A113" s="1438"/>
      <c r="B113" s="457" t="s">
        <v>104</v>
      </c>
      <c r="C113" s="459">
        <v>0</v>
      </c>
      <c r="D113" s="459">
        <v>0</v>
      </c>
      <c r="E113" s="460">
        <v>0</v>
      </c>
      <c r="F113" s="260">
        <v>0</v>
      </c>
      <c r="G113" s="1441"/>
    </row>
    <row r="114" spans="1:7" ht="25.5" customHeight="1" x14ac:dyDescent="0.25">
      <c r="A114" s="1436">
        <v>44498</v>
      </c>
      <c r="B114" s="462" t="s">
        <v>17</v>
      </c>
      <c r="C114" s="449">
        <v>1</v>
      </c>
      <c r="D114" s="450">
        <v>1</v>
      </c>
      <c r="E114" s="451">
        <v>1</v>
      </c>
      <c r="F114" s="150">
        <v>1</v>
      </c>
      <c r="G114" s="1439" t="s">
        <v>1468</v>
      </c>
    </row>
    <row r="115" spans="1:7" ht="25.5" customHeight="1" x14ac:dyDescent="0.25">
      <c r="A115" s="1437"/>
      <c r="B115" s="448" t="s">
        <v>102</v>
      </c>
      <c r="C115" s="454">
        <v>23.08</v>
      </c>
      <c r="D115" s="455">
        <v>17.25</v>
      </c>
      <c r="E115" s="547">
        <v>24</v>
      </c>
      <c r="F115" s="151">
        <v>0</v>
      </c>
      <c r="G115" s="1440"/>
    </row>
    <row r="116" spans="1:7" ht="25.5" customHeight="1" x14ac:dyDescent="0.25">
      <c r="A116" s="1437"/>
      <c r="B116" s="448" t="s">
        <v>103</v>
      </c>
      <c r="C116" s="454">
        <v>0.92</v>
      </c>
      <c r="D116" s="455">
        <v>6.75</v>
      </c>
      <c r="E116" s="547">
        <v>0</v>
      </c>
      <c r="F116" s="151">
        <v>24</v>
      </c>
      <c r="G116" s="1440"/>
    </row>
    <row r="117" spans="1:7" ht="25.5" customHeight="1" thickBot="1" x14ac:dyDescent="0.3">
      <c r="A117" s="1438"/>
      <c r="B117" s="457" t="s">
        <v>104</v>
      </c>
      <c r="C117" s="458">
        <v>0</v>
      </c>
      <c r="D117" s="459">
        <v>0</v>
      </c>
      <c r="E117" s="460">
        <v>0</v>
      </c>
      <c r="F117" s="260">
        <v>0</v>
      </c>
      <c r="G117" s="1441"/>
    </row>
    <row r="118" spans="1:7" ht="41.25" customHeight="1" x14ac:dyDescent="0.25">
      <c r="A118" s="1436">
        <v>44499</v>
      </c>
      <c r="B118" s="446" t="s">
        <v>17</v>
      </c>
      <c r="C118" s="449">
        <v>1</v>
      </c>
      <c r="D118" s="450">
        <v>1</v>
      </c>
      <c r="E118" s="451">
        <v>1</v>
      </c>
      <c r="F118" s="150">
        <v>1</v>
      </c>
      <c r="G118" s="1439" t="s">
        <v>1478</v>
      </c>
    </row>
    <row r="119" spans="1:7" ht="41.25" customHeight="1" x14ac:dyDescent="0.25">
      <c r="A119" s="1437"/>
      <c r="B119" s="448" t="s">
        <v>102</v>
      </c>
      <c r="C119" s="454">
        <v>0</v>
      </c>
      <c r="D119" s="455">
        <v>16.579999999999998</v>
      </c>
      <c r="E119" s="549">
        <v>24</v>
      </c>
      <c r="F119" s="151">
        <v>0</v>
      </c>
      <c r="G119" s="1440"/>
    </row>
    <row r="120" spans="1:7" ht="41.25" customHeight="1" x14ac:dyDescent="0.25">
      <c r="A120" s="1437"/>
      <c r="B120" s="448" t="s">
        <v>103</v>
      </c>
      <c r="C120" s="454">
        <v>24</v>
      </c>
      <c r="D120" s="455">
        <v>7.42</v>
      </c>
      <c r="E120" s="549">
        <v>0</v>
      </c>
      <c r="F120" s="151">
        <v>24</v>
      </c>
      <c r="G120" s="1440"/>
    </row>
    <row r="121" spans="1:7" ht="41.25" customHeight="1" thickBot="1" x14ac:dyDescent="0.3">
      <c r="A121" s="1438"/>
      <c r="B121" s="457" t="s">
        <v>104</v>
      </c>
      <c r="C121" s="458">
        <v>0</v>
      </c>
      <c r="D121" s="459">
        <v>0</v>
      </c>
      <c r="E121" s="460">
        <v>0</v>
      </c>
      <c r="F121" s="260">
        <v>0</v>
      </c>
      <c r="G121" s="1441"/>
    </row>
    <row r="122" spans="1:7" ht="51.75" customHeight="1" x14ac:dyDescent="0.25">
      <c r="A122" s="1436">
        <v>44500</v>
      </c>
      <c r="B122" s="446" t="s">
        <v>17</v>
      </c>
      <c r="C122" s="449">
        <v>1</v>
      </c>
      <c r="D122" s="450">
        <v>1</v>
      </c>
      <c r="E122" s="451">
        <v>1</v>
      </c>
      <c r="F122" s="150">
        <v>1</v>
      </c>
      <c r="G122" s="1417" t="s">
        <v>1497</v>
      </c>
    </row>
    <row r="123" spans="1:7" ht="51.75" customHeight="1" x14ac:dyDescent="0.25">
      <c r="A123" s="1437"/>
      <c r="B123" s="448" t="s">
        <v>102</v>
      </c>
      <c r="C123" s="454">
        <v>0</v>
      </c>
      <c r="D123" s="455">
        <v>14.87</v>
      </c>
      <c r="E123" s="551">
        <v>24</v>
      </c>
      <c r="F123" s="151">
        <v>0</v>
      </c>
      <c r="G123" s="1418"/>
    </row>
    <row r="124" spans="1:7" ht="51.75" customHeight="1" x14ac:dyDescent="0.25">
      <c r="A124" s="1437"/>
      <c r="B124" s="448" t="s">
        <v>103</v>
      </c>
      <c r="C124" s="454">
        <v>24</v>
      </c>
      <c r="D124" s="455">
        <v>9.1300000000000008</v>
      </c>
      <c r="E124" s="551">
        <v>0</v>
      </c>
      <c r="F124" s="151">
        <v>24</v>
      </c>
      <c r="G124" s="1418"/>
    </row>
    <row r="125" spans="1:7" ht="68.25" customHeight="1" thickBot="1" x14ac:dyDescent="0.3">
      <c r="A125" s="1438"/>
      <c r="B125" s="457" t="s">
        <v>104</v>
      </c>
      <c r="C125" s="458">
        <v>0</v>
      </c>
      <c r="D125" s="459">
        <v>0</v>
      </c>
      <c r="E125" s="460">
        <v>0</v>
      </c>
      <c r="F125" s="260">
        <v>0</v>
      </c>
      <c r="G125" s="1423"/>
    </row>
    <row r="126" spans="1:7" x14ac:dyDescent="0.25">
      <c r="A126" s="464" t="s">
        <v>1074</v>
      </c>
      <c r="B126" s="465"/>
      <c r="C126" s="466">
        <f t="shared" ref="C126:F128" si="0">SUM(C123,C119,C115,C111,C107,C103,C99,C95,C91,C87,C83,C79,C75,C71,C67,C63,C59,C55,C51,C47,C43,C39,C35,C31,C27,C23,C19,C15,C11,C7,C3)</f>
        <v>255.42999999999998</v>
      </c>
      <c r="D126" s="467">
        <f t="shared" si="0"/>
        <v>688.02999999999986</v>
      </c>
      <c r="E126" s="467">
        <f t="shared" si="0"/>
        <v>739.55</v>
      </c>
      <c r="F126" s="467">
        <f t="shared" si="0"/>
        <v>0</v>
      </c>
      <c r="G126" s="468"/>
    </row>
    <row r="127" spans="1:7" x14ac:dyDescent="0.25">
      <c r="A127" s="512" t="s">
        <v>1075</v>
      </c>
      <c r="B127" s="134"/>
      <c r="C127" s="469">
        <f t="shared" si="0"/>
        <v>488.56999999999994</v>
      </c>
      <c r="D127" s="470">
        <f t="shared" si="0"/>
        <v>55.970000000000006</v>
      </c>
      <c r="E127" s="470">
        <f t="shared" si="0"/>
        <v>4.45</v>
      </c>
      <c r="F127" s="470">
        <f t="shared" si="0"/>
        <v>744</v>
      </c>
      <c r="G127" s="471"/>
    </row>
    <row r="128" spans="1:7" ht="15.75" thickBot="1" x14ac:dyDescent="0.3">
      <c r="A128" s="513" t="s">
        <v>1076</v>
      </c>
      <c r="B128" s="472"/>
      <c r="C128" s="473">
        <f t="shared" si="0"/>
        <v>0</v>
      </c>
      <c r="D128" s="474">
        <f t="shared" si="0"/>
        <v>0</v>
      </c>
      <c r="E128" s="474">
        <f t="shared" si="0"/>
        <v>0</v>
      </c>
      <c r="F128" s="474">
        <f t="shared" si="0"/>
        <v>0</v>
      </c>
      <c r="G128" s="475"/>
    </row>
    <row r="129" spans="1:7" ht="15.75" thickBot="1" x14ac:dyDescent="0.3">
      <c r="A129" s="476" t="s">
        <v>108</v>
      </c>
      <c r="B129" s="477"/>
      <c r="C129" s="478"/>
      <c r="D129" s="478"/>
      <c r="E129" s="478"/>
      <c r="F129" s="478"/>
      <c r="G129" s="141"/>
    </row>
  </sheetData>
  <mergeCells count="62">
    <mergeCell ref="A122:A125"/>
    <mergeCell ref="G122:G125"/>
    <mergeCell ref="A110:A113"/>
    <mergeCell ref="G110:G113"/>
    <mergeCell ref="A114:A117"/>
    <mergeCell ref="G114:G117"/>
    <mergeCell ref="A118:A121"/>
    <mergeCell ref="G118:G121"/>
    <mergeCell ref="A98:A101"/>
    <mergeCell ref="G98:G101"/>
    <mergeCell ref="A102:A105"/>
    <mergeCell ref="G102:G105"/>
    <mergeCell ref="A106:A109"/>
    <mergeCell ref="G106:G109"/>
    <mergeCell ref="A86:A89"/>
    <mergeCell ref="G86:G89"/>
    <mergeCell ref="A90:A93"/>
    <mergeCell ref="G90:G93"/>
    <mergeCell ref="A94:A97"/>
    <mergeCell ref="G94:G97"/>
    <mergeCell ref="A74:A77"/>
    <mergeCell ref="G74:G77"/>
    <mergeCell ref="A78:A81"/>
    <mergeCell ref="G78:G81"/>
    <mergeCell ref="A82:A85"/>
    <mergeCell ref="G82:G85"/>
    <mergeCell ref="A62:A65"/>
    <mergeCell ref="G62:G65"/>
    <mergeCell ref="A66:A69"/>
    <mergeCell ref="G66:G69"/>
    <mergeCell ref="A70:A73"/>
    <mergeCell ref="G70:G73"/>
    <mergeCell ref="A50:A53"/>
    <mergeCell ref="G50:G53"/>
    <mergeCell ref="A54:A57"/>
    <mergeCell ref="G54:G57"/>
    <mergeCell ref="A58:A61"/>
    <mergeCell ref="G58:G61"/>
    <mergeCell ref="A38:A41"/>
    <mergeCell ref="G38:G41"/>
    <mergeCell ref="A42:A45"/>
    <mergeCell ref="G42:G45"/>
    <mergeCell ref="A46:A49"/>
    <mergeCell ref="G46:G49"/>
    <mergeCell ref="A26:A29"/>
    <mergeCell ref="G26:G29"/>
    <mergeCell ref="A30:A33"/>
    <mergeCell ref="G30:G33"/>
    <mergeCell ref="A34:A37"/>
    <mergeCell ref="G34:G37"/>
    <mergeCell ref="A14:A17"/>
    <mergeCell ref="G14:G17"/>
    <mergeCell ref="A18:A21"/>
    <mergeCell ref="G18:G21"/>
    <mergeCell ref="A22:A25"/>
    <mergeCell ref="G22:G25"/>
    <mergeCell ref="A2:A5"/>
    <mergeCell ref="G2:G5"/>
    <mergeCell ref="A6:A9"/>
    <mergeCell ref="G6:G9"/>
    <mergeCell ref="A10:A13"/>
    <mergeCell ref="G10:G13"/>
  </mergeCells>
  <pageMargins left="0.7" right="0.7" top="0.75" bottom="0.75" header="0.3" footer="0.3"/>
  <pageSetup paperSize="9" orientation="portrait"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F129"/>
  <sheetViews>
    <sheetView workbookViewId="0">
      <pane ySplit="1" topLeftCell="A110" activePane="bottomLeft" state="frozen"/>
      <selection pane="bottomLeft" activeCell="F118" sqref="F118:F121"/>
    </sheetView>
  </sheetViews>
  <sheetFormatPr defaultRowHeight="15" x14ac:dyDescent="0.25"/>
  <cols>
    <col min="1" max="1" width="47.7109375" customWidth="1"/>
    <col min="2" max="2" width="25" customWidth="1"/>
    <col min="4" max="4" width="9.140625" style="1"/>
    <col min="6" max="6" width="44.5703125" customWidth="1"/>
  </cols>
  <sheetData>
    <row r="1" spans="1:6" ht="16.5" thickBot="1" x14ac:dyDescent="0.3">
      <c r="A1" s="108" t="s">
        <v>98</v>
      </c>
      <c r="B1" s="446" t="s">
        <v>17</v>
      </c>
      <c r="C1" s="447" t="s">
        <v>310</v>
      </c>
      <c r="D1" s="447" t="s">
        <v>239</v>
      </c>
      <c r="E1" s="447" t="s">
        <v>100</v>
      </c>
      <c r="F1" s="111" t="s">
        <v>101</v>
      </c>
    </row>
    <row r="2" spans="1:6" ht="14.25" customHeight="1" x14ac:dyDescent="0.25">
      <c r="A2" s="1436">
        <v>44501</v>
      </c>
      <c r="B2" s="448" t="s">
        <v>102</v>
      </c>
      <c r="C2" s="449">
        <v>1</v>
      </c>
      <c r="D2" s="449">
        <v>1</v>
      </c>
      <c r="E2" s="451">
        <v>1</v>
      </c>
      <c r="F2" s="1417"/>
    </row>
    <row r="3" spans="1:6" ht="14.25" customHeight="1" x14ac:dyDescent="0.25">
      <c r="A3" s="1437"/>
      <c r="B3" s="453" t="s">
        <v>102</v>
      </c>
      <c r="C3" s="454">
        <v>0</v>
      </c>
      <c r="D3" s="454">
        <v>24</v>
      </c>
      <c r="E3" s="556">
        <v>24</v>
      </c>
      <c r="F3" s="1418"/>
    </row>
    <row r="4" spans="1:6" ht="14.25" customHeight="1" x14ac:dyDescent="0.25">
      <c r="A4" s="1437"/>
      <c r="B4" s="448" t="s">
        <v>103</v>
      </c>
      <c r="C4" s="454">
        <v>24</v>
      </c>
      <c r="D4" s="454">
        <v>0</v>
      </c>
      <c r="E4" s="556">
        <v>0</v>
      </c>
      <c r="F4" s="1418"/>
    </row>
    <row r="5" spans="1:6" ht="14.25" customHeight="1" thickBot="1" x14ac:dyDescent="0.3">
      <c r="A5" s="1438"/>
      <c r="B5" s="457" t="s">
        <v>104</v>
      </c>
      <c r="C5" s="458">
        <v>0</v>
      </c>
      <c r="D5" s="458">
        <v>0</v>
      </c>
      <c r="E5" s="460">
        <v>0</v>
      </c>
      <c r="F5" s="1423"/>
    </row>
    <row r="6" spans="1:6" ht="14.25" customHeight="1" x14ac:dyDescent="0.25">
      <c r="A6" s="1436">
        <v>44502</v>
      </c>
      <c r="B6" s="112" t="s">
        <v>17</v>
      </c>
      <c r="C6" s="449">
        <v>1</v>
      </c>
      <c r="D6" s="449">
        <v>1</v>
      </c>
      <c r="E6" s="451">
        <v>1</v>
      </c>
      <c r="F6" s="1417"/>
    </row>
    <row r="7" spans="1:6" ht="14.25" customHeight="1" x14ac:dyDescent="0.25">
      <c r="A7" s="1437"/>
      <c r="B7" s="115" t="s">
        <v>102</v>
      </c>
      <c r="C7" s="454">
        <v>0</v>
      </c>
      <c r="D7" s="454">
        <v>24</v>
      </c>
      <c r="E7" s="557">
        <v>24</v>
      </c>
      <c r="F7" s="1418"/>
    </row>
    <row r="8" spans="1:6" ht="14.25" customHeight="1" x14ac:dyDescent="0.25">
      <c r="A8" s="1437"/>
      <c r="B8" s="117" t="s">
        <v>103</v>
      </c>
      <c r="C8" s="454">
        <v>24</v>
      </c>
      <c r="D8" s="454">
        <v>0</v>
      </c>
      <c r="E8" s="557">
        <v>0</v>
      </c>
      <c r="F8" s="1418"/>
    </row>
    <row r="9" spans="1:6" ht="14.25" customHeight="1" thickBot="1" x14ac:dyDescent="0.3">
      <c r="A9" s="1438"/>
      <c r="B9" s="119" t="s">
        <v>104</v>
      </c>
      <c r="C9" s="458">
        <v>0</v>
      </c>
      <c r="D9" s="458">
        <v>0</v>
      </c>
      <c r="E9" s="460">
        <v>0</v>
      </c>
      <c r="F9" s="1423"/>
    </row>
    <row r="10" spans="1:6" ht="14.25" customHeight="1" x14ac:dyDescent="0.25">
      <c r="A10" s="1436">
        <v>44503</v>
      </c>
      <c r="B10" s="112" t="s">
        <v>17</v>
      </c>
      <c r="C10" s="449">
        <v>1</v>
      </c>
      <c r="D10" s="449">
        <v>1</v>
      </c>
      <c r="E10" s="451">
        <v>1</v>
      </c>
      <c r="F10" s="1417"/>
    </row>
    <row r="11" spans="1:6" ht="14.25" customHeight="1" x14ac:dyDescent="0.25">
      <c r="A11" s="1437"/>
      <c r="B11" s="115" t="s">
        <v>102</v>
      </c>
      <c r="C11" s="454">
        <v>0</v>
      </c>
      <c r="D11" s="454">
        <v>24</v>
      </c>
      <c r="E11" s="560">
        <v>24</v>
      </c>
      <c r="F11" s="1418"/>
    </row>
    <row r="12" spans="1:6" ht="14.25" customHeight="1" x14ac:dyDescent="0.25">
      <c r="A12" s="1437"/>
      <c r="B12" s="117" t="s">
        <v>103</v>
      </c>
      <c r="C12" s="454">
        <v>24</v>
      </c>
      <c r="D12" s="454">
        <v>0</v>
      </c>
      <c r="E12" s="560">
        <v>0</v>
      </c>
      <c r="F12" s="1418"/>
    </row>
    <row r="13" spans="1:6" ht="14.25" customHeight="1" thickBot="1" x14ac:dyDescent="0.3">
      <c r="A13" s="1438"/>
      <c r="B13" s="119" t="s">
        <v>104</v>
      </c>
      <c r="C13" s="458">
        <v>0</v>
      </c>
      <c r="D13" s="458">
        <v>0</v>
      </c>
      <c r="E13" s="460">
        <v>0</v>
      </c>
      <c r="F13" s="1423"/>
    </row>
    <row r="14" spans="1:6" ht="14.25" customHeight="1" x14ac:dyDescent="0.25">
      <c r="A14" s="1436">
        <v>44504</v>
      </c>
      <c r="B14" s="112" t="s">
        <v>17</v>
      </c>
      <c r="C14" s="449">
        <v>1</v>
      </c>
      <c r="D14" s="449">
        <v>1</v>
      </c>
      <c r="E14" s="451">
        <v>1</v>
      </c>
      <c r="F14" s="1417"/>
    </row>
    <row r="15" spans="1:6" ht="14.25" customHeight="1" x14ac:dyDescent="0.25">
      <c r="A15" s="1437"/>
      <c r="B15" s="115" t="s">
        <v>102</v>
      </c>
      <c r="C15" s="454">
        <v>0</v>
      </c>
      <c r="D15" s="454">
        <v>24</v>
      </c>
      <c r="E15" s="561">
        <v>24</v>
      </c>
      <c r="F15" s="1418"/>
    </row>
    <row r="16" spans="1:6" ht="14.25" customHeight="1" x14ac:dyDescent="0.25">
      <c r="A16" s="1437"/>
      <c r="B16" s="117" t="s">
        <v>103</v>
      </c>
      <c r="C16" s="454">
        <v>24</v>
      </c>
      <c r="D16" s="454">
        <v>0</v>
      </c>
      <c r="E16" s="561">
        <v>0</v>
      </c>
      <c r="F16" s="1418"/>
    </row>
    <row r="17" spans="1:6" ht="14.25" customHeight="1" thickBot="1" x14ac:dyDescent="0.3">
      <c r="A17" s="1438"/>
      <c r="B17" s="119" t="s">
        <v>104</v>
      </c>
      <c r="C17" s="458">
        <v>0</v>
      </c>
      <c r="D17" s="458">
        <v>0</v>
      </c>
      <c r="E17" s="460">
        <v>0</v>
      </c>
      <c r="F17" s="1423"/>
    </row>
    <row r="18" spans="1:6" ht="19.5" customHeight="1" x14ac:dyDescent="0.25">
      <c r="A18" s="1436">
        <v>44505</v>
      </c>
      <c r="B18" s="122" t="s">
        <v>17</v>
      </c>
      <c r="C18" s="150">
        <v>1</v>
      </c>
      <c r="D18" s="449">
        <v>1</v>
      </c>
      <c r="E18" s="451">
        <v>1</v>
      </c>
      <c r="F18" s="1417" t="s">
        <v>1529</v>
      </c>
    </row>
    <row r="19" spans="1:6" ht="19.5" customHeight="1" x14ac:dyDescent="0.25">
      <c r="A19" s="1437"/>
      <c r="B19" s="115" t="s">
        <v>102</v>
      </c>
      <c r="C19" s="151">
        <v>12.6</v>
      </c>
      <c r="D19" s="454">
        <v>16.53</v>
      </c>
      <c r="E19" s="564">
        <v>24</v>
      </c>
      <c r="F19" s="1418"/>
    </row>
    <row r="20" spans="1:6" ht="19.5" customHeight="1" x14ac:dyDescent="0.25">
      <c r="A20" s="1437"/>
      <c r="B20" s="117" t="s">
        <v>103</v>
      </c>
      <c r="C20" s="151">
        <v>11.4</v>
      </c>
      <c r="D20" s="454">
        <v>7.47</v>
      </c>
      <c r="E20" s="564">
        <v>0</v>
      </c>
      <c r="F20" s="1418"/>
    </row>
    <row r="21" spans="1:6" ht="19.5" customHeight="1" thickBot="1" x14ac:dyDescent="0.3">
      <c r="A21" s="1438"/>
      <c r="B21" s="119" t="s">
        <v>104</v>
      </c>
      <c r="C21" s="574">
        <v>0</v>
      </c>
      <c r="D21" s="458">
        <v>0</v>
      </c>
      <c r="E21" s="460">
        <v>0</v>
      </c>
      <c r="F21" s="1423"/>
    </row>
    <row r="22" spans="1:6" ht="14.25" customHeight="1" x14ac:dyDescent="0.25">
      <c r="A22" s="1436">
        <v>44506</v>
      </c>
      <c r="B22" s="112" t="s">
        <v>17</v>
      </c>
      <c r="C22" s="575">
        <v>1</v>
      </c>
      <c r="D22" s="571">
        <v>1</v>
      </c>
      <c r="E22" s="451">
        <v>1</v>
      </c>
      <c r="F22" s="1417" t="s">
        <v>1536</v>
      </c>
    </row>
    <row r="23" spans="1:6" ht="14.25" customHeight="1" x14ac:dyDescent="0.25">
      <c r="A23" s="1437"/>
      <c r="B23" s="125" t="s">
        <v>102</v>
      </c>
      <c r="C23" s="151">
        <v>24</v>
      </c>
      <c r="D23" s="572">
        <v>12.62</v>
      </c>
      <c r="E23" s="565">
        <v>24</v>
      </c>
      <c r="F23" s="1418"/>
    </row>
    <row r="24" spans="1:6" ht="14.25" customHeight="1" x14ac:dyDescent="0.25">
      <c r="A24" s="1437"/>
      <c r="B24" s="117" t="s">
        <v>103</v>
      </c>
      <c r="C24" s="151">
        <v>0</v>
      </c>
      <c r="D24" s="572">
        <v>11.38</v>
      </c>
      <c r="E24" s="565">
        <v>0</v>
      </c>
      <c r="F24" s="1418"/>
    </row>
    <row r="25" spans="1:6" ht="14.25" customHeight="1" thickBot="1" x14ac:dyDescent="0.3">
      <c r="A25" s="1438"/>
      <c r="B25" s="119" t="s">
        <v>104</v>
      </c>
      <c r="C25" s="576">
        <v>0</v>
      </c>
      <c r="D25" s="573">
        <v>0</v>
      </c>
      <c r="E25" s="460">
        <v>0</v>
      </c>
      <c r="F25" s="1423"/>
    </row>
    <row r="26" spans="1:6" ht="14.25" customHeight="1" x14ac:dyDescent="0.25">
      <c r="A26" s="1436">
        <v>44507</v>
      </c>
      <c r="B26" s="112" t="s">
        <v>17</v>
      </c>
      <c r="C26" s="571">
        <v>1</v>
      </c>
      <c r="D26" s="571">
        <v>1</v>
      </c>
      <c r="E26" s="451">
        <v>1</v>
      </c>
      <c r="F26" s="1417"/>
    </row>
    <row r="27" spans="1:6" ht="14.25" customHeight="1" x14ac:dyDescent="0.25">
      <c r="A27" s="1437"/>
      <c r="B27" s="115" t="s">
        <v>102</v>
      </c>
      <c r="C27" s="151">
        <v>24</v>
      </c>
      <c r="D27" s="572">
        <v>19.5</v>
      </c>
      <c r="E27" s="568">
        <v>24</v>
      </c>
      <c r="F27" s="1418"/>
    </row>
    <row r="28" spans="1:6" ht="14.25" customHeight="1" x14ac:dyDescent="0.25">
      <c r="A28" s="1437"/>
      <c r="B28" s="117" t="s">
        <v>103</v>
      </c>
      <c r="C28" s="151">
        <v>0</v>
      </c>
      <c r="D28" s="572">
        <v>4.5</v>
      </c>
      <c r="E28" s="568">
        <v>0</v>
      </c>
      <c r="F28" s="1418"/>
    </row>
    <row r="29" spans="1:6" ht="14.25" customHeight="1" thickBot="1" x14ac:dyDescent="0.3">
      <c r="A29" s="1438"/>
      <c r="B29" s="119" t="s">
        <v>104</v>
      </c>
      <c r="C29" s="576">
        <v>0</v>
      </c>
      <c r="D29" s="573">
        <v>0</v>
      </c>
      <c r="E29" s="460">
        <v>0</v>
      </c>
      <c r="F29" s="1423"/>
    </row>
    <row r="30" spans="1:6" ht="14.25" customHeight="1" x14ac:dyDescent="0.25">
      <c r="A30" s="1436">
        <v>44508</v>
      </c>
      <c r="B30" s="122" t="s">
        <v>17</v>
      </c>
      <c r="C30" s="150">
        <v>1</v>
      </c>
      <c r="D30" s="150">
        <v>1</v>
      </c>
      <c r="E30" s="150">
        <v>1</v>
      </c>
      <c r="F30" s="1417"/>
    </row>
    <row r="31" spans="1:6" ht="14.25" customHeight="1" x14ac:dyDescent="0.25">
      <c r="A31" s="1437"/>
      <c r="B31" s="125" t="s">
        <v>102</v>
      </c>
      <c r="C31" s="151">
        <v>24</v>
      </c>
      <c r="D31" s="151">
        <v>24</v>
      </c>
      <c r="E31" s="151">
        <v>24</v>
      </c>
      <c r="F31" s="1418"/>
    </row>
    <row r="32" spans="1:6" ht="14.25" customHeight="1" x14ac:dyDescent="0.25">
      <c r="A32" s="1437"/>
      <c r="B32" s="117" t="s">
        <v>103</v>
      </c>
      <c r="C32" s="151">
        <v>0</v>
      </c>
      <c r="D32" s="151">
        <v>0</v>
      </c>
      <c r="E32" s="151">
        <v>0</v>
      </c>
      <c r="F32" s="1418"/>
    </row>
    <row r="33" spans="1:6" ht="14.25" customHeight="1" thickBot="1" x14ac:dyDescent="0.3">
      <c r="A33" s="1438"/>
      <c r="B33" s="119" t="s">
        <v>104</v>
      </c>
      <c r="C33" s="576">
        <v>0</v>
      </c>
      <c r="D33" s="576">
        <v>0</v>
      </c>
      <c r="E33" s="576">
        <v>0</v>
      </c>
      <c r="F33" s="1423"/>
    </row>
    <row r="34" spans="1:6" ht="14.25" customHeight="1" x14ac:dyDescent="0.25">
      <c r="A34" s="1436">
        <v>44509</v>
      </c>
      <c r="B34" s="122" t="s">
        <v>17</v>
      </c>
      <c r="C34" s="150">
        <v>1</v>
      </c>
      <c r="D34" s="150">
        <v>1</v>
      </c>
      <c r="E34" s="150">
        <v>1</v>
      </c>
      <c r="F34" s="1417"/>
    </row>
    <row r="35" spans="1:6" ht="14.25" customHeight="1" x14ac:dyDescent="0.25">
      <c r="A35" s="1437"/>
      <c r="B35" s="115" t="s">
        <v>102</v>
      </c>
      <c r="C35" s="151">
        <v>24</v>
      </c>
      <c r="D35" s="151">
        <v>24</v>
      </c>
      <c r="E35" s="151">
        <v>24</v>
      </c>
      <c r="F35" s="1418"/>
    </row>
    <row r="36" spans="1:6" ht="14.25" customHeight="1" x14ac:dyDescent="0.25">
      <c r="A36" s="1437"/>
      <c r="B36" s="117" t="s">
        <v>103</v>
      </c>
      <c r="C36" s="151">
        <v>0</v>
      </c>
      <c r="D36" s="151">
        <v>0</v>
      </c>
      <c r="E36" s="151">
        <v>0</v>
      </c>
      <c r="F36" s="1418"/>
    </row>
    <row r="37" spans="1:6" ht="14.25" customHeight="1" thickBot="1" x14ac:dyDescent="0.3">
      <c r="A37" s="1438"/>
      <c r="B37" s="119" t="s">
        <v>104</v>
      </c>
      <c r="C37" s="576">
        <v>0</v>
      </c>
      <c r="D37" s="576">
        <v>0</v>
      </c>
      <c r="E37" s="576">
        <v>0</v>
      </c>
      <c r="F37" s="1423"/>
    </row>
    <row r="38" spans="1:6" ht="14.25" customHeight="1" x14ac:dyDescent="0.25">
      <c r="A38" s="1436">
        <v>44510</v>
      </c>
      <c r="B38" s="122" t="s">
        <v>17</v>
      </c>
      <c r="C38" s="150">
        <v>1</v>
      </c>
      <c r="D38" s="150">
        <v>1</v>
      </c>
      <c r="E38" s="150">
        <v>1</v>
      </c>
      <c r="F38" s="1417" t="s">
        <v>1553</v>
      </c>
    </row>
    <row r="39" spans="1:6" ht="14.25" customHeight="1" x14ac:dyDescent="0.25">
      <c r="A39" s="1437"/>
      <c r="B39" s="115" t="s">
        <v>102</v>
      </c>
      <c r="C39" s="151">
        <v>3.67</v>
      </c>
      <c r="D39" s="151">
        <v>24</v>
      </c>
      <c r="E39" s="151">
        <v>24</v>
      </c>
      <c r="F39" s="1418"/>
    </row>
    <row r="40" spans="1:6" ht="14.25" customHeight="1" x14ac:dyDescent="0.25">
      <c r="A40" s="1437"/>
      <c r="B40" s="117" t="s">
        <v>103</v>
      </c>
      <c r="C40" s="151">
        <v>20.329999999999998</v>
      </c>
      <c r="D40" s="151">
        <v>0</v>
      </c>
      <c r="E40" s="151">
        <v>0</v>
      </c>
      <c r="F40" s="1418"/>
    </row>
    <row r="41" spans="1:6" ht="14.25" customHeight="1" thickBot="1" x14ac:dyDescent="0.3">
      <c r="A41" s="1438"/>
      <c r="B41" s="119" t="s">
        <v>104</v>
      </c>
      <c r="C41" s="260">
        <v>0</v>
      </c>
      <c r="D41" s="576">
        <v>0</v>
      </c>
      <c r="E41" s="576">
        <v>0</v>
      </c>
      <c r="F41" s="1423"/>
    </row>
    <row r="42" spans="1:6" ht="14.25" customHeight="1" x14ac:dyDescent="0.25">
      <c r="A42" s="1436">
        <v>44511</v>
      </c>
      <c r="B42" s="122" t="s">
        <v>17</v>
      </c>
      <c r="C42" s="449">
        <v>1</v>
      </c>
      <c r="D42" s="150">
        <v>1</v>
      </c>
      <c r="E42" s="150">
        <v>1</v>
      </c>
      <c r="F42" s="1417"/>
    </row>
    <row r="43" spans="1:6" ht="14.25" customHeight="1" x14ac:dyDescent="0.25">
      <c r="A43" s="1437"/>
      <c r="B43" s="115" t="s">
        <v>102</v>
      </c>
      <c r="C43" s="454">
        <v>0</v>
      </c>
      <c r="D43" s="151">
        <v>24</v>
      </c>
      <c r="E43" s="151">
        <v>24</v>
      </c>
      <c r="F43" s="1418"/>
    </row>
    <row r="44" spans="1:6" ht="14.25" customHeight="1" x14ac:dyDescent="0.25">
      <c r="A44" s="1437"/>
      <c r="B44" s="117" t="s">
        <v>103</v>
      </c>
      <c r="C44" s="454">
        <v>24</v>
      </c>
      <c r="D44" s="151">
        <v>0</v>
      </c>
      <c r="E44" s="151">
        <v>0</v>
      </c>
      <c r="F44" s="1418"/>
    </row>
    <row r="45" spans="1:6" ht="14.25" customHeight="1" thickBot="1" x14ac:dyDescent="0.3">
      <c r="A45" s="1438"/>
      <c r="B45" s="119" t="s">
        <v>104</v>
      </c>
      <c r="C45" s="458">
        <v>0</v>
      </c>
      <c r="D45" s="576">
        <v>0</v>
      </c>
      <c r="E45" s="576">
        <v>0</v>
      </c>
      <c r="F45" s="1419"/>
    </row>
    <row r="46" spans="1:6" ht="14.25" customHeight="1" x14ac:dyDescent="0.25">
      <c r="A46" s="1436">
        <v>44512</v>
      </c>
      <c r="B46" s="122" t="s">
        <v>17</v>
      </c>
      <c r="C46" s="449">
        <v>1</v>
      </c>
      <c r="D46" s="150">
        <v>1</v>
      </c>
      <c r="E46" s="150">
        <v>1</v>
      </c>
      <c r="F46" s="1417"/>
    </row>
    <row r="47" spans="1:6" ht="14.25" customHeight="1" x14ac:dyDescent="0.25">
      <c r="A47" s="1437"/>
      <c r="B47" s="115" t="s">
        <v>102</v>
      </c>
      <c r="C47" s="454">
        <v>0</v>
      </c>
      <c r="D47" s="151">
        <v>24</v>
      </c>
      <c r="E47" s="151">
        <v>24</v>
      </c>
      <c r="F47" s="1418"/>
    </row>
    <row r="48" spans="1:6" ht="14.25" customHeight="1" x14ac:dyDescent="0.25">
      <c r="A48" s="1437"/>
      <c r="B48" s="117" t="s">
        <v>103</v>
      </c>
      <c r="C48" s="454">
        <v>24</v>
      </c>
      <c r="D48" s="151">
        <v>0</v>
      </c>
      <c r="E48" s="151">
        <v>0</v>
      </c>
      <c r="F48" s="1418"/>
    </row>
    <row r="49" spans="1:6" ht="14.25" customHeight="1" thickBot="1" x14ac:dyDescent="0.3">
      <c r="A49" s="1438"/>
      <c r="B49" s="119" t="s">
        <v>104</v>
      </c>
      <c r="C49" s="458">
        <v>0</v>
      </c>
      <c r="D49" s="576">
        <v>0</v>
      </c>
      <c r="E49" s="576">
        <v>0</v>
      </c>
      <c r="F49" s="1419"/>
    </row>
    <row r="50" spans="1:6" ht="23.25" customHeight="1" x14ac:dyDescent="0.25">
      <c r="A50" s="1436">
        <v>44513</v>
      </c>
      <c r="B50" s="122" t="s">
        <v>17</v>
      </c>
      <c r="C50" s="449">
        <v>1</v>
      </c>
      <c r="D50" s="450">
        <v>1</v>
      </c>
      <c r="E50" s="150">
        <v>1</v>
      </c>
      <c r="F50" s="1417" t="s">
        <v>1566</v>
      </c>
    </row>
    <row r="51" spans="1:6" ht="23.25" customHeight="1" x14ac:dyDescent="0.25">
      <c r="A51" s="1437"/>
      <c r="B51" s="115" t="s">
        <v>102</v>
      </c>
      <c r="C51" s="454">
        <v>0</v>
      </c>
      <c r="D51" s="455">
        <v>13</v>
      </c>
      <c r="E51" s="151">
        <v>24</v>
      </c>
      <c r="F51" s="1418"/>
    </row>
    <row r="52" spans="1:6" ht="23.25" customHeight="1" x14ac:dyDescent="0.25">
      <c r="A52" s="1437"/>
      <c r="B52" s="117" t="s">
        <v>103</v>
      </c>
      <c r="C52" s="454">
        <v>24</v>
      </c>
      <c r="D52" s="455">
        <v>11</v>
      </c>
      <c r="E52" s="151">
        <v>0</v>
      </c>
      <c r="F52" s="1418"/>
    </row>
    <row r="53" spans="1:6" ht="23.25" customHeight="1" thickBot="1" x14ac:dyDescent="0.3">
      <c r="A53" s="1438"/>
      <c r="B53" s="119" t="s">
        <v>104</v>
      </c>
      <c r="C53" s="458">
        <v>0</v>
      </c>
      <c r="D53" s="459">
        <v>0</v>
      </c>
      <c r="E53" s="576">
        <v>0</v>
      </c>
      <c r="F53" s="1419"/>
    </row>
    <row r="54" spans="1:6" ht="14.25" customHeight="1" x14ac:dyDescent="0.25">
      <c r="A54" s="1436">
        <v>44514</v>
      </c>
      <c r="B54" s="462" t="s">
        <v>17</v>
      </c>
      <c r="C54" s="449">
        <v>1</v>
      </c>
      <c r="D54" s="150">
        <v>1</v>
      </c>
      <c r="E54" s="150">
        <v>1</v>
      </c>
      <c r="F54" s="1417"/>
    </row>
    <row r="55" spans="1:6" ht="14.25" customHeight="1" x14ac:dyDescent="0.25">
      <c r="A55" s="1437"/>
      <c r="B55" s="453" t="s">
        <v>102</v>
      </c>
      <c r="C55" s="454">
        <v>0</v>
      </c>
      <c r="D55" s="151">
        <v>24</v>
      </c>
      <c r="E55" s="151">
        <v>24</v>
      </c>
      <c r="F55" s="1418"/>
    </row>
    <row r="56" spans="1:6" ht="14.25" customHeight="1" x14ac:dyDescent="0.25">
      <c r="A56" s="1437"/>
      <c r="B56" s="448" t="s">
        <v>103</v>
      </c>
      <c r="C56" s="454">
        <v>24</v>
      </c>
      <c r="D56" s="151">
        <v>0</v>
      </c>
      <c r="E56" s="151">
        <v>0</v>
      </c>
      <c r="F56" s="1418"/>
    </row>
    <row r="57" spans="1:6" ht="14.25" customHeight="1" thickBot="1" x14ac:dyDescent="0.3">
      <c r="A57" s="1438"/>
      <c r="B57" s="457" t="s">
        <v>104</v>
      </c>
      <c r="C57" s="458">
        <v>0</v>
      </c>
      <c r="D57" s="576">
        <v>0</v>
      </c>
      <c r="E57" s="576">
        <v>0</v>
      </c>
      <c r="F57" s="1419"/>
    </row>
    <row r="58" spans="1:6" ht="14.25" customHeight="1" x14ac:dyDescent="0.25">
      <c r="A58" s="1436">
        <v>44515</v>
      </c>
      <c r="B58" s="122" t="s">
        <v>17</v>
      </c>
      <c r="C58" s="449">
        <v>1</v>
      </c>
      <c r="D58" s="150">
        <v>1</v>
      </c>
      <c r="E58" s="150">
        <v>1</v>
      </c>
      <c r="F58" s="1417"/>
    </row>
    <row r="59" spans="1:6" ht="14.25" customHeight="1" x14ac:dyDescent="0.25">
      <c r="A59" s="1437"/>
      <c r="B59" s="115" t="s">
        <v>102</v>
      </c>
      <c r="C59" s="454">
        <v>0</v>
      </c>
      <c r="D59" s="151">
        <v>24</v>
      </c>
      <c r="E59" s="151">
        <v>24</v>
      </c>
      <c r="F59" s="1418"/>
    </row>
    <row r="60" spans="1:6" ht="14.25" customHeight="1" x14ac:dyDescent="0.25">
      <c r="A60" s="1437"/>
      <c r="B60" s="117" t="s">
        <v>103</v>
      </c>
      <c r="C60" s="454">
        <v>24</v>
      </c>
      <c r="D60" s="151">
        <v>0</v>
      </c>
      <c r="E60" s="151">
        <v>0</v>
      </c>
      <c r="F60" s="1418"/>
    </row>
    <row r="61" spans="1:6" ht="14.25" customHeight="1" thickBot="1" x14ac:dyDescent="0.3">
      <c r="A61" s="1438"/>
      <c r="B61" s="119" t="s">
        <v>104</v>
      </c>
      <c r="C61" s="458">
        <v>0</v>
      </c>
      <c r="D61" s="576">
        <v>0</v>
      </c>
      <c r="E61" s="576">
        <v>0</v>
      </c>
      <c r="F61" s="1419"/>
    </row>
    <row r="62" spans="1:6" ht="14.25" customHeight="1" x14ac:dyDescent="0.25">
      <c r="A62" s="1436">
        <v>44516</v>
      </c>
      <c r="B62" s="122" t="s">
        <v>17</v>
      </c>
      <c r="C62" s="449">
        <v>1</v>
      </c>
      <c r="D62" s="150">
        <v>1</v>
      </c>
      <c r="E62" s="150">
        <v>1</v>
      </c>
      <c r="F62" s="1417"/>
    </row>
    <row r="63" spans="1:6" ht="14.25" customHeight="1" x14ac:dyDescent="0.25">
      <c r="A63" s="1437"/>
      <c r="B63" s="115" t="s">
        <v>102</v>
      </c>
      <c r="C63" s="454">
        <v>0</v>
      </c>
      <c r="D63" s="151">
        <v>24</v>
      </c>
      <c r="E63" s="151">
        <v>24</v>
      </c>
      <c r="F63" s="1418"/>
    </row>
    <row r="64" spans="1:6" ht="14.25" customHeight="1" x14ac:dyDescent="0.25">
      <c r="A64" s="1437"/>
      <c r="B64" s="117" t="s">
        <v>103</v>
      </c>
      <c r="C64" s="454">
        <v>24</v>
      </c>
      <c r="D64" s="151">
        <v>0</v>
      </c>
      <c r="E64" s="151">
        <v>0</v>
      </c>
      <c r="F64" s="1418"/>
    </row>
    <row r="65" spans="1:6" ht="14.25" customHeight="1" thickBot="1" x14ac:dyDescent="0.3">
      <c r="A65" s="1438"/>
      <c r="B65" s="119" t="s">
        <v>104</v>
      </c>
      <c r="C65" s="458">
        <v>0</v>
      </c>
      <c r="D65" s="576">
        <v>0</v>
      </c>
      <c r="E65" s="576">
        <v>0</v>
      </c>
      <c r="F65" s="1423"/>
    </row>
    <row r="66" spans="1:6" ht="14.25" customHeight="1" x14ac:dyDescent="0.25">
      <c r="A66" s="1436">
        <v>44517</v>
      </c>
      <c r="B66" s="462" t="s">
        <v>17</v>
      </c>
      <c r="C66" s="450">
        <v>1</v>
      </c>
      <c r="D66" s="150">
        <v>1</v>
      </c>
      <c r="E66" s="150">
        <v>1</v>
      </c>
      <c r="F66" s="1417" t="s">
        <v>1601</v>
      </c>
    </row>
    <row r="67" spans="1:6" ht="14.25" customHeight="1" x14ac:dyDescent="0.25">
      <c r="A67" s="1437"/>
      <c r="B67" s="453" t="s">
        <v>102</v>
      </c>
      <c r="C67" s="455">
        <v>8.92</v>
      </c>
      <c r="D67" s="151">
        <v>24</v>
      </c>
      <c r="E67" s="151">
        <v>24</v>
      </c>
      <c r="F67" s="1418"/>
    </row>
    <row r="68" spans="1:6" ht="14.25" customHeight="1" x14ac:dyDescent="0.25">
      <c r="A68" s="1437"/>
      <c r="B68" s="448" t="s">
        <v>103</v>
      </c>
      <c r="C68" s="455">
        <v>15.08</v>
      </c>
      <c r="D68" s="151">
        <v>0</v>
      </c>
      <c r="E68" s="151">
        <v>0</v>
      </c>
      <c r="F68" s="1418"/>
    </row>
    <row r="69" spans="1:6" ht="14.25" customHeight="1" thickBot="1" x14ac:dyDescent="0.3">
      <c r="A69" s="1438"/>
      <c r="B69" s="457" t="s">
        <v>104</v>
      </c>
      <c r="C69" s="459">
        <v>0</v>
      </c>
      <c r="D69" s="576">
        <v>0</v>
      </c>
      <c r="E69" s="576">
        <v>0</v>
      </c>
      <c r="F69" s="1423"/>
    </row>
    <row r="70" spans="1:6" ht="14.25" customHeight="1" x14ac:dyDescent="0.25">
      <c r="A70" s="1436">
        <v>44518</v>
      </c>
      <c r="B70" s="462" t="s">
        <v>17</v>
      </c>
      <c r="C70" s="450">
        <v>1</v>
      </c>
      <c r="D70" s="450">
        <v>1</v>
      </c>
      <c r="E70" s="150">
        <v>1</v>
      </c>
      <c r="F70" s="1417" t="s">
        <v>1608</v>
      </c>
    </row>
    <row r="71" spans="1:6" ht="14.25" customHeight="1" x14ac:dyDescent="0.25">
      <c r="A71" s="1437"/>
      <c r="B71" s="453" t="s">
        <v>102</v>
      </c>
      <c r="C71" s="455">
        <v>24</v>
      </c>
      <c r="D71" s="455">
        <v>14</v>
      </c>
      <c r="E71" s="151">
        <v>24</v>
      </c>
      <c r="F71" s="1418"/>
    </row>
    <row r="72" spans="1:6" ht="14.25" customHeight="1" x14ac:dyDescent="0.25">
      <c r="A72" s="1437"/>
      <c r="B72" s="448" t="s">
        <v>103</v>
      </c>
      <c r="C72" s="455">
        <v>0</v>
      </c>
      <c r="D72" s="455">
        <v>10</v>
      </c>
      <c r="E72" s="151">
        <v>0</v>
      </c>
      <c r="F72" s="1418"/>
    </row>
    <row r="73" spans="1:6" ht="14.25" customHeight="1" thickBot="1" x14ac:dyDescent="0.3">
      <c r="A73" s="1438"/>
      <c r="B73" s="457" t="s">
        <v>104</v>
      </c>
      <c r="C73" s="459">
        <v>0</v>
      </c>
      <c r="D73" s="459">
        <v>0</v>
      </c>
      <c r="E73" s="576">
        <v>0</v>
      </c>
      <c r="F73" s="1419"/>
    </row>
    <row r="74" spans="1:6" ht="14.25" customHeight="1" x14ac:dyDescent="0.25">
      <c r="A74" s="1436">
        <v>44519</v>
      </c>
      <c r="B74" s="462" t="s">
        <v>17</v>
      </c>
      <c r="C74" s="450">
        <v>1</v>
      </c>
      <c r="D74" s="450">
        <v>1</v>
      </c>
      <c r="E74" s="450">
        <v>1</v>
      </c>
      <c r="F74" s="1417"/>
    </row>
    <row r="75" spans="1:6" ht="14.25" customHeight="1" x14ac:dyDescent="0.25">
      <c r="A75" s="1437"/>
      <c r="B75" s="453" t="s">
        <v>102</v>
      </c>
      <c r="C75" s="455">
        <v>24</v>
      </c>
      <c r="D75" s="455">
        <v>24</v>
      </c>
      <c r="E75" s="455">
        <v>24</v>
      </c>
      <c r="F75" s="1418"/>
    </row>
    <row r="76" spans="1:6" ht="14.25" customHeight="1" x14ac:dyDescent="0.25">
      <c r="A76" s="1437"/>
      <c r="B76" s="448" t="s">
        <v>103</v>
      </c>
      <c r="C76" s="455">
        <v>0</v>
      </c>
      <c r="D76" s="455">
        <v>0</v>
      </c>
      <c r="E76" s="455">
        <v>0</v>
      </c>
      <c r="F76" s="1418"/>
    </row>
    <row r="77" spans="1:6" ht="14.25" customHeight="1" thickBot="1" x14ac:dyDescent="0.3">
      <c r="A77" s="1438"/>
      <c r="B77" s="457" t="s">
        <v>104</v>
      </c>
      <c r="C77" s="459">
        <v>0</v>
      </c>
      <c r="D77" s="459">
        <v>0</v>
      </c>
      <c r="E77" s="459">
        <v>0</v>
      </c>
      <c r="F77" s="1423"/>
    </row>
    <row r="78" spans="1:6" ht="14.25" customHeight="1" x14ac:dyDescent="0.25">
      <c r="A78" s="1436">
        <v>44520</v>
      </c>
      <c r="B78" s="122" t="s">
        <v>17</v>
      </c>
      <c r="C78" s="450">
        <v>1</v>
      </c>
      <c r="D78" s="450">
        <v>1</v>
      </c>
      <c r="E78" s="450">
        <v>1</v>
      </c>
      <c r="F78" s="1417" t="s">
        <v>1616</v>
      </c>
    </row>
    <row r="79" spans="1:6" ht="14.25" customHeight="1" x14ac:dyDescent="0.25">
      <c r="A79" s="1437"/>
      <c r="B79" s="115" t="s">
        <v>102</v>
      </c>
      <c r="C79" s="455">
        <v>24</v>
      </c>
      <c r="D79" s="455">
        <v>19.55</v>
      </c>
      <c r="E79" s="455">
        <v>24</v>
      </c>
      <c r="F79" s="1418"/>
    </row>
    <row r="80" spans="1:6" ht="14.25" customHeight="1" x14ac:dyDescent="0.25">
      <c r="A80" s="1437"/>
      <c r="B80" s="117" t="s">
        <v>103</v>
      </c>
      <c r="C80" s="455">
        <v>0</v>
      </c>
      <c r="D80" s="455">
        <v>4.45</v>
      </c>
      <c r="E80" s="455">
        <v>0</v>
      </c>
      <c r="F80" s="1418"/>
    </row>
    <row r="81" spans="1:6" ht="14.25" customHeight="1" thickBot="1" x14ac:dyDescent="0.3">
      <c r="A81" s="1438"/>
      <c r="B81" s="119" t="s">
        <v>104</v>
      </c>
      <c r="C81" s="459">
        <v>0</v>
      </c>
      <c r="D81" s="459">
        <v>0</v>
      </c>
      <c r="E81" s="459">
        <v>0</v>
      </c>
      <c r="F81" s="1423"/>
    </row>
    <row r="82" spans="1:6" ht="14.25" customHeight="1" x14ac:dyDescent="0.25">
      <c r="A82" s="1436">
        <v>44521</v>
      </c>
      <c r="B82" s="122" t="s">
        <v>17</v>
      </c>
      <c r="C82" s="450">
        <v>1</v>
      </c>
      <c r="D82" s="450">
        <v>1</v>
      </c>
      <c r="E82" s="450">
        <v>1</v>
      </c>
      <c r="F82" s="1417" t="s">
        <v>1632</v>
      </c>
    </row>
    <row r="83" spans="1:6" ht="14.25" customHeight="1" x14ac:dyDescent="0.25">
      <c r="A83" s="1437"/>
      <c r="B83" s="115" t="s">
        <v>102</v>
      </c>
      <c r="C83" s="455">
        <v>20.05</v>
      </c>
      <c r="D83" s="455">
        <v>8.8800000000000008</v>
      </c>
      <c r="E83" s="455">
        <v>24</v>
      </c>
      <c r="F83" s="1418"/>
    </row>
    <row r="84" spans="1:6" ht="14.25" customHeight="1" x14ac:dyDescent="0.25">
      <c r="A84" s="1437"/>
      <c r="B84" s="117" t="s">
        <v>103</v>
      </c>
      <c r="C84" s="455">
        <v>3.95</v>
      </c>
      <c r="D84" s="455">
        <v>15.12</v>
      </c>
      <c r="E84" s="455">
        <v>0</v>
      </c>
      <c r="F84" s="1418"/>
    </row>
    <row r="85" spans="1:6" ht="14.25" customHeight="1" thickBot="1" x14ac:dyDescent="0.3">
      <c r="A85" s="1438"/>
      <c r="B85" s="119" t="s">
        <v>104</v>
      </c>
      <c r="C85" s="459">
        <v>0</v>
      </c>
      <c r="D85" s="459">
        <v>0</v>
      </c>
      <c r="E85" s="459">
        <v>0</v>
      </c>
      <c r="F85" s="1418"/>
    </row>
    <row r="86" spans="1:6" ht="14.25" customHeight="1" x14ac:dyDescent="0.25">
      <c r="A86" s="1436">
        <v>44522</v>
      </c>
      <c r="B86" s="462" t="s">
        <v>17</v>
      </c>
      <c r="C86" s="450">
        <v>1</v>
      </c>
      <c r="D86" s="450">
        <v>1</v>
      </c>
      <c r="E86" s="450">
        <v>1</v>
      </c>
      <c r="F86" s="1418"/>
    </row>
    <row r="87" spans="1:6" ht="14.25" customHeight="1" x14ac:dyDescent="0.25">
      <c r="A87" s="1437"/>
      <c r="B87" s="453" t="s">
        <v>102</v>
      </c>
      <c r="C87" s="455">
        <v>0</v>
      </c>
      <c r="D87" s="455">
        <v>20.350000000000001</v>
      </c>
      <c r="E87" s="455">
        <v>24</v>
      </c>
      <c r="F87" s="1418"/>
    </row>
    <row r="88" spans="1:6" ht="14.25" customHeight="1" x14ac:dyDescent="0.25">
      <c r="A88" s="1437"/>
      <c r="B88" s="448" t="s">
        <v>103</v>
      </c>
      <c r="C88" s="455">
        <v>24</v>
      </c>
      <c r="D88" s="455">
        <v>3.65</v>
      </c>
      <c r="E88" s="455">
        <v>0</v>
      </c>
      <c r="F88" s="1418"/>
    </row>
    <row r="89" spans="1:6" ht="14.25" customHeight="1" thickBot="1" x14ac:dyDescent="0.3">
      <c r="A89" s="1438"/>
      <c r="B89" s="457" t="s">
        <v>104</v>
      </c>
      <c r="C89" s="459">
        <v>0</v>
      </c>
      <c r="D89" s="459">
        <v>0</v>
      </c>
      <c r="E89" s="459">
        <v>0</v>
      </c>
      <c r="F89" s="1423"/>
    </row>
    <row r="90" spans="1:6" ht="14.25" customHeight="1" x14ac:dyDescent="0.25">
      <c r="A90" s="1436">
        <v>44523</v>
      </c>
      <c r="B90" s="462" t="s">
        <v>17</v>
      </c>
      <c r="C90" s="450">
        <v>1</v>
      </c>
      <c r="D90" s="450">
        <v>1</v>
      </c>
      <c r="E90" s="450">
        <v>1</v>
      </c>
      <c r="F90" s="1417"/>
    </row>
    <row r="91" spans="1:6" ht="14.25" customHeight="1" x14ac:dyDescent="0.25">
      <c r="A91" s="1437"/>
      <c r="B91" s="453" t="s">
        <v>102</v>
      </c>
      <c r="C91" s="455">
        <v>0</v>
      </c>
      <c r="D91" s="455">
        <v>24</v>
      </c>
      <c r="E91" s="455">
        <v>24</v>
      </c>
      <c r="F91" s="1418"/>
    </row>
    <row r="92" spans="1:6" ht="14.25" customHeight="1" x14ac:dyDescent="0.25">
      <c r="A92" s="1437"/>
      <c r="B92" s="448" t="s">
        <v>103</v>
      </c>
      <c r="C92" s="455">
        <v>24</v>
      </c>
      <c r="D92" s="455">
        <v>0</v>
      </c>
      <c r="E92" s="455">
        <v>0</v>
      </c>
      <c r="F92" s="1418"/>
    </row>
    <row r="93" spans="1:6" ht="14.25" customHeight="1" thickBot="1" x14ac:dyDescent="0.3">
      <c r="A93" s="1438"/>
      <c r="B93" s="457" t="s">
        <v>104</v>
      </c>
      <c r="C93" s="459">
        <v>0</v>
      </c>
      <c r="D93" s="459">
        <v>0</v>
      </c>
      <c r="E93" s="459">
        <v>0</v>
      </c>
      <c r="F93" s="1423"/>
    </row>
    <row r="94" spans="1:6" ht="14.25" customHeight="1" x14ac:dyDescent="0.25">
      <c r="A94" s="1436">
        <v>44524</v>
      </c>
      <c r="B94" s="462" t="s">
        <v>17</v>
      </c>
      <c r="C94" s="450">
        <v>1</v>
      </c>
      <c r="D94" s="450">
        <v>1</v>
      </c>
      <c r="E94" s="450">
        <v>1</v>
      </c>
      <c r="F94" s="1417" t="s">
        <v>1646</v>
      </c>
    </row>
    <row r="95" spans="1:6" ht="14.25" customHeight="1" x14ac:dyDescent="0.25">
      <c r="A95" s="1437"/>
      <c r="B95" s="453" t="s">
        <v>102</v>
      </c>
      <c r="C95" s="455">
        <v>0</v>
      </c>
      <c r="D95" s="455">
        <v>23.55</v>
      </c>
      <c r="E95" s="455">
        <v>24</v>
      </c>
      <c r="F95" s="1418"/>
    </row>
    <row r="96" spans="1:6" ht="14.25" customHeight="1" x14ac:dyDescent="0.25">
      <c r="A96" s="1437"/>
      <c r="B96" s="448" t="s">
        <v>103</v>
      </c>
      <c r="C96" s="455">
        <v>24</v>
      </c>
      <c r="D96" s="455">
        <v>0.45</v>
      </c>
      <c r="E96" s="455">
        <v>0</v>
      </c>
      <c r="F96" s="1418"/>
    </row>
    <row r="97" spans="1:6" ht="14.25" customHeight="1" thickBot="1" x14ac:dyDescent="0.3">
      <c r="A97" s="1438"/>
      <c r="B97" s="457" t="s">
        <v>104</v>
      </c>
      <c r="C97" s="459">
        <v>0</v>
      </c>
      <c r="D97" s="459">
        <v>0</v>
      </c>
      <c r="E97" s="459">
        <v>0</v>
      </c>
      <c r="F97" s="1418"/>
    </row>
    <row r="98" spans="1:6" ht="14.25" customHeight="1" x14ac:dyDescent="0.25">
      <c r="A98" s="1436">
        <v>44525</v>
      </c>
      <c r="B98" s="462" t="s">
        <v>17</v>
      </c>
      <c r="C98" s="450">
        <v>1</v>
      </c>
      <c r="D98" s="450">
        <v>1</v>
      </c>
      <c r="E98" s="450">
        <v>1</v>
      </c>
      <c r="F98" s="1418"/>
    </row>
    <row r="99" spans="1:6" ht="14.25" customHeight="1" x14ac:dyDescent="0.25">
      <c r="A99" s="1437"/>
      <c r="B99" s="453" t="s">
        <v>102</v>
      </c>
      <c r="C99" s="455">
        <v>0</v>
      </c>
      <c r="D99" s="455">
        <v>0</v>
      </c>
      <c r="E99" s="455">
        <v>24</v>
      </c>
      <c r="F99" s="1418"/>
    </row>
    <row r="100" spans="1:6" ht="14.25" customHeight="1" x14ac:dyDescent="0.25">
      <c r="A100" s="1437"/>
      <c r="B100" s="448" t="s">
        <v>103</v>
      </c>
      <c r="C100" s="455">
        <v>24</v>
      </c>
      <c r="D100" s="455">
        <v>24</v>
      </c>
      <c r="E100" s="455">
        <v>0</v>
      </c>
      <c r="F100" s="1418"/>
    </row>
    <row r="101" spans="1:6" ht="14.25" customHeight="1" thickBot="1" x14ac:dyDescent="0.3">
      <c r="A101" s="1438"/>
      <c r="B101" s="457" t="s">
        <v>104</v>
      </c>
      <c r="C101" s="459">
        <v>0</v>
      </c>
      <c r="D101" s="459">
        <v>0</v>
      </c>
      <c r="E101" s="459">
        <v>0</v>
      </c>
      <c r="F101" s="1418"/>
    </row>
    <row r="102" spans="1:6" ht="14.25" customHeight="1" x14ac:dyDescent="0.25">
      <c r="A102" s="1436">
        <v>44526</v>
      </c>
      <c r="B102" s="462" t="s">
        <v>17</v>
      </c>
      <c r="C102" s="450">
        <v>1</v>
      </c>
      <c r="D102" s="450">
        <v>1</v>
      </c>
      <c r="E102" s="450">
        <v>1</v>
      </c>
      <c r="F102" s="1418"/>
    </row>
    <row r="103" spans="1:6" ht="14.25" customHeight="1" x14ac:dyDescent="0.25">
      <c r="A103" s="1437"/>
      <c r="B103" s="448" t="s">
        <v>102</v>
      </c>
      <c r="C103" s="455">
        <v>0</v>
      </c>
      <c r="D103" s="455">
        <v>17.05</v>
      </c>
      <c r="E103" s="455">
        <v>24</v>
      </c>
      <c r="F103" s="1418"/>
    </row>
    <row r="104" spans="1:6" ht="14.25" customHeight="1" x14ac:dyDescent="0.25">
      <c r="A104" s="1437"/>
      <c r="B104" s="448" t="s">
        <v>103</v>
      </c>
      <c r="C104" s="455">
        <v>24</v>
      </c>
      <c r="D104" s="455">
        <v>6.95</v>
      </c>
      <c r="E104" s="455">
        <v>0</v>
      </c>
      <c r="F104" s="1418"/>
    </row>
    <row r="105" spans="1:6" ht="14.25" customHeight="1" thickBot="1" x14ac:dyDescent="0.3">
      <c r="A105" s="1438"/>
      <c r="B105" s="457" t="s">
        <v>104</v>
      </c>
      <c r="C105" s="459">
        <v>0</v>
      </c>
      <c r="D105" s="459">
        <v>0</v>
      </c>
      <c r="E105" s="459">
        <v>0</v>
      </c>
      <c r="F105" s="1423"/>
    </row>
    <row r="106" spans="1:6" ht="14.25" customHeight="1" x14ac:dyDescent="0.25">
      <c r="A106" s="1436">
        <v>44527</v>
      </c>
      <c r="B106" s="446" t="s">
        <v>17</v>
      </c>
      <c r="C106" s="450">
        <v>1</v>
      </c>
      <c r="D106" s="450">
        <v>1</v>
      </c>
      <c r="E106" s="450">
        <v>1</v>
      </c>
      <c r="F106" s="1417"/>
    </row>
    <row r="107" spans="1:6" ht="14.25" customHeight="1" x14ac:dyDescent="0.25">
      <c r="A107" s="1437"/>
      <c r="B107" s="448" t="s">
        <v>102</v>
      </c>
      <c r="C107" s="455">
        <v>0</v>
      </c>
      <c r="D107" s="455">
        <v>24</v>
      </c>
      <c r="E107" s="455">
        <v>24</v>
      </c>
      <c r="F107" s="1418"/>
    </row>
    <row r="108" spans="1:6" ht="14.25" customHeight="1" x14ac:dyDescent="0.25">
      <c r="A108" s="1437"/>
      <c r="B108" s="448" t="s">
        <v>103</v>
      </c>
      <c r="C108" s="455">
        <v>24</v>
      </c>
      <c r="D108" s="455">
        <v>0</v>
      </c>
      <c r="E108" s="455">
        <v>0</v>
      </c>
      <c r="F108" s="1418"/>
    </row>
    <row r="109" spans="1:6" ht="14.25" customHeight="1" thickBot="1" x14ac:dyDescent="0.3">
      <c r="A109" s="1438"/>
      <c r="B109" s="457" t="s">
        <v>104</v>
      </c>
      <c r="C109" s="459">
        <v>0</v>
      </c>
      <c r="D109" s="459">
        <v>0</v>
      </c>
      <c r="E109" s="459">
        <v>0</v>
      </c>
      <c r="F109" s="1423"/>
    </row>
    <row r="110" spans="1:6" ht="14.25" customHeight="1" x14ac:dyDescent="0.25">
      <c r="A110" s="1436">
        <v>44528</v>
      </c>
      <c r="B110" s="446" t="s">
        <v>17</v>
      </c>
      <c r="C110" s="450">
        <v>1</v>
      </c>
      <c r="D110" s="450">
        <v>1</v>
      </c>
      <c r="E110" s="450">
        <v>1</v>
      </c>
      <c r="F110" s="1417"/>
    </row>
    <row r="111" spans="1:6" ht="14.25" customHeight="1" x14ac:dyDescent="0.25">
      <c r="A111" s="1437"/>
      <c r="B111" s="448" t="s">
        <v>102</v>
      </c>
      <c r="C111" s="455">
        <v>0</v>
      </c>
      <c r="D111" s="455">
        <v>24</v>
      </c>
      <c r="E111" s="455">
        <v>24</v>
      </c>
      <c r="F111" s="1418"/>
    </row>
    <row r="112" spans="1:6" ht="14.25" customHeight="1" x14ac:dyDescent="0.25">
      <c r="A112" s="1437"/>
      <c r="B112" s="448" t="s">
        <v>103</v>
      </c>
      <c r="C112" s="455">
        <v>24</v>
      </c>
      <c r="D112" s="455">
        <v>0</v>
      </c>
      <c r="E112" s="455">
        <v>0</v>
      </c>
      <c r="F112" s="1418"/>
    </row>
    <row r="113" spans="1:6" ht="14.25" customHeight="1" thickBot="1" x14ac:dyDescent="0.3">
      <c r="A113" s="1438"/>
      <c r="B113" s="457" t="s">
        <v>104</v>
      </c>
      <c r="C113" s="459">
        <v>0</v>
      </c>
      <c r="D113" s="459">
        <v>0</v>
      </c>
      <c r="E113" s="459">
        <v>0</v>
      </c>
      <c r="F113" s="1423"/>
    </row>
    <row r="114" spans="1:6" ht="14.25" customHeight="1" x14ac:dyDescent="0.25">
      <c r="A114" s="1436">
        <v>44529</v>
      </c>
      <c r="B114" s="462" t="s">
        <v>17</v>
      </c>
      <c r="C114" s="450">
        <v>1</v>
      </c>
      <c r="D114" s="450">
        <v>1</v>
      </c>
      <c r="E114" s="450">
        <v>1</v>
      </c>
      <c r="F114" s="1417"/>
    </row>
    <row r="115" spans="1:6" ht="14.25" customHeight="1" x14ac:dyDescent="0.25">
      <c r="A115" s="1437"/>
      <c r="B115" s="448" t="s">
        <v>102</v>
      </c>
      <c r="C115" s="455">
        <v>0</v>
      </c>
      <c r="D115" s="455">
        <v>23.07</v>
      </c>
      <c r="E115" s="455">
        <v>24</v>
      </c>
      <c r="F115" s="1418"/>
    </row>
    <row r="116" spans="1:6" ht="14.25" customHeight="1" x14ac:dyDescent="0.25">
      <c r="A116" s="1437"/>
      <c r="B116" s="448" t="s">
        <v>103</v>
      </c>
      <c r="C116" s="455">
        <v>24</v>
      </c>
      <c r="D116" s="455">
        <v>0.93</v>
      </c>
      <c r="E116" s="455">
        <v>0</v>
      </c>
      <c r="F116" s="1418"/>
    </row>
    <row r="117" spans="1:6" ht="14.25" customHeight="1" thickBot="1" x14ac:dyDescent="0.3">
      <c r="A117" s="1438"/>
      <c r="B117" s="457" t="s">
        <v>104</v>
      </c>
      <c r="C117" s="459">
        <v>0</v>
      </c>
      <c r="D117" s="459">
        <v>0</v>
      </c>
      <c r="E117" s="459">
        <v>0</v>
      </c>
      <c r="F117" s="1423"/>
    </row>
    <row r="118" spans="1:6" ht="14.25" customHeight="1" x14ac:dyDescent="0.25">
      <c r="A118" s="1436">
        <v>44530</v>
      </c>
      <c r="B118" s="446" t="s">
        <v>17</v>
      </c>
      <c r="C118" s="450">
        <v>1</v>
      </c>
      <c r="D118" s="450">
        <v>1</v>
      </c>
      <c r="E118" s="450">
        <v>1</v>
      </c>
      <c r="F118" s="1417"/>
    </row>
    <row r="119" spans="1:6" ht="14.25" customHeight="1" x14ac:dyDescent="0.25">
      <c r="A119" s="1437"/>
      <c r="B119" s="448" t="s">
        <v>102</v>
      </c>
      <c r="C119" s="455">
        <v>0</v>
      </c>
      <c r="D119" s="455">
        <v>23.67</v>
      </c>
      <c r="E119" s="455">
        <v>24</v>
      </c>
      <c r="F119" s="1418"/>
    </row>
    <row r="120" spans="1:6" ht="14.25" customHeight="1" x14ac:dyDescent="0.25">
      <c r="A120" s="1437"/>
      <c r="B120" s="448" t="s">
        <v>103</v>
      </c>
      <c r="C120" s="455">
        <v>24</v>
      </c>
      <c r="D120" s="455">
        <v>9.93</v>
      </c>
      <c r="E120" s="455">
        <v>0</v>
      </c>
      <c r="F120" s="1418"/>
    </row>
    <row r="121" spans="1:6" ht="14.25" customHeight="1" thickBot="1" x14ac:dyDescent="0.3">
      <c r="A121" s="1438"/>
      <c r="B121" s="457" t="s">
        <v>104</v>
      </c>
      <c r="C121" s="459">
        <v>0</v>
      </c>
      <c r="D121" s="459">
        <v>0</v>
      </c>
      <c r="E121" s="459">
        <v>0</v>
      </c>
      <c r="F121" s="1423"/>
    </row>
    <row r="122" spans="1:6" ht="14.25" customHeight="1" x14ac:dyDescent="0.25">
      <c r="A122" s="1436"/>
      <c r="B122" s="446" t="s">
        <v>17</v>
      </c>
      <c r="C122" s="449"/>
      <c r="D122" s="450"/>
      <c r="E122" s="451"/>
      <c r="F122" s="1417"/>
    </row>
    <row r="123" spans="1:6" ht="14.25" customHeight="1" x14ac:dyDescent="0.25">
      <c r="A123" s="1437"/>
      <c r="B123" s="448" t="s">
        <v>102</v>
      </c>
      <c r="C123" s="454"/>
      <c r="D123" s="455"/>
      <c r="E123" s="556"/>
      <c r="F123" s="1418"/>
    </row>
    <row r="124" spans="1:6" ht="14.25" customHeight="1" x14ac:dyDescent="0.25">
      <c r="A124" s="1437"/>
      <c r="B124" s="448" t="s">
        <v>103</v>
      </c>
      <c r="C124" s="454"/>
      <c r="D124" s="455"/>
      <c r="E124" s="556"/>
      <c r="F124" s="1418"/>
    </row>
    <row r="125" spans="1:6" ht="14.25" customHeight="1" thickBot="1" x14ac:dyDescent="0.3">
      <c r="A125" s="1438"/>
      <c r="B125" s="457" t="s">
        <v>104</v>
      </c>
      <c r="C125" s="458"/>
      <c r="D125" s="459"/>
      <c r="E125" s="460"/>
      <c r="F125" s="1423"/>
    </row>
    <row r="126" spans="1:6" x14ac:dyDescent="0.25">
      <c r="A126" s="464" t="s">
        <v>1506</v>
      </c>
      <c r="B126" s="465"/>
      <c r="C126" s="466">
        <f t="shared" ref="C126:E128" si="0">SUM(C123,C119,C115,C111,C107,C103,C99,C95,C91,C87,C83,C79,C75,C71,C67,C63,C59,C55,C51,C47,C43,C39,C35,C31,C27,C23,C19,C15,C11,C7,C3)</f>
        <v>213.23999999999998</v>
      </c>
      <c r="D126" s="467">
        <f t="shared" si="0"/>
        <v>619.77</v>
      </c>
      <c r="E126" s="467">
        <f t="shared" si="0"/>
        <v>720</v>
      </c>
      <c r="F126" s="468"/>
    </row>
    <row r="127" spans="1:6" x14ac:dyDescent="0.25">
      <c r="A127" s="553" t="s">
        <v>1507</v>
      </c>
      <c r="B127" s="134"/>
      <c r="C127" s="469">
        <f t="shared" si="0"/>
        <v>506.75999999999993</v>
      </c>
      <c r="D127" s="470">
        <f t="shared" si="0"/>
        <v>109.83</v>
      </c>
      <c r="E127" s="470">
        <f t="shared" si="0"/>
        <v>0</v>
      </c>
      <c r="F127" s="471"/>
    </row>
    <row r="128" spans="1:6" ht="15.75" thickBot="1" x14ac:dyDescent="0.3">
      <c r="A128" s="554" t="s">
        <v>1508</v>
      </c>
      <c r="B128" s="472"/>
      <c r="C128" s="473">
        <f t="shared" si="0"/>
        <v>0</v>
      </c>
      <c r="D128" s="474">
        <f t="shared" si="0"/>
        <v>0</v>
      </c>
      <c r="E128" s="474">
        <f t="shared" si="0"/>
        <v>0</v>
      </c>
      <c r="F128" s="475"/>
    </row>
    <row r="129" spans="1:6" ht="15.75" thickBot="1" x14ac:dyDescent="0.3">
      <c r="A129" s="476" t="s">
        <v>108</v>
      </c>
      <c r="B129" s="477"/>
      <c r="C129" s="478"/>
      <c r="D129" s="478"/>
      <c r="E129" s="478"/>
      <c r="F129" s="141"/>
    </row>
  </sheetData>
  <mergeCells count="59">
    <mergeCell ref="A2:A5"/>
    <mergeCell ref="F2:F5"/>
    <mergeCell ref="A6:A9"/>
    <mergeCell ref="F6:F9"/>
    <mergeCell ref="A10:A13"/>
    <mergeCell ref="F10:F13"/>
    <mergeCell ref="A14:A17"/>
    <mergeCell ref="F14:F17"/>
    <mergeCell ref="A18:A21"/>
    <mergeCell ref="F18:F21"/>
    <mergeCell ref="A22:A25"/>
    <mergeCell ref="F22:F25"/>
    <mergeCell ref="A26:A29"/>
    <mergeCell ref="F26:F29"/>
    <mergeCell ref="A30:A33"/>
    <mergeCell ref="F30:F33"/>
    <mergeCell ref="A34:A37"/>
    <mergeCell ref="F34:F37"/>
    <mergeCell ref="A38:A41"/>
    <mergeCell ref="F38:F41"/>
    <mergeCell ref="A42:A45"/>
    <mergeCell ref="F42:F45"/>
    <mergeCell ref="A46:A49"/>
    <mergeCell ref="F46:F49"/>
    <mergeCell ref="A50:A53"/>
    <mergeCell ref="F50:F53"/>
    <mergeCell ref="A54:A57"/>
    <mergeCell ref="F54:F57"/>
    <mergeCell ref="A58:A61"/>
    <mergeCell ref="F58:F61"/>
    <mergeCell ref="A62:A65"/>
    <mergeCell ref="F62:F65"/>
    <mergeCell ref="A66:A69"/>
    <mergeCell ref="F66:F69"/>
    <mergeCell ref="A70:A73"/>
    <mergeCell ref="F70:F73"/>
    <mergeCell ref="A90:A93"/>
    <mergeCell ref="F90:F93"/>
    <mergeCell ref="A94:A97"/>
    <mergeCell ref="A98:A101"/>
    <mergeCell ref="A74:A77"/>
    <mergeCell ref="F74:F77"/>
    <mergeCell ref="A78:A81"/>
    <mergeCell ref="F78:F81"/>
    <mergeCell ref="A82:A85"/>
    <mergeCell ref="F82:F89"/>
    <mergeCell ref="A86:A89"/>
    <mergeCell ref="A102:A105"/>
    <mergeCell ref="A106:A109"/>
    <mergeCell ref="F106:F109"/>
    <mergeCell ref="A122:A125"/>
    <mergeCell ref="F122:F125"/>
    <mergeCell ref="A110:A113"/>
    <mergeCell ref="F110:F113"/>
    <mergeCell ref="A114:A117"/>
    <mergeCell ref="F114:F117"/>
    <mergeCell ref="A118:A121"/>
    <mergeCell ref="F118:F121"/>
    <mergeCell ref="F94:F10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F130"/>
  <sheetViews>
    <sheetView workbookViewId="0">
      <pane ySplit="2" topLeftCell="A9" activePane="bottomLeft" state="frozen"/>
      <selection pane="bottomLeft" activeCell="D13" sqref="D13"/>
    </sheetView>
  </sheetViews>
  <sheetFormatPr defaultRowHeight="15" x14ac:dyDescent="0.25"/>
  <cols>
    <col min="1" max="1" width="47.7109375" customWidth="1"/>
    <col min="2" max="2" width="25" customWidth="1"/>
    <col min="4" max="4" width="9.140625" style="1"/>
    <col min="6" max="6" width="44.5703125" customWidth="1"/>
  </cols>
  <sheetData>
    <row r="1" spans="1:6" ht="21.75" thickBot="1" x14ac:dyDescent="0.4">
      <c r="A1" s="1443" t="s">
        <v>73</v>
      </c>
      <c r="B1" s="1443"/>
      <c r="C1" s="1443"/>
      <c r="D1" s="1443"/>
      <c r="E1" s="1443"/>
      <c r="F1" s="1443"/>
    </row>
    <row r="2" spans="1:6" ht="16.5" thickBot="1" x14ac:dyDescent="0.3">
      <c r="A2" s="108" t="s">
        <v>98</v>
      </c>
      <c r="B2" s="608"/>
      <c r="C2" s="607" t="s">
        <v>310</v>
      </c>
      <c r="D2" s="607" t="s">
        <v>239</v>
      </c>
      <c r="E2" s="447" t="s">
        <v>100</v>
      </c>
      <c r="F2" s="111" t="s">
        <v>101</v>
      </c>
    </row>
    <row r="3" spans="1:6" ht="13.5" customHeight="1" x14ac:dyDescent="0.25">
      <c r="A3" s="1436">
        <v>44531</v>
      </c>
      <c r="B3" s="453" t="s">
        <v>17</v>
      </c>
      <c r="C3" s="611">
        <v>1</v>
      </c>
      <c r="D3" s="644">
        <v>1</v>
      </c>
      <c r="E3" s="150">
        <v>1</v>
      </c>
      <c r="F3" s="1417"/>
    </row>
    <row r="4" spans="1:6" ht="13.5" customHeight="1" x14ac:dyDescent="0.25">
      <c r="A4" s="1437"/>
      <c r="B4" s="453" t="s">
        <v>102</v>
      </c>
      <c r="C4" s="612">
        <v>0</v>
      </c>
      <c r="D4" s="645">
        <v>5.82</v>
      </c>
      <c r="E4" s="151">
        <v>24</v>
      </c>
      <c r="F4" s="1418"/>
    </row>
    <row r="5" spans="1:6" ht="13.5" customHeight="1" x14ac:dyDescent="0.25">
      <c r="A5" s="1437"/>
      <c r="B5" s="448" t="s">
        <v>103</v>
      </c>
      <c r="C5" s="612">
        <v>24</v>
      </c>
      <c r="D5" s="645">
        <v>18.18</v>
      </c>
      <c r="E5" s="151">
        <v>0</v>
      </c>
      <c r="F5" s="1418"/>
    </row>
    <row r="6" spans="1:6" ht="13.5" customHeight="1" thickBot="1" x14ac:dyDescent="0.3">
      <c r="A6" s="1438"/>
      <c r="B6" s="457" t="s">
        <v>104</v>
      </c>
      <c r="C6" s="576">
        <v>0</v>
      </c>
      <c r="D6" s="646">
        <v>0</v>
      </c>
      <c r="E6" s="153">
        <v>0</v>
      </c>
      <c r="F6" s="1423"/>
    </row>
    <row r="7" spans="1:6" ht="13.5" customHeight="1" x14ac:dyDescent="0.25">
      <c r="A7" s="1436">
        <v>44532</v>
      </c>
      <c r="B7" s="112" t="s">
        <v>17</v>
      </c>
      <c r="C7" s="450">
        <v>1</v>
      </c>
      <c r="D7" s="644">
        <v>1</v>
      </c>
      <c r="E7" s="150">
        <v>1</v>
      </c>
      <c r="F7" s="1417"/>
    </row>
    <row r="8" spans="1:6" ht="13.5" customHeight="1" x14ac:dyDescent="0.25">
      <c r="A8" s="1437"/>
      <c r="B8" s="115" t="s">
        <v>102</v>
      </c>
      <c r="C8" s="455">
        <v>0</v>
      </c>
      <c r="D8" s="645">
        <v>14.18</v>
      </c>
      <c r="E8" s="151">
        <v>24</v>
      </c>
      <c r="F8" s="1418"/>
    </row>
    <row r="9" spans="1:6" ht="13.5" customHeight="1" x14ac:dyDescent="0.25">
      <c r="A9" s="1437"/>
      <c r="B9" s="117" t="s">
        <v>103</v>
      </c>
      <c r="C9" s="455">
        <v>24</v>
      </c>
      <c r="D9" s="645">
        <v>9.82</v>
      </c>
      <c r="E9" s="151">
        <v>0</v>
      </c>
      <c r="F9" s="1418"/>
    </row>
    <row r="10" spans="1:6" ht="13.5" customHeight="1" thickBot="1" x14ac:dyDescent="0.3">
      <c r="A10" s="1438"/>
      <c r="B10" s="119" t="s">
        <v>104</v>
      </c>
      <c r="C10" s="459">
        <v>0</v>
      </c>
      <c r="D10" s="646">
        <v>0</v>
      </c>
      <c r="E10" s="153">
        <v>0</v>
      </c>
      <c r="F10" s="1423"/>
    </row>
    <row r="11" spans="1:6" ht="13.5" customHeight="1" x14ac:dyDescent="0.25">
      <c r="A11" s="1436">
        <v>44533</v>
      </c>
      <c r="B11" s="112" t="s">
        <v>17</v>
      </c>
      <c r="C11" s="450">
        <v>1</v>
      </c>
      <c r="D11" s="644">
        <v>1</v>
      </c>
      <c r="E11" s="150">
        <v>1</v>
      </c>
      <c r="F11" s="1417"/>
    </row>
    <row r="12" spans="1:6" ht="13.5" customHeight="1" x14ac:dyDescent="0.25">
      <c r="A12" s="1437"/>
      <c r="B12" s="115" t="s">
        <v>102</v>
      </c>
      <c r="C12" s="455">
        <v>0</v>
      </c>
      <c r="D12" s="645">
        <v>10.34</v>
      </c>
      <c r="E12" s="151">
        <v>24</v>
      </c>
      <c r="F12" s="1418"/>
    </row>
    <row r="13" spans="1:6" ht="13.5" customHeight="1" x14ac:dyDescent="0.25">
      <c r="A13" s="1437"/>
      <c r="B13" s="117" t="s">
        <v>103</v>
      </c>
      <c r="C13" s="455">
        <v>24</v>
      </c>
      <c r="D13" s="645">
        <v>13.66</v>
      </c>
      <c r="E13" s="151">
        <v>0</v>
      </c>
      <c r="F13" s="1418"/>
    </row>
    <row r="14" spans="1:6" ht="13.5" customHeight="1" thickBot="1" x14ac:dyDescent="0.3">
      <c r="A14" s="1438"/>
      <c r="B14" s="119" t="s">
        <v>104</v>
      </c>
      <c r="C14" s="459">
        <v>0</v>
      </c>
      <c r="D14" s="646">
        <v>0</v>
      </c>
      <c r="E14" s="153">
        <v>0</v>
      </c>
      <c r="F14" s="1423"/>
    </row>
    <row r="15" spans="1:6" ht="13.5" customHeight="1" x14ac:dyDescent="0.25">
      <c r="A15" s="1436">
        <v>44534</v>
      </c>
      <c r="B15" s="112" t="s">
        <v>17</v>
      </c>
      <c r="C15" s="611">
        <v>1</v>
      </c>
      <c r="D15" s="571">
        <v>1</v>
      </c>
      <c r="E15" s="150">
        <v>1</v>
      </c>
      <c r="F15" s="1430"/>
    </row>
    <row r="16" spans="1:6" ht="13.5" customHeight="1" x14ac:dyDescent="0.25">
      <c r="A16" s="1437"/>
      <c r="B16" s="115" t="s">
        <v>102</v>
      </c>
      <c r="C16" s="612">
        <v>0</v>
      </c>
      <c r="D16" s="572">
        <v>0</v>
      </c>
      <c r="E16" s="151">
        <v>24</v>
      </c>
      <c r="F16" s="1431"/>
    </row>
    <row r="17" spans="1:6" ht="13.5" customHeight="1" x14ac:dyDescent="0.25">
      <c r="A17" s="1437"/>
      <c r="B17" s="117" t="s">
        <v>103</v>
      </c>
      <c r="C17" s="612">
        <v>24</v>
      </c>
      <c r="D17" s="572">
        <v>24</v>
      </c>
      <c r="E17" s="151">
        <v>0</v>
      </c>
      <c r="F17" s="1431"/>
    </row>
    <row r="18" spans="1:6" ht="13.5" customHeight="1" thickBot="1" x14ac:dyDescent="0.3">
      <c r="A18" s="1438"/>
      <c r="B18" s="119" t="s">
        <v>104</v>
      </c>
      <c r="C18" s="576">
        <v>0</v>
      </c>
      <c r="D18" s="573">
        <v>0</v>
      </c>
      <c r="E18" s="153">
        <v>0</v>
      </c>
      <c r="F18" s="1432"/>
    </row>
    <row r="19" spans="1:6" ht="13.5" customHeight="1" x14ac:dyDescent="0.25">
      <c r="A19" s="1436">
        <v>44535</v>
      </c>
      <c r="B19" s="122" t="s">
        <v>17</v>
      </c>
      <c r="C19" s="450">
        <v>1</v>
      </c>
      <c r="D19" s="644">
        <v>1</v>
      </c>
      <c r="E19" s="150">
        <v>1</v>
      </c>
      <c r="F19" s="1417"/>
    </row>
    <row r="20" spans="1:6" ht="13.5" customHeight="1" x14ac:dyDescent="0.25">
      <c r="A20" s="1437"/>
      <c r="B20" s="115" t="s">
        <v>102</v>
      </c>
      <c r="C20" s="455">
        <v>0</v>
      </c>
      <c r="D20" s="645">
        <v>7.27</v>
      </c>
      <c r="E20" s="151">
        <v>24</v>
      </c>
      <c r="F20" s="1418"/>
    </row>
    <row r="21" spans="1:6" ht="13.5" customHeight="1" x14ac:dyDescent="0.25">
      <c r="A21" s="1437"/>
      <c r="B21" s="117" t="s">
        <v>103</v>
      </c>
      <c r="C21" s="455">
        <v>24</v>
      </c>
      <c r="D21" s="645">
        <v>16.73</v>
      </c>
      <c r="E21" s="151">
        <v>0</v>
      </c>
      <c r="F21" s="1418"/>
    </row>
    <row r="22" spans="1:6" ht="13.5" customHeight="1" thickBot="1" x14ac:dyDescent="0.3">
      <c r="A22" s="1438"/>
      <c r="B22" s="119" t="s">
        <v>104</v>
      </c>
      <c r="C22" s="459">
        <v>0</v>
      </c>
      <c r="D22" s="646">
        <v>0</v>
      </c>
      <c r="E22" s="153">
        <v>0</v>
      </c>
      <c r="F22" s="1423"/>
    </row>
    <row r="23" spans="1:6" ht="13.5" customHeight="1" x14ac:dyDescent="0.25">
      <c r="A23" s="1436">
        <v>44536</v>
      </c>
      <c r="B23" s="112" t="s">
        <v>17</v>
      </c>
      <c r="C23" s="450">
        <v>1</v>
      </c>
      <c r="D23" s="611">
        <v>1</v>
      </c>
      <c r="E23" s="150">
        <v>1</v>
      </c>
      <c r="F23" s="1417"/>
    </row>
    <row r="24" spans="1:6" ht="13.5" customHeight="1" x14ac:dyDescent="0.25">
      <c r="A24" s="1437"/>
      <c r="B24" s="125" t="s">
        <v>102</v>
      </c>
      <c r="C24" s="455">
        <v>0</v>
      </c>
      <c r="D24" s="612">
        <v>13.3</v>
      </c>
      <c r="E24" s="151">
        <v>24</v>
      </c>
      <c r="F24" s="1418"/>
    </row>
    <row r="25" spans="1:6" ht="13.5" customHeight="1" x14ac:dyDescent="0.25">
      <c r="A25" s="1437"/>
      <c r="B25" s="117" t="s">
        <v>103</v>
      </c>
      <c r="C25" s="455">
        <v>24</v>
      </c>
      <c r="D25" s="612">
        <v>10.7</v>
      </c>
      <c r="E25" s="151">
        <v>0</v>
      </c>
      <c r="F25" s="1418"/>
    </row>
    <row r="26" spans="1:6" ht="13.5" customHeight="1" thickBot="1" x14ac:dyDescent="0.3">
      <c r="A26" s="1438"/>
      <c r="B26" s="119" t="s">
        <v>104</v>
      </c>
      <c r="C26" s="459">
        <v>0</v>
      </c>
      <c r="D26" s="576">
        <v>0</v>
      </c>
      <c r="E26" s="153">
        <v>0</v>
      </c>
      <c r="F26" s="1423"/>
    </row>
    <row r="27" spans="1:6" ht="13.5" customHeight="1" x14ac:dyDescent="0.25">
      <c r="A27" s="1436">
        <v>44537</v>
      </c>
      <c r="B27" s="112" t="s">
        <v>17</v>
      </c>
      <c r="C27" s="611">
        <v>1</v>
      </c>
      <c r="D27" s="618">
        <v>1</v>
      </c>
      <c r="E27" s="150">
        <v>1</v>
      </c>
      <c r="F27" s="1417" t="s">
        <v>1709</v>
      </c>
    </row>
    <row r="28" spans="1:6" ht="13.5" customHeight="1" x14ac:dyDescent="0.25">
      <c r="A28" s="1437"/>
      <c r="B28" s="115" t="s">
        <v>102</v>
      </c>
      <c r="C28" s="612">
        <v>0</v>
      </c>
      <c r="D28" s="612">
        <v>23.45</v>
      </c>
      <c r="E28" s="151">
        <v>24</v>
      </c>
      <c r="F28" s="1418"/>
    </row>
    <row r="29" spans="1:6" ht="13.5" customHeight="1" x14ac:dyDescent="0.25">
      <c r="A29" s="1437"/>
      <c r="B29" s="117" t="s">
        <v>103</v>
      </c>
      <c r="C29" s="612">
        <v>24</v>
      </c>
      <c r="D29" s="612">
        <v>0.55000000000000004</v>
      </c>
      <c r="E29" s="151">
        <v>0</v>
      </c>
      <c r="F29" s="1418"/>
    </row>
    <row r="30" spans="1:6" ht="13.5" customHeight="1" thickBot="1" x14ac:dyDescent="0.3">
      <c r="A30" s="1438"/>
      <c r="B30" s="119" t="s">
        <v>104</v>
      </c>
      <c r="C30" s="576">
        <v>0</v>
      </c>
      <c r="D30" s="576">
        <v>0</v>
      </c>
      <c r="E30" s="153">
        <v>0</v>
      </c>
      <c r="F30" s="1423"/>
    </row>
    <row r="31" spans="1:6" ht="13.5" customHeight="1" x14ac:dyDescent="0.25">
      <c r="A31" s="1436">
        <v>44538</v>
      </c>
      <c r="B31" s="122" t="s">
        <v>17</v>
      </c>
      <c r="C31" s="611">
        <v>1</v>
      </c>
      <c r="D31" s="611">
        <v>1</v>
      </c>
      <c r="E31" s="150">
        <v>1</v>
      </c>
      <c r="F31" s="1417"/>
    </row>
    <row r="32" spans="1:6" ht="13.5" customHeight="1" x14ac:dyDescent="0.25">
      <c r="A32" s="1437"/>
      <c r="B32" s="125" t="s">
        <v>102</v>
      </c>
      <c r="C32" s="612">
        <v>0</v>
      </c>
      <c r="D32" s="612">
        <v>0</v>
      </c>
      <c r="E32" s="151">
        <v>24</v>
      </c>
      <c r="F32" s="1418"/>
    </row>
    <row r="33" spans="1:6" ht="13.5" customHeight="1" x14ac:dyDescent="0.25">
      <c r="A33" s="1437"/>
      <c r="B33" s="117" t="s">
        <v>103</v>
      </c>
      <c r="C33" s="612">
        <v>24</v>
      </c>
      <c r="D33" s="612">
        <v>24</v>
      </c>
      <c r="E33" s="151">
        <v>0</v>
      </c>
      <c r="F33" s="1418"/>
    </row>
    <row r="34" spans="1:6" ht="13.5" customHeight="1" thickBot="1" x14ac:dyDescent="0.3">
      <c r="A34" s="1438"/>
      <c r="B34" s="119" t="s">
        <v>104</v>
      </c>
      <c r="C34" s="576">
        <v>0</v>
      </c>
      <c r="D34" s="576">
        <v>0</v>
      </c>
      <c r="E34" s="153">
        <v>0</v>
      </c>
      <c r="F34" s="1423"/>
    </row>
    <row r="35" spans="1:6" ht="13.5" customHeight="1" x14ac:dyDescent="0.25">
      <c r="A35" s="1436">
        <v>44539</v>
      </c>
      <c r="B35" s="122" t="s">
        <v>17</v>
      </c>
      <c r="C35" s="611">
        <v>1</v>
      </c>
      <c r="D35" s="611">
        <v>1</v>
      </c>
      <c r="E35" s="150">
        <v>1</v>
      </c>
      <c r="F35" s="1417"/>
    </row>
    <row r="36" spans="1:6" ht="13.5" customHeight="1" x14ac:dyDescent="0.25">
      <c r="A36" s="1437"/>
      <c r="B36" s="115" t="s">
        <v>102</v>
      </c>
      <c r="C36" s="612">
        <v>0</v>
      </c>
      <c r="D36" s="612">
        <v>0</v>
      </c>
      <c r="E36" s="151">
        <v>24</v>
      </c>
      <c r="F36" s="1418"/>
    </row>
    <row r="37" spans="1:6" ht="13.5" customHeight="1" x14ac:dyDescent="0.25">
      <c r="A37" s="1437"/>
      <c r="B37" s="117" t="s">
        <v>103</v>
      </c>
      <c r="C37" s="612">
        <v>24</v>
      </c>
      <c r="D37" s="612">
        <v>24</v>
      </c>
      <c r="E37" s="151">
        <v>0</v>
      </c>
      <c r="F37" s="1418"/>
    </row>
    <row r="38" spans="1:6" ht="13.5" customHeight="1" thickBot="1" x14ac:dyDescent="0.3">
      <c r="A38" s="1438"/>
      <c r="B38" s="119" t="s">
        <v>104</v>
      </c>
      <c r="C38" s="576">
        <v>0</v>
      </c>
      <c r="D38" s="576">
        <v>0</v>
      </c>
      <c r="E38" s="153">
        <v>0</v>
      </c>
      <c r="F38" s="1423"/>
    </row>
    <row r="39" spans="1:6" ht="13.5" customHeight="1" x14ac:dyDescent="0.25">
      <c r="A39" s="1436">
        <v>44540</v>
      </c>
      <c r="B39" s="122" t="s">
        <v>17</v>
      </c>
      <c r="C39" s="611">
        <v>1</v>
      </c>
      <c r="D39" s="611">
        <v>1</v>
      </c>
      <c r="E39" s="150">
        <v>1</v>
      </c>
      <c r="F39" s="1417"/>
    </row>
    <row r="40" spans="1:6" ht="13.5" customHeight="1" x14ac:dyDescent="0.25">
      <c r="A40" s="1437"/>
      <c r="B40" s="115" t="s">
        <v>102</v>
      </c>
      <c r="C40" s="612">
        <v>0</v>
      </c>
      <c r="D40" s="612">
        <v>0</v>
      </c>
      <c r="E40" s="151">
        <v>24</v>
      </c>
      <c r="F40" s="1418"/>
    </row>
    <row r="41" spans="1:6" ht="13.5" customHeight="1" x14ac:dyDescent="0.25">
      <c r="A41" s="1437"/>
      <c r="B41" s="117" t="s">
        <v>103</v>
      </c>
      <c r="C41" s="612">
        <v>24</v>
      </c>
      <c r="D41" s="612">
        <v>24</v>
      </c>
      <c r="E41" s="151">
        <v>0</v>
      </c>
      <c r="F41" s="1418"/>
    </row>
    <row r="42" spans="1:6" ht="13.5" customHeight="1" thickBot="1" x14ac:dyDescent="0.3">
      <c r="A42" s="1438"/>
      <c r="B42" s="119" t="s">
        <v>104</v>
      </c>
      <c r="C42" s="576">
        <v>0</v>
      </c>
      <c r="D42" s="576">
        <v>0</v>
      </c>
      <c r="E42" s="153">
        <v>0</v>
      </c>
      <c r="F42" s="1423"/>
    </row>
    <row r="43" spans="1:6" ht="13.5" customHeight="1" x14ac:dyDescent="0.25">
      <c r="A43" s="1436">
        <v>44541</v>
      </c>
      <c r="B43" s="122" t="s">
        <v>17</v>
      </c>
      <c r="C43" s="611">
        <v>1</v>
      </c>
      <c r="D43" s="611">
        <v>1</v>
      </c>
      <c r="E43" s="150">
        <v>1</v>
      </c>
      <c r="F43" s="1417"/>
    </row>
    <row r="44" spans="1:6" ht="13.5" customHeight="1" x14ac:dyDescent="0.25">
      <c r="A44" s="1437"/>
      <c r="B44" s="115" t="s">
        <v>102</v>
      </c>
      <c r="C44" s="612">
        <v>0</v>
      </c>
      <c r="D44" s="612">
        <v>0</v>
      </c>
      <c r="E44" s="151">
        <v>24</v>
      </c>
      <c r="F44" s="1418"/>
    </row>
    <row r="45" spans="1:6" ht="13.5" customHeight="1" x14ac:dyDescent="0.25">
      <c r="A45" s="1437"/>
      <c r="B45" s="117" t="s">
        <v>103</v>
      </c>
      <c r="C45" s="612">
        <v>24</v>
      </c>
      <c r="D45" s="612">
        <v>24</v>
      </c>
      <c r="E45" s="151">
        <v>0</v>
      </c>
      <c r="F45" s="1418"/>
    </row>
    <row r="46" spans="1:6" ht="13.5" customHeight="1" thickBot="1" x14ac:dyDescent="0.3">
      <c r="A46" s="1438"/>
      <c r="B46" s="119" t="s">
        <v>104</v>
      </c>
      <c r="C46" s="576">
        <v>0</v>
      </c>
      <c r="D46" s="576">
        <v>0</v>
      </c>
      <c r="E46" s="153">
        <v>0</v>
      </c>
      <c r="F46" s="1419"/>
    </row>
    <row r="47" spans="1:6" ht="13.5" customHeight="1" x14ac:dyDescent="0.25">
      <c r="A47" s="1436">
        <v>44542</v>
      </c>
      <c r="B47" s="122" t="s">
        <v>17</v>
      </c>
      <c r="C47" s="611">
        <v>1</v>
      </c>
      <c r="D47" s="611">
        <v>1</v>
      </c>
      <c r="E47" s="150">
        <v>1</v>
      </c>
      <c r="F47" s="1417"/>
    </row>
    <row r="48" spans="1:6" ht="13.5" customHeight="1" x14ac:dyDescent="0.25">
      <c r="A48" s="1437"/>
      <c r="B48" s="115" t="s">
        <v>102</v>
      </c>
      <c r="C48" s="612">
        <v>0</v>
      </c>
      <c r="D48" s="612">
        <v>0</v>
      </c>
      <c r="E48" s="151">
        <v>24</v>
      </c>
      <c r="F48" s="1418"/>
    </row>
    <row r="49" spans="1:6" ht="13.5" customHeight="1" x14ac:dyDescent="0.25">
      <c r="A49" s="1437"/>
      <c r="B49" s="117" t="s">
        <v>103</v>
      </c>
      <c r="C49" s="612">
        <v>24</v>
      </c>
      <c r="D49" s="612">
        <v>24</v>
      </c>
      <c r="E49" s="151">
        <v>0</v>
      </c>
      <c r="F49" s="1418"/>
    </row>
    <row r="50" spans="1:6" ht="13.5" customHeight="1" thickBot="1" x14ac:dyDescent="0.3">
      <c r="A50" s="1438"/>
      <c r="B50" s="119" t="s">
        <v>104</v>
      </c>
      <c r="C50" s="576">
        <v>0</v>
      </c>
      <c r="D50" s="576">
        <v>0</v>
      </c>
      <c r="E50" s="153">
        <v>0</v>
      </c>
      <c r="F50" s="1419"/>
    </row>
    <row r="51" spans="1:6" ht="13.5" customHeight="1" x14ac:dyDescent="0.25">
      <c r="A51" s="1436">
        <v>44543</v>
      </c>
      <c r="B51" s="122" t="s">
        <v>17</v>
      </c>
      <c r="C51" s="611">
        <v>1</v>
      </c>
      <c r="D51" s="611">
        <v>1</v>
      </c>
      <c r="E51" s="150">
        <v>1</v>
      </c>
      <c r="F51" s="1417"/>
    </row>
    <row r="52" spans="1:6" ht="13.5" customHeight="1" x14ac:dyDescent="0.25">
      <c r="A52" s="1437"/>
      <c r="B52" s="115" t="s">
        <v>102</v>
      </c>
      <c r="C52" s="612">
        <v>0</v>
      </c>
      <c r="D52" s="612">
        <v>0</v>
      </c>
      <c r="E52" s="151">
        <v>24</v>
      </c>
      <c r="F52" s="1418"/>
    </row>
    <row r="53" spans="1:6" ht="13.5" customHeight="1" x14ac:dyDescent="0.25">
      <c r="A53" s="1437"/>
      <c r="B53" s="117" t="s">
        <v>103</v>
      </c>
      <c r="C53" s="612">
        <v>24</v>
      </c>
      <c r="D53" s="612">
        <v>24</v>
      </c>
      <c r="E53" s="151">
        <v>0</v>
      </c>
      <c r="F53" s="1418"/>
    </row>
    <row r="54" spans="1:6" ht="13.5" customHeight="1" thickBot="1" x14ac:dyDescent="0.3">
      <c r="A54" s="1438"/>
      <c r="B54" s="119" t="s">
        <v>104</v>
      </c>
      <c r="C54" s="576">
        <v>0</v>
      </c>
      <c r="D54" s="576">
        <v>0</v>
      </c>
      <c r="E54" s="153">
        <v>0</v>
      </c>
      <c r="F54" s="1419"/>
    </row>
    <row r="55" spans="1:6" ht="13.5" customHeight="1" x14ac:dyDescent="0.25">
      <c r="A55" s="1436">
        <v>44544</v>
      </c>
      <c r="B55" s="462" t="s">
        <v>17</v>
      </c>
      <c r="C55" s="611">
        <v>1</v>
      </c>
      <c r="D55" s="611">
        <v>1</v>
      </c>
      <c r="E55" s="150">
        <v>1</v>
      </c>
      <c r="F55" s="1417"/>
    </row>
    <row r="56" spans="1:6" ht="13.5" customHeight="1" x14ac:dyDescent="0.25">
      <c r="A56" s="1437"/>
      <c r="B56" s="453" t="s">
        <v>102</v>
      </c>
      <c r="C56" s="612">
        <v>0</v>
      </c>
      <c r="D56" s="612">
        <v>0</v>
      </c>
      <c r="E56" s="151">
        <v>24</v>
      </c>
      <c r="F56" s="1418"/>
    </row>
    <row r="57" spans="1:6" ht="13.5" customHeight="1" x14ac:dyDescent="0.25">
      <c r="A57" s="1437"/>
      <c r="B57" s="448" t="s">
        <v>103</v>
      </c>
      <c r="C57" s="612">
        <v>24</v>
      </c>
      <c r="D57" s="612">
        <v>24</v>
      </c>
      <c r="E57" s="151">
        <v>0</v>
      </c>
      <c r="F57" s="1418"/>
    </row>
    <row r="58" spans="1:6" ht="13.5" customHeight="1" thickBot="1" x14ac:dyDescent="0.3">
      <c r="A58" s="1438"/>
      <c r="B58" s="457" t="s">
        <v>104</v>
      </c>
      <c r="C58" s="576">
        <v>0</v>
      </c>
      <c r="D58" s="576">
        <v>0</v>
      </c>
      <c r="E58" s="153">
        <v>0</v>
      </c>
      <c r="F58" s="1419"/>
    </row>
    <row r="59" spans="1:6" ht="13.5" customHeight="1" x14ac:dyDescent="0.25">
      <c r="A59" s="1436">
        <v>44545</v>
      </c>
      <c r="B59" s="122" t="s">
        <v>17</v>
      </c>
      <c r="C59" s="611">
        <v>1</v>
      </c>
      <c r="D59" s="611">
        <v>1</v>
      </c>
      <c r="E59" s="150">
        <v>1</v>
      </c>
      <c r="F59" s="1417"/>
    </row>
    <row r="60" spans="1:6" ht="13.5" customHeight="1" x14ac:dyDescent="0.25">
      <c r="A60" s="1437"/>
      <c r="B60" s="115" t="s">
        <v>102</v>
      </c>
      <c r="C60" s="612">
        <v>0</v>
      </c>
      <c r="D60" s="612">
        <v>0</v>
      </c>
      <c r="E60" s="151">
        <v>24</v>
      </c>
      <c r="F60" s="1418"/>
    </row>
    <row r="61" spans="1:6" ht="13.5" customHeight="1" x14ac:dyDescent="0.25">
      <c r="A61" s="1437"/>
      <c r="B61" s="117" t="s">
        <v>103</v>
      </c>
      <c r="C61" s="612">
        <v>24</v>
      </c>
      <c r="D61" s="612">
        <v>24</v>
      </c>
      <c r="E61" s="151">
        <v>0</v>
      </c>
      <c r="F61" s="1418"/>
    </row>
    <row r="62" spans="1:6" ht="13.5" customHeight="1" thickBot="1" x14ac:dyDescent="0.3">
      <c r="A62" s="1438"/>
      <c r="B62" s="119" t="s">
        <v>104</v>
      </c>
      <c r="C62" s="576">
        <v>0</v>
      </c>
      <c r="D62" s="576">
        <v>0</v>
      </c>
      <c r="E62" s="153">
        <v>0</v>
      </c>
      <c r="F62" s="1419"/>
    </row>
    <row r="63" spans="1:6" ht="13.5" customHeight="1" x14ac:dyDescent="0.25">
      <c r="A63" s="1436">
        <v>44546</v>
      </c>
      <c r="B63" s="122" t="s">
        <v>17</v>
      </c>
      <c r="C63" s="611">
        <v>1</v>
      </c>
      <c r="D63" s="611">
        <v>1</v>
      </c>
      <c r="E63" s="150">
        <v>1</v>
      </c>
      <c r="F63" s="1417"/>
    </row>
    <row r="64" spans="1:6" ht="13.5" customHeight="1" x14ac:dyDescent="0.25">
      <c r="A64" s="1437"/>
      <c r="B64" s="115" t="s">
        <v>102</v>
      </c>
      <c r="C64" s="612">
        <v>0</v>
      </c>
      <c r="D64" s="612">
        <v>0</v>
      </c>
      <c r="E64" s="151">
        <v>24</v>
      </c>
      <c r="F64" s="1418"/>
    </row>
    <row r="65" spans="1:6" ht="13.5" customHeight="1" x14ac:dyDescent="0.25">
      <c r="A65" s="1437"/>
      <c r="B65" s="117" t="s">
        <v>103</v>
      </c>
      <c r="C65" s="612">
        <v>24</v>
      </c>
      <c r="D65" s="612">
        <v>24</v>
      </c>
      <c r="E65" s="151">
        <v>0</v>
      </c>
      <c r="F65" s="1418"/>
    </row>
    <row r="66" spans="1:6" ht="13.5" customHeight="1" thickBot="1" x14ac:dyDescent="0.3">
      <c r="A66" s="1438"/>
      <c r="B66" s="119" t="s">
        <v>104</v>
      </c>
      <c r="C66" s="576">
        <v>0</v>
      </c>
      <c r="D66" s="576">
        <v>0</v>
      </c>
      <c r="E66" s="153">
        <v>0</v>
      </c>
      <c r="F66" s="1423"/>
    </row>
    <row r="67" spans="1:6" ht="47.25" customHeight="1" x14ac:dyDescent="0.25">
      <c r="A67" s="1436">
        <v>44547</v>
      </c>
      <c r="B67" s="462" t="s">
        <v>17</v>
      </c>
      <c r="C67" s="450">
        <v>1</v>
      </c>
      <c r="D67" s="611">
        <v>1</v>
      </c>
      <c r="E67" s="150">
        <v>1</v>
      </c>
      <c r="F67" s="1417" t="s">
        <v>1733</v>
      </c>
    </row>
    <row r="68" spans="1:6" ht="47.25" customHeight="1" x14ac:dyDescent="0.25">
      <c r="A68" s="1437"/>
      <c r="B68" s="453" t="s">
        <v>102</v>
      </c>
      <c r="C68" s="455">
        <v>12.45</v>
      </c>
      <c r="D68" s="612">
        <v>12.38</v>
      </c>
      <c r="E68" s="151">
        <v>24</v>
      </c>
      <c r="F68" s="1418"/>
    </row>
    <row r="69" spans="1:6" ht="47.25" customHeight="1" x14ac:dyDescent="0.25">
      <c r="A69" s="1437"/>
      <c r="B69" s="448" t="s">
        <v>103</v>
      </c>
      <c r="C69" s="455">
        <v>11.55</v>
      </c>
      <c r="D69" s="612">
        <v>11.62</v>
      </c>
      <c r="E69" s="151">
        <v>0</v>
      </c>
      <c r="F69" s="1418"/>
    </row>
    <row r="70" spans="1:6" ht="47.25" customHeight="1" thickBot="1" x14ac:dyDescent="0.3">
      <c r="A70" s="1438"/>
      <c r="B70" s="457" t="s">
        <v>104</v>
      </c>
      <c r="C70" s="459">
        <v>0</v>
      </c>
      <c r="D70" s="576">
        <v>0</v>
      </c>
      <c r="E70" s="153">
        <v>0</v>
      </c>
      <c r="F70" s="1423"/>
    </row>
    <row r="71" spans="1:6" ht="13.5" customHeight="1" x14ac:dyDescent="0.25">
      <c r="A71" s="1436">
        <v>44548</v>
      </c>
      <c r="B71" s="462" t="s">
        <v>17</v>
      </c>
      <c r="C71" s="150">
        <v>1</v>
      </c>
      <c r="D71" s="611">
        <v>1</v>
      </c>
      <c r="E71" s="150">
        <v>1</v>
      </c>
      <c r="F71" s="1417"/>
    </row>
    <row r="72" spans="1:6" ht="13.5" customHeight="1" x14ac:dyDescent="0.25">
      <c r="A72" s="1437"/>
      <c r="B72" s="453" t="s">
        <v>102</v>
      </c>
      <c r="C72" s="151">
        <v>24</v>
      </c>
      <c r="D72" s="612">
        <v>24</v>
      </c>
      <c r="E72" s="151">
        <v>24</v>
      </c>
      <c r="F72" s="1418"/>
    </row>
    <row r="73" spans="1:6" ht="13.5" customHeight="1" x14ac:dyDescent="0.25">
      <c r="A73" s="1437"/>
      <c r="B73" s="448" t="s">
        <v>103</v>
      </c>
      <c r="C73" s="151">
        <v>0</v>
      </c>
      <c r="D73" s="612">
        <v>0</v>
      </c>
      <c r="E73" s="151">
        <v>0</v>
      </c>
      <c r="F73" s="1418"/>
    </row>
    <row r="74" spans="1:6" ht="13.5" customHeight="1" thickBot="1" x14ac:dyDescent="0.3">
      <c r="A74" s="1438"/>
      <c r="B74" s="457" t="s">
        <v>104</v>
      </c>
      <c r="C74" s="153">
        <v>0</v>
      </c>
      <c r="D74" s="576">
        <v>0</v>
      </c>
      <c r="E74" s="153">
        <v>0</v>
      </c>
      <c r="F74" s="1419"/>
    </row>
    <row r="75" spans="1:6" ht="13.5" customHeight="1" x14ac:dyDescent="0.25">
      <c r="A75" s="1436">
        <v>44549</v>
      </c>
      <c r="B75" s="462" t="s">
        <v>17</v>
      </c>
      <c r="C75" s="150">
        <v>1</v>
      </c>
      <c r="D75" s="611">
        <v>1</v>
      </c>
      <c r="E75" s="150">
        <v>1</v>
      </c>
      <c r="F75" s="1417"/>
    </row>
    <row r="76" spans="1:6" ht="13.5" customHeight="1" x14ac:dyDescent="0.25">
      <c r="A76" s="1437"/>
      <c r="B76" s="453" t="s">
        <v>102</v>
      </c>
      <c r="C76" s="151">
        <v>24</v>
      </c>
      <c r="D76" s="612">
        <v>24</v>
      </c>
      <c r="E76" s="151">
        <v>24</v>
      </c>
      <c r="F76" s="1418"/>
    </row>
    <row r="77" spans="1:6" ht="13.5" customHeight="1" x14ac:dyDescent="0.25">
      <c r="A77" s="1437"/>
      <c r="B77" s="448" t="s">
        <v>103</v>
      </c>
      <c r="C77" s="151">
        <v>0</v>
      </c>
      <c r="D77" s="612">
        <v>0</v>
      </c>
      <c r="E77" s="151">
        <v>0</v>
      </c>
      <c r="F77" s="1418"/>
    </row>
    <row r="78" spans="1:6" ht="13.5" customHeight="1" thickBot="1" x14ac:dyDescent="0.3">
      <c r="A78" s="1438"/>
      <c r="B78" s="457" t="s">
        <v>104</v>
      </c>
      <c r="C78" s="153">
        <v>0</v>
      </c>
      <c r="D78" s="576">
        <v>0</v>
      </c>
      <c r="E78" s="153">
        <v>0</v>
      </c>
      <c r="F78" s="1423"/>
    </row>
    <row r="79" spans="1:6" ht="13.5" customHeight="1" x14ac:dyDescent="0.25">
      <c r="A79" s="1436">
        <v>44550</v>
      </c>
      <c r="B79" s="122" t="s">
        <v>17</v>
      </c>
      <c r="C79" s="150">
        <v>1</v>
      </c>
      <c r="D79" s="611">
        <v>1</v>
      </c>
      <c r="E79" s="150">
        <v>1</v>
      </c>
      <c r="F79" s="1417"/>
    </row>
    <row r="80" spans="1:6" ht="13.5" customHeight="1" x14ac:dyDescent="0.25">
      <c r="A80" s="1437"/>
      <c r="B80" s="115" t="s">
        <v>102</v>
      </c>
      <c r="C80" s="151">
        <v>24</v>
      </c>
      <c r="D80" s="612">
        <v>24</v>
      </c>
      <c r="E80" s="151">
        <v>24</v>
      </c>
      <c r="F80" s="1418"/>
    </row>
    <row r="81" spans="1:6" ht="13.5" customHeight="1" x14ac:dyDescent="0.25">
      <c r="A81" s="1437"/>
      <c r="B81" s="117" t="s">
        <v>103</v>
      </c>
      <c r="C81" s="151">
        <v>0</v>
      </c>
      <c r="D81" s="612">
        <v>0</v>
      </c>
      <c r="E81" s="151">
        <v>0</v>
      </c>
      <c r="F81" s="1418"/>
    </row>
    <row r="82" spans="1:6" ht="13.5" customHeight="1" thickBot="1" x14ac:dyDescent="0.3">
      <c r="A82" s="1438"/>
      <c r="B82" s="119" t="s">
        <v>104</v>
      </c>
      <c r="C82" s="153">
        <v>0</v>
      </c>
      <c r="D82" s="576">
        <v>0</v>
      </c>
      <c r="E82" s="153">
        <v>0</v>
      </c>
      <c r="F82" s="1423"/>
    </row>
    <row r="83" spans="1:6" ht="43.5" customHeight="1" x14ac:dyDescent="0.25">
      <c r="A83" s="1436">
        <v>44551</v>
      </c>
      <c r="B83" s="122" t="s">
        <v>17</v>
      </c>
      <c r="C83" s="150">
        <v>1</v>
      </c>
      <c r="D83" s="611">
        <v>1</v>
      </c>
      <c r="E83" s="150">
        <v>1</v>
      </c>
      <c r="F83" s="1417" t="s">
        <v>1757</v>
      </c>
    </row>
    <row r="84" spans="1:6" ht="43.5" customHeight="1" x14ac:dyDescent="0.25">
      <c r="A84" s="1437"/>
      <c r="B84" s="115" t="s">
        <v>102</v>
      </c>
      <c r="C84" s="151">
        <v>19.850000000000001</v>
      </c>
      <c r="D84" s="612">
        <v>24</v>
      </c>
      <c r="E84" s="151">
        <v>24</v>
      </c>
      <c r="F84" s="1418"/>
    </row>
    <row r="85" spans="1:6" ht="43.5" customHeight="1" x14ac:dyDescent="0.25">
      <c r="A85" s="1437"/>
      <c r="B85" s="117" t="s">
        <v>103</v>
      </c>
      <c r="C85" s="151">
        <v>0</v>
      </c>
      <c r="D85" s="612">
        <v>0</v>
      </c>
      <c r="E85" s="151">
        <v>0</v>
      </c>
      <c r="F85" s="1418"/>
    </row>
    <row r="86" spans="1:6" ht="43.5" customHeight="1" thickBot="1" x14ac:dyDescent="0.3">
      <c r="A86" s="1438"/>
      <c r="B86" s="119" t="s">
        <v>104</v>
      </c>
      <c r="C86" s="151">
        <v>4.1500000000000004</v>
      </c>
      <c r="D86" s="576">
        <v>0</v>
      </c>
      <c r="E86" s="153">
        <v>0</v>
      </c>
      <c r="F86" s="1423"/>
    </row>
    <row r="87" spans="1:6" ht="13.5" customHeight="1" x14ac:dyDescent="0.25">
      <c r="A87" s="1436">
        <v>44552</v>
      </c>
      <c r="B87" s="462" t="s">
        <v>17</v>
      </c>
      <c r="C87" s="150">
        <v>1</v>
      </c>
      <c r="D87" s="611">
        <v>1</v>
      </c>
      <c r="E87" s="150">
        <v>1</v>
      </c>
      <c r="F87" s="1417"/>
    </row>
    <row r="88" spans="1:6" ht="13.5" customHeight="1" x14ac:dyDescent="0.25">
      <c r="A88" s="1437"/>
      <c r="B88" s="453" t="s">
        <v>102</v>
      </c>
      <c r="C88" s="151">
        <v>24</v>
      </c>
      <c r="D88" s="612">
        <v>24</v>
      </c>
      <c r="E88" s="151">
        <v>24</v>
      </c>
      <c r="F88" s="1418"/>
    </row>
    <row r="89" spans="1:6" ht="13.5" customHeight="1" x14ac:dyDescent="0.25">
      <c r="A89" s="1437"/>
      <c r="B89" s="448" t="s">
        <v>103</v>
      </c>
      <c r="C89" s="151">
        <v>0</v>
      </c>
      <c r="D89" s="612">
        <v>0</v>
      </c>
      <c r="E89" s="151">
        <v>0</v>
      </c>
      <c r="F89" s="1418"/>
    </row>
    <row r="90" spans="1:6" ht="13.5" customHeight="1" thickBot="1" x14ac:dyDescent="0.3">
      <c r="A90" s="1438"/>
      <c r="B90" s="457" t="s">
        <v>104</v>
      </c>
      <c r="C90" s="153">
        <v>0</v>
      </c>
      <c r="D90" s="576">
        <v>0</v>
      </c>
      <c r="E90" s="153">
        <v>0</v>
      </c>
      <c r="F90" s="1423"/>
    </row>
    <row r="91" spans="1:6" ht="13.5" customHeight="1" x14ac:dyDescent="0.25">
      <c r="A91" s="1436">
        <v>44553</v>
      </c>
      <c r="B91" s="462" t="s">
        <v>17</v>
      </c>
      <c r="C91" s="150">
        <v>1</v>
      </c>
      <c r="D91" s="611">
        <v>1</v>
      </c>
      <c r="E91" s="150">
        <v>1</v>
      </c>
      <c r="F91" s="1417"/>
    </row>
    <row r="92" spans="1:6" ht="13.5" customHeight="1" x14ac:dyDescent="0.25">
      <c r="A92" s="1437"/>
      <c r="B92" s="453" t="s">
        <v>102</v>
      </c>
      <c r="C92" s="151">
        <v>24</v>
      </c>
      <c r="D92" s="612">
        <v>24</v>
      </c>
      <c r="E92" s="151">
        <v>24</v>
      </c>
      <c r="F92" s="1418"/>
    </row>
    <row r="93" spans="1:6" ht="13.5" customHeight="1" x14ac:dyDescent="0.25">
      <c r="A93" s="1437"/>
      <c r="B93" s="448" t="s">
        <v>103</v>
      </c>
      <c r="C93" s="151">
        <v>0</v>
      </c>
      <c r="D93" s="612">
        <v>0</v>
      </c>
      <c r="E93" s="151">
        <v>0</v>
      </c>
      <c r="F93" s="1418"/>
    </row>
    <row r="94" spans="1:6" ht="13.5" customHeight="1" thickBot="1" x14ac:dyDescent="0.3">
      <c r="A94" s="1438"/>
      <c r="B94" s="457" t="s">
        <v>104</v>
      </c>
      <c r="C94" s="153">
        <v>0</v>
      </c>
      <c r="D94" s="576">
        <v>0</v>
      </c>
      <c r="E94" s="153">
        <v>0</v>
      </c>
      <c r="F94" s="1423"/>
    </row>
    <row r="95" spans="1:6" ht="13.5" customHeight="1" x14ac:dyDescent="0.25">
      <c r="A95" s="1436">
        <v>44554</v>
      </c>
      <c r="B95" s="462" t="s">
        <v>17</v>
      </c>
      <c r="C95" s="150">
        <v>1</v>
      </c>
      <c r="D95" s="450">
        <v>1</v>
      </c>
      <c r="E95" s="150">
        <v>1</v>
      </c>
      <c r="F95" s="1417" t="s">
        <v>1777</v>
      </c>
    </row>
    <row r="96" spans="1:6" ht="13.5" customHeight="1" x14ac:dyDescent="0.25">
      <c r="A96" s="1437"/>
      <c r="B96" s="453" t="s">
        <v>102</v>
      </c>
      <c r="C96" s="151">
        <v>24</v>
      </c>
      <c r="D96" s="455">
        <v>21.15</v>
      </c>
      <c r="E96" s="151">
        <v>24</v>
      </c>
      <c r="F96" s="1418"/>
    </row>
    <row r="97" spans="1:6" ht="13.5" customHeight="1" x14ac:dyDescent="0.25">
      <c r="A97" s="1437"/>
      <c r="B97" s="448" t="s">
        <v>103</v>
      </c>
      <c r="C97" s="151">
        <v>0</v>
      </c>
      <c r="D97" s="455">
        <v>2.85</v>
      </c>
      <c r="E97" s="151">
        <v>0</v>
      </c>
      <c r="F97" s="1418"/>
    </row>
    <row r="98" spans="1:6" ht="13.5" customHeight="1" thickBot="1" x14ac:dyDescent="0.3">
      <c r="A98" s="1438"/>
      <c r="B98" s="457" t="s">
        <v>104</v>
      </c>
      <c r="C98" s="153">
        <v>0</v>
      </c>
      <c r="D98" s="459">
        <v>0</v>
      </c>
      <c r="E98" s="153">
        <v>0</v>
      </c>
      <c r="F98" s="1423"/>
    </row>
    <row r="99" spans="1:6" ht="13.5" customHeight="1" x14ac:dyDescent="0.25">
      <c r="A99" s="1436">
        <v>44555</v>
      </c>
      <c r="B99" s="462" t="s">
        <v>17</v>
      </c>
      <c r="C99" s="450">
        <v>1</v>
      </c>
      <c r="D99" s="611">
        <v>1</v>
      </c>
      <c r="E99" s="150">
        <v>1</v>
      </c>
      <c r="F99" s="1417" t="s">
        <v>1784</v>
      </c>
    </row>
    <row r="100" spans="1:6" ht="13.5" customHeight="1" x14ac:dyDescent="0.25">
      <c r="A100" s="1437"/>
      <c r="B100" s="453" t="s">
        <v>102</v>
      </c>
      <c r="C100" s="455">
        <v>23.87</v>
      </c>
      <c r="D100" s="612">
        <v>24</v>
      </c>
      <c r="E100" s="151">
        <v>24</v>
      </c>
      <c r="F100" s="1418"/>
    </row>
    <row r="101" spans="1:6" ht="13.5" customHeight="1" x14ac:dyDescent="0.25">
      <c r="A101" s="1437"/>
      <c r="B101" s="448" t="s">
        <v>103</v>
      </c>
      <c r="C101" s="455">
        <v>0.13</v>
      </c>
      <c r="D101" s="612">
        <v>0</v>
      </c>
      <c r="E101" s="151">
        <v>0</v>
      </c>
      <c r="F101" s="1418"/>
    </row>
    <row r="102" spans="1:6" ht="13.5" customHeight="1" thickBot="1" x14ac:dyDescent="0.3">
      <c r="A102" s="1438"/>
      <c r="B102" s="457" t="s">
        <v>104</v>
      </c>
      <c r="C102" s="459">
        <v>0</v>
      </c>
      <c r="D102" s="576">
        <v>0</v>
      </c>
      <c r="E102" s="153">
        <v>0</v>
      </c>
      <c r="F102" s="1423"/>
    </row>
    <row r="103" spans="1:6" ht="13.5" customHeight="1" x14ac:dyDescent="0.25">
      <c r="A103" s="1436">
        <v>44556</v>
      </c>
      <c r="B103" s="462" t="s">
        <v>17</v>
      </c>
      <c r="C103" s="450">
        <v>1</v>
      </c>
      <c r="D103" s="611">
        <v>1</v>
      </c>
      <c r="E103" s="150">
        <v>1</v>
      </c>
      <c r="F103" s="1417"/>
    </row>
    <row r="104" spans="1:6" ht="13.5" customHeight="1" x14ac:dyDescent="0.25">
      <c r="A104" s="1437"/>
      <c r="B104" s="448" t="s">
        <v>102</v>
      </c>
      <c r="C104" s="455">
        <v>0</v>
      </c>
      <c r="D104" s="612">
        <v>24</v>
      </c>
      <c r="E104" s="151">
        <v>24</v>
      </c>
      <c r="F104" s="1418"/>
    </row>
    <row r="105" spans="1:6" ht="13.5" customHeight="1" x14ac:dyDescent="0.25">
      <c r="A105" s="1437"/>
      <c r="B105" s="448" t="s">
        <v>103</v>
      </c>
      <c r="C105" s="455">
        <v>24</v>
      </c>
      <c r="D105" s="612">
        <v>0</v>
      </c>
      <c r="E105" s="151">
        <v>0</v>
      </c>
      <c r="F105" s="1418"/>
    </row>
    <row r="106" spans="1:6" ht="13.5" customHeight="1" thickBot="1" x14ac:dyDescent="0.3">
      <c r="A106" s="1438"/>
      <c r="B106" s="457" t="s">
        <v>104</v>
      </c>
      <c r="C106" s="459">
        <v>0</v>
      </c>
      <c r="D106" s="576">
        <v>0</v>
      </c>
      <c r="E106" s="153">
        <v>0</v>
      </c>
      <c r="F106" s="1423"/>
    </row>
    <row r="107" spans="1:6" ht="13.5" customHeight="1" x14ac:dyDescent="0.25">
      <c r="A107" s="1436">
        <v>44557</v>
      </c>
      <c r="B107" s="446" t="s">
        <v>17</v>
      </c>
      <c r="C107" s="450">
        <v>1</v>
      </c>
      <c r="D107" s="611">
        <v>1</v>
      </c>
      <c r="E107" s="150">
        <v>1</v>
      </c>
      <c r="F107" s="1417"/>
    </row>
    <row r="108" spans="1:6" ht="13.5" customHeight="1" x14ac:dyDescent="0.25">
      <c r="A108" s="1437"/>
      <c r="B108" s="448" t="s">
        <v>102</v>
      </c>
      <c r="C108" s="455">
        <v>0</v>
      </c>
      <c r="D108" s="612">
        <v>24</v>
      </c>
      <c r="E108" s="151">
        <v>24</v>
      </c>
      <c r="F108" s="1418"/>
    </row>
    <row r="109" spans="1:6" ht="13.5" customHeight="1" x14ac:dyDescent="0.25">
      <c r="A109" s="1437"/>
      <c r="B109" s="448" t="s">
        <v>103</v>
      </c>
      <c r="C109" s="455">
        <v>24</v>
      </c>
      <c r="D109" s="612">
        <v>0</v>
      </c>
      <c r="E109" s="151">
        <v>0</v>
      </c>
      <c r="F109" s="1418"/>
    </row>
    <row r="110" spans="1:6" ht="13.5" customHeight="1" thickBot="1" x14ac:dyDescent="0.3">
      <c r="A110" s="1438"/>
      <c r="B110" s="457" t="s">
        <v>104</v>
      </c>
      <c r="C110" s="459">
        <v>0</v>
      </c>
      <c r="D110" s="576">
        <v>0</v>
      </c>
      <c r="E110" s="153">
        <v>0</v>
      </c>
      <c r="F110" s="1423"/>
    </row>
    <row r="111" spans="1:6" ht="13.5" customHeight="1" x14ac:dyDescent="0.25">
      <c r="A111" s="1436">
        <v>44558</v>
      </c>
      <c r="B111" s="446" t="s">
        <v>17</v>
      </c>
      <c r="C111" s="450">
        <v>1</v>
      </c>
      <c r="D111" s="611">
        <v>1</v>
      </c>
      <c r="E111" s="150">
        <v>1</v>
      </c>
      <c r="F111" s="1417"/>
    </row>
    <row r="112" spans="1:6" ht="13.5" customHeight="1" x14ac:dyDescent="0.25">
      <c r="A112" s="1437"/>
      <c r="B112" s="448" t="s">
        <v>102</v>
      </c>
      <c r="C112" s="455">
        <v>0</v>
      </c>
      <c r="D112" s="612">
        <v>24</v>
      </c>
      <c r="E112" s="151">
        <v>24</v>
      </c>
      <c r="F112" s="1418"/>
    </row>
    <row r="113" spans="1:6" ht="13.5" customHeight="1" x14ac:dyDescent="0.25">
      <c r="A113" s="1437"/>
      <c r="B113" s="448" t="s">
        <v>103</v>
      </c>
      <c r="C113" s="455">
        <v>24</v>
      </c>
      <c r="D113" s="612">
        <v>0</v>
      </c>
      <c r="E113" s="151">
        <v>0</v>
      </c>
      <c r="F113" s="1418"/>
    </row>
    <row r="114" spans="1:6" ht="13.5" customHeight="1" thickBot="1" x14ac:dyDescent="0.3">
      <c r="A114" s="1438"/>
      <c r="B114" s="457" t="s">
        <v>104</v>
      </c>
      <c r="C114" s="459">
        <v>0</v>
      </c>
      <c r="D114" s="576">
        <v>0</v>
      </c>
      <c r="E114" s="153">
        <v>0</v>
      </c>
      <c r="F114" s="1423"/>
    </row>
    <row r="115" spans="1:6" ht="13.5" customHeight="1" x14ac:dyDescent="0.25">
      <c r="A115" s="1436">
        <v>44559</v>
      </c>
      <c r="B115" s="462" t="s">
        <v>17</v>
      </c>
      <c r="C115" s="450">
        <v>1</v>
      </c>
      <c r="D115" s="611">
        <v>1</v>
      </c>
      <c r="E115" s="150">
        <v>1</v>
      </c>
      <c r="F115" s="1417" t="s">
        <v>1813</v>
      </c>
    </row>
    <row r="116" spans="1:6" ht="13.5" customHeight="1" x14ac:dyDescent="0.25">
      <c r="A116" s="1437"/>
      <c r="B116" s="448" t="s">
        <v>102</v>
      </c>
      <c r="C116" s="455">
        <v>13.58</v>
      </c>
      <c r="D116" s="612">
        <v>15.62</v>
      </c>
      <c r="E116" s="151">
        <v>24</v>
      </c>
      <c r="F116" s="1418"/>
    </row>
    <row r="117" spans="1:6" ht="13.5" customHeight="1" x14ac:dyDescent="0.25">
      <c r="A117" s="1437"/>
      <c r="B117" s="448" t="s">
        <v>103</v>
      </c>
      <c r="C117" s="455">
        <v>10.42</v>
      </c>
      <c r="D117" s="612">
        <v>8.3800000000000008</v>
      </c>
      <c r="E117" s="151">
        <v>0</v>
      </c>
      <c r="F117" s="1418"/>
    </row>
    <row r="118" spans="1:6" ht="13.5" customHeight="1" thickBot="1" x14ac:dyDescent="0.3">
      <c r="A118" s="1438"/>
      <c r="B118" s="457" t="s">
        <v>104</v>
      </c>
      <c r="C118" s="459">
        <v>0</v>
      </c>
      <c r="D118" s="576">
        <v>0</v>
      </c>
      <c r="E118" s="153">
        <v>0</v>
      </c>
      <c r="F118" s="1418"/>
    </row>
    <row r="119" spans="1:6" ht="13.5" customHeight="1" x14ac:dyDescent="0.25">
      <c r="A119" s="1436">
        <v>44560</v>
      </c>
      <c r="B119" s="446" t="s">
        <v>17</v>
      </c>
      <c r="C119" s="450">
        <v>1</v>
      </c>
      <c r="D119" s="450">
        <v>1</v>
      </c>
      <c r="E119" s="150">
        <v>1</v>
      </c>
      <c r="F119" s="1418"/>
    </row>
    <row r="120" spans="1:6" ht="13.5" customHeight="1" x14ac:dyDescent="0.25">
      <c r="A120" s="1437"/>
      <c r="B120" s="448" t="s">
        <v>102</v>
      </c>
      <c r="C120" s="455">
        <v>24</v>
      </c>
      <c r="D120" s="455">
        <v>21.03</v>
      </c>
      <c r="E120" s="151">
        <v>24</v>
      </c>
      <c r="F120" s="1418"/>
    </row>
    <row r="121" spans="1:6" ht="13.5" customHeight="1" x14ac:dyDescent="0.25">
      <c r="A121" s="1437"/>
      <c r="B121" s="448" t="s">
        <v>103</v>
      </c>
      <c r="C121" s="455">
        <v>0</v>
      </c>
      <c r="D121" s="455">
        <v>2.97</v>
      </c>
      <c r="E121" s="151">
        <v>0</v>
      </c>
      <c r="F121" s="1418"/>
    </row>
    <row r="122" spans="1:6" ht="13.5" customHeight="1" thickBot="1" x14ac:dyDescent="0.3">
      <c r="A122" s="1438"/>
      <c r="B122" s="457" t="s">
        <v>104</v>
      </c>
      <c r="C122" s="459">
        <v>0</v>
      </c>
      <c r="D122" s="459">
        <v>0</v>
      </c>
      <c r="E122" s="153">
        <v>0</v>
      </c>
      <c r="F122" s="1423"/>
    </row>
    <row r="123" spans="1:6" ht="13.5" customHeight="1" x14ac:dyDescent="0.25">
      <c r="A123" s="1436">
        <v>44561</v>
      </c>
      <c r="B123" s="446" t="s">
        <v>17</v>
      </c>
      <c r="C123" s="450">
        <v>1</v>
      </c>
      <c r="D123" s="450">
        <v>1</v>
      </c>
      <c r="E123" s="450">
        <v>1</v>
      </c>
      <c r="F123" s="1417"/>
    </row>
    <row r="124" spans="1:6" ht="13.5" customHeight="1" x14ac:dyDescent="0.25">
      <c r="A124" s="1437"/>
      <c r="B124" s="448" t="s">
        <v>102</v>
      </c>
      <c r="C124" s="455">
        <v>24</v>
      </c>
      <c r="D124" s="455">
        <v>24</v>
      </c>
      <c r="E124" s="455">
        <v>24</v>
      </c>
      <c r="F124" s="1418"/>
    </row>
    <row r="125" spans="1:6" ht="13.5" customHeight="1" x14ac:dyDescent="0.25">
      <c r="A125" s="1437"/>
      <c r="B125" s="448" t="s">
        <v>103</v>
      </c>
      <c r="C125" s="455">
        <v>0</v>
      </c>
      <c r="D125" s="455">
        <v>0</v>
      </c>
      <c r="E125" s="455">
        <v>0</v>
      </c>
      <c r="F125" s="1418"/>
    </row>
    <row r="126" spans="1:6" ht="13.5" customHeight="1" thickBot="1" x14ac:dyDescent="0.3">
      <c r="A126" s="1438"/>
      <c r="B126" s="457" t="s">
        <v>104</v>
      </c>
      <c r="C126" s="459">
        <v>0</v>
      </c>
      <c r="D126" s="459">
        <v>0</v>
      </c>
      <c r="E126" s="459">
        <v>0</v>
      </c>
      <c r="F126" s="1423"/>
    </row>
    <row r="127" spans="1:6" x14ac:dyDescent="0.25">
      <c r="A127" s="464" t="s">
        <v>1671</v>
      </c>
      <c r="B127" s="465"/>
      <c r="C127" s="466">
        <f t="shared" ref="C127:E129" si="0">SUM(C124,C120,C116,C112,C108,C104,C100,C96,C92,C88,C84,C80,C76,C72,C68,C64,C60,C56,C52,C48,C44,C40,C36,C32,C28,C24,C20,C16,C12,C8,C4)</f>
        <v>261.75</v>
      </c>
      <c r="D127" s="466">
        <f t="shared" si="0"/>
        <v>408.53999999999996</v>
      </c>
      <c r="E127" s="467">
        <f t="shared" si="0"/>
        <v>744</v>
      </c>
      <c r="F127" s="468"/>
    </row>
    <row r="128" spans="1:6" x14ac:dyDescent="0.25">
      <c r="A128" s="603" t="s">
        <v>1670</v>
      </c>
      <c r="B128" s="134"/>
      <c r="C128" s="469">
        <f t="shared" si="0"/>
        <v>478.1</v>
      </c>
      <c r="D128" s="469">
        <f t="shared" si="0"/>
        <v>335.46000000000004</v>
      </c>
      <c r="E128" s="470">
        <f t="shared" si="0"/>
        <v>0</v>
      </c>
      <c r="F128" s="471"/>
    </row>
    <row r="129" spans="1:6" ht="15.75" thickBot="1" x14ac:dyDescent="0.3">
      <c r="A129" s="604" t="s">
        <v>1672</v>
      </c>
      <c r="B129" s="472"/>
      <c r="C129" s="473">
        <f t="shared" si="0"/>
        <v>4.1500000000000004</v>
      </c>
      <c r="D129" s="473">
        <f t="shared" si="0"/>
        <v>0</v>
      </c>
      <c r="E129" s="474">
        <f t="shared" si="0"/>
        <v>0</v>
      </c>
      <c r="F129" s="475"/>
    </row>
    <row r="130" spans="1:6" ht="15.75" thickBot="1" x14ac:dyDescent="0.3">
      <c r="A130" s="476" t="s">
        <v>108</v>
      </c>
      <c r="B130" s="477"/>
      <c r="C130" s="478"/>
      <c r="D130" s="478"/>
      <c r="E130" s="478"/>
      <c r="F130" s="141"/>
    </row>
  </sheetData>
  <mergeCells count="62">
    <mergeCell ref="A3:A6"/>
    <mergeCell ref="F3:F6"/>
    <mergeCell ref="A7:A10"/>
    <mergeCell ref="F7:F10"/>
    <mergeCell ref="A11:A14"/>
    <mergeCell ref="F11:F14"/>
    <mergeCell ref="A15:A18"/>
    <mergeCell ref="F15:F18"/>
    <mergeCell ref="A19:A22"/>
    <mergeCell ref="F19:F22"/>
    <mergeCell ref="A23:A26"/>
    <mergeCell ref="F23:F26"/>
    <mergeCell ref="A27:A30"/>
    <mergeCell ref="F27:F30"/>
    <mergeCell ref="A31:A34"/>
    <mergeCell ref="F31:F34"/>
    <mergeCell ref="A35:A38"/>
    <mergeCell ref="F35:F38"/>
    <mergeCell ref="A39:A42"/>
    <mergeCell ref="F39:F42"/>
    <mergeCell ref="A43:A46"/>
    <mergeCell ref="F43:F46"/>
    <mergeCell ref="A47:A50"/>
    <mergeCell ref="F47:F50"/>
    <mergeCell ref="A51:A54"/>
    <mergeCell ref="F51:F54"/>
    <mergeCell ref="A55:A58"/>
    <mergeCell ref="F55:F58"/>
    <mergeCell ref="A59:A62"/>
    <mergeCell ref="F59:F62"/>
    <mergeCell ref="F95:F98"/>
    <mergeCell ref="F99:F102"/>
    <mergeCell ref="A75:A78"/>
    <mergeCell ref="F75:F78"/>
    <mergeCell ref="A79:A82"/>
    <mergeCell ref="F79:F82"/>
    <mergeCell ref="A71:A74"/>
    <mergeCell ref="F71:F74"/>
    <mergeCell ref="A87:A90"/>
    <mergeCell ref="F83:F86"/>
    <mergeCell ref="F87:F90"/>
    <mergeCell ref="A119:A122"/>
    <mergeCell ref="A123:A126"/>
    <mergeCell ref="F123:F126"/>
    <mergeCell ref="A115:A118"/>
    <mergeCell ref="F115:F122"/>
    <mergeCell ref="A1:F1"/>
    <mergeCell ref="A107:A110"/>
    <mergeCell ref="F107:F110"/>
    <mergeCell ref="A111:A114"/>
    <mergeCell ref="F111:F114"/>
    <mergeCell ref="A91:A94"/>
    <mergeCell ref="F91:F94"/>
    <mergeCell ref="A95:A98"/>
    <mergeCell ref="A99:A102"/>
    <mergeCell ref="A103:A106"/>
    <mergeCell ref="A83:A86"/>
    <mergeCell ref="F103:F106"/>
    <mergeCell ref="A63:A66"/>
    <mergeCell ref="F63:F66"/>
    <mergeCell ref="A67:A70"/>
    <mergeCell ref="F67:F7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G130"/>
  <sheetViews>
    <sheetView workbookViewId="0">
      <pane ySplit="2" topLeftCell="A120" activePane="bottomLeft" state="frozen"/>
      <selection pane="bottomLeft" activeCell="G87" sqref="G87:G90"/>
    </sheetView>
  </sheetViews>
  <sheetFormatPr defaultRowHeight="15" x14ac:dyDescent="0.25"/>
  <cols>
    <col min="1" max="1" width="47.7109375" customWidth="1"/>
    <col min="2" max="2" width="25" customWidth="1"/>
    <col min="4" max="4" width="9.140625" style="1"/>
    <col min="7" max="7" width="54.7109375" customWidth="1"/>
  </cols>
  <sheetData>
    <row r="1" spans="1:7" ht="21.75" thickBot="1" x14ac:dyDescent="0.4">
      <c r="A1" s="1443" t="s">
        <v>73</v>
      </c>
      <c r="B1" s="1443"/>
      <c r="C1" s="1443"/>
      <c r="D1" s="1443"/>
      <c r="E1" s="1443"/>
      <c r="F1" s="1443"/>
      <c r="G1" s="1443"/>
    </row>
    <row r="2" spans="1:7" ht="16.5" thickBot="1" x14ac:dyDescent="0.3">
      <c r="A2" s="108" t="s">
        <v>98</v>
      </c>
      <c r="B2" s="608"/>
      <c r="C2" s="607" t="s">
        <v>310</v>
      </c>
      <c r="D2" s="607" t="s">
        <v>239</v>
      </c>
      <c r="E2" s="447" t="s">
        <v>100</v>
      </c>
      <c r="F2" s="682" t="s">
        <v>157</v>
      </c>
      <c r="G2" s="111" t="s">
        <v>101</v>
      </c>
    </row>
    <row r="3" spans="1:7" ht="13.5" customHeight="1" x14ac:dyDescent="0.25">
      <c r="A3" s="1436">
        <v>44562</v>
      </c>
      <c r="B3" s="453" t="s">
        <v>17</v>
      </c>
      <c r="C3" s="611">
        <v>1</v>
      </c>
      <c r="D3" s="571">
        <v>1</v>
      </c>
      <c r="E3" s="611">
        <v>1</v>
      </c>
      <c r="F3" s="683"/>
      <c r="G3" s="1417"/>
    </row>
    <row r="4" spans="1:7" ht="13.5" customHeight="1" x14ac:dyDescent="0.25">
      <c r="A4" s="1437"/>
      <c r="B4" s="453" t="s">
        <v>102</v>
      </c>
      <c r="C4" s="612">
        <v>24</v>
      </c>
      <c r="D4" s="572">
        <v>24</v>
      </c>
      <c r="E4" s="612">
        <v>24</v>
      </c>
      <c r="F4" s="684"/>
      <c r="G4" s="1418"/>
    </row>
    <row r="5" spans="1:7" ht="13.5" customHeight="1" x14ac:dyDescent="0.25">
      <c r="A5" s="1437"/>
      <c r="B5" s="448" t="s">
        <v>103</v>
      </c>
      <c r="C5" s="612">
        <v>0</v>
      </c>
      <c r="D5" s="572">
        <v>0</v>
      </c>
      <c r="E5" s="612">
        <v>0</v>
      </c>
      <c r="F5" s="684"/>
      <c r="G5" s="1418"/>
    </row>
    <row r="6" spans="1:7" ht="13.5" customHeight="1" thickBot="1" x14ac:dyDescent="0.3">
      <c r="A6" s="1438"/>
      <c r="B6" s="457" t="s">
        <v>104</v>
      </c>
      <c r="C6" s="576">
        <v>0</v>
      </c>
      <c r="D6" s="573">
        <v>0</v>
      </c>
      <c r="E6" s="576">
        <v>0</v>
      </c>
      <c r="F6" s="684"/>
      <c r="G6" s="1423"/>
    </row>
    <row r="7" spans="1:7" ht="13.5" customHeight="1" x14ac:dyDescent="0.25">
      <c r="A7" s="1436">
        <v>44563</v>
      </c>
      <c r="B7" s="112" t="s">
        <v>17</v>
      </c>
      <c r="C7" s="450">
        <v>1</v>
      </c>
      <c r="D7" s="644">
        <v>1</v>
      </c>
      <c r="E7" s="150">
        <v>1</v>
      </c>
      <c r="F7" s="683"/>
      <c r="G7" s="1417" t="s">
        <v>2080</v>
      </c>
    </row>
    <row r="8" spans="1:7" ht="13.5" customHeight="1" x14ac:dyDescent="0.25">
      <c r="A8" s="1437"/>
      <c r="B8" s="115" t="s">
        <v>102</v>
      </c>
      <c r="C8" s="455">
        <v>11.32</v>
      </c>
      <c r="D8" s="645">
        <v>21.83</v>
      </c>
      <c r="E8" s="151">
        <v>2.4700000000000002</v>
      </c>
      <c r="F8" s="684"/>
      <c r="G8" s="1418"/>
    </row>
    <row r="9" spans="1:7" ht="13.5" customHeight="1" x14ac:dyDescent="0.25">
      <c r="A9" s="1437"/>
      <c r="B9" s="117" t="s">
        <v>103</v>
      </c>
      <c r="C9" s="455">
        <v>12.68</v>
      </c>
      <c r="D9" s="645">
        <v>2.17</v>
      </c>
      <c r="E9" s="151">
        <v>21.53</v>
      </c>
      <c r="F9" s="684"/>
      <c r="G9" s="1418"/>
    </row>
    <row r="10" spans="1:7" ht="13.5" customHeight="1" thickBot="1" x14ac:dyDescent="0.3">
      <c r="A10" s="1438"/>
      <c r="B10" s="119" t="s">
        <v>104</v>
      </c>
      <c r="C10" s="459">
        <v>0</v>
      </c>
      <c r="D10" s="646">
        <v>0</v>
      </c>
      <c r="E10" s="151">
        <v>0</v>
      </c>
      <c r="F10" s="684"/>
      <c r="G10" s="1418"/>
    </row>
    <row r="11" spans="1:7" ht="13.5" customHeight="1" x14ac:dyDescent="0.25">
      <c r="A11" s="1436">
        <v>44564</v>
      </c>
      <c r="B11" s="112" t="s">
        <v>17</v>
      </c>
      <c r="C11" s="450">
        <v>1</v>
      </c>
      <c r="D11" s="611">
        <v>1</v>
      </c>
      <c r="E11" s="150">
        <v>1</v>
      </c>
      <c r="F11" s="683"/>
      <c r="G11" s="1418"/>
    </row>
    <row r="12" spans="1:7" ht="13.5" customHeight="1" x14ac:dyDescent="0.25">
      <c r="A12" s="1437"/>
      <c r="B12" s="115" t="s">
        <v>102</v>
      </c>
      <c r="C12" s="455">
        <v>19.600000000000001</v>
      </c>
      <c r="D12" s="612">
        <v>24</v>
      </c>
      <c r="E12" s="151">
        <v>0</v>
      </c>
      <c r="F12" s="684"/>
      <c r="G12" s="1418"/>
    </row>
    <row r="13" spans="1:7" ht="13.5" customHeight="1" thickBot="1" x14ac:dyDescent="0.3">
      <c r="A13" s="1437"/>
      <c r="B13" s="117" t="s">
        <v>103</v>
      </c>
      <c r="C13" s="455">
        <v>4.4000000000000004</v>
      </c>
      <c r="D13" s="612">
        <v>0</v>
      </c>
      <c r="E13" s="153">
        <v>24</v>
      </c>
      <c r="F13" s="684"/>
      <c r="G13" s="1418"/>
    </row>
    <row r="14" spans="1:7" ht="13.5" customHeight="1" thickBot="1" x14ac:dyDescent="0.3">
      <c r="A14" s="1438"/>
      <c r="B14" s="119" t="s">
        <v>104</v>
      </c>
      <c r="C14" s="459">
        <v>0</v>
      </c>
      <c r="D14" s="576">
        <v>0</v>
      </c>
      <c r="E14" s="153">
        <v>0</v>
      </c>
      <c r="F14" s="684"/>
      <c r="G14" s="1418"/>
    </row>
    <row r="15" spans="1:7" ht="13.5" customHeight="1" x14ac:dyDescent="0.25">
      <c r="A15" s="1436">
        <v>44565</v>
      </c>
      <c r="B15" s="112" t="s">
        <v>17</v>
      </c>
      <c r="C15" s="611">
        <v>1</v>
      </c>
      <c r="D15" s="611">
        <v>1</v>
      </c>
      <c r="E15" s="150">
        <v>1</v>
      </c>
      <c r="F15" s="683"/>
      <c r="G15" s="1418"/>
    </row>
    <row r="16" spans="1:7" ht="13.5" customHeight="1" x14ac:dyDescent="0.25">
      <c r="A16" s="1437"/>
      <c r="B16" s="115" t="s">
        <v>102</v>
      </c>
      <c r="C16" s="612">
        <v>24</v>
      </c>
      <c r="D16" s="612">
        <v>24</v>
      </c>
      <c r="E16" s="151">
        <v>0</v>
      </c>
      <c r="F16" s="684"/>
      <c r="G16" s="1418"/>
    </row>
    <row r="17" spans="1:7" ht="13.5" customHeight="1" x14ac:dyDescent="0.25">
      <c r="A17" s="1437"/>
      <c r="B17" s="117" t="s">
        <v>103</v>
      </c>
      <c r="C17" s="612">
        <v>0</v>
      </c>
      <c r="D17" s="612">
        <v>0</v>
      </c>
      <c r="E17" s="151">
        <v>24</v>
      </c>
      <c r="F17" s="684"/>
      <c r="G17" s="1418"/>
    </row>
    <row r="18" spans="1:7" ht="13.5" customHeight="1" thickBot="1" x14ac:dyDescent="0.3">
      <c r="A18" s="1438"/>
      <c r="B18" s="119" t="s">
        <v>104</v>
      </c>
      <c r="C18" s="576">
        <v>0</v>
      </c>
      <c r="D18" s="576">
        <v>0</v>
      </c>
      <c r="E18" s="153">
        <v>0</v>
      </c>
      <c r="F18" s="684"/>
      <c r="G18" s="1418"/>
    </row>
    <row r="19" spans="1:7" ht="13.5" customHeight="1" x14ac:dyDescent="0.25">
      <c r="A19" s="1436">
        <v>44566</v>
      </c>
      <c r="B19" s="122" t="s">
        <v>17</v>
      </c>
      <c r="C19" s="611">
        <v>1</v>
      </c>
      <c r="D19" s="611">
        <v>1</v>
      </c>
      <c r="E19" s="150">
        <v>1</v>
      </c>
      <c r="F19" s="683"/>
      <c r="G19" s="1418"/>
    </row>
    <row r="20" spans="1:7" ht="13.5" customHeight="1" x14ac:dyDescent="0.25">
      <c r="A20" s="1437"/>
      <c r="B20" s="115" t="s">
        <v>102</v>
      </c>
      <c r="C20" s="612">
        <v>24</v>
      </c>
      <c r="D20" s="612">
        <v>24</v>
      </c>
      <c r="E20" s="151">
        <v>11.02</v>
      </c>
      <c r="F20" s="684"/>
      <c r="G20" s="1418"/>
    </row>
    <row r="21" spans="1:7" ht="13.5" customHeight="1" x14ac:dyDescent="0.25">
      <c r="A21" s="1437"/>
      <c r="B21" s="117" t="s">
        <v>103</v>
      </c>
      <c r="C21" s="612">
        <v>0</v>
      </c>
      <c r="D21" s="612">
        <v>0</v>
      </c>
      <c r="E21" s="151">
        <v>12.98</v>
      </c>
      <c r="F21" s="684"/>
      <c r="G21" s="1418"/>
    </row>
    <row r="22" spans="1:7" ht="13.5" customHeight="1" thickBot="1" x14ac:dyDescent="0.3">
      <c r="A22" s="1438"/>
      <c r="B22" s="119" t="s">
        <v>104</v>
      </c>
      <c r="C22" s="576">
        <v>0</v>
      </c>
      <c r="D22" s="576">
        <v>0</v>
      </c>
      <c r="E22" s="153">
        <v>0</v>
      </c>
      <c r="F22" s="684"/>
      <c r="G22" s="1418"/>
    </row>
    <row r="23" spans="1:7" ht="18.75" customHeight="1" x14ac:dyDescent="0.25">
      <c r="A23" s="1436">
        <v>44567</v>
      </c>
      <c r="B23" s="112" t="s">
        <v>17</v>
      </c>
      <c r="C23" s="611">
        <v>1</v>
      </c>
      <c r="D23" s="611">
        <v>1</v>
      </c>
      <c r="E23" s="150">
        <v>1</v>
      </c>
      <c r="F23" s="683"/>
      <c r="G23" s="1418"/>
    </row>
    <row r="24" spans="1:7" ht="18.75" customHeight="1" x14ac:dyDescent="0.25">
      <c r="A24" s="1437"/>
      <c r="B24" s="125" t="s">
        <v>102</v>
      </c>
      <c r="C24" s="612">
        <v>24</v>
      </c>
      <c r="D24" s="612">
        <v>19.3</v>
      </c>
      <c r="E24" s="151">
        <v>23.23</v>
      </c>
      <c r="F24" s="684"/>
      <c r="G24" s="1418"/>
    </row>
    <row r="25" spans="1:7" ht="18.75" customHeight="1" x14ac:dyDescent="0.25">
      <c r="A25" s="1437"/>
      <c r="B25" s="117" t="s">
        <v>103</v>
      </c>
      <c r="C25" s="612">
        <v>0</v>
      </c>
      <c r="D25" s="612">
        <v>4.7</v>
      </c>
      <c r="E25" s="151">
        <v>0.77</v>
      </c>
      <c r="F25" s="684"/>
      <c r="G25" s="1418"/>
    </row>
    <row r="26" spans="1:7" ht="18.75" customHeight="1" thickBot="1" x14ac:dyDescent="0.3">
      <c r="A26" s="1438"/>
      <c r="B26" s="119" t="s">
        <v>104</v>
      </c>
      <c r="C26" s="576">
        <v>0</v>
      </c>
      <c r="D26" s="576">
        <v>0</v>
      </c>
      <c r="E26" s="151">
        <v>0</v>
      </c>
      <c r="F26" s="684"/>
      <c r="G26" s="1423"/>
    </row>
    <row r="27" spans="1:7" ht="13.5" customHeight="1" x14ac:dyDescent="0.25">
      <c r="A27" s="1436">
        <v>44568</v>
      </c>
      <c r="B27" s="112" t="s">
        <v>17</v>
      </c>
      <c r="C27" s="611">
        <v>1</v>
      </c>
      <c r="D27" s="611">
        <v>1</v>
      </c>
      <c r="E27" s="611">
        <v>1</v>
      </c>
      <c r="F27" s="683"/>
      <c r="G27" s="1417"/>
    </row>
    <row r="28" spans="1:7" ht="13.5" customHeight="1" x14ac:dyDescent="0.25">
      <c r="A28" s="1437"/>
      <c r="B28" s="115" t="s">
        <v>102</v>
      </c>
      <c r="C28" s="612">
        <v>24</v>
      </c>
      <c r="D28" s="612">
        <v>24</v>
      </c>
      <c r="E28" s="612">
        <v>24</v>
      </c>
      <c r="F28" s="684"/>
      <c r="G28" s="1418"/>
    </row>
    <row r="29" spans="1:7" ht="13.5" customHeight="1" x14ac:dyDescent="0.25">
      <c r="A29" s="1437"/>
      <c r="B29" s="117" t="s">
        <v>103</v>
      </c>
      <c r="C29" s="612">
        <v>0</v>
      </c>
      <c r="D29" s="612">
        <v>0</v>
      </c>
      <c r="E29" s="612">
        <v>0</v>
      </c>
      <c r="F29" s="684"/>
      <c r="G29" s="1418"/>
    </row>
    <row r="30" spans="1:7" ht="13.5" customHeight="1" thickBot="1" x14ac:dyDescent="0.3">
      <c r="A30" s="1438"/>
      <c r="B30" s="119" t="s">
        <v>104</v>
      </c>
      <c r="C30" s="576">
        <v>0</v>
      </c>
      <c r="D30" s="576">
        <v>0</v>
      </c>
      <c r="E30" s="576">
        <v>0</v>
      </c>
      <c r="F30" s="684"/>
      <c r="G30" s="1423"/>
    </row>
    <row r="31" spans="1:7" ht="22.5" customHeight="1" x14ac:dyDescent="0.25">
      <c r="A31" s="1436">
        <v>44569</v>
      </c>
      <c r="B31" s="122" t="s">
        <v>17</v>
      </c>
      <c r="C31" s="611">
        <v>1</v>
      </c>
      <c r="D31" s="611">
        <v>1</v>
      </c>
      <c r="E31" s="611">
        <v>1</v>
      </c>
      <c r="F31" s="683"/>
      <c r="G31" s="1417" t="s">
        <v>1866</v>
      </c>
    </row>
    <row r="32" spans="1:7" ht="22.5" customHeight="1" x14ac:dyDescent="0.25">
      <c r="A32" s="1437"/>
      <c r="B32" s="125" t="s">
        <v>102</v>
      </c>
      <c r="C32" s="612">
        <v>19.3</v>
      </c>
      <c r="D32" s="612">
        <v>22.43</v>
      </c>
      <c r="E32" s="612">
        <v>24</v>
      </c>
      <c r="F32" s="684"/>
      <c r="G32" s="1418"/>
    </row>
    <row r="33" spans="1:7" ht="22.5" customHeight="1" x14ac:dyDescent="0.25">
      <c r="A33" s="1437"/>
      <c r="B33" s="117" t="s">
        <v>103</v>
      </c>
      <c r="C33" s="612">
        <v>4.7</v>
      </c>
      <c r="D33" s="612">
        <v>1.57</v>
      </c>
      <c r="E33" s="612">
        <v>0</v>
      </c>
      <c r="F33" s="684"/>
      <c r="G33" s="1418"/>
    </row>
    <row r="34" spans="1:7" ht="22.5" customHeight="1" thickBot="1" x14ac:dyDescent="0.3">
      <c r="A34" s="1438"/>
      <c r="B34" s="119" t="s">
        <v>104</v>
      </c>
      <c r="C34" s="576">
        <v>0</v>
      </c>
      <c r="D34" s="576">
        <v>0</v>
      </c>
      <c r="E34" s="576">
        <v>0</v>
      </c>
      <c r="F34" s="684"/>
      <c r="G34" s="1423"/>
    </row>
    <row r="35" spans="1:7" ht="27" customHeight="1" x14ac:dyDescent="0.25">
      <c r="A35" s="1436">
        <v>44570</v>
      </c>
      <c r="B35" s="122" t="s">
        <v>17</v>
      </c>
      <c r="C35" s="611">
        <v>1</v>
      </c>
      <c r="D35" s="611">
        <v>1</v>
      </c>
      <c r="E35" s="611">
        <v>1</v>
      </c>
      <c r="F35" s="683"/>
      <c r="G35" s="1417" t="s">
        <v>1875</v>
      </c>
    </row>
    <row r="36" spans="1:7" ht="27" customHeight="1" x14ac:dyDescent="0.25">
      <c r="A36" s="1437"/>
      <c r="B36" s="115" t="s">
        <v>102</v>
      </c>
      <c r="C36" s="612">
        <v>24</v>
      </c>
      <c r="D36" s="612">
        <v>17.22</v>
      </c>
      <c r="E36" s="612">
        <v>24</v>
      </c>
      <c r="F36" s="684"/>
      <c r="G36" s="1418"/>
    </row>
    <row r="37" spans="1:7" ht="27" customHeight="1" x14ac:dyDescent="0.25">
      <c r="A37" s="1437"/>
      <c r="B37" s="117" t="s">
        <v>103</v>
      </c>
      <c r="C37" s="612">
        <v>0</v>
      </c>
      <c r="D37" s="612">
        <v>6.78</v>
      </c>
      <c r="E37" s="612">
        <v>0</v>
      </c>
      <c r="F37" s="684"/>
      <c r="G37" s="1418"/>
    </row>
    <row r="38" spans="1:7" ht="27" customHeight="1" thickBot="1" x14ac:dyDescent="0.3">
      <c r="A38" s="1438"/>
      <c r="B38" s="119" t="s">
        <v>104</v>
      </c>
      <c r="C38" s="576">
        <v>0</v>
      </c>
      <c r="D38" s="576">
        <v>0</v>
      </c>
      <c r="E38" s="576">
        <v>0</v>
      </c>
      <c r="F38" s="684"/>
      <c r="G38" s="1423"/>
    </row>
    <row r="39" spans="1:7" ht="14.25" customHeight="1" x14ac:dyDescent="0.25">
      <c r="A39" s="1436">
        <v>44571</v>
      </c>
      <c r="B39" s="122" t="s">
        <v>17</v>
      </c>
      <c r="C39" s="611">
        <v>1</v>
      </c>
      <c r="D39" s="611">
        <v>1</v>
      </c>
      <c r="E39" s="611">
        <v>1</v>
      </c>
      <c r="F39" s="683"/>
      <c r="G39" s="1417" t="s">
        <v>1887</v>
      </c>
    </row>
    <row r="40" spans="1:7" ht="14.25" customHeight="1" x14ac:dyDescent="0.25">
      <c r="A40" s="1437"/>
      <c r="B40" s="115" t="s">
        <v>102</v>
      </c>
      <c r="C40" s="612">
        <v>24</v>
      </c>
      <c r="D40" s="612">
        <v>21.28</v>
      </c>
      <c r="E40" s="612">
        <v>24</v>
      </c>
      <c r="F40" s="684"/>
      <c r="G40" s="1418"/>
    </row>
    <row r="41" spans="1:7" ht="14.25" customHeight="1" x14ac:dyDescent="0.25">
      <c r="A41" s="1437"/>
      <c r="B41" s="117" t="s">
        <v>103</v>
      </c>
      <c r="C41" s="612">
        <v>0</v>
      </c>
      <c r="D41" s="612">
        <v>2.72</v>
      </c>
      <c r="E41" s="612">
        <v>0</v>
      </c>
      <c r="F41" s="684"/>
      <c r="G41" s="1418"/>
    </row>
    <row r="42" spans="1:7" ht="14.25" customHeight="1" thickBot="1" x14ac:dyDescent="0.3">
      <c r="A42" s="1438"/>
      <c r="B42" s="119" t="s">
        <v>104</v>
      </c>
      <c r="C42" s="576">
        <v>0</v>
      </c>
      <c r="D42" s="576">
        <v>0</v>
      </c>
      <c r="E42" s="576">
        <v>0</v>
      </c>
      <c r="F42" s="684"/>
      <c r="G42" s="1423"/>
    </row>
    <row r="43" spans="1:7" ht="30.75" customHeight="1" x14ac:dyDescent="0.25">
      <c r="A43" s="1436">
        <v>44572</v>
      </c>
      <c r="B43" s="122" t="s">
        <v>17</v>
      </c>
      <c r="C43" s="611">
        <v>1</v>
      </c>
      <c r="D43" s="611">
        <v>1</v>
      </c>
      <c r="E43" s="611">
        <v>1</v>
      </c>
      <c r="F43" s="683"/>
      <c r="G43" s="1417" t="s">
        <v>1898</v>
      </c>
    </row>
    <row r="44" spans="1:7" ht="30.75" customHeight="1" x14ac:dyDescent="0.25">
      <c r="A44" s="1437"/>
      <c r="B44" s="115" t="s">
        <v>102</v>
      </c>
      <c r="C44" s="612">
        <v>15.28</v>
      </c>
      <c r="D44" s="612">
        <v>21.93</v>
      </c>
      <c r="E44" s="612">
        <v>24</v>
      </c>
      <c r="F44" s="684"/>
      <c r="G44" s="1418"/>
    </row>
    <row r="45" spans="1:7" ht="30.75" customHeight="1" x14ac:dyDescent="0.25">
      <c r="A45" s="1437"/>
      <c r="B45" s="117" t="s">
        <v>103</v>
      </c>
      <c r="C45" s="612">
        <v>8.7200000000000006</v>
      </c>
      <c r="D45" s="612">
        <v>2.0699999999999998</v>
      </c>
      <c r="E45" s="612">
        <v>0</v>
      </c>
      <c r="F45" s="684"/>
      <c r="G45" s="1418"/>
    </row>
    <row r="46" spans="1:7" ht="30.75" customHeight="1" thickBot="1" x14ac:dyDescent="0.3">
      <c r="A46" s="1438"/>
      <c r="B46" s="119" t="s">
        <v>104</v>
      </c>
      <c r="C46" s="576">
        <v>0</v>
      </c>
      <c r="D46" s="576">
        <v>0</v>
      </c>
      <c r="E46" s="576">
        <v>0</v>
      </c>
      <c r="F46" s="684"/>
      <c r="G46" s="1419"/>
    </row>
    <row r="47" spans="1:7" ht="13.5" customHeight="1" x14ac:dyDescent="0.25">
      <c r="A47" s="1436">
        <v>44573</v>
      </c>
      <c r="B47" s="122" t="s">
        <v>17</v>
      </c>
      <c r="C47" s="611">
        <v>1</v>
      </c>
      <c r="D47" s="611">
        <v>1</v>
      </c>
      <c r="E47" s="611">
        <v>1</v>
      </c>
      <c r="F47" s="683"/>
      <c r="G47" s="1417"/>
    </row>
    <row r="48" spans="1:7" ht="13.5" customHeight="1" x14ac:dyDescent="0.25">
      <c r="A48" s="1437"/>
      <c r="B48" s="115" t="s">
        <v>102</v>
      </c>
      <c r="C48" s="612">
        <v>0</v>
      </c>
      <c r="D48" s="612">
        <v>24</v>
      </c>
      <c r="E48" s="612">
        <v>24</v>
      </c>
      <c r="F48" s="684"/>
      <c r="G48" s="1418"/>
    </row>
    <row r="49" spans="1:7" ht="13.5" customHeight="1" x14ac:dyDescent="0.25">
      <c r="A49" s="1437"/>
      <c r="B49" s="117" t="s">
        <v>103</v>
      </c>
      <c r="C49" s="612">
        <v>24</v>
      </c>
      <c r="D49" s="612">
        <v>0</v>
      </c>
      <c r="E49" s="612">
        <v>0</v>
      </c>
      <c r="F49" s="684"/>
      <c r="G49" s="1418"/>
    </row>
    <row r="50" spans="1:7" ht="13.5" customHeight="1" thickBot="1" x14ac:dyDescent="0.3">
      <c r="A50" s="1438"/>
      <c r="B50" s="119" t="s">
        <v>104</v>
      </c>
      <c r="C50" s="576">
        <v>0</v>
      </c>
      <c r="D50" s="576">
        <v>0</v>
      </c>
      <c r="E50" s="576">
        <v>0</v>
      </c>
      <c r="F50" s="684"/>
      <c r="G50" s="1419"/>
    </row>
    <row r="51" spans="1:7" ht="37.5" customHeight="1" x14ac:dyDescent="0.25">
      <c r="A51" s="1436">
        <v>44574</v>
      </c>
      <c r="B51" s="122" t="s">
        <v>17</v>
      </c>
      <c r="C51" s="611">
        <v>1</v>
      </c>
      <c r="D51" s="611">
        <v>1</v>
      </c>
      <c r="E51" s="611">
        <v>1</v>
      </c>
      <c r="F51" s="683"/>
      <c r="G51" s="1417" t="s">
        <v>1917</v>
      </c>
    </row>
    <row r="52" spans="1:7" ht="37.5" customHeight="1" x14ac:dyDescent="0.25">
      <c r="A52" s="1437"/>
      <c r="B52" s="115" t="s">
        <v>102</v>
      </c>
      <c r="C52" s="612">
        <v>22.18</v>
      </c>
      <c r="D52" s="612">
        <v>20.18</v>
      </c>
      <c r="E52" s="612">
        <v>24</v>
      </c>
      <c r="F52" s="684"/>
      <c r="G52" s="1418"/>
    </row>
    <row r="53" spans="1:7" ht="37.5" customHeight="1" x14ac:dyDescent="0.25">
      <c r="A53" s="1437"/>
      <c r="B53" s="117" t="s">
        <v>103</v>
      </c>
      <c r="C53" s="612">
        <v>1.82</v>
      </c>
      <c r="D53" s="612">
        <v>3.82</v>
      </c>
      <c r="E53" s="612">
        <v>0</v>
      </c>
      <c r="F53" s="684"/>
      <c r="G53" s="1418"/>
    </row>
    <row r="54" spans="1:7" ht="37.5" customHeight="1" thickBot="1" x14ac:dyDescent="0.3">
      <c r="A54" s="1438"/>
      <c r="B54" s="119" t="s">
        <v>104</v>
      </c>
      <c r="C54" s="576">
        <v>0</v>
      </c>
      <c r="D54" s="576">
        <v>0</v>
      </c>
      <c r="E54" s="576">
        <v>0</v>
      </c>
      <c r="F54" s="684"/>
      <c r="G54" s="1419"/>
    </row>
    <row r="55" spans="1:7" ht="41.25" customHeight="1" x14ac:dyDescent="0.25">
      <c r="A55" s="1436">
        <v>44575</v>
      </c>
      <c r="B55" s="462" t="s">
        <v>17</v>
      </c>
      <c r="C55" s="611">
        <v>1</v>
      </c>
      <c r="D55" s="611">
        <v>1</v>
      </c>
      <c r="E55" s="611">
        <v>1</v>
      </c>
      <c r="F55" s="683"/>
      <c r="G55" s="1417" t="s">
        <v>1931</v>
      </c>
    </row>
    <row r="56" spans="1:7" ht="41.25" customHeight="1" x14ac:dyDescent="0.25">
      <c r="A56" s="1437"/>
      <c r="B56" s="453" t="s">
        <v>102</v>
      </c>
      <c r="C56" s="612">
        <v>24</v>
      </c>
      <c r="D56" s="612">
        <v>13.09</v>
      </c>
      <c r="E56" s="612">
        <v>24</v>
      </c>
      <c r="F56" s="684"/>
      <c r="G56" s="1418"/>
    </row>
    <row r="57" spans="1:7" ht="41.25" customHeight="1" x14ac:dyDescent="0.25">
      <c r="A57" s="1437"/>
      <c r="B57" s="448" t="s">
        <v>103</v>
      </c>
      <c r="C57" s="612">
        <v>0</v>
      </c>
      <c r="D57" s="612">
        <v>10.91</v>
      </c>
      <c r="E57" s="612">
        <v>0</v>
      </c>
      <c r="F57" s="684"/>
      <c r="G57" s="1418"/>
    </row>
    <row r="58" spans="1:7" ht="41.25" customHeight="1" thickBot="1" x14ac:dyDescent="0.3">
      <c r="A58" s="1438"/>
      <c r="B58" s="457" t="s">
        <v>104</v>
      </c>
      <c r="C58" s="576">
        <v>0</v>
      </c>
      <c r="D58" s="576">
        <v>0</v>
      </c>
      <c r="E58" s="576">
        <v>0</v>
      </c>
      <c r="F58" s="684"/>
      <c r="G58" s="1419"/>
    </row>
    <row r="59" spans="1:7" ht="70.5" customHeight="1" x14ac:dyDescent="0.25">
      <c r="A59" s="1436">
        <v>44576</v>
      </c>
      <c r="B59" s="122" t="s">
        <v>17</v>
      </c>
      <c r="C59" s="611">
        <v>1</v>
      </c>
      <c r="D59" s="611">
        <v>1</v>
      </c>
      <c r="E59" s="611">
        <v>1</v>
      </c>
      <c r="F59" s="683"/>
      <c r="G59" s="1444" t="s">
        <v>1942</v>
      </c>
    </row>
    <row r="60" spans="1:7" ht="70.5" customHeight="1" x14ac:dyDescent="0.25">
      <c r="A60" s="1437"/>
      <c r="B60" s="115" t="s">
        <v>102</v>
      </c>
      <c r="C60" s="612">
        <v>9.2799999999999994</v>
      </c>
      <c r="D60" s="612">
        <v>11.57</v>
      </c>
      <c r="E60" s="612">
        <v>24</v>
      </c>
      <c r="F60" s="684"/>
      <c r="G60" s="1445"/>
    </row>
    <row r="61" spans="1:7" ht="70.5" customHeight="1" x14ac:dyDescent="0.25">
      <c r="A61" s="1437"/>
      <c r="B61" s="117" t="s">
        <v>103</v>
      </c>
      <c r="C61" s="612">
        <v>14.72</v>
      </c>
      <c r="D61" s="612">
        <v>12.43</v>
      </c>
      <c r="E61" s="612">
        <v>0</v>
      </c>
      <c r="F61" s="684"/>
      <c r="G61" s="1445"/>
    </row>
    <row r="62" spans="1:7" ht="70.5" customHeight="1" thickBot="1" x14ac:dyDescent="0.3">
      <c r="A62" s="1438"/>
      <c r="B62" s="119" t="s">
        <v>104</v>
      </c>
      <c r="C62" s="576">
        <v>0</v>
      </c>
      <c r="D62" s="576">
        <v>0</v>
      </c>
      <c r="E62" s="576">
        <v>0</v>
      </c>
      <c r="F62" s="684"/>
      <c r="G62" s="1446"/>
    </row>
    <row r="63" spans="1:7" ht="57" customHeight="1" x14ac:dyDescent="0.25">
      <c r="A63" s="1436">
        <v>44577</v>
      </c>
      <c r="B63" s="122" t="s">
        <v>17</v>
      </c>
      <c r="C63" s="611">
        <v>1</v>
      </c>
      <c r="D63" s="611">
        <v>1</v>
      </c>
      <c r="E63" s="611">
        <v>1</v>
      </c>
      <c r="F63" s="683"/>
      <c r="G63" s="1417" t="s">
        <v>1959</v>
      </c>
    </row>
    <row r="64" spans="1:7" ht="57" customHeight="1" x14ac:dyDescent="0.25">
      <c r="A64" s="1437"/>
      <c r="B64" s="115" t="s">
        <v>102</v>
      </c>
      <c r="C64" s="612">
        <v>23.97</v>
      </c>
      <c r="D64" s="612">
        <v>17.13</v>
      </c>
      <c r="E64" s="612">
        <v>24</v>
      </c>
      <c r="F64" s="684"/>
      <c r="G64" s="1418"/>
    </row>
    <row r="65" spans="1:7" ht="57" customHeight="1" x14ac:dyDescent="0.25">
      <c r="A65" s="1437"/>
      <c r="B65" s="117" t="s">
        <v>103</v>
      </c>
      <c r="C65" s="612">
        <v>0.03</v>
      </c>
      <c r="D65" s="612">
        <v>6.87</v>
      </c>
      <c r="E65" s="612">
        <v>0</v>
      </c>
      <c r="F65" s="684"/>
      <c r="G65" s="1418"/>
    </row>
    <row r="66" spans="1:7" ht="57" customHeight="1" thickBot="1" x14ac:dyDescent="0.3">
      <c r="A66" s="1438"/>
      <c r="B66" s="119" t="s">
        <v>104</v>
      </c>
      <c r="C66" s="576">
        <v>0</v>
      </c>
      <c r="D66" s="576">
        <v>0</v>
      </c>
      <c r="E66" s="576">
        <v>0</v>
      </c>
      <c r="F66" s="684"/>
      <c r="G66" s="1423"/>
    </row>
    <row r="67" spans="1:7" ht="15.75" customHeight="1" x14ac:dyDescent="0.25">
      <c r="A67" s="1436">
        <v>44578</v>
      </c>
      <c r="B67" s="462" t="s">
        <v>17</v>
      </c>
      <c r="C67" s="450">
        <v>1</v>
      </c>
      <c r="D67" s="611">
        <v>1</v>
      </c>
      <c r="E67" s="611">
        <v>1</v>
      </c>
      <c r="F67" s="683"/>
      <c r="G67" s="1417" t="s">
        <v>1968</v>
      </c>
    </row>
    <row r="68" spans="1:7" ht="15.75" customHeight="1" x14ac:dyDescent="0.25">
      <c r="A68" s="1437"/>
      <c r="B68" s="453" t="s">
        <v>102</v>
      </c>
      <c r="C68" s="455">
        <v>21.13</v>
      </c>
      <c r="D68" s="612">
        <v>19.850000000000001</v>
      </c>
      <c r="E68" s="612">
        <v>24</v>
      </c>
      <c r="F68" s="684"/>
      <c r="G68" s="1418"/>
    </row>
    <row r="69" spans="1:7" ht="15.75" customHeight="1" x14ac:dyDescent="0.25">
      <c r="A69" s="1437"/>
      <c r="B69" s="448" t="s">
        <v>103</v>
      </c>
      <c r="C69" s="455">
        <v>2.87</v>
      </c>
      <c r="D69" s="612">
        <v>4.1500000000000004</v>
      </c>
      <c r="E69" s="612">
        <v>0</v>
      </c>
      <c r="F69" s="684"/>
      <c r="G69" s="1418"/>
    </row>
    <row r="70" spans="1:7" ht="15.75" customHeight="1" thickBot="1" x14ac:dyDescent="0.3">
      <c r="A70" s="1438"/>
      <c r="B70" s="457" t="s">
        <v>104</v>
      </c>
      <c r="C70" s="459">
        <v>0</v>
      </c>
      <c r="D70" s="576">
        <v>0</v>
      </c>
      <c r="E70" s="576">
        <v>0</v>
      </c>
      <c r="F70" s="684"/>
      <c r="G70" s="1423"/>
    </row>
    <row r="71" spans="1:7" ht="15.75" customHeight="1" x14ac:dyDescent="0.25">
      <c r="A71" s="1436">
        <v>44579</v>
      </c>
      <c r="B71" s="462" t="s">
        <v>17</v>
      </c>
      <c r="C71" s="611">
        <v>1</v>
      </c>
      <c r="D71" s="611">
        <v>1</v>
      </c>
      <c r="E71" s="611">
        <v>1</v>
      </c>
      <c r="F71" s="683"/>
      <c r="G71" s="1417"/>
    </row>
    <row r="72" spans="1:7" ht="15.75" customHeight="1" x14ac:dyDescent="0.25">
      <c r="A72" s="1437"/>
      <c r="B72" s="453" t="s">
        <v>102</v>
      </c>
      <c r="C72" s="612">
        <v>22.58</v>
      </c>
      <c r="D72" s="612">
        <v>24</v>
      </c>
      <c r="E72" s="612">
        <v>24</v>
      </c>
      <c r="F72" s="684"/>
      <c r="G72" s="1418"/>
    </row>
    <row r="73" spans="1:7" ht="13.5" customHeight="1" x14ac:dyDescent="0.25">
      <c r="A73" s="1437"/>
      <c r="B73" s="448" t="s">
        <v>103</v>
      </c>
      <c r="C73" s="612">
        <v>1.42</v>
      </c>
      <c r="D73" s="612">
        <v>0</v>
      </c>
      <c r="E73" s="612">
        <v>0</v>
      </c>
      <c r="F73" s="684"/>
      <c r="G73" s="1418"/>
    </row>
    <row r="74" spans="1:7" ht="13.5" customHeight="1" thickBot="1" x14ac:dyDescent="0.3">
      <c r="A74" s="1438"/>
      <c r="B74" s="457" t="s">
        <v>104</v>
      </c>
      <c r="C74" s="576">
        <v>0</v>
      </c>
      <c r="D74" s="576">
        <v>0</v>
      </c>
      <c r="E74" s="576">
        <v>0</v>
      </c>
      <c r="F74" s="684"/>
      <c r="G74" s="1419"/>
    </row>
    <row r="75" spans="1:7" ht="34.5" customHeight="1" x14ac:dyDescent="0.25">
      <c r="A75" s="1436">
        <v>44580</v>
      </c>
      <c r="B75" s="462" t="s">
        <v>17</v>
      </c>
      <c r="C75" s="611">
        <v>1</v>
      </c>
      <c r="D75" s="611">
        <v>1</v>
      </c>
      <c r="E75" s="611">
        <v>1</v>
      </c>
      <c r="F75" s="683"/>
      <c r="G75" s="1417" t="s">
        <v>1989</v>
      </c>
    </row>
    <row r="76" spans="1:7" ht="34.5" customHeight="1" x14ac:dyDescent="0.25">
      <c r="A76" s="1437"/>
      <c r="B76" s="453" t="s">
        <v>102</v>
      </c>
      <c r="C76" s="151">
        <v>14.08</v>
      </c>
      <c r="D76" s="612">
        <v>19.12</v>
      </c>
      <c r="E76" s="612">
        <v>24</v>
      </c>
      <c r="F76" s="684"/>
      <c r="G76" s="1418"/>
    </row>
    <row r="77" spans="1:7" ht="34.5" customHeight="1" x14ac:dyDescent="0.25">
      <c r="A77" s="1437"/>
      <c r="B77" s="448" t="s">
        <v>103</v>
      </c>
      <c r="C77" s="151">
        <v>9.92</v>
      </c>
      <c r="D77" s="612">
        <v>4.88</v>
      </c>
      <c r="E77" s="612">
        <v>0</v>
      </c>
      <c r="F77" s="684"/>
      <c r="G77" s="1418"/>
    </row>
    <row r="78" spans="1:7" ht="34.5" customHeight="1" thickBot="1" x14ac:dyDescent="0.3">
      <c r="A78" s="1438"/>
      <c r="B78" s="457" t="s">
        <v>104</v>
      </c>
      <c r="C78" s="153">
        <v>0</v>
      </c>
      <c r="D78" s="576">
        <v>0</v>
      </c>
      <c r="E78" s="576">
        <v>0</v>
      </c>
      <c r="F78" s="684"/>
      <c r="G78" s="1423"/>
    </row>
    <row r="79" spans="1:7" ht="13.5" customHeight="1" x14ac:dyDescent="0.25">
      <c r="A79" s="1436">
        <v>44581</v>
      </c>
      <c r="B79" s="122" t="s">
        <v>17</v>
      </c>
      <c r="C79" s="611">
        <v>1</v>
      </c>
      <c r="D79" s="611">
        <v>1</v>
      </c>
      <c r="E79" s="611">
        <v>1</v>
      </c>
      <c r="F79" s="683"/>
      <c r="G79" s="1417"/>
    </row>
    <row r="80" spans="1:7" ht="13.5" customHeight="1" x14ac:dyDescent="0.25">
      <c r="A80" s="1437"/>
      <c r="B80" s="115" t="s">
        <v>102</v>
      </c>
      <c r="C80" s="612">
        <v>18.13</v>
      </c>
      <c r="D80" s="612">
        <v>24</v>
      </c>
      <c r="E80" s="612">
        <v>24</v>
      </c>
      <c r="F80" s="684"/>
      <c r="G80" s="1418"/>
    </row>
    <row r="81" spans="1:7" ht="13.5" customHeight="1" x14ac:dyDescent="0.25">
      <c r="A81" s="1437"/>
      <c r="B81" s="117" t="s">
        <v>103</v>
      </c>
      <c r="C81" s="612">
        <v>5.87</v>
      </c>
      <c r="D81" s="612">
        <v>0</v>
      </c>
      <c r="E81" s="612">
        <v>0</v>
      </c>
      <c r="F81" s="684"/>
      <c r="G81" s="1418"/>
    </row>
    <row r="82" spans="1:7" ht="14.25" customHeight="1" thickBot="1" x14ac:dyDescent="0.3">
      <c r="A82" s="1438"/>
      <c r="B82" s="119" t="s">
        <v>104</v>
      </c>
      <c r="C82" s="576">
        <v>0</v>
      </c>
      <c r="D82" s="576">
        <v>0</v>
      </c>
      <c r="E82" s="576">
        <v>0</v>
      </c>
      <c r="F82" s="684"/>
      <c r="G82" s="1423"/>
    </row>
    <row r="83" spans="1:7" ht="22.5" customHeight="1" x14ac:dyDescent="0.25">
      <c r="A83" s="1436">
        <v>44582</v>
      </c>
      <c r="B83" s="122" t="s">
        <v>17</v>
      </c>
      <c r="C83" s="150">
        <v>1</v>
      </c>
      <c r="D83" s="611">
        <v>1</v>
      </c>
      <c r="E83" s="611">
        <v>1</v>
      </c>
      <c r="F83" s="683"/>
      <c r="G83" s="1417" t="s">
        <v>1999</v>
      </c>
    </row>
    <row r="84" spans="1:7" ht="22.5" customHeight="1" x14ac:dyDescent="0.25">
      <c r="A84" s="1437"/>
      <c r="B84" s="115" t="s">
        <v>102</v>
      </c>
      <c r="C84" s="151">
        <v>0</v>
      </c>
      <c r="D84" s="612">
        <v>24</v>
      </c>
      <c r="E84" s="612">
        <v>24</v>
      </c>
      <c r="F84" s="684"/>
      <c r="G84" s="1418"/>
    </row>
    <row r="85" spans="1:7" ht="22.5" customHeight="1" x14ac:dyDescent="0.25">
      <c r="A85" s="1437"/>
      <c r="B85" s="117" t="s">
        <v>103</v>
      </c>
      <c r="C85" s="151">
        <v>24</v>
      </c>
      <c r="D85" s="612">
        <v>0</v>
      </c>
      <c r="E85" s="612">
        <v>0</v>
      </c>
      <c r="F85" s="684"/>
      <c r="G85" s="1418"/>
    </row>
    <row r="86" spans="1:7" ht="22.5" customHeight="1" thickBot="1" x14ac:dyDescent="0.3">
      <c r="A86" s="1438"/>
      <c r="B86" s="119" t="s">
        <v>104</v>
      </c>
      <c r="C86" s="151">
        <v>0</v>
      </c>
      <c r="D86" s="576">
        <v>0</v>
      </c>
      <c r="E86" s="576">
        <v>0</v>
      </c>
      <c r="F86" s="684"/>
      <c r="G86" s="1423"/>
    </row>
    <row r="87" spans="1:7" ht="57" customHeight="1" x14ac:dyDescent="0.25">
      <c r="A87" s="1436">
        <v>44583</v>
      </c>
      <c r="B87" s="462" t="s">
        <v>17</v>
      </c>
      <c r="C87" s="150">
        <v>1</v>
      </c>
      <c r="D87" s="611">
        <v>1</v>
      </c>
      <c r="E87" s="644">
        <v>1</v>
      </c>
      <c r="F87" s="150">
        <v>1</v>
      </c>
      <c r="G87" s="1439" t="s">
        <v>2007</v>
      </c>
    </row>
    <row r="88" spans="1:7" ht="57" customHeight="1" x14ac:dyDescent="0.25">
      <c r="A88" s="1437"/>
      <c r="B88" s="453" t="s">
        <v>102</v>
      </c>
      <c r="C88" s="151">
        <v>0</v>
      </c>
      <c r="D88" s="612">
        <v>24</v>
      </c>
      <c r="E88" s="645">
        <v>24</v>
      </c>
      <c r="F88" s="151">
        <v>14.34</v>
      </c>
      <c r="G88" s="1440"/>
    </row>
    <row r="89" spans="1:7" ht="57" customHeight="1" x14ac:dyDescent="0.25">
      <c r="A89" s="1437"/>
      <c r="B89" s="448" t="s">
        <v>103</v>
      </c>
      <c r="C89" s="151">
        <v>24</v>
      </c>
      <c r="D89" s="612">
        <v>0</v>
      </c>
      <c r="E89" s="645">
        <v>0</v>
      </c>
      <c r="F89" s="151">
        <v>0</v>
      </c>
      <c r="G89" s="1440"/>
    </row>
    <row r="90" spans="1:7" ht="57" customHeight="1" thickBot="1" x14ac:dyDescent="0.3">
      <c r="A90" s="1438"/>
      <c r="B90" s="457" t="s">
        <v>104</v>
      </c>
      <c r="C90" s="151">
        <v>0</v>
      </c>
      <c r="D90" s="576">
        <v>0</v>
      </c>
      <c r="E90" s="646">
        <v>0</v>
      </c>
      <c r="F90" s="260">
        <v>0</v>
      </c>
      <c r="G90" s="1441"/>
    </row>
    <row r="91" spans="1:7" ht="14.25" customHeight="1" x14ac:dyDescent="0.25">
      <c r="A91" s="1436">
        <v>44584</v>
      </c>
      <c r="B91" s="462" t="s">
        <v>17</v>
      </c>
      <c r="C91" s="150">
        <v>1</v>
      </c>
      <c r="D91" s="611">
        <v>1</v>
      </c>
      <c r="E91" s="611">
        <v>1</v>
      </c>
      <c r="F91" s="611">
        <v>1</v>
      </c>
      <c r="G91" s="1417"/>
    </row>
    <row r="92" spans="1:7" ht="14.25" customHeight="1" x14ac:dyDescent="0.25">
      <c r="A92" s="1437"/>
      <c r="B92" s="453" t="s">
        <v>102</v>
      </c>
      <c r="C92" s="151">
        <v>0</v>
      </c>
      <c r="D92" s="612">
        <v>24</v>
      </c>
      <c r="E92" s="612">
        <v>24</v>
      </c>
      <c r="F92" s="612">
        <v>24</v>
      </c>
      <c r="G92" s="1418"/>
    </row>
    <row r="93" spans="1:7" ht="14.25" customHeight="1" x14ac:dyDescent="0.25">
      <c r="A93" s="1437"/>
      <c r="B93" s="448" t="s">
        <v>103</v>
      </c>
      <c r="C93" s="151">
        <v>24</v>
      </c>
      <c r="D93" s="612">
        <v>0</v>
      </c>
      <c r="E93" s="612">
        <v>0</v>
      </c>
      <c r="F93" s="612">
        <v>0</v>
      </c>
      <c r="G93" s="1418"/>
    </row>
    <row r="94" spans="1:7" ht="14.25" customHeight="1" thickBot="1" x14ac:dyDescent="0.3">
      <c r="A94" s="1438"/>
      <c r="B94" s="457" t="s">
        <v>104</v>
      </c>
      <c r="C94" s="151">
        <v>0</v>
      </c>
      <c r="D94" s="576">
        <v>0</v>
      </c>
      <c r="E94" s="576">
        <v>0</v>
      </c>
      <c r="F94" s="576">
        <v>0</v>
      </c>
      <c r="G94" s="1423"/>
    </row>
    <row r="95" spans="1:7" ht="14.25" customHeight="1" x14ac:dyDescent="0.25">
      <c r="A95" s="1436">
        <v>44585</v>
      </c>
      <c r="B95" s="462" t="s">
        <v>17</v>
      </c>
      <c r="C95" s="150">
        <v>1</v>
      </c>
      <c r="D95" s="611">
        <v>1</v>
      </c>
      <c r="E95" s="611">
        <v>1</v>
      </c>
      <c r="F95" s="611">
        <v>1</v>
      </c>
      <c r="G95" s="1417" t="s">
        <v>2026</v>
      </c>
    </row>
    <row r="96" spans="1:7" ht="14.25" customHeight="1" x14ac:dyDescent="0.25">
      <c r="A96" s="1437"/>
      <c r="B96" s="453" t="s">
        <v>102</v>
      </c>
      <c r="C96" s="151">
        <v>15.38</v>
      </c>
      <c r="D96" s="612">
        <v>24</v>
      </c>
      <c r="E96" s="612">
        <v>24</v>
      </c>
      <c r="F96" s="612">
        <v>24</v>
      </c>
      <c r="G96" s="1418"/>
    </row>
    <row r="97" spans="1:7" ht="14.25" customHeight="1" x14ac:dyDescent="0.25">
      <c r="A97" s="1437"/>
      <c r="B97" s="448" t="s">
        <v>103</v>
      </c>
      <c r="C97" s="151">
        <v>8.6199999999999992</v>
      </c>
      <c r="D97" s="612">
        <v>0</v>
      </c>
      <c r="E97" s="612">
        <v>0</v>
      </c>
      <c r="F97" s="612">
        <v>0</v>
      </c>
      <c r="G97" s="1418"/>
    </row>
    <row r="98" spans="1:7" ht="14.25" customHeight="1" thickBot="1" x14ac:dyDescent="0.3">
      <c r="A98" s="1438"/>
      <c r="B98" s="457" t="s">
        <v>104</v>
      </c>
      <c r="C98" s="151">
        <v>0</v>
      </c>
      <c r="D98" s="576">
        <v>0</v>
      </c>
      <c r="E98" s="576">
        <v>0</v>
      </c>
      <c r="F98" s="576">
        <v>0</v>
      </c>
      <c r="G98" s="1423"/>
    </row>
    <row r="99" spans="1:7" ht="14.25" customHeight="1" x14ac:dyDescent="0.25">
      <c r="A99" s="1436">
        <v>44586</v>
      </c>
      <c r="B99" s="462" t="s">
        <v>17</v>
      </c>
      <c r="C99" s="450">
        <v>1</v>
      </c>
      <c r="D99" s="611">
        <v>1</v>
      </c>
      <c r="E99" s="611">
        <v>1</v>
      </c>
      <c r="F99" s="611">
        <v>1</v>
      </c>
      <c r="G99" s="1417" t="s">
        <v>2034</v>
      </c>
    </row>
    <row r="100" spans="1:7" ht="14.25" customHeight="1" x14ac:dyDescent="0.25">
      <c r="A100" s="1437"/>
      <c r="B100" s="453" t="s">
        <v>102</v>
      </c>
      <c r="C100" s="455">
        <v>12.5</v>
      </c>
      <c r="D100" s="612">
        <v>22.13</v>
      </c>
      <c r="E100" s="612">
        <v>24</v>
      </c>
      <c r="F100" s="612">
        <v>24</v>
      </c>
      <c r="G100" s="1418"/>
    </row>
    <row r="101" spans="1:7" ht="14.25" customHeight="1" x14ac:dyDescent="0.25">
      <c r="A101" s="1437"/>
      <c r="B101" s="448" t="s">
        <v>103</v>
      </c>
      <c r="C101" s="455">
        <v>11.5</v>
      </c>
      <c r="D101" s="612">
        <v>1.87</v>
      </c>
      <c r="E101" s="612">
        <v>0</v>
      </c>
      <c r="F101" s="612">
        <v>0</v>
      </c>
      <c r="G101" s="1418"/>
    </row>
    <row r="102" spans="1:7" ht="14.25" customHeight="1" thickBot="1" x14ac:dyDescent="0.3">
      <c r="A102" s="1438"/>
      <c r="B102" s="457" t="s">
        <v>104</v>
      </c>
      <c r="C102" s="459">
        <v>0</v>
      </c>
      <c r="D102" s="576">
        <v>0</v>
      </c>
      <c r="E102" s="576">
        <v>0</v>
      </c>
      <c r="F102" s="576">
        <v>0</v>
      </c>
      <c r="G102" s="1423"/>
    </row>
    <row r="103" spans="1:7" ht="17.25" customHeight="1" x14ac:dyDescent="0.25">
      <c r="A103" s="1436">
        <v>44587</v>
      </c>
      <c r="B103" s="462" t="s">
        <v>17</v>
      </c>
      <c r="C103" s="450">
        <v>1</v>
      </c>
      <c r="D103" s="611">
        <v>1</v>
      </c>
      <c r="E103" s="611">
        <v>1</v>
      </c>
      <c r="F103" s="611">
        <v>1</v>
      </c>
      <c r="G103" s="1417" t="s">
        <v>2049</v>
      </c>
    </row>
    <row r="104" spans="1:7" ht="21.75" customHeight="1" x14ac:dyDescent="0.25">
      <c r="A104" s="1437"/>
      <c r="B104" s="448" t="s">
        <v>102</v>
      </c>
      <c r="C104" s="455">
        <v>24</v>
      </c>
      <c r="D104" s="612">
        <v>16.55</v>
      </c>
      <c r="E104" s="612">
        <v>24</v>
      </c>
      <c r="F104" s="612">
        <v>24</v>
      </c>
      <c r="G104" s="1418"/>
    </row>
    <row r="105" spans="1:7" ht="21.75" customHeight="1" x14ac:dyDescent="0.25">
      <c r="A105" s="1437"/>
      <c r="B105" s="448" t="s">
        <v>103</v>
      </c>
      <c r="C105" s="455">
        <v>0</v>
      </c>
      <c r="D105" s="612">
        <v>7.45</v>
      </c>
      <c r="E105" s="612">
        <v>0</v>
      </c>
      <c r="F105" s="612">
        <v>0</v>
      </c>
      <c r="G105" s="1418"/>
    </row>
    <row r="106" spans="1:7" ht="21.75" customHeight="1" thickBot="1" x14ac:dyDescent="0.3">
      <c r="A106" s="1438"/>
      <c r="B106" s="457" t="s">
        <v>104</v>
      </c>
      <c r="C106" s="459">
        <v>0</v>
      </c>
      <c r="D106" s="576">
        <v>0</v>
      </c>
      <c r="E106" s="576">
        <v>0</v>
      </c>
      <c r="F106" s="576">
        <v>0</v>
      </c>
      <c r="G106" s="1423"/>
    </row>
    <row r="107" spans="1:7" ht="14.25" customHeight="1" x14ac:dyDescent="0.25">
      <c r="A107" s="1436">
        <v>44588</v>
      </c>
      <c r="B107" s="446" t="s">
        <v>17</v>
      </c>
      <c r="C107" s="450">
        <v>1</v>
      </c>
      <c r="D107" s="450">
        <v>1</v>
      </c>
      <c r="E107" s="611">
        <v>1</v>
      </c>
      <c r="F107" s="611">
        <v>1</v>
      </c>
      <c r="G107" s="1417"/>
    </row>
    <row r="108" spans="1:7" ht="13.5" customHeight="1" x14ac:dyDescent="0.25">
      <c r="A108" s="1437"/>
      <c r="B108" s="448" t="s">
        <v>102</v>
      </c>
      <c r="C108" s="455">
        <v>24</v>
      </c>
      <c r="D108" s="455">
        <v>24</v>
      </c>
      <c r="E108" s="612">
        <v>24</v>
      </c>
      <c r="F108" s="612">
        <v>24</v>
      </c>
      <c r="G108" s="1418"/>
    </row>
    <row r="109" spans="1:7" ht="13.5" customHeight="1" x14ac:dyDescent="0.25">
      <c r="A109" s="1437"/>
      <c r="B109" s="448" t="s">
        <v>103</v>
      </c>
      <c r="C109" s="455">
        <v>0</v>
      </c>
      <c r="D109" s="455">
        <v>0</v>
      </c>
      <c r="E109" s="612">
        <v>0</v>
      </c>
      <c r="F109" s="612">
        <v>0</v>
      </c>
      <c r="G109" s="1418"/>
    </row>
    <row r="110" spans="1:7" ht="13.5" customHeight="1" thickBot="1" x14ac:dyDescent="0.3">
      <c r="A110" s="1438"/>
      <c r="B110" s="457" t="s">
        <v>104</v>
      </c>
      <c r="C110" s="459">
        <v>0</v>
      </c>
      <c r="D110" s="459">
        <v>0</v>
      </c>
      <c r="E110" s="576">
        <v>0</v>
      </c>
      <c r="F110" s="576">
        <v>0</v>
      </c>
      <c r="G110" s="1423"/>
    </row>
    <row r="111" spans="1:7" ht="13.5" customHeight="1" x14ac:dyDescent="0.25">
      <c r="A111" s="1436">
        <v>44589</v>
      </c>
      <c r="B111" s="446" t="s">
        <v>17</v>
      </c>
      <c r="C111" s="450">
        <v>1</v>
      </c>
      <c r="D111" s="450">
        <v>1</v>
      </c>
      <c r="E111" s="611">
        <v>1</v>
      </c>
      <c r="F111" s="611">
        <v>1</v>
      </c>
      <c r="G111" s="1417"/>
    </row>
    <row r="112" spans="1:7" ht="13.5" customHeight="1" x14ac:dyDescent="0.25">
      <c r="A112" s="1437"/>
      <c r="B112" s="448" t="s">
        <v>102</v>
      </c>
      <c r="C112" s="455">
        <v>24</v>
      </c>
      <c r="D112" s="455">
        <v>24</v>
      </c>
      <c r="E112" s="612">
        <v>24</v>
      </c>
      <c r="F112" s="612">
        <v>24</v>
      </c>
      <c r="G112" s="1418"/>
    </row>
    <row r="113" spans="1:7" ht="13.5" customHeight="1" x14ac:dyDescent="0.25">
      <c r="A113" s="1437"/>
      <c r="B113" s="448" t="s">
        <v>103</v>
      </c>
      <c r="C113" s="455">
        <v>0</v>
      </c>
      <c r="D113" s="455">
        <v>0</v>
      </c>
      <c r="E113" s="612">
        <v>0</v>
      </c>
      <c r="F113" s="612">
        <v>0</v>
      </c>
      <c r="G113" s="1418"/>
    </row>
    <row r="114" spans="1:7" ht="13.5" customHeight="1" thickBot="1" x14ac:dyDescent="0.3">
      <c r="A114" s="1438"/>
      <c r="B114" s="457" t="s">
        <v>104</v>
      </c>
      <c r="C114" s="459">
        <v>0</v>
      </c>
      <c r="D114" s="459">
        <v>0</v>
      </c>
      <c r="E114" s="576">
        <v>0</v>
      </c>
      <c r="F114" s="576">
        <v>0</v>
      </c>
      <c r="G114" s="1423"/>
    </row>
    <row r="115" spans="1:7" ht="13.5" customHeight="1" x14ac:dyDescent="0.25">
      <c r="A115" s="1436">
        <v>44590</v>
      </c>
      <c r="B115" s="462" t="s">
        <v>17</v>
      </c>
      <c r="C115" s="450">
        <v>1</v>
      </c>
      <c r="D115" s="450">
        <v>1</v>
      </c>
      <c r="E115" s="611">
        <v>1</v>
      </c>
      <c r="F115" s="611">
        <v>1</v>
      </c>
      <c r="G115" s="1417" t="s">
        <v>2079</v>
      </c>
    </row>
    <row r="116" spans="1:7" ht="13.5" customHeight="1" x14ac:dyDescent="0.25">
      <c r="A116" s="1437"/>
      <c r="B116" s="448" t="s">
        <v>102</v>
      </c>
      <c r="C116" s="455">
        <v>4.5</v>
      </c>
      <c r="D116" s="455">
        <v>22.58</v>
      </c>
      <c r="E116" s="612">
        <v>24</v>
      </c>
      <c r="F116" s="612">
        <v>24</v>
      </c>
      <c r="G116" s="1418"/>
    </row>
    <row r="117" spans="1:7" ht="13.5" customHeight="1" x14ac:dyDescent="0.25">
      <c r="A117" s="1437"/>
      <c r="B117" s="448" t="s">
        <v>103</v>
      </c>
      <c r="C117" s="455">
        <v>19.5</v>
      </c>
      <c r="D117" s="455">
        <v>1.42</v>
      </c>
      <c r="E117" s="612">
        <v>0</v>
      </c>
      <c r="F117" s="612">
        <v>0</v>
      </c>
      <c r="G117" s="1418"/>
    </row>
    <row r="118" spans="1:7" ht="67.5" customHeight="1" thickBot="1" x14ac:dyDescent="0.3">
      <c r="A118" s="1438"/>
      <c r="B118" s="457" t="s">
        <v>104</v>
      </c>
      <c r="C118" s="459">
        <v>0</v>
      </c>
      <c r="D118" s="459">
        <v>0</v>
      </c>
      <c r="E118" s="576">
        <v>0</v>
      </c>
      <c r="F118" s="576">
        <v>0</v>
      </c>
      <c r="G118" s="1423"/>
    </row>
    <row r="119" spans="1:7" ht="13.5" customHeight="1" x14ac:dyDescent="0.25">
      <c r="A119" s="1436">
        <v>44591</v>
      </c>
      <c r="B119" s="446" t="s">
        <v>17</v>
      </c>
      <c r="C119" s="450">
        <v>1</v>
      </c>
      <c r="D119" s="450">
        <v>1</v>
      </c>
      <c r="E119" s="611">
        <v>1</v>
      </c>
      <c r="F119" s="611">
        <v>1</v>
      </c>
      <c r="G119" s="1417"/>
    </row>
    <row r="120" spans="1:7" ht="13.5" customHeight="1" x14ac:dyDescent="0.25">
      <c r="A120" s="1437"/>
      <c r="B120" s="448" t="s">
        <v>102</v>
      </c>
      <c r="C120" s="455">
        <v>0</v>
      </c>
      <c r="D120" s="455">
        <v>24</v>
      </c>
      <c r="E120" s="612">
        <v>24</v>
      </c>
      <c r="F120" s="612">
        <v>24</v>
      </c>
      <c r="G120" s="1418"/>
    </row>
    <row r="121" spans="1:7" ht="13.5" customHeight="1" x14ac:dyDescent="0.25">
      <c r="A121" s="1437"/>
      <c r="B121" s="448" t="s">
        <v>103</v>
      </c>
      <c r="C121" s="455">
        <v>24</v>
      </c>
      <c r="D121" s="455">
        <v>0</v>
      </c>
      <c r="E121" s="612">
        <v>0</v>
      </c>
      <c r="F121" s="612">
        <v>0</v>
      </c>
      <c r="G121" s="1418"/>
    </row>
    <row r="122" spans="1:7" ht="13.5" customHeight="1" thickBot="1" x14ac:dyDescent="0.3">
      <c r="A122" s="1438"/>
      <c r="B122" s="457" t="s">
        <v>104</v>
      </c>
      <c r="C122" s="459">
        <v>0</v>
      </c>
      <c r="D122" s="459">
        <v>0</v>
      </c>
      <c r="E122" s="576">
        <v>0</v>
      </c>
      <c r="F122" s="576">
        <v>0</v>
      </c>
      <c r="G122" s="1423"/>
    </row>
    <row r="123" spans="1:7" ht="13.5" customHeight="1" x14ac:dyDescent="0.25">
      <c r="A123" s="1436">
        <v>44592</v>
      </c>
      <c r="B123" s="446" t="s">
        <v>17</v>
      </c>
      <c r="C123" s="450">
        <v>1</v>
      </c>
      <c r="D123" s="450">
        <v>1</v>
      </c>
      <c r="E123" s="611">
        <v>1</v>
      </c>
      <c r="F123" s="611">
        <v>1</v>
      </c>
      <c r="G123" s="1417" t="s">
        <v>2091</v>
      </c>
    </row>
    <row r="124" spans="1:7" ht="36" customHeight="1" x14ac:dyDescent="0.25">
      <c r="A124" s="1437"/>
      <c r="B124" s="448" t="s">
        <v>102</v>
      </c>
      <c r="C124" s="455">
        <v>20.25</v>
      </c>
      <c r="D124" s="455">
        <v>17.670000000000002</v>
      </c>
      <c r="E124" s="612">
        <v>21.83</v>
      </c>
      <c r="F124" s="612">
        <v>24</v>
      </c>
      <c r="G124" s="1418"/>
    </row>
    <row r="125" spans="1:7" ht="30" customHeight="1" x14ac:dyDescent="0.25">
      <c r="A125" s="1437"/>
      <c r="B125" s="448" t="s">
        <v>103</v>
      </c>
      <c r="C125" s="455">
        <v>3.75</v>
      </c>
      <c r="D125" s="455">
        <v>6.33</v>
      </c>
      <c r="E125" s="612">
        <v>2.17</v>
      </c>
      <c r="F125" s="612">
        <v>0</v>
      </c>
      <c r="G125" s="1418"/>
    </row>
    <row r="126" spans="1:7" ht="71.25" customHeight="1" thickBot="1" x14ac:dyDescent="0.3">
      <c r="A126" s="1438"/>
      <c r="B126" s="457" t="s">
        <v>104</v>
      </c>
      <c r="C126" s="459">
        <v>0</v>
      </c>
      <c r="D126" s="459">
        <v>0</v>
      </c>
      <c r="E126" s="576">
        <v>0</v>
      </c>
      <c r="F126" s="576">
        <v>0</v>
      </c>
      <c r="G126" s="1423"/>
    </row>
    <row r="127" spans="1:7" x14ac:dyDescent="0.25">
      <c r="A127" s="464" t="s">
        <v>1671</v>
      </c>
      <c r="B127" s="465"/>
      <c r="C127" s="466">
        <f t="shared" ref="C127:E129" si="0">SUM(C124,C120,C116,C112,C108,C104,C100,C96,C92,C88,C84,C80,C76,C72,C68,C64,C60,C56,C52,C48,C44,C40,C36,C32,C28,C24,C20,C16,C12,C8,C4)</f>
        <v>513.48</v>
      </c>
      <c r="D127" s="466">
        <f t="shared" si="0"/>
        <v>663.86</v>
      </c>
      <c r="E127" s="467">
        <f t="shared" si="0"/>
        <v>658.55</v>
      </c>
      <c r="F127" s="467">
        <f t="shared" ref="F127" si="1">SUM(F124,F120,F116,F112,F108,F104,F100,F96,F92,F88,F84,F80,F76,F72,F68,F64,F60,F56,F52,F48,F44,F40,F36,F32,F28,F24,F20,F16,F12,F8,F4)</f>
        <v>230.34</v>
      </c>
      <c r="G127" s="468"/>
    </row>
    <row r="128" spans="1:7" x14ac:dyDescent="0.25">
      <c r="A128" s="641" t="s">
        <v>1670</v>
      </c>
      <c r="B128" s="134"/>
      <c r="C128" s="469">
        <f t="shared" si="0"/>
        <v>230.51999999999998</v>
      </c>
      <c r="D128" s="469">
        <f t="shared" si="0"/>
        <v>80.14</v>
      </c>
      <c r="E128" s="470">
        <f t="shared" si="0"/>
        <v>85.45</v>
      </c>
      <c r="F128" s="470">
        <f t="shared" ref="F128" si="2">SUM(F125,F121,F117,F113,F109,F105,F101,F97,F93,F89,F85,F81,F77,F73,F69,F65,F61,F57,F53,F49,F45,F41,F37,F33,F29,F25,F21,F17,F13,F9,F5)</f>
        <v>0</v>
      </c>
      <c r="G128" s="471"/>
    </row>
    <row r="129" spans="1:7" ht="15.75" thickBot="1" x14ac:dyDescent="0.3">
      <c r="A129" s="642" t="s">
        <v>1672</v>
      </c>
      <c r="B129" s="472"/>
      <c r="C129" s="473">
        <f t="shared" si="0"/>
        <v>0</v>
      </c>
      <c r="D129" s="473">
        <f t="shared" si="0"/>
        <v>0</v>
      </c>
      <c r="E129" s="474">
        <f t="shared" si="0"/>
        <v>0</v>
      </c>
      <c r="F129" s="474">
        <f t="shared" ref="F129" si="3">SUM(F126,F122,F118,F114,F110,F106,F102,F98,F94,F90,F86,F82,F78,F74,F70,F66,F62,F58,F54,F50,F46,F42,F38,F34,F30,F26,F22,F18,F14,F10,F6)</f>
        <v>0</v>
      </c>
      <c r="G129" s="475"/>
    </row>
    <row r="130" spans="1:7" ht="15.75" thickBot="1" x14ac:dyDescent="0.3">
      <c r="A130" s="476" t="s">
        <v>108</v>
      </c>
      <c r="B130" s="477"/>
      <c r="C130" s="478"/>
      <c r="D130" s="478"/>
      <c r="E130" s="478"/>
      <c r="F130" s="478"/>
      <c r="G130" s="141"/>
    </row>
  </sheetData>
  <mergeCells count="59">
    <mergeCell ref="A1:G1"/>
    <mergeCell ref="A3:A6"/>
    <mergeCell ref="G3:G6"/>
    <mergeCell ref="A7:A10"/>
    <mergeCell ref="A15:A18"/>
    <mergeCell ref="A19:A22"/>
    <mergeCell ref="A23:A26"/>
    <mergeCell ref="G7:G26"/>
    <mergeCell ref="A11:A14"/>
    <mergeCell ref="A27:A30"/>
    <mergeCell ref="G27:G30"/>
    <mergeCell ref="A31:A34"/>
    <mergeCell ref="G31:G34"/>
    <mergeCell ref="A35:A38"/>
    <mergeCell ref="G35:G38"/>
    <mergeCell ref="A39:A42"/>
    <mergeCell ref="G39:G42"/>
    <mergeCell ref="A43:A46"/>
    <mergeCell ref="G43:G46"/>
    <mergeCell ref="A47:A50"/>
    <mergeCell ref="G47:G50"/>
    <mergeCell ref="A51:A54"/>
    <mergeCell ref="G51:G54"/>
    <mergeCell ref="A55:A58"/>
    <mergeCell ref="G55:G58"/>
    <mergeCell ref="A59:A62"/>
    <mergeCell ref="G59:G62"/>
    <mergeCell ref="A63:A66"/>
    <mergeCell ref="G63:G66"/>
    <mergeCell ref="A67:A70"/>
    <mergeCell ref="G67:G70"/>
    <mergeCell ref="A71:A74"/>
    <mergeCell ref="G71:G74"/>
    <mergeCell ref="A75:A78"/>
    <mergeCell ref="G75:G78"/>
    <mergeCell ref="A79:A82"/>
    <mergeCell ref="G79:G82"/>
    <mergeCell ref="A83:A86"/>
    <mergeCell ref="G83:G86"/>
    <mergeCell ref="A87:A90"/>
    <mergeCell ref="G87:G90"/>
    <mergeCell ref="A91:A94"/>
    <mergeCell ref="G91:G94"/>
    <mergeCell ref="A95:A98"/>
    <mergeCell ref="G95:G98"/>
    <mergeCell ref="A99:A102"/>
    <mergeCell ref="G99:G102"/>
    <mergeCell ref="A103:A106"/>
    <mergeCell ref="G103:G106"/>
    <mergeCell ref="A107:A110"/>
    <mergeCell ref="G107:G110"/>
    <mergeCell ref="A111:A114"/>
    <mergeCell ref="G111:G114"/>
    <mergeCell ref="A115:A118"/>
    <mergeCell ref="A119:A122"/>
    <mergeCell ref="A123:A126"/>
    <mergeCell ref="G123:G126"/>
    <mergeCell ref="G115:G118"/>
    <mergeCell ref="G119:G12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G118"/>
  <sheetViews>
    <sheetView workbookViewId="0">
      <pane ySplit="2" topLeftCell="A104" activePane="bottomLeft" state="frozen"/>
      <selection pane="bottomLeft" activeCell="G111" sqref="G111:G114"/>
    </sheetView>
  </sheetViews>
  <sheetFormatPr defaultRowHeight="15" x14ac:dyDescent="0.25"/>
  <cols>
    <col min="1" max="1" width="47.7109375" customWidth="1"/>
    <col min="2" max="2" width="25" customWidth="1"/>
    <col min="4" max="4" width="9.140625" style="1"/>
    <col min="7" max="7" width="54.7109375" customWidth="1"/>
  </cols>
  <sheetData>
    <row r="1" spans="1:7" ht="21.75" thickBot="1" x14ac:dyDescent="0.4">
      <c r="A1" s="1443" t="s">
        <v>73</v>
      </c>
      <c r="B1" s="1443"/>
      <c r="C1" s="1443"/>
      <c r="D1" s="1443"/>
      <c r="E1" s="1443"/>
      <c r="F1" s="1443"/>
      <c r="G1" s="1443"/>
    </row>
    <row r="2" spans="1:7" ht="16.5" thickBot="1" x14ac:dyDescent="0.3">
      <c r="A2" s="108" t="s">
        <v>98</v>
      </c>
      <c r="B2" s="608"/>
      <c r="C2" s="607" t="s">
        <v>310</v>
      </c>
      <c r="D2" s="607" t="s">
        <v>239</v>
      </c>
      <c r="E2" s="447" t="s">
        <v>100</v>
      </c>
      <c r="F2" s="682" t="s">
        <v>157</v>
      </c>
      <c r="G2" s="111" t="s">
        <v>101</v>
      </c>
    </row>
    <row r="3" spans="1:7" ht="13.5" customHeight="1" x14ac:dyDescent="0.25">
      <c r="A3" s="1436">
        <v>44593</v>
      </c>
      <c r="B3" s="453" t="s">
        <v>17</v>
      </c>
      <c r="C3" s="611">
        <v>1</v>
      </c>
      <c r="D3" s="571">
        <v>1</v>
      </c>
      <c r="E3" s="611">
        <v>1</v>
      </c>
      <c r="F3" s="611">
        <v>1</v>
      </c>
      <c r="G3" s="1417" t="s">
        <v>2104</v>
      </c>
    </row>
    <row r="4" spans="1:7" ht="13.5" customHeight="1" x14ac:dyDescent="0.25">
      <c r="A4" s="1437"/>
      <c r="B4" s="453" t="s">
        <v>102</v>
      </c>
      <c r="C4" s="612">
        <f>24-C5-C6</f>
        <v>22.92</v>
      </c>
      <c r="D4" s="612">
        <f>24-D5-D6</f>
        <v>24</v>
      </c>
      <c r="E4" s="612">
        <f>24-E5-E6</f>
        <v>24</v>
      </c>
      <c r="F4" s="612">
        <f>24-F5-F6</f>
        <v>24</v>
      </c>
      <c r="G4" s="1418"/>
    </row>
    <row r="5" spans="1:7" ht="13.5" customHeight="1" x14ac:dyDescent="0.25">
      <c r="A5" s="1437"/>
      <c r="B5" s="448" t="s">
        <v>103</v>
      </c>
      <c r="C5" s="612">
        <v>1.08</v>
      </c>
      <c r="D5" s="612">
        <v>0</v>
      </c>
      <c r="E5" s="612">
        <v>0</v>
      </c>
      <c r="F5" s="612">
        <v>0</v>
      </c>
      <c r="G5" s="1418"/>
    </row>
    <row r="6" spans="1:7" ht="30.75" customHeight="1" thickBot="1" x14ac:dyDescent="0.3">
      <c r="A6" s="1438"/>
      <c r="B6" s="457" t="s">
        <v>104</v>
      </c>
      <c r="C6" s="576">
        <v>0</v>
      </c>
      <c r="D6" s="576">
        <v>0</v>
      </c>
      <c r="E6" s="576">
        <v>0</v>
      </c>
      <c r="F6" s="576">
        <v>0</v>
      </c>
      <c r="G6" s="1423"/>
    </row>
    <row r="7" spans="1:7" ht="13.5" customHeight="1" x14ac:dyDescent="0.25">
      <c r="A7" s="1436">
        <v>44594</v>
      </c>
      <c r="B7" s="453" t="s">
        <v>17</v>
      </c>
      <c r="C7" s="450">
        <v>1</v>
      </c>
      <c r="D7" s="571">
        <v>1</v>
      </c>
      <c r="E7" s="611">
        <v>1</v>
      </c>
      <c r="F7" s="611">
        <v>1</v>
      </c>
      <c r="G7" s="1417"/>
    </row>
    <row r="8" spans="1:7" ht="13.5" customHeight="1" x14ac:dyDescent="0.25">
      <c r="A8" s="1437"/>
      <c r="B8" s="453" t="s">
        <v>102</v>
      </c>
      <c r="C8" s="612">
        <f>24-C9-C10</f>
        <v>0</v>
      </c>
      <c r="D8" s="612">
        <f>24-D9-D10</f>
        <v>24</v>
      </c>
      <c r="E8" s="612">
        <f>24-E9-E10</f>
        <v>24</v>
      </c>
      <c r="F8" s="612">
        <f>24-F9-F10</f>
        <v>24</v>
      </c>
      <c r="G8" s="1418"/>
    </row>
    <row r="9" spans="1:7" ht="13.5" customHeight="1" x14ac:dyDescent="0.25">
      <c r="A9" s="1437"/>
      <c r="B9" s="448" t="s">
        <v>103</v>
      </c>
      <c r="C9" s="612">
        <v>24</v>
      </c>
      <c r="D9" s="612">
        <v>0</v>
      </c>
      <c r="E9" s="612">
        <v>0</v>
      </c>
      <c r="F9" s="612">
        <v>0</v>
      </c>
      <c r="G9" s="1418"/>
    </row>
    <row r="10" spans="1:7" ht="13.5" customHeight="1" thickBot="1" x14ac:dyDescent="0.3">
      <c r="A10" s="1438"/>
      <c r="B10" s="457" t="s">
        <v>104</v>
      </c>
      <c r="C10" s="576">
        <v>0</v>
      </c>
      <c r="D10" s="576">
        <v>0</v>
      </c>
      <c r="E10" s="576">
        <v>0</v>
      </c>
      <c r="F10" s="576">
        <v>0</v>
      </c>
      <c r="G10" s="1423"/>
    </row>
    <row r="11" spans="1:7" ht="13.5" customHeight="1" x14ac:dyDescent="0.25">
      <c r="A11" s="1436">
        <v>44595</v>
      </c>
      <c r="B11" s="453" t="s">
        <v>17</v>
      </c>
      <c r="C11" s="450">
        <v>1</v>
      </c>
      <c r="D11" s="571">
        <v>1</v>
      </c>
      <c r="E11" s="611">
        <v>1</v>
      </c>
      <c r="F11" s="611">
        <v>1</v>
      </c>
      <c r="G11" s="1417"/>
    </row>
    <row r="12" spans="1:7" ht="13.5" customHeight="1" x14ac:dyDescent="0.25">
      <c r="A12" s="1437"/>
      <c r="B12" s="453" t="s">
        <v>102</v>
      </c>
      <c r="C12" s="612">
        <f>24-C13-C14</f>
        <v>0</v>
      </c>
      <c r="D12" s="612">
        <f>24-D13-D14</f>
        <v>24</v>
      </c>
      <c r="E12" s="612">
        <f>24-E13-E14</f>
        <v>24</v>
      </c>
      <c r="F12" s="612">
        <f>24-F13-F14</f>
        <v>24</v>
      </c>
      <c r="G12" s="1418"/>
    </row>
    <row r="13" spans="1:7" ht="13.5" customHeight="1" x14ac:dyDescent="0.25">
      <c r="A13" s="1437"/>
      <c r="B13" s="448" t="s">
        <v>103</v>
      </c>
      <c r="C13" s="612">
        <v>24</v>
      </c>
      <c r="D13" s="612">
        <v>0</v>
      </c>
      <c r="E13" s="612">
        <v>0</v>
      </c>
      <c r="F13" s="612">
        <v>0</v>
      </c>
      <c r="G13" s="1418"/>
    </row>
    <row r="14" spans="1:7" ht="13.5" customHeight="1" thickBot="1" x14ac:dyDescent="0.3">
      <c r="A14" s="1438"/>
      <c r="B14" s="457" t="s">
        <v>104</v>
      </c>
      <c r="C14" s="576">
        <v>0</v>
      </c>
      <c r="D14" s="576">
        <v>0</v>
      </c>
      <c r="E14" s="576">
        <v>0</v>
      </c>
      <c r="F14" s="576">
        <v>0</v>
      </c>
      <c r="G14" s="1423"/>
    </row>
    <row r="15" spans="1:7" ht="13.5" customHeight="1" x14ac:dyDescent="0.25">
      <c r="A15" s="1436">
        <v>44596</v>
      </c>
      <c r="B15" s="453" t="s">
        <v>17</v>
      </c>
      <c r="C15" s="450">
        <v>1</v>
      </c>
      <c r="D15" s="571">
        <v>1</v>
      </c>
      <c r="E15" s="611">
        <v>1</v>
      </c>
      <c r="F15" s="611">
        <v>1</v>
      </c>
      <c r="G15" s="1417" t="s">
        <v>2125</v>
      </c>
    </row>
    <row r="16" spans="1:7" ht="13.5" customHeight="1" x14ac:dyDescent="0.25">
      <c r="A16" s="1437"/>
      <c r="B16" s="453" t="s">
        <v>102</v>
      </c>
      <c r="C16" s="612">
        <f>24-C17-C18</f>
        <v>0</v>
      </c>
      <c r="D16" s="612">
        <f>24-D17-D18</f>
        <v>21.2</v>
      </c>
      <c r="E16" s="612">
        <f>24-E17-E18</f>
        <v>24</v>
      </c>
      <c r="F16" s="612">
        <f>24-F17-F18</f>
        <v>24</v>
      </c>
      <c r="G16" s="1418"/>
    </row>
    <row r="17" spans="1:7" ht="13.5" customHeight="1" x14ac:dyDescent="0.25">
      <c r="A17" s="1437"/>
      <c r="B17" s="448" t="s">
        <v>103</v>
      </c>
      <c r="C17" s="612">
        <v>24</v>
      </c>
      <c r="D17" s="612">
        <v>2.8</v>
      </c>
      <c r="E17" s="612">
        <v>0</v>
      </c>
      <c r="F17" s="612">
        <v>0</v>
      </c>
      <c r="G17" s="1418"/>
    </row>
    <row r="18" spans="1:7" ht="13.5" customHeight="1" thickBot="1" x14ac:dyDescent="0.3">
      <c r="A18" s="1438"/>
      <c r="B18" s="457" t="s">
        <v>104</v>
      </c>
      <c r="C18" s="576">
        <v>0</v>
      </c>
      <c r="D18" s="576">
        <v>0</v>
      </c>
      <c r="E18" s="576">
        <v>0</v>
      </c>
      <c r="F18" s="576">
        <v>0</v>
      </c>
      <c r="G18" s="1423"/>
    </row>
    <row r="19" spans="1:7" ht="13.5" customHeight="1" x14ac:dyDescent="0.25">
      <c r="A19" s="1436">
        <v>44597</v>
      </c>
      <c r="B19" s="453" t="s">
        <v>17</v>
      </c>
      <c r="C19" s="450">
        <v>1</v>
      </c>
      <c r="D19" s="571">
        <v>1</v>
      </c>
      <c r="E19" s="611">
        <v>1</v>
      </c>
      <c r="F19" s="611">
        <v>1</v>
      </c>
      <c r="G19" s="1417"/>
    </row>
    <row r="20" spans="1:7" ht="13.5" customHeight="1" x14ac:dyDescent="0.25">
      <c r="A20" s="1437"/>
      <c r="B20" s="453" t="s">
        <v>102</v>
      </c>
      <c r="C20" s="612">
        <f>24-C21-C22</f>
        <v>0</v>
      </c>
      <c r="D20" s="612">
        <f>24-D21-D22</f>
        <v>24</v>
      </c>
      <c r="E20" s="612">
        <f>24-E21-E22</f>
        <v>24</v>
      </c>
      <c r="F20" s="612">
        <f>24-F21-F22</f>
        <v>24</v>
      </c>
      <c r="G20" s="1418"/>
    </row>
    <row r="21" spans="1:7" ht="13.5" customHeight="1" x14ac:dyDescent="0.25">
      <c r="A21" s="1437"/>
      <c r="B21" s="448" t="s">
        <v>103</v>
      </c>
      <c r="C21" s="612">
        <v>24</v>
      </c>
      <c r="D21" s="612">
        <v>0</v>
      </c>
      <c r="E21" s="612">
        <v>0</v>
      </c>
      <c r="F21" s="612">
        <v>0</v>
      </c>
      <c r="G21" s="1418"/>
    </row>
    <row r="22" spans="1:7" ht="13.5" customHeight="1" thickBot="1" x14ac:dyDescent="0.3">
      <c r="A22" s="1438"/>
      <c r="B22" s="457" t="s">
        <v>104</v>
      </c>
      <c r="C22" s="576">
        <v>0</v>
      </c>
      <c r="D22" s="576">
        <v>0</v>
      </c>
      <c r="E22" s="576">
        <v>0</v>
      </c>
      <c r="F22" s="576">
        <v>0</v>
      </c>
      <c r="G22" s="1423"/>
    </row>
    <row r="23" spans="1:7" ht="18.75" customHeight="1" x14ac:dyDescent="0.25">
      <c r="A23" s="1436">
        <v>44598</v>
      </c>
      <c r="B23" s="453" t="s">
        <v>17</v>
      </c>
      <c r="C23" s="450">
        <v>1</v>
      </c>
      <c r="D23" s="571">
        <v>1</v>
      </c>
      <c r="E23" s="611">
        <v>1</v>
      </c>
      <c r="F23" s="611">
        <v>1</v>
      </c>
      <c r="G23" s="1417" t="s">
        <v>2134</v>
      </c>
    </row>
    <row r="24" spans="1:7" ht="18.75" customHeight="1" x14ac:dyDescent="0.25">
      <c r="A24" s="1437"/>
      <c r="B24" s="453" t="s">
        <v>102</v>
      </c>
      <c r="C24" s="612">
        <f>24-C25-C26</f>
        <v>19.420000000000002</v>
      </c>
      <c r="D24" s="612">
        <f>24-D25-D26</f>
        <v>24</v>
      </c>
      <c r="E24" s="612">
        <f>24-E25-E26</f>
        <v>24</v>
      </c>
      <c r="F24" s="612">
        <f>24-F25-F26</f>
        <v>24</v>
      </c>
      <c r="G24" s="1418"/>
    </row>
    <row r="25" spans="1:7" ht="18.75" customHeight="1" x14ac:dyDescent="0.25">
      <c r="A25" s="1437"/>
      <c r="B25" s="448" t="s">
        <v>103</v>
      </c>
      <c r="C25" s="612">
        <v>4.58</v>
      </c>
      <c r="D25" s="612">
        <v>0</v>
      </c>
      <c r="E25" s="612">
        <v>0</v>
      </c>
      <c r="F25" s="612">
        <v>0</v>
      </c>
      <c r="G25" s="1418"/>
    </row>
    <row r="26" spans="1:7" ht="18.75" customHeight="1" thickBot="1" x14ac:dyDescent="0.3">
      <c r="A26" s="1438"/>
      <c r="B26" s="457" t="s">
        <v>104</v>
      </c>
      <c r="C26" s="576">
        <v>0</v>
      </c>
      <c r="D26" s="576">
        <v>0</v>
      </c>
      <c r="E26" s="576">
        <v>0</v>
      </c>
      <c r="F26" s="576">
        <v>0</v>
      </c>
      <c r="G26" s="1423"/>
    </row>
    <row r="27" spans="1:7" ht="13.5" customHeight="1" x14ac:dyDescent="0.25">
      <c r="A27" s="1436">
        <v>44599</v>
      </c>
      <c r="B27" s="453" t="s">
        <v>17</v>
      </c>
      <c r="C27" s="450">
        <v>1</v>
      </c>
      <c r="D27" s="571">
        <v>1</v>
      </c>
      <c r="E27" s="611">
        <v>1</v>
      </c>
      <c r="F27" s="611">
        <v>1</v>
      </c>
      <c r="G27" s="1417" t="s">
        <v>2146</v>
      </c>
    </row>
    <row r="28" spans="1:7" ht="13.5" customHeight="1" x14ac:dyDescent="0.25">
      <c r="A28" s="1437"/>
      <c r="B28" s="453" t="s">
        <v>102</v>
      </c>
      <c r="C28" s="612">
        <f>24-C29-C30</f>
        <v>7.9200000000000017</v>
      </c>
      <c r="D28" s="612">
        <f>24-D29-D30</f>
        <v>24</v>
      </c>
      <c r="E28" s="612">
        <f>24-E29-E30</f>
        <v>24</v>
      </c>
      <c r="F28" s="612">
        <f>24-F29-F30</f>
        <v>24</v>
      </c>
      <c r="G28" s="1418"/>
    </row>
    <row r="29" spans="1:7" ht="13.5" customHeight="1" x14ac:dyDescent="0.25">
      <c r="A29" s="1437"/>
      <c r="B29" s="448" t="s">
        <v>103</v>
      </c>
      <c r="C29" s="612">
        <v>16.079999999999998</v>
      </c>
      <c r="D29" s="612">
        <v>0</v>
      </c>
      <c r="E29" s="612">
        <v>0</v>
      </c>
      <c r="F29" s="612">
        <v>0</v>
      </c>
      <c r="G29" s="1418"/>
    </row>
    <row r="30" spans="1:7" ht="43.5" customHeight="1" thickBot="1" x14ac:dyDescent="0.3">
      <c r="A30" s="1438"/>
      <c r="B30" s="457" t="s">
        <v>104</v>
      </c>
      <c r="C30" s="576">
        <v>0</v>
      </c>
      <c r="D30" s="576">
        <v>0</v>
      </c>
      <c r="E30" s="576">
        <v>0</v>
      </c>
      <c r="F30" s="576">
        <v>0</v>
      </c>
      <c r="G30" s="1423"/>
    </row>
    <row r="31" spans="1:7" x14ac:dyDescent="0.25">
      <c r="A31" s="1436">
        <v>44600</v>
      </c>
      <c r="B31" s="453" t="s">
        <v>17</v>
      </c>
      <c r="C31" s="450">
        <v>1</v>
      </c>
      <c r="D31" s="571">
        <v>1</v>
      </c>
      <c r="E31" s="611">
        <v>1</v>
      </c>
      <c r="F31" s="611">
        <v>1</v>
      </c>
      <c r="G31" s="1417" t="s">
        <v>2145</v>
      </c>
    </row>
    <row r="32" spans="1:7" x14ac:dyDescent="0.25">
      <c r="A32" s="1437"/>
      <c r="B32" s="453" t="s">
        <v>102</v>
      </c>
      <c r="C32" s="612">
        <f>24-C33-C34</f>
        <v>0</v>
      </c>
      <c r="D32" s="612">
        <f>24-D33-D34</f>
        <v>20.329999999999998</v>
      </c>
      <c r="E32" s="612">
        <f>24-E33-E34</f>
        <v>24</v>
      </c>
      <c r="F32" s="612">
        <f>24-F33-F34</f>
        <v>24</v>
      </c>
      <c r="G32" s="1418"/>
    </row>
    <row r="33" spans="1:7" x14ac:dyDescent="0.25">
      <c r="A33" s="1437"/>
      <c r="B33" s="448" t="s">
        <v>103</v>
      </c>
      <c r="C33" s="612">
        <v>24</v>
      </c>
      <c r="D33" s="612">
        <v>3.67</v>
      </c>
      <c r="E33" s="612">
        <v>0</v>
      </c>
      <c r="F33" s="612">
        <v>0</v>
      </c>
      <c r="G33" s="1418"/>
    </row>
    <row r="34" spans="1:7" ht="15.75" thickBot="1" x14ac:dyDescent="0.3">
      <c r="A34" s="1438"/>
      <c r="B34" s="457" t="s">
        <v>104</v>
      </c>
      <c r="C34" s="576">
        <v>0</v>
      </c>
      <c r="D34" s="576">
        <v>0</v>
      </c>
      <c r="E34" s="576">
        <v>0</v>
      </c>
      <c r="F34" s="576">
        <v>0</v>
      </c>
      <c r="G34" s="1423"/>
    </row>
    <row r="35" spans="1:7" ht="27" customHeight="1" x14ac:dyDescent="0.25">
      <c r="A35" s="1436">
        <v>44601</v>
      </c>
      <c r="B35" s="453" t="s">
        <v>17</v>
      </c>
      <c r="C35" s="450">
        <v>1</v>
      </c>
      <c r="D35" s="571">
        <v>1</v>
      </c>
      <c r="E35" s="611">
        <v>1</v>
      </c>
      <c r="F35" s="611">
        <v>1</v>
      </c>
      <c r="G35" s="1417" t="s">
        <v>2161</v>
      </c>
    </row>
    <row r="36" spans="1:7" ht="27" customHeight="1" x14ac:dyDescent="0.25">
      <c r="A36" s="1437"/>
      <c r="B36" s="453" t="s">
        <v>102</v>
      </c>
      <c r="C36" s="612">
        <f>24-C37-C38</f>
        <v>0</v>
      </c>
      <c r="D36" s="612">
        <f>24-D37-D38</f>
        <v>18.329999999999998</v>
      </c>
      <c r="E36" s="612">
        <f>24-E37-E38</f>
        <v>24</v>
      </c>
      <c r="F36" s="612">
        <f>24-F37-F38</f>
        <v>24</v>
      </c>
      <c r="G36" s="1418"/>
    </row>
    <row r="37" spans="1:7" ht="27" customHeight="1" x14ac:dyDescent="0.25">
      <c r="A37" s="1437"/>
      <c r="B37" s="448" t="s">
        <v>103</v>
      </c>
      <c r="C37" s="612">
        <v>24</v>
      </c>
      <c r="D37" s="612">
        <v>5.67</v>
      </c>
      <c r="E37" s="612">
        <v>0</v>
      </c>
      <c r="F37" s="612">
        <v>0</v>
      </c>
      <c r="G37" s="1418"/>
    </row>
    <row r="38" spans="1:7" ht="27" customHeight="1" thickBot="1" x14ac:dyDescent="0.3">
      <c r="A38" s="1438"/>
      <c r="B38" s="457" t="s">
        <v>104</v>
      </c>
      <c r="C38" s="576">
        <v>0</v>
      </c>
      <c r="D38" s="576">
        <v>0</v>
      </c>
      <c r="E38" s="576">
        <v>0</v>
      </c>
      <c r="F38" s="576">
        <v>0</v>
      </c>
      <c r="G38" s="1423"/>
    </row>
    <row r="39" spans="1:7" ht="14.25" customHeight="1" x14ac:dyDescent="0.25">
      <c r="A39" s="1436">
        <v>44602</v>
      </c>
      <c r="B39" s="453" t="s">
        <v>17</v>
      </c>
      <c r="C39" s="450">
        <v>1</v>
      </c>
      <c r="D39" s="571">
        <v>1</v>
      </c>
      <c r="E39" s="611">
        <v>1</v>
      </c>
      <c r="F39" s="611">
        <v>1</v>
      </c>
      <c r="G39" s="1417"/>
    </row>
    <row r="40" spans="1:7" ht="14.25" customHeight="1" x14ac:dyDescent="0.25">
      <c r="A40" s="1437"/>
      <c r="B40" s="453" t="s">
        <v>102</v>
      </c>
      <c r="C40" s="612">
        <f>24-C41-C42</f>
        <v>0</v>
      </c>
      <c r="D40" s="612">
        <f>24-D41-D42</f>
        <v>24</v>
      </c>
      <c r="E40" s="612">
        <f>24-E41-E42</f>
        <v>24</v>
      </c>
      <c r="F40" s="612">
        <f>24-F41-F42</f>
        <v>24</v>
      </c>
      <c r="G40" s="1418"/>
    </row>
    <row r="41" spans="1:7" ht="14.25" customHeight="1" x14ac:dyDescent="0.25">
      <c r="A41" s="1437"/>
      <c r="B41" s="448" t="s">
        <v>103</v>
      </c>
      <c r="C41" s="612">
        <v>24</v>
      </c>
      <c r="D41" s="612">
        <v>0</v>
      </c>
      <c r="E41" s="612">
        <v>0</v>
      </c>
      <c r="F41" s="612">
        <v>0</v>
      </c>
      <c r="G41" s="1418"/>
    </row>
    <row r="42" spans="1:7" ht="14.25" customHeight="1" thickBot="1" x14ac:dyDescent="0.3">
      <c r="A42" s="1438"/>
      <c r="B42" s="457" t="s">
        <v>104</v>
      </c>
      <c r="C42" s="576">
        <v>0</v>
      </c>
      <c r="D42" s="576">
        <v>0</v>
      </c>
      <c r="E42" s="576">
        <v>0</v>
      </c>
      <c r="F42" s="576">
        <v>0</v>
      </c>
      <c r="G42" s="1423"/>
    </row>
    <row r="43" spans="1:7" x14ac:dyDescent="0.25">
      <c r="A43" s="1436">
        <v>44603</v>
      </c>
      <c r="B43" s="453" t="s">
        <v>17</v>
      </c>
      <c r="C43" s="571">
        <v>1</v>
      </c>
      <c r="D43" s="571">
        <v>1</v>
      </c>
      <c r="E43" s="611">
        <v>1</v>
      </c>
      <c r="F43" s="611">
        <v>1</v>
      </c>
      <c r="G43" s="1417" t="s">
        <v>2169</v>
      </c>
    </row>
    <row r="44" spans="1:7" x14ac:dyDescent="0.25">
      <c r="A44" s="1437"/>
      <c r="B44" s="453" t="s">
        <v>102</v>
      </c>
      <c r="C44" s="612">
        <f>24-C45-C46</f>
        <v>18.25</v>
      </c>
      <c r="D44" s="612">
        <f>24-D45-D46</f>
        <v>24</v>
      </c>
      <c r="E44" s="612">
        <f>24-E45-E46</f>
        <v>24</v>
      </c>
      <c r="F44" s="612">
        <f>24-F45-F46</f>
        <v>24</v>
      </c>
      <c r="G44" s="1418"/>
    </row>
    <row r="45" spans="1:7" x14ac:dyDescent="0.25">
      <c r="A45" s="1437"/>
      <c r="B45" s="448" t="s">
        <v>103</v>
      </c>
      <c r="C45" s="612">
        <v>5.75</v>
      </c>
      <c r="D45" s="612">
        <v>0</v>
      </c>
      <c r="E45" s="612">
        <v>0</v>
      </c>
      <c r="F45" s="612">
        <v>0</v>
      </c>
      <c r="G45" s="1418"/>
    </row>
    <row r="46" spans="1:7" ht="15.75" thickBot="1" x14ac:dyDescent="0.3">
      <c r="A46" s="1438"/>
      <c r="B46" s="457" t="s">
        <v>104</v>
      </c>
      <c r="C46" s="576">
        <v>0</v>
      </c>
      <c r="D46" s="576">
        <v>0</v>
      </c>
      <c r="E46" s="576">
        <v>0</v>
      </c>
      <c r="F46" s="576">
        <v>0</v>
      </c>
      <c r="G46" s="1419"/>
    </row>
    <row r="47" spans="1:7" ht="13.5" customHeight="1" x14ac:dyDescent="0.25">
      <c r="A47" s="1436">
        <v>44604</v>
      </c>
      <c r="B47" s="453" t="s">
        <v>17</v>
      </c>
      <c r="C47" s="571">
        <v>1</v>
      </c>
      <c r="D47" s="571">
        <v>1</v>
      </c>
      <c r="E47" s="611">
        <v>1</v>
      </c>
      <c r="F47" s="611">
        <v>1</v>
      </c>
      <c r="G47" s="1417" t="s">
        <v>2184</v>
      </c>
    </row>
    <row r="48" spans="1:7" ht="13.5" customHeight="1" x14ac:dyDescent="0.25">
      <c r="A48" s="1437"/>
      <c r="B48" s="453" t="s">
        <v>102</v>
      </c>
      <c r="C48" s="612">
        <f>24-C49-C50</f>
        <v>8.0500000000000007</v>
      </c>
      <c r="D48" s="612">
        <f>24-D49-D50</f>
        <v>23</v>
      </c>
      <c r="E48" s="612">
        <f>24-E49-E50</f>
        <v>24</v>
      </c>
      <c r="F48" s="612">
        <f>24-F49-F50</f>
        <v>24</v>
      </c>
      <c r="G48" s="1418"/>
    </row>
    <row r="49" spans="1:7" ht="13.5" customHeight="1" x14ac:dyDescent="0.25">
      <c r="A49" s="1437"/>
      <c r="B49" s="448" t="s">
        <v>103</v>
      </c>
      <c r="C49" s="612">
        <v>15.95</v>
      </c>
      <c r="D49" s="612">
        <v>1</v>
      </c>
      <c r="E49" s="612">
        <v>0</v>
      </c>
      <c r="F49" s="612">
        <v>0</v>
      </c>
      <c r="G49" s="1418"/>
    </row>
    <row r="50" spans="1:7" ht="13.5" customHeight="1" thickBot="1" x14ac:dyDescent="0.3">
      <c r="A50" s="1438"/>
      <c r="B50" s="457" t="s">
        <v>104</v>
      </c>
      <c r="C50" s="576">
        <v>0</v>
      </c>
      <c r="D50" s="576">
        <v>0</v>
      </c>
      <c r="E50" s="576">
        <v>0</v>
      </c>
      <c r="F50" s="576">
        <v>0</v>
      </c>
      <c r="G50" s="1418"/>
    </row>
    <row r="51" spans="1:7" ht="15" customHeight="1" x14ac:dyDescent="0.25">
      <c r="A51" s="1436">
        <v>44605</v>
      </c>
      <c r="B51" s="453" t="s">
        <v>17</v>
      </c>
      <c r="C51" s="450">
        <v>1</v>
      </c>
      <c r="D51" s="571">
        <v>1</v>
      </c>
      <c r="E51" s="611">
        <v>1</v>
      </c>
      <c r="F51" s="611">
        <v>1</v>
      </c>
      <c r="G51" s="1418"/>
    </row>
    <row r="52" spans="1:7" x14ac:dyDescent="0.25">
      <c r="A52" s="1437"/>
      <c r="B52" s="453" t="s">
        <v>102</v>
      </c>
      <c r="C52" s="612">
        <f>24-C53-C54</f>
        <v>0</v>
      </c>
      <c r="D52" s="612">
        <f>24-D53-D54</f>
        <v>20.25</v>
      </c>
      <c r="E52" s="612">
        <f>24-E53-E54</f>
        <v>24</v>
      </c>
      <c r="F52" s="612">
        <f>24-F53-F54</f>
        <v>24</v>
      </c>
      <c r="G52" s="1418"/>
    </row>
    <row r="53" spans="1:7" x14ac:dyDescent="0.25">
      <c r="A53" s="1437"/>
      <c r="B53" s="448" t="s">
        <v>103</v>
      </c>
      <c r="C53" s="612">
        <v>24</v>
      </c>
      <c r="D53" s="612">
        <v>3.75</v>
      </c>
      <c r="E53" s="612">
        <v>0</v>
      </c>
      <c r="F53" s="612">
        <v>0</v>
      </c>
      <c r="G53" s="1418"/>
    </row>
    <row r="54" spans="1:7" ht="15.75" thickBot="1" x14ac:dyDescent="0.3">
      <c r="A54" s="1438"/>
      <c r="B54" s="457" t="s">
        <v>104</v>
      </c>
      <c r="C54" s="576">
        <v>0</v>
      </c>
      <c r="D54" s="576">
        <v>0</v>
      </c>
      <c r="E54" s="576">
        <v>0</v>
      </c>
      <c r="F54" s="576">
        <v>0</v>
      </c>
      <c r="G54" s="1423"/>
    </row>
    <row r="55" spans="1:7" x14ac:dyDescent="0.25">
      <c r="A55" s="1436">
        <v>44606</v>
      </c>
      <c r="B55" s="453" t="s">
        <v>17</v>
      </c>
      <c r="C55" s="450">
        <v>1</v>
      </c>
      <c r="D55" s="571">
        <v>1</v>
      </c>
      <c r="E55" s="611">
        <v>1</v>
      </c>
      <c r="F55" s="611">
        <v>1</v>
      </c>
      <c r="G55" s="1417"/>
    </row>
    <row r="56" spans="1:7" x14ac:dyDescent="0.25">
      <c r="A56" s="1437"/>
      <c r="B56" s="453" t="s">
        <v>102</v>
      </c>
      <c r="C56" s="612">
        <f>24-C57-C58</f>
        <v>0</v>
      </c>
      <c r="D56" s="612">
        <f>24-D57-D58</f>
        <v>24</v>
      </c>
      <c r="E56" s="612">
        <f>24-E57-E58</f>
        <v>24</v>
      </c>
      <c r="F56" s="612">
        <f>24-F57-F58</f>
        <v>24</v>
      </c>
      <c r="G56" s="1418"/>
    </row>
    <row r="57" spans="1:7" x14ac:dyDescent="0.25">
      <c r="A57" s="1437"/>
      <c r="B57" s="448" t="s">
        <v>103</v>
      </c>
      <c r="C57" s="612">
        <v>24</v>
      </c>
      <c r="D57" s="612">
        <v>0</v>
      </c>
      <c r="E57" s="612">
        <v>0</v>
      </c>
      <c r="F57" s="612">
        <v>0</v>
      </c>
      <c r="G57" s="1418"/>
    </row>
    <row r="58" spans="1:7" ht="15.75" thickBot="1" x14ac:dyDescent="0.3">
      <c r="A58" s="1438"/>
      <c r="B58" s="457" t="s">
        <v>104</v>
      </c>
      <c r="C58" s="576">
        <v>0</v>
      </c>
      <c r="D58" s="576">
        <v>0</v>
      </c>
      <c r="E58" s="576">
        <v>0</v>
      </c>
      <c r="F58" s="576">
        <v>0</v>
      </c>
      <c r="G58" s="1419"/>
    </row>
    <row r="59" spans="1:7" x14ac:dyDescent="0.25">
      <c r="A59" s="1436">
        <v>44607</v>
      </c>
      <c r="B59" s="453" t="s">
        <v>17</v>
      </c>
      <c r="C59" s="450">
        <v>1</v>
      </c>
      <c r="D59" s="571">
        <v>1</v>
      </c>
      <c r="E59" s="611">
        <v>1</v>
      </c>
      <c r="F59" s="611">
        <v>1</v>
      </c>
      <c r="G59" s="1417" t="s">
        <v>2196</v>
      </c>
    </row>
    <row r="60" spans="1:7" x14ac:dyDescent="0.25">
      <c r="A60" s="1437"/>
      <c r="B60" s="453" t="s">
        <v>102</v>
      </c>
      <c r="C60" s="612">
        <f>24-C61-C62</f>
        <v>0</v>
      </c>
      <c r="D60" s="612">
        <f>24-D61-D62</f>
        <v>22.75</v>
      </c>
      <c r="E60" s="612">
        <f>24-E61-E62</f>
        <v>24</v>
      </c>
      <c r="F60" s="612">
        <f>24-F61-F62</f>
        <v>24</v>
      </c>
      <c r="G60" s="1418"/>
    </row>
    <row r="61" spans="1:7" x14ac:dyDescent="0.25">
      <c r="A61" s="1437"/>
      <c r="B61" s="448" t="s">
        <v>103</v>
      </c>
      <c r="C61" s="612">
        <v>24</v>
      </c>
      <c r="D61" s="612">
        <v>1.25</v>
      </c>
      <c r="E61" s="612">
        <v>0</v>
      </c>
      <c r="F61" s="612">
        <v>0</v>
      </c>
      <c r="G61" s="1418"/>
    </row>
    <row r="62" spans="1:7" ht="15.75" thickBot="1" x14ac:dyDescent="0.3">
      <c r="A62" s="1438"/>
      <c r="B62" s="457" t="s">
        <v>104</v>
      </c>
      <c r="C62" s="576">
        <v>0</v>
      </c>
      <c r="D62" s="576">
        <v>0</v>
      </c>
      <c r="E62" s="576">
        <v>0</v>
      </c>
      <c r="F62" s="576">
        <v>0</v>
      </c>
      <c r="G62" s="1419"/>
    </row>
    <row r="63" spans="1:7" x14ac:dyDescent="0.25">
      <c r="A63" s="1436">
        <v>44608</v>
      </c>
      <c r="B63" s="453" t="s">
        <v>17</v>
      </c>
      <c r="C63" s="450">
        <v>1</v>
      </c>
      <c r="D63" s="571">
        <v>1</v>
      </c>
      <c r="E63" s="611">
        <v>1</v>
      </c>
      <c r="F63" s="611">
        <v>1</v>
      </c>
      <c r="G63" s="1417" t="s">
        <v>2207</v>
      </c>
    </row>
    <row r="64" spans="1:7" x14ac:dyDescent="0.25">
      <c r="A64" s="1437"/>
      <c r="B64" s="453" t="s">
        <v>102</v>
      </c>
      <c r="C64" s="612">
        <v>10.75</v>
      </c>
      <c r="D64" s="612">
        <f>24-D65-D66</f>
        <v>24</v>
      </c>
      <c r="E64" s="612">
        <f>24-E65-E66</f>
        <v>24</v>
      </c>
      <c r="F64" s="612">
        <f>24-F65-F66</f>
        <v>24</v>
      </c>
      <c r="G64" s="1418"/>
    </row>
    <row r="65" spans="1:7" x14ac:dyDescent="0.25">
      <c r="A65" s="1437"/>
      <c r="B65" s="448" t="s">
        <v>103</v>
      </c>
      <c r="C65" s="612">
        <v>13.25</v>
      </c>
      <c r="D65" s="612">
        <v>0</v>
      </c>
      <c r="E65" s="612">
        <v>0</v>
      </c>
      <c r="F65" s="612">
        <v>0</v>
      </c>
      <c r="G65" s="1418"/>
    </row>
    <row r="66" spans="1:7" ht="15.75" thickBot="1" x14ac:dyDescent="0.3">
      <c r="A66" s="1438"/>
      <c r="B66" s="457" t="s">
        <v>104</v>
      </c>
      <c r="C66" s="576">
        <v>0</v>
      </c>
      <c r="D66" s="576">
        <v>0</v>
      </c>
      <c r="E66" s="576">
        <v>0</v>
      </c>
      <c r="F66" s="576">
        <v>0</v>
      </c>
      <c r="G66" s="1423"/>
    </row>
    <row r="67" spans="1:7" ht="15.75" customHeight="1" x14ac:dyDescent="0.25">
      <c r="A67" s="1436">
        <v>44609</v>
      </c>
      <c r="B67" s="453" t="s">
        <v>17</v>
      </c>
      <c r="C67" s="450">
        <v>1</v>
      </c>
      <c r="D67" s="571">
        <v>1</v>
      </c>
      <c r="E67" s="611">
        <v>1</v>
      </c>
      <c r="F67" s="611">
        <v>1</v>
      </c>
      <c r="G67" s="1417" t="s">
        <v>2213</v>
      </c>
    </row>
    <row r="68" spans="1:7" ht="15.75" customHeight="1" x14ac:dyDescent="0.25">
      <c r="A68" s="1437"/>
      <c r="B68" s="453" t="s">
        <v>102</v>
      </c>
      <c r="C68" s="612">
        <v>24</v>
      </c>
      <c r="D68" s="612">
        <f>24-D69-D70</f>
        <v>19.829999999999998</v>
      </c>
      <c r="E68" s="612">
        <f>24-E69-E70</f>
        <v>24</v>
      </c>
      <c r="F68" s="612">
        <f>24-F69-F70</f>
        <v>24</v>
      </c>
      <c r="G68" s="1418"/>
    </row>
    <row r="69" spans="1:7" ht="15.75" customHeight="1" x14ac:dyDescent="0.25">
      <c r="A69" s="1437"/>
      <c r="B69" s="448" t="s">
        <v>103</v>
      </c>
      <c r="C69" s="612">
        <v>0</v>
      </c>
      <c r="D69" s="612">
        <v>4.17</v>
      </c>
      <c r="E69" s="612">
        <v>0</v>
      </c>
      <c r="F69" s="612">
        <v>0</v>
      </c>
      <c r="G69" s="1418"/>
    </row>
    <row r="70" spans="1:7" ht="15.75" customHeight="1" thickBot="1" x14ac:dyDescent="0.3">
      <c r="A70" s="1438"/>
      <c r="B70" s="457" t="s">
        <v>104</v>
      </c>
      <c r="C70" s="576">
        <v>0</v>
      </c>
      <c r="D70" s="576">
        <v>0</v>
      </c>
      <c r="E70" s="576">
        <v>0</v>
      </c>
      <c r="F70" s="576">
        <v>0</v>
      </c>
      <c r="G70" s="1423"/>
    </row>
    <row r="71" spans="1:7" ht="15.75" customHeight="1" x14ac:dyDescent="0.25">
      <c r="A71" s="1436">
        <v>44610</v>
      </c>
      <c r="B71" s="453" t="s">
        <v>17</v>
      </c>
      <c r="C71" s="450">
        <v>1</v>
      </c>
      <c r="D71" s="571">
        <v>1</v>
      </c>
      <c r="E71" s="611">
        <v>1</v>
      </c>
      <c r="F71" s="611">
        <v>1</v>
      </c>
      <c r="G71" s="1417"/>
    </row>
    <row r="72" spans="1:7" ht="15.75" customHeight="1" x14ac:dyDescent="0.25">
      <c r="A72" s="1437"/>
      <c r="B72" s="453" t="s">
        <v>102</v>
      </c>
      <c r="C72" s="612">
        <f>24-C73-C74</f>
        <v>24</v>
      </c>
      <c r="D72" s="612">
        <f>24-D73-D74</f>
        <v>24</v>
      </c>
      <c r="E72" s="612">
        <f>24-E73-E74</f>
        <v>24</v>
      </c>
      <c r="F72" s="612">
        <f>24-F73-F74</f>
        <v>24</v>
      </c>
      <c r="G72" s="1418"/>
    </row>
    <row r="73" spans="1:7" ht="13.5" customHeight="1" x14ac:dyDescent="0.25">
      <c r="A73" s="1437"/>
      <c r="B73" s="448" t="s">
        <v>103</v>
      </c>
      <c r="C73" s="612">
        <v>0</v>
      </c>
      <c r="D73" s="612">
        <v>0</v>
      </c>
      <c r="E73" s="612">
        <v>0</v>
      </c>
      <c r="F73" s="612">
        <v>0</v>
      </c>
      <c r="G73" s="1418"/>
    </row>
    <row r="74" spans="1:7" ht="13.5" customHeight="1" thickBot="1" x14ac:dyDescent="0.3">
      <c r="A74" s="1438"/>
      <c r="B74" s="457" t="s">
        <v>104</v>
      </c>
      <c r="C74" s="576">
        <v>0</v>
      </c>
      <c r="D74" s="576">
        <v>0</v>
      </c>
      <c r="E74" s="576">
        <v>0</v>
      </c>
      <c r="F74" s="576">
        <v>0</v>
      </c>
      <c r="G74" s="1419"/>
    </row>
    <row r="75" spans="1:7" x14ac:dyDescent="0.25">
      <c r="A75" s="1436">
        <v>44611</v>
      </c>
      <c r="B75" s="453" t="s">
        <v>17</v>
      </c>
      <c r="C75" s="450">
        <v>1</v>
      </c>
      <c r="D75" s="571">
        <v>1</v>
      </c>
      <c r="E75" s="611">
        <v>1</v>
      </c>
      <c r="F75" s="611">
        <v>1</v>
      </c>
      <c r="G75" s="1417"/>
    </row>
    <row r="76" spans="1:7" x14ac:dyDescent="0.25">
      <c r="A76" s="1437"/>
      <c r="B76" s="453" t="s">
        <v>102</v>
      </c>
      <c r="C76" s="612">
        <f>24-C77-C78</f>
        <v>24</v>
      </c>
      <c r="D76" s="612">
        <f>24-D77-D78</f>
        <v>24</v>
      </c>
      <c r="E76" s="612">
        <f>24-E77-E78</f>
        <v>24</v>
      </c>
      <c r="F76" s="612">
        <f>24-F77-F78</f>
        <v>24</v>
      </c>
      <c r="G76" s="1418"/>
    </row>
    <row r="77" spans="1:7" x14ac:dyDescent="0.25">
      <c r="A77" s="1437"/>
      <c r="B77" s="448" t="s">
        <v>103</v>
      </c>
      <c r="C77" s="612">
        <v>0</v>
      </c>
      <c r="D77" s="612">
        <v>0</v>
      </c>
      <c r="E77" s="612">
        <v>0</v>
      </c>
      <c r="F77" s="612">
        <v>0</v>
      </c>
      <c r="G77" s="1418"/>
    </row>
    <row r="78" spans="1:7" ht="15.75" thickBot="1" x14ac:dyDescent="0.3">
      <c r="A78" s="1438"/>
      <c r="B78" s="457" t="s">
        <v>104</v>
      </c>
      <c r="C78" s="576">
        <v>0</v>
      </c>
      <c r="D78" s="576">
        <v>0</v>
      </c>
      <c r="E78" s="576">
        <v>0</v>
      </c>
      <c r="F78" s="576">
        <v>0</v>
      </c>
      <c r="G78" s="1423"/>
    </row>
    <row r="79" spans="1:7" ht="13.5" customHeight="1" x14ac:dyDescent="0.25">
      <c r="A79" s="1436">
        <v>44612</v>
      </c>
      <c r="B79" s="453" t="s">
        <v>17</v>
      </c>
      <c r="C79" s="450">
        <v>1</v>
      </c>
      <c r="D79" s="571">
        <v>1</v>
      </c>
      <c r="E79" s="611">
        <v>1</v>
      </c>
      <c r="F79" s="611">
        <v>1</v>
      </c>
      <c r="G79" s="1417"/>
    </row>
    <row r="80" spans="1:7" ht="13.5" customHeight="1" x14ac:dyDescent="0.25">
      <c r="A80" s="1437"/>
      <c r="B80" s="453" t="s">
        <v>102</v>
      </c>
      <c r="C80" s="612">
        <f>24-C81-C82</f>
        <v>24</v>
      </c>
      <c r="D80" s="612">
        <f>24-D81-D82</f>
        <v>24</v>
      </c>
      <c r="E80" s="612">
        <f>24-E81-E82</f>
        <v>24</v>
      </c>
      <c r="F80" s="612">
        <f>24-F81-F82</f>
        <v>24</v>
      </c>
      <c r="G80" s="1418"/>
    </row>
    <row r="81" spans="1:7" ht="13.5" customHeight="1" x14ac:dyDescent="0.25">
      <c r="A81" s="1437"/>
      <c r="B81" s="448" t="s">
        <v>103</v>
      </c>
      <c r="C81" s="612">
        <v>0</v>
      </c>
      <c r="D81" s="612">
        <v>0</v>
      </c>
      <c r="E81" s="612">
        <v>0</v>
      </c>
      <c r="F81" s="612">
        <v>0</v>
      </c>
      <c r="G81" s="1418"/>
    </row>
    <row r="82" spans="1:7" ht="14.25" customHeight="1" thickBot="1" x14ac:dyDescent="0.3">
      <c r="A82" s="1438"/>
      <c r="B82" s="457" t="s">
        <v>104</v>
      </c>
      <c r="C82" s="706">
        <v>0</v>
      </c>
      <c r="D82" s="706">
        <v>0</v>
      </c>
      <c r="E82" s="576">
        <v>0</v>
      </c>
      <c r="F82" s="576">
        <v>0</v>
      </c>
      <c r="G82" s="1423"/>
    </row>
    <row r="83" spans="1:7" ht="15.75" thickBot="1" x14ac:dyDescent="0.3">
      <c r="A83" s="1436">
        <v>44613</v>
      </c>
      <c r="B83" s="453" t="s">
        <v>17</v>
      </c>
      <c r="C83" s="709">
        <v>1</v>
      </c>
      <c r="D83" s="707">
        <v>1</v>
      </c>
      <c r="E83" s="705">
        <v>1</v>
      </c>
      <c r="F83" s="611">
        <v>1</v>
      </c>
      <c r="G83" s="1417" t="s">
        <v>2233</v>
      </c>
    </row>
    <row r="84" spans="1:7" x14ac:dyDescent="0.25">
      <c r="A84" s="1437"/>
      <c r="B84" s="453" t="s">
        <v>102</v>
      </c>
      <c r="C84" s="708">
        <f>24-C85-C86</f>
        <v>12.58</v>
      </c>
      <c r="D84" s="612">
        <f>24-D85-D86</f>
        <v>24</v>
      </c>
      <c r="E84" s="612">
        <f>24-E85-E86</f>
        <v>24</v>
      </c>
      <c r="F84" s="612">
        <f>24-F85-F86</f>
        <v>24</v>
      </c>
      <c r="G84" s="1418"/>
    </row>
    <row r="85" spans="1:7" x14ac:dyDescent="0.25">
      <c r="A85" s="1437"/>
      <c r="B85" s="448" t="s">
        <v>103</v>
      </c>
      <c r="C85" s="612">
        <v>11.42</v>
      </c>
      <c r="D85" s="612">
        <v>0</v>
      </c>
      <c r="E85" s="612">
        <v>0</v>
      </c>
      <c r="F85" s="612">
        <v>0</v>
      </c>
      <c r="G85" s="1418"/>
    </row>
    <row r="86" spans="1:7" ht="15.75" thickBot="1" x14ac:dyDescent="0.3">
      <c r="A86" s="1438"/>
      <c r="B86" s="457" t="s">
        <v>104</v>
      </c>
      <c r="C86" s="576">
        <v>0</v>
      </c>
      <c r="D86" s="576">
        <v>0</v>
      </c>
      <c r="E86" s="576">
        <v>0</v>
      </c>
      <c r="F86" s="576">
        <v>0</v>
      </c>
      <c r="G86" s="1423"/>
    </row>
    <row r="87" spans="1:7" x14ac:dyDescent="0.25">
      <c r="A87" s="1436">
        <v>44614</v>
      </c>
      <c r="B87" s="453" t="s">
        <v>17</v>
      </c>
      <c r="C87" s="450">
        <v>1</v>
      </c>
      <c r="D87" s="571">
        <v>1</v>
      </c>
      <c r="E87" s="611">
        <v>1</v>
      </c>
      <c r="F87" s="611">
        <v>1</v>
      </c>
      <c r="G87" s="1439"/>
    </row>
    <row r="88" spans="1:7" x14ac:dyDescent="0.25">
      <c r="A88" s="1437"/>
      <c r="B88" s="453" t="s">
        <v>102</v>
      </c>
      <c r="C88" s="612">
        <f>24-C89-C90</f>
        <v>0</v>
      </c>
      <c r="D88" s="612">
        <f>24-D89-D90</f>
        <v>24</v>
      </c>
      <c r="E88" s="612">
        <f>24-E89-E90</f>
        <v>24</v>
      </c>
      <c r="F88" s="612">
        <f>24-F89-F90</f>
        <v>24</v>
      </c>
      <c r="G88" s="1440"/>
    </row>
    <row r="89" spans="1:7" x14ac:dyDescent="0.25">
      <c r="A89" s="1437"/>
      <c r="B89" s="448" t="s">
        <v>103</v>
      </c>
      <c r="C89" s="612">
        <v>24</v>
      </c>
      <c r="D89" s="612">
        <v>0</v>
      </c>
      <c r="E89" s="612">
        <v>0</v>
      </c>
      <c r="F89" s="612">
        <v>0</v>
      </c>
      <c r="G89" s="1440"/>
    </row>
    <row r="90" spans="1:7" ht="15.75" thickBot="1" x14ac:dyDescent="0.3">
      <c r="A90" s="1438"/>
      <c r="B90" s="457" t="s">
        <v>104</v>
      </c>
      <c r="C90" s="706">
        <v>0</v>
      </c>
      <c r="D90" s="706">
        <v>0</v>
      </c>
      <c r="E90" s="576">
        <v>0</v>
      </c>
      <c r="F90" s="576">
        <v>0</v>
      </c>
      <c r="G90" s="1441"/>
    </row>
    <row r="91" spans="1:7" ht="14.25" customHeight="1" x14ac:dyDescent="0.25">
      <c r="A91" s="1436">
        <v>44615</v>
      </c>
      <c r="B91" s="453" t="s">
        <v>17</v>
      </c>
      <c r="C91" s="450">
        <v>1</v>
      </c>
      <c r="D91" s="571">
        <v>1</v>
      </c>
      <c r="E91" s="611">
        <v>1</v>
      </c>
      <c r="F91" s="611">
        <v>1</v>
      </c>
      <c r="G91" s="1417"/>
    </row>
    <row r="92" spans="1:7" ht="14.25" customHeight="1" x14ac:dyDescent="0.25">
      <c r="A92" s="1437"/>
      <c r="B92" s="453" t="s">
        <v>102</v>
      </c>
      <c r="C92" s="612">
        <f>24-C93-C94</f>
        <v>0</v>
      </c>
      <c r="D92" s="612">
        <f>24-D93-D94</f>
        <v>24</v>
      </c>
      <c r="E92" s="612">
        <f>24-E93-E94</f>
        <v>24</v>
      </c>
      <c r="F92" s="612">
        <f>24-F93-F94</f>
        <v>24</v>
      </c>
      <c r="G92" s="1418"/>
    </row>
    <row r="93" spans="1:7" ht="14.25" customHeight="1" x14ac:dyDescent="0.25">
      <c r="A93" s="1437"/>
      <c r="B93" s="448" t="s">
        <v>103</v>
      </c>
      <c r="C93" s="612">
        <v>24</v>
      </c>
      <c r="D93" s="612">
        <v>0</v>
      </c>
      <c r="E93" s="612">
        <v>0</v>
      </c>
      <c r="F93" s="612">
        <v>0</v>
      </c>
      <c r="G93" s="1418"/>
    </row>
    <row r="94" spans="1:7" ht="14.25" customHeight="1" thickBot="1" x14ac:dyDescent="0.3">
      <c r="A94" s="1438"/>
      <c r="B94" s="457" t="s">
        <v>104</v>
      </c>
      <c r="C94" s="706">
        <v>0</v>
      </c>
      <c r="D94" s="706">
        <v>0</v>
      </c>
      <c r="E94" s="576">
        <v>0</v>
      </c>
      <c r="F94" s="576">
        <v>0</v>
      </c>
      <c r="G94" s="1423"/>
    </row>
    <row r="95" spans="1:7" ht="14.25" customHeight="1" x14ac:dyDescent="0.25">
      <c r="A95" s="1436">
        <v>44616</v>
      </c>
      <c r="B95" s="453" t="s">
        <v>17</v>
      </c>
      <c r="C95" s="450">
        <v>1</v>
      </c>
      <c r="D95" s="571">
        <v>1</v>
      </c>
      <c r="E95" s="611">
        <v>1</v>
      </c>
      <c r="F95" s="611">
        <v>1</v>
      </c>
      <c r="G95" s="1417"/>
    </row>
    <row r="96" spans="1:7" ht="14.25" customHeight="1" x14ac:dyDescent="0.25">
      <c r="A96" s="1437"/>
      <c r="B96" s="453" t="s">
        <v>102</v>
      </c>
      <c r="C96" s="612">
        <f>24-C97-C98</f>
        <v>0</v>
      </c>
      <c r="D96" s="612">
        <f>24-D97-D98</f>
        <v>24</v>
      </c>
      <c r="E96" s="612">
        <f>24-E97-E98</f>
        <v>24</v>
      </c>
      <c r="F96" s="612">
        <f>24-F97-F98</f>
        <v>24</v>
      </c>
      <c r="G96" s="1418"/>
    </row>
    <row r="97" spans="1:7" ht="14.25" customHeight="1" x14ac:dyDescent="0.25">
      <c r="A97" s="1437"/>
      <c r="B97" s="448" t="s">
        <v>103</v>
      </c>
      <c r="C97" s="612">
        <v>24</v>
      </c>
      <c r="D97" s="612">
        <v>0</v>
      </c>
      <c r="E97" s="612">
        <v>0</v>
      </c>
      <c r="F97" s="612">
        <v>0</v>
      </c>
      <c r="G97" s="1418"/>
    </row>
    <row r="98" spans="1:7" ht="14.25" customHeight="1" thickBot="1" x14ac:dyDescent="0.3">
      <c r="A98" s="1438"/>
      <c r="B98" s="457" t="s">
        <v>104</v>
      </c>
      <c r="C98" s="706">
        <v>0</v>
      </c>
      <c r="D98" s="706">
        <v>0</v>
      </c>
      <c r="E98" s="576">
        <v>0</v>
      </c>
      <c r="F98" s="576">
        <v>0</v>
      </c>
      <c r="G98" s="1423"/>
    </row>
    <row r="99" spans="1:7" ht="14.25" customHeight="1" x14ac:dyDescent="0.25">
      <c r="A99" s="1436">
        <v>44617</v>
      </c>
      <c r="B99" s="453" t="s">
        <v>17</v>
      </c>
      <c r="C99" s="450">
        <v>1</v>
      </c>
      <c r="D99" s="571">
        <v>1</v>
      </c>
      <c r="E99" s="611">
        <v>1</v>
      </c>
      <c r="F99" s="611">
        <v>1</v>
      </c>
      <c r="G99" s="1417"/>
    </row>
    <row r="100" spans="1:7" ht="14.25" customHeight="1" x14ac:dyDescent="0.25">
      <c r="A100" s="1437"/>
      <c r="B100" s="453" t="s">
        <v>102</v>
      </c>
      <c r="C100" s="612">
        <f>24-C101-C102</f>
        <v>0</v>
      </c>
      <c r="D100" s="612">
        <f>24-D101-D102</f>
        <v>24</v>
      </c>
      <c r="E100" s="612">
        <f>24-E101-E102</f>
        <v>24</v>
      </c>
      <c r="F100" s="612">
        <f>24-F101-F102</f>
        <v>24</v>
      </c>
      <c r="G100" s="1418"/>
    </row>
    <row r="101" spans="1:7" ht="14.25" customHeight="1" x14ac:dyDescent="0.25">
      <c r="A101" s="1437"/>
      <c r="B101" s="448" t="s">
        <v>103</v>
      </c>
      <c r="C101" s="612">
        <v>24</v>
      </c>
      <c r="D101" s="612">
        <v>0</v>
      </c>
      <c r="E101" s="612">
        <v>0</v>
      </c>
      <c r="F101" s="612">
        <v>0</v>
      </c>
      <c r="G101" s="1418"/>
    </row>
    <row r="102" spans="1:7" ht="14.25" customHeight="1" thickBot="1" x14ac:dyDescent="0.3">
      <c r="A102" s="1438"/>
      <c r="B102" s="457" t="s">
        <v>104</v>
      </c>
      <c r="C102" s="706">
        <v>0</v>
      </c>
      <c r="D102" s="706">
        <v>0</v>
      </c>
      <c r="E102" s="576">
        <v>0</v>
      </c>
      <c r="F102" s="576">
        <v>0</v>
      </c>
      <c r="G102" s="1423"/>
    </row>
    <row r="103" spans="1:7" ht="17.25" customHeight="1" x14ac:dyDescent="0.25">
      <c r="A103" s="1436">
        <v>44618</v>
      </c>
      <c r="B103" s="453" t="s">
        <v>17</v>
      </c>
      <c r="C103" s="450">
        <v>1</v>
      </c>
      <c r="D103" s="571">
        <v>1</v>
      </c>
      <c r="E103" s="611">
        <v>1</v>
      </c>
      <c r="F103" s="611">
        <v>1</v>
      </c>
      <c r="G103" s="1417" t="s">
        <v>2266</v>
      </c>
    </row>
    <row r="104" spans="1:7" ht="21.75" customHeight="1" x14ac:dyDescent="0.25">
      <c r="A104" s="1437"/>
      <c r="B104" s="453" t="s">
        <v>102</v>
      </c>
      <c r="C104" s="612">
        <f>24-C105-C106</f>
        <v>0</v>
      </c>
      <c r="D104" s="612">
        <f>24-D105-D106</f>
        <v>20.5</v>
      </c>
      <c r="E104" s="612">
        <f>24-E105-E106</f>
        <v>24</v>
      </c>
      <c r="F104" s="612">
        <f>24-F105-F106</f>
        <v>24</v>
      </c>
      <c r="G104" s="1418"/>
    </row>
    <row r="105" spans="1:7" ht="21.75" customHeight="1" x14ac:dyDescent="0.25">
      <c r="A105" s="1437"/>
      <c r="B105" s="448" t="s">
        <v>103</v>
      </c>
      <c r="C105" s="612">
        <v>24</v>
      </c>
      <c r="D105" s="612">
        <v>3.5</v>
      </c>
      <c r="E105" s="612">
        <v>0</v>
      </c>
      <c r="F105" s="612">
        <v>0</v>
      </c>
      <c r="G105" s="1418"/>
    </row>
    <row r="106" spans="1:7" ht="21.75" customHeight="1" thickBot="1" x14ac:dyDescent="0.3">
      <c r="A106" s="1438"/>
      <c r="B106" s="457" t="s">
        <v>104</v>
      </c>
      <c r="C106" s="706">
        <v>0</v>
      </c>
      <c r="D106" s="706">
        <v>0</v>
      </c>
      <c r="E106" s="576">
        <v>0</v>
      </c>
      <c r="F106" s="576">
        <v>0</v>
      </c>
      <c r="G106" s="1423"/>
    </row>
    <row r="107" spans="1:7" ht="14.25" customHeight="1" x14ac:dyDescent="0.25">
      <c r="A107" s="1436">
        <v>44619</v>
      </c>
      <c r="B107" s="453" t="s">
        <v>17</v>
      </c>
      <c r="C107" s="450">
        <v>1</v>
      </c>
      <c r="D107" s="571">
        <v>1</v>
      </c>
      <c r="E107" s="611">
        <v>1</v>
      </c>
      <c r="F107" s="611">
        <v>1</v>
      </c>
      <c r="G107" s="1417" t="s">
        <v>2271</v>
      </c>
    </row>
    <row r="108" spans="1:7" ht="13.5" customHeight="1" x14ac:dyDescent="0.25">
      <c r="A108" s="1437"/>
      <c r="B108" s="453" t="s">
        <v>102</v>
      </c>
      <c r="C108" s="612">
        <f>24-C109-C110</f>
        <v>15.5</v>
      </c>
      <c r="D108" s="612">
        <f>24-D109-D110</f>
        <v>21.3</v>
      </c>
      <c r="E108" s="612">
        <f>24-E109-E110</f>
        <v>24</v>
      </c>
      <c r="F108" s="612">
        <f>24-F109-F110</f>
        <v>24</v>
      </c>
      <c r="G108" s="1418"/>
    </row>
    <row r="109" spans="1:7" ht="13.5" customHeight="1" x14ac:dyDescent="0.25">
      <c r="A109" s="1437"/>
      <c r="B109" s="448" t="s">
        <v>103</v>
      </c>
      <c r="C109" s="612">
        <v>8.5</v>
      </c>
      <c r="D109" s="612">
        <v>2.7</v>
      </c>
      <c r="E109" s="612">
        <v>0</v>
      </c>
      <c r="F109" s="612">
        <v>0</v>
      </c>
      <c r="G109" s="1418"/>
    </row>
    <row r="110" spans="1:7" ht="13.5" customHeight="1" thickBot="1" x14ac:dyDescent="0.3">
      <c r="A110" s="1438"/>
      <c r="B110" s="457" t="s">
        <v>104</v>
      </c>
      <c r="C110" s="706">
        <v>0</v>
      </c>
      <c r="D110" s="706">
        <v>0</v>
      </c>
      <c r="E110" s="576">
        <v>0</v>
      </c>
      <c r="F110" s="576">
        <v>0</v>
      </c>
      <c r="G110" s="1423"/>
    </row>
    <row r="111" spans="1:7" ht="13.5" customHeight="1" x14ac:dyDescent="0.25">
      <c r="A111" s="1436">
        <v>44620</v>
      </c>
      <c r="B111" s="453" t="s">
        <v>17</v>
      </c>
      <c r="C111" s="450">
        <v>1</v>
      </c>
      <c r="D111" s="571">
        <v>1</v>
      </c>
      <c r="E111" s="611">
        <v>1</v>
      </c>
      <c r="F111" s="611">
        <v>1</v>
      </c>
      <c r="G111" s="1417" t="s">
        <v>2275</v>
      </c>
    </row>
    <row r="112" spans="1:7" ht="13.5" customHeight="1" x14ac:dyDescent="0.25">
      <c r="A112" s="1437"/>
      <c r="B112" s="453" t="s">
        <v>102</v>
      </c>
      <c r="C112" s="612">
        <f>24-C113-C114</f>
        <v>9.25</v>
      </c>
      <c r="D112" s="612">
        <f>24-D113-D114</f>
        <v>24</v>
      </c>
      <c r="E112" s="612">
        <f>24-E113-E114</f>
        <v>24</v>
      </c>
      <c r="F112" s="612">
        <f>24-F113-F114</f>
        <v>24</v>
      </c>
      <c r="G112" s="1418"/>
    </row>
    <row r="113" spans="1:7" ht="13.5" customHeight="1" x14ac:dyDescent="0.25">
      <c r="A113" s="1437"/>
      <c r="B113" s="448" t="s">
        <v>103</v>
      </c>
      <c r="C113" s="612">
        <v>14.75</v>
      </c>
      <c r="D113" s="612">
        <v>0</v>
      </c>
      <c r="E113" s="612">
        <v>0</v>
      </c>
      <c r="F113" s="612">
        <v>0</v>
      </c>
      <c r="G113" s="1418"/>
    </row>
    <row r="114" spans="1:7" ht="13.5" customHeight="1" thickBot="1" x14ac:dyDescent="0.3">
      <c r="A114" s="1438"/>
      <c r="B114" s="457" t="s">
        <v>104</v>
      </c>
      <c r="C114" s="706">
        <v>0</v>
      </c>
      <c r="D114" s="706">
        <v>0</v>
      </c>
      <c r="E114" s="576">
        <v>0</v>
      </c>
      <c r="F114" s="576">
        <v>0</v>
      </c>
      <c r="G114" s="1423"/>
    </row>
    <row r="115" spans="1:7" x14ac:dyDescent="0.25">
      <c r="A115" s="464" t="s">
        <v>2098</v>
      </c>
      <c r="B115" s="465"/>
      <c r="C115" s="466">
        <f>SUM(C112,C108,C104,C100,C96,C92,C88,C84,C80,C76,C72,C68,C64,C60,C56,C52,C48,C44,C40,C36,C32,C28,C24,C20,C16,C12,C8,C4)</f>
        <v>220.64000000000004</v>
      </c>
      <c r="D115" s="466">
        <f t="shared" ref="C115:F117" si="0">SUM(D112,D108,D104,D100,D96,D92,D88,D84,D80,D76,D72,D68,D64,D60,D56,D52,D48,D44,D40,D36,D32,D28,D24,D20,D16,D12,D8,D4)</f>
        <v>643.49</v>
      </c>
      <c r="E115" s="466">
        <f t="shared" si="0"/>
        <v>672</v>
      </c>
      <c r="F115" s="466">
        <f t="shared" si="0"/>
        <v>672</v>
      </c>
      <c r="G115" s="468"/>
    </row>
    <row r="116" spans="1:7" x14ac:dyDescent="0.25">
      <c r="A116" s="700" t="s">
        <v>2097</v>
      </c>
      <c r="B116" s="134"/>
      <c r="C116" s="469">
        <f>SUM(C113,C109,C105,C101,C97,C93,C89,C85,C81,C77,C73,C69,C65,C61,C57,C53,C49,C45,C41,C37,C33,C29,C25,C21,C17,C13,C9,C5)</f>
        <v>451.35999999999996</v>
      </c>
      <c r="D116" s="469">
        <f t="shared" si="0"/>
        <v>28.51</v>
      </c>
      <c r="E116" s="469">
        <f t="shared" si="0"/>
        <v>0</v>
      </c>
      <c r="F116" s="469">
        <f t="shared" si="0"/>
        <v>0</v>
      </c>
      <c r="G116" s="471"/>
    </row>
    <row r="117" spans="1:7" ht="15.75" thickBot="1" x14ac:dyDescent="0.3">
      <c r="A117" s="701" t="s">
        <v>2096</v>
      </c>
      <c r="B117" s="472"/>
      <c r="C117" s="473">
        <f t="shared" si="0"/>
        <v>0</v>
      </c>
      <c r="D117" s="473">
        <f t="shared" si="0"/>
        <v>0</v>
      </c>
      <c r="E117" s="473">
        <f t="shared" si="0"/>
        <v>0</v>
      </c>
      <c r="F117" s="473">
        <f t="shared" si="0"/>
        <v>0</v>
      </c>
      <c r="G117" s="475"/>
    </row>
    <row r="118" spans="1:7" ht="15.75" thickBot="1" x14ac:dyDescent="0.3">
      <c r="A118" s="476" t="s">
        <v>108</v>
      </c>
      <c r="B118" s="477"/>
      <c r="C118" s="478"/>
      <c r="D118" s="478"/>
      <c r="E118" s="478"/>
      <c r="F118" s="478"/>
      <c r="G118" s="141"/>
    </row>
  </sheetData>
  <mergeCells count="56">
    <mergeCell ref="A111:A114"/>
    <mergeCell ref="G111:G114"/>
    <mergeCell ref="A99:A102"/>
    <mergeCell ref="G99:G102"/>
    <mergeCell ref="A103:A106"/>
    <mergeCell ref="G103:G106"/>
    <mergeCell ref="A107:A110"/>
    <mergeCell ref="G107:G110"/>
    <mergeCell ref="A87:A90"/>
    <mergeCell ref="G87:G90"/>
    <mergeCell ref="A91:A94"/>
    <mergeCell ref="G91:G94"/>
    <mergeCell ref="A95:A98"/>
    <mergeCell ref="G95:G98"/>
    <mergeCell ref="A75:A78"/>
    <mergeCell ref="G75:G78"/>
    <mergeCell ref="A79:A82"/>
    <mergeCell ref="G79:G82"/>
    <mergeCell ref="A83:A86"/>
    <mergeCell ref="G83:G86"/>
    <mergeCell ref="A63:A66"/>
    <mergeCell ref="G63:G66"/>
    <mergeCell ref="A67:A70"/>
    <mergeCell ref="G67:G70"/>
    <mergeCell ref="A71:A74"/>
    <mergeCell ref="G71:G74"/>
    <mergeCell ref="A51:A54"/>
    <mergeCell ref="A55:A58"/>
    <mergeCell ref="G55:G58"/>
    <mergeCell ref="A59:A62"/>
    <mergeCell ref="G59:G62"/>
    <mergeCell ref="G47:G54"/>
    <mergeCell ref="A39:A42"/>
    <mergeCell ref="G39:G42"/>
    <mergeCell ref="A43:A46"/>
    <mergeCell ref="G43:G46"/>
    <mergeCell ref="A47:A50"/>
    <mergeCell ref="A27:A30"/>
    <mergeCell ref="G27:G30"/>
    <mergeCell ref="A31:A34"/>
    <mergeCell ref="G31:G34"/>
    <mergeCell ref="A35:A38"/>
    <mergeCell ref="G35:G38"/>
    <mergeCell ref="A1:G1"/>
    <mergeCell ref="A3:A6"/>
    <mergeCell ref="G3:G6"/>
    <mergeCell ref="A7:A10"/>
    <mergeCell ref="A11:A14"/>
    <mergeCell ref="A15:A18"/>
    <mergeCell ref="A19:A22"/>
    <mergeCell ref="A23:A26"/>
    <mergeCell ref="G7:G10"/>
    <mergeCell ref="G11:G14"/>
    <mergeCell ref="G15:G18"/>
    <mergeCell ref="G19:G22"/>
    <mergeCell ref="G23:G2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G130"/>
  <sheetViews>
    <sheetView zoomScaleNormal="100" workbookViewId="0">
      <pane ySplit="2" topLeftCell="A81" activePane="bottomLeft" state="frozen"/>
      <selection pane="bottomLeft" activeCell="G83" sqref="G83:G94"/>
    </sheetView>
  </sheetViews>
  <sheetFormatPr defaultRowHeight="15" x14ac:dyDescent="0.25"/>
  <cols>
    <col min="1" max="1" width="47.7109375" customWidth="1"/>
    <col min="2" max="2" width="25" customWidth="1"/>
    <col min="4" max="4" width="9.140625" style="1"/>
    <col min="7" max="7" width="54.7109375" customWidth="1"/>
  </cols>
  <sheetData>
    <row r="1" spans="1:7" ht="21.75" thickBot="1" x14ac:dyDescent="0.4">
      <c r="A1" s="1443" t="s">
        <v>73</v>
      </c>
      <c r="B1" s="1443"/>
      <c r="C1" s="1443"/>
      <c r="D1" s="1443"/>
      <c r="E1" s="1443"/>
      <c r="F1" s="1443"/>
      <c r="G1" s="1443"/>
    </row>
    <row r="2" spans="1:7" ht="16.5" thickBot="1" x14ac:dyDescent="0.3">
      <c r="A2" s="108" t="s">
        <v>98</v>
      </c>
      <c r="B2" s="608"/>
      <c r="C2" s="607" t="s">
        <v>310</v>
      </c>
      <c r="D2" s="607" t="s">
        <v>239</v>
      </c>
      <c r="E2" s="447" t="s">
        <v>100</v>
      </c>
      <c r="F2" s="682" t="s">
        <v>157</v>
      </c>
      <c r="G2" s="111" t="s">
        <v>101</v>
      </c>
    </row>
    <row r="3" spans="1:7" ht="13.5" customHeight="1" x14ac:dyDescent="0.25">
      <c r="A3" s="1436">
        <v>44621</v>
      </c>
      <c r="B3" s="453" t="s">
        <v>17</v>
      </c>
      <c r="C3" s="450">
        <v>1</v>
      </c>
      <c r="D3" s="571">
        <v>1</v>
      </c>
      <c r="E3" s="611">
        <v>1</v>
      </c>
      <c r="F3" s="611">
        <v>1</v>
      </c>
      <c r="G3" s="1417" t="s">
        <v>2294</v>
      </c>
    </row>
    <row r="4" spans="1:7" ht="13.5" customHeight="1" x14ac:dyDescent="0.25">
      <c r="A4" s="1437"/>
      <c r="B4" s="453" t="s">
        <v>102</v>
      </c>
      <c r="C4" s="612">
        <f>24-C5-C6</f>
        <v>0</v>
      </c>
      <c r="D4" s="612">
        <f>24-D5-D6</f>
        <v>15</v>
      </c>
      <c r="E4" s="612">
        <f>24-E5-E6</f>
        <v>24</v>
      </c>
      <c r="F4" s="612">
        <f>24-F5-F6</f>
        <v>24</v>
      </c>
      <c r="G4" s="1418"/>
    </row>
    <row r="5" spans="1:7" ht="13.5" customHeight="1" x14ac:dyDescent="0.25">
      <c r="A5" s="1437"/>
      <c r="B5" s="448" t="s">
        <v>103</v>
      </c>
      <c r="C5" s="612">
        <v>24</v>
      </c>
      <c r="D5" s="612">
        <v>9</v>
      </c>
      <c r="E5" s="612">
        <v>0</v>
      </c>
      <c r="F5" s="612">
        <v>0</v>
      </c>
      <c r="G5" s="1418"/>
    </row>
    <row r="6" spans="1:7" ht="15.75" thickBot="1" x14ac:dyDescent="0.3">
      <c r="A6" s="1438"/>
      <c r="B6" s="457" t="s">
        <v>104</v>
      </c>
      <c r="C6" s="576">
        <v>0</v>
      </c>
      <c r="D6" s="576">
        <v>0</v>
      </c>
      <c r="E6" s="576">
        <v>0</v>
      </c>
      <c r="F6" s="576">
        <v>0</v>
      </c>
      <c r="G6" s="1423"/>
    </row>
    <row r="7" spans="1:7" ht="13.5" customHeight="1" x14ac:dyDescent="0.25">
      <c r="A7" s="1436">
        <v>44622</v>
      </c>
      <c r="B7" s="453" t="s">
        <v>17</v>
      </c>
      <c r="C7" s="450">
        <v>1</v>
      </c>
      <c r="D7" s="571">
        <v>1</v>
      </c>
      <c r="E7" s="611">
        <v>1</v>
      </c>
      <c r="F7" s="611">
        <v>1</v>
      </c>
      <c r="G7" s="1417" t="s">
        <v>2292</v>
      </c>
    </row>
    <row r="8" spans="1:7" ht="13.5" customHeight="1" x14ac:dyDescent="0.25">
      <c r="A8" s="1437"/>
      <c r="B8" s="453" t="s">
        <v>102</v>
      </c>
      <c r="C8" s="612">
        <f>24-C9-C10</f>
        <v>0</v>
      </c>
      <c r="D8" s="612">
        <f>24-D9-D10</f>
        <v>24</v>
      </c>
      <c r="E8" s="612">
        <f>24-E9-E10</f>
        <v>24</v>
      </c>
      <c r="F8" s="612">
        <f>24-F9-F10</f>
        <v>17.98</v>
      </c>
      <c r="G8" s="1418"/>
    </row>
    <row r="9" spans="1:7" ht="13.5" customHeight="1" x14ac:dyDescent="0.25">
      <c r="A9" s="1437"/>
      <c r="B9" s="448" t="s">
        <v>103</v>
      </c>
      <c r="C9" s="612">
        <v>24</v>
      </c>
      <c r="D9" s="612">
        <v>0</v>
      </c>
      <c r="E9" s="612">
        <v>0</v>
      </c>
      <c r="F9" s="612">
        <v>6.02</v>
      </c>
      <c r="G9" s="1418"/>
    </row>
    <row r="10" spans="1:7" ht="13.5" customHeight="1" thickBot="1" x14ac:dyDescent="0.3">
      <c r="A10" s="1438"/>
      <c r="B10" s="457" t="s">
        <v>104</v>
      </c>
      <c r="C10" s="576">
        <v>0</v>
      </c>
      <c r="D10" s="576">
        <v>0</v>
      </c>
      <c r="E10" s="576">
        <v>0</v>
      </c>
      <c r="F10" s="576">
        <v>0</v>
      </c>
      <c r="G10" s="1423"/>
    </row>
    <row r="11" spans="1:7" ht="13.5" customHeight="1" x14ac:dyDescent="0.25">
      <c r="A11" s="1436">
        <v>44623</v>
      </c>
      <c r="B11" s="453" t="s">
        <v>17</v>
      </c>
      <c r="C11" s="450">
        <v>1</v>
      </c>
      <c r="D11" s="571">
        <v>1</v>
      </c>
      <c r="E11" s="611">
        <v>1</v>
      </c>
      <c r="F11" s="611">
        <v>1</v>
      </c>
      <c r="G11" s="1417" t="s">
        <v>2293</v>
      </c>
    </row>
    <row r="12" spans="1:7" ht="13.5" customHeight="1" x14ac:dyDescent="0.25">
      <c r="A12" s="1437"/>
      <c r="B12" s="453" t="s">
        <v>102</v>
      </c>
      <c r="C12" s="612">
        <f>24-C13-C14</f>
        <v>14.47</v>
      </c>
      <c r="D12" s="612">
        <f>24-D13-D14</f>
        <v>20.83</v>
      </c>
      <c r="E12" s="612">
        <f>24-E13-E14</f>
        <v>17.829999999999998</v>
      </c>
      <c r="F12" s="612">
        <f>24-F13-F14</f>
        <v>24</v>
      </c>
      <c r="G12" s="1418"/>
    </row>
    <row r="13" spans="1:7" ht="13.5" customHeight="1" x14ac:dyDescent="0.25">
      <c r="A13" s="1437"/>
      <c r="B13" s="448" t="s">
        <v>103</v>
      </c>
      <c r="C13" s="612">
        <v>9.5299999999999994</v>
      </c>
      <c r="D13" s="612">
        <v>3.17</v>
      </c>
      <c r="E13" s="612">
        <v>6.17</v>
      </c>
      <c r="F13" s="612">
        <v>0</v>
      </c>
      <c r="G13" s="1418"/>
    </row>
    <row r="14" spans="1:7" ht="78.75" customHeight="1" thickBot="1" x14ac:dyDescent="0.3">
      <c r="A14" s="1438"/>
      <c r="B14" s="457" t="s">
        <v>104</v>
      </c>
      <c r="C14" s="576">
        <v>0</v>
      </c>
      <c r="D14" s="576">
        <v>0</v>
      </c>
      <c r="E14" s="576">
        <v>0</v>
      </c>
      <c r="F14" s="576">
        <v>0</v>
      </c>
      <c r="G14" s="1423"/>
    </row>
    <row r="15" spans="1:7" ht="13.5" customHeight="1" x14ac:dyDescent="0.25">
      <c r="A15" s="1436">
        <v>44624</v>
      </c>
      <c r="B15" s="453" t="s">
        <v>17</v>
      </c>
      <c r="C15" s="450">
        <v>1</v>
      </c>
      <c r="D15" s="571">
        <v>1</v>
      </c>
      <c r="E15" s="611">
        <v>1</v>
      </c>
      <c r="F15" s="611">
        <v>1</v>
      </c>
      <c r="G15" s="1417" t="s">
        <v>2300</v>
      </c>
    </row>
    <row r="16" spans="1:7" ht="13.5" customHeight="1" x14ac:dyDescent="0.25">
      <c r="A16" s="1437"/>
      <c r="B16" s="453" t="s">
        <v>102</v>
      </c>
      <c r="C16" s="612">
        <f>24-C17-C18</f>
        <v>24</v>
      </c>
      <c r="D16" s="612">
        <f>24-D17-D18</f>
        <v>18.25</v>
      </c>
      <c r="E16" s="612">
        <f>24-E17-E18</f>
        <v>24</v>
      </c>
      <c r="F16" s="612">
        <f>24-F17-F18</f>
        <v>24</v>
      </c>
      <c r="G16" s="1418"/>
    </row>
    <row r="17" spans="1:7" ht="13.5" customHeight="1" x14ac:dyDescent="0.25">
      <c r="A17" s="1437"/>
      <c r="B17" s="448" t="s">
        <v>103</v>
      </c>
      <c r="C17" s="612">
        <v>0</v>
      </c>
      <c r="D17" s="612">
        <v>5.75</v>
      </c>
      <c r="E17" s="612">
        <v>0</v>
      </c>
      <c r="F17" s="612">
        <v>0</v>
      </c>
      <c r="G17" s="1418"/>
    </row>
    <row r="18" spans="1:7" ht="13.5" customHeight="1" thickBot="1" x14ac:dyDescent="0.3">
      <c r="A18" s="1438"/>
      <c r="B18" s="457" t="s">
        <v>104</v>
      </c>
      <c r="C18" s="706">
        <v>0</v>
      </c>
      <c r="D18" s="706">
        <v>0</v>
      </c>
      <c r="E18" s="576">
        <v>0</v>
      </c>
      <c r="F18" s="576">
        <v>0</v>
      </c>
      <c r="G18" s="1423"/>
    </row>
    <row r="19" spans="1:7" ht="13.5" customHeight="1" x14ac:dyDescent="0.25">
      <c r="A19" s="1436">
        <v>44625</v>
      </c>
      <c r="B19" s="453" t="s">
        <v>17</v>
      </c>
      <c r="C19" s="722">
        <v>1</v>
      </c>
      <c r="D19" s="722">
        <v>1</v>
      </c>
      <c r="E19" s="705">
        <v>1</v>
      </c>
      <c r="F19" s="611">
        <v>1</v>
      </c>
      <c r="G19" s="1417" t="s">
        <v>2306</v>
      </c>
    </row>
    <row r="20" spans="1:7" ht="13.5" customHeight="1" x14ac:dyDescent="0.25">
      <c r="A20" s="1437"/>
      <c r="B20" s="453" t="s">
        <v>102</v>
      </c>
      <c r="C20" s="612">
        <f>24-C21-C22</f>
        <v>2.75</v>
      </c>
      <c r="D20" s="612">
        <f>24-D21-D22</f>
        <v>24</v>
      </c>
      <c r="E20" s="612">
        <f>24-E21-E22</f>
        <v>24</v>
      </c>
      <c r="F20" s="612">
        <f>24-F21-F22</f>
        <v>24</v>
      </c>
      <c r="G20" s="1418"/>
    </row>
    <row r="21" spans="1:7" ht="13.5" customHeight="1" x14ac:dyDescent="0.25">
      <c r="A21" s="1437"/>
      <c r="B21" s="448" t="s">
        <v>103</v>
      </c>
      <c r="C21" s="612">
        <v>21.25</v>
      </c>
      <c r="D21" s="612">
        <v>0</v>
      </c>
      <c r="E21" s="612">
        <v>0</v>
      </c>
      <c r="F21" s="612">
        <v>0</v>
      </c>
      <c r="G21" s="1418"/>
    </row>
    <row r="22" spans="1:7" ht="13.5" customHeight="1" thickBot="1" x14ac:dyDescent="0.3">
      <c r="A22" s="1438"/>
      <c r="B22" s="457" t="s">
        <v>104</v>
      </c>
      <c r="C22" s="576">
        <v>0</v>
      </c>
      <c r="D22" s="576">
        <v>0</v>
      </c>
      <c r="E22" s="576">
        <v>0</v>
      </c>
      <c r="F22" s="576">
        <v>0</v>
      </c>
      <c r="G22" s="1423"/>
    </row>
    <row r="23" spans="1:7" ht="18.75" customHeight="1" x14ac:dyDescent="0.25">
      <c r="A23" s="1436">
        <v>44626</v>
      </c>
      <c r="B23" s="453" t="s">
        <v>17</v>
      </c>
      <c r="C23" s="722">
        <v>1</v>
      </c>
      <c r="D23" s="722">
        <v>1</v>
      </c>
      <c r="E23" s="705">
        <v>1</v>
      </c>
      <c r="F23" s="611">
        <v>1</v>
      </c>
      <c r="G23" s="1417"/>
    </row>
    <row r="24" spans="1:7" ht="18.75" customHeight="1" x14ac:dyDescent="0.25">
      <c r="A24" s="1437"/>
      <c r="B24" s="453" t="s">
        <v>102</v>
      </c>
      <c r="C24" s="612">
        <f>24-C25-C26</f>
        <v>0</v>
      </c>
      <c r="D24" s="612">
        <f>24-D25-D26</f>
        <v>24</v>
      </c>
      <c r="E24" s="612">
        <f>24-E25-E26</f>
        <v>24</v>
      </c>
      <c r="F24" s="612">
        <f>24-F25-F26</f>
        <v>24</v>
      </c>
      <c r="G24" s="1418"/>
    </row>
    <row r="25" spans="1:7" ht="18.75" customHeight="1" x14ac:dyDescent="0.25">
      <c r="A25" s="1437"/>
      <c r="B25" s="448" t="s">
        <v>103</v>
      </c>
      <c r="C25" s="612">
        <v>24</v>
      </c>
      <c r="D25" s="612">
        <v>0</v>
      </c>
      <c r="E25" s="612">
        <v>0</v>
      </c>
      <c r="F25" s="612">
        <v>0</v>
      </c>
      <c r="G25" s="1418"/>
    </row>
    <row r="26" spans="1:7" ht="18.75" customHeight="1" thickBot="1" x14ac:dyDescent="0.3">
      <c r="A26" s="1438"/>
      <c r="B26" s="457" t="s">
        <v>104</v>
      </c>
      <c r="C26" s="576">
        <v>0</v>
      </c>
      <c r="D26" s="576">
        <v>0</v>
      </c>
      <c r="E26" s="576">
        <v>0</v>
      </c>
      <c r="F26" s="576">
        <v>0</v>
      </c>
      <c r="G26" s="1423"/>
    </row>
    <row r="27" spans="1:7" ht="13.5" customHeight="1" x14ac:dyDescent="0.25">
      <c r="A27" s="1436">
        <v>44627</v>
      </c>
      <c r="B27" s="453" t="s">
        <v>17</v>
      </c>
      <c r="C27" s="722">
        <v>1</v>
      </c>
      <c r="D27" s="722">
        <v>1</v>
      </c>
      <c r="E27" s="705">
        <v>1</v>
      </c>
      <c r="F27" s="611">
        <v>1</v>
      </c>
      <c r="G27" s="1417" t="s">
        <v>2321</v>
      </c>
    </row>
    <row r="28" spans="1:7" ht="13.5" customHeight="1" x14ac:dyDescent="0.25">
      <c r="A28" s="1437"/>
      <c r="B28" s="453" t="s">
        <v>102</v>
      </c>
      <c r="C28" s="612">
        <f>24-C29-C30</f>
        <v>0</v>
      </c>
      <c r="D28" s="612">
        <f>24-D29-D30</f>
        <v>18.079999999999998</v>
      </c>
      <c r="E28" s="612">
        <f>24-E29-E30</f>
        <v>24</v>
      </c>
      <c r="F28" s="612">
        <f>24-F29-F30</f>
        <v>24</v>
      </c>
      <c r="G28" s="1418"/>
    </row>
    <row r="29" spans="1:7" ht="13.5" customHeight="1" x14ac:dyDescent="0.25">
      <c r="A29" s="1437"/>
      <c r="B29" s="448" t="s">
        <v>103</v>
      </c>
      <c r="C29" s="612">
        <v>24</v>
      </c>
      <c r="D29" s="612">
        <v>5.92</v>
      </c>
      <c r="E29" s="612">
        <v>0</v>
      </c>
      <c r="F29" s="612">
        <v>0</v>
      </c>
      <c r="G29" s="1418"/>
    </row>
    <row r="30" spans="1:7" ht="43.5" customHeight="1" thickBot="1" x14ac:dyDescent="0.3">
      <c r="A30" s="1438"/>
      <c r="B30" s="457" t="s">
        <v>104</v>
      </c>
      <c r="C30" s="576">
        <v>0</v>
      </c>
      <c r="D30" s="576">
        <v>0</v>
      </c>
      <c r="E30" s="576">
        <v>0</v>
      </c>
      <c r="F30" s="576">
        <v>0</v>
      </c>
      <c r="G30" s="1423"/>
    </row>
    <row r="31" spans="1:7" x14ac:dyDescent="0.25">
      <c r="A31" s="1436">
        <v>44628</v>
      </c>
      <c r="B31" s="453" t="s">
        <v>17</v>
      </c>
      <c r="C31" s="722">
        <v>1</v>
      </c>
      <c r="D31" s="722">
        <v>1</v>
      </c>
      <c r="E31" s="705">
        <v>1</v>
      </c>
      <c r="F31" s="611">
        <v>1</v>
      </c>
      <c r="G31" s="1417"/>
    </row>
    <row r="32" spans="1:7" x14ac:dyDescent="0.25">
      <c r="A32" s="1437"/>
      <c r="B32" s="453" t="s">
        <v>102</v>
      </c>
      <c r="C32" s="612">
        <f>24-C33-C34</f>
        <v>0</v>
      </c>
      <c r="D32" s="612">
        <f>24-D33-D34</f>
        <v>24</v>
      </c>
      <c r="E32" s="612">
        <f>24-E33-E34</f>
        <v>24</v>
      </c>
      <c r="F32" s="612">
        <f>24-F33-F34</f>
        <v>24</v>
      </c>
      <c r="G32" s="1418"/>
    </row>
    <row r="33" spans="1:7" x14ac:dyDescent="0.25">
      <c r="A33" s="1437"/>
      <c r="B33" s="448" t="s">
        <v>103</v>
      </c>
      <c r="C33" s="612">
        <v>24</v>
      </c>
      <c r="D33" s="612">
        <v>0</v>
      </c>
      <c r="E33" s="612">
        <v>0</v>
      </c>
      <c r="F33" s="612">
        <v>0</v>
      </c>
      <c r="G33" s="1418"/>
    </row>
    <row r="34" spans="1:7" ht="15.75" thickBot="1" x14ac:dyDescent="0.3">
      <c r="A34" s="1438"/>
      <c r="B34" s="457" t="s">
        <v>104</v>
      </c>
      <c r="C34" s="576">
        <v>0</v>
      </c>
      <c r="D34" s="576">
        <v>0</v>
      </c>
      <c r="E34" s="576">
        <v>0</v>
      </c>
      <c r="F34" s="576">
        <v>0</v>
      </c>
      <c r="G34" s="1423"/>
    </row>
    <row r="35" spans="1:7" ht="27" customHeight="1" x14ac:dyDescent="0.25">
      <c r="A35" s="1436">
        <v>44629</v>
      </c>
      <c r="B35" s="453" t="s">
        <v>17</v>
      </c>
      <c r="C35" s="722">
        <v>1</v>
      </c>
      <c r="D35" s="722">
        <v>1</v>
      </c>
      <c r="E35" s="705">
        <v>1</v>
      </c>
      <c r="F35" s="611">
        <v>1</v>
      </c>
      <c r="G35" s="1417" t="s">
        <v>2339</v>
      </c>
    </row>
    <row r="36" spans="1:7" ht="27" customHeight="1" x14ac:dyDescent="0.25">
      <c r="A36" s="1437"/>
      <c r="B36" s="453" t="s">
        <v>102</v>
      </c>
      <c r="C36" s="612">
        <f>24-C37-C38</f>
        <v>0</v>
      </c>
      <c r="D36" s="612">
        <f>24-D37-D38</f>
        <v>19.5</v>
      </c>
      <c r="E36" s="612">
        <f>24-E37-E38</f>
        <v>24</v>
      </c>
      <c r="F36" s="612">
        <f>24-F37-F38</f>
        <v>24</v>
      </c>
      <c r="G36" s="1418"/>
    </row>
    <row r="37" spans="1:7" ht="27" customHeight="1" x14ac:dyDescent="0.25">
      <c r="A37" s="1437"/>
      <c r="B37" s="448" t="s">
        <v>103</v>
      </c>
      <c r="C37" s="612">
        <v>24</v>
      </c>
      <c r="D37" s="612">
        <v>4.5</v>
      </c>
      <c r="E37" s="612">
        <v>0</v>
      </c>
      <c r="F37" s="612">
        <v>0</v>
      </c>
      <c r="G37" s="1418"/>
    </row>
    <row r="38" spans="1:7" ht="27" customHeight="1" thickBot="1" x14ac:dyDescent="0.3">
      <c r="A38" s="1438"/>
      <c r="B38" s="457" t="s">
        <v>104</v>
      </c>
      <c r="C38" s="576">
        <v>0</v>
      </c>
      <c r="D38" s="576">
        <v>0</v>
      </c>
      <c r="E38" s="576">
        <v>0</v>
      </c>
      <c r="F38" s="576">
        <v>0</v>
      </c>
      <c r="G38" s="1418"/>
    </row>
    <row r="39" spans="1:7" ht="14.25" customHeight="1" x14ac:dyDescent="0.25">
      <c r="A39" s="1436">
        <v>44630</v>
      </c>
      <c r="B39" s="453" t="s">
        <v>17</v>
      </c>
      <c r="C39" s="722">
        <v>1</v>
      </c>
      <c r="D39" s="722">
        <v>1</v>
      </c>
      <c r="E39" s="705">
        <v>1</v>
      </c>
      <c r="F39" s="611">
        <v>1</v>
      </c>
      <c r="G39" s="1418"/>
    </row>
    <row r="40" spans="1:7" ht="14.25" customHeight="1" x14ac:dyDescent="0.25">
      <c r="A40" s="1437"/>
      <c r="B40" s="453" t="s">
        <v>102</v>
      </c>
      <c r="C40" s="612">
        <f>24-C41-C42</f>
        <v>0</v>
      </c>
      <c r="D40" s="612">
        <f>24-D41-D42</f>
        <v>10</v>
      </c>
      <c r="E40" s="612">
        <f>24-E41-E42</f>
        <v>24</v>
      </c>
      <c r="F40" s="612">
        <f>24-F41-F42</f>
        <v>24</v>
      </c>
      <c r="G40" s="1418"/>
    </row>
    <row r="41" spans="1:7" ht="14.25" customHeight="1" x14ac:dyDescent="0.25">
      <c r="A41" s="1437"/>
      <c r="B41" s="448" t="s">
        <v>103</v>
      </c>
      <c r="C41" s="612">
        <v>24</v>
      </c>
      <c r="D41" s="612">
        <v>14</v>
      </c>
      <c r="E41" s="612">
        <v>0</v>
      </c>
      <c r="F41" s="612">
        <v>0</v>
      </c>
      <c r="G41" s="1418"/>
    </row>
    <row r="42" spans="1:7" ht="14.25" customHeight="1" thickBot="1" x14ac:dyDescent="0.3">
      <c r="A42" s="1438"/>
      <c r="B42" s="457" t="s">
        <v>104</v>
      </c>
      <c r="C42" s="576">
        <v>0</v>
      </c>
      <c r="D42" s="576">
        <v>0</v>
      </c>
      <c r="E42" s="576">
        <v>0</v>
      </c>
      <c r="F42" s="576">
        <v>0</v>
      </c>
      <c r="G42" s="1423"/>
    </row>
    <row r="43" spans="1:7" x14ac:dyDescent="0.25">
      <c r="A43" s="1436">
        <v>44631</v>
      </c>
      <c r="B43" s="453" t="s">
        <v>17</v>
      </c>
      <c r="C43" s="722">
        <v>1</v>
      </c>
      <c r="D43" s="722">
        <v>1</v>
      </c>
      <c r="E43" s="705">
        <v>1</v>
      </c>
      <c r="F43" s="611">
        <v>1</v>
      </c>
      <c r="G43" s="1417" t="s">
        <v>2343</v>
      </c>
    </row>
    <row r="44" spans="1:7" x14ac:dyDescent="0.25">
      <c r="A44" s="1437"/>
      <c r="B44" s="453" t="s">
        <v>102</v>
      </c>
      <c r="C44" s="612">
        <f>24-C45-C46</f>
        <v>12.58</v>
      </c>
      <c r="D44" s="612">
        <f>24-D45-D46</f>
        <v>24</v>
      </c>
      <c r="E44" s="612">
        <f>24-E45-E46</f>
        <v>24</v>
      </c>
      <c r="F44" s="612">
        <f>24-F45-F46</f>
        <v>24</v>
      </c>
      <c r="G44" s="1418"/>
    </row>
    <row r="45" spans="1:7" x14ac:dyDescent="0.25">
      <c r="A45" s="1437"/>
      <c r="B45" s="448" t="s">
        <v>103</v>
      </c>
      <c r="C45" s="612">
        <v>11.42</v>
      </c>
      <c r="D45" s="612">
        <v>0</v>
      </c>
      <c r="E45" s="612">
        <v>0</v>
      </c>
      <c r="F45" s="612">
        <v>0</v>
      </c>
      <c r="G45" s="1418"/>
    </row>
    <row r="46" spans="1:7" ht="15.75" thickBot="1" x14ac:dyDescent="0.3">
      <c r="A46" s="1438"/>
      <c r="B46" s="457" t="s">
        <v>104</v>
      </c>
      <c r="C46" s="576">
        <v>0</v>
      </c>
      <c r="D46" s="576">
        <v>0</v>
      </c>
      <c r="E46" s="576">
        <v>0</v>
      </c>
      <c r="F46" s="576">
        <v>0</v>
      </c>
      <c r="G46" s="1419"/>
    </row>
    <row r="47" spans="1:7" ht="13.5" customHeight="1" x14ac:dyDescent="0.25">
      <c r="A47" s="1436">
        <v>44632</v>
      </c>
      <c r="B47" s="453" t="s">
        <v>17</v>
      </c>
      <c r="C47" s="722">
        <v>1</v>
      </c>
      <c r="D47" s="722">
        <v>1</v>
      </c>
      <c r="E47" s="705">
        <v>1</v>
      </c>
      <c r="F47" s="611">
        <v>1</v>
      </c>
      <c r="G47" s="1417"/>
    </row>
    <row r="48" spans="1:7" ht="13.5" customHeight="1" x14ac:dyDescent="0.25">
      <c r="A48" s="1437"/>
      <c r="B48" s="453" t="s">
        <v>102</v>
      </c>
      <c r="C48" s="612">
        <f>24-C49-C50</f>
        <v>24</v>
      </c>
      <c r="D48" s="612">
        <f>24-D49-D50</f>
        <v>24</v>
      </c>
      <c r="E48" s="612">
        <f>24-E49-E50</f>
        <v>24</v>
      </c>
      <c r="F48" s="612">
        <f>24-F49-F50</f>
        <v>24</v>
      </c>
      <c r="G48" s="1418"/>
    </row>
    <row r="49" spans="1:7" ht="13.5" customHeight="1" x14ac:dyDescent="0.25">
      <c r="A49" s="1437"/>
      <c r="B49" s="448" t="s">
        <v>103</v>
      </c>
      <c r="C49" s="612">
        <v>0</v>
      </c>
      <c r="D49" s="612">
        <v>0</v>
      </c>
      <c r="E49" s="612">
        <v>0</v>
      </c>
      <c r="F49" s="612">
        <v>0</v>
      </c>
      <c r="G49" s="1418"/>
    </row>
    <row r="50" spans="1:7" ht="13.5" customHeight="1" thickBot="1" x14ac:dyDescent="0.3">
      <c r="A50" s="1438"/>
      <c r="B50" s="457" t="s">
        <v>104</v>
      </c>
      <c r="C50" s="576">
        <v>0</v>
      </c>
      <c r="D50" s="576">
        <v>0</v>
      </c>
      <c r="E50" s="576">
        <v>0</v>
      </c>
      <c r="F50" s="576">
        <v>0</v>
      </c>
      <c r="G50" s="1423"/>
    </row>
    <row r="51" spans="1:7" ht="15" customHeight="1" x14ac:dyDescent="0.25">
      <c r="A51" s="1436">
        <v>44633</v>
      </c>
      <c r="B51" s="453" t="s">
        <v>17</v>
      </c>
      <c r="C51" s="722">
        <v>1</v>
      </c>
      <c r="D51" s="722">
        <v>1</v>
      </c>
      <c r="E51" s="705">
        <v>1</v>
      </c>
      <c r="F51" s="611">
        <v>1</v>
      </c>
      <c r="G51" s="1417" t="s">
        <v>2389</v>
      </c>
    </row>
    <row r="52" spans="1:7" x14ac:dyDescent="0.25">
      <c r="A52" s="1437"/>
      <c r="B52" s="453" t="s">
        <v>102</v>
      </c>
      <c r="C52" s="612">
        <f>24-C53-C54</f>
        <v>14.62</v>
      </c>
      <c r="D52" s="612">
        <f>24-D53-D54</f>
        <v>24</v>
      </c>
      <c r="E52" s="612">
        <f>24-E53-E54</f>
        <v>24</v>
      </c>
      <c r="F52" s="612">
        <f>24-F53-F54</f>
        <v>24</v>
      </c>
      <c r="G52" s="1418"/>
    </row>
    <row r="53" spans="1:7" x14ac:dyDescent="0.25">
      <c r="A53" s="1437"/>
      <c r="B53" s="448" t="s">
        <v>103</v>
      </c>
      <c r="C53" s="612">
        <v>9.3800000000000008</v>
      </c>
      <c r="D53" s="612">
        <v>0</v>
      </c>
      <c r="E53" s="612">
        <v>0</v>
      </c>
      <c r="F53" s="612">
        <v>0</v>
      </c>
      <c r="G53" s="1418"/>
    </row>
    <row r="54" spans="1:7" ht="15.75" thickBot="1" x14ac:dyDescent="0.3">
      <c r="A54" s="1438"/>
      <c r="B54" s="457" t="s">
        <v>104</v>
      </c>
      <c r="C54" s="576">
        <v>0</v>
      </c>
      <c r="D54" s="576">
        <v>0</v>
      </c>
      <c r="E54" s="576">
        <v>0</v>
      </c>
      <c r="F54" s="576">
        <v>0</v>
      </c>
      <c r="G54" s="1423"/>
    </row>
    <row r="55" spans="1:7" x14ac:dyDescent="0.25">
      <c r="A55" s="1436">
        <v>44634</v>
      </c>
      <c r="B55" s="453" t="s">
        <v>17</v>
      </c>
      <c r="C55" s="722">
        <v>1</v>
      </c>
      <c r="D55" s="722">
        <v>1</v>
      </c>
      <c r="E55" s="705">
        <v>1</v>
      </c>
      <c r="F55" s="611">
        <v>1</v>
      </c>
      <c r="G55" s="1417"/>
    </row>
    <row r="56" spans="1:7" x14ac:dyDescent="0.25">
      <c r="A56" s="1437"/>
      <c r="B56" s="453" t="s">
        <v>102</v>
      </c>
      <c r="C56" s="612">
        <f>24-C57-C58</f>
        <v>0</v>
      </c>
      <c r="D56" s="612">
        <f>24-D57-D58</f>
        <v>24</v>
      </c>
      <c r="E56" s="612">
        <f>24-E57-E58</f>
        <v>24</v>
      </c>
      <c r="F56" s="612">
        <f>24-F57-F58</f>
        <v>24</v>
      </c>
      <c r="G56" s="1418"/>
    </row>
    <row r="57" spans="1:7" x14ac:dyDescent="0.25">
      <c r="A57" s="1437"/>
      <c r="B57" s="448" t="s">
        <v>103</v>
      </c>
      <c r="C57" s="612">
        <v>24</v>
      </c>
      <c r="D57" s="612">
        <v>0</v>
      </c>
      <c r="E57" s="612">
        <v>0</v>
      </c>
      <c r="F57" s="612">
        <v>0</v>
      </c>
      <c r="G57" s="1418"/>
    </row>
    <row r="58" spans="1:7" ht="15.75" thickBot="1" x14ac:dyDescent="0.3">
      <c r="A58" s="1438"/>
      <c r="B58" s="457" t="s">
        <v>104</v>
      </c>
      <c r="C58" s="576">
        <v>0</v>
      </c>
      <c r="D58" s="576">
        <v>0</v>
      </c>
      <c r="E58" s="576">
        <v>0</v>
      </c>
      <c r="F58" s="576">
        <v>0</v>
      </c>
      <c r="G58" s="1419"/>
    </row>
    <row r="59" spans="1:7" x14ac:dyDescent="0.25">
      <c r="A59" s="1436">
        <v>44635</v>
      </c>
      <c r="B59" s="453" t="s">
        <v>17</v>
      </c>
      <c r="C59" s="722">
        <v>1</v>
      </c>
      <c r="D59" s="722">
        <v>1</v>
      </c>
      <c r="E59" s="705">
        <v>1</v>
      </c>
      <c r="F59" s="611">
        <v>1</v>
      </c>
      <c r="G59" s="1417" t="s">
        <v>2436</v>
      </c>
    </row>
    <row r="60" spans="1:7" x14ac:dyDescent="0.25">
      <c r="A60" s="1437"/>
      <c r="B60" s="453" t="s">
        <v>102</v>
      </c>
      <c r="C60" s="612">
        <f>24-C61-C62</f>
        <v>0</v>
      </c>
      <c r="D60" s="612">
        <f>24-D61-D62</f>
        <v>20.48</v>
      </c>
      <c r="E60" s="612">
        <f>24-E61-E62</f>
        <v>24</v>
      </c>
      <c r="F60" s="612">
        <f>24-F61-F62</f>
        <v>24</v>
      </c>
      <c r="G60" s="1418"/>
    </row>
    <row r="61" spans="1:7" x14ac:dyDescent="0.25">
      <c r="A61" s="1437"/>
      <c r="B61" s="448" t="s">
        <v>103</v>
      </c>
      <c r="C61" s="612">
        <v>24</v>
      </c>
      <c r="D61" s="612">
        <v>3.52</v>
      </c>
      <c r="E61" s="612">
        <v>0</v>
      </c>
      <c r="F61" s="612">
        <v>0</v>
      </c>
      <c r="G61" s="1418"/>
    </row>
    <row r="62" spans="1:7" ht="15.75" thickBot="1" x14ac:dyDescent="0.3">
      <c r="A62" s="1438"/>
      <c r="B62" s="457" t="s">
        <v>104</v>
      </c>
      <c r="C62" s="576">
        <v>0</v>
      </c>
      <c r="D62" s="576">
        <v>0</v>
      </c>
      <c r="E62" s="576">
        <v>0</v>
      </c>
      <c r="F62" s="576">
        <v>0</v>
      </c>
      <c r="G62" s="1419"/>
    </row>
    <row r="63" spans="1:7" x14ac:dyDescent="0.25">
      <c r="A63" s="1436">
        <v>44636</v>
      </c>
      <c r="B63" s="453" t="s">
        <v>17</v>
      </c>
      <c r="C63" s="722">
        <v>1</v>
      </c>
      <c r="D63" s="722">
        <v>1</v>
      </c>
      <c r="E63" s="705">
        <v>1</v>
      </c>
      <c r="F63" s="611">
        <v>1</v>
      </c>
      <c r="G63" s="1417" t="s">
        <v>2437</v>
      </c>
    </row>
    <row r="64" spans="1:7" x14ac:dyDescent="0.25">
      <c r="A64" s="1437"/>
      <c r="B64" s="453" t="s">
        <v>102</v>
      </c>
      <c r="C64" s="612">
        <f>24-C65-C66</f>
        <v>0</v>
      </c>
      <c r="D64" s="612">
        <f>24-D65-D66</f>
        <v>17.32</v>
      </c>
      <c r="E64" s="612">
        <f>24-E65-E66</f>
        <v>24</v>
      </c>
      <c r="F64" s="612">
        <f>24-F65-F66</f>
        <v>24</v>
      </c>
      <c r="G64" s="1418"/>
    </row>
    <row r="65" spans="1:7" x14ac:dyDescent="0.25">
      <c r="A65" s="1437"/>
      <c r="B65" s="448" t="s">
        <v>103</v>
      </c>
      <c r="C65" s="612">
        <v>24</v>
      </c>
      <c r="D65" s="612">
        <v>6.68</v>
      </c>
      <c r="E65" s="612">
        <v>0</v>
      </c>
      <c r="F65" s="612">
        <v>0</v>
      </c>
      <c r="G65" s="1418"/>
    </row>
    <row r="66" spans="1:7" ht="15.75" thickBot="1" x14ac:dyDescent="0.3">
      <c r="A66" s="1438"/>
      <c r="B66" s="457" t="s">
        <v>104</v>
      </c>
      <c r="C66" s="576">
        <v>0</v>
      </c>
      <c r="D66" s="576">
        <v>0</v>
      </c>
      <c r="E66" s="576">
        <v>0</v>
      </c>
      <c r="F66" s="576">
        <v>0</v>
      </c>
      <c r="G66" s="1423"/>
    </row>
    <row r="67" spans="1:7" ht="15.75" customHeight="1" x14ac:dyDescent="0.25">
      <c r="A67" s="1436">
        <v>44637</v>
      </c>
      <c r="B67" s="453" t="s">
        <v>17</v>
      </c>
      <c r="C67" s="722">
        <v>1</v>
      </c>
      <c r="D67" s="722">
        <v>1</v>
      </c>
      <c r="E67" s="705">
        <v>1</v>
      </c>
      <c r="F67" s="611">
        <v>1</v>
      </c>
      <c r="G67" s="1417" t="s">
        <v>2438</v>
      </c>
    </row>
    <row r="68" spans="1:7" ht="15.75" customHeight="1" x14ac:dyDescent="0.25">
      <c r="A68" s="1437"/>
      <c r="B68" s="453" t="s">
        <v>102</v>
      </c>
      <c r="C68" s="612">
        <f>24-C69-C70</f>
        <v>0</v>
      </c>
      <c r="D68" s="612">
        <f>24-D69-D70</f>
        <v>15.85</v>
      </c>
      <c r="E68" s="612">
        <f>24-E69-E70</f>
        <v>24</v>
      </c>
      <c r="F68" s="612">
        <f>24-F69-F70</f>
        <v>24</v>
      </c>
      <c r="G68" s="1418"/>
    </row>
    <row r="69" spans="1:7" ht="15.75" customHeight="1" x14ac:dyDescent="0.25">
      <c r="A69" s="1437"/>
      <c r="B69" s="448" t="s">
        <v>103</v>
      </c>
      <c r="C69" s="612">
        <v>24</v>
      </c>
      <c r="D69" s="612">
        <v>8.15</v>
      </c>
      <c r="E69" s="612">
        <v>0</v>
      </c>
      <c r="F69" s="612">
        <v>0</v>
      </c>
      <c r="G69" s="1418"/>
    </row>
    <row r="70" spans="1:7" ht="15.75" customHeight="1" thickBot="1" x14ac:dyDescent="0.3">
      <c r="A70" s="1438"/>
      <c r="B70" s="457" t="s">
        <v>104</v>
      </c>
      <c r="C70" s="576">
        <v>0</v>
      </c>
      <c r="D70" s="576">
        <v>0</v>
      </c>
      <c r="E70" s="576">
        <v>0</v>
      </c>
      <c r="F70" s="576">
        <v>0</v>
      </c>
      <c r="G70" s="1418"/>
    </row>
    <row r="71" spans="1:7" ht="15.75" customHeight="1" x14ac:dyDescent="0.25">
      <c r="A71" s="1436">
        <v>44638</v>
      </c>
      <c r="B71" s="453" t="s">
        <v>17</v>
      </c>
      <c r="C71" s="722">
        <v>1</v>
      </c>
      <c r="D71" s="722">
        <v>1</v>
      </c>
      <c r="E71" s="705">
        <v>1</v>
      </c>
      <c r="F71" s="611">
        <v>1</v>
      </c>
      <c r="G71" s="1418"/>
    </row>
    <row r="72" spans="1:7" ht="15.75" customHeight="1" x14ac:dyDescent="0.25">
      <c r="A72" s="1437"/>
      <c r="B72" s="453" t="s">
        <v>102</v>
      </c>
      <c r="C72" s="612">
        <f>24-C73-C74</f>
        <v>17.89</v>
      </c>
      <c r="D72" s="612">
        <f>24-D73-D74</f>
        <v>13.52</v>
      </c>
      <c r="E72" s="612">
        <f>24-E73-E74</f>
        <v>24</v>
      </c>
      <c r="F72" s="612">
        <f>24-F73-F74</f>
        <v>24</v>
      </c>
      <c r="G72" s="1418"/>
    </row>
    <row r="73" spans="1:7" ht="13.5" customHeight="1" x14ac:dyDescent="0.25">
      <c r="A73" s="1437"/>
      <c r="B73" s="448" t="s">
        <v>103</v>
      </c>
      <c r="C73" s="612">
        <v>6.11</v>
      </c>
      <c r="D73" s="612">
        <v>10.48</v>
      </c>
      <c r="E73" s="612">
        <v>0</v>
      </c>
      <c r="F73" s="612">
        <v>0</v>
      </c>
      <c r="G73" s="1418"/>
    </row>
    <row r="74" spans="1:7" ht="13.5" customHeight="1" thickBot="1" x14ac:dyDescent="0.3">
      <c r="A74" s="1438"/>
      <c r="B74" s="457" t="s">
        <v>104</v>
      </c>
      <c r="C74" s="576">
        <v>0</v>
      </c>
      <c r="D74" s="576">
        <v>0</v>
      </c>
      <c r="E74" s="576">
        <v>0</v>
      </c>
      <c r="F74" s="576">
        <v>0</v>
      </c>
      <c r="G74" s="1418"/>
    </row>
    <row r="75" spans="1:7" x14ac:dyDescent="0.25">
      <c r="A75" s="1436">
        <v>44639</v>
      </c>
      <c r="B75" s="453" t="s">
        <v>17</v>
      </c>
      <c r="C75" s="722">
        <v>1</v>
      </c>
      <c r="D75" s="722">
        <v>1</v>
      </c>
      <c r="E75" s="705">
        <v>1</v>
      </c>
      <c r="F75" s="611">
        <v>1</v>
      </c>
      <c r="G75" s="1418"/>
    </row>
    <row r="76" spans="1:7" x14ac:dyDescent="0.25">
      <c r="A76" s="1437"/>
      <c r="B76" s="453" t="s">
        <v>102</v>
      </c>
      <c r="C76" s="612">
        <f>24-C77-C78</f>
        <v>0.55000000000000071</v>
      </c>
      <c r="D76" s="612">
        <f>24-D77-D78</f>
        <v>15.15</v>
      </c>
      <c r="E76" s="612">
        <f>24-E77-E78</f>
        <v>24</v>
      </c>
      <c r="F76" s="612">
        <f>24-F77-F78</f>
        <v>24</v>
      </c>
      <c r="G76" s="1418"/>
    </row>
    <row r="77" spans="1:7" x14ac:dyDescent="0.25">
      <c r="A77" s="1437"/>
      <c r="B77" s="448" t="s">
        <v>103</v>
      </c>
      <c r="C77" s="612">
        <v>23.45</v>
      </c>
      <c r="D77" s="612">
        <v>8.85</v>
      </c>
      <c r="E77" s="612">
        <v>0</v>
      </c>
      <c r="F77" s="612">
        <v>0</v>
      </c>
      <c r="G77" s="1418"/>
    </row>
    <row r="78" spans="1:7" ht="65.25" customHeight="1" thickBot="1" x14ac:dyDescent="0.3">
      <c r="A78" s="1438"/>
      <c r="B78" s="457" t="s">
        <v>104</v>
      </c>
      <c r="C78" s="576">
        <v>0</v>
      </c>
      <c r="D78" s="576">
        <v>0</v>
      </c>
      <c r="E78" s="576">
        <v>0</v>
      </c>
      <c r="F78" s="576">
        <v>0</v>
      </c>
      <c r="G78" s="1418"/>
    </row>
    <row r="79" spans="1:7" ht="13.5" customHeight="1" x14ac:dyDescent="0.25">
      <c r="A79" s="1436">
        <v>44640</v>
      </c>
      <c r="B79" s="453" t="s">
        <v>17</v>
      </c>
      <c r="C79" s="722">
        <v>1</v>
      </c>
      <c r="D79" s="722">
        <v>1</v>
      </c>
      <c r="E79" s="705">
        <v>1</v>
      </c>
      <c r="F79" s="611">
        <v>1</v>
      </c>
      <c r="G79" s="1418"/>
    </row>
    <row r="80" spans="1:7" ht="13.5" customHeight="1" x14ac:dyDescent="0.25">
      <c r="A80" s="1437"/>
      <c r="B80" s="453" t="s">
        <v>102</v>
      </c>
      <c r="C80" s="612">
        <f>24-C81-C82</f>
        <v>0</v>
      </c>
      <c r="D80" s="612">
        <f>24-D81-D82</f>
        <v>13.43</v>
      </c>
      <c r="E80" s="612">
        <f>24-E81-E82</f>
        <v>24</v>
      </c>
      <c r="F80" s="612">
        <f>24-F81-F82</f>
        <v>24</v>
      </c>
      <c r="G80" s="1418"/>
    </row>
    <row r="81" spans="1:7" ht="13.5" customHeight="1" x14ac:dyDescent="0.25">
      <c r="A81" s="1437"/>
      <c r="B81" s="448" t="s">
        <v>103</v>
      </c>
      <c r="C81" s="612">
        <v>24</v>
      </c>
      <c r="D81" s="612">
        <v>10.57</v>
      </c>
      <c r="E81" s="612">
        <v>0</v>
      </c>
      <c r="F81" s="612">
        <v>0</v>
      </c>
      <c r="G81" s="1418"/>
    </row>
    <row r="82" spans="1:7" ht="14.25" customHeight="1" thickBot="1" x14ac:dyDescent="0.3">
      <c r="A82" s="1438"/>
      <c r="B82" s="457" t="s">
        <v>104</v>
      </c>
      <c r="C82" s="576">
        <v>0</v>
      </c>
      <c r="D82" s="576">
        <v>0</v>
      </c>
      <c r="E82" s="576">
        <v>0</v>
      </c>
      <c r="F82" s="576">
        <v>0</v>
      </c>
      <c r="G82" s="1423"/>
    </row>
    <row r="83" spans="1:7" ht="15" customHeight="1" x14ac:dyDescent="0.25">
      <c r="A83" s="1436">
        <v>44641</v>
      </c>
      <c r="B83" s="453" t="s">
        <v>17</v>
      </c>
      <c r="C83" s="722">
        <v>1</v>
      </c>
      <c r="D83" s="722">
        <v>1</v>
      </c>
      <c r="E83" s="705">
        <v>1</v>
      </c>
      <c r="F83" s="611">
        <v>1</v>
      </c>
      <c r="G83" s="1417" t="s">
        <v>2439</v>
      </c>
    </row>
    <row r="84" spans="1:7" x14ac:dyDescent="0.25">
      <c r="A84" s="1437"/>
      <c r="B84" s="453" t="s">
        <v>102</v>
      </c>
      <c r="C84" s="612">
        <f>24-C85-C86</f>
        <v>21.25</v>
      </c>
      <c r="D84" s="612">
        <f>24-D85-D86</f>
        <v>21.3</v>
      </c>
      <c r="E84" s="612">
        <f>24-E85-E86</f>
        <v>24</v>
      </c>
      <c r="F84" s="612">
        <f>24-F85-F86</f>
        <v>24</v>
      </c>
      <c r="G84" s="1418"/>
    </row>
    <row r="85" spans="1:7" x14ac:dyDescent="0.25">
      <c r="A85" s="1437"/>
      <c r="B85" s="448" t="s">
        <v>103</v>
      </c>
      <c r="C85" s="612">
        <v>2.75</v>
      </c>
      <c r="D85" s="612">
        <v>2.7</v>
      </c>
      <c r="E85" s="612">
        <v>0</v>
      </c>
      <c r="F85" s="612">
        <v>0</v>
      </c>
      <c r="G85" s="1418"/>
    </row>
    <row r="86" spans="1:7" ht="15.75" thickBot="1" x14ac:dyDescent="0.3">
      <c r="A86" s="1438"/>
      <c r="B86" s="457" t="s">
        <v>104</v>
      </c>
      <c r="C86" s="576">
        <v>0</v>
      </c>
      <c r="D86" s="576">
        <v>0</v>
      </c>
      <c r="E86" s="576">
        <v>0</v>
      </c>
      <c r="F86" s="576">
        <v>0</v>
      </c>
      <c r="G86" s="1418"/>
    </row>
    <row r="87" spans="1:7" x14ac:dyDescent="0.25">
      <c r="A87" s="1436">
        <v>44642</v>
      </c>
      <c r="B87" s="453" t="s">
        <v>17</v>
      </c>
      <c r="C87" s="722">
        <v>1</v>
      </c>
      <c r="D87" s="722">
        <v>1</v>
      </c>
      <c r="E87" s="705">
        <v>1</v>
      </c>
      <c r="F87" s="611">
        <v>1</v>
      </c>
      <c r="G87" s="1418"/>
    </row>
    <row r="88" spans="1:7" x14ac:dyDescent="0.25">
      <c r="A88" s="1437"/>
      <c r="B88" s="453" t="s">
        <v>102</v>
      </c>
      <c r="C88" s="612">
        <f>24-C89-C90</f>
        <v>14.35</v>
      </c>
      <c r="D88" s="612">
        <f>24-D89-D90</f>
        <v>18.420000000000002</v>
      </c>
      <c r="E88" s="612">
        <f>24-E89-E90</f>
        <v>24</v>
      </c>
      <c r="F88" s="612">
        <f>24-F89-F90</f>
        <v>24</v>
      </c>
      <c r="G88" s="1418"/>
    </row>
    <row r="89" spans="1:7" x14ac:dyDescent="0.25">
      <c r="A89" s="1437"/>
      <c r="B89" s="448" t="s">
        <v>103</v>
      </c>
      <c r="C89" s="612">
        <v>9.65</v>
      </c>
      <c r="D89" s="612">
        <v>5.58</v>
      </c>
      <c r="E89" s="612">
        <v>0</v>
      </c>
      <c r="F89" s="612">
        <v>0</v>
      </c>
      <c r="G89" s="1418"/>
    </row>
    <row r="90" spans="1:7" ht="15.75" thickBot="1" x14ac:dyDescent="0.3">
      <c r="A90" s="1438"/>
      <c r="B90" s="457" t="s">
        <v>104</v>
      </c>
      <c r="C90" s="576">
        <v>0</v>
      </c>
      <c r="D90" s="576">
        <v>0</v>
      </c>
      <c r="E90" s="576">
        <v>0</v>
      </c>
      <c r="F90" s="576">
        <v>0</v>
      </c>
      <c r="G90" s="1418"/>
    </row>
    <row r="91" spans="1:7" ht="14.25" customHeight="1" x14ac:dyDescent="0.25">
      <c r="A91" s="1436">
        <v>44643</v>
      </c>
      <c r="B91" s="453" t="s">
        <v>17</v>
      </c>
      <c r="C91" s="722">
        <v>1</v>
      </c>
      <c r="D91" s="722">
        <v>1</v>
      </c>
      <c r="E91" s="705">
        <v>1</v>
      </c>
      <c r="F91" s="611">
        <v>1</v>
      </c>
      <c r="G91" s="1418"/>
    </row>
    <row r="92" spans="1:7" ht="14.25" customHeight="1" x14ac:dyDescent="0.25">
      <c r="A92" s="1437"/>
      <c r="B92" s="453" t="s">
        <v>102</v>
      </c>
      <c r="C92" s="612">
        <f>24-C93-C94</f>
        <v>0</v>
      </c>
      <c r="D92" s="612">
        <f>24-D93-D94</f>
        <v>23.05</v>
      </c>
      <c r="E92" s="612">
        <f>24-E93-E94</f>
        <v>24</v>
      </c>
      <c r="F92" s="612">
        <f>24-F93-F94</f>
        <v>24</v>
      </c>
      <c r="G92" s="1418"/>
    </row>
    <row r="93" spans="1:7" ht="14.25" customHeight="1" x14ac:dyDescent="0.25">
      <c r="A93" s="1437"/>
      <c r="B93" s="448" t="s">
        <v>103</v>
      </c>
      <c r="C93" s="612">
        <v>24</v>
      </c>
      <c r="D93" s="612">
        <v>0.95</v>
      </c>
      <c r="E93" s="612">
        <v>0</v>
      </c>
      <c r="F93" s="612">
        <v>0</v>
      </c>
      <c r="G93" s="1418"/>
    </row>
    <row r="94" spans="1:7" ht="14.25" customHeight="1" thickBot="1" x14ac:dyDescent="0.3">
      <c r="A94" s="1438"/>
      <c r="B94" s="457" t="s">
        <v>104</v>
      </c>
      <c r="C94" s="576">
        <v>0</v>
      </c>
      <c r="D94" s="576">
        <v>0</v>
      </c>
      <c r="E94" s="576">
        <v>0</v>
      </c>
      <c r="F94" s="576">
        <v>0</v>
      </c>
      <c r="G94" s="1423"/>
    </row>
    <row r="95" spans="1:7" ht="14.25" customHeight="1" x14ac:dyDescent="0.25">
      <c r="A95" s="1436">
        <v>44644</v>
      </c>
      <c r="B95" s="453" t="s">
        <v>17</v>
      </c>
      <c r="C95" s="722">
        <v>1</v>
      </c>
      <c r="D95" s="722">
        <v>1</v>
      </c>
      <c r="E95" s="705">
        <v>1</v>
      </c>
      <c r="F95" s="611">
        <v>1</v>
      </c>
      <c r="G95" s="1417" t="s">
        <v>2443</v>
      </c>
    </row>
    <row r="96" spans="1:7" ht="14.25" customHeight="1" x14ac:dyDescent="0.25">
      <c r="A96" s="1437"/>
      <c r="B96" s="453" t="s">
        <v>102</v>
      </c>
      <c r="C96" s="612">
        <f>24-C97-C98</f>
        <v>0</v>
      </c>
      <c r="D96" s="612">
        <f>24-D97-D98</f>
        <v>14.65</v>
      </c>
      <c r="E96" s="612">
        <f>24-E97-E98</f>
        <v>24</v>
      </c>
      <c r="F96" s="612">
        <f>24-F97-F98</f>
        <v>24</v>
      </c>
      <c r="G96" s="1418"/>
    </row>
    <row r="97" spans="1:7" ht="14.25" customHeight="1" x14ac:dyDescent="0.25">
      <c r="A97" s="1437"/>
      <c r="B97" s="448" t="s">
        <v>103</v>
      </c>
      <c r="C97" s="612">
        <v>24</v>
      </c>
      <c r="D97" s="612">
        <v>9.35</v>
      </c>
      <c r="E97" s="612">
        <v>0</v>
      </c>
      <c r="F97" s="612">
        <v>0</v>
      </c>
      <c r="G97" s="1418"/>
    </row>
    <row r="98" spans="1:7" ht="14.25" customHeight="1" thickBot="1" x14ac:dyDescent="0.3">
      <c r="A98" s="1438"/>
      <c r="B98" s="457" t="s">
        <v>104</v>
      </c>
      <c r="C98" s="576">
        <v>0</v>
      </c>
      <c r="D98" s="576">
        <v>0</v>
      </c>
      <c r="E98" s="576">
        <v>0</v>
      </c>
      <c r="F98" s="576">
        <v>0</v>
      </c>
      <c r="G98" s="1423"/>
    </row>
    <row r="99" spans="1:7" ht="14.25" customHeight="1" x14ac:dyDescent="0.25">
      <c r="A99" s="1436">
        <v>44645</v>
      </c>
      <c r="B99" s="453" t="s">
        <v>17</v>
      </c>
      <c r="C99" s="722">
        <v>1</v>
      </c>
      <c r="D99" s="722">
        <v>1</v>
      </c>
      <c r="E99" s="705">
        <v>1</v>
      </c>
      <c r="F99" s="611">
        <v>1</v>
      </c>
      <c r="G99" s="1417" t="s">
        <v>2440</v>
      </c>
    </row>
    <row r="100" spans="1:7" ht="14.25" customHeight="1" x14ac:dyDescent="0.25">
      <c r="A100" s="1437"/>
      <c r="B100" s="453" t="s">
        <v>102</v>
      </c>
      <c r="C100" s="612">
        <f>24-C101-C102</f>
        <v>11.88</v>
      </c>
      <c r="D100" s="612">
        <f>24-D101-D102</f>
        <v>22.02</v>
      </c>
      <c r="E100" s="612">
        <f>24-E101-E102</f>
        <v>24</v>
      </c>
      <c r="F100" s="612">
        <f>24-F101-F102</f>
        <v>24</v>
      </c>
      <c r="G100" s="1418"/>
    </row>
    <row r="101" spans="1:7" ht="14.25" customHeight="1" x14ac:dyDescent="0.25">
      <c r="A101" s="1437"/>
      <c r="B101" s="448" t="s">
        <v>103</v>
      </c>
      <c r="C101" s="612">
        <v>12.12</v>
      </c>
      <c r="D101" s="612">
        <v>1.98</v>
      </c>
      <c r="E101" s="612">
        <v>0</v>
      </c>
      <c r="F101" s="612">
        <v>0</v>
      </c>
      <c r="G101" s="1418"/>
    </row>
    <row r="102" spans="1:7" ht="14.25" customHeight="1" thickBot="1" x14ac:dyDescent="0.3">
      <c r="A102" s="1438"/>
      <c r="B102" s="457" t="s">
        <v>104</v>
      </c>
      <c r="C102" s="576">
        <v>0</v>
      </c>
      <c r="D102" s="576">
        <v>0</v>
      </c>
      <c r="E102" s="576">
        <v>0</v>
      </c>
      <c r="F102" s="576">
        <v>0</v>
      </c>
      <c r="G102" s="1418"/>
    </row>
    <row r="103" spans="1:7" ht="17.25" customHeight="1" x14ac:dyDescent="0.25">
      <c r="A103" s="1436">
        <v>44646</v>
      </c>
      <c r="B103" s="453" t="s">
        <v>17</v>
      </c>
      <c r="C103" s="722">
        <v>1</v>
      </c>
      <c r="D103" s="722">
        <v>1</v>
      </c>
      <c r="E103" s="705">
        <v>1</v>
      </c>
      <c r="F103" s="611">
        <v>1</v>
      </c>
      <c r="G103" s="1418"/>
    </row>
    <row r="104" spans="1:7" ht="21.75" customHeight="1" x14ac:dyDescent="0.25">
      <c r="A104" s="1437"/>
      <c r="B104" s="453" t="s">
        <v>102</v>
      </c>
      <c r="C104" s="612">
        <f>24-C105-C106</f>
        <v>24</v>
      </c>
      <c r="D104" s="612">
        <f>24-D105-D106</f>
        <v>18.45</v>
      </c>
      <c r="E104" s="612">
        <f>24-E105-E106</f>
        <v>24</v>
      </c>
      <c r="F104" s="612">
        <f>24-F105-F106</f>
        <v>24</v>
      </c>
      <c r="G104" s="1418"/>
    </row>
    <row r="105" spans="1:7" ht="21.75" customHeight="1" x14ac:dyDescent="0.25">
      <c r="A105" s="1437"/>
      <c r="B105" s="448" t="s">
        <v>103</v>
      </c>
      <c r="C105" s="612">
        <v>0</v>
      </c>
      <c r="D105" s="612">
        <v>5.55</v>
      </c>
      <c r="E105" s="612">
        <v>0</v>
      </c>
      <c r="F105" s="612">
        <v>0</v>
      </c>
      <c r="G105" s="1418"/>
    </row>
    <row r="106" spans="1:7" ht="21.75" customHeight="1" thickBot="1" x14ac:dyDescent="0.3">
      <c r="A106" s="1438"/>
      <c r="B106" s="457" t="s">
        <v>104</v>
      </c>
      <c r="C106" s="576">
        <v>0</v>
      </c>
      <c r="D106" s="576">
        <v>0</v>
      </c>
      <c r="E106" s="576">
        <v>0</v>
      </c>
      <c r="F106" s="576">
        <v>0</v>
      </c>
      <c r="G106" s="1418"/>
    </row>
    <row r="107" spans="1:7" ht="14.25" customHeight="1" x14ac:dyDescent="0.25">
      <c r="A107" s="1436">
        <v>44647</v>
      </c>
      <c r="B107" s="453" t="s">
        <v>17</v>
      </c>
      <c r="C107" s="722">
        <v>1</v>
      </c>
      <c r="D107" s="722">
        <v>1</v>
      </c>
      <c r="E107" s="705">
        <v>1</v>
      </c>
      <c r="F107" s="611">
        <v>1</v>
      </c>
      <c r="G107" s="1418"/>
    </row>
    <row r="108" spans="1:7" ht="13.5" customHeight="1" x14ac:dyDescent="0.25">
      <c r="A108" s="1437"/>
      <c r="B108" s="453" t="s">
        <v>102</v>
      </c>
      <c r="C108" s="612">
        <f>24-C109-C110</f>
        <v>24</v>
      </c>
      <c r="D108" s="612">
        <f>24-D109-D110</f>
        <v>20.62</v>
      </c>
      <c r="E108" s="612">
        <f>24-E109-E110</f>
        <v>24</v>
      </c>
      <c r="F108" s="612">
        <f>24-F109-F110</f>
        <v>24</v>
      </c>
      <c r="G108" s="1418"/>
    </row>
    <row r="109" spans="1:7" ht="13.5" customHeight="1" x14ac:dyDescent="0.25">
      <c r="A109" s="1437"/>
      <c r="B109" s="448" t="s">
        <v>103</v>
      </c>
      <c r="C109" s="612">
        <v>0</v>
      </c>
      <c r="D109" s="612">
        <v>3.38</v>
      </c>
      <c r="E109" s="612">
        <v>0</v>
      </c>
      <c r="F109" s="612">
        <v>0</v>
      </c>
      <c r="G109" s="1418"/>
    </row>
    <row r="110" spans="1:7" ht="13.5" customHeight="1" thickBot="1" x14ac:dyDescent="0.3">
      <c r="A110" s="1438"/>
      <c r="B110" s="457" t="s">
        <v>104</v>
      </c>
      <c r="C110" s="576">
        <v>0</v>
      </c>
      <c r="D110" s="576">
        <v>0</v>
      </c>
      <c r="E110" s="576">
        <v>0</v>
      </c>
      <c r="F110" s="576">
        <v>0</v>
      </c>
      <c r="G110" s="1423"/>
    </row>
    <row r="111" spans="1:7" ht="13.5" customHeight="1" x14ac:dyDescent="0.25">
      <c r="A111" s="1436">
        <v>44648</v>
      </c>
      <c r="B111" s="453" t="s">
        <v>17</v>
      </c>
      <c r="C111" s="722">
        <v>1</v>
      </c>
      <c r="D111" s="722">
        <v>1</v>
      </c>
      <c r="E111" s="705">
        <v>1</v>
      </c>
      <c r="F111" s="611">
        <v>1</v>
      </c>
      <c r="G111" s="1447" t="s">
        <v>2441</v>
      </c>
    </row>
    <row r="112" spans="1:7" ht="13.5" customHeight="1" x14ac:dyDescent="0.25">
      <c r="A112" s="1437"/>
      <c r="B112" s="453" t="s">
        <v>102</v>
      </c>
      <c r="C112" s="612">
        <f>24-C113-C114</f>
        <v>24</v>
      </c>
      <c r="D112" s="612">
        <f>24-D113-D114</f>
        <v>18.97</v>
      </c>
      <c r="E112" s="612">
        <f>24-E113-E114</f>
        <v>24</v>
      </c>
      <c r="F112" s="612">
        <f>24-F113-F114</f>
        <v>24</v>
      </c>
      <c r="G112" s="1448"/>
    </row>
    <row r="113" spans="1:7" ht="13.5" customHeight="1" x14ac:dyDescent="0.25">
      <c r="A113" s="1437"/>
      <c r="B113" s="448" t="s">
        <v>103</v>
      </c>
      <c r="C113" s="612">
        <v>0</v>
      </c>
      <c r="D113" s="612">
        <v>5.03</v>
      </c>
      <c r="E113" s="612">
        <v>0</v>
      </c>
      <c r="F113" s="612">
        <v>0</v>
      </c>
      <c r="G113" s="1448"/>
    </row>
    <row r="114" spans="1:7" ht="13.5" customHeight="1" thickBot="1" x14ac:dyDescent="0.3">
      <c r="A114" s="1438"/>
      <c r="B114" s="457" t="s">
        <v>104</v>
      </c>
      <c r="C114" s="576">
        <v>0</v>
      </c>
      <c r="D114" s="576">
        <v>0</v>
      </c>
      <c r="E114" s="576">
        <v>0</v>
      </c>
      <c r="F114" s="576">
        <v>0</v>
      </c>
      <c r="G114" s="1449"/>
    </row>
    <row r="115" spans="1:7" ht="13.5" customHeight="1" x14ac:dyDescent="0.25">
      <c r="A115" s="1436">
        <v>44649</v>
      </c>
      <c r="B115" s="453" t="s">
        <v>17</v>
      </c>
      <c r="C115" s="722">
        <v>1</v>
      </c>
      <c r="D115" s="722">
        <v>1</v>
      </c>
      <c r="E115" s="705">
        <v>1</v>
      </c>
      <c r="F115" s="611">
        <v>1</v>
      </c>
      <c r="G115" s="1417" t="s">
        <v>2442</v>
      </c>
    </row>
    <row r="116" spans="1:7" ht="13.5" customHeight="1" x14ac:dyDescent="0.25">
      <c r="A116" s="1437"/>
      <c r="B116" s="453" t="s">
        <v>102</v>
      </c>
      <c r="C116" s="612">
        <f>24-C117-C118</f>
        <v>21.3</v>
      </c>
      <c r="D116" s="612">
        <f>24-D117-D118</f>
        <v>17.38</v>
      </c>
      <c r="E116" s="612">
        <f>24-E117-E118</f>
        <v>24</v>
      </c>
      <c r="F116" s="612">
        <f>24-F117-F118</f>
        <v>24</v>
      </c>
      <c r="G116" s="1418"/>
    </row>
    <row r="117" spans="1:7" ht="13.5" customHeight="1" x14ac:dyDescent="0.25">
      <c r="A117" s="1437"/>
      <c r="B117" s="448" t="s">
        <v>103</v>
      </c>
      <c r="C117" s="612">
        <v>2.7</v>
      </c>
      <c r="D117" s="612">
        <v>6.62</v>
      </c>
      <c r="E117" s="612">
        <v>0</v>
      </c>
      <c r="F117" s="612">
        <v>0</v>
      </c>
      <c r="G117" s="1418"/>
    </row>
    <row r="118" spans="1:7" ht="68.25" customHeight="1" thickBot="1" x14ac:dyDescent="0.3">
      <c r="A118" s="1438"/>
      <c r="B118" s="457" t="s">
        <v>104</v>
      </c>
      <c r="C118" s="576">
        <v>0</v>
      </c>
      <c r="D118" s="576">
        <v>0</v>
      </c>
      <c r="E118" s="576">
        <v>0</v>
      </c>
      <c r="F118" s="576">
        <v>0</v>
      </c>
      <c r="G118" s="1418"/>
    </row>
    <row r="119" spans="1:7" ht="13.5" customHeight="1" x14ac:dyDescent="0.25">
      <c r="A119" s="1436">
        <v>44650</v>
      </c>
      <c r="B119" s="453" t="s">
        <v>17</v>
      </c>
      <c r="C119" s="722">
        <v>1</v>
      </c>
      <c r="D119" s="722">
        <v>1</v>
      </c>
      <c r="E119" s="705">
        <v>1</v>
      </c>
      <c r="F119" s="611">
        <v>1</v>
      </c>
      <c r="G119" s="1418"/>
    </row>
    <row r="120" spans="1:7" ht="13.5" customHeight="1" x14ac:dyDescent="0.25">
      <c r="A120" s="1437"/>
      <c r="B120" s="453" t="s">
        <v>102</v>
      </c>
      <c r="C120" s="612">
        <f>24-C121-C122</f>
        <v>0</v>
      </c>
      <c r="D120" s="612">
        <f>24-D121-D122</f>
        <v>21.68</v>
      </c>
      <c r="E120" s="612">
        <f>24-E121-E122</f>
        <v>24</v>
      </c>
      <c r="F120" s="612">
        <f>24-F121-F122</f>
        <v>24</v>
      </c>
      <c r="G120" s="1418"/>
    </row>
    <row r="121" spans="1:7" ht="13.5" customHeight="1" x14ac:dyDescent="0.25">
      <c r="A121" s="1437"/>
      <c r="B121" s="448" t="s">
        <v>103</v>
      </c>
      <c r="C121" s="612">
        <v>24</v>
      </c>
      <c r="D121" s="612">
        <v>2.3199999999999998</v>
      </c>
      <c r="E121" s="612">
        <v>0</v>
      </c>
      <c r="F121" s="612">
        <v>0</v>
      </c>
      <c r="G121" s="1418"/>
    </row>
    <row r="122" spans="1:7" ht="15.75" thickBot="1" x14ac:dyDescent="0.3">
      <c r="A122" s="1438"/>
      <c r="B122" s="457" t="s">
        <v>104</v>
      </c>
      <c r="C122" s="576">
        <v>0</v>
      </c>
      <c r="D122" s="576">
        <v>0</v>
      </c>
      <c r="E122" s="576">
        <v>0</v>
      </c>
      <c r="F122" s="576">
        <v>0</v>
      </c>
      <c r="G122" s="1423"/>
    </row>
    <row r="123" spans="1:7" ht="13.5" customHeight="1" x14ac:dyDescent="0.25">
      <c r="A123" s="1436">
        <v>44651</v>
      </c>
      <c r="B123" s="453" t="s">
        <v>17</v>
      </c>
      <c r="C123" s="722">
        <v>1</v>
      </c>
      <c r="D123" s="722">
        <v>1</v>
      </c>
      <c r="E123" s="705">
        <v>1</v>
      </c>
      <c r="F123" s="611">
        <v>1</v>
      </c>
      <c r="G123" s="1417" t="s">
        <v>2435</v>
      </c>
    </row>
    <row r="124" spans="1:7" ht="13.5" customHeight="1" x14ac:dyDescent="0.25">
      <c r="A124" s="1437"/>
      <c r="B124" s="453" t="s">
        <v>102</v>
      </c>
      <c r="C124" s="612">
        <f>24-C125-C126</f>
        <v>13.25</v>
      </c>
      <c r="D124" s="612">
        <f>24-D125-D126</f>
        <v>24</v>
      </c>
      <c r="E124" s="612">
        <f>24-E125-E126</f>
        <v>24</v>
      </c>
      <c r="F124" s="612">
        <f>24-F125-F126</f>
        <v>24</v>
      </c>
      <c r="G124" s="1418"/>
    </row>
    <row r="125" spans="1:7" ht="13.5" customHeight="1" x14ac:dyDescent="0.25">
      <c r="A125" s="1437"/>
      <c r="B125" s="448" t="s">
        <v>103</v>
      </c>
      <c r="C125" s="612">
        <v>10.75</v>
      </c>
      <c r="D125" s="612">
        <v>0</v>
      </c>
      <c r="E125" s="612">
        <v>0</v>
      </c>
      <c r="F125" s="612">
        <v>0</v>
      </c>
      <c r="G125" s="1418"/>
    </row>
    <row r="126" spans="1:7" ht="13.5" customHeight="1" thickBot="1" x14ac:dyDescent="0.3">
      <c r="A126" s="1438"/>
      <c r="B126" s="457" t="s">
        <v>104</v>
      </c>
      <c r="C126" s="576">
        <v>0</v>
      </c>
      <c r="D126" s="576">
        <v>0</v>
      </c>
      <c r="E126" s="576">
        <v>0</v>
      </c>
      <c r="F126" s="576">
        <v>0</v>
      </c>
      <c r="G126" s="1423"/>
    </row>
    <row r="127" spans="1:7" x14ac:dyDescent="0.25">
      <c r="A127" s="464" t="s">
        <v>2426</v>
      </c>
      <c r="B127" s="465"/>
      <c r="C127" s="466">
        <f>SUM(C112,C108,C104,C100,C96,C92,C88,C84,C80,C76,C72,C68,C64,C60,C56,C52,C48,C44,C40,C36,C32,C28,C24,C20,C16,C12,C8,C4,C116,C120,C124)</f>
        <v>264.89</v>
      </c>
      <c r="D127" s="466">
        <f>SUM(D112,D108,D104,D100,D96,D92,D88,D84,D80,D76,D72,D68,D64,D60,D56,D52,D48,D44,D40,D36,D32,D28,D24,D20,D16,D12,D8,D4,D116,D120,D124)</f>
        <v>609.94999999999993</v>
      </c>
      <c r="E127" s="466">
        <f t="shared" ref="E127:F127" si="0">SUM(E112,E108,E104,E100,E96,E92,E88,E84,E80,E76,E72,E68,E64,E60,E56,E52,E48,E44,E40,E36,E32,E28,E24,E20,E16,E12,E8,E4,E116,E120,E124)</f>
        <v>737.83</v>
      </c>
      <c r="F127" s="466">
        <f t="shared" si="0"/>
        <v>737.98</v>
      </c>
      <c r="G127" s="468"/>
    </row>
    <row r="128" spans="1:7" x14ac:dyDescent="0.25">
      <c r="A128" s="714" t="s">
        <v>2427</v>
      </c>
      <c r="B128" s="134"/>
      <c r="C128" s="469">
        <f>SUM(C113,C109,C105,C101,C97,C93,C89,C85,C81,C77,C73,C69,C65,C61,C57,C53,C49,C45,C41,C37,C33,C29,C25,C21,C17,C13,C9,C5,C117,C121,C125)</f>
        <v>479.10999999999996</v>
      </c>
      <c r="D128" s="469">
        <f>SUM(D113,D109,D105,D101,D97,D93,D89,D85,D81,D77,D73,D69,D65,D61,D57,D53,D49,D45,D41,D37,D33,D29,D25,D21,D17,D13,D9,D5,D117,D121,D125)</f>
        <v>134.04999999999998</v>
      </c>
      <c r="E128" s="469">
        <f t="shared" ref="E128:F128" si="1">SUM(E113,E109,E105,E101,E97,E93,E89,E85,E81,E77,E73,E69,E65,E61,E57,E53,E49,E45,E41,E37,E33,E29,E25,E21,E17,E13,E9,E5,E117,E121,E125)</f>
        <v>6.17</v>
      </c>
      <c r="F128" s="469">
        <f t="shared" si="1"/>
        <v>6.02</v>
      </c>
      <c r="G128" s="471"/>
    </row>
    <row r="129" spans="1:7" ht="15.75" thickBot="1" x14ac:dyDescent="0.3">
      <c r="A129" s="715" t="s">
        <v>2428</v>
      </c>
      <c r="B129" s="472"/>
      <c r="C129" s="473">
        <f>SUM(C114,C110,C106,C102,C98,C94,C90,C86,C82,C78,C74,C70,C66,C62,C58,C54,C50,C46,C42,C38,C34,C30,C26,C22,C18,C14,C10,C6,C118,C122,C126)</f>
        <v>0</v>
      </c>
      <c r="D129" s="473">
        <f t="shared" ref="D129:F129" si="2">SUM(D114,D110,D106,D102,D98,D94,D90,D86,D82,D78,D74,D70,D66,D62,D58,D54,D50,D46,D42,D38,D34,D30,D26,D22,D18,D14,D10,D6,D118,D122,D126)</f>
        <v>0</v>
      </c>
      <c r="E129" s="473">
        <f t="shared" si="2"/>
        <v>0</v>
      </c>
      <c r="F129" s="473">
        <f t="shared" si="2"/>
        <v>0</v>
      </c>
      <c r="G129" s="475"/>
    </row>
    <row r="130" spans="1:7" ht="15.75" thickBot="1" x14ac:dyDescent="0.3">
      <c r="A130" s="1450" t="s">
        <v>108</v>
      </c>
      <c r="B130" s="1451"/>
      <c r="C130" s="1451"/>
      <c r="D130" s="1451"/>
      <c r="E130" s="1451"/>
      <c r="F130" s="1451"/>
      <c r="G130" s="1452"/>
    </row>
  </sheetData>
  <mergeCells count="55">
    <mergeCell ref="A130:G130"/>
    <mergeCell ref="A115:A118"/>
    <mergeCell ref="A119:A122"/>
    <mergeCell ref="A123:A126"/>
    <mergeCell ref="G123:G126"/>
    <mergeCell ref="G115:G122"/>
    <mergeCell ref="A11:A14"/>
    <mergeCell ref="G11:G14"/>
    <mergeCell ref="A1:G1"/>
    <mergeCell ref="A3:A6"/>
    <mergeCell ref="G3:G6"/>
    <mergeCell ref="A7:A10"/>
    <mergeCell ref="G7:G10"/>
    <mergeCell ref="A15:A18"/>
    <mergeCell ref="G15:G18"/>
    <mergeCell ref="A19:A22"/>
    <mergeCell ref="G19:G22"/>
    <mergeCell ref="A23:A26"/>
    <mergeCell ref="G23:G26"/>
    <mergeCell ref="A27:A30"/>
    <mergeCell ref="G27:G30"/>
    <mergeCell ref="A31:A34"/>
    <mergeCell ref="G31:G34"/>
    <mergeCell ref="A35:A38"/>
    <mergeCell ref="G35:G42"/>
    <mergeCell ref="A39:A42"/>
    <mergeCell ref="A43:A46"/>
    <mergeCell ref="G43:G46"/>
    <mergeCell ref="A47:A50"/>
    <mergeCell ref="A51:A54"/>
    <mergeCell ref="G47:G50"/>
    <mergeCell ref="G51:G54"/>
    <mergeCell ref="A55:A58"/>
    <mergeCell ref="G55:G58"/>
    <mergeCell ref="A79:A82"/>
    <mergeCell ref="A83:A86"/>
    <mergeCell ref="A87:A90"/>
    <mergeCell ref="A59:A62"/>
    <mergeCell ref="G59:G62"/>
    <mergeCell ref="A63:A66"/>
    <mergeCell ref="G63:G66"/>
    <mergeCell ref="A67:A70"/>
    <mergeCell ref="A71:A74"/>
    <mergeCell ref="A75:A78"/>
    <mergeCell ref="G67:G82"/>
    <mergeCell ref="A91:A94"/>
    <mergeCell ref="A107:A110"/>
    <mergeCell ref="A111:A114"/>
    <mergeCell ref="G111:G114"/>
    <mergeCell ref="A95:A98"/>
    <mergeCell ref="G95:G98"/>
    <mergeCell ref="A99:A102"/>
    <mergeCell ref="A103:A106"/>
    <mergeCell ref="G83:G94"/>
    <mergeCell ref="G99:G110"/>
  </mergeCells>
  <pageMargins left="0.7" right="0.7" top="0.75" bottom="0.75" header="0.3" footer="0.3"/>
  <pageSetup paperSize="9" orientation="portrait"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G130"/>
  <sheetViews>
    <sheetView zoomScaleNormal="100" workbookViewId="0">
      <pane ySplit="2" topLeftCell="A39" activePane="bottomLeft" state="frozen"/>
      <selection pane="bottomLeft" activeCell="D83" sqref="D83"/>
    </sheetView>
  </sheetViews>
  <sheetFormatPr defaultRowHeight="15" x14ac:dyDescent="0.25"/>
  <cols>
    <col min="1" max="1" width="47.7109375" customWidth="1"/>
    <col min="2" max="2" width="25" customWidth="1"/>
    <col min="4" max="4" width="9.140625" style="1"/>
    <col min="7" max="7" width="54.7109375" customWidth="1"/>
  </cols>
  <sheetData>
    <row r="1" spans="1:7" ht="21.75" thickBot="1" x14ac:dyDescent="0.4">
      <c r="A1" s="1443" t="s">
        <v>73</v>
      </c>
      <c r="B1" s="1443"/>
      <c r="C1" s="1443"/>
      <c r="D1" s="1443"/>
      <c r="E1" s="1443"/>
      <c r="F1" s="1443"/>
      <c r="G1" s="1443"/>
    </row>
    <row r="2" spans="1:7" ht="16.5" thickBot="1" x14ac:dyDescent="0.3">
      <c r="A2" s="108" t="s">
        <v>98</v>
      </c>
      <c r="B2" s="608"/>
      <c r="C2" s="607" t="s">
        <v>310</v>
      </c>
      <c r="D2" s="607" t="s">
        <v>239</v>
      </c>
      <c r="E2" s="447" t="s">
        <v>100</v>
      </c>
      <c r="F2" s="682" t="s">
        <v>157</v>
      </c>
      <c r="G2" s="111" t="s">
        <v>101</v>
      </c>
    </row>
    <row r="3" spans="1:7" ht="14.25" customHeight="1" x14ac:dyDescent="0.25">
      <c r="A3" s="1436">
        <v>44652</v>
      </c>
      <c r="B3" s="453" t="s">
        <v>17</v>
      </c>
      <c r="C3" s="450">
        <v>1</v>
      </c>
      <c r="D3" s="571">
        <v>1</v>
      </c>
      <c r="E3" s="611">
        <v>1</v>
      </c>
      <c r="F3" s="611">
        <v>1</v>
      </c>
      <c r="G3" s="1417"/>
    </row>
    <row r="4" spans="1:7" ht="14.25" customHeight="1" x14ac:dyDescent="0.25">
      <c r="A4" s="1437"/>
      <c r="B4" s="453" t="s">
        <v>102</v>
      </c>
      <c r="C4" s="612">
        <f>24-C5-C6</f>
        <v>24</v>
      </c>
      <c r="D4" s="612">
        <f>24-D5-D6</f>
        <v>24</v>
      </c>
      <c r="E4" s="612">
        <f>24-E5-E6</f>
        <v>24</v>
      </c>
      <c r="F4" s="612">
        <f>24-F5-F6</f>
        <v>24</v>
      </c>
      <c r="G4" s="1418"/>
    </row>
    <row r="5" spans="1:7" ht="14.25" customHeight="1" x14ac:dyDescent="0.25">
      <c r="A5" s="1437"/>
      <c r="B5" s="448" t="s">
        <v>103</v>
      </c>
      <c r="C5" s="612">
        <v>0</v>
      </c>
      <c r="D5" s="612">
        <v>0</v>
      </c>
      <c r="E5" s="612">
        <v>0</v>
      </c>
      <c r="F5" s="612">
        <v>0</v>
      </c>
      <c r="G5" s="1418"/>
    </row>
    <row r="6" spans="1:7" ht="14.25" customHeight="1" thickBot="1" x14ac:dyDescent="0.3">
      <c r="A6" s="1438"/>
      <c r="B6" s="457" t="s">
        <v>104</v>
      </c>
      <c r="C6" s="576">
        <v>0</v>
      </c>
      <c r="D6" s="576">
        <v>0</v>
      </c>
      <c r="E6" s="576">
        <v>0</v>
      </c>
      <c r="F6" s="576">
        <v>0</v>
      </c>
      <c r="G6" s="1423"/>
    </row>
    <row r="7" spans="1:7" ht="14.25" customHeight="1" thickBot="1" x14ac:dyDescent="0.3">
      <c r="A7" s="1436">
        <v>44653</v>
      </c>
      <c r="B7" s="453" t="s">
        <v>17</v>
      </c>
      <c r="C7" s="709">
        <v>1</v>
      </c>
      <c r="D7" s="709">
        <v>1</v>
      </c>
      <c r="E7" s="709">
        <v>1</v>
      </c>
      <c r="F7" s="709">
        <v>1</v>
      </c>
      <c r="G7" s="1417" t="s">
        <v>2464</v>
      </c>
    </row>
    <row r="8" spans="1:7" ht="14.25" customHeight="1" x14ac:dyDescent="0.25">
      <c r="A8" s="1437"/>
      <c r="B8" s="453" t="s">
        <v>102</v>
      </c>
      <c r="C8" s="708">
        <f>24-C9-C10</f>
        <v>24</v>
      </c>
      <c r="D8" s="708">
        <v>22</v>
      </c>
      <c r="E8" s="708">
        <f>24-E9-E10</f>
        <v>24</v>
      </c>
      <c r="F8" s="708">
        <f>24-F9-F10</f>
        <v>24</v>
      </c>
      <c r="G8" s="1418"/>
    </row>
    <row r="9" spans="1:7" ht="14.25" customHeight="1" x14ac:dyDescent="0.25">
      <c r="A9" s="1437"/>
      <c r="B9" s="448" t="s">
        <v>103</v>
      </c>
      <c r="C9" s="612">
        <v>0</v>
      </c>
      <c r="D9" s="612">
        <v>2</v>
      </c>
      <c r="E9" s="612">
        <v>0</v>
      </c>
      <c r="F9" s="612">
        <v>0</v>
      </c>
      <c r="G9" s="1418"/>
    </row>
    <row r="10" spans="1:7" ht="14.25" customHeight="1" thickBot="1" x14ac:dyDescent="0.3">
      <c r="A10" s="1438"/>
      <c r="B10" s="457" t="s">
        <v>104</v>
      </c>
      <c r="C10" s="576">
        <v>0</v>
      </c>
      <c r="D10" s="576">
        <v>0</v>
      </c>
      <c r="E10" s="576">
        <v>0</v>
      </c>
      <c r="F10" s="576">
        <v>0</v>
      </c>
      <c r="G10" s="1423"/>
    </row>
    <row r="11" spans="1:7" ht="23.25" customHeight="1" thickBot="1" x14ac:dyDescent="0.3">
      <c r="A11" s="1436">
        <v>44654</v>
      </c>
      <c r="B11" s="453" t="s">
        <v>17</v>
      </c>
      <c r="C11" s="709">
        <v>1</v>
      </c>
      <c r="D11" s="709">
        <v>1</v>
      </c>
      <c r="E11" s="709">
        <v>1</v>
      </c>
      <c r="F11" s="709">
        <v>1</v>
      </c>
      <c r="G11" s="1417" t="s">
        <v>2490</v>
      </c>
    </row>
    <row r="12" spans="1:7" ht="23.25" customHeight="1" thickBot="1" x14ac:dyDescent="0.3">
      <c r="A12" s="1437"/>
      <c r="B12" s="453" t="s">
        <v>102</v>
      </c>
      <c r="C12" s="733">
        <f>24-C13-C14</f>
        <v>24</v>
      </c>
      <c r="D12" s="709">
        <v>17.18</v>
      </c>
      <c r="E12" s="731">
        <f>24-E13-E14</f>
        <v>24</v>
      </c>
      <c r="F12" s="731">
        <f>24-F13-F14</f>
        <v>24</v>
      </c>
      <c r="G12" s="1418"/>
    </row>
    <row r="13" spans="1:7" ht="23.25" customHeight="1" thickBot="1" x14ac:dyDescent="0.3">
      <c r="A13" s="1437"/>
      <c r="B13" s="448" t="s">
        <v>103</v>
      </c>
      <c r="C13" s="731">
        <v>0</v>
      </c>
      <c r="D13" s="709">
        <v>6.82</v>
      </c>
      <c r="E13" s="733">
        <v>0</v>
      </c>
      <c r="F13" s="731">
        <v>0</v>
      </c>
      <c r="G13" s="1418"/>
    </row>
    <row r="14" spans="1:7" ht="23.25" customHeight="1" thickBot="1" x14ac:dyDescent="0.3">
      <c r="A14" s="1438"/>
      <c r="B14" s="457" t="s">
        <v>104</v>
      </c>
      <c r="C14" s="734">
        <v>0</v>
      </c>
      <c r="D14" s="709">
        <v>0</v>
      </c>
      <c r="E14" s="734">
        <v>0</v>
      </c>
      <c r="F14" s="732">
        <v>0</v>
      </c>
      <c r="G14" s="1423"/>
    </row>
    <row r="15" spans="1:7" ht="16.5" customHeight="1" thickBot="1" x14ac:dyDescent="0.3">
      <c r="A15" s="1436">
        <v>44655</v>
      </c>
      <c r="B15" s="453" t="s">
        <v>17</v>
      </c>
      <c r="C15" s="709">
        <v>1</v>
      </c>
      <c r="D15" s="709">
        <v>1</v>
      </c>
      <c r="E15" s="709">
        <v>1</v>
      </c>
      <c r="F15" s="709">
        <v>1</v>
      </c>
      <c r="G15" s="1417"/>
    </row>
    <row r="16" spans="1:7" ht="16.5" customHeight="1" thickBot="1" x14ac:dyDescent="0.3">
      <c r="A16" s="1437"/>
      <c r="B16" s="453" t="s">
        <v>102</v>
      </c>
      <c r="C16" s="733">
        <f>24-C17-C18</f>
        <v>24</v>
      </c>
      <c r="D16" s="733">
        <f>24-D17-D18</f>
        <v>24</v>
      </c>
      <c r="E16" s="733">
        <f>24-E17-E18</f>
        <v>24</v>
      </c>
      <c r="F16" s="733">
        <f>24-F17-F18</f>
        <v>24</v>
      </c>
      <c r="G16" s="1418"/>
    </row>
    <row r="17" spans="1:7" ht="16.5" customHeight="1" thickBot="1" x14ac:dyDescent="0.3">
      <c r="A17" s="1437"/>
      <c r="B17" s="448" t="s">
        <v>103</v>
      </c>
      <c r="C17" s="731">
        <v>0</v>
      </c>
      <c r="D17" s="731">
        <v>0</v>
      </c>
      <c r="E17" s="731">
        <v>0</v>
      </c>
      <c r="F17" s="731">
        <v>0</v>
      </c>
      <c r="G17" s="1418"/>
    </row>
    <row r="18" spans="1:7" ht="16.5" customHeight="1" thickBot="1" x14ac:dyDescent="0.3">
      <c r="A18" s="1438"/>
      <c r="B18" s="457" t="s">
        <v>104</v>
      </c>
      <c r="C18" s="734">
        <v>0</v>
      </c>
      <c r="D18" s="734">
        <v>0</v>
      </c>
      <c r="E18" s="734">
        <v>0</v>
      </c>
      <c r="F18" s="734">
        <v>0</v>
      </c>
      <c r="G18" s="1423"/>
    </row>
    <row r="19" spans="1:7" ht="37.5" customHeight="1" thickBot="1" x14ac:dyDescent="0.3">
      <c r="A19" s="1436">
        <v>44656</v>
      </c>
      <c r="B19" s="453" t="s">
        <v>17</v>
      </c>
      <c r="C19" s="709">
        <v>1</v>
      </c>
      <c r="D19" s="709">
        <v>1</v>
      </c>
      <c r="E19" s="709">
        <v>1</v>
      </c>
      <c r="F19" s="709">
        <v>1</v>
      </c>
      <c r="G19" s="1453" t="s">
        <v>2511</v>
      </c>
    </row>
    <row r="20" spans="1:7" ht="37.5" customHeight="1" thickBot="1" x14ac:dyDescent="0.3">
      <c r="A20" s="1437"/>
      <c r="B20" s="453" t="s">
        <v>102</v>
      </c>
      <c r="C20" s="733">
        <f>24-C21-C22</f>
        <v>17.52</v>
      </c>
      <c r="D20" s="709">
        <v>10.52</v>
      </c>
      <c r="E20" s="733">
        <f>24-E21-E22</f>
        <v>24</v>
      </c>
      <c r="F20" s="733">
        <f>24-F21-F22</f>
        <v>24</v>
      </c>
      <c r="G20" s="1418"/>
    </row>
    <row r="21" spans="1:7" ht="37.5" customHeight="1" thickBot="1" x14ac:dyDescent="0.3">
      <c r="A21" s="1437"/>
      <c r="B21" s="448" t="s">
        <v>103</v>
      </c>
      <c r="C21" s="731">
        <v>6.48</v>
      </c>
      <c r="D21" s="709">
        <v>13.48</v>
      </c>
      <c r="E21" s="731">
        <v>0</v>
      </c>
      <c r="F21" s="731">
        <v>0</v>
      </c>
      <c r="G21" s="1418"/>
    </row>
    <row r="22" spans="1:7" ht="37.5" customHeight="1" thickBot="1" x14ac:dyDescent="0.3">
      <c r="A22" s="1438"/>
      <c r="B22" s="457" t="s">
        <v>104</v>
      </c>
      <c r="C22" s="734">
        <v>0</v>
      </c>
      <c r="D22" s="709">
        <v>0</v>
      </c>
      <c r="E22" s="734">
        <v>0</v>
      </c>
      <c r="F22" s="734">
        <v>0</v>
      </c>
      <c r="G22" s="1423"/>
    </row>
    <row r="23" spans="1:7" ht="14.25" customHeight="1" thickBot="1" x14ac:dyDescent="0.3">
      <c r="A23" s="1436">
        <v>44657</v>
      </c>
      <c r="B23" s="453" t="s">
        <v>17</v>
      </c>
      <c r="C23" s="709">
        <v>1</v>
      </c>
      <c r="D23" s="709">
        <v>1</v>
      </c>
      <c r="E23" s="709">
        <v>1</v>
      </c>
      <c r="F23" s="709">
        <v>1</v>
      </c>
      <c r="G23" s="1417"/>
    </row>
    <row r="24" spans="1:7" ht="14.25" customHeight="1" thickBot="1" x14ac:dyDescent="0.3">
      <c r="A24" s="1437"/>
      <c r="B24" s="453" t="s">
        <v>102</v>
      </c>
      <c r="C24" s="709">
        <v>0</v>
      </c>
      <c r="D24" s="733">
        <f>24-D25-D26</f>
        <v>24</v>
      </c>
      <c r="E24" s="733">
        <f>24-E25-E26</f>
        <v>24</v>
      </c>
      <c r="F24" s="733">
        <f>24-F25-F26</f>
        <v>24</v>
      </c>
      <c r="G24" s="1418"/>
    </row>
    <row r="25" spans="1:7" ht="14.25" customHeight="1" thickBot="1" x14ac:dyDescent="0.3">
      <c r="A25" s="1437"/>
      <c r="B25" s="448" t="s">
        <v>103</v>
      </c>
      <c r="C25" s="709">
        <v>24</v>
      </c>
      <c r="D25" s="731">
        <v>0</v>
      </c>
      <c r="E25" s="731">
        <v>0</v>
      </c>
      <c r="F25" s="731">
        <v>0</v>
      </c>
      <c r="G25" s="1418"/>
    </row>
    <row r="26" spans="1:7" ht="14.25" customHeight="1" thickBot="1" x14ac:dyDescent="0.3">
      <c r="A26" s="1438"/>
      <c r="B26" s="457" t="s">
        <v>104</v>
      </c>
      <c r="C26" s="709">
        <v>0</v>
      </c>
      <c r="D26" s="734">
        <v>0</v>
      </c>
      <c r="E26" s="734">
        <v>0</v>
      </c>
      <c r="F26" s="734">
        <v>0</v>
      </c>
      <c r="G26" s="1423"/>
    </row>
    <row r="27" spans="1:7" ht="14.25" customHeight="1" thickBot="1" x14ac:dyDescent="0.3">
      <c r="A27" s="1436">
        <v>44658</v>
      </c>
      <c r="B27" s="453" t="s">
        <v>17</v>
      </c>
      <c r="C27" s="709">
        <v>1</v>
      </c>
      <c r="D27" s="709">
        <v>1</v>
      </c>
      <c r="E27" s="709">
        <v>1</v>
      </c>
      <c r="F27" s="709">
        <v>1</v>
      </c>
      <c r="G27" s="1417" t="s">
        <v>2521</v>
      </c>
    </row>
    <row r="28" spans="1:7" ht="14.25" customHeight="1" thickBot="1" x14ac:dyDescent="0.3">
      <c r="A28" s="1437"/>
      <c r="B28" s="453" t="s">
        <v>102</v>
      </c>
      <c r="C28" s="709">
        <v>0</v>
      </c>
      <c r="D28" s="733">
        <v>12</v>
      </c>
      <c r="E28" s="733">
        <f>24-E29-E30</f>
        <v>24</v>
      </c>
      <c r="F28" s="733">
        <f>24-F29-F30</f>
        <v>24</v>
      </c>
      <c r="G28" s="1418"/>
    </row>
    <row r="29" spans="1:7" ht="14.25" customHeight="1" thickBot="1" x14ac:dyDescent="0.3">
      <c r="A29" s="1437"/>
      <c r="B29" s="448" t="s">
        <v>103</v>
      </c>
      <c r="C29" s="709">
        <v>24</v>
      </c>
      <c r="D29" s="731">
        <v>12</v>
      </c>
      <c r="E29" s="731">
        <v>0</v>
      </c>
      <c r="F29" s="731">
        <v>0</v>
      </c>
      <c r="G29" s="1418"/>
    </row>
    <row r="30" spans="1:7" ht="14.25" customHeight="1" thickBot="1" x14ac:dyDescent="0.3">
      <c r="A30" s="1438"/>
      <c r="B30" s="457" t="s">
        <v>104</v>
      </c>
      <c r="C30" s="709">
        <v>0</v>
      </c>
      <c r="D30" s="734">
        <v>0</v>
      </c>
      <c r="E30" s="734">
        <v>0</v>
      </c>
      <c r="F30" s="734">
        <v>0</v>
      </c>
      <c r="G30" s="1423"/>
    </row>
    <row r="31" spans="1:7" ht="20.25" customHeight="1" thickBot="1" x14ac:dyDescent="0.3">
      <c r="A31" s="1436">
        <v>44659</v>
      </c>
      <c r="B31" s="453" t="s">
        <v>17</v>
      </c>
      <c r="C31" s="709">
        <v>1</v>
      </c>
      <c r="D31" s="709">
        <v>1</v>
      </c>
      <c r="E31" s="709">
        <v>1</v>
      </c>
      <c r="F31" s="709">
        <v>1</v>
      </c>
      <c r="G31" s="1417" t="s">
        <v>2537</v>
      </c>
    </row>
    <row r="32" spans="1:7" ht="20.25" customHeight="1" thickBot="1" x14ac:dyDescent="0.3">
      <c r="A32" s="1437"/>
      <c r="B32" s="453" t="s">
        <v>102</v>
      </c>
      <c r="C32" s="709">
        <v>0</v>
      </c>
      <c r="D32" s="709">
        <v>13.55</v>
      </c>
      <c r="E32" s="733">
        <f>24-E33-E34</f>
        <v>24</v>
      </c>
      <c r="F32" s="733">
        <f>24-F33-F34</f>
        <v>24</v>
      </c>
      <c r="G32" s="1418"/>
    </row>
    <row r="33" spans="1:7" ht="20.25" customHeight="1" thickBot="1" x14ac:dyDescent="0.3">
      <c r="A33" s="1437"/>
      <c r="B33" s="448" t="s">
        <v>103</v>
      </c>
      <c r="C33" s="709">
        <v>24</v>
      </c>
      <c r="D33" s="709">
        <v>10.45</v>
      </c>
      <c r="E33" s="731">
        <v>0</v>
      </c>
      <c r="F33" s="731">
        <v>0</v>
      </c>
      <c r="G33" s="1418"/>
    </row>
    <row r="34" spans="1:7" ht="20.25" customHeight="1" thickBot="1" x14ac:dyDescent="0.3">
      <c r="A34" s="1438"/>
      <c r="B34" s="457" t="s">
        <v>104</v>
      </c>
      <c r="C34" s="709">
        <v>0</v>
      </c>
      <c r="D34" s="709">
        <v>0</v>
      </c>
      <c r="E34" s="734">
        <v>0</v>
      </c>
      <c r="F34" s="734">
        <v>0</v>
      </c>
      <c r="G34" s="1423"/>
    </row>
    <row r="35" spans="1:7" ht="26.25" customHeight="1" thickBot="1" x14ac:dyDescent="0.3">
      <c r="A35" s="1436">
        <v>44660</v>
      </c>
      <c r="B35" s="453" t="s">
        <v>17</v>
      </c>
      <c r="C35" s="709">
        <v>1</v>
      </c>
      <c r="D35" s="709">
        <v>1</v>
      </c>
      <c r="E35" s="709">
        <v>1</v>
      </c>
      <c r="F35" s="709">
        <v>1</v>
      </c>
      <c r="G35" s="1453" t="s">
        <v>2554</v>
      </c>
    </row>
    <row r="36" spans="1:7" ht="26.25" customHeight="1" thickBot="1" x14ac:dyDescent="0.3">
      <c r="A36" s="1437"/>
      <c r="B36" s="453" t="s">
        <v>102</v>
      </c>
      <c r="C36" s="709">
        <v>0</v>
      </c>
      <c r="D36" s="709">
        <v>13.22</v>
      </c>
      <c r="E36" s="733">
        <f>24-E37-E38</f>
        <v>24</v>
      </c>
      <c r="F36" s="733">
        <f>24-F37-F38</f>
        <v>24</v>
      </c>
      <c r="G36" s="1418"/>
    </row>
    <row r="37" spans="1:7" ht="26.25" customHeight="1" thickBot="1" x14ac:dyDescent="0.3">
      <c r="A37" s="1437"/>
      <c r="B37" s="448" t="s">
        <v>103</v>
      </c>
      <c r="C37" s="709">
        <v>24</v>
      </c>
      <c r="D37" s="709">
        <v>10.78</v>
      </c>
      <c r="E37" s="731">
        <v>0</v>
      </c>
      <c r="F37" s="731">
        <v>0</v>
      </c>
      <c r="G37" s="1418"/>
    </row>
    <row r="38" spans="1:7" ht="26.25" customHeight="1" thickBot="1" x14ac:dyDescent="0.3">
      <c r="A38" s="1438"/>
      <c r="B38" s="457" t="s">
        <v>104</v>
      </c>
      <c r="C38" s="709">
        <v>0</v>
      </c>
      <c r="D38" s="709">
        <v>0</v>
      </c>
      <c r="E38" s="734">
        <v>0</v>
      </c>
      <c r="F38" s="734">
        <v>0</v>
      </c>
      <c r="G38" s="1423"/>
    </row>
    <row r="39" spans="1:7" ht="43.5" customHeight="1" thickBot="1" x14ac:dyDescent="0.3">
      <c r="A39" s="1436">
        <v>44661</v>
      </c>
      <c r="B39" s="453" t="s">
        <v>17</v>
      </c>
      <c r="C39" s="709">
        <v>1</v>
      </c>
      <c r="D39" s="709">
        <v>1</v>
      </c>
      <c r="E39" s="709">
        <v>1</v>
      </c>
      <c r="F39" s="709">
        <v>1</v>
      </c>
      <c r="G39" s="1453" t="s">
        <v>2577</v>
      </c>
    </row>
    <row r="40" spans="1:7" ht="43.5" customHeight="1" thickBot="1" x14ac:dyDescent="0.3">
      <c r="A40" s="1437"/>
      <c r="B40" s="453" t="s">
        <v>102</v>
      </c>
      <c r="C40" s="709">
        <v>5.77</v>
      </c>
      <c r="D40" s="709">
        <v>10.220000000000001</v>
      </c>
      <c r="E40" s="709">
        <v>23.47</v>
      </c>
      <c r="F40" s="709">
        <v>23.65</v>
      </c>
      <c r="G40" s="1418"/>
    </row>
    <row r="41" spans="1:7" ht="43.5" customHeight="1" thickBot="1" x14ac:dyDescent="0.3">
      <c r="A41" s="1437"/>
      <c r="B41" s="448" t="s">
        <v>103</v>
      </c>
      <c r="C41" s="709">
        <v>18.23</v>
      </c>
      <c r="D41" s="709">
        <v>13.78</v>
      </c>
      <c r="E41" s="709">
        <v>0.53</v>
      </c>
      <c r="F41" s="709">
        <v>0.35</v>
      </c>
      <c r="G41" s="1418"/>
    </row>
    <row r="42" spans="1:7" ht="51.75" customHeight="1" thickBot="1" x14ac:dyDescent="0.3">
      <c r="A42" s="1438"/>
      <c r="B42" s="457" t="s">
        <v>104</v>
      </c>
      <c r="C42" s="709">
        <v>0</v>
      </c>
      <c r="D42" s="709">
        <v>0</v>
      </c>
      <c r="E42" s="734">
        <v>0</v>
      </c>
      <c r="F42" s="734">
        <v>0</v>
      </c>
      <c r="G42" s="1423"/>
    </row>
    <row r="43" spans="1:7" ht="14.25" customHeight="1" thickBot="1" x14ac:dyDescent="0.3">
      <c r="A43" s="1436">
        <v>44662</v>
      </c>
      <c r="B43" s="453" t="s">
        <v>17</v>
      </c>
      <c r="C43" s="709">
        <v>1</v>
      </c>
      <c r="D43" s="709">
        <v>1</v>
      </c>
      <c r="E43" s="709">
        <v>1</v>
      </c>
      <c r="F43" s="709">
        <v>1</v>
      </c>
      <c r="G43" s="1417"/>
    </row>
    <row r="44" spans="1:7" ht="14.25" customHeight="1" thickBot="1" x14ac:dyDescent="0.3">
      <c r="A44" s="1437"/>
      <c r="B44" s="453" t="s">
        <v>102</v>
      </c>
      <c r="C44" s="733">
        <f>24-C45-C46</f>
        <v>24</v>
      </c>
      <c r="D44" s="733">
        <f>24-D45-D46</f>
        <v>24</v>
      </c>
      <c r="E44" s="733">
        <f>24-E45-E46</f>
        <v>24</v>
      </c>
      <c r="F44" s="733">
        <f>24-F45-F46</f>
        <v>24</v>
      </c>
      <c r="G44" s="1418"/>
    </row>
    <row r="45" spans="1:7" ht="14.25" customHeight="1" thickBot="1" x14ac:dyDescent="0.3">
      <c r="A45" s="1437"/>
      <c r="B45" s="448" t="s">
        <v>103</v>
      </c>
      <c r="C45" s="731">
        <v>0</v>
      </c>
      <c r="D45" s="731">
        <v>0</v>
      </c>
      <c r="E45" s="731">
        <v>0</v>
      </c>
      <c r="F45" s="731">
        <v>0</v>
      </c>
      <c r="G45" s="1418"/>
    </row>
    <row r="46" spans="1:7" ht="14.25" customHeight="1" thickBot="1" x14ac:dyDescent="0.3">
      <c r="A46" s="1438"/>
      <c r="B46" s="457" t="s">
        <v>104</v>
      </c>
      <c r="C46" s="734">
        <v>0</v>
      </c>
      <c r="D46" s="734">
        <v>0</v>
      </c>
      <c r="E46" s="734">
        <v>0</v>
      </c>
      <c r="F46" s="734">
        <v>0</v>
      </c>
      <c r="G46" s="1419"/>
    </row>
    <row r="47" spans="1:7" ht="14.25" customHeight="1" thickBot="1" x14ac:dyDescent="0.3">
      <c r="A47" s="1436">
        <v>44663</v>
      </c>
      <c r="B47" s="453" t="s">
        <v>17</v>
      </c>
      <c r="C47" s="709">
        <v>1</v>
      </c>
      <c r="D47" s="709">
        <v>1</v>
      </c>
      <c r="E47" s="709">
        <v>1</v>
      </c>
      <c r="F47" s="709">
        <v>1</v>
      </c>
      <c r="G47" s="1453" t="s">
        <v>2595</v>
      </c>
    </row>
    <row r="48" spans="1:7" ht="14.25" customHeight="1" thickBot="1" x14ac:dyDescent="0.3">
      <c r="A48" s="1437"/>
      <c r="B48" s="453" t="s">
        <v>102</v>
      </c>
      <c r="C48" s="709">
        <v>8.6999999999999993</v>
      </c>
      <c r="D48" s="709">
        <v>17.2</v>
      </c>
      <c r="E48" s="733">
        <f>24-E49-E50</f>
        <v>24</v>
      </c>
      <c r="F48" s="733">
        <f>24-F49-F50</f>
        <v>24</v>
      </c>
      <c r="G48" s="1418"/>
    </row>
    <row r="49" spans="1:7" ht="14.25" customHeight="1" thickBot="1" x14ac:dyDescent="0.3">
      <c r="A49" s="1437"/>
      <c r="B49" s="448" t="s">
        <v>103</v>
      </c>
      <c r="C49" s="709">
        <v>15.3</v>
      </c>
      <c r="D49" s="709">
        <v>6.8</v>
      </c>
      <c r="E49" s="731">
        <v>0</v>
      </c>
      <c r="F49" s="731">
        <v>0</v>
      </c>
      <c r="G49" s="1418"/>
    </row>
    <row r="50" spans="1:7" ht="14.25" customHeight="1" thickBot="1" x14ac:dyDescent="0.3">
      <c r="A50" s="1438"/>
      <c r="B50" s="457" t="s">
        <v>104</v>
      </c>
      <c r="C50" s="709">
        <v>0</v>
      </c>
      <c r="D50" s="709">
        <v>0</v>
      </c>
      <c r="E50" s="734">
        <v>0</v>
      </c>
      <c r="F50" s="734">
        <v>0</v>
      </c>
      <c r="G50" s="1423"/>
    </row>
    <row r="51" spans="1:7" ht="14.25" customHeight="1" thickBot="1" x14ac:dyDescent="0.3">
      <c r="A51" s="1436">
        <v>44664</v>
      </c>
      <c r="B51" s="453" t="s">
        <v>17</v>
      </c>
      <c r="C51" s="709">
        <v>1</v>
      </c>
      <c r="D51" s="709">
        <v>1</v>
      </c>
      <c r="E51" s="709">
        <v>1</v>
      </c>
      <c r="F51" s="709">
        <v>1</v>
      </c>
      <c r="G51" s="1417" t="s">
        <v>2598</v>
      </c>
    </row>
    <row r="52" spans="1:7" ht="14.25" customHeight="1" thickBot="1" x14ac:dyDescent="0.3">
      <c r="A52" s="1437"/>
      <c r="B52" s="453" t="s">
        <v>102</v>
      </c>
      <c r="C52" s="709">
        <v>0</v>
      </c>
      <c r="D52" s="709">
        <v>7.43</v>
      </c>
      <c r="E52" s="733">
        <f>24-E53-E54</f>
        <v>24</v>
      </c>
      <c r="F52" s="733">
        <f>24-F53-F54</f>
        <v>24</v>
      </c>
      <c r="G52" s="1418"/>
    </row>
    <row r="53" spans="1:7" ht="14.25" customHeight="1" thickBot="1" x14ac:dyDescent="0.3">
      <c r="A53" s="1437"/>
      <c r="B53" s="448" t="s">
        <v>103</v>
      </c>
      <c r="C53" s="709">
        <v>24</v>
      </c>
      <c r="D53" s="709">
        <v>16.57</v>
      </c>
      <c r="E53" s="731">
        <v>0</v>
      </c>
      <c r="F53" s="731">
        <v>0</v>
      </c>
      <c r="G53" s="1418"/>
    </row>
    <row r="54" spans="1:7" ht="14.25" customHeight="1" thickBot="1" x14ac:dyDescent="0.3">
      <c r="A54" s="1438"/>
      <c r="B54" s="457" t="s">
        <v>104</v>
      </c>
      <c r="C54" s="709">
        <v>0</v>
      </c>
      <c r="D54" s="709">
        <v>0</v>
      </c>
      <c r="E54" s="734">
        <v>0</v>
      </c>
      <c r="F54" s="734">
        <v>0</v>
      </c>
      <c r="G54" s="1423"/>
    </row>
    <row r="55" spans="1:7" ht="25.5" customHeight="1" thickBot="1" x14ac:dyDescent="0.3">
      <c r="A55" s="1436">
        <v>44665</v>
      </c>
      <c r="B55" s="453" t="s">
        <v>17</v>
      </c>
      <c r="C55" s="709">
        <v>1</v>
      </c>
      <c r="D55" s="709">
        <v>1</v>
      </c>
      <c r="E55" s="709">
        <v>1</v>
      </c>
      <c r="F55" s="709">
        <v>1</v>
      </c>
      <c r="G55" s="1417" t="s">
        <v>2779</v>
      </c>
    </row>
    <row r="56" spans="1:7" ht="25.5" customHeight="1" thickBot="1" x14ac:dyDescent="0.3">
      <c r="A56" s="1437"/>
      <c r="B56" s="453" t="s">
        <v>102</v>
      </c>
      <c r="C56" s="709">
        <v>0</v>
      </c>
      <c r="D56" s="709">
        <v>16.940000000000001</v>
      </c>
      <c r="E56" s="733">
        <f>24-E57-E58</f>
        <v>24</v>
      </c>
      <c r="F56" s="733">
        <f>24-F57-F58</f>
        <v>24</v>
      </c>
      <c r="G56" s="1418"/>
    </row>
    <row r="57" spans="1:7" ht="25.5" customHeight="1" thickBot="1" x14ac:dyDescent="0.3">
      <c r="A57" s="1437"/>
      <c r="B57" s="448" t="s">
        <v>103</v>
      </c>
      <c r="C57" s="709">
        <v>24</v>
      </c>
      <c r="D57" s="709">
        <v>7.06</v>
      </c>
      <c r="E57" s="731">
        <v>0</v>
      </c>
      <c r="F57" s="731">
        <v>0</v>
      </c>
      <c r="G57" s="1418"/>
    </row>
    <row r="58" spans="1:7" ht="25.5" customHeight="1" thickBot="1" x14ac:dyDescent="0.3">
      <c r="A58" s="1438"/>
      <c r="B58" s="457" t="s">
        <v>104</v>
      </c>
      <c r="C58" s="709">
        <v>0</v>
      </c>
      <c r="D58" s="709">
        <v>0</v>
      </c>
      <c r="E58" s="734">
        <v>0</v>
      </c>
      <c r="F58" s="734">
        <v>0</v>
      </c>
      <c r="G58" s="1419"/>
    </row>
    <row r="59" spans="1:7" ht="14.25" customHeight="1" thickBot="1" x14ac:dyDescent="0.3">
      <c r="A59" s="1436">
        <v>44666</v>
      </c>
      <c r="B59" s="453" t="s">
        <v>17</v>
      </c>
      <c r="C59" s="709">
        <v>1</v>
      </c>
      <c r="D59" s="709">
        <v>1</v>
      </c>
      <c r="E59" s="709">
        <v>1</v>
      </c>
      <c r="F59" s="709">
        <v>1</v>
      </c>
      <c r="G59" s="1417" t="s">
        <v>2617</v>
      </c>
    </row>
    <row r="60" spans="1:7" ht="14.25" customHeight="1" thickBot="1" x14ac:dyDescent="0.3">
      <c r="A60" s="1437"/>
      <c r="B60" s="453" t="s">
        <v>102</v>
      </c>
      <c r="C60" s="709">
        <v>0</v>
      </c>
      <c r="D60" s="709">
        <v>17.899999999999999</v>
      </c>
      <c r="E60" s="733">
        <f>24-E61-E62</f>
        <v>24</v>
      </c>
      <c r="F60" s="733">
        <f>24-F61-F62</f>
        <v>24</v>
      </c>
      <c r="G60" s="1418"/>
    </row>
    <row r="61" spans="1:7" ht="14.25" customHeight="1" thickBot="1" x14ac:dyDescent="0.3">
      <c r="A61" s="1437"/>
      <c r="B61" s="448" t="s">
        <v>103</v>
      </c>
      <c r="C61" s="709">
        <v>24</v>
      </c>
      <c r="D61" s="709">
        <v>6.1</v>
      </c>
      <c r="E61" s="731">
        <v>0</v>
      </c>
      <c r="F61" s="731">
        <v>0</v>
      </c>
      <c r="G61" s="1418"/>
    </row>
    <row r="62" spans="1:7" ht="14.25" customHeight="1" thickBot="1" x14ac:dyDescent="0.3">
      <c r="A62" s="1438"/>
      <c r="B62" s="457" t="s">
        <v>104</v>
      </c>
      <c r="C62" s="709">
        <v>0</v>
      </c>
      <c r="D62" s="709">
        <v>0</v>
      </c>
      <c r="E62" s="734">
        <v>0</v>
      </c>
      <c r="F62" s="734">
        <v>0</v>
      </c>
      <c r="G62" s="1419"/>
    </row>
    <row r="63" spans="1:7" ht="14.25" customHeight="1" thickBot="1" x14ac:dyDescent="0.3">
      <c r="A63" s="1436">
        <v>44667</v>
      </c>
      <c r="B63" s="453" t="s">
        <v>17</v>
      </c>
      <c r="C63" s="709">
        <v>1</v>
      </c>
      <c r="D63" s="709">
        <v>1</v>
      </c>
      <c r="E63" s="709">
        <v>1</v>
      </c>
      <c r="F63" s="709">
        <v>1</v>
      </c>
      <c r="G63" s="1417" t="s">
        <v>2625</v>
      </c>
    </row>
    <row r="64" spans="1:7" ht="14.25" customHeight="1" thickBot="1" x14ac:dyDescent="0.3">
      <c r="A64" s="1437"/>
      <c r="B64" s="453" t="s">
        <v>102</v>
      </c>
      <c r="C64" s="709">
        <v>0</v>
      </c>
      <c r="D64" s="709">
        <v>13.93</v>
      </c>
      <c r="E64" s="733">
        <f>24-E65-E66</f>
        <v>24</v>
      </c>
      <c r="F64" s="733">
        <f>24-F65-F66</f>
        <v>24</v>
      </c>
      <c r="G64" s="1418"/>
    </row>
    <row r="65" spans="1:7" ht="14.25" customHeight="1" thickBot="1" x14ac:dyDescent="0.3">
      <c r="A65" s="1437"/>
      <c r="B65" s="448" t="s">
        <v>103</v>
      </c>
      <c r="C65" s="709">
        <v>24</v>
      </c>
      <c r="D65" s="709">
        <v>10.07</v>
      </c>
      <c r="E65" s="731">
        <v>0</v>
      </c>
      <c r="F65" s="731">
        <v>0</v>
      </c>
      <c r="G65" s="1418"/>
    </row>
    <row r="66" spans="1:7" ht="14.25" customHeight="1" thickBot="1" x14ac:dyDescent="0.3">
      <c r="A66" s="1438"/>
      <c r="B66" s="457" t="s">
        <v>104</v>
      </c>
      <c r="C66" s="709">
        <v>0</v>
      </c>
      <c r="D66" s="709">
        <v>0</v>
      </c>
      <c r="E66" s="734">
        <v>0</v>
      </c>
      <c r="F66" s="734">
        <v>0</v>
      </c>
      <c r="G66" s="1423"/>
    </row>
    <row r="67" spans="1:7" ht="14.25" customHeight="1" thickBot="1" x14ac:dyDescent="0.3">
      <c r="A67" s="1436">
        <v>44668</v>
      </c>
      <c r="B67" s="453" t="s">
        <v>17</v>
      </c>
      <c r="C67" s="709">
        <v>1</v>
      </c>
      <c r="D67" s="709">
        <v>1</v>
      </c>
      <c r="E67" s="709">
        <v>1</v>
      </c>
      <c r="F67" s="709">
        <v>1</v>
      </c>
      <c r="G67" s="1417" t="s">
        <v>2652</v>
      </c>
    </row>
    <row r="68" spans="1:7" ht="14.25" customHeight="1" thickBot="1" x14ac:dyDescent="0.3">
      <c r="A68" s="1437"/>
      <c r="B68" s="453" t="s">
        <v>102</v>
      </c>
      <c r="C68" s="709">
        <v>6.43</v>
      </c>
      <c r="D68" s="733">
        <f>24-D69-D70</f>
        <v>24</v>
      </c>
      <c r="E68" s="733">
        <f>24-E69-E70</f>
        <v>24</v>
      </c>
      <c r="F68" s="733">
        <f>24-F69-F70</f>
        <v>24</v>
      </c>
      <c r="G68" s="1418"/>
    </row>
    <row r="69" spans="1:7" ht="14.25" customHeight="1" thickBot="1" x14ac:dyDescent="0.3">
      <c r="A69" s="1437"/>
      <c r="B69" s="448" t="s">
        <v>103</v>
      </c>
      <c r="C69" s="709">
        <v>17.57</v>
      </c>
      <c r="D69" s="731">
        <v>0</v>
      </c>
      <c r="E69" s="731">
        <v>0</v>
      </c>
      <c r="F69" s="731">
        <v>0</v>
      </c>
      <c r="G69" s="1418"/>
    </row>
    <row r="70" spans="1:7" ht="14.25" customHeight="1" thickBot="1" x14ac:dyDescent="0.3">
      <c r="A70" s="1438"/>
      <c r="B70" s="457" t="s">
        <v>104</v>
      </c>
      <c r="C70" s="709">
        <v>0</v>
      </c>
      <c r="D70" s="734">
        <v>0</v>
      </c>
      <c r="E70" s="734">
        <v>0</v>
      </c>
      <c r="F70" s="734">
        <v>0</v>
      </c>
      <c r="G70" s="1423"/>
    </row>
    <row r="71" spans="1:7" ht="14.25" customHeight="1" thickBot="1" x14ac:dyDescent="0.3">
      <c r="A71" s="1436">
        <v>44669</v>
      </c>
      <c r="B71" s="453" t="s">
        <v>17</v>
      </c>
      <c r="C71" s="709">
        <v>1</v>
      </c>
      <c r="D71" s="709">
        <v>1</v>
      </c>
      <c r="E71" s="709">
        <v>1</v>
      </c>
      <c r="F71" s="709">
        <v>1</v>
      </c>
      <c r="G71" s="1417" t="s">
        <v>2651</v>
      </c>
    </row>
    <row r="72" spans="1:7" ht="14.25" customHeight="1" thickBot="1" x14ac:dyDescent="0.3">
      <c r="A72" s="1437"/>
      <c r="B72" s="453" t="s">
        <v>102</v>
      </c>
      <c r="C72" s="709">
        <v>13.3</v>
      </c>
      <c r="D72" s="709">
        <v>6.38</v>
      </c>
      <c r="E72" s="733">
        <f>24-E73-E74</f>
        <v>24</v>
      </c>
      <c r="F72" s="733">
        <f>24-F73-F74</f>
        <v>24</v>
      </c>
      <c r="G72" s="1418"/>
    </row>
    <row r="73" spans="1:7" ht="14.25" customHeight="1" thickBot="1" x14ac:dyDescent="0.3">
      <c r="A73" s="1437"/>
      <c r="B73" s="448" t="s">
        <v>103</v>
      </c>
      <c r="C73" s="709">
        <v>10.7</v>
      </c>
      <c r="D73" s="709">
        <v>17.62</v>
      </c>
      <c r="E73" s="731">
        <v>0</v>
      </c>
      <c r="F73" s="731">
        <v>0</v>
      </c>
      <c r="G73" s="1418"/>
    </row>
    <row r="74" spans="1:7" ht="14.25" customHeight="1" thickBot="1" x14ac:dyDescent="0.3">
      <c r="A74" s="1438"/>
      <c r="B74" s="457" t="s">
        <v>104</v>
      </c>
      <c r="C74" s="709">
        <v>0</v>
      </c>
      <c r="D74" s="709">
        <v>0</v>
      </c>
      <c r="E74" s="734">
        <v>0</v>
      </c>
      <c r="F74" s="734">
        <v>0</v>
      </c>
      <c r="G74" s="1423"/>
    </row>
    <row r="75" spans="1:7" ht="14.25" customHeight="1" thickBot="1" x14ac:dyDescent="0.3">
      <c r="A75" s="1436">
        <v>44670</v>
      </c>
      <c r="B75" s="453" t="s">
        <v>17</v>
      </c>
      <c r="C75" s="709">
        <v>1</v>
      </c>
      <c r="D75" s="709">
        <v>1</v>
      </c>
      <c r="E75" s="709">
        <v>1</v>
      </c>
      <c r="F75" s="709">
        <v>1</v>
      </c>
      <c r="G75" s="1417" t="s">
        <v>2655</v>
      </c>
    </row>
    <row r="76" spans="1:7" ht="14.25" customHeight="1" thickBot="1" x14ac:dyDescent="0.3">
      <c r="A76" s="1437"/>
      <c r="B76" s="453" t="s">
        <v>102</v>
      </c>
      <c r="C76" s="709">
        <v>0</v>
      </c>
      <c r="D76" s="709">
        <v>22.32</v>
      </c>
      <c r="E76" s="733">
        <f>24-E77-E78</f>
        <v>24</v>
      </c>
      <c r="F76" s="733">
        <f>24-F77-F78</f>
        <v>24</v>
      </c>
      <c r="G76" s="1418"/>
    </row>
    <row r="77" spans="1:7" ht="14.25" customHeight="1" thickBot="1" x14ac:dyDescent="0.3">
      <c r="A77" s="1437"/>
      <c r="B77" s="448" t="s">
        <v>103</v>
      </c>
      <c r="C77" s="709">
        <v>24</v>
      </c>
      <c r="D77" s="709">
        <v>1.68</v>
      </c>
      <c r="E77" s="731">
        <v>0</v>
      </c>
      <c r="F77" s="731">
        <v>0</v>
      </c>
      <c r="G77" s="1418"/>
    </row>
    <row r="78" spans="1:7" ht="14.25" customHeight="1" thickBot="1" x14ac:dyDescent="0.3">
      <c r="A78" s="1438"/>
      <c r="B78" s="457" t="s">
        <v>104</v>
      </c>
      <c r="C78" s="709">
        <v>0</v>
      </c>
      <c r="D78" s="709">
        <v>0</v>
      </c>
      <c r="E78" s="734">
        <v>0</v>
      </c>
      <c r="F78" s="734">
        <v>0</v>
      </c>
      <c r="G78" s="1423"/>
    </row>
    <row r="79" spans="1:7" ht="36.75" customHeight="1" thickBot="1" x14ac:dyDescent="0.3">
      <c r="A79" s="1436">
        <v>44671</v>
      </c>
      <c r="B79" s="453" t="s">
        <v>17</v>
      </c>
      <c r="C79" s="709">
        <v>1</v>
      </c>
      <c r="D79" s="709">
        <v>1</v>
      </c>
      <c r="E79" s="709">
        <v>1</v>
      </c>
      <c r="F79" s="709">
        <v>1</v>
      </c>
      <c r="G79" s="1453" t="s">
        <v>2707</v>
      </c>
    </row>
    <row r="80" spans="1:7" ht="36.75" customHeight="1" thickBot="1" x14ac:dyDescent="0.3">
      <c r="A80" s="1437"/>
      <c r="B80" s="453" t="s">
        <v>102</v>
      </c>
      <c r="C80" s="709">
        <v>0</v>
      </c>
      <c r="D80" s="709">
        <v>17.579999999999998</v>
      </c>
      <c r="E80" s="709">
        <v>22.83</v>
      </c>
      <c r="F80" s="709">
        <v>22.85</v>
      </c>
      <c r="G80" s="1418"/>
    </row>
    <row r="81" spans="1:7" ht="36.75" customHeight="1" thickBot="1" x14ac:dyDescent="0.3">
      <c r="A81" s="1437"/>
      <c r="B81" s="448" t="s">
        <v>103</v>
      </c>
      <c r="C81" s="709">
        <v>24</v>
      </c>
      <c r="D81" s="709">
        <v>6.42</v>
      </c>
      <c r="E81" s="709">
        <v>1.17</v>
      </c>
      <c r="F81" s="709">
        <v>1.1499999999999999</v>
      </c>
      <c r="G81" s="1418"/>
    </row>
    <row r="82" spans="1:7" ht="36.75" customHeight="1" thickBot="1" x14ac:dyDescent="0.3">
      <c r="A82" s="1438"/>
      <c r="B82" s="457" t="s">
        <v>104</v>
      </c>
      <c r="C82" s="709">
        <v>0</v>
      </c>
      <c r="D82" s="709">
        <v>0</v>
      </c>
      <c r="E82" s="709">
        <v>0</v>
      </c>
      <c r="F82" s="709">
        <v>0</v>
      </c>
      <c r="G82" s="1423"/>
    </row>
    <row r="83" spans="1:7" ht="14.25" customHeight="1" thickBot="1" x14ac:dyDescent="0.3">
      <c r="A83" s="1436">
        <v>44672</v>
      </c>
      <c r="B83" s="453" t="s">
        <v>17</v>
      </c>
      <c r="C83" s="709">
        <v>1</v>
      </c>
      <c r="D83" s="709">
        <v>1</v>
      </c>
      <c r="E83" s="709">
        <v>1</v>
      </c>
      <c r="F83" s="709">
        <v>1</v>
      </c>
      <c r="G83" s="1453" t="s">
        <v>2711</v>
      </c>
    </row>
    <row r="84" spans="1:7" ht="14.25" customHeight="1" thickBot="1" x14ac:dyDescent="0.3">
      <c r="A84" s="1437"/>
      <c r="B84" s="453" t="s">
        <v>102</v>
      </c>
      <c r="C84" s="709">
        <v>16.55</v>
      </c>
      <c r="D84" s="709">
        <v>12.9</v>
      </c>
      <c r="E84" s="733">
        <f>24-E85-E86</f>
        <v>24</v>
      </c>
      <c r="F84" s="733">
        <f>24-F85-F86</f>
        <v>24</v>
      </c>
      <c r="G84" s="1418"/>
    </row>
    <row r="85" spans="1:7" ht="14.25" customHeight="1" thickBot="1" x14ac:dyDescent="0.3">
      <c r="A85" s="1437"/>
      <c r="B85" s="448" t="s">
        <v>103</v>
      </c>
      <c r="C85" s="709">
        <v>7.45</v>
      </c>
      <c r="D85" s="709">
        <v>11.1</v>
      </c>
      <c r="E85" s="731">
        <v>0</v>
      </c>
      <c r="F85" s="731">
        <v>0</v>
      </c>
      <c r="G85" s="1418"/>
    </row>
    <row r="86" spans="1:7" ht="14.25" customHeight="1" thickBot="1" x14ac:dyDescent="0.3">
      <c r="A86" s="1438"/>
      <c r="B86" s="457" t="s">
        <v>104</v>
      </c>
      <c r="C86" s="709">
        <v>0</v>
      </c>
      <c r="D86" s="709">
        <v>0</v>
      </c>
      <c r="E86" s="734">
        <v>0</v>
      </c>
      <c r="F86" s="734">
        <v>0</v>
      </c>
      <c r="G86" s="1423"/>
    </row>
    <row r="87" spans="1:7" ht="14.25" customHeight="1" thickBot="1" x14ac:dyDescent="0.3">
      <c r="A87" s="1436">
        <v>44673</v>
      </c>
      <c r="B87" s="453" t="s">
        <v>17</v>
      </c>
      <c r="C87" s="709">
        <v>1</v>
      </c>
      <c r="D87" s="709">
        <v>1</v>
      </c>
      <c r="E87" s="709">
        <v>1</v>
      </c>
      <c r="F87" s="709">
        <v>1</v>
      </c>
      <c r="G87" s="1417" t="s">
        <v>2729</v>
      </c>
    </row>
    <row r="88" spans="1:7" ht="14.25" customHeight="1" thickBot="1" x14ac:dyDescent="0.3">
      <c r="A88" s="1437"/>
      <c r="B88" s="453" t="s">
        <v>102</v>
      </c>
      <c r="C88" s="709">
        <v>24</v>
      </c>
      <c r="D88" s="709">
        <v>20.9</v>
      </c>
      <c r="E88" s="733">
        <f>24-E89-E90</f>
        <v>24</v>
      </c>
      <c r="F88" s="733">
        <f>24-F89-F90</f>
        <v>24</v>
      </c>
      <c r="G88" s="1418"/>
    </row>
    <row r="89" spans="1:7" ht="14.25" customHeight="1" thickBot="1" x14ac:dyDescent="0.3">
      <c r="A89" s="1437"/>
      <c r="B89" s="448" t="s">
        <v>103</v>
      </c>
      <c r="C89" s="709">
        <v>0</v>
      </c>
      <c r="D89" s="709">
        <v>3.1</v>
      </c>
      <c r="E89" s="731">
        <v>0</v>
      </c>
      <c r="F89" s="731">
        <v>0</v>
      </c>
      <c r="G89" s="1418"/>
    </row>
    <row r="90" spans="1:7" ht="14.25" customHeight="1" thickBot="1" x14ac:dyDescent="0.3">
      <c r="A90" s="1438"/>
      <c r="B90" s="457" t="s">
        <v>104</v>
      </c>
      <c r="C90" s="709">
        <v>0</v>
      </c>
      <c r="D90" s="709">
        <v>0</v>
      </c>
      <c r="E90" s="734">
        <v>0</v>
      </c>
      <c r="F90" s="734">
        <v>0</v>
      </c>
      <c r="G90" s="1423"/>
    </row>
    <row r="91" spans="1:7" ht="14.25" customHeight="1" thickBot="1" x14ac:dyDescent="0.3">
      <c r="A91" s="1436">
        <v>44674</v>
      </c>
      <c r="B91" s="453" t="s">
        <v>17</v>
      </c>
      <c r="C91" s="709">
        <v>1</v>
      </c>
      <c r="D91" s="709">
        <v>1</v>
      </c>
      <c r="E91" s="709">
        <v>1</v>
      </c>
      <c r="F91" s="709">
        <v>1</v>
      </c>
      <c r="G91" s="1417" t="s">
        <v>2719</v>
      </c>
    </row>
    <row r="92" spans="1:7" ht="14.25" customHeight="1" thickBot="1" x14ac:dyDescent="0.3">
      <c r="A92" s="1437"/>
      <c r="B92" s="453" t="s">
        <v>102</v>
      </c>
      <c r="C92" s="709">
        <v>12.62</v>
      </c>
      <c r="D92" s="733">
        <f>24-D93-D94</f>
        <v>24</v>
      </c>
      <c r="E92" s="733">
        <f>24-E93-E94</f>
        <v>24</v>
      </c>
      <c r="F92" s="733">
        <f>24-F93-F94</f>
        <v>24</v>
      </c>
      <c r="G92" s="1418"/>
    </row>
    <row r="93" spans="1:7" ht="14.25" customHeight="1" thickBot="1" x14ac:dyDescent="0.3">
      <c r="A93" s="1437"/>
      <c r="B93" s="448" t="s">
        <v>103</v>
      </c>
      <c r="C93" s="709">
        <v>11.38</v>
      </c>
      <c r="D93" s="731">
        <v>0</v>
      </c>
      <c r="E93" s="731">
        <v>0</v>
      </c>
      <c r="F93" s="731">
        <v>0</v>
      </c>
      <c r="G93" s="1418"/>
    </row>
    <row r="94" spans="1:7" ht="14.25" customHeight="1" thickBot="1" x14ac:dyDescent="0.3">
      <c r="A94" s="1438"/>
      <c r="B94" s="457" t="s">
        <v>104</v>
      </c>
      <c r="C94" s="709">
        <v>0</v>
      </c>
      <c r="D94" s="734">
        <v>0</v>
      </c>
      <c r="E94" s="734">
        <v>0</v>
      </c>
      <c r="F94" s="734">
        <v>0</v>
      </c>
      <c r="G94" s="1423"/>
    </row>
    <row r="95" spans="1:7" ht="14.25" customHeight="1" thickBot="1" x14ac:dyDescent="0.3">
      <c r="A95" s="1436">
        <v>44675</v>
      </c>
      <c r="B95" s="453" t="s">
        <v>17</v>
      </c>
      <c r="C95" s="709">
        <v>1</v>
      </c>
      <c r="D95" s="709">
        <v>1</v>
      </c>
      <c r="E95" s="709">
        <v>1</v>
      </c>
      <c r="F95" s="709">
        <v>1</v>
      </c>
      <c r="G95" s="1417" t="s">
        <v>2730</v>
      </c>
    </row>
    <row r="96" spans="1:7" ht="14.25" customHeight="1" thickBot="1" x14ac:dyDescent="0.3">
      <c r="A96" s="1437"/>
      <c r="B96" s="453" t="s">
        <v>102</v>
      </c>
      <c r="C96" s="709">
        <v>0</v>
      </c>
      <c r="D96" s="733">
        <f>24-D97-D98</f>
        <v>19.8</v>
      </c>
      <c r="E96" s="733">
        <f>24-E97-E98</f>
        <v>24</v>
      </c>
      <c r="F96" s="733">
        <f>24-F97-F98</f>
        <v>24</v>
      </c>
      <c r="G96" s="1418"/>
    </row>
    <row r="97" spans="1:7" ht="14.25" customHeight="1" thickBot="1" x14ac:dyDescent="0.3">
      <c r="A97" s="1437"/>
      <c r="B97" s="448" t="s">
        <v>103</v>
      </c>
      <c r="C97" s="709">
        <v>24</v>
      </c>
      <c r="D97" s="731">
        <v>4.2</v>
      </c>
      <c r="E97" s="731">
        <v>0</v>
      </c>
      <c r="F97" s="731">
        <v>0</v>
      </c>
      <c r="G97" s="1418"/>
    </row>
    <row r="98" spans="1:7" ht="14.25" customHeight="1" thickBot="1" x14ac:dyDescent="0.3">
      <c r="A98" s="1438"/>
      <c r="B98" s="457" t="s">
        <v>104</v>
      </c>
      <c r="C98" s="709">
        <v>0</v>
      </c>
      <c r="D98" s="734">
        <v>0</v>
      </c>
      <c r="E98" s="734">
        <v>0</v>
      </c>
      <c r="F98" s="734">
        <v>0</v>
      </c>
      <c r="G98" s="1423"/>
    </row>
    <row r="99" spans="1:7" ht="14.25" customHeight="1" thickBot="1" x14ac:dyDescent="0.3">
      <c r="A99" s="1436">
        <v>44676</v>
      </c>
      <c r="B99" s="453" t="s">
        <v>17</v>
      </c>
      <c r="C99" s="709">
        <v>1</v>
      </c>
      <c r="D99" s="709">
        <v>1</v>
      </c>
      <c r="E99" s="709">
        <v>1</v>
      </c>
      <c r="F99" s="709">
        <v>1</v>
      </c>
      <c r="G99" s="1417"/>
    </row>
    <row r="100" spans="1:7" ht="14.25" customHeight="1" thickBot="1" x14ac:dyDescent="0.3">
      <c r="A100" s="1437"/>
      <c r="B100" s="453" t="s">
        <v>102</v>
      </c>
      <c r="C100" s="709">
        <v>0</v>
      </c>
      <c r="D100" s="733">
        <f>24-D101-D102</f>
        <v>24</v>
      </c>
      <c r="E100" s="733">
        <f>24-E101-E102</f>
        <v>24</v>
      </c>
      <c r="F100" s="733">
        <f>24-F101-F102</f>
        <v>24</v>
      </c>
      <c r="G100" s="1418"/>
    </row>
    <row r="101" spans="1:7" ht="14.25" customHeight="1" thickBot="1" x14ac:dyDescent="0.3">
      <c r="A101" s="1437"/>
      <c r="B101" s="448" t="s">
        <v>103</v>
      </c>
      <c r="C101" s="709">
        <v>24</v>
      </c>
      <c r="D101" s="731">
        <v>0</v>
      </c>
      <c r="E101" s="731">
        <v>0</v>
      </c>
      <c r="F101" s="731">
        <v>0</v>
      </c>
      <c r="G101" s="1418"/>
    </row>
    <row r="102" spans="1:7" ht="14.25" customHeight="1" thickBot="1" x14ac:dyDescent="0.3">
      <c r="A102" s="1438"/>
      <c r="B102" s="457" t="s">
        <v>104</v>
      </c>
      <c r="C102" s="709">
        <v>0</v>
      </c>
      <c r="D102" s="734">
        <v>0</v>
      </c>
      <c r="E102" s="734">
        <v>0</v>
      </c>
      <c r="F102" s="734">
        <v>0</v>
      </c>
      <c r="G102" s="1423"/>
    </row>
    <row r="103" spans="1:7" ht="14.25" customHeight="1" thickBot="1" x14ac:dyDescent="0.3">
      <c r="A103" s="1436">
        <v>44677</v>
      </c>
      <c r="B103" s="453" t="s">
        <v>17</v>
      </c>
      <c r="C103" s="709">
        <v>1</v>
      </c>
      <c r="D103" s="709">
        <v>1</v>
      </c>
      <c r="E103" s="709">
        <v>1</v>
      </c>
      <c r="F103" s="709">
        <v>1</v>
      </c>
      <c r="G103" s="1417" t="s">
        <v>2735</v>
      </c>
    </row>
    <row r="104" spans="1:7" ht="14.25" customHeight="1" thickBot="1" x14ac:dyDescent="0.3">
      <c r="A104" s="1437"/>
      <c r="B104" s="453" t="s">
        <v>102</v>
      </c>
      <c r="C104" s="709">
        <v>0</v>
      </c>
      <c r="D104" s="709">
        <v>19.649999999999999</v>
      </c>
      <c r="E104" s="733">
        <f>24-E105-E106</f>
        <v>24</v>
      </c>
      <c r="F104" s="733">
        <f>24-F105-F106</f>
        <v>24</v>
      </c>
      <c r="G104" s="1418"/>
    </row>
    <row r="105" spans="1:7" ht="14.25" customHeight="1" thickBot="1" x14ac:dyDescent="0.3">
      <c r="A105" s="1437"/>
      <c r="B105" s="448" t="s">
        <v>103</v>
      </c>
      <c r="C105" s="709">
        <v>24</v>
      </c>
      <c r="D105" s="709">
        <v>4.3499999999999996</v>
      </c>
      <c r="E105" s="731">
        <v>0</v>
      </c>
      <c r="F105" s="731">
        <v>0</v>
      </c>
      <c r="G105" s="1418"/>
    </row>
    <row r="106" spans="1:7" ht="14.25" customHeight="1" thickBot="1" x14ac:dyDescent="0.3">
      <c r="A106" s="1438"/>
      <c r="B106" s="457" t="s">
        <v>104</v>
      </c>
      <c r="C106" s="709">
        <v>0</v>
      </c>
      <c r="D106" s="709">
        <v>0</v>
      </c>
      <c r="E106" s="734">
        <v>0</v>
      </c>
      <c r="F106" s="734">
        <v>0</v>
      </c>
      <c r="G106" s="1418"/>
    </row>
    <row r="107" spans="1:7" ht="14.25" customHeight="1" thickBot="1" x14ac:dyDescent="0.3">
      <c r="A107" s="1436">
        <v>44678</v>
      </c>
      <c r="B107" s="453" t="s">
        <v>17</v>
      </c>
      <c r="C107" s="709">
        <v>1</v>
      </c>
      <c r="D107" s="709">
        <v>1</v>
      </c>
      <c r="E107" s="709">
        <v>1</v>
      </c>
      <c r="F107" s="709">
        <v>1</v>
      </c>
      <c r="G107" s="1418"/>
    </row>
    <row r="108" spans="1:7" ht="14.25" customHeight="1" thickBot="1" x14ac:dyDescent="0.3">
      <c r="A108" s="1437"/>
      <c r="B108" s="453" t="s">
        <v>102</v>
      </c>
      <c r="C108" s="709">
        <v>0</v>
      </c>
      <c r="D108" s="709">
        <v>18.100000000000001</v>
      </c>
      <c r="E108" s="733">
        <f>24-E109-E110</f>
        <v>24</v>
      </c>
      <c r="F108" s="733">
        <f>24-F109-F110</f>
        <v>24</v>
      </c>
      <c r="G108" s="1418"/>
    </row>
    <row r="109" spans="1:7" ht="14.25" customHeight="1" thickBot="1" x14ac:dyDescent="0.3">
      <c r="A109" s="1437"/>
      <c r="B109" s="448" t="s">
        <v>103</v>
      </c>
      <c r="C109" s="709">
        <v>24</v>
      </c>
      <c r="D109" s="709">
        <v>5.9</v>
      </c>
      <c r="E109" s="731">
        <v>0</v>
      </c>
      <c r="F109" s="731">
        <v>0</v>
      </c>
      <c r="G109" s="1418"/>
    </row>
    <row r="110" spans="1:7" ht="14.25" customHeight="1" thickBot="1" x14ac:dyDescent="0.3">
      <c r="A110" s="1438"/>
      <c r="B110" s="457" t="s">
        <v>104</v>
      </c>
      <c r="C110" s="709">
        <v>0</v>
      </c>
      <c r="D110" s="709">
        <v>0</v>
      </c>
      <c r="E110" s="734">
        <v>0</v>
      </c>
      <c r="F110" s="734">
        <v>0</v>
      </c>
      <c r="G110" s="1423"/>
    </row>
    <row r="111" spans="1:7" ht="14.25" customHeight="1" thickBot="1" x14ac:dyDescent="0.3">
      <c r="A111" s="1436">
        <v>44679</v>
      </c>
      <c r="B111" s="453" t="s">
        <v>17</v>
      </c>
      <c r="C111" s="709">
        <v>1</v>
      </c>
      <c r="D111" s="709">
        <v>1</v>
      </c>
      <c r="E111" s="709">
        <v>1</v>
      </c>
      <c r="F111" s="709">
        <v>1</v>
      </c>
      <c r="G111" s="1447" t="s">
        <v>2748</v>
      </c>
    </row>
    <row r="112" spans="1:7" ht="14.25" customHeight="1" thickBot="1" x14ac:dyDescent="0.3">
      <c r="A112" s="1437"/>
      <c r="B112" s="453" t="s">
        <v>102</v>
      </c>
      <c r="C112" s="709">
        <v>7.75</v>
      </c>
      <c r="D112" s="709">
        <v>22.17</v>
      </c>
      <c r="E112" s="733">
        <f>24-E113-E114</f>
        <v>24</v>
      </c>
      <c r="F112" s="733">
        <f>24-F113-F114</f>
        <v>24</v>
      </c>
      <c r="G112" s="1448"/>
    </row>
    <row r="113" spans="1:7" ht="14.25" customHeight="1" thickBot="1" x14ac:dyDescent="0.3">
      <c r="A113" s="1437"/>
      <c r="B113" s="448" t="s">
        <v>103</v>
      </c>
      <c r="C113" s="709">
        <v>16.25</v>
      </c>
      <c r="D113" s="709">
        <v>1.83</v>
      </c>
      <c r="E113" s="731">
        <v>0</v>
      </c>
      <c r="F113" s="731">
        <v>0</v>
      </c>
      <c r="G113" s="1448"/>
    </row>
    <row r="114" spans="1:7" ht="14.25" customHeight="1" thickBot="1" x14ac:dyDescent="0.3">
      <c r="A114" s="1438"/>
      <c r="B114" s="457" t="s">
        <v>104</v>
      </c>
      <c r="C114" s="709">
        <v>0</v>
      </c>
      <c r="D114" s="709">
        <v>0</v>
      </c>
      <c r="E114" s="734">
        <v>0</v>
      </c>
      <c r="F114" s="734">
        <v>0</v>
      </c>
      <c r="G114" s="1449"/>
    </row>
    <row r="115" spans="1:7" ht="14.25" customHeight="1" thickBot="1" x14ac:dyDescent="0.3">
      <c r="A115" s="1436">
        <v>44680</v>
      </c>
      <c r="B115" s="453" t="s">
        <v>17</v>
      </c>
      <c r="C115" s="709">
        <v>1</v>
      </c>
      <c r="D115" s="709">
        <v>1</v>
      </c>
      <c r="E115" s="709">
        <v>1</v>
      </c>
      <c r="F115" s="709">
        <v>1</v>
      </c>
      <c r="G115" s="1447" t="s">
        <v>2747</v>
      </c>
    </row>
    <row r="116" spans="1:7" ht="14.25" customHeight="1" thickBot="1" x14ac:dyDescent="0.3">
      <c r="A116" s="1437"/>
      <c r="B116" s="453" t="s">
        <v>102</v>
      </c>
      <c r="C116" s="709">
        <v>24</v>
      </c>
      <c r="D116" s="709">
        <v>17.72</v>
      </c>
      <c r="E116" s="733">
        <f>24-E117-E118</f>
        <v>24</v>
      </c>
      <c r="F116" s="733">
        <f>24-F117-F118</f>
        <v>24</v>
      </c>
      <c r="G116" s="1448"/>
    </row>
    <row r="117" spans="1:7" ht="14.25" customHeight="1" thickBot="1" x14ac:dyDescent="0.3">
      <c r="A117" s="1437"/>
      <c r="B117" s="448" t="s">
        <v>103</v>
      </c>
      <c r="C117" s="709">
        <v>0</v>
      </c>
      <c r="D117" s="709">
        <v>6.28</v>
      </c>
      <c r="E117" s="731">
        <v>0</v>
      </c>
      <c r="F117" s="731">
        <v>0</v>
      </c>
      <c r="G117" s="1448"/>
    </row>
    <row r="118" spans="1:7" ht="14.25" customHeight="1" thickBot="1" x14ac:dyDescent="0.3">
      <c r="A118" s="1438"/>
      <c r="B118" s="457" t="s">
        <v>104</v>
      </c>
      <c r="C118" s="709">
        <v>0</v>
      </c>
      <c r="D118" s="709">
        <v>0</v>
      </c>
      <c r="E118" s="734">
        <v>0</v>
      </c>
      <c r="F118" s="734">
        <v>0</v>
      </c>
      <c r="G118" s="1449"/>
    </row>
    <row r="119" spans="1:7" ht="14.25" customHeight="1" thickBot="1" x14ac:dyDescent="0.3">
      <c r="A119" s="1436">
        <v>44681</v>
      </c>
      <c r="B119" s="453" t="s">
        <v>17</v>
      </c>
      <c r="C119" s="709">
        <v>1</v>
      </c>
      <c r="D119" s="709">
        <v>1</v>
      </c>
      <c r="E119" s="709">
        <v>1</v>
      </c>
      <c r="F119" s="709">
        <v>1</v>
      </c>
      <c r="G119" s="1447" t="s">
        <v>2753</v>
      </c>
    </row>
    <row r="120" spans="1:7" ht="14.25" customHeight="1" thickBot="1" x14ac:dyDescent="0.3">
      <c r="A120" s="1437"/>
      <c r="B120" s="453" t="s">
        <v>102</v>
      </c>
      <c r="C120" s="709">
        <v>11.47</v>
      </c>
      <c r="D120" s="733">
        <f>24-D121-D122</f>
        <v>24</v>
      </c>
      <c r="E120" s="733">
        <f>24-E121-E122</f>
        <v>24</v>
      </c>
      <c r="F120" s="733">
        <f>24-F121-F122</f>
        <v>24</v>
      </c>
      <c r="G120" s="1448"/>
    </row>
    <row r="121" spans="1:7" ht="14.25" customHeight="1" thickBot="1" x14ac:dyDescent="0.3">
      <c r="A121" s="1437"/>
      <c r="B121" s="448" t="s">
        <v>103</v>
      </c>
      <c r="C121" s="709">
        <v>12.53</v>
      </c>
      <c r="D121" s="731">
        <v>0</v>
      </c>
      <c r="E121" s="731">
        <v>0</v>
      </c>
      <c r="F121" s="731">
        <v>0</v>
      </c>
      <c r="G121" s="1448"/>
    </row>
    <row r="122" spans="1:7" ht="14.25" customHeight="1" thickBot="1" x14ac:dyDescent="0.3">
      <c r="A122" s="1438"/>
      <c r="B122" s="457" t="s">
        <v>104</v>
      </c>
      <c r="C122" s="709">
        <v>0</v>
      </c>
      <c r="D122" s="734">
        <v>0</v>
      </c>
      <c r="E122" s="734">
        <v>0</v>
      </c>
      <c r="F122" s="734">
        <v>0</v>
      </c>
      <c r="G122" s="1449"/>
    </row>
    <row r="123" spans="1:7" ht="14.25" customHeight="1" thickBot="1" x14ac:dyDescent="0.3">
      <c r="A123" s="1436"/>
      <c r="B123" s="453" t="s">
        <v>17</v>
      </c>
      <c r="C123" s="709"/>
      <c r="D123" s="709"/>
      <c r="E123" s="709"/>
      <c r="F123" s="709"/>
      <c r="G123" s="1417"/>
    </row>
    <row r="124" spans="1:7" ht="14.25" customHeight="1" thickBot="1" x14ac:dyDescent="0.3">
      <c r="A124" s="1437"/>
      <c r="B124" s="453" t="s">
        <v>102</v>
      </c>
      <c r="C124" s="709"/>
      <c r="D124" s="709"/>
      <c r="E124" s="709"/>
      <c r="F124" s="709"/>
      <c r="G124" s="1418"/>
    </row>
    <row r="125" spans="1:7" ht="14.25" customHeight="1" thickBot="1" x14ac:dyDescent="0.3">
      <c r="A125" s="1437"/>
      <c r="B125" s="448" t="s">
        <v>103</v>
      </c>
      <c r="C125" s="709"/>
      <c r="D125" s="709"/>
      <c r="E125" s="709"/>
      <c r="F125" s="709"/>
      <c r="G125" s="1418"/>
    </row>
    <row r="126" spans="1:7" ht="14.25" customHeight="1" thickBot="1" x14ac:dyDescent="0.3">
      <c r="A126" s="1438"/>
      <c r="B126" s="457" t="s">
        <v>104</v>
      </c>
      <c r="C126" s="709"/>
      <c r="D126" s="709"/>
      <c r="E126" s="709"/>
      <c r="F126" s="709"/>
      <c r="G126" s="1423"/>
    </row>
    <row r="127" spans="1:7" x14ac:dyDescent="0.25">
      <c r="A127" s="464" t="s">
        <v>2447</v>
      </c>
      <c r="B127" s="465"/>
      <c r="C127" s="466">
        <f>SUM(C112,C108,C104,C100,C96,C92,C88,C84,C80,C76,C72,C68,C64,C60,C56,C52,C48,C44,C40,C36,C32,C28,C24,C20,C16,C12,C8,C4,C116,C120,C124)</f>
        <v>268.11</v>
      </c>
      <c r="D127" s="466">
        <f>SUM(D112,D108,D104,D100,D96,D92,D88,D84,D80,D76,D72,D68,D64,D60,D56,D52,D48,D44,D40,D36,D32,D28,D24,D20,D16,D12,D8,D4,D116,D120,D124)</f>
        <v>541.61</v>
      </c>
      <c r="E127" s="466">
        <f t="shared" ref="E127:F128" si="0">SUM(E112,E108,E104,E100,E96,E92,E88,E84,E80,E76,E72,E68,E64,E60,E56,E52,E48,E44,E40,E36,E32,E28,E24,E20,E16,E12,E8,E4,E116,E120,E124)</f>
        <v>718.3</v>
      </c>
      <c r="F127" s="466">
        <f t="shared" si="0"/>
        <v>718.5</v>
      </c>
      <c r="G127" s="468"/>
    </row>
    <row r="128" spans="1:7" x14ac:dyDescent="0.25">
      <c r="A128" s="725" t="s">
        <v>2448</v>
      </c>
      <c r="B128" s="134"/>
      <c r="C128" s="469">
        <f>SUM(C113,C109,C105,C101,C97,C93,C89,C85,C81,C77,C73,C69,C65,C61,C57,C53,C49,C45,C41,C37,C33,C29,C25,C21,C17,C13,C9,C5,C117,C121,C125)</f>
        <v>451.89</v>
      </c>
      <c r="D128" s="469">
        <f>SUM(D113,D109,D105,D101,D97,D93,D89,D85,D81,D77,D73,D69,D65,D61,D57,D53,D49,D45,D41,D37,D33,D29,D25,D21,D17,D13,D9,D5,D117,D121,D125)</f>
        <v>178.39</v>
      </c>
      <c r="E128" s="469">
        <f t="shared" si="0"/>
        <v>1.7</v>
      </c>
      <c r="F128" s="469">
        <f t="shared" si="0"/>
        <v>1.5</v>
      </c>
      <c r="G128" s="471"/>
    </row>
    <row r="129" spans="1:7" ht="15.75" thickBot="1" x14ac:dyDescent="0.3">
      <c r="A129" s="726" t="s">
        <v>2449</v>
      </c>
      <c r="B129" s="472"/>
      <c r="C129" s="473">
        <f>SUM(C114,C110,C106,C102,C98,C94,C90,C86,C82,C78,C74,C70,C66,C62,C58,C54,C50,C46,C42,C38,C34,C30,C26,C22,C18,C14,C10,C6,C118,C122,C126)</f>
        <v>0</v>
      </c>
      <c r="D129" s="473">
        <f t="shared" ref="D129:F129" si="1">SUM(D114,D110,D106,D102,D98,D94,D90,D86,D82,D78,D74,D70,D66,D62,D58,D54,D50,D46,D42,D38,D34,D30,D26,D22,D18,D14,D10,D6,D118,D122,D126)</f>
        <v>0</v>
      </c>
      <c r="E129" s="473">
        <f t="shared" si="1"/>
        <v>0</v>
      </c>
      <c r="F129" s="473">
        <f t="shared" si="1"/>
        <v>0</v>
      </c>
      <c r="G129" s="475"/>
    </row>
    <row r="130" spans="1:7" ht="15.75" thickBot="1" x14ac:dyDescent="0.3">
      <c r="A130" s="1450" t="s">
        <v>108</v>
      </c>
      <c r="B130" s="1451"/>
      <c r="C130" s="1451"/>
      <c r="D130" s="1451"/>
      <c r="E130" s="1451"/>
      <c r="F130" s="1451"/>
      <c r="G130" s="1452"/>
    </row>
  </sheetData>
  <mergeCells count="63">
    <mergeCell ref="A11:A14"/>
    <mergeCell ref="G11:G14"/>
    <mergeCell ref="G115:G118"/>
    <mergeCell ref="G119:G122"/>
    <mergeCell ref="G99:G102"/>
    <mergeCell ref="G35:G38"/>
    <mergeCell ref="G39:G42"/>
    <mergeCell ref="G67:G70"/>
    <mergeCell ref="G71:G74"/>
    <mergeCell ref="G75:G78"/>
    <mergeCell ref="G79:G82"/>
    <mergeCell ref="G83:G86"/>
    <mergeCell ref="G87:G90"/>
    <mergeCell ref="G91:G94"/>
    <mergeCell ref="A15:A18"/>
    <mergeCell ref="G15:G18"/>
    <mergeCell ref="A1:G1"/>
    <mergeCell ref="A3:A6"/>
    <mergeCell ref="G3:G6"/>
    <mergeCell ref="A7:A10"/>
    <mergeCell ref="G7:G10"/>
    <mergeCell ref="A19:A22"/>
    <mergeCell ref="G19:G22"/>
    <mergeCell ref="A23:A26"/>
    <mergeCell ref="G23:G26"/>
    <mergeCell ref="A27:A30"/>
    <mergeCell ref="G27:G30"/>
    <mergeCell ref="A31:A34"/>
    <mergeCell ref="G31:G34"/>
    <mergeCell ref="A35:A38"/>
    <mergeCell ref="A39:A42"/>
    <mergeCell ref="A43:A46"/>
    <mergeCell ref="G43:G46"/>
    <mergeCell ref="A47:A50"/>
    <mergeCell ref="G47:G50"/>
    <mergeCell ref="A51:A54"/>
    <mergeCell ref="G51:G54"/>
    <mergeCell ref="A83:A86"/>
    <mergeCell ref="A87:A90"/>
    <mergeCell ref="A91:A94"/>
    <mergeCell ref="A55:A58"/>
    <mergeCell ref="G55:G58"/>
    <mergeCell ref="A59:A62"/>
    <mergeCell ref="G59:G62"/>
    <mergeCell ref="A63:A66"/>
    <mergeCell ref="G63:G66"/>
    <mergeCell ref="A67:A70"/>
    <mergeCell ref="A71:A74"/>
    <mergeCell ref="A75:A78"/>
    <mergeCell ref="A79:A82"/>
    <mergeCell ref="A95:A98"/>
    <mergeCell ref="G95:G98"/>
    <mergeCell ref="A99:A102"/>
    <mergeCell ref="A103:A106"/>
    <mergeCell ref="A107:A110"/>
    <mergeCell ref="G103:G110"/>
    <mergeCell ref="A130:G130"/>
    <mergeCell ref="A111:A114"/>
    <mergeCell ref="G111:G114"/>
    <mergeCell ref="A115:A118"/>
    <mergeCell ref="A119:A122"/>
    <mergeCell ref="A123:A126"/>
    <mergeCell ref="G123:G126"/>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G130"/>
  <sheetViews>
    <sheetView workbookViewId="0">
      <pane ySplit="2" topLeftCell="A84" activePane="bottomLeft" state="frozen"/>
      <selection pane="bottomLeft" activeCell="C3" sqref="C3:F6"/>
    </sheetView>
  </sheetViews>
  <sheetFormatPr defaultRowHeight="15" x14ac:dyDescent="0.25"/>
  <cols>
    <col min="1" max="1" width="47.7109375" customWidth="1"/>
    <col min="2" max="2" width="25" customWidth="1"/>
    <col min="4" max="4" width="9.140625" style="1"/>
    <col min="7" max="7" width="54.7109375" customWidth="1"/>
  </cols>
  <sheetData>
    <row r="1" spans="1:7" ht="21.75" thickBot="1" x14ac:dyDescent="0.4">
      <c r="A1" s="1443" t="s">
        <v>73</v>
      </c>
      <c r="B1" s="1443"/>
      <c r="C1" s="1443"/>
      <c r="D1" s="1443"/>
      <c r="E1" s="1443"/>
      <c r="F1" s="1443"/>
      <c r="G1" s="1443"/>
    </row>
    <row r="2" spans="1:7" ht="16.5" thickBot="1" x14ac:dyDescent="0.3">
      <c r="A2" s="108" t="s">
        <v>98</v>
      </c>
      <c r="B2" s="608"/>
      <c r="C2" s="607" t="s">
        <v>310</v>
      </c>
      <c r="D2" s="607" t="s">
        <v>239</v>
      </c>
      <c r="E2" s="447" t="s">
        <v>100</v>
      </c>
      <c r="F2" s="682" t="s">
        <v>157</v>
      </c>
      <c r="G2" s="111" t="s">
        <v>101</v>
      </c>
    </row>
    <row r="3" spans="1:7" ht="15" customHeight="1" thickBot="1" x14ac:dyDescent="0.3">
      <c r="A3" s="1436">
        <v>44682</v>
      </c>
      <c r="B3" s="453" t="s">
        <v>17</v>
      </c>
      <c r="C3" s="709">
        <v>1</v>
      </c>
      <c r="D3" s="709">
        <v>1</v>
      </c>
      <c r="E3" s="709">
        <v>1</v>
      </c>
      <c r="F3" s="709">
        <v>1</v>
      </c>
      <c r="G3" s="1417" t="s">
        <v>2983</v>
      </c>
    </row>
    <row r="4" spans="1:7" ht="15" customHeight="1" thickBot="1" x14ac:dyDescent="0.3">
      <c r="A4" s="1437"/>
      <c r="B4" s="453" t="s">
        <v>102</v>
      </c>
      <c r="C4" s="612">
        <v>0</v>
      </c>
      <c r="D4" s="612">
        <v>20.5</v>
      </c>
      <c r="E4" s="733">
        <f>24-E5-E6</f>
        <v>24</v>
      </c>
      <c r="F4" s="733">
        <f>24-F5-F6</f>
        <v>24</v>
      </c>
      <c r="G4" s="1418"/>
    </row>
    <row r="5" spans="1:7" ht="15" customHeight="1" thickBot="1" x14ac:dyDescent="0.3">
      <c r="A5" s="1437"/>
      <c r="B5" s="448" t="s">
        <v>103</v>
      </c>
      <c r="C5" s="612">
        <v>24</v>
      </c>
      <c r="D5" s="612">
        <v>3.5</v>
      </c>
      <c r="E5" s="731">
        <v>0</v>
      </c>
      <c r="F5" s="731">
        <v>0</v>
      </c>
      <c r="G5" s="1418"/>
    </row>
    <row r="6" spans="1:7" ht="15" customHeight="1" thickBot="1" x14ac:dyDescent="0.3">
      <c r="A6" s="1438"/>
      <c r="B6" s="457" t="s">
        <v>104</v>
      </c>
      <c r="C6" s="576">
        <v>0</v>
      </c>
      <c r="D6" s="576">
        <v>0</v>
      </c>
      <c r="E6" s="734">
        <v>0</v>
      </c>
      <c r="F6" s="734">
        <v>0</v>
      </c>
      <c r="G6" s="1418"/>
    </row>
    <row r="7" spans="1:7" ht="15" customHeight="1" thickBot="1" x14ac:dyDescent="0.3">
      <c r="A7" s="1436">
        <v>44683</v>
      </c>
      <c r="B7" s="453" t="s">
        <v>17</v>
      </c>
      <c r="C7" s="709">
        <v>1</v>
      </c>
      <c r="D7" s="709">
        <v>1</v>
      </c>
      <c r="E7" s="709">
        <v>1</v>
      </c>
      <c r="F7" s="709">
        <v>1</v>
      </c>
      <c r="G7" s="1418"/>
    </row>
    <row r="8" spans="1:7" ht="15" customHeight="1" thickBot="1" x14ac:dyDescent="0.3">
      <c r="A8" s="1437"/>
      <c r="B8" s="453" t="s">
        <v>102</v>
      </c>
      <c r="C8" s="612">
        <v>0</v>
      </c>
      <c r="D8" s="708">
        <v>21.75</v>
      </c>
      <c r="E8" s="733">
        <f>24-E9-E10</f>
        <v>24</v>
      </c>
      <c r="F8" s="733">
        <f>24-F9-F10</f>
        <v>24</v>
      </c>
      <c r="G8" s="1418"/>
    </row>
    <row r="9" spans="1:7" ht="15" customHeight="1" thickBot="1" x14ac:dyDescent="0.3">
      <c r="A9" s="1437"/>
      <c r="B9" s="448" t="s">
        <v>103</v>
      </c>
      <c r="C9" s="612">
        <v>24</v>
      </c>
      <c r="D9" s="612">
        <v>2.25</v>
      </c>
      <c r="E9" s="731">
        <v>0</v>
      </c>
      <c r="F9" s="731">
        <v>0</v>
      </c>
      <c r="G9" s="1418"/>
    </row>
    <row r="10" spans="1:7" ht="15" customHeight="1" thickBot="1" x14ac:dyDescent="0.3">
      <c r="A10" s="1438"/>
      <c r="B10" s="457" t="s">
        <v>104</v>
      </c>
      <c r="C10" s="576">
        <v>0</v>
      </c>
      <c r="D10" s="576">
        <v>0</v>
      </c>
      <c r="E10" s="734">
        <v>0</v>
      </c>
      <c r="F10" s="734">
        <v>0</v>
      </c>
      <c r="G10" s="1423"/>
    </row>
    <row r="11" spans="1:7" ht="15" customHeight="1" thickBot="1" x14ac:dyDescent="0.3">
      <c r="A11" s="1436">
        <v>44684</v>
      </c>
      <c r="B11" s="453" t="s">
        <v>17</v>
      </c>
      <c r="C11" s="709">
        <v>1</v>
      </c>
      <c r="D11" s="709">
        <v>1</v>
      </c>
      <c r="E11" s="709">
        <v>1</v>
      </c>
      <c r="F11" s="709">
        <v>1</v>
      </c>
      <c r="G11" s="1417"/>
    </row>
    <row r="12" spans="1:7" ht="15" customHeight="1" thickBot="1" x14ac:dyDescent="0.3">
      <c r="A12" s="1437"/>
      <c r="B12" s="453" t="s">
        <v>102</v>
      </c>
      <c r="C12" s="612">
        <v>0</v>
      </c>
      <c r="D12" s="733">
        <f>24-D13-D14</f>
        <v>24</v>
      </c>
      <c r="E12" s="733">
        <f>24-E13-E14</f>
        <v>24</v>
      </c>
      <c r="F12" s="733">
        <f>24-F13-F14</f>
        <v>24</v>
      </c>
      <c r="G12" s="1418"/>
    </row>
    <row r="13" spans="1:7" ht="15" customHeight="1" thickBot="1" x14ac:dyDescent="0.3">
      <c r="A13" s="1437"/>
      <c r="B13" s="448" t="s">
        <v>103</v>
      </c>
      <c r="C13" s="612">
        <v>24</v>
      </c>
      <c r="D13" s="731">
        <v>0</v>
      </c>
      <c r="E13" s="731">
        <v>0</v>
      </c>
      <c r="F13" s="731">
        <v>0</v>
      </c>
      <c r="G13" s="1418"/>
    </row>
    <row r="14" spans="1:7" ht="15" customHeight="1" thickBot="1" x14ac:dyDescent="0.3">
      <c r="A14" s="1438"/>
      <c r="B14" s="457" t="s">
        <v>104</v>
      </c>
      <c r="C14" s="576">
        <v>0</v>
      </c>
      <c r="D14" s="734">
        <v>0</v>
      </c>
      <c r="E14" s="734">
        <v>0</v>
      </c>
      <c r="F14" s="734">
        <v>0</v>
      </c>
      <c r="G14" s="1423"/>
    </row>
    <row r="15" spans="1:7" ht="15" customHeight="1" thickBot="1" x14ac:dyDescent="0.3">
      <c r="A15" s="1436">
        <v>44685</v>
      </c>
      <c r="B15" s="453" t="s">
        <v>17</v>
      </c>
      <c r="C15" s="709">
        <v>1</v>
      </c>
      <c r="D15" s="709">
        <v>1</v>
      </c>
      <c r="E15" s="709">
        <v>1</v>
      </c>
      <c r="F15" s="709">
        <v>1</v>
      </c>
      <c r="G15" s="1417" t="s">
        <v>2790</v>
      </c>
    </row>
    <row r="16" spans="1:7" ht="15" customHeight="1" thickBot="1" x14ac:dyDescent="0.3">
      <c r="A16" s="1437"/>
      <c r="B16" s="453" t="s">
        <v>102</v>
      </c>
      <c r="C16" s="612">
        <v>0</v>
      </c>
      <c r="D16" s="733">
        <v>17.13</v>
      </c>
      <c r="E16" s="733">
        <f>24-E17-E18</f>
        <v>24</v>
      </c>
      <c r="F16" s="733">
        <f>24-F17-F18</f>
        <v>24</v>
      </c>
      <c r="G16" s="1418"/>
    </row>
    <row r="17" spans="1:7" ht="15" customHeight="1" thickBot="1" x14ac:dyDescent="0.3">
      <c r="A17" s="1437"/>
      <c r="B17" s="448" t="s">
        <v>103</v>
      </c>
      <c r="C17" s="612">
        <v>24</v>
      </c>
      <c r="D17" s="731">
        <v>6.87</v>
      </c>
      <c r="E17" s="731">
        <v>0</v>
      </c>
      <c r="F17" s="731">
        <v>0</v>
      </c>
      <c r="G17" s="1418"/>
    </row>
    <row r="18" spans="1:7" ht="15" customHeight="1" thickBot="1" x14ac:dyDescent="0.3">
      <c r="A18" s="1438"/>
      <c r="B18" s="457" t="s">
        <v>104</v>
      </c>
      <c r="C18" s="576">
        <v>0</v>
      </c>
      <c r="D18" s="734">
        <v>0</v>
      </c>
      <c r="E18" s="734">
        <v>0</v>
      </c>
      <c r="F18" s="734">
        <v>0</v>
      </c>
      <c r="G18" s="1423"/>
    </row>
    <row r="19" spans="1:7" ht="15" customHeight="1" thickBot="1" x14ac:dyDescent="0.3">
      <c r="A19" s="1436">
        <v>44686</v>
      </c>
      <c r="B19" s="453" t="s">
        <v>17</v>
      </c>
      <c r="C19" s="709">
        <v>1</v>
      </c>
      <c r="D19" s="709">
        <v>1</v>
      </c>
      <c r="E19" s="709">
        <v>1</v>
      </c>
      <c r="F19" s="709">
        <v>1</v>
      </c>
      <c r="G19" s="1453" t="s">
        <v>2794</v>
      </c>
    </row>
    <row r="20" spans="1:7" ht="15" customHeight="1" thickBot="1" x14ac:dyDescent="0.3">
      <c r="A20" s="1437"/>
      <c r="B20" s="453" t="s">
        <v>102</v>
      </c>
      <c r="C20" s="733">
        <v>21.7</v>
      </c>
      <c r="D20" s="733">
        <f>24-D21-D22</f>
        <v>24</v>
      </c>
      <c r="E20" s="733">
        <f>24-E21-E22</f>
        <v>24</v>
      </c>
      <c r="F20" s="733">
        <f>24-F21-F22</f>
        <v>24</v>
      </c>
      <c r="G20" s="1418"/>
    </row>
    <row r="21" spans="1:7" ht="15" customHeight="1" thickBot="1" x14ac:dyDescent="0.3">
      <c r="A21" s="1437"/>
      <c r="B21" s="448" t="s">
        <v>103</v>
      </c>
      <c r="C21" s="731">
        <v>2.2999999999999998</v>
      </c>
      <c r="D21" s="731">
        <v>0</v>
      </c>
      <c r="E21" s="731">
        <v>0</v>
      </c>
      <c r="F21" s="731">
        <v>0</v>
      </c>
      <c r="G21" s="1418"/>
    </row>
    <row r="22" spans="1:7" ht="15" customHeight="1" thickBot="1" x14ac:dyDescent="0.3">
      <c r="A22" s="1438"/>
      <c r="B22" s="457" t="s">
        <v>104</v>
      </c>
      <c r="C22" s="734">
        <v>0</v>
      </c>
      <c r="D22" s="734">
        <v>0</v>
      </c>
      <c r="E22" s="734">
        <v>0</v>
      </c>
      <c r="F22" s="734">
        <v>0</v>
      </c>
      <c r="G22" s="1423"/>
    </row>
    <row r="23" spans="1:7" ht="15" customHeight="1" thickBot="1" x14ac:dyDescent="0.3">
      <c r="A23" s="1436">
        <v>44687</v>
      </c>
      <c r="B23" s="453" t="s">
        <v>17</v>
      </c>
      <c r="C23" s="709">
        <v>1</v>
      </c>
      <c r="D23" s="709">
        <v>1</v>
      </c>
      <c r="E23" s="709">
        <v>1</v>
      </c>
      <c r="F23" s="709">
        <v>1</v>
      </c>
      <c r="G23" s="1453" t="s">
        <v>2809</v>
      </c>
    </row>
    <row r="24" spans="1:7" ht="15" customHeight="1" thickBot="1" x14ac:dyDescent="0.3">
      <c r="A24" s="1437"/>
      <c r="B24" s="453" t="s">
        <v>102</v>
      </c>
      <c r="C24" s="733">
        <f>24-C25-C26</f>
        <v>24</v>
      </c>
      <c r="D24" s="733">
        <v>14.12</v>
      </c>
      <c r="E24" s="733">
        <f>24-E25-E26</f>
        <v>24</v>
      </c>
      <c r="F24" s="733">
        <f>24-F25-F26</f>
        <v>24</v>
      </c>
      <c r="G24" s="1418"/>
    </row>
    <row r="25" spans="1:7" ht="15" customHeight="1" thickBot="1" x14ac:dyDescent="0.3">
      <c r="A25" s="1437"/>
      <c r="B25" s="448" t="s">
        <v>103</v>
      </c>
      <c r="C25" s="731">
        <v>0</v>
      </c>
      <c r="D25" s="731">
        <v>9.8800000000000008</v>
      </c>
      <c r="E25" s="731">
        <v>0</v>
      </c>
      <c r="F25" s="731">
        <v>0</v>
      </c>
      <c r="G25" s="1418"/>
    </row>
    <row r="26" spans="1:7" ht="15" customHeight="1" thickBot="1" x14ac:dyDescent="0.3">
      <c r="A26" s="1438"/>
      <c r="B26" s="457" t="s">
        <v>104</v>
      </c>
      <c r="C26" s="734">
        <v>0</v>
      </c>
      <c r="D26" s="734">
        <v>0</v>
      </c>
      <c r="E26" s="734">
        <v>0</v>
      </c>
      <c r="F26" s="734">
        <v>0</v>
      </c>
      <c r="G26" s="1418"/>
    </row>
    <row r="27" spans="1:7" ht="15" customHeight="1" thickBot="1" x14ac:dyDescent="0.3">
      <c r="A27" s="1436">
        <v>44688</v>
      </c>
      <c r="B27" s="453" t="s">
        <v>17</v>
      </c>
      <c r="C27" s="709">
        <v>1</v>
      </c>
      <c r="D27" s="709">
        <v>1</v>
      </c>
      <c r="E27" s="709">
        <v>1</v>
      </c>
      <c r="F27" s="709">
        <v>1</v>
      </c>
      <c r="G27" s="1418"/>
    </row>
    <row r="28" spans="1:7" ht="15" customHeight="1" thickBot="1" x14ac:dyDescent="0.3">
      <c r="A28" s="1437"/>
      <c r="B28" s="453" t="s">
        <v>102</v>
      </c>
      <c r="C28" s="709">
        <v>11.22</v>
      </c>
      <c r="D28" s="733">
        <v>20.05</v>
      </c>
      <c r="E28" s="733">
        <f>24-E29-E30</f>
        <v>24</v>
      </c>
      <c r="F28" s="733">
        <f>24-F29-F30</f>
        <v>24</v>
      </c>
      <c r="G28" s="1418"/>
    </row>
    <row r="29" spans="1:7" ht="15" customHeight="1" thickBot="1" x14ac:dyDescent="0.3">
      <c r="A29" s="1437"/>
      <c r="B29" s="448" t="s">
        <v>103</v>
      </c>
      <c r="C29" s="709">
        <v>12.78</v>
      </c>
      <c r="D29" s="731">
        <v>3.95</v>
      </c>
      <c r="E29" s="731">
        <v>0</v>
      </c>
      <c r="F29" s="731">
        <v>0</v>
      </c>
      <c r="G29" s="1418"/>
    </row>
    <row r="30" spans="1:7" ht="15" customHeight="1" thickBot="1" x14ac:dyDescent="0.3">
      <c r="A30" s="1438"/>
      <c r="B30" s="457" t="s">
        <v>104</v>
      </c>
      <c r="C30" s="709">
        <v>0</v>
      </c>
      <c r="D30" s="734">
        <v>0</v>
      </c>
      <c r="E30" s="734">
        <v>0</v>
      </c>
      <c r="F30" s="734">
        <v>0</v>
      </c>
      <c r="G30" s="1423"/>
    </row>
    <row r="31" spans="1:7" ht="15" customHeight="1" thickBot="1" x14ac:dyDescent="0.3">
      <c r="A31" s="1436">
        <v>44689</v>
      </c>
      <c r="B31" s="453" t="s">
        <v>17</v>
      </c>
      <c r="C31" s="709">
        <v>1</v>
      </c>
      <c r="D31" s="709">
        <v>1</v>
      </c>
      <c r="E31" s="709">
        <v>1</v>
      </c>
      <c r="F31" s="709">
        <v>1</v>
      </c>
      <c r="G31" s="1417" t="s">
        <v>2815</v>
      </c>
    </row>
    <row r="32" spans="1:7" ht="15" customHeight="1" thickBot="1" x14ac:dyDescent="0.3">
      <c r="A32" s="1437"/>
      <c r="B32" s="453" t="s">
        <v>102</v>
      </c>
      <c r="C32" s="709">
        <v>0</v>
      </c>
      <c r="D32" s="709">
        <v>16.5</v>
      </c>
      <c r="E32" s="733">
        <f>24-E33-E34</f>
        <v>24</v>
      </c>
      <c r="F32" s="733">
        <f>24-F33-F34</f>
        <v>24</v>
      </c>
      <c r="G32" s="1418"/>
    </row>
    <row r="33" spans="1:7" ht="15" customHeight="1" thickBot="1" x14ac:dyDescent="0.3">
      <c r="A33" s="1437"/>
      <c r="B33" s="448" t="s">
        <v>103</v>
      </c>
      <c r="C33" s="709">
        <v>24</v>
      </c>
      <c r="D33" s="709">
        <v>7.5</v>
      </c>
      <c r="E33" s="731">
        <v>0</v>
      </c>
      <c r="F33" s="731">
        <v>0</v>
      </c>
      <c r="G33" s="1418"/>
    </row>
    <row r="34" spans="1:7" ht="15" customHeight="1" thickBot="1" x14ac:dyDescent="0.3">
      <c r="A34" s="1438"/>
      <c r="B34" s="457" t="s">
        <v>104</v>
      </c>
      <c r="C34" s="709">
        <v>0</v>
      </c>
      <c r="D34" s="709">
        <v>0</v>
      </c>
      <c r="E34" s="734">
        <v>0</v>
      </c>
      <c r="F34" s="734">
        <v>0</v>
      </c>
      <c r="G34" s="1423"/>
    </row>
    <row r="35" spans="1:7" ht="15" customHeight="1" thickBot="1" x14ac:dyDescent="0.3">
      <c r="A35" s="1436">
        <v>44690</v>
      </c>
      <c r="B35" s="453" t="s">
        <v>17</v>
      </c>
      <c r="C35" s="709">
        <v>1</v>
      </c>
      <c r="D35" s="709">
        <v>1</v>
      </c>
      <c r="E35" s="709">
        <v>1</v>
      </c>
      <c r="F35" s="709">
        <v>1</v>
      </c>
      <c r="G35" s="1453" t="s">
        <v>2827</v>
      </c>
    </row>
    <row r="36" spans="1:7" ht="15" customHeight="1" thickBot="1" x14ac:dyDescent="0.3">
      <c r="A36" s="1437"/>
      <c r="B36" s="453" t="s">
        <v>102</v>
      </c>
      <c r="C36" s="709">
        <v>0</v>
      </c>
      <c r="D36" s="709">
        <v>20.420000000000002</v>
      </c>
      <c r="E36" s="733">
        <f>24-E37-E38</f>
        <v>24</v>
      </c>
      <c r="F36" s="733">
        <f>24-F37-F38</f>
        <v>24</v>
      </c>
      <c r="G36" s="1418"/>
    </row>
    <row r="37" spans="1:7" ht="15" customHeight="1" thickBot="1" x14ac:dyDescent="0.3">
      <c r="A37" s="1437"/>
      <c r="B37" s="448" t="s">
        <v>103</v>
      </c>
      <c r="C37" s="709">
        <v>24</v>
      </c>
      <c r="D37" s="709">
        <v>3.58</v>
      </c>
      <c r="E37" s="731">
        <v>0</v>
      </c>
      <c r="F37" s="731">
        <v>0</v>
      </c>
      <c r="G37" s="1418"/>
    </row>
    <row r="38" spans="1:7" ht="15" customHeight="1" thickBot="1" x14ac:dyDescent="0.3">
      <c r="A38" s="1438"/>
      <c r="B38" s="457" t="s">
        <v>104</v>
      </c>
      <c r="C38" s="709">
        <v>0</v>
      </c>
      <c r="D38" s="709">
        <v>0</v>
      </c>
      <c r="E38" s="734">
        <v>0</v>
      </c>
      <c r="F38" s="734">
        <v>0</v>
      </c>
      <c r="G38" s="1423"/>
    </row>
    <row r="39" spans="1:7" ht="15" customHeight="1" thickBot="1" x14ac:dyDescent="0.3">
      <c r="A39" s="1436">
        <v>44691</v>
      </c>
      <c r="B39" s="453" t="s">
        <v>17</v>
      </c>
      <c r="C39" s="709">
        <v>1</v>
      </c>
      <c r="D39" s="709">
        <v>1</v>
      </c>
      <c r="E39" s="709">
        <v>1</v>
      </c>
      <c r="F39" s="709">
        <v>1</v>
      </c>
      <c r="G39" s="1453" t="s">
        <v>2844</v>
      </c>
    </row>
    <row r="40" spans="1:7" ht="15" customHeight="1" thickBot="1" x14ac:dyDescent="0.3">
      <c r="A40" s="1437"/>
      <c r="B40" s="453" t="s">
        <v>102</v>
      </c>
      <c r="C40" s="709">
        <v>0</v>
      </c>
      <c r="D40" s="733">
        <f>24-D41-D42</f>
        <v>19.829999999999998</v>
      </c>
      <c r="E40" s="733">
        <f>24-E41-E42</f>
        <v>24</v>
      </c>
      <c r="F40" s="733">
        <f>24-F41-F42</f>
        <v>24</v>
      </c>
      <c r="G40" s="1448"/>
    </row>
    <row r="41" spans="1:7" ht="15" customHeight="1" thickBot="1" x14ac:dyDescent="0.3">
      <c r="A41" s="1437"/>
      <c r="B41" s="448" t="s">
        <v>103</v>
      </c>
      <c r="C41" s="709">
        <v>24</v>
      </c>
      <c r="D41" s="731">
        <v>4.17</v>
      </c>
      <c r="E41" s="731">
        <v>0</v>
      </c>
      <c r="F41" s="731">
        <v>0</v>
      </c>
      <c r="G41" s="1448"/>
    </row>
    <row r="42" spans="1:7" ht="15" customHeight="1" thickBot="1" x14ac:dyDescent="0.3">
      <c r="A42" s="1438"/>
      <c r="B42" s="457" t="s">
        <v>104</v>
      </c>
      <c r="C42" s="709">
        <v>0</v>
      </c>
      <c r="D42" s="734">
        <v>0</v>
      </c>
      <c r="E42" s="734">
        <v>0</v>
      </c>
      <c r="F42" s="734">
        <v>0</v>
      </c>
      <c r="G42" s="1448"/>
    </row>
    <row r="43" spans="1:7" ht="15" customHeight="1" thickBot="1" x14ac:dyDescent="0.3">
      <c r="A43" s="1436">
        <v>44692</v>
      </c>
      <c r="B43" s="453" t="s">
        <v>17</v>
      </c>
      <c r="C43" s="709">
        <v>1</v>
      </c>
      <c r="D43" s="709">
        <v>1</v>
      </c>
      <c r="E43" s="709">
        <v>1</v>
      </c>
      <c r="F43" s="709">
        <v>1</v>
      </c>
      <c r="G43" s="1448"/>
    </row>
    <row r="44" spans="1:7" ht="15" customHeight="1" thickBot="1" x14ac:dyDescent="0.3">
      <c r="A44" s="1437"/>
      <c r="B44" s="453" t="s">
        <v>102</v>
      </c>
      <c r="C44" s="709">
        <v>0</v>
      </c>
      <c r="D44" s="733">
        <f>24-D45-D46</f>
        <v>12.17</v>
      </c>
      <c r="E44" s="733">
        <f>24-E45-E46</f>
        <v>24</v>
      </c>
      <c r="F44" s="733">
        <f>24-F45-F46</f>
        <v>24</v>
      </c>
      <c r="G44" s="1448"/>
    </row>
    <row r="45" spans="1:7" ht="15" customHeight="1" thickBot="1" x14ac:dyDescent="0.3">
      <c r="A45" s="1437"/>
      <c r="B45" s="448" t="s">
        <v>103</v>
      </c>
      <c r="C45" s="709">
        <v>24</v>
      </c>
      <c r="D45" s="731">
        <v>11.83</v>
      </c>
      <c r="E45" s="731">
        <v>0</v>
      </c>
      <c r="F45" s="731">
        <v>0</v>
      </c>
      <c r="G45" s="1448"/>
    </row>
    <row r="46" spans="1:7" ht="15" customHeight="1" thickBot="1" x14ac:dyDescent="0.3">
      <c r="A46" s="1438"/>
      <c r="B46" s="457" t="s">
        <v>104</v>
      </c>
      <c r="C46" s="709">
        <v>0</v>
      </c>
      <c r="D46" s="734">
        <v>0</v>
      </c>
      <c r="E46" s="734">
        <v>0</v>
      </c>
      <c r="F46" s="734">
        <v>0</v>
      </c>
      <c r="G46" s="1449"/>
    </row>
    <row r="47" spans="1:7" ht="26.25" customHeight="1" thickBot="1" x14ac:dyDescent="0.3">
      <c r="A47" s="1436">
        <v>44693</v>
      </c>
      <c r="B47" s="453" t="s">
        <v>17</v>
      </c>
      <c r="C47" s="709">
        <v>1</v>
      </c>
      <c r="D47" s="709">
        <v>1</v>
      </c>
      <c r="E47" s="709">
        <v>1</v>
      </c>
      <c r="F47" s="709">
        <v>1</v>
      </c>
      <c r="G47" s="1453" t="s">
        <v>2845</v>
      </c>
    </row>
    <row r="48" spans="1:7" ht="26.25" customHeight="1" thickBot="1" x14ac:dyDescent="0.3">
      <c r="A48" s="1437"/>
      <c r="B48" s="453" t="s">
        <v>102</v>
      </c>
      <c r="C48" s="709">
        <v>0</v>
      </c>
      <c r="D48" s="733">
        <f>24-D49-D50</f>
        <v>14.5</v>
      </c>
      <c r="E48" s="733">
        <f>24-E49-E50</f>
        <v>24</v>
      </c>
      <c r="F48" s="733">
        <f>24-F49-F50</f>
        <v>24</v>
      </c>
      <c r="G48" s="1418"/>
    </row>
    <row r="49" spans="1:7" ht="26.25" customHeight="1" thickBot="1" x14ac:dyDescent="0.3">
      <c r="A49" s="1437"/>
      <c r="B49" s="448" t="s">
        <v>103</v>
      </c>
      <c r="C49" s="709">
        <v>24</v>
      </c>
      <c r="D49" s="731">
        <v>9.5</v>
      </c>
      <c r="E49" s="731">
        <v>0</v>
      </c>
      <c r="F49" s="731">
        <v>0</v>
      </c>
      <c r="G49" s="1418"/>
    </row>
    <row r="50" spans="1:7" ht="26.25" customHeight="1" thickBot="1" x14ac:dyDescent="0.3">
      <c r="A50" s="1438"/>
      <c r="B50" s="457" t="s">
        <v>104</v>
      </c>
      <c r="C50" s="709">
        <v>0</v>
      </c>
      <c r="D50" s="734">
        <v>0</v>
      </c>
      <c r="E50" s="734">
        <v>0</v>
      </c>
      <c r="F50" s="734">
        <v>0</v>
      </c>
      <c r="G50" s="1423"/>
    </row>
    <row r="51" spans="1:7" ht="15" customHeight="1" thickBot="1" x14ac:dyDescent="0.3">
      <c r="A51" s="1436">
        <v>44694</v>
      </c>
      <c r="B51" s="453" t="s">
        <v>17</v>
      </c>
      <c r="C51" s="709">
        <v>1</v>
      </c>
      <c r="D51" s="709">
        <v>1</v>
      </c>
      <c r="E51" s="709">
        <v>1</v>
      </c>
      <c r="F51" s="709">
        <v>1</v>
      </c>
      <c r="G51" s="1417" t="s">
        <v>2851</v>
      </c>
    </row>
    <row r="52" spans="1:7" ht="15" customHeight="1" thickBot="1" x14ac:dyDescent="0.3">
      <c r="A52" s="1437"/>
      <c r="B52" s="453" t="s">
        <v>102</v>
      </c>
      <c r="C52" s="733">
        <f>24-C53-C54</f>
        <v>14</v>
      </c>
      <c r="D52" s="733">
        <f>24-D53-D54</f>
        <v>24</v>
      </c>
      <c r="E52" s="733">
        <f>24-E53-E54</f>
        <v>24</v>
      </c>
      <c r="F52" s="733">
        <f>24-F53-F54</f>
        <v>24</v>
      </c>
      <c r="G52" s="1418"/>
    </row>
    <row r="53" spans="1:7" ht="15" customHeight="1" thickBot="1" x14ac:dyDescent="0.3">
      <c r="A53" s="1437"/>
      <c r="B53" s="448" t="s">
        <v>103</v>
      </c>
      <c r="C53" s="731">
        <v>10</v>
      </c>
      <c r="D53" s="731">
        <v>0</v>
      </c>
      <c r="E53" s="731">
        <v>0</v>
      </c>
      <c r="F53" s="731">
        <v>0</v>
      </c>
      <c r="G53" s="1418"/>
    </row>
    <row r="54" spans="1:7" ht="15" customHeight="1" thickBot="1" x14ac:dyDescent="0.3">
      <c r="A54" s="1438"/>
      <c r="B54" s="457" t="s">
        <v>104</v>
      </c>
      <c r="C54" s="709">
        <v>0</v>
      </c>
      <c r="D54" s="734">
        <v>0</v>
      </c>
      <c r="E54" s="734">
        <v>0</v>
      </c>
      <c r="F54" s="734">
        <v>0</v>
      </c>
      <c r="G54" s="1423"/>
    </row>
    <row r="55" spans="1:7" ht="15" customHeight="1" thickBot="1" x14ac:dyDescent="0.3">
      <c r="A55" s="1436">
        <v>44695</v>
      </c>
      <c r="B55" s="453" t="s">
        <v>17</v>
      </c>
      <c r="C55" s="709">
        <v>1</v>
      </c>
      <c r="D55" s="709">
        <v>1</v>
      </c>
      <c r="E55" s="709">
        <v>1</v>
      </c>
      <c r="F55" s="709">
        <v>1</v>
      </c>
      <c r="G55" s="1417"/>
    </row>
    <row r="56" spans="1:7" ht="15" customHeight="1" thickBot="1" x14ac:dyDescent="0.3">
      <c r="A56" s="1437"/>
      <c r="B56" s="453" t="s">
        <v>102</v>
      </c>
      <c r="C56" s="733">
        <f>24-C57-C58</f>
        <v>24</v>
      </c>
      <c r="D56" s="733">
        <f>24-D57-D58</f>
        <v>21.67</v>
      </c>
      <c r="E56" s="733">
        <f>24-E57-E58</f>
        <v>24</v>
      </c>
      <c r="F56" s="733">
        <f>24-F57-F58</f>
        <v>24</v>
      </c>
      <c r="G56" s="1418"/>
    </row>
    <row r="57" spans="1:7" ht="15" customHeight="1" thickBot="1" x14ac:dyDescent="0.3">
      <c r="A57" s="1437"/>
      <c r="B57" s="448" t="s">
        <v>103</v>
      </c>
      <c r="C57" s="731">
        <v>0</v>
      </c>
      <c r="D57" s="731">
        <v>2.33</v>
      </c>
      <c r="E57" s="731">
        <v>0</v>
      </c>
      <c r="F57" s="731">
        <v>0</v>
      </c>
      <c r="G57" s="1418"/>
    </row>
    <row r="58" spans="1:7" ht="15" customHeight="1" thickBot="1" x14ac:dyDescent="0.3">
      <c r="A58" s="1438"/>
      <c r="B58" s="457" t="s">
        <v>104</v>
      </c>
      <c r="C58" s="709">
        <v>0</v>
      </c>
      <c r="D58" s="734">
        <v>0</v>
      </c>
      <c r="E58" s="734">
        <v>0</v>
      </c>
      <c r="F58" s="734">
        <v>0</v>
      </c>
      <c r="G58" s="1419"/>
    </row>
    <row r="59" spans="1:7" ht="21.75" customHeight="1" thickBot="1" x14ac:dyDescent="0.3">
      <c r="A59" s="1436">
        <v>44696</v>
      </c>
      <c r="B59" s="453" t="s">
        <v>17</v>
      </c>
      <c r="C59" s="709">
        <v>1</v>
      </c>
      <c r="D59" s="709">
        <v>1</v>
      </c>
      <c r="E59" s="709">
        <v>1</v>
      </c>
      <c r="F59" s="709">
        <v>1</v>
      </c>
      <c r="G59" s="1453" t="s">
        <v>2874</v>
      </c>
    </row>
    <row r="60" spans="1:7" ht="21.75" customHeight="1" thickBot="1" x14ac:dyDescent="0.3">
      <c r="A60" s="1437"/>
      <c r="B60" s="453" t="s">
        <v>102</v>
      </c>
      <c r="C60" s="733">
        <f>24-C61-C62</f>
        <v>8.0500000000000007</v>
      </c>
      <c r="D60" s="733">
        <f>24-D61-D62</f>
        <v>5.8299999999999983</v>
      </c>
      <c r="E60" s="733">
        <f>24-E61-E62</f>
        <v>24</v>
      </c>
      <c r="F60" s="733">
        <f>24-F61-F62</f>
        <v>24</v>
      </c>
      <c r="G60" s="1418"/>
    </row>
    <row r="61" spans="1:7" ht="21.75" customHeight="1" thickBot="1" x14ac:dyDescent="0.3">
      <c r="A61" s="1437"/>
      <c r="B61" s="448" t="s">
        <v>103</v>
      </c>
      <c r="C61" s="709">
        <v>15.95</v>
      </c>
      <c r="D61" s="731">
        <v>18.170000000000002</v>
      </c>
      <c r="E61" s="731">
        <v>0</v>
      </c>
      <c r="F61" s="731">
        <v>0</v>
      </c>
      <c r="G61" s="1418"/>
    </row>
    <row r="62" spans="1:7" ht="21.75" customHeight="1" thickBot="1" x14ac:dyDescent="0.3">
      <c r="A62" s="1438"/>
      <c r="B62" s="457" t="s">
        <v>104</v>
      </c>
      <c r="C62" s="709">
        <v>0</v>
      </c>
      <c r="D62" s="734">
        <v>0</v>
      </c>
      <c r="E62" s="734">
        <v>0</v>
      </c>
      <c r="F62" s="734">
        <v>0</v>
      </c>
      <c r="G62" s="1419"/>
    </row>
    <row r="63" spans="1:7" ht="15" customHeight="1" thickBot="1" x14ac:dyDescent="0.3">
      <c r="A63" s="1436">
        <v>44697</v>
      </c>
      <c r="B63" s="453" t="s">
        <v>17</v>
      </c>
      <c r="C63" s="709">
        <v>1</v>
      </c>
      <c r="D63" s="709">
        <v>1</v>
      </c>
      <c r="E63" s="709">
        <v>1</v>
      </c>
      <c r="F63" s="709">
        <v>1</v>
      </c>
      <c r="G63" s="1417"/>
    </row>
    <row r="64" spans="1:7" ht="15" customHeight="1" thickBot="1" x14ac:dyDescent="0.3">
      <c r="A64" s="1437"/>
      <c r="B64" s="453" t="s">
        <v>102</v>
      </c>
      <c r="C64" s="733">
        <f>24-C65-C66</f>
        <v>0</v>
      </c>
      <c r="D64" s="733">
        <f>24-D65-D66</f>
        <v>24</v>
      </c>
      <c r="E64" s="733">
        <f>24-E65-E66</f>
        <v>24</v>
      </c>
      <c r="F64" s="733">
        <f>24-F65-F66</f>
        <v>24</v>
      </c>
      <c r="G64" s="1418"/>
    </row>
    <row r="65" spans="1:7" ht="15" customHeight="1" thickBot="1" x14ac:dyDescent="0.3">
      <c r="A65" s="1437"/>
      <c r="B65" s="448" t="s">
        <v>103</v>
      </c>
      <c r="C65" s="709">
        <v>24</v>
      </c>
      <c r="D65" s="731">
        <v>0</v>
      </c>
      <c r="E65" s="731">
        <v>0</v>
      </c>
      <c r="F65" s="731">
        <v>0</v>
      </c>
      <c r="G65" s="1418"/>
    </row>
    <row r="66" spans="1:7" ht="15" customHeight="1" thickBot="1" x14ac:dyDescent="0.3">
      <c r="A66" s="1438"/>
      <c r="B66" s="457" t="s">
        <v>104</v>
      </c>
      <c r="C66" s="709">
        <v>0</v>
      </c>
      <c r="D66" s="734">
        <v>0</v>
      </c>
      <c r="E66" s="734">
        <v>0</v>
      </c>
      <c r="F66" s="734">
        <v>0</v>
      </c>
      <c r="G66" s="1423"/>
    </row>
    <row r="67" spans="1:7" ht="15" customHeight="1" thickBot="1" x14ac:dyDescent="0.3">
      <c r="A67" s="1436">
        <v>44698</v>
      </c>
      <c r="B67" s="453" t="s">
        <v>17</v>
      </c>
      <c r="C67" s="709">
        <v>1</v>
      </c>
      <c r="D67" s="709">
        <v>1</v>
      </c>
      <c r="E67" s="709">
        <v>1</v>
      </c>
      <c r="F67" s="709">
        <v>1</v>
      </c>
      <c r="G67" s="1417" t="s">
        <v>2882</v>
      </c>
    </row>
    <row r="68" spans="1:7" ht="15" customHeight="1" thickBot="1" x14ac:dyDescent="0.3">
      <c r="A68" s="1437"/>
      <c r="B68" s="453" t="s">
        <v>102</v>
      </c>
      <c r="C68" s="733">
        <f>24-C69-C70</f>
        <v>0</v>
      </c>
      <c r="D68" s="733">
        <f>24-D69-D70</f>
        <v>18.8</v>
      </c>
      <c r="E68" s="733">
        <f>24-E69-E70</f>
        <v>24</v>
      </c>
      <c r="F68" s="733">
        <f>24-F69-F70</f>
        <v>24</v>
      </c>
      <c r="G68" s="1418"/>
    </row>
    <row r="69" spans="1:7" ht="15" customHeight="1" thickBot="1" x14ac:dyDescent="0.3">
      <c r="A69" s="1437"/>
      <c r="B69" s="448" t="s">
        <v>103</v>
      </c>
      <c r="C69" s="709">
        <v>24</v>
      </c>
      <c r="D69" s="731">
        <v>5.2</v>
      </c>
      <c r="E69" s="731">
        <v>0</v>
      </c>
      <c r="F69" s="731">
        <v>0</v>
      </c>
      <c r="G69" s="1418"/>
    </row>
    <row r="70" spans="1:7" ht="15" customHeight="1" thickBot="1" x14ac:dyDescent="0.3">
      <c r="A70" s="1438"/>
      <c r="B70" s="457" t="s">
        <v>104</v>
      </c>
      <c r="C70" s="709">
        <v>0</v>
      </c>
      <c r="D70" s="734">
        <v>0</v>
      </c>
      <c r="E70" s="734">
        <v>0</v>
      </c>
      <c r="F70" s="734">
        <v>0</v>
      </c>
      <c r="G70" s="1423"/>
    </row>
    <row r="71" spans="1:7" ht="15" customHeight="1" thickBot="1" x14ac:dyDescent="0.3">
      <c r="A71" s="1436">
        <v>44699</v>
      </c>
      <c r="B71" s="453" t="s">
        <v>17</v>
      </c>
      <c r="C71" s="709">
        <v>1</v>
      </c>
      <c r="D71" s="709">
        <v>1</v>
      </c>
      <c r="E71" s="709">
        <v>1</v>
      </c>
      <c r="F71" s="709">
        <v>1</v>
      </c>
      <c r="G71" s="1417" t="s">
        <v>2896</v>
      </c>
    </row>
    <row r="72" spans="1:7" ht="15" customHeight="1" thickBot="1" x14ac:dyDescent="0.3">
      <c r="A72" s="1437"/>
      <c r="B72" s="453" t="s">
        <v>102</v>
      </c>
      <c r="C72" s="733">
        <f>24-C73-C74</f>
        <v>0</v>
      </c>
      <c r="D72" s="733">
        <f>24-D73-D74</f>
        <v>17.649999999999999</v>
      </c>
      <c r="E72" s="733">
        <f>24-E73-E74</f>
        <v>24</v>
      </c>
      <c r="F72" s="733">
        <f>24-F73-F74</f>
        <v>24</v>
      </c>
      <c r="G72" s="1418"/>
    </row>
    <row r="73" spans="1:7" ht="15" customHeight="1" thickBot="1" x14ac:dyDescent="0.3">
      <c r="A73" s="1437"/>
      <c r="B73" s="448" t="s">
        <v>103</v>
      </c>
      <c r="C73" s="709">
        <v>24</v>
      </c>
      <c r="D73" s="731">
        <v>6.35</v>
      </c>
      <c r="E73" s="731">
        <v>0</v>
      </c>
      <c r="F73" s="731">
        <v>0</v>
      </c>
      <c r="G73" s="1418"/>
    </row>
    <row r="74" spans="1:7" ht="15" customHeight="1" thickBot="1" x14ac:dyDescent="0.3">
      <c r="A74" s="1438"/>
      <c r="B74" s="457" t="s">
        <v>104</v>
      </c>
      <c r="C74" s="709">
        <v>0</v>
      </c>
      <c r="D74" s="734">
        <v>0</v>
      </c>
      <c r="E74" s="734">
        <v>0</v>
      </c>
      <c r="F74" s="734">
        <v>0</v>
      </c>
      <c r="G74" s="1418"/>
    </row>
    <row r="75" spans="1:7" ht="15" customHeight="1" thickBot="1" x14ac:dyDescent="0.3">
      <c r="A75" s="1436">
        <v>44700</v>
      </c>
      <c r="B75" s="453" t="s">
        <v>17</v>
      </c>
      <c r="C75" s="709">
        <v>1</v>
      </c>
      <c r="D75" s="709">
        <v>1</v>
      </c>
      <c r="E75" s="709">
        <v>1</v>
      </c>
      <c r="F75" s="709">
        <v>1</v>
      </c>
      <c r="G75" s="1418"/>
    </row>
    <row r="76" spans="1:7" ht="15" customHeight="1" thickBot="1" x14ac:dyDescent="0.3">
      <c r="A76" s="1437"/>
      <c r="B76" s="453" t="s">
        <v>102</v>
      </c>
      <c r="C76" s="733">
        <f>24-C77-C78</f>
        <v>0</v>
      </c>
      <c r="D76" s="733">
        <f>24-D77-D78</f>
        <v>12.5</v>
      </c>
      <c r="E76" s="733">
        <f>24-E77-E78</f>
        <v>24</v>
      </c>
      <c r="F76" s="733">
        <f>24-F77-F78</f>
        <v>24</v>
      </c>
      <c r="G76" s="1418"/>
    </row>
    <row r="77" spans="1:7" ht="15" customHeight="1" thickBot="1" x14ac:dyDescent="0.3">
      <c r="A77" s="1437"/>
      <c r="B77" s="448" t="s">
        <v>103</v>
      </c>
      <c r="C77" s="709">
        <v>24</v>
      </c>
      <c r="D77" s="731">
        <v>11.5</v>
      </c>
      <c r="E77" s="731">
        <v>0</v>
      </c>
      <c r="F77" s="731">
        <v>0</v>
      </c>
      <c r="G77" s="1418"/>
    </row>
    <row r="78" spans="1:7" ht="15" customHeight="1" thickBot="1" x14ac:dyDescent="0.3">
      <c r="A78" s="1438"/>
      <c r="B78" s="457" t="s">
        <v>104</v>
      </c>
      <c r="C78" s="709">
        <v>0</v>
      </c>
      <c r="D78" s="734">
        <v>0</v>
      </c>
      <c r="E78" s="734">
        <v>0</v>
      </c>
      <c r="F78" s="734">
        <v>0</v>
      </c>
      <c r="G78" s="1423"/>
    </row>
    <row r="79" spans="1:7" ht="15" customHeight="1" thickBot="1" x14ac:dyDescent="0.3">
      <c r="A79" s="1436">
        <v>44701</v>
      </c>
      <c r="B79" s="453" t="s">
        <v>17</v>
      </c>
      <c r="C79" s="709">
        <v>1</v>
      </c>
      <c r="D79" s="709">
        <v>1</v>
      </c>
      <c r="E79" s="709">
        <v>1</v>
      </c>
      <c r="F79" s="709">
        <v>1</v>
      </c>
      <c r="G79" s="1453" t="s">
        <v>2915</v>
      </c>
    </row>
    <row r="80" spans="1:7" ht="15" customHeight="1" thickBot="1" x14ac:dyDescent="0.3">
      <c r="A80" s="1437"/>
      <c r="B80" s="453" t="s">
        <v>102</v>
      </c>
      <c r="C80" s="733">
        <f>24-C81-C82</f>
        <v>0</v>
      </c>
      <c r="D80" s="733">
        <f>24-D81-D82</f>
        <v>18.62</v>
      </c>
      <c r="E80" s="733">
        <f>24-E81-E82</f>
        <v>24</v>
      </c>
      <c r="F80" s="733">
        <f>24-F81-F82</f>
        <v>24</v>
      </c>
      <c r="G80" s="1448"/>
    </row>
    <row r="81" spans="1:7" ht="15" customHeight="1" thickBot="1" x14ac:dyDescent="0.3">
      <c r="A81" s="1437"/>
      <c r="B81" s="448" t="s">
        <v>103</v>
      </c>
      <c r="C81" s="709">
        <v>24</v>
      </c>
      <c r="D81" s="731">
        <v>5.38</v>
      </c>
      <c r="E81" s="731">
        <v>0</v>
      </c>
      <c r="F81" s="731">
        <v>0</v>
      </c>
      <c r="G81" s="1448"/>
    </row>
    <row r="82" spans="1:7" ht="15" customHeight="1" thickBot="1" x14ac:dyDescent="0.3">
      <c r="A82" s="1438"/>
      <c r="B82" s="457" t="s">
        <v>104</v>
      </c>
      <c r="C82" s="709">
        <v>0</v>
      </c>
      <c r="D82" s="734">
        <v>0</v>
      </c>
      <c r="E82" s="734">
        <v>0</v>
      </c>
      <c r="F82" s="734">
        <v>0</v>
      </c>
      <c r="G82" s="1448"/>
    </row>
    <row r="83" spans="1:7" ht="15" customHeight="1" thickBot="1" x14ac:dyDescent="0.3">
      <c r="A83" s="1436">
        <v>44702</v>
      </c>
      <c r="B83" s="453" t="s">
        <v>17</v>
      </c>
      <c r="C83" s="709">
        <v>1</v>
      </c>
      <c r="D83" s="709">
        <v>1</v>
      </c>
      <c r="E83" s="709">
        <v>1</v>
      </c>
      <c r="F83" s="709">
        <v>1</v>
      </c>
      <c r="G83" s="1448"/>
    </row>
    <row r="84" spans="1:7" ht="15" customHeight="1" thickBot="1" x14ac:dyDescent="0.3">
      <c r="A84" s="1437"/>
      <c r="B84" s="453" t="s">
        <v>102</v>
      </c>
      <c r="C84" s="733">
        <f>24-C85-C86</f>
        <v>19.100000000000001</v>
      </c>
      <c r="D84" s="733">
        <f>24-D85-D86</f>
        <v>18.920000000000002</v>
      </c>
      <c r="E84" s="733">
        <f>24-E85-E86</f>
        <v>24</v>
      </c>
      <c r="F84" s="733">
        <f>24-F85-F86</f>
        <v>24</v>
      </c>
      <c r="G84" s="1448"/>
    </row>
    <row r="85" spans="1:7" ht="15" customHeight="1" thickBot="1" x14ac:dyDescent="0.3">
      <c r="A85" s="1437"/>
      <c r="B85" s="448" t="s">
        <v>103</v>
      </c>
      <c r="C85" s="709">
        <v>4.9000000000000004</v>
      </c>
      <c r="D85" s="731">
        <v>5.08</v>
      </c>
      <c r="E85" s="731">
        <v>0</v>
      </c>
      <c r="F85" s="731">
        <v>0</v>
      </c>
      <c r="G85" s="1448"/>
    </row>
    <row r="86" spans="1:7" ht="15" customHeight="1" thickBot="1" x14ac:dyDescent="0.3">
      <c r="A86" s="1438"/>
      <c r="B86" s="457" t="s">
        <v>104</v>
      </c>
      <c r="C86" s="709">
        <v>0</v>
      </c>
      <c r="D86" s="734">
        <v>0</v>
      </c>
      <c r="E86" s="734">
        <v>0</v>
      </c>
      <c r="F86" s="734">
        <v>0</v>
      </c>
      <c r="G86" s="1449"/>
    </row>
    <row r="87" spans="1:7" ht="15" customHeight="1" thickBot="1" x14ac:dyDescent="0.3">
      <c r="A87" s="1436">
        <v>44703</v>
      </c>
      <c r="B87" s="453" t="s">
        <v>17</v>
      </c>
      <c r="C87" s="709">
        <v>1</v>
      </c>
      <c r="D87" s="709">
        <v>1</v>
      </c>
      <c r="E87" s="709">
        <v>1</v>
      </c>
      <c r="F87" s="709">
        <v>1</v>
      </c>
      <c r="G87" s="1417" t="s">
        <v>2922</v>
      </c>
    </row>
    <row r="88" spans="1:7" ht="15" customHeight="1" thickBot="1" x14ac:dyDescent="0.3">
      <c r="A88" s="1437"/>
      <c r="B88" s="453" t="s">
        <v>102</v>
      </c>
      <c r="C88" s="733">
        <f>24-C89-C90</f>
        <v>24</v>
      </c>
      <c r="D88" s="733">
        <f>24-D89-D90</f>
        <v>11.43</v>
      </c>
      <c r="E88" s="733">
        <f>24-E89-E90</f>
        <v>24</v>
      </c>
      <c r="F88" s="733">
        <f>24-F89-F90</f>
        <v>24</v>
      </c>
      <c r="G88" s="1418"/>
    </row>
    <row r="89" spans="1:7" ht="15" customHeight="1" thickBot="1" x14ac:dyDescent="0.3">
      <c r="A89" s="1437"/>
      <c r="B89" s="448" t="s">
        <v>103</v>
      </c>
      <c r="C89" s="709">
        <v>0</v>
      </c>
      <c r="D89" s="709">
        <v>12.57</v>
      </c>
      <c r="E89" s="731">
        <v>0</v>
      </c>
      <c r="F89" s="731">
        <v>0</v>
      </c>
      <c r="G89" s="1418"/>
    </row>
    <row r="90" spans="1:7" ht="15" customHeight="1" thickBot="1" x14ac:dyDescent="0.3">
      <c r="A90" s="1438"/>
      <c r="B90" s="457" t="s">
        <v>104</v>
      </c>
      <c r="C90" s="709">
        <v>0</v>
      </c>
      <c r="D90" s="709">
        <v>0</v>
      </c>
      <c r="E90" s="734">
        <v>0</v>
      </c>
      <c r="F90" s="734">
        <v>0</v>
      </c>
      <c r="G90" s="1418"/>
    </row>
    <row r="91" spans="1:7" ht="15" customHeight="1" thickBot="1" x14ac:dyDescent="0.3">
      <c r="A91" s="1436">
        <v>44704</v>
      </c>
      <c r="B91" s="453" t="s">
        <v>17</v>
      </c>
      <c r="C91" s="709">
        <v>1</v>
      </c>
      <c r="D91" s="709">
        <v>1</v>
      </c>
      <c r="E91" s="709">
        <v>1</v>
      </c>
      <c r="F91" s="709">
        <v>1</v>
      </c>
      <c r="G91" s="1418"/>
    </row>
    <row r="92" spans="1:7" ht="15" customHeight="1" thickBot="1" x14ac:dyDescent="0.3">
      <c r="A92" s="1437"/>
      <c r="B92" s="453" t="s">
        <v>102</v>
      </c>
      <c r="C92" s="733">
        <f>24-C93-C94</f>
        <v>24</v>
      </c>
      <c r="D92" s="733">
        <f>24-D93-D94</f>
        <v>19.87</v>
      </c>
      <c r="E92" s="733">
        <f>24-E93-E94</f>
        <v>24</v>
      </c>
      <c r="F92" s="733">
        <f>24-F93-F94</f>
        <v>24</v>
      </c>
      <c r="G92" s="1418"/>
    </row>
    <row r="93" spans="1:7" ht="15" customHeight="1" thickBot="1" x14ac:dyDescent="0.3">
      <c r="A93" s="1437"/>
      <c r="B93" s="448" t="s">
        <v>103</v>
      </c>
      <c r="C93" s="709">
        <v>0</v>
      </c>
      <c r="D93" s="709">
        <v>4.13</v>
      </c>
      <c r="E93" s="731">
        <v>0</v>
      </c>
      <c r="F93" s="731">
        <v>0</v>
      </c>
      <c r="G93" s="1418"/>
    </row>
    <row r="94" spans="1:7" ht="15" customHeight="1" thickBot="1" x14ac:dyDescent="0.3">
      <c r="A94" s="1438"/>
      <c r="B94" s="457" t="s">
        <v>104</v>
      </c>
      <c r="C94" s="709">
        <v>0</v>
      </c>
      <c r="D94" s="709">
        <v>0</v>
      </c>
      <c r="E94" s="734">
        <v>0</v>
      </c>
      <c r="F94" s="734">
        <v>0</v>
      </c>
      <c r="G94" s="1423"/>
    </row>
    <row r="95" spans="1:7" ht="15" customHeight="1" thickBot="1" x14ac:dyDescent="0.3">
      <c r="A95" s="1436">
        <v>44705</v>
      </c>
      <c r="B95" s="453" t="s">
        <v>17</v>
      </c>
      <c r="C95" s="709">
        <v>1</v>
      </c>
      <c r="D95" s="709">
        <v>1</v>
      </c>
      <c r="E95" s="709">
        <v>1</v>
      </c>
      <c r="F95" s="709">
        <v>1</v>
      </c>
      <c r="G95" s="1417" t="s">
        <v>2929</v>
      </c>
    </row>
    <row r="96" spans="1:7" ht="15" customHeight="1" thickBot="1" x14ac:dyDescent="0.3">
      <c r="A96" s="1437"/>
      <c r="B96" s="453" t="s">
        <v>102</v>
      </c>
      <c r="C96" s="733">
        <f>24-C97-C98</f>
        <v>2.8299999999999983</v>
      </c>
      <c r="D96" s="733">
        <f>24-D97-D98</f>
        <v>15.93</v>
      </c>
      <c r="E96" s="733">
        <f>24-E97-E98</f>
        <v>24</v>
      </c>
      <c r="F96" s="733">
        <f>24-F97-F98</f>
        <v>24</v>
      </c>
      <c r="G96" s="1418"/>
    </row>
    <row r="97" spans="1:7" ht="15" customHeight="1" thickBot="1" x14ac:dyDescent="0.3">
      <c r="A97" s="1437"/>
      <c r="B97" s="448" t="s">
        <v>103</v>
      </c>
      <c r="C97" s="709">
        <v>21.17</v>
      </c>
      <c r="D97" s="709">
        <v>8.07</v>
      </c>
      <c r="E97" s="731">
        <v>0</v>
      </c>
      <c r="F97" s="731">
        <v>0</v>
      </c>
      <c r="G97" s="1418"/>
    </row>
    <row r="98" spans="1:7" ht="15" customHeight="1" thickBot="1" x14ac:dyDescent="0.3">
      <c r="A98" s="1438"/>
      <c r="B98" s="457" t="s">
        <v>104</v>
      </c>
      <c r="C98" s="709">
        <v>0</v>
      </c>
      <c r="D98" s="709">
        <v>0</v>
      </c>
      <c r="E98" s="734">
        <v>0</v>
      </c>
      <c r="F98" s="734">
        <v>0</v>
      </c>
      <c r="G98" s="1423"/>
    </row>
    <row r="99" spans="1:7" ht="15" customHeight="1" thickBot="1" x14ac:dyDescent="0.3">
      <c r="A99" s="1436">
        <v>44706</v>
      </c>
      <c r="B99" s="453" t="s">
        <v>17</v>
      </c>
      <c r="C99" s="709">
        <v>1</v>
      </c>
      <c r="D99" s="709">
        <v>1</v>
      </c>
      <c r="E99" s="709">
        <v>1</v>
      </c>
      <c r="F99" s="709">
        <v>1</v>
      </c>
      <c r="G99" s="1417" t="s">
        <v>2984</v>
      </c>
    </row>
    <row r="100" spans="1:7" ht="15" customHeight="1" thickBot="1" x14ac:dyDescent="0.3">
      <c r="A100" s="1437"/>
      <c r="B100" s="453" t="s">
        <v>102</v>
      </c>
      <c r="C100" s="733">
        <f>24-C101-C102</f>
        <v>0</v>
      </c>
      <c r="D100" s="733">
        <f>24-D101-D102</f>
        <v>14.16</v>
      </c>
      <c r="E100" s="733">
        <f>24-E101-E102</f>
        <v>24</v>
      </c>
      <c r="F100" s="733">
        <f>24-F101-F102</f>
        <v>24</v>
      </c>
      <c r="G100" s="1418"/>
    </row>
    <row r="101" spans="1:7" ht="15" customHeight="1" thickBot="1" x14ac:dyDescent="0.3">
      <c r="A101" s="1437"/>
      <c r="B101" s="448" t="s">
        <v>103</v>
      </c>
      <c r="C101" s="709">
        <v>24</v>
      </c>
      <c r="D101" s="709">
        <v>9.84</v>
      </c>
      <c r="E101" s="731">
        <v>0</v>
      </c>
      <c r="F101" s="731">
        <v>0</v>
      </c>
      <c r="G101" s="1418"/>
    </row>
    <row r="102" spans="1:7" ht="15" customHeight="1" thickBot="1" x14ac:dyDescent="0.3">
      <c r="A102" s="1438"/>
      <c r="B102" s="457" t="s">
        <v>104</v>
      </c>
      <c r="C102" s="709">
        <v>0</v>
      </c>
      <c r="D102" s="709">
        <v>0</v>
      </c>
      <c r="E102" s="734">
        <v>0</v>
      </c>
      <c r="F102" s="734">
        <v>0</v>
      </c>
      <c r="G102" s="1423"/>
    </row>
    <row r="103" spans="1:7" ht="15" customHeight="1" thickBot="1" x14ac:dyDescent="0.3">
      <c r="A103" s="1436">
        <v>44707</v>
      </c>
      <c r="B103" s="453" t="s">
        <v>17</v>
      </c>
      <c r="C103" s="709">
        <v>1</v>
      </c>
      <c r="D103" s="709">
        <v>1</v>
      </c>
      <c r="E103" s="709">
        <v>1</v>
      </c>
      <c r="F103" s="709">
        <v>1</v>
      </c>
      <c r="G103" s="1417" t="s">
        <v>2945</v>
      </c>
    </row>
    <row r="104" spans="1:7" ht="15" customHeight="1" thickBot="1" x14ac:dyDescent="0.3">
      <c r="A104" s="1437"/>
      <c r="B104" s="453" t="s">
        <v>102</v>
      </c>
      <c r="C104" s="733">
        <f>24-C105-C106</f>
        <v>0</v>
      </c>
      <c r="D104" s="733">
        <f>24-D105-D106</f>
        <v>11.07</v>
      </c>
      <c r="E104" s="733">
        <f>24-E105-E106</f>
        <v>24</v>
      </c>
      <c r="F104" s="733">
        <f>24-F105-F106</f>
        <v>24</v>
      </c>
      <c r="G104" s="1418"/>
    </row>
    <row r="105" spans="1:7" ht="15" customHeight="1" thickBot="1" x14ac:dyDescent="0.3">
      <c r="A105" s="1437"/>
      <c r="B105" s="448" t="s">
        <v>103</v>
      </c>
      <c r="C105" s="709">
        <v>24</v>
      </c>
      <c r="D105" s="709">
        <v>12.93</v>
      </c>
      <c r="E105" s="731">
        <v>0</v>
      </c>
      <c r="F105" s="731">
        <v>0</v>
      </c>
      <c r="G105" s="1418"/>
    </row>
    <row r="106" spans="1:7" ht="15" customHeight="1" thickBot="1" x14ac:dyDescent="0.3">
      <c r="A106" s="1438"/>
      <c r="B106" s="457" t="s">
        <v>104</v>
      </c>
      <c r="C106" s="709">
        <v>0</v>
      </c>
      <c r="D106" s="709">
        <v>0</v>
      </c>
      <c r="E106" s="734">
        <v>0</v>
      </c>
      <c r="F106" s="734">
        <v>0</v>
      </c>
      <c r="G106" s="1423"/>
    </row>
    <row r="107" spans="1:7" ht="15" customHeight="1" thickBot="1" x14ac:dyDescent="0.3">
      <c r="A107" s="1436">
        <v>44708</v>
      </c>
      <c r="B107" s="453" t="s">
        <v>17</v>
      </c>
      <c r="C107" s="709">
        <v>1</v>
      </c>
      <c r="D107" s="709">
        <v>1</v>
      </c>
      <c r="E107" s="709">
        <v>1</v>
      </c>
      <c r="F107" s="709">
        <v>1</v>
      </c>
      <c r="G107" s="1417" t="s">
        <v>2954</v>
      </c>
    </row>
    <row r="108" spans="1:7" ht="15" customHeight="1" thickBot="1" x14ac:dyDescent="0.3">
      <c r="A108" s="1437"/>
      <c r="B108" s="453" t="s">
        <v>102</v>
      </c>
      <c r="C108" s="733">
        <f>24-C109-C110</f>
        <v>0</v>
      </c>
      <c r="D108" s="733">
        <f>24-D109-D110</f>
        <v>19.93</v>
      </c>
      <c r="E108" s="733">
        <f>24-E109-E110</f>
        <v>24</v>
      </c>
      <c r="F108" s="733">
        <f>24-F109-F110</f>
        <v>24</v>
      </c>
      <c r="G108" s="1418"/>
    </row>
    <row r="109" spans="1:7" ht="15" customHeight="1" thickBot="1" x14ac:dyDescent="0.3">
      <c r="A109" s="1437"/>
      <c r="B109" s="448" t="s">
        <v>103</v>
      </c>
      <c r="C109" s="709">
        <v>24</v>
      </c>
      <c r="D109" s="709">
        <v>4.07</v>
      </c>
      <c r="E109" s="731">
        <v>0</v>
      </c>
      <c r="F109" s="731">
        <v>0</v>
      </c>
      <c r="G109" s="1418"/>
    </row>
    <row r="110" spans="1:7" ht="15" customHeight="1" thickBot="1" x14ac:dyDescent="0.3">
      <c r="A110" s="1438"/>
      <c r="B110" s="457" t="s">
        <v>104</v>
      </c>
      <c r="C110" s="709">
        <v>0</v>
      </c>
      <c r="D110" s="709">
        <v>0</v>
      </c>
      <c r="E110" s="734">
        <v>0</v>
      </c>
      <c r="F110" s="734">
        <v>0</v>
      </c>
      <c r="G110" s="1423"/>
    </row>
    <row r="111" spans="1:7" ht="15" customHeight="1" thickBot="1" x14ac:dyDescent="0.3">
      <c r="A111" s="1436">
        <v>44709</v>
      </c>
      <c r="B111" s="453" t="s">
        <v>17</v>
      </c>
      <c r="C111" s="709">
        <v>1</v>
      </c>
      <c r="D111" s="709">
        <v>1</v>
      </c>
      <c r="E111" s="709">
        <v>1</v>
      </c>
      <c r="F111" s="709">
        <v>1</v>
      </c>
      <c r="G111" s="1447" t="s">
        <v>2960</v>
      </c>
    </row>
    <row r="112" spans="1:7" ht="15" customHeight="1" thickBot="1" x14ac:dyDescent="0.3">
      <c r="A112" s="1437"/>
      <c r="B112" s="453" t="s">
        <v>102</v>
      </c>
      <c r="C112" s="733">
        <f>24-C113-C114</f>
        <v>0</v>
      </c>
      <c r="D112" s="733">
        <f>24-D113-D114</f>
        <v>12.75</v>
      </c>
      <c r="E112" s="733">
        <f>24-E113-E114</f>
        <v>24</v>
      </c>
      <c r="F112" s="733">
        <f>24-F113-F114</f>
        <v>24</v>
      </c>
      <c r="G112" s="1448"/>
    </row>
    <row r="113" spans="1:7" ht="15" customHeight="1" thickBot="1" x14ac:dyDescent="0.3">
      <c r="A113" s="1437"/>
      <c r="B113" s="448" t="s">
        <v>103</v>
      </c>
      <c r="C113" s="709">
        <v>24</v>
      </c>
      <c r="D113" s="709">
        <v>11.25</v>
      </c>
      <c r="E113" s="731">
        <v>0</v>
      </c>
      <c r="F113" s="731">
        <v>0</v>
      </c>
      <c r="G113" s="1448"/>
    </row>
    <row r="114" spans="1:7" ht="15" customHeight="1" thickBot="1" x14ac:dyDescent="0.3">
      <c r="A114" s="1438"/>
      <c r="B114" s="457" t="s">
        <v>104</v>
      </c>
      <c r="C114" s="709">
        <v>0</v>
      </c>
      <c r="D114" s="709">
        <v>0</v>
      </c>
      <c r="E114" s="734">
        <v>0</v>
      </c>
      <c r="F114" s="734">
        <v>0</v>
      </c>
      <c r="G114" s="1449"/>
    </row>
    <row r="115" spans="1:7" ht="15" customHeight="1" thickBot="1" x14ac:dyDescent="0.3">
      <c r="A115" s="1436">
        <v>44710</v>
      </c>
      <c r="B115" s="453" t="s">
        <v>17</v>
      </c>
      <c r="C115" s="709">
        <v>1</v>
      </c>
      <c r="D115" s="709">
        <v>1</v>
      </c>
      <c r="E115" s="709">
        <v>1</v>
      </c>
      <c r="F115" s="709">
        <v>1</v>
      </c>
      <c r="G115" s="1447"/>
    </row>
    <row r="116" spans="1:7" ht="15" customHeight="1" thickBot="1" x14ac:dyDescent="0.3">
      <c r="A116" s="1437"/>
      <c r="B116" s="453" t="s">
        <v>102</v>
      </c>
      <c r="C116" s="733">
        <f>24-C117-C118</f>
        <v>0</v>
      </c>
      <c r="D116" s="733">
        <f>24-D117-D118</f>
        <v>21.83</v>
      </c>
      <c r="E116" s="733">
        <f>24-E117-E118</f>
        <v>24</v>
      </c>
      <c r="F116" s="733">
        <f>24-F117-F118</f>
        <v>24</v>
      </c>
      <c r="G116" s="1448"/>
    </row>
    <row r="117" spans="1:7" ht="15" customHeight="1" thickBot="1" x14ac:dyDescent="0.3">
      <c r="A117" s="1437"/>
      <c r="B117" s="448" t="s">
        <v>103</v>
      </c>
      <c r="C117" s="709">
        <v>24</v>
      </c>
      <c r="D117" s="709">
        <v>2.17</v>
      </c>
      <c r="E117" s="731">
        <v>0</v>
      </c>
      <c r="F117" s="731">
        <v>0</v>
      </c>
      <c r="G117" s="1448"/>
    </row>
    <row r="118" spans="1:7" ht="15" customHeight="1" thickBot="1" x14ac:dyDescent="0.3">
      <c r="A118" s="1438"/>
      <c r="B118" s="457" t="s">
        <v>104</v>
      </c>
      <c r="C118" s="709">
        <v>0</v>
      </c>
      <c r="D118" s="709">
        <v>0</v>
      </c>
      <c r="E118" s="734">
        <v>0</v>
      </c>
      <c r="F118" s="734">
        <v>0</v>
      </c>
      <c r="G118" s="1449"/>
    </row>
    <row r="119" spans="1:7" ht="22.5" customHeight="1" thickBot="1" x14ac:dyDescent="0.3">
      <c r="A119" s="1436">
        <v>44711</v>
      </c>
      <c r="B119" s="453" t="s">
        <v>17</v>
      </c>
      <c r="C119" s="709">
        <v>1</v>
      </c>
      <c r="D119" s="709">
        <v>1</v>
      </c>
      <c r="E119" s="709">
        <v>1</v>
      </c>
      <c r="F119" s="709">
        <v>1</v>
      </c>
      <c r="G119" s="1447" t="s">
        <v>2978</v>
      </c>
    </row>
    <row r="120" spans="1:7" ht="22.5" customHeight="1" thickBot="1" x14ac:dyDescent="0.3">
      <c r="A120" s="1437"/>
      <c r="B120" s="453" t="s">
        <v>102</v>
      </c>
      <c r="C120" s="733">
        <f>24-C121-C122</f>
        <v>15.87</v>
      </c>
      <c r="D120" s="733">
        <f>24-D121-D122</f>
        <v>8.9</v>
      </c>
      <c r="E120" s="733">
        <f>24-E121-E122</f>
        <v>24</v>
      </c>
      <c r="F120" s="733">
        <f>24-F121-F122</f>
        <v>24</v>
      </c>
      <c r="G120" s="1448"/>
    </row>
    <row r="121" spans="1:7" ht="22.5" customHeight="1" thickBot="1" x14ac:dyDescent="0.3">
      <c r="A121" s="1437"/>
      <c r="B121" s="448" t="s">
        <v>103</v>
      </c>
      <c r="C121" s="709">
        <v>8.1300000000000008</v>
      </c>
      <c r="D121" s="709">
        <v>15.1</v>
      </c>
      <c r="E121" s="731">
        <v>0</v>
      </c>
      <c r="F121" s="731">
        <v>0</v>
      </c>
      <c r="G121" s="1448"/>
    </row>
    <row r="122" spans="1:7" ht="22.5" customHeight="1" thickBot="1" x14ac:dyDescent="0.3">
      <c r="A122" s="1438"/>
      <c r="B122" s="457" t="s">
        <v>104</v>
      </c>
      <c r="C122" s="709">
        <v>0</v>
      </c>
      <c r="D122" s="709">
        <v>0</v>
      </c>
      <c r="E122" s="734">
        <v>0</v>
      </c>
      <c r="F122" s="734">
        <v>0</v>
      </c>
      <c r="G122" s="1449"/>
    </row>
    <row r="123" spans="1:7" ht="15" customHeight="1" thickBot="1" x14ac:dyDescent="0.3">
      <c r="A123" s="1436">
        <v>44712</v>
      </c>
      <c r="B123" s="453" t="s">
        <v>17</v>
      </c>
      <c r="C123" s="709">
        <v>1</v>
      </c>
      <c r="D123" s="709">
        <v>1</v>
      </c>
      <c r="E123" s="709">
        <v>1</v>
      </c>
      <c r="F123" s="709">
        <v>1</v>
      </c>
      <c r="G123" s="1417" t="s">
        <v>2987</v>
      </c>
    </row>
    <row r="124" spans="1:7" ht="15" customHeight="1" thickBot="1" x14ac:dyDescent="0.3">
      <c r="A124" s="1437"/>
      <c r="B124" s="453" t="s">
        <v>102</v>
      </c>
      <c r="C124" s="733">
        <f>24-C125-C126</f>
        <v>24</v>
      </c>
      <c r="D124" s="733">
        <f>24-D125-D126</f>
        <v>15.6</v>
      </c>
      <c r="E124" s="733">
        <f>24-E125-E126</f>
        <v>24</v>
      </c>
      <c r="F124" s="733">
        <f>24-F125-F126</f>
        <v>24</v>
      </c>
      <c r="G124" s="1418"/>
    </row>
    <row r="125" spans="1:7" ht="15" customHeight="1" thickBot="1" x14ac:dyDescent="0.3">
      <c r="A125" s="1437"/>
      <c r="B125" s="448" t="s">
        <v>103</v>
      </c>
      <c r="C125" s="709">
        <v>0</v>
      </c>
      <c r="D125" s="709">
        <v>8.4</v>
      </c>
      <c r="E125" s="731">
        <v>0</v>
      </c>
      <c r="F125" s="731">
        <v>0</v>
      </c>
      <c r="G125" s="1418"/>
    </row>
    <row r="126" spans="1:7" ht="15" customHeight="1" thickBot="1" x14ac:dyDescent="0.3">
      <c r="A126" s="1438"/>
      <c r="B126" s="457" t="s">
        <v>104</v>
      </c>
      <c r="C126" s="709">
        <v>0</v>
      </c>
      <c r="D126" s="709">
        <v>0</v>
      </c>
      <c r="E126" s="734">
        <v>0</v>
      </c>
      <c r="F126" s="734">
        <v>0</v>
      </c>
      <c r="G126" s="1423"/>
    </row>
    <row r="127" spans="1:7" x14ac:dyDescent="0.25">
      <c r="A127" s="464" t="s">
        <v>2759</v>
      </c>
      <c r="B127" s="465"/>
      <c r="C127" s="466">
        <f>SUM(C112,C108,C104,C100,C96,C92,C88,C84,C80,C76,C72,C68,C64,C60,C56,C52,C48,C44,C40,C36,C32,C28,C24,C20,C16,C12,C8,C4,C116,C120,C124)</f>
        <v>212.76999999999998</v>
      </c>
      <c r="D127" s="466">
        <f>SUM(D112,D108,D104,D100,D96,D92,D88,D84,D80,D76,D72,D68,D64,D60,D56,D52,D48,D44,D40,D36,D32,D28,D24,D20,D16,D12,D8,D4,D116,D120,D124)</f>
        <v>538.43000000000006</v>
      </c>
      <c r="E127" s="466">
        <f t="shared" ref="E127:F128" si="0">SUM(E112,E108,E104,E100,E96,E92,E88,E84,E80,E76,E72,E68,E64,E60,E56,E52,E48,E44,E40,E36,E32,E28,E24,E20,E16,E12,E8,E4,E116,E120,E124)</f>
        <v>744</v>
      </c>
      <c r="F127" s="466">
        <f t="shared" si="0"/>
        <v>744</v>
      </c>
      <c r="G127" s="468"/>
    </row>
    <row r="128" spans="1:7" x14ac:dyDescent="0.25">
      <c r="A128" s="792" t="s">
        <v>2760</v>
      </c>
      <c r="B128" s="134"/>
      <c r="C128" s="469">
        <f>SUM(C113,C109,C105,C101,C97,C93,C89,C85,C81,C77,C73,C69,C65,C61,C57,C53,C49,C45,C41,C37,C33,C29,C25,C21,C17,C13,C9,C5,C117,C121,C125)</f>
        <v>531.2299999999999</v>
      </c>
      <c r="D128" s="469">
        <f>SUM(D113,D109,D105,D101,D97,D93,D89,D85,D81,D77,D73,D69,D65,D61,D57,D53,D49,D45,D41,D37,D33,D29,D25,D21,D17,D13,D9,D5,D117,D121,D125)</f>
        <v>205.57</v>
      </c>
      <c r="E128" s="469">
        <f t="shared" si="0"/>
        <v>0</v>
      </c>
      <c r="F128" s="469">
        <f t="shared" si="0"/>
        <v>0</v>
      </c>
      <c r="G128" s="471"/>
    </row>
    <row r="129" spans="1:7" ht="15.75" thickBot="1" x14ac:dyDescent="0.3">
      <c r="A129" s="793" t="s">
        <v>2761</v>
      </c>
      <c r="B129" s="472"/>
      <c r="C129" s="473">
        <f>SUM(C114,C110,C106,C102,C98,C94,C90,C86,C82,C78,C74,C70,C66,C62,C58,C54,C50,C46,C42,C38,C34,C30,C26,C22,C18,C14,C10,C6,C118,C122,C126)</f>
        <v>0</v>
      </c>
      <c r="D129" s="473">
        <f t="shared" ref="D129:F129" si="1">SUM(D114,D110,D106,D102,D98,D94,D90,D86,D82,D78,D74,D70,D66,D62,D58,D54,D50,D46,D42,D38,D34,D30,D26,D22,D18,D14,D10,D6,D118,D122,D126)</f>
        <v>0</v>
      </c>
      <c r="E129" s="473">
        <f t="shared" si="1"/>
        <v>0</v>
      </c>
      <c r="F129" s="473">
        <f t="shared" si="1"/>
        <v>0</v>
      </c>
      <c r="G129" s="475"/>
    </row>
    <row r="130" spans="1:7" ht="15.75" thickBot="1" x14ac:dyDescent="0.3">
      <c r="A130" s="1450" t="s">
        <v>108</v>
      </c>
      <c r="B130" s="1451"/>
      <c r="C130" s="1451"/>
      <c r="D130" s="1451"/>
      <c r="E130" s="1451"/>
      <c r="F130" s="1451"/>
      <c r="G130" s="1452"/>
    </row>
  </sheetData>
  <mergeCells count="58">
    <mergeCell ref="A11:A14"/>
    <mergeCell ref="G11:G14"/>
    <mergeCell ref="A1:G1"/>
    <mergeCell ref="A3:A6"/>
    <mergeCell ref="A7:A10"/>
    <mergeCell ref="G3:G10"/>
    <mergeCell ref="A15:A18"/>
    <mergeCell ref="G15:G18"/>
    <mergeCell ref="A19:A22"/>
    <mergeCell ref="G19:G22"/>
    <mergeCell ref="A23:A26"/>
    <mergeCell ref="G23:G30"/>
    <mergeCell ref="A27:A30"/>
    <mergeCell ref="A31:A34"/>
    <mergeCell ref="G31:G34"/>
    <mergeCell ref="A35:A38"/>
    <mergeCell ref="G35:G38"/>
    <mergeCell ref="A39:A42"/>
    <mergeCell ref="A43:A46"/>
    <mergeCell ref="A47:A50"/>
    <mergeCell ref="G47:G50"/>
    <mergeCell ref="A51:A54"/>
    <mergeCell ref="G51:G54"/>
    <mergeCell ref="G39:G46"/>
    <mergeCell ref="A55:A58"/>
    <mergeCell ref="G55:G58"/>
    <mergeCell ref="A59:A62"/>
    <mergeCell ref="G59:G62"/>
    <mergeCell ref="A63:A66"/>
    <mergeCell ref="G63:G66"/>
    <mergeCell ref="A67:A70"/>
    <mergeCell ref="G67:G70"/>
    <mergeCell ref="A71:A74"/>
    <mergeCell ref="A75:A78"/>
    <mergeCell ref="G71:G78"/>
    <mergeCell ref="A79:A82"/>
    <mergeCell ref="A83:A86"/>
    <mergeCell ref="A87:A90"/>
    <mergeCell ref="G79:G86"/>
    <mergeCell ref="G87:G94"/>
    <mergeCell ref="A91:A94"/>
    <mergeCell ref="A95:A98"/>
    <mergeCell ref="G95:G98"/>
    <mergeCell ref="A99:A102"/>
    <mergeCell ref="G99:G102"/>
    <mergeCell ref="A103:A106"/>
    <mergeCell ref="A107:A110"/>
    <mergeCell ref="A111:A114"/>
    <mergeCell ref="G111:G114"/>
    <mergeCell ref="A130:G130"/>
    <mergeCell ref="G103:G106"/>
    <mergeCell ref="G107:G110"/>
    <mergeCell ref="A115:A118"/>
    <mergeCell ref="G115:G118"/>
    <mergeCell ref="A119:A122"/>
    <mergeCell ref="G119:G122"/>
    <mergeCell ref="A123:A126"/>
    <mergeCell ref="G123:G126"/>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G130"/>
  <sheetViews>
    <sheetView workbookViewId="0">
      <pane ySplit="2" topLeftCell="A109" activePane="bottomLeft" state="frozen"/>
      <selection pane="bottomLeft" activeCell="D121" sqref="D121"/>
    </sheetView>
  </sheetViews>
  <sheetFormatPr defaultRowHeight="15" x14ac:dyDescent="0.25"/>
  <cols>
    <col min="1" max="1" width="47.7109375" customWidth="1"/>
    <col min="2" max="2" width="25" customWidth="1"/>
    <col min="4" max="4" width="9.140625" style="1"/>
    <col min="7" max="7" width="54.7109375" customWidth="1"/>
  </cols>
  <sheetData>
    <row r="1" spans="1:7" ht="21.75" thickBot="1" x14ac:dyDescent="0.4">
      <c r="A1" s="1443" t="s">
        <v>73</v>
      </c>
      <c r="B1" s="1443"/>
      <c r="C1" s="1443"/>
      <c r="D1" s="1443"/>
      <c r="E1" s="1443"/>
      <c r="F1" s="1443"/>
      <c r="G1" s="1443"/>
    </row>
    <row r="2" spans="1:7" ht="16.5" thickBot="1" x14ac:dyDescent="0.3">
      <c r="A2" s="108" t="s">
        <v>98</v>
      </c>
      <c r="B2" s="608"/>
      <c r="C2" s="607" t="s">
        <v>310</v>
      </c>
      <c r="D2" s="607" t="s">
        <v>239</v>
      </c>
      <c r="E2" s="447" t="s">
        <v>100</v>
      </c>
      <c r="F2" s="682" t="s">
        <v>157</v>
      </c>
      <c r="G2" s="111" t="s">
        <v>101</v>
      </c>
    </row>
    <row r="3" spans="1:7" ht="18.75" customHeight="1" thickBot="1" x14ac:dyDescent="0.3">
      <c r="A3" s="1436">
        <v>44713</v>
      </c>
      <c r="B3" s="453" t="s">
        <v>17</v>
      </c>
      <c r="C3" s="709">
        <v>1</v>
      </c>
      <c r="D3" s="709">
        <v>1</v>
      </c>
      <c r="E3" s="709">
        <v>1</v>
      </c>
      <c r="F3" s="709">
        <v>1</v>
      </c>
      <c r="G3" s="1453" t="s">
        <v>3000</v>
      </c>
    </row>
    <row r="4" spans="1:7" ht="18.75" customHeight="1" thickBot="1" x14ac:dyDescent="0.3">
      <c r="A4" s="1437"/>
      <c r="B4" s="453" t="s">
        <v>102</v>
      </c>
      <c r="C4" s="733">
        <f t="shared" ref="C4:D4" si="0">24-C5-C6</f>
        <v>12.7</v>
      </c>
      <c r="D4" s="733">
        <f t="shared" si="0"/>
        <v>14.75</v>
      </c>
      <c r="E4" s="733">
        <f>24-E5-E6</f>
        <v>24</v>
      </c>
      <c r="F4" s="733">
        <f>24-F5-F6</f>
        <v>24</v>
      </c>
      <c r="G4" s="1418"/>
    </row>
    <row r="5" spans="1:7" ht="18.75" customHeight="1" thickBot="1" x14ac:dyDescent="0.3">
      <c r="A5" s="1437"/>
      <c r="B5" s="448" t="s">
        <v>103</v>
      </c>
      <c r="C5" s="612">
        <v>11.3</v>
      </c>
      <c r="D5" s="612">
        <v>9.25</v>
      </c>
      <c r="E5" s="731">
        <v>0</v>
      </c>
      <c r="F5" s="731">
        <v>0</v>
      </c>
      <c r="G5" s="1418"/>
    </row>
    <row r="6" spans="1:7" ht="18.75" customHeight="1" thickBot="1" x14ac:dyDescent="0.3">
      <c r="A6" s="1438"/>
      <c r="B6" s="457" t="s">
        <v>104</v>
      </c>
      <c r="C6" s="576">
        <v>0</v>
      </c>
      <c r="D6" s="576">
        <v>0</v>
      </c>
      <c r="E6" s="734">
        <v>0</v>
      </c>
      <c r="F6" s="734">
        <v>0</v>
      </c>
      <c r="G6" s="1423"/>
    </row>
    <row r="7" spans="1:7" ht="27.75" customHeight="1" thickBot="1" x14ac:dyDescent="0.3">
      <c r="A7" s="1436">
        <v>44714</v>
      </c>
      <c r="B7" s="453" t="s">
        <v>17</v>
      </c>
      <c r="C7" s="709">
        <v>1</v>
      </c>
      <c r="D7" s="709">
        <v>1</v>
      </c>
      <c r="E7" s="709">
        <v>1</v>
      </c>
      <c r="F7" s="709">
        <v>1</v>
      </c>
      <c r="G7" s="1417" t="s">
        <v>3211</v>
      </c>
    </row>
    <row r="8" spans="1:7" ht="27.75" customHeight="1" thickBot="1" x14ac:dyDescent="0.3">
      <c r="A8" s="1437"/>
      <c r="B8" s="453" t="s">
        <v>102</v>
      </c>
      <c r="C8" s="733">
        <f t="shared" ref="C8:D8" si="1">24-C9-C10</f>
        <v>0</v>
      </c>
      <c r="D8" s="733">
        <f t="shared" si="1"/>
        <v>12.25</v>
      </c>
      <c r="E8" s="733">
        <f>24-E9-E10</f>
        <v>24</v>
      </c>
      <c r="F8" s="733">
        <f>24-F9-F10</f>
        <v>24</v>
      </c>
      <c r="G8" s="1418"/>
    </row>
    <row r="9" spans="1:7" ht="27.75" customHeight="1" thickBot="1" x14ac:dyDescent="0.3">
      <c r="A9" s="1437"/>
      <c r="B9" s="448" t="s">
        <v>103</v>
      </c>
      <c r="C9" s="612">
        <v>24</v>
      </c>
      <c r="D9" s="612">
        <v>11.75</v>
      </c>
      <c r="E9" s="731">
        <v>0</v>
      </c>
      <c r="F9" s="731">
        <v>0</v>
      </c>
      <c r="G9" s="1418"/>
    </row>
    <row r="10" spans="1:7" ht="27.75" customHeight="1" thickBot="1" x14ac:dyDescent="0.3">
      <c r="A10" s="1438"/>
      <c r="B10" s="457" t="s">
        <v>104</v>
      </c>
      <c r="C10" s="576">
        <v>0</v>
      </c>
      <c r="D10" s="576">
        <v>0</v>
      </c>
      <c r="E10" s="734">
        <v>0</v>
      </c>
      <c r="F10" s="734">
        <v>0</v>
      </c>
      <c r="G10" s="1423"/>
    </row>
    <row r="11" spans="1:7" ht="18.75" customHeight="1" thickBot="1" x14ac:dyDescent="0.3">
      <c r="A11" s="1436">
        <v>44715</v>
      </c>
      <c r="B11" s="453" t="s">
        <v>17</v>
      </c>
      <c r="C11" s="709">
        <v>1</v>
      </c>
      <c r="D11" s="709">
        <v>1</v>
      </c>
      <c r="E11" s="709">
        <v>1</v>
      </c>
      <c r="F11" s="709">
        <v>1</v>
      </c>
      <c r="G11" s="1417"/>
    </row>
    <row r="12" spans="1:7" ht="18.75" customHeight="1" thickBot="1" x14ac:dyDescent="0.3">
      <c r="A12" s="1437"/>
      <c r="B12" s="453" t="s">
        <v>102</v>
      </c>
      <c r="C12" s="733">
        <f t="shared" ref="C12:D12" si="2">24-C13-C14</f>
        <v>0</v>
      </c>
      <c r="D12" s="733">
        <f t="shared" si="2"/>
        <v>24</v>
      </c>
      <c r="E12" s="733">
        <f>24-E13-E14</f>
        <v>24</v>
      </c>
      <c r="F12" s="733">
        <f>24-F13-F14</f>
        <v>24</v>
      </c>
      <c r="G12" s="1418"/>
    </row>
    <row r="13" spans="1:7" ht="18.75" customHeight="1" thickBot="1" x14ac:dyDescent="0.3">
      <c r="A13" s="1437"/>
      <c r="B13" s="448" t="s">
        <v>103</v>
      </c>
      <c r="C13" s="612">
        <v>24</v>
      </c>
      <c r="D13" s="612">
        <v>0</v>
      </c>
      <c r="E13" s="731">
        <v>0</v>
      </c>
      <c r="F13" s="731">
        <v>0</v>
      </c>
      <c r="G13" s="1418"/>
    </row>
    <row r="14" spans="1:7" ht="18.75" customHeight="1" thickBot="1" x14ac:dyDescent="0.3">
      <c r="A14" s="1438"/>
      <c r="B14" s="457" t="s">
        <v>104</v>
      </c>
      <c r="C14" s="576">
        <v>0</v>
      </c>
      <c r="D14" s="576">
        <v>0</v>
      </c>
      <c r="E14" s="734">
        <v>0</v>
      </c>
      <c r="F14" s="734">
        <v>0</v>
      </c>
      <c r="G14" s="1423"/>
    </row>
    <row r="15" spans="1:7" ht="18.75" customHeight="1" thickBot="1" x14ac:dyDescent="0.3">
      <c r="A15" s="1436">
        <v>44716</v>
      </c>
      <c r="B15" s="453" t="s">
        <v>17</v>
      </c>
      <c r="C15" s="709">
        <v>1</v>
      </c>
      <c r="D15" s="709">
        <v>1</v>
      </c>
      <c r="E15" s="709">
        <v>1</v>
      </c>
      <c r="F15" s="709">
        <v>1</v>
      </c>
      <c r="G15" s="1417" t="s">
        <v>3021</v>
      </c>
    </row>
    <row r="16" spans="1:7" ht="18.75" customHeight="1" thickBot="1" x14ac:dyDescent="0.3">
      <c r="A16" s="1437"/>
      <c r="B16" s="453" t="s">
        <v>102</v>
      </c>
      <c r="C16" s="733">
        <f t="shared" ref="C16:D16" si="3">24-C17-C18</f>
        <v>0</v>
      </c>
      <c r="D16" s="733">
        <f t="shared" si="3"/>
        <v>12.89</v>
      </c>
      <c r="E16" s="733">
        <f>24-E17-E18</f>
        <v>24</v>
      </c>
      <c r="F16" s="733">
        <f>24-F17-F18</f>
        <v>24</v>
      </c>
      <c r="G16" s="1418"/>
    </row>
    <row r="17" spans="1:7" ht="18.75" customHeight="1" thickBot="1" x14ac:dyDescent="0.3">
      <c r="A17" s="1437"/>
      <c r="B17" s="448" t="s">
        <v>103</v>
      </c>
      <c r="C17" s="612">
        <v>24</v>
      </c>
      <c r="D17" s="612">
        <v>11.11</v>
      </c>
      <c r="E17" s="731">
        <v>0</v>
      </c>
      <c r="F17" s="731">
        <v>0</v>
      </c>
      <c r="G17" s="1418"/>
    </row>
    <row r="18" spans="1:7" ht="18.75" customHeight="1" thickBot="1" x14ac:dyDescent="0.3">
      <c r="A18" s="1438"/>
      <c r="B18" s="457" t="s">
        <v>104</v>
      </c>
      <c r="C18" s="576">
        <v>0</v>
      </c>
      <c r="D18" s="576">
        <v>0</v>
      </c>
      <c r="E18" s="734">
        <v>0</v>
      </c>
      <c r="F18" s="734">
        <v>0</v>
      </c>
      <c r="G18" s="1423"/>
    </row>
    <row r="19" spans="1:7" ht="18.75" customHeight="1" thickBot="1" x14ac:dyDescent="0.3">
      <c r="A19" s="1436">
        <v>44717</v>
      </c>
      <c r="B19" s="453" t="s">
        <v>17</v>
      </c>
      <c r="C19" s="709">
        <v>1</v>
      </c>
      <c r="D19" s="709">
        <v>1</v>
      </c>
      <c r="E19" s="709">
        <v>1</v>
      </c>
      <c r="F19" s="709">
        <v>1</v>
      </c>
      <c r="G19" s="1453"/>
    </row>
    <row r="20" spans="1:7" ht="18.75" customHeight="1" thickBot="1" x14ac:dyDescent="0.3">
      <c r="A20" s="1437"/>
      <c r="B20" s="453" t="s">
        <v>102</v>
      </c>
      <c r="C20" s="733">
        <f t="shared" ref="C20:D20" si="4">24-C21-C22</f>
        <v>0</v>
      </c>
      <c r="D20" s="733">
        <f t="shared" si="4"/>
        <v>24</v>
      </c>
      <c r="E20" s="733">
        <f>24-E21-E22</f>
        <v>24</v>
      </c>
      <c r="F20" s="733">
        <f>24-F21-F22</f>
        <v>24</v>
      </c>
      <c r="G20" s="1418"/>
    </row>
    <row r="21" spans="1:7" ht="18.75" customHeight="1" thickBot="1" x14ac:dyDescent="0.3">
      <c r="A21" s="1437"/>
      <c r="B21" s="448" t="s">
        <v>103</v>
      </c>
      <c r="C21" s="612">
        <v>24</v>
      </c>
      <c r="D21" s="612">
        <v>0</v>
      </c>
      <c r="E21" s="731">
        <v>0</v>
      </c>
      <c r="F21" s="731">
        <v>0</v>
      </c>
      <c r="G21" s="1418"/>
    </row>
    <row r="22" spans="1:7" ht="18.75" customHeight="1" thickBot="1" x14ac:dyDescent="0.3">
      <c r="A22" s="1438"/>
      <c r="B22" s="457" t="s">
        <v>104</v>
      </c>
      <c r="C22" s="576">
        <v>0</v>
      </c>
      <c r="D22" s="576">
        <v>0</v>
      </c>
      <c r="E22" s="734">
        <v>0</v>
      </c>
      <c r="F22" s="734">
        <v>0</v>
      </c>
      <c r="G22" s="1423"/>
    </row>
    <row r="23" spans="1:7" ht="18.75" customHeight="1" thickBot="1" x14ac:dyDescent="0.3">
      <c r="A23" s="1436">
        <v>44718</v>
      </c>
      <c r="B23" s="453" t="s">
        <v>17</v>
      </c>
      <c r="C23" s="709">
        <v>1</v>
      </c>
      <c r="D23" s="709">
        <v>1</v>
      </c>
      <c r="E23" s="709">
        <v>1</v>
      </c>
      <c r="F23" s="709">
        <v>1</v>
      </c>
      <c r="G23" s="1453" t="s">
        <v>3029</v>
      </c>
    </row>
    <row r="24" spans="1:7" ht="18.75" customHeight="1" thickBot="1" x14ac:dyDescent="0.3">
      <c r="A24" s="1437"/>
      <c r="B24" s="453" t="s">
        <v>102</v>
      </c>
      <c r="C24" s="733">
        <f t="shared" ref="C24:D24" si="5">24-C25-C26</f>
        <v>0</v>
      </c>
      <c r="D24" s="733">
        <f t="shared" si="5"/>
        <v>8.5500000000000007</v>
      </c>
      <c r="E24" s="733">
        <f>24-E25-E26</f>
        <v>24</v>
      </c>
      <c r="F24" s="733">
        <f>24-F25-F26</f>
        <v>24</v>
      </c>
      <c r="G24" s="1418"/>
    </row>
    <row r="25" spans="1:7" ht="18.75" customHeight="1" thickBot="1" x14ac:dyDescent="0.3">
      <c r="A25" s="1437"/>
      <c r="B25" s="448" t="s">
        <v>103</v>
      </c>
      <c r="C25" s="612">
        <v>24</v>
      </c>
      <c r="D25" s="612">
        <v>15.45</v>
      </c>
      <c r="E25" s="731">
        <v>0</v>
      </c>
      <c r="F25" s="731">
        <v>0</v>
      </c>
      <c r="G25" s="1418"/>
    </row>
    <row r="26" spans="1:7" ht="18.75" customHeight="1" thickBot="1" x14ac:dyDescent="0.3">
      <c r="A26" s="1438"/>
      <c r="B26" s="457" t="s">
        <v>104</v>
      </c>
      <c r="C26" s="576">
        <v>0</v>
      </c>
      <c r="D26" s="576">
        <v>0</v>
      </c>
      <c r="E26" s="734">
        <v>0</v>
      </c>
      <c r="F26" s="734">
        <v>0</v>
      </c>
      <c r="G26" s="1423"/>
    </row>
    <row r="27" spans="1:7" ht="18.75" customHeight="1" thickBot="1" x14ac:dyDescent="0.3">
      <c r="A27" s="1436">
        <v>44719</v>
      </c>
      <c r="B27" s="453" t="s">
        <v>17</v>
      </c>
      <c r="C27" s="709">
        <v>1</v>
      </c>
      <c r="D27" s="709">
        <v>1</v>
      </c>
      <c r="E27" s="709">
        <v>1</v>
      </c>
      <c r="F27" s="709">
        <v>1</v>
      </c>
      <c r="G27" s="1453" t="s">
        <v>3043</v>
      </c>
    </row>
    <row r="28" spans="1:7" ht="18.75" customHeight="1" thickBot="1" x14ac:dyDescent="0.3">
      <c r="A28" s="1437"/>
      <c r="B28" s="453" t="s">
        <v>102</v>
      </c>
      <c r="C28" s="733">
        <f t="shared" ref="C28:D28" si="6">24-C29-C30</f>
        <v>9.5</v>
      </c>
      <c r="D28" s="733">
        <f t="shared" si="6"/>
        <v>18.170000000000002</v>
      </c>
      <c r="E28" s="733">
        <f>24-E29-E30</f>
        <v>24</v>
      </c>
      <c r="F28" s="733">
        <f>24-F29-F30</f>
        <v>24</v>
      </c>
      <c r="G28" s="1448"/>
    </row>
    <row r="29" spans="1:7" ht="18.75" customHeight="1" thickBot="1" x14ac:dyDescent="0.3">
      <c r="A29" s="1437"/>
      <c r="B29" s="448" t="s">
        <v>103</v>
      </c>
      <c r="C29" s="612">
        <v>14.5</v>
      </c>
      <c r="D29" s="612">
        <v>5.83</v>
      </c>
      <c r="E29" s="731">
        <v>0</v>
      </c>
      <c r="F29" s="731">
        <v>0</v>
      </c>
      <c r="G29" s="1448"/>
    </row>
    <row r="30" spans="1:7" ht="18.75" customHeight="1" thickBot="1" x14ac:dyDescent="0.3">
      <c r="A30" s="1438"/>
      <c r="B30" s="457" t="s">
        <v>104</v>
      </c>
      <c r="C30" s="576">
        <v>0</v>
      </c>
      <c r="D30" s="576">
        <v>0</v>
      </c>
      <c r="E30" s="734">
        <v>0</v>
      </c>
      <c r="F30" s="734">
        <v>0</v>
      </c>
      <c r="G30" s="1448"/>
    </row>
    <row r="31" spans="1:7" ht="18.75" customHeight="1" thickBot="1" x14ac:dyDescent="0.3">
      <c r="A31" s="1436">
        <v>44720</v>
      </c>
      <c r="B31" s="453" t="s">
        <v>17</v>
      </c>
      <c r="C31" s="709">
        <v>1</v>
      </c>
      <c r="D31" s="709">
        <v>1</v>
      </c>
      <c r="E31" s="709">
        <v>1</v>
      </c>
      <c r="F31" s="709">
        <v>1</v>
      </c>
      <c r="G31" s="1448"/>
    </row>
    <row r="32" spans="1:7" ht="18.75" customHeight="1" thickBot="1" x14ac:dyDescent="0.3">
      <c r="A32" s="1437"/>
      <c r="B32" s="453" t="s">
        <v>102</v>
      </c>
      <c r="C32" s="733">
        <f t="shared" ref="C32:D32" si="7">24-C33-C34</f>
        <v>24</v>
      </c>
      <c r="D32" s="733">
        <f t="shared" si="7"/>
        <v>7.1700000000000017</v>
      </c>
      <c r="E32" s="733">
        <f>24-E33-E34</f>
        <v>24</v>
      </c>
      <c r="F32" s="733">
        <f>24-F33-F34</f>
        <v>24</v>
      </c>
      <c r="G32" s="1448"/>
    </row>
    <row r="33" spans="1:7" ht="18.75" customHeight="1" thickBot="1" x14ac:dyDescent="0.3">
      <c r="A33" s="1437"/>
      <c r="B33" s="448" t="s">
        <v>103</v>
      </c>
      <c r="C33" s="612">
        <v>0</v>
      </c>
      <c r="D33" s="612">
        <v>16.829999999999998</v>
      </c>
      <c r="E33" s="731">
        <v>0</v>
      </c>
      <c r="F33" s="731">
        <v>0</v>
      </c>
      <c r="G33" s="1448"/>
    </row>
    <row r="34" spans="1:7" ht="18.75" customHeight="1" thickBot="1" x14ac:dyDescent="0.3">
      <c r="A34" s="1438"/>
      <c r="B34" s="457" t="s">
        <v>104</v>
      </c>
      <c r="C34" s="576">
        <v>0</v>
      </c>
      <c r="D34" s="576">
        <v>0</v>
      </c>
      <c r="E34" s="734">
        <v>0</v>
      </c>
      <c r="F34" s="734">
        <v>0</v>
      </c>
      <c r="G34" s="1449"/>
    </row>
    <row r="35" spans="1:7" ht="18.75" customHeight="1" thickBot="1" x14ac:dyDescent="0.3">
      <c r="A35" s="1436">
        <v>44721</v>
      </c>
      <c r="B35" s="453" t="s">
        <v>17</v>
      </c>
      <c r="C35" s="709">
        <v>1</v>
      </c>
      <c r="D35" s="709">
        <v>1</v>
      </c>
      <c r="E35" s="709">
        <v>1</v>
      </c>
      <c r="F35" s="709">
        <v>1</v>
      </c>
      <c r="G35" s="1453" t="s">
        <v>3052</v>
      </c>
    </row>
    <row r="36" spans="1:7" ht="18.75" customHeight="1" thickBot="1" x14ac:dyDescent="0.3">
      <c r="A36" s="1437"/>
      <c r="B36" s="453" t="s">
        <v>102</v>
      </c>
      <c r="C36" s="733">
        <f t="shared" ref="C36:D36" si="8">24-C37-C38</f>
        <v>5</v>
      </c>
      <c r="D36" s="733">
        <f t="shared" si="8"/>
        <v>24</v>
      </c>
      <c r="E36" s="733">
        <f>24-E37-E38</f>
        <v>24</v>
      </c>
      <c r="F36" s="733">
        <f>24-F37-F38</f>
        <v>5.25</v>
      </c>
      <c r="G36" s="1418"/>
    </row>
    <row r="37" spans="1:7" ht="18.75" customHeight="1" thickBot="1" x14ac:dyDescent="0.3">
      <c r="A37" s="1437"/>
      <c r="B37" s="448" t="s">
        <v>103</v>
      </c>
      <c r="C37" s="612">
        <v>19</v>
      </c>
      <c r="D37" s="612">
        <v>0</v>
      </c>
      <c r="E37" s="731">
        <v>0</v>
      </c>
      <c r="F37" s="731">
        <v>18.75</v>
      </c>
      <c r="G37" s="1418"/>
    </row>
    <row r="38" spans="1:7" ht="18.75" customHeight="1" thickBot="1" x14ac:dyDescent="0.3">
      <c r="A38" s="1438"/>
      <c r="B38" s="457" t="s">
        <v>104</v>
      </c>
      <c r="C38" s="576">
        <v>0</v>
      </c>
      <c r="D38" s="576">
        <v>0</v>
      </c>
      <c r="E38" s="734">
        <v>0</v>
      </c>
      <c r="F38" s="734">
        <v>0</v>
      </c>
      <c r="G38" s="1423"/>
    </row>
    <row r="39" spans="1:7" ht="18.75" customHeight="1" thickBot="1" x14ac:dyDescent="0.3">
      <c r="A39" s="1436">
        <v>44722</v>
      </c>
      <c r="B39" s="453" t="s">
        <v>17</v>
      </c>
      <c r="C39" s="709">
        <v>1</v>
      </c>
      <c r="D39" s="709">
        <v>1</v>
      </c>
      <c r="E39" s="709">
        <v>1</v>
      </c>
      <c r="F39" s="709">
        <v>1</v>
      </c>
      <c r="G39" s="1453" t="s">
        <v>3062</v>
      </c>
    </row>
    <row r="40" spans="1:7" ht="18.75" customHeight="1" thickBot="1" x14ac:dyDescent="0.3">
      <c r="A40" s="1437"/>
      <c r="B40" s="453" t="s">
        <v>102</v>
      </c>
      <c r="C40" s="733">
        <f t="shared" ref="C40:D40" si="9">24-C41-C42</f>
        <v>0</v>
      </c>
      <c r="D40" s="733">
        <f t="shared" si="9"/>
        <v>24</v>
      </c>
      <c r="E40" s="733">
        <f>24-E41-E42</f>
        <v>24</v>
      </c>
      <c r="F40" s="733">
        <f>24-F41-F42</f>
        <v>14.89</v>
      </c>
      <c r="G40" s="1418"/>
    </row>
    <row r="41" spans="1:7" ht="27.75" customHeight="1" thickBot="1" x14ac:dyDescent="0.3">
      <c r="A41" s="1437"/>
      <c r="B41" s="448" t="s">
        <v>103</v>
      </c>
      <c r="C41" s="612">
        <v>24</v>
      </c>
      <c r="D41" s="612">
        <v>0</v>
      </c>
      <c r="E41" s="731">
        <v>0</v>
      </c>
      <c r="F41" s="731">
        <v>9.11</v>
      </c>
      <c r="G41" s="1418"/>
    </row>
    <row r="42" spans="1:7" ht="120" customHeight="1" thickBot="1" x14ac:dyDescent="0.3">
      <c r="A42" s="1438"/>
      <c r="B42" s="457" t="s">
        <v>104</v>
      </c>
      <c r="C42" s="576">
        <v>0</v>
      </c>
      <c r="D42" s="576">
        <v>0</v>
      </c>
      <c r="E42" s="734">
        <v>0</v>
      </c>
      <c r="F42" s="734">
        <v>0</v>
      </c>
      <c r="G42" s="1423"/>
    </row>
    <row r="43" spans="1:7" ht="18.75" customHeight="1" thickBot="1" x14ac:dyDescent="0.3">
      <c r="A43" s="1436">
        <v>44723</v>
      </c>
      <c r="B43" s="453" t="s">
        <v>17</v>
      </c>
      <c r="C43" s="709">
        <v>1</v>
      </c>
      <c r="D43" s="709">
        <v>1</v>
      </c>
      <c r="E43" s="709">
        <v>1</v>
      </c>
      <c r="F43" s="709">
        <v>1</v>
      </c>
      <c r="G43" s="1453" t="s">
        <v>3069</v>
      </c>
    </row>
    <row r="44" spans="1:7" ht="18.75" customHeight="1" thickBot="1" x14ac:dyDescent="0.3">
      <c r="A44" s="1437"/>
      <c r="B44" s="453" t="s">
        <v>102</v>
      </c>
      <c r="C44" s="733">
        <f t="shared" ref="C44:D44" si="10">24-C45-C46</f>
        <v>0</v>
      </c>
      <c r="D44" s="733">
        <f t="shared" si="10"/>
        <v>16.170000000000002</v>
      </c>
      <c r="E44" s="733">
        <f>24-E45-E46</f>
        <v>24</v>
      </c>
      <c r="F44" s="733">
        <f>24-F45-F46</f>
        <v>24</v>
      </c>
      <c r="G44" s="1418"/>
    </row>
    <row r="45" spans="1:7" ht="18.75" customHeight="1" thickBot="1" x14ac:dyDescent="0.3">
      <c r="A45" s="1437"/>
      <c r="B45" s="448" t="s">
        <v>103</v>
      </c>
      <c r="C45" s="612">
        <v>24</v>
      </c>
      <c r="D45" s="612">
        <v>7.83</v>
      </c>
      <c r="E45" s="731">
        <v>0</v>
      </c>
      <c r="F45" s="731">
        <v>0</v>
      </c>
      <c r="G45" s="1418"/>
    </row>
    <row r="46" spans="1:7" ht="18.75" customHeight="1" thickBot="1" x14ac:dyDescent="0.3">
      <c r="A46" s="1438"/>
      <c r="B46" s="457" t="s">
        <v>104</v>
      </c>
      <c r="C46" s="576">
        <v>0</v>
      </c>
      <c r="D46" s="576">
        <v>0</v>
      </c>
      <c r="E46" s="734">
        <v>0</v>
      </c>
      <c r="F46" s="734">
        <v>0</v>
      </c>
      <c r="G46" s="1423"/>
    </row>
    <row r="47" spans="1:7" ht="18.75" customHeight="1" thickBot="1" x14ac:dyDescent="0.3">
      <c r="A47" s="1436">
        <v>44724</v>
      </c>
      <c r="B47" s="453" t="s">
        <v>17</v>
      </c>
      <c r="C47" s="709">
        <v>1</v>
      </c>
      <c r="D47" s="709">
        <v>1</v>
      </c>
      <c r="E47" s="709">
        <v>1</v>
      </c>
      <c r="F47" s="709">
        <v>1</v>
      </c>
      <c r="G47" s="1453"/>
    </row>
    <row r="48" spans="1:7" ht="18.75" customHeight="1" thickBot="1" x14ac:dyDescent="0.3">
      <c r="A48" s="1437"/>
      <c r="B48" s="453" t="s">
        <v>102</v>
      </c>
      <c r="C48" s="733">
        <f t="shared" ref="C48:D48" si="11">24-C49-C50</f>
        <v>0</v>
      </c>
      <c r="D48" s="733">
        <f t="shared" si="11"/>
        <v>24</v>
      </c>
      <c r="E48" s="733">
        <f>24-E49-E50</f>
        <v>24</v>
      </c>
      <c r="F48" s="733">
        <f>24-F49-F50</f>
        <v>24</v>
      </c>
      <c r="G48" s="1418"/>
    </row>
    <row r="49" spans="1:7" ht="18.75" customHeight="1" thickBot="1" x14ac:dyDescent="0.3">
      <c r="A49" s="1437"/>
      <c r="B49" s="448" t="s">
        <v>103</v>
      </c>
      <c r="C49" s="612">
        <v>24</v>
      </c>
      <c r="D49" s="612">
        <v>0</v>
      </c>
      <c r="E49" s="731">
        <v>0</v>
      </c>
      <c r="F49" s="731">
        <v>0</v>
      </c>
      <c r="G49" s="1418"/>
    </row>
    <row r="50" spans="1:7" ht="18.75" customHeight="1" thickBot="1" x14ac:dyDescent="0.3">
      <c r="A50" s="1438"/>
      <c r="B50" s="457" t="s">
        <v>104</v>
      </c>
      <c r="C50" s="576">
        <v>0</v>
      </c>
      <c r="D50" s="576">
        <v>0</v>
      </c>
      <c r="E50" s="734">
        <v>0</v>
      </c>
      <c r="F50" s="734">
        <v>0</v>
      </c>
      <c r="G50" s="1423"/>
    </row>
    <row r="51" spans="1:7" ht="18.75" customHeight="1" thickBot="1" x14ac:dyDescent="0.3">
      <c r="A51" s="1436">
        <v>44725</v>
      </c>
      <c r="B51" s="453" t="s">
        <v>17</v>
      </c>
      <c r="C51" s="709">
        <v>1</v>
      </c>
      <c r="D51" s="709">
        <v>1</v>
      </c>
      <c r="E51" s="709">
        <v>1</v>
      </c>
      <c r="F51" s="709">
        <v>1</v>
      </c>
      <c r="G51" s="1417" t="s">
        <v>3210</v>
      </c>
    </row>
    <row r="52" spans="1:7" ht="18.75" customHeight="1" thickBot="1" x14ac:dyDescent="0.3">
      <c r="A52" s="1437"/>
      <c r="B52" s="453" t="s">
        <v>102</v>
      </c>
      <c r="C52" s="733">
        <f t="shared" ref="C52:D52" si="12">24-C53-C54</f>
        <v>7.5300000000000011</v>
      </c>
      <c r="D52" s="733">
        <f t="shared" si="12"/>
        <v>15.2</v>
      </c>
      <c r="E52" s="733">
        <f>24-E53-E54</f>
        <v>24</v>
      </c>
      <c r="F52" s="733">
        <f>24-F53-F54</f>
        <v>24</v>
      </c>
      <c r="G52" s="1418"/>
    </row>
    <row r="53" spans="1:7" ht="18.75" customHeight="1" thickBot="1" x14ac:dyDescent="0.3">
      <c r="A53" s="1437"/>
      <c r="B53" s="448" t="s">
        <v>103</v>
      </c>
      <c r="C53" s="612">
        <v>16.47</v>
      </c>
      <c r="D53" s="612">
        <v>8.8000000000000007</v>
      </c>
      <c r="E53" s="731">
        <v>0</v>
      </c>
      <c r="F53" s="731">
        <v>0</v>
      </c>
      <c r="G53" s="1418"/>
    </row>
    <row r="54" spans="1:7" ht="18.75" customHeight="1" thickBot="1" x14ac:dyDescent="0.3">
      <c r="A54" s="1438"/>
      <c r="B54" s="457" t="s">
        <v>104</v>
      </c>
      <c r="C54" s="576">
        <v>0</v>
      </c>
      <c r="D54" s="576">
        <v>0</v>
      </c>
      <c r="E54" s="734">
        <v>0</v>
      </c>
      <c r="F54" s="734">
        <v>0</v>
      </c>
      <c r="G54" s="1423"/>
    </row>
    <row r="55" spans="1:7" ht="18.75" customHeight="1" thickBot="1" x14ac:dyDescent="0.3">
      <c r="A55" s="1436">
        <v>44726</v>
      </c>
      <c r="B55" s="453" t="s">
        <v>17</v>
      </c>
      <c r="C55" s="709">
        <v>1</v>
      </c>
      <c r="D55" s="709">
        <v>1</v>
      </c>
      <c r="E55" s="709">
        <v>1</v>
      </c>
      <c r="F55" s="709">
        <v>1</v>
      </c>
      <c r="G55" s="1417" t="s">
        <v>3111</v>
      </c>
    </row>
    <row r="56" spans="1:7" ht="18.75" customHeight="1" thickBot="1" x14ac:dyDescent="0.3">
      <c r="A56" s="1437"/>
      <c r="B56" s="453" t="s">
        <v>102</v>
      </c>
      <c r="C56" s="733">
        <f t="shared" ref="C56:D56" si="13">24-C57-C58</f>
        <v>24</v>
      </c>
      <c r="D56" s="733">
        <f t="shared" si="13"/>
        <v>22.75</v>
      </c>
      <c r="E56" s="733">
        <f>24-E57-E58</f>
        <v>24</v>
      </c>
      <c r="F56" s="733">
        <f>24-F57-F58</f>
        <v>24</v>
      </c>
      <c r="G56" s="1418"/>
    </row>
    <row r="57" spans="1:7" ht="18.75" customHeight="1" thickBot="1" x14ac:dyDescent="0.3">
      <c r="A57" s="1437"/>
      <c r="B57" s="448" t="s">
        <v>103</v>
      </c>
      <c r="C57" s="612">
        <v>0</v>
      </c>
      <c r="D57" s="612">
        <v>1.25</v>
      </c>
      <c r="E57" s="731">
        <v>0</v>
      </c>
      <c r="F57" s="731">
        <v>0</v>
      </c>
      <c r="G57" s="1418"/>
    </row>
    <row r="58" spans="1:7" ht="18.75" customHeight="1" thickBot="1" x14ac:dyDescent="0.3">
      <c r="A58" s="1438"/>
      <c r="B58" s="457" t="s">
        <v>104</v>
      </c>
      <c r="C58" s="576">
        <v>0</v>
      </c>
      <c r="D58" s="576">
        <v>0</v>
      </c>
      <c r="E58" s="734">
        <v>0</v>
      </c>
      <c r="F58" s="734">
        <v>0</v>
      </c>
      <c r="G58" s="1418"/>
    </row>
    <row r="59" spans="1:7" ht="18.75" customHeight="1" thickBot="1" x14ac:dyDescent="0.3">
      <c r="A59" s="1436">
        <v>44727</v>
      </c>
      <c r="B59" s="453" t="s">
        <v>17</v>
      </c>
      <c r="C59" s="709">
        <v>1</v>
      </c>
      <c r="D59" s="709">
        <v>1</v>
      </c>
      <c r="E59" s="709">
        <v>1</v>
      </c>
      <c r="F59" s="709">
        <v>1</v>
      </c>
      <c r="G59" s="1418"/>
    </row>
    <row r="60" spans="1:7" ht="18.75" customHeight="1" thickBot="1" x14ac:dyDescent="0.3">
      <c r="A60" s="1437"/>
      <c r="B60" s="453" t="s">
        <v>102</v>
      </c>
      <c r="C60" s="733">
        <f t="shared" ref="C60:D60" si="14">24-C61-C62</f>
        <v>21</v>
      </c>
      <c r="D60" s="733">
        <f t="shared" si="14"/>
        <v>8.25</v>
      </c>
      <c r="E60" s="733">
        <f>24-E61-E62</f>
        <v>24</v>
      </c>
      <c r="F60" s="733">
        <f>24-F61-F62</f>
        <v>24</v>
      </c>
      <c r="G60" s="1418"/>
    </row>
    <row r="61" spans="1:7" ht="18.75" customHeight="1" thickBot="1" x14ac:dyDescent="0.3">
      <c r="A61" s="1437"/>
      <c r="B61" s="448" t="s">
        <v>103</v>
      </c>
      <c r="C61" s="612">
        <v>3</v>
      </c>
      <c r="D61" s="612">
        <v>15.75</v>
      </c>
      <c r="E61" s="731">
        <v>0</v>
      </c>
      <c r="F61" s="731">
        <v>0</v>
      </c>
      <c r="G61" s="1418"/>
    </row>
    <row r="62" spans="1:7" ht="18.75" customHeight="1" thickBot="1" x14ac:dyDescent="0.3">
      <c r="A62" s="1438"/>
      <c r="B62" s="457" t="s">
        <v>104</v>
      </c>
      <c r="C62" s="576">
        <v>0</v>
      </c>
      <c r="D62" s="576">
        <v>0</v>
      </c>
      <c r="E62" s="734">
        <v>0</v>
      </c>
      <c r="F62" s="734">
        <v>0</v>
      </c>
      <c r="G62" s="1423"/>
    </row>
    <row r="63" spans="1:7" ht="18.75" customHeight="1" thickBot="1" x14ac:dyDescent="0.3">
      <c r="A63" s="1436">
        <v>44728</v>
      </c>
      <c r="B63" s="453" t="s">
        <v>17</v>
      </c>
      <c r="C63" s="709">
        <v>1</v>
      </c>
      <c r="D63" s="709">
        <v>1</v>
      </c>
      <c r="E63" s="709">
        <v>1</v>
      </c>
      <c r="F63" s="709">
        <v>1</v>
      </c>
      <c r="G63" s="1417"/>
    </row>
    <row r="64" spans="1:7" ht="18.75" customHeight="1" thickBot="1" x14ac:dyDescent="0.3">
      <c r="A64" s="1437"/>
      <c r="B64" s="453" t="s">
        <v>102</v>
      </c>
      <c r="C64" s="733">
        <f t="shared" ref="C64:D64" si="15">24-C65-C66</f>
        <v>0</v>
      </c>
      <c r="D64" s="733">
        <f t="shared" si="15"/>
        <v>24</v>
      </c>
      <c r="E64" s="733">
        <f>24-E65-E66</f>
        <v>24</v>
      </c>
      <c r="F64" s="733">
        <f>24-F65-F66</f>
        <v>24</v>
      </c>
      <c r="G64" s="1418"/>
    </row>
    <row r="65" spans="1:7" ht="18.75" customHeight="1" thickBot="1" x14ac:dyDescent="0.3">
      <c r="A65" s="1437"/>
      <c r="B65" s="448" t="s">
        <v>103</v>
      </c>
      <c r="C65" s="612">
        <v>24</v>
      </c>
      <c r="D65" s="612">
        <v>0</v>
      </c>
      <c r="E65" s="731">
        <v>0</v>
      </c>
      <c r="F65" s="731">
        <v>0</v>
      </c>
      <c r="G65" s="1418"/>
    </row>
    <row r="66" spans="1:7" ht="18.75" customHeight="1" thickBot="1" x14ac:dyDescent="0.3">
      <c r="A66" s="1438"/>
      <c r="B66" s="457" t="s">
        <v>104</v>
      </c>
      <c r="C66" s="576">
        <v>0</v>
      </c>
      <c r="D66" s="576">
        <v>0</v>
      </c>
      <c r="E66" s="734">
        <v>0</v>
      </c>
      <c r="F66" s="734">
        <v>0</v>
      </c>
      <c r="G66" s="1423"/>
    </row>
    <row r="67" spans="1:7" ht="18.75" customHeight="1" thickBot="1" x14ac:dyDescent="0.3">
      <c r="A67" s="1436">
        <v>44729</v>
      </c>
      <c r="B67" s="453" t="s">
        <v>17</v>
      </c>
      <c r="C67" s="709">
        <v>1</v>
      </c>
      <c r="D67" s="709">
        <v>1</v>
      </c>
      <c r="E67" s="709">
        <v>1</v>
      </c>
      <c r="F67" s="709">
        <v>1</v>
      </c>
      <c r="G67" s="1417" t="s">
        <v>3115</v>
      </c>
    </row>
    <row r="68" spans="1:7" ht="18.75" customHeight="1" thickBot="1" x14ac:dyDescent="0.3">
      <c r="A68" s="1437"/>
      <c r="B68" s="453" t="s">
        <v>102</v>
      </c>
      <c r="C68" s="733">
        <f t="shared" ref="C68:D68" si="16">24-C69-C70</f>
        <v>0</v>
      </c>
      <c r="D68" s="733">
        <f t="shared" si="16"/>
        <v>14.08</v>
      </c>
      <c r="E68" s="733">
        <f>24-E69-E70</f>
        <v>24</v>
      </c>
      <c r="F68" s="733">
        <f>24-F69-F70</f>
        <v>24</v>
      </c>
      <c r="G68" s="1418"/>
    </row>
    <row r="69" spans="1:7" ht="18.75" customHeight="1" thickBot="1" x14ac:dyDescent="0.3">
      <c r="A69" s="1437"/>
      <c r="B69" s="448" t="s">
        <v>103</v>
      </c>
      <c r="C69" s="612">
        <v>24</v>
      </c>
      <c r="D69" s="612">
        <v>9.92</v>
      </c>
      <c r="E69" s="731">
        <v>0</v>
      </c>
      <c r="F69" s="731">
        <v>0</v>
      </c>
      <c r="G69" s="1418"/>
    </row>
    <row r="70" spans="1:7" ht="18.75" customHeight="1" thickBot="1" x14ac:dyDescent="0.3">
      <c r="A70" s="1438"/>
      <c r="B70" s="457" t="s">
        <v>104</v>
      </c>
      <c r="C70" s="576">
        <v>0</v>
      </c>
      <c r="D70" s="576">
        <v>0</v>
      </c>
      <c r="E70" s="734">
        <v>0</v>
      </c>
      <c r="F70" s="734">
        <v>0</v>
      </c>
      <c r="G70" s="1423"/>
    </row>
    <row r="71" spans="1:7" ht="18.75" customHeight="1" thickBot="1" x14ac:dyDescent="0.3">
      <c r="A71" s="1436">
        <v>44730</v>
      </c>
      <c r="B71" s="453" t="s">
        <v>17</v>
      </c>
      <c r="C71" s="709">
        <v>1</v>
      </c>
      <c r="D71" s="709">
        <v>1</v>
      </c>
      <c r="E71" s="709">
        <v>1</v>
      </c>
      <c r="F71" s="709">
        <v>1</v>
      </c>
      <c r="G71" s="1417"/>
    </row>
    <row r="72" spans="1:7" ht="18.75" customHeight="1" thickBot="1" x14ac:dyDescent="0.3">
      <c r="A72" s="1437"/>
      <c r="B72" s="453" t="s">
        <v>102</v>
      </c>
      <c r="C72" s="733">
        <f t="shared" ref="C72:D72" si="17">24-C73-C74</f>
        <v>0</v>
      </c>
      <c r="D72" s="733">
        <f t="shared" si="17"/>
        <v>24</v>
      </c>
      <c r="E72" s="733">
        <f>24-E73-E74</f>
        <v>24</v>
      </c>
      <c r="F72" s="733">
        <f>24-F73-F74</f>
        <v>24</v>
      </c>
      <c r="G72" s="1418"/>
    </row>
    <row r="73" spans="1:7" ht="18.75" customHeight="1" thickBot="1" x14ac:dyDescent="0.3">
      <c r="A73" s="1437"/>
      <c r="B73" s="448" t="s">
        <v>103</v>
      </c>
      <c r="C73" s="612">
        <v>24</v>
      </c>
      <c r="D73" s="612">
        <v>0</v>
      </c>
      <c r="E73" s="731">
        <v>0</v>
      </c>
      <c r="F73" s="731">
        <v>0</v>
      </c>
      <c r="G73" s="1418"/>
    </row>
    <row r="74" spans="1:7" ht="18.75" customHeight="1" thickBot="1" x14ac:dyDescent="0.3">
      <c r="A74" s="1438"/>
      <c r="B74" s="457" t="s">
        <v>104</v>
      </c>
      <c r="C74" s="576">
        <v>0</v>
      </c>
      <c r="D74" s="576">
        <v>0</v>
      </c>
      <c r="E74" s="734">
        <v>0</v>
      </c>
      <c r="F74" s="734">
        <v>0</v>
      </c>
      <c r="G74" s="1423"/>
    </row>
    <row r="75" spans="1:7" ht="18.75" customHeight="1" thickBot="1" x14ac:dyDescent="0.3">
      <c r="A75" s="1436">
        <v>44731</v>
      </c>
      <c r="B75" s="453" t="s">
        <v>17</v>
      </c>
      <c r="C75" s="709">
        <v>1</v>
      </c>
      <c r="D75" s="709">
        <v>1</v>
      </c>
      <c r="E75" s="709">
        <v>1</v>
      </c>
      <c r="F75" s="709">
        <v>1</v>
      </c>
      <c r="G75" s="1417"/>
    </row>
    <row r="76" spans="1:7" ht="18.75" customHeight="1" thickBot="1" x14ac:dyDescent="0.3">
      <c r="A76" s="1437"/>
      <c r="B76" s="453" t="s">
        <v>102</v>
      </c>
      <c r="C76" s="733">
        <f t="shared" ref="C76:D76" si="18">24-C77-C78</f>
        <v>0</v>
      </c>
      <c r="D76" s="733">
        <f t="shared" si="18"/>
        <v>24</v>
      </c>
      <c r="E76" s="733">
        <f>24-E77-E78</f>
        <v>24</v>
      </c>
      <c r="F76" s="733">
        <f>24-F77-F78</f>
        <v>24</v>
      </c>
      <c r="G76" s="1418"/>
    </row>
    <row r="77" spans="1:7" ht="18.75" customHeight="1" thickBot="1" x14ac:dyDescent="0.3">
      <c r="A77" s="1437"/>
      <c r="B77" s="448" t="s">
        <v>103</v>
      </c>
      <c r="C77" s="612">
        <v>24</v>
      </c>
      <c r="D77" s="612">
        <v>0</v>
      </c>
      <c r="E77" s="731">
        <v>0</v>
      </c>
      <c r="F77" s="731">
        <v>0</v>
      </c>
      <c r="G77" s="1418"/>
    </row>
    <row r="78" spans="1:7" ht="18.75" customHeight="1" thickBot="1" x14ac:dyDescent="0.3">
      <c r="A78" s="1438"/>
      <c r="B78" s="457" t="s">
        <v>104</v>
      </c>
      <c r="C78" s="576">
        <v>0</v>
      </c>
      <c r="D78" s="576">
        <v>0</v>
      </c>
      <c r="E78" s="734">
        <v>0</v>
      </c>
      <c r="F78" s="734">
        <v>0</v>
      </c>
      <c r="G78" s="1423"/>
    </row>
    <row r="79" spans="1:7" ht="18.75" customHeight="1" thickBot="1" x14ac:dyDescent="0.3">
      <c r="A79" s="1436">
        <v>44732</v>
      </c>
      <c r="B79" s="453" t="s">
        <v>17</v>
      </c>
      <c r="C79" s="709">
        <v>1</v>
      </c>
      <c r="D79" s="709">
        <v>1</v>
      </c>
      <c r="E79" s="709">
        <v>1</v>
      </c>
      <c r="F79" s="709">
        <v>1</v>
      </c>
      <c r="G79" s="1417" t="s">
        <v>3286</v>
      </c>
    </row>
    <row r="80" spans="1:7" ht="18.75" customHeight="1" thickBot="1" x14ac:dyDescent="0.3">
      <c r="A80" s="1437"/>
      <c r="B80" s="453" t="s">
        <v>102</v>
      </c>
      <c r="C80" s="733">
        <f t="shared" ref="C80:D80" si="19">24-C81-C82</f>
        <v>6.6700000000000017</v>
      </c>
      <c r="D80" s="733">
        <f t="shared" si="19"/>
        <v>19.170000000000002</v>
      </c>
      <c r="E80" s="733">
        <f>24-E81-E82</f>
        <v>24</v>
      </c>
      <c r="F80" s="733">
        <f>24-F81-F82</f>
        <v>24</v>
      </c>
      <c r="G80" s="1418"/>
    </row>
    <row r="81" spans="1:7" ht="18.75" customHeight="1" thickBot="1" x14ac:dyDescent="0.3">
      <c r="A81" s="1437"/>
      <c r="B81" s="448" t="s">
        <v>103</v>
      </c>
      <c r="C81" s="612">
        <v>17.329999999999998</v>
      </c>
      <c r="D81" s="612">
        <v>4.83</v>
      </c>
      <c r="E81" s="731">
        <v>0</v>
      </c>
      <c r="F81" s="731">
        <v>0</v>
      </c>
      <c r="G81" s="1418"/>
    </row>
    <row r="82" spans="1:7" ht="18.75" customHeight="1" thickBot="1" x14ac:dyDescent="0.3">
      <c r="A82" s="1438"/>
      <c r="B82" s="457" t="s">
        <v>104</v>
      </c>
      <c r="C82" s="576">
        <v>0</v>
      </c>
      <c r="D82" s="576">
        <v>0</v>
      </c>
      <c r="E82" s="734">
        <v>0</v>
      </c>
      <c r="F82" s="734">
        <v>0</v>
      </c>
      <c r="G82" s="1423"/>
    </row>
    <row r="83" spans="1:7" ht="18.75" customHeight="1" thickBot="1" x14ac:dyDescent="0.3">
      <c r="A83" s="1436">
        <v>44733</v>
      </c>
      <c r="B83" s="453" t="s">
        <v>17</v>
      </c>
      <c r="C83" s="709">
        <v>1</v>
      </c>
      <c r="D83" s="709">
        <v>1</v>
      </c>
      <c r="E83" s="709">
        <v>1</v>
      </c>
      <c r="F83" s="709">
        <v>1</v>
      </c>
      <c r="G83" s="1417" t="s">
        <v>3158</v>
      </c>
    </row>
    <row r="84" spans="1:7" ht="18.75" customHeight="1" thickBot="1" x14ac:dyDescent="0.3">
      <c r="A84" s="1437"/>
      <c r="B84" s="453" t="s">
        <v>102</v>
      </c>
      <c r="C84" s="733">
        <f t="shared" ref="C84:D84" si="20">24-C85-C86</f>
        <v>19.079999999999998</v>
      </c>
      <c r="D84" s="733">
        <f t="shared" si="20"/>
        <v>19</v>
      </c>
      <c r="E84" s="733">
        <f>24-E85-E86</f>
        <v>24</v>
      </c>
      <c r="F84" s="733">
        <f>24-F85-F86</f>
        <v>24</v>
      </c>
      <c r="G84" s="1418"/>
    </row>
    <row r="85" spans="1:7" ht="18.75" customHeight="1" thickBot="1" x14ac:dyDescent="0.3">
      <c r="A85" s="1437"/>
      <c r="B85" s="448" t="s">
        <v>103</v>
      </c>
      <c r="C85" s="612">
        <v>4.92</v>
      </c>
      <c r="D85" s="612">
        <v>5</v>
      </c>
      <c r="E85" s="731">
        <v>0</v>
      </c>
      <c r="F85" s="731">
        <v>0</v>
      </c>
      <c r="G85" s="1418"/>
    </row>
    <row r="86" spans="1:7" ht="18.75" customHeight="1" thickBot="1" x14ac:dyDescent="0.3">
      <c r="A86" s="1438"/>
      <c r="B86" s="457" t="s">
        <v>104</v>
      </c>
      <c r="C86" s="576">
        <v>0</v>
      </c>
      <c r="D86" s="576">
        <v>0</v>
      </c>
      <c r="E86" s="734">
        <v>0</v>
      </c>
      <c r="F86" s="734">
        <v>0</v>
      </c>
      <c r="G86" s="1418"/>
    </row>
    <row r="87" spans="1:7" ht="18.75" customHeight="1" thickBot="1" x14ac:dyDescent="0.3">
      <c r="A87" s="1436">
        <v>44734</v>
      </c>
      <c r="B87" s="453" t="s">
        <v>17</v>
      </c>
      <c r="C87" s="709">
        <v>1</v>
      </c>
      <c r="D87" s="709">
        <v>1</v>
      </c>
      <c r="E87" s="709">
        <v>1</v>
      </c>
      <c r="F87" s="709">
        <v>1</v>
      </c>
      <c r="G87" s="1418"/>
    </row>
    <row r="88" spans="1:7" ht="18.75" customHeight="1" thickBot="1" x14ac:dyDescent="0.3">
      <c r="A88" s="1437"/>
      <c r="B88" s="453" t="s">
        <v>102</v>
      </c>
      <c r="C88" s="733">
        <f t="shared" ref="C88:D88" si="21">24-C89-C90</f>
        <v>0</v>
      </c>
      <c r="D88" s="733">
        <f t="shared" si="21"/>
        <v>12.33</v>
      </c>
      <c r="E88" s="733">
        <f>24-E89-E90</f>
        <v>24</v>
      </c>
      <c r="F88" s="733">
        <f>24-F89-F90</f>
        <v>24</v>
      </c>
      <c r="G88" s="1418"/>
    </row>
    <row r="89" spans="1:7" ht="18.75" customHeight="1" thickBot="1" x14ac:dyDescent="0.3">
      <c r="A89" s="1437"/>
      <c r="B89" s="448" t="s">
        <v>103</v>
      </c>
      <c r="C89" s="612">
        <v>24</v>
      </c>
      <c r="D89" s="612">
        <v>11.67</v>
      </c>
      <c r="E89" s="731">
        <v>0</v>
      </c>
      <c r="F89" s="731">
        <v>0</v>
      </c>
      <c r="G89" s="1418"/>
    </row>
    <row r="90" spans="1:7" ht="18.75" customHeight="1" thickBot="1" x14ac:dyDescent="0.3">
      <c r="A90" s="1438"/>
      <c r="B90" s="457" t="s">
        <v>104</v>
      </c>
      <c r="C90" s="576">
        <v>0</v>
      </c>
      <c r="D90" s="576">
        <v>0</v>
      </c>
      <c r="E90" s="734">
        <v>0</v>
      </c>
      <c r="F90" s="734">
        <v>0</v>
      </c>
      <c r="G90" s="1423"/>
    </row>
    <row r="91" spans="1:7" ht="18.75" customHeight="1" thickBot="1" x14ac:dyDescent="0.3">
      <c r="A91" s="1436">
        <v>44735</v>
      </c>
      <c r="B91" s="453" t="s">
        <v>17</v>
      </c>
      <c r="C91" s="709">
        <v>1</v>
      </c>
      <c r="D91" s="709">
        <v>1</v>
      </c>
      <c r="E91" s="709">
        <v>1</v>
      </c>
      <c r="F91" s="709">
        <v>1</v>
      </c>
      <c r="G91" s="1417"/>
    </row>
    <row r="92" spans="1:7" ht="18.75" customHeight="1" thickBot="1" x14ac:dyDescent="0.3">
      <c r="A92" s="1437"/>
      <c r="B92" s="453" t="s">
        <v>102</v>
      </c>
      <c r="C92" s="733">
        <f t="shared" ref="C92:D92" si="22">24-C93-C94</f>
        <v>0</v>
      </c>
      <c r="D92" s="733">
        <f t="shared" si="22"/>
        <v>24</v>
      </c>
      <c r="E92" s="733">
        <f>24-E93-E94</f>
        <v>24</v>
      </c>
      <c r="F92" s="733">
        <f>24-F93-F94</f>
        <v>24</v>
      </c>
      <c r="G92" s="1418"/>
    </row>
    <row r="93" spans="1:7" ht="18.75" customHeight="1" thickBot="1" x14ac:dyDescent="0.3">
      <c r="A93" s="1437"/>
      <c r="B93" s="448" t="s">
        <v>103</v>
      </c>
      <c r="C93" s="612">
        <v>24</v>
      </c>
      <c r="D93" s="612">
        <v>0</v>
      </c>
      <c r="E93" s="731">
        <v>0</v>
      </c>
      <c r="F93" s="731">
        <v>0</v>
      </c>
      <c r="G93" s="1418"/>
    </row>
    <row r="94" spans="1:7" ht="18.75" customHeight="1" thickBot="1" x14ac:dyDescent="0.3">
      <c r="A94" s="1438"/>
      <c r="B94" s="457" t="s">
        <v>104</v>
      </c>
      <c r="C94" s="576">
        <v>0</v>
      </c>
      <c r="D94" s="576">
        <v>0</v>
      </c>
      <c r="E94" s="734">
        <v>0</v>
      </c>
      <c r="F94" s="734">
        <v>0</v>
      </c>
      <c r="G94" s="1423"/>
    </row>
    <row r="95" spans="1:7" ht="18.75" customHeight="1" thickBot="1" x14ac:dyDescent="0.3">
      <c r="A95" s="1436">
        <v>44736</v>
      </c>
      <c r="B95" s="453" t="s">
        <v>17</v>
      </c>
      <c r="C95" s="709">
        <v>1</v>
      </c>
      <c r="D95" s="709">
        <v>1</v>
      </c>
      <c r="E95" s="709">
        <v>1</v>
      </c>
      <c r="F95" s="709">
        <v>1</v>
      </c>
      <c r="G95" s="1417" t="s">
        <v>3168</v>
      </c>
    </row>
    <row r="96" spans="1:7" ht="18.75" customHeight="1" thickBot="1" x14ac:dyDescent="0.3">
      <c r="A96" s="1437"/>
      <c r="B96" s="453" t="s">
        <v>102</v>
      </c>
      <c r="C96" s="733">
        <f t="shared" ref="C96:D96" si="23">24-C97-C98</f>
        <v>0</v>
      </c>
      <c r="D96" s="733">
        <f t="shared" si="23"/>
        <v>14.4</v>
      </c>
      <c r="E96" s="733">
        <f>24-E97-E98</f>
        <v>24</v>
      </c>
      <c r="F96" s="733">
        <f>24-F97-F98</f>
        <v>24</v>
      </c>
      <c r="G96" s="1418"/>
    </row>
    <row r="97" spans="1:7" ht="18.75" customHeight="1" thickBot="1" x14ac:dyDescent="0.3">
      <c r="A97" s="1437"/>
      <c r="B97" s="448" t="s">
        <v>103</v>
      </c>
      <c r="C97" s="612">
        <v>24</v>
      </c>
      <c r="D97" s="612">
        <v>9.6</v>
      </c>
      <c r="E97" s="731">
        <v>0</v>
      </c>
      <c r="F97" s="731">
        <v>0</v>
      </c>
      <c r="G97" s="1418"/>
    </row>
    <row r="98" spans="1:7" ht="18.75" customHeight="1" thickBot="1" x14ac:dyDescent="0.3">
      <c r="A98" s="1438"/>
      <c r="B98" s="457" t="s">
        <v>104</v>
      </c>
      <c r="C98" s="576">
        <v>0</v>
      </c>
      <c r="D98" s="576">
        <v>0</v>
      </c>
      <c r="E98" s="734">
        <v>0</v>
      </c>
      <c r="F98" s="734">
        <v>0</v>
      </c>
      <c r="G98" s="1423"/>
    </row>
    <row r="99" spans="1:7" ht="18.75" customHeight="1" thickBot="1" x14ac:dyDescent="0.3">
      <c r="A99" s="1436">
        <v>44737</v>
      </c>
      <c r="B99" s="453" t="s">
        <v>17</v>
      </c>
      <c r="C99" s="709">
        <v>1</v>
      </c>
      <c r="D99" s="709">
        <v>1</v>
      </c>
      <c r="E99" s="709">
        <v>1</v>
      </c>
      <c r="F99" s="709">
        <v>1</v>
      </c>
      <c r="G99" s="1417" t="s">
        <v>3186</v>
      </c>
    </row>
    <row r="100" spans="1:7" ht="18.75" customHeight="1" thickBot="1" x14ac:dyDescent="0.3">
      <c r="A100" s="1437"/>
      <c r="B100" s="453" t="s">
        <v>102</v>
      </c>
      <c r="C100" s="733">
        <f t="shared" ref="C100:D100" si="24">24-C101-C102</f>
        <v>11</v>
      </c>
      <c r="D100" s="733">
        <f t="shared" si="24"/>
        <v>23.05</v>
      </c>
      <c r="E100" s="733">
        <f>24-E101-E102</f>
        <v>24</v>
      </c>
      <c r="F100" s="733">
        <f>24-F101-F102</f>
        <v>24</v>
      </c>
      <c r="G100" s="1418"/>
    </row>
    <row r="101" spans="1:7" ht="18.75" customHeight="1" thickBot="1" x14ac:dyDescent="0.3">
      <c r="A101" s="1437"/>
      <c r="B101" s="448" t="s">
        <v>103</v>
      </c>
      <c r="C101" s="612">
        <v>13</v>
      </c>
      <c r="D101" s="612">
        <v>0.95</v>
      </c>
      <c r="E101" s="731">
        <v>0</v>
      </c>
      <c r="F101" s="731">
        <v>0</v>
      </c>
      <c r="G101" s="1418"/>
    </row>
    <row r="102" spans="1:7" ht="18.75" customHeight="1" thickBot="1" x14ac:dyDescent="0.3">
      <c r="A102" s="1438"/>
      <c r="B102" s="457" t="s">
        <v>104</v>
      </c>
      <c r="C102" s="576">
        <v>0</v>
      </c>
      <c r="D102" s="576">
        <v>0</v>
      </c>
      <c r="E102" s="734">
        <v>0</v>
      </c>
      <c r="F102" s="734">
        <v>0</v>
      </c>
      <c r="G102" s="1418"/>
    </row>
    <row r="103" spans="1:7" ht="18.75" customHeight="1" thickBot="1" x14ac:dyDescent="0.3">
      <c r="A103" s="1436">
        <v>44738</v>
      </c>
      <c r="B103" s="453" t="s">
        <v>17</v>
      </c>
      <c r="C103" s="709">
        <v>1</v>
      </c>
      <c r="D103" s="709">
        <v>1</v>
      </c>
      <c r="E103" s="709">
        <v>1</v>
      </c>
      <c r="F103" s="709">
        <v>1</v>
      </c>
      <c r="G103" s="1418"/>
    </row>
    <row r="104" spans="1:7" ht="18.75" customHeight="1" thickBot="1" x14ac:dyDescent="0.3">
      <c r="A104" s="1437"/>
      <c r="B104" s="453" t="s">
        <v>102</v>
      </c>
      <c r="C104" s="733">
        <f t="shared" ref="C104:D104" si="25">24-C105-C106</f>
        <v>24</v>
      </c>
      <c r="D104" s="733">
        <f t="shared" si="25"/>
        <v>9.5</v>
      </c>
      <c r="E104" s="733">
        <f>24-E105-E106</f>
        <v>24</v>
      </c>
      <c r="F104" s="733">
        <f>24-F105-F106</f>
        <v>24</v>
      </c>
      <c r="G104" s="1418"/>
    </row>
    <row r="105" spans="1:7" ht="18.75" customHeight="1" thickBot="1" x14ac:dyDescent="0.3">
      <c r="A105" s="1437"/>
      <c r="B105" s="448" t="s">
        <v>103</v>
      </c>
      <c r="C105" s="612">
        <v>0</v>
      </c>
      <c r="D105" s="612">
        <v>14.5</v>
      </c>
      <c r="E105" s="731">
        <v>0</v>
      </c>
      <c r="F105" s="731">
        <v>0</v>
      </c>
      <c r="G105" s="1418"/>
    </row>
    <row r="106" spans="1:7" ht="18.75" customHeight="1" thickBot="1" x14ac:dyDescent="0.3">
      <c r="A106" s="1438"/>
      <c r="B106" s="457" t="s">
        <v>104</v>
      </c>
      <c r="C106" s="576">
        <v>0</v>
      </c>
      <c r="D106" s="576">
        <v>0</v>
      </c>
      <c r="E106" s="734">
        <v>0</v>
      </c>
      <c r="F106" s="734">
        <v>0</v>
      </c>
      <c r="G106" s="1423"/>
    </row>
    <row r="107" spans="1:7" ht="18.75" customHeight="1" thickBot="1" x14ac:dyDescent="0.3">
      <c r="A107" s="1436">
        <v>44739</v>
      </c>
      <c r="B107" s="453" t="s">
        <v>17</v>
      </c>
      <c r="C107" s="709">
        <v>1</v>
      </c>
      <c r="D107" s="709">
        <v>1</v>
      </c>
      <c r="E107" s="709">
        <v>1</v>
      </c>
      <c r="F107" s="709">
        <v>1</v>
      </c>
      <c r="G107" s="1417" t="s">
        <v>3195</v>
      </c>
    </row>
    <row r="108" spans="1:7" ht="18.75" customHeight="1" thickBot="1" x14ac:dyDescent="0.3">
      <c r="A108" s="1437"/>
      <c r="B108" s="453" t="s">
        <v>102</v>
      </c>
      <c r="C108" s="733">
        <f t="shared" ref="C108:D108" si="26">24-C109-C110</f>
        <v>1.0799999999999983</v>
      </c>
      <c r="D108" s="733">
        <f t="shared" si="26"/>
        <v>24</v>
      </c>
      <c r="E108" s="733">
        <f>24-E109-E110</f>
        <v>24</v>
      </c>
      <c r="F108" s="733">
        <f>24-F109-F110</f>
        <v>24</v>
      </c>
      <c r="G108" s="1418"/>
    </row>
    <row r="109" spans="1:7" ht="18.75" customHeight="1" thickBot="1" x14ac:dyDescent="0.3">
      <c r="A109" s="1437"/>
      <c r="B109" s="448" t="s">
        <v>103</v>
      </c>
      <c r="C109" s="612">
        <v>22.92</v>
      </c>
      <c r="D109" s="612">
        <v>0</v>
      </c>
      <c r="E109" s="731">
        <v>0</v>
      </c>
      <c r="F109" s="731">
        <v>0</v>
      </c>
      <c r="G109" s="1418"/>
    </row>
    <row r="110" spans="1:7" ht="18.75" customHeight="1" thickBot="1" x14ac:dyDescent="0.3">
      <c r="A110" s="1438"/>
      <c r="B110" s="457" t="s">
        <v>104</v>
      </c>
      <c r="C110" s="576">
        <v>0</v>
      </c>
      <c r="D110" s="576">
        <v>0</v>
      </c>
      <c r="E110" s="734">
        <v>0</v>
      </c>
      <c r="F110" s="734">
        <v>0</v>
      </c>
      <c r="G110" s="1423"/>
    </row>
    <row r="111" spans="1:7" ht="18.75" customHeight="1" thickBot="1" x14ac:dyDescent="0.3">
      <c r="A111" s="1436">
        <v>44740</v>
      </c>
      <c r="B111" s="453" t="s">
        <v>17</v>
      </c>
      <c r="C111" s="709">
        <v>1</v>
      </c>
      <c r="D111" s="709">
        <v>1</v>
      </c>
      <c r="E111" s="709">
        <v>1</v>
      </c>
      <c r="F111" s="709">
        <v>1</v>
      </c>
      <c r="G111" s="1447" t="s">
        <v>3202</v>
      </c>
    </row>
    <row r="112" spans="1:7" ht="18.75" customHeight="1" thickBot="1" x14ac:dyDescent="0.3">
      <c r="A112" s="1437"/>
      <c r="B112" s="453" t="s">
        <v>102</v>
      </c>
      <c r="C112" s="733">
        <f t="shared" ref="C112:D112" si="27">24-C113-C114</f>
        <v>0</v>
      </c>
      <c r="D112" s="733">
        <f t="shared" si="27"/>
        <v>12.08</v>
      </c>
      <c r="E112" s="733">
        <f>24-E113-E114</f>
        <v>24</v>
      </c>
      <c r="F112" s="733">
        <f>24-F113-F114</f>
        <v>24</v>
      </c>
      <c r="G112" s="1448"/>
    </row>
    <row r="113" spans="1:7" ht="18.75" customHeight="1" thickBot="1" x14ac:dyDescent="0.3">
      <c r="A113" s="1437"/>
      <c r="B113" s="448" t="s">
        <v>103</v>
      </c>
      <c r="C113" s="612">
        <v>24</v>
      </c>
      <c r="D113" s="612">
        <v>11.92</v>
      </c>
      <c r="E113" s="731">
        <v>0</v>
      </c>
      <c r="F113" s="731">
        <v>0</v>
      </c>
      <c r="G113" s="1448"/>
    </row>
    <row r="114" spans="1:7" ht="18.75" customHeight="1" thickBot="1" x14ac:dyDescent="0.3">
      <c r="A114" s="1438"/>
      <c r="B114" s="457" t="s">
        <v>104</v>
      </c>
      <c r="C114" s="576">
        <v>0</v>
      </c>
      <c r="D114" s="576">
        <v>0</v>
      </c>
      <c r="E114" s="734">
        <v>0</v>
      </c>
      <c r="F114" s="734">
        <v>0</v>
      </c>
      <c r="G114" s="1449"/>
    </row>
    <row r="115" spans="1:7" ht="18.75" customHeight="1" thickBot="1" x14ac:dyDescent="0.3">
      <c r="A115" s="1436">
        <v>44741</v>
      </c>
      <c r="B115" s="453" t="s">
        <v>17</v>
      </c>
      <c r="C115" s="709">
        <v>1</v>
      </c>
      <c r="D115" s="709">
        <v>1</v>
      </c>
      <c r="E115" s="709">
        <v>1</v>
      </c>
      <c r="F115" s="709">
        <v>1</v>
      </c>
      <c r="G115" s="1447" t="s">
        <v>3281</v>
      </c>
    </row>
    <row r="116" spans="1:7" ht="18.75" customHeight="1" thickBot="1" x14ac:dyDescent="0.3">
      <c r="A116" s="1437"/>
      <c r="B116" s="453" t="s">
        <v>102</v>
      </c>
      <c r="C116" s="733">
        <f t="shared" ref="C116:D116" si="28">24-C117-C118</f>
        <v>7.1700000000000017</v>
      </c>
      <c r="D116" s="733">
        <f t="shared" si="28"/>
        <v>21.35</v>
      </c>
      <c r="E116" s="733">
        <f>24-E117-E118</f>
        <v>24</v>
      </c>
      <c r="F116" s="733">
        <f>24-F117-F118</f>
        <v>24</v>
      </c>
      <c r="G116" s="1454"/>
    </row>
    <row r="117" spans="1:7" ht="18.75" customHeight="1" thickBot="1" x14ac:dyDescent="0.3">
      <c r="A117" s="1437"/>
      <c r="B117" s="448" t="s">
        <v>103</v>
      </c>
      <c r="C117" s="612">
        <v>16.829999999999998</v>
      </c>
      <c r="D117" s="612">
        <v>2.65</v>
      </c>
      <c r="E117" s="731">
        <v>0</v>
      </c>
      <c r="F117" s="731">
        <v>0</v>
      </c>
      <c r="G117" s="1454"/>
    </row>
    <row r="118" spans="1:7" ht="18.75" customHeight="1" thickBot="1" x14ac:dyDescent="0.3">
      <c r="A118" s="1438"/>
      <c r="B118" s="457" t="s">
        <v>104</v>
      </c>
      <c r="C118" s="576">
        <v>0</v>
      </c>
      <c r="D118" s="576">
        <v>0</v>
      </c>
      <c r="E118" s="734">
        <v>0</v>
      </c>
      <c r="F118" s="734">
        <v>0</v>
      </c>
      <c r="G118" s="1454"/>
    </row>
    <row r="119" spans="1:7" ht="18.75" customHeight="1" thickBot="1" x14ac:dyDescent="0.3">
      <c r="A119" s="1436">
        <v>44742</v>
      </c>
      <c r="B119" s="453" t="s">
        <v>17</v>
      </c>
      <c r="C119" s="709">
        <v>1</v>
      </c>
      <c r="D119" s="709">
        <v>1</v>
      </c>
      <c r="E119" s="709">
        <v>1</v>
      </c>
      <c r="F119" s="709">
        <v>1</v>
      </c>
      <c r="G119" s="1454"/>
    </row>
    <row r="120" spans="1:7" ht="18.75" customHeight="1" thickBot="1" x14ac:dyDescent="0.3">
      <c r="A120" s="1437"/>
      <c r="B120" s="453" t="s">
        <v>102</v>
      </c>
      <c r="C120" s="733">
        <f t="shared" ref="C120:D120" si="29">24-C121-C122</f>
        <v>19</v>
      </c>
      <c r="D120" s="733">
        <f t="shared" si="29"/>
        <v>12.67</v>
      </c>
      <c r="E120" s="733">
        <f>24-E121-E122</f>
        <v>24</v>
      </c>
      <c r="F120" s="733">
        <f>24-F121-F122</f>
        <v>24</v>
      </c>
      <c r="G120" s="1454"/>
    </row>
    <row r="121" spans="1:7" ht="18.75" customHeight="1" thickBot="1" x14ac:dyDescent="0.3">
      <c r="A121" s="1437"/>
      <c r="B121" s="448" t="s">
        <v>103</v>
      </c>
      <c r="C121" s="612">
        <v>5</v>
      </c>
      <c r="D121" s="612">
        <v>11.33</v>
      </c>
      <c r="E121" s="731">
        <v>0</v>
      </c>
      <c r="F121" s="731">
        <v>0</v>
      </c>
      <c r="G121" s="1454"/>
    </row>
    <row r="122" spans="1:7" ht="18.75" customHeight="1" thickBot="1" x14ac:dyDescent="0.3">
      <c r="A122" s="1438"/>
      <c r="B122" s="457" t="s">
        <v>104</v>
      </c>
      <c r="C122" s="576">
        <v>0</v>
      </c>
      <c r="D122" s="576">
        <v>0</v>
      </c>
      <c r="E122" s="734">
        <v>0</v>
      </c>
      <c r="F122" s="734">
        <v>0</v>
      </c>
      <c r="G122" s="1455"/>
    </row>
    <row r="123" spans="1:7" ht="18.75" customHeight="1" thickBot="1" x14ac:dyDescent="0.3">
      <c r="A123" s="1436"/>
      <c r="B123" s="453" t="s">
        <v>17</v>
      </c>
      <c r="C123" s="709"/>
      <c r="D123" s="709"/>
      <c r="E123" s="709"/>
      <c r="F123" s="709"/>
      <c r="G123" s="1417" t="s">
        <v>3226</v>
      </c>
    </row>
    <row r="124" spans="1:7" ht="18.75" customHeight="1" thickBot="1" x14ac:dyDescent="0.3">
      <c r="A124" s="1437"/>
      <c r="B124" s="453" t="s">
        <v>102</v>
      </c>
      <c r="C124" s="733"/>
      <c r="D124" s="733"/>
      <c r="E124" s="733"/>
      <c r="F124" s="733"/>
      <c r="G124" s="1418"/>
    </row>
    <row r="125" spans="1:7" ht="18.75" customHeight="1" thickBot="1" x14ac:dyDescent="0.3">
      <c r="A125" s="1437"/>
      <c r="B125" s="448" t="s">
        <v>103</v>
      </c>
      <c r="C125" s="612"/>
      <c r="D125" s="709"/>
      <c r="E125" s="731"/>
      <c r="F125" s="731"/>
      <c r="G125" s="1418"/>
    </row>
    <row r="126" spans="1:7" ht="18.75" customHeight="1" thickBot="1" x14ac:dyDescent="0.3">
      <c r="A126" s="1438"/>
      <c r="B126" s="457" t="s">
        <v>104</v>
      </c>
      <c r="C126" s="576"/>
      <c r="D126" s="709"/>
      <c r="E126" s="734"/>
      <c r="F126" s="734"/>
      <c r="G126" s="1423"/>
    </row>
    <row r="127" spans="1:7" x14ac:dyDescent="0.25">
      <c r="A127" s="464" t="s">
        <v>2991</v>
      </c>
      <c r="B127" s="465"/>
      <c r="C127" s="466">
        <f>SUM(C112,C108,C104,C100,C96,C92,C88,C84,C80,C76,C72,C68,C64,C60,C56,C52,C48,C44,C40,C36,C32,C28,C24,C20,C16,C12,C8,C4,C116,C120,C124)</f>
        <v>191.73000000000002</v>
      </c>
      <c r="D127" s="466">
        <f>SUM(D112,D108,D104,D100,D96,D92,D88,D84,D80,D76,D72,D68,D64,D60,D56,D52,D48,D44,D40,D36,D32,D28,D24,D20,D16,D12,D8,D4,D116,D120,D124)</f>
        <v>533.78</v>
      </c>
      <c r="E127" s="466">
        <f t="shared" ref="E127:F128" si="30">SUM(E112,E108,E104,E100,E96,E92,E88,E84,E80,E76,E72,E68,E64,E60,E56,E52,E48,E44,E40,E36,E32,E28,E24,E20,E16,E12,E8,E4,E116,E120,E124)</f>
        <v>720</v>
      </c>
      <c r="F127" s="466">
        <f t="shared" si="30"/>
        <v>692.14</v>
      </c>
      <c r="G127" s="468"/>
    </row>
    <row r="128" spans="1:7" x14ac:dyDescent="0.25">
      <c r="A128" s="865" t="s">
        <v>2992</v>
      </c>
      <c r="B128" s="134"/>
      <c r="C128" s="469">
        <f>SUM(C113,C109,C105,C101,C97,C93,C89,C85,C81,C77,C73,C69,C65,C61,C57,C53,C49,C45,C41,C37,C33,C29,C25,C21,C17,C13,C9,C5,C117,C121,C125)</f>
        <v>528.27</v>
      </c>
      <c r="D128" s="469">
        <f>SUM(D113,D109,D105,D101,D97,D93,D89,D85,D81,D77,D73,D69,D65,D61,D57,D53,D49,D45,D41,D37,D33,D29,D25,D21,D17,D13,D9,D5,D117,D121,D125)</f>
        <v>186.22000000000003</v>
      </c>
      <c r="E128" s="469">
        <f t="shared" si="30"/>
        <v>0</v>
      </c>
      <c r="F128" s="469">
        <f t="shared" si="30"/>
        <v>27.86</v>
      </c>
      <c r="G128" s="471"/>
    </row>
    <row r="129" spans="1:7" ht="15.75" thickBot="1" x14ac:dyDescent="0.3">
      <c r="A129" s="866" t="s">
        <v>2993</v>
      </c>
      <c r="B129" s="472"/>
      <c r="C129" s="473">
        <f>SUM(C114,C110,C106,C102,C98,C94,C90,C86,C82,C78,C74,C70,C66,C62,C58,C54,C50,C46,C42,C38,C34,C30,C26,C22,C18,C14,C10,C6,C118,C122,C126)</f>
        <v>0</v>
      </c>
      <c r="D129" s="473">
        <f t="shared" ref="D129:F129" si="31">SUM(D114,D110,D106,D102,D98,D94,D90,D86,D82,D78,D74,D70,D66,D62,D58,D54,D50,D46,D42,D38,D34,D30,D26,D22,D18,D14,D10,D6,D118,D122,D126)</f>
        <v>0</v>
      </c>
      <c r="E129" s="473">
        <f t="shared" si="31"/>
        <v>0</v>
      </c>
      <c r="F129" s="473">
        <f t="shared" si="31"/>
        <v>0</v>
      </c>
      <c r="G129" s="475"/>
    </row>
    <row r="130" spans="1:7" ht="15.75" thickBot="1" x14ac:dyDescent="0.3">
      <c r="A130" s="1450" t="s">
        <v>108</v>
      </c>
      <c r="B130" s="1451"/>
      <c r="C130" s="1451"/>
      <c r="D130" s="1451"/>
      <c r="E130" s="1451"/>
      <c r="F130" s="1451"/>
      <c r="G130" s="1452"/>
    </row>
  </sheetData>
  <mergeCells count="59">
    <mergeCell ref="G23:G26"/>
    <mergeCell ref="A1:G1"/>
    <mergeCell ref="A3:A6"/>
    <mergeCell ref="A7:A10"/>
    <mergeCell ref="A11:A14"/>
    <mergeCell ref="G11:G14"/>
    <mergeCell ref="G3:G6"/>
    <mergeCell ref="G7:G10"/>
    <mergeCell ref="A15:A18"/>
    <mergeCell ref="G15:G18"/>
    <mergeCell ref="A19:A22"/>
    <mergeCell ref="G19:G22"/>
    <mergeCell ref="A23:A26"/>
    <mergeCell ref="A43:A46"/>
    <mergeCell ref="G27:G34"/>
    <mergeCell ref="A27:A30"/>
    <mergeCell ref="G39:G42"/>
    <mergeCell ref="G43:G46"/>
    <mergeCell ref="A31:A34"/>
    <mergeCell ref="A35:A38"/>
    <mergeCell ref="G35:G38"/>
    <mergeCell ref="A39:A42"/>
    <mergeCell ref="A47:A50"/>
    <mergeCell ref="G47:G50"/>
    <mergeCell ref="A51:A54"/>
    <mergeCell ref="G51:G54"/>
    <mergeCell ref="A55:A58"/>
    <mergeCell ref="G55:G62"/>
    <mergeCell ref="A59:A62"/>
    <mergeCell ref="A63:A66"/>
    <mergeCell ref="G63:G66"/>
    <mergeCell ref="A67:A70"/>
    <mergeCell ref="G67:G70"/>
    <mergeCell ref="A99:A102"/>
    <mergeCell ref="A71:A74"/>
    <mergeCell ref="A75:A78"/>
    <mergeCell ref="A79:A82"/>
    <mergeCell ref="A83:A86"/>
    <mergeCell ref="A87:A90"/>
    <mergeCell ref="A91:A94"/>
    <mergeCell ref="A95:A98"/>
    <mergeCell ref="G95:G98"/>
    <mergeCell ref="G91:G94"/>
    <mergeCell ref="G71:G74"/>
    <mergeCell ref="G75:G78"/>
    <mergeCell ref="G79:G82"/>
    <mergeCell ref="A130:G130"/>
    <mergeCell ref="A115:A118"/>
    <mergeCell ref="A119:A122"/>
    <mergeCell ref="A123:A126"/>
    <mergeCell ref="G123:G126"/>
    <mergeCell ref="A103:A106"/>
    <mergeCell ref="A107:A110"/>
    <mergeCell ref="G107:G110"/>
    <mergeCell ref="A111:A114"/>
    <mergeCell ref="G111:G114"/>
    <mergeCell ref="G83:G90"/>
    <mergeCell ref="G99:G106"/>
    <mergeCell ref="G115:G122"/>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G130"/>
  <sheetViews>
    <sheetView workbookViewId="0">
      <pane ySplit="2" topLeftCell="A122" activePane="bottomLeft" state="frozen"/>
      <selection pane="bottomLeft" activeCell="G123" sqref="G123:G126"/>
    </sheetView>
  </sheetViews>
  <sheetFormatPr defaultRowHeight="15" x14ac:dyDescent="0.25"/>
  <cols>
    <col min="1" max="1" width="47.7109375" customWidth="1"/>
    <col min="2" max="2" width="25" customWidth="1"/>
    <col min="4" max="4" width="9.140625" style="1"/>
    <col min="7" max="7" width="54.7109375" customWidth="1"/>
  </cols>
  <sheetData>
    <row r="1" spans="1:7" ht="21.75" thickBot="1" x14ac:dyDescent="0.4">
      <c r="A1" s="1443" t="s">
        <v>73</v>
      </c>
      <c r="B1" s="1443"/>
      <c r="C1" s="1443"/>
      <c r="D1" s="1443"/>
      <c r="E1" s="1443"/>
      <c r="F1" s="1443"/>
      <c r="G1" s="1443"/>
    </row>
    <row r="2" spans="1:7" ht="16.5" thickBot="1" x14ac:dyDescent="0.3">
      <c r="A2" s="108" t="s">
        <v>98</v>
      </c>
      <c r="B2" s="608"/>
      <c r="C2" s="607" t="s">
        <v>310</v>
      </c>
      <c r="D2" s="607" t="s">
        <v>239</v>
      </c>
      <c r="E2" s="447" t="s">
        <v>100</v>
      </c>
      <c r="F2" s="682" t="s">
        <v>157</v>
      </c>
      <c r="G2" s="111" t="s">
        <v>101</v>
      </c>
    </row>
    <row r="3" spans="1:7" ht="18.75" customHeight="1" thickBot="1" x14ac:dyDescent="0.3">
      <c r="A3" s="1436">
        <v>44743</v>
      </c>
      <c r="B3" s="453" t="s">
        <v>17</v>
      </c>
      <c r="C3" s="709">
        <v>1</v>
      </c>
      <c r="D3" s="709">
        <v>1</v>
      </c>
      <c r="E3" s="709">
        <v>1</v>
      </c>
      <c r="F3" s="709">
        <v>1</v>
      </c>
      <c r="G3" s="1453" t="s">
        <v>3234</v>
      </c>
    </row>
    <row r="4" spans="1:7" ht="18.75" customHeight="1" thickBot="1" x14ac:dyDescent="0.3">
      <c r="A4" s="1437"/>
      <c r="B4" s="453" t="s">
        <v>102</v>
      </c>
      <c r="C4" s="733">
        <f t="shared" ref="C4:D4" si="0">24-C5-C6</f>
        <v>0</v>
      </c>
      <c r="D4" s="733">
        <f t="shared" si="0"/>
        <v>12.67</v>
      </c>
      <c r="E4" s="733">
        <f>24-E5-E6</f>
        <v>24</v>
      </c>
      <c r="F4" s="733">
        <f>24-F5-F6</f>
        <v>24</v>
      </c>
      <c r="G4" s="1448"/>
    </row>
    <row r="5" spans="1:7" ht="18.75" customHeight="1" thickBot="1" x14ac:dyDescent="0.3">
      <c r="A5" s="1437"/>
      <c r="B5" s="448" t="s">
        <v>103</v>
      </c>
      <c r="C5" s="612">
        <v>24</v>
      </c>
      <c r="D5" s="612">
        <v>11.33</v>
      </c>
      <c r="E5" s="731">
        <v>0</v>
      </c>
      <c r="F5" s="731">
        <v>0</v>
      </c>
      <c r="G5" s="1448"/>
    </row>
    <row r="6" spans="1:7" ht="18.75" customHeight="1" thickBot="1" x14ac:dyDescent="0.3">
      <c r="A6" s="1438"/>
      <c r="B6" s="457" t="s">
        <v>104</v>
      </c>
      <c r="C6" s="576">
        <v>0</v>
      </c>
      <c r="D6" s="576">
        <v>0</v>
      </c>
      <c r="E6" s="734">
        <v>0</v>
      </c>
      <c r="F6" s="734">
        <v>0</v>
      </c>
      <c r="G6" s="1448"/>
    </row>
    <row r="7" spans="1:7" ht="27.75" customHeight="1" thickBot="1" x14ac:dyDescent="0.3">
      <c r="A7" s="1436">
        <v>44744</v>
      </c>
      <c r="B7" s="453" t="s">
        <v>17</v>
      </c>
      <c r="C7" s="709">
        <v>1</v>
      </c>
      <c r="D7" s="709">
        <v>1</v>
      </c>
      <c r="E7" s="709">
        <v>1</v>
      </c>
      <c r="F7" s="709">
        <v>1</v>
      </c>
      <c r="G7" s="1448"/>
    </row>
    <row r="8" spans="1:7" ht="27.75" customHeight="1" thickBot="1" x14ac:dyDescent="0.3">
      <c r="A8" s="1437"/>
      <c r="B8" s="453" t="s">
        <v>102</v>
      </c>
      <c r="C8" s="733">
        <f t="shared" ref="C8:D8" si="1">24-C9-C10</f>
        <v>0</v>
      </c>
      <c r="D8" s="733">
        <f t="shared" si="1"/>
        <v>19.09</v>
      </c>
      <c r="E8" s="733">
        <f>24-E9-E10</f>
        <v>24</v>
      </c>
      <c r="F8" s="733">
        <f>24-F9-F10</f>
        <v>24</v>
      </c>
      <c r="G8" s="1448"/>
    </row>
    <row r="9" spans="1:7" ht="27.75" customHeight="1" thickBot="1" x14ac:dyDescent="0.3">
      <c r="A9" s="1437"/>
      <c r="B9" s="448" t="s">
        <v>103</v>
      </c>
      <c r="C9" s="612">
        <v>24</v>
      </c>
      <c r="D9" s="612">
        <v>4.91</v>
      </c>
      <c r="E9" s="731">
        <v>0</v>
      </c>
      <c r="F9" s="731">
        <v>0</v>
      </c>
      <c r="G9" s="1448"/>
    </row>
    <row r="10" spans="1:7" ht="27.75" customHeight="1" thickBot="1" x14ac:dyDescent="0.3">
      <c r="A10" s="1438"/>
      <c r="B10" s="457" t="s">
        <v>104</v>
      </c>
      <c r="C10" s="576">
        <v>0</v>
      </c>
      <c r="D10" s="576">
        <v>0</v>
      </c>
      <c r="E10" s="734">
        <v>0</v>
      </c>
      <c r="F10" s="734">
        <v>0</v>
      </c>
      <c r="G10" s="1449"/>
    </row>
    <row r="11" spans="1:7" ht="18.75" customHeight="1" thickBot="1" x14ac:dyDescent="0.3">
      <c r="A11" s="1436">
        <v>44745</v>
      </c>
      <c r="B11" s="453" t="s">
        <v>17</v>
      </c>
      <c r="C11" s="709">
        <v>1</v>
      </c>
      <c r="D11" s="709">
        <v>1</v>
      </c>
      <c r="E11" s="709">
        <v>1</v>
      </c>
      <c r="F11" s="709">
        <v>1</v>
      </c>
      <c r="G11" s="1417" t="s">
        <v>3244</v>
      </c>
    </row>
    <row r="12" spans="1:7" ht="18.75" customHeight="1" thickBot="1" x14ac:dyDescent="0.3">
      <c r="A12" s="1437"/>
      <c r="B12" s="453" t="s">
        <v>102</v>
      </c>
      <c r="C12" s="733">
        <f t="shared" ref="C12:D12" si="2">24-C13-C14</f>
        <v>10.25</v>
      </c>
      <c r="D12" s="733">
        <f t="shared" si="2"/>
        <v>15.83</v>
      </c>
      <c r="E12" s="733">
        <f>24-E13-E14</f>
        <v>24</v>
      </c>
      <c r="F12" s="733">
        <f>24-F13-F14</f>
        <v>24</v>
      </c>
      <c r="G12" s="1418"/>
    </row>
    <row r="13" spans="1:7" ht="18.75" customHeight="1" thickBot="1" x14ac:dyDescent="0.3">
      <c r="A13" s="1437"/>
      <c r="B13" s="448" t="s">
        <v>103</v>
      </c>
      <c r="C13" s="612">
        <v>13.75</v>
      </c>
      <c r="D13" s="612">
        <v>8.17</v>
      </c>
      <c r="E13" s="731">
        <v>0</v>
      </c>
      <c r="F13" s="731">
        <v>0</v>
      </c>
      <c r="G13" s="1418"/>
    </row>
    <row r="14" spans="1:7" ht="18.75" customHeight="1" thickBot="1" x14ac:dyDescent="0.3">
      <c r="A14" s="1438"/>
      <c r="B14" s="457" t="s">
        <v>104</v>
      </c>
      <c r="C14" s="576">
        <v>0</v>
      </c>
      <c r="D14" s="576">
        <v>0</v>
      </c>
      <c r="E14" s="734">
        <v>0</v>
      </c>
      <c r="F14" s="734">
        <v>0</v>
      </c>
      <c r="G14" s="1423"/>
    </row>
    <row r="15" spans="1:7" ht="18.75" customHeight="1" thickBot="1" x14ac:dyDescent="0.3">
      <c r="A15" s="1436">
        <v>44746</v>
      </c>
      <c r="B15" s="453" t="s">
        <v>17</v>
      </c>
      <c r="C15" s="709">
        <v>1</v>
      </c>
      <c r="D15" s="709">
        <v>1</v>
      </c>
      <c r="E15" s="709">
        <v>1</v>
      </c>
      <c r="F15" s="709">
        <v>1</v>
      </c>
      <c r="G15" s="1453" t="s">
        <v>3430</v>
      </c>
    </row>
    <row r="16" spans="1:7" ht="51" customHeight="1" thickBot="1" x14ac:dyDescent="0.3">
      <c r="A16" s="1437"/>
      <c r="B16" s="453" t="s">
        <v>102</v>
      </c>
      <c r="C16" s="733">
        <f t="shared" ref="C16:D16" si="3">24-C17-C18</f>
        <v>22.67</v>
      </c>
      <c r="D16" s="733">
        <f t="shared" si="3"/>
        <v>7.4200000000000017</v>
      </c>
      <c r="E16" s="733">
        <f>24-E17-E18</f>
        <v>24</v>
      </c>
      <c r="F16" s="733">
        <f>24-F17-F18</f>
        <v>24</v>
      </c>
      <c r="G16" s="1418"/>
    </row>
    <row r="17" spans="1:7" ht="33" customHeight="1" thickBot="1" x14ac:dyDescent="0.3">
      <c r="A17" s="1437"/>
      <c r="B17" s="448" t="s">
        <v>103</v>
      </c>
      <c r="C17" s="612">
        <v>1.33</v>
      </c>
      <c r="D17" s="612">
        <v>16.579999999999998</v>
      </c>
      <c r="E17" s="731">
        <v>0</v>
      </c>
      <c r="F17" s="731">
        <v>0</v>
      </c>
      <c r="G17" s="1418"/>
    </row>
    <row r="18" spans="1:7" ht="42.75" customHeight="1" thickBot="1" x14ac:dyDescent="0.3">
      <c r="A18" s="1438"/>
      <c r="B18" s="457" t="s">
        <v>104</v>
      </c>
      <c r="C18" s="576">
        <v>0</v>
      </c>
      <c r="D18" s="576">
        <v>0</v>
      </c>
      <c r="E18" s="734">
        <v>0</v>
      </c>
      <c r="F18" s="734">
        <v>0</v>
      </c>
      <c r="G18" s="1418"/>
    </row>
    <row r="19" spans="1:7" ht="18.75" customHeight="1" thickBot="1" x14ac:dyDescent="0.3">
      <c r="A19" s="1436">
        <v>44747</v>
      </c>
      <c r="B19" s="453" t="s">
        <v>17</v>
      </c>
      <c r="C19" s="709">
        <v>1</v>
      </c>
      <c r="D19" s="709">
        <v>1</v>
      </c>
      <c r="E19" s="709">
        <v>1</v>
      </c>
      <c r="F19" s="709">
        <v>1</v>
      </c>
      <c r="G19" s="1418"/>
    </row>
    <row r="20" spans="1:7" ht="18.75" customHeight="1" thickBot="1" x14ac:dyDescent="0.3">
      <c r="A20" s="1437"/>
      <c r="B20" s="453" t="s">
        <v>102</v>
      </c>
      <c r="C20" s="733">
        <f t="shared" ref="C20:D20" si="4">24-C21-C22</f>
        <v>0</v>
      </c>
      <c r="D20" s="733">
        <f t="shared" si="4"/>
        <v>19.5</v>
      </c>
      <c r="E20" s="733">
        <f>24-E21-E22</f>
        <v>23.17</v>
      </c>
      <c r="F20" s="733">
        <f>24-F21-F22</f>
        <v>23.5</v>
      </c>
      <c r="G20" s="1418"/>
    </row>
    <row r="21" spans="1:7" ht="18.75" customHeight="1" thickBot="1" x14ac:dyDescent="0.3">
      <c r="A21" s="1437"/>
      <c r="B21" s="448" t="s">
        <v>103</v>
      </c>
      <c r="C21" s="612">
        <v>24</v>
      </c>
      <c r="D21" s="612">
        <v>4.5</v>
      </c>
      <c r="E21" s="731">
        <v>0.83</v>
      </c>
      <c r="F21" s="731">
        <v>0.5</v>
      </c>
      <c r="G21" s="1418"/>
    </row>
    <row r="22" spans="1:7" ht="41.25" customHeight="1" thickBot="1" x14ac:dyDescent="0.3">
      <c r="A22" s="1438"/>
      <c r="B22" s="457" t="s">
        <v>104</v>
      </c>
      <c r="C22" s="576">
        <v>0</v>
      </c>
      <c r="D22" s="576">
        <v>0</v>
      </c>
      <c r="E22" s="734">
        <v>0</v>
      </c>
      <c r="F22" s="734">
        <v>0</v>
      </c>
      <c r="G22" s="1423"/>
    </row>
    <row r="23" spans="1:7" ht="18.75" customHeight="1" thickBot="1" x14ac:dyDescent="0.3">
      <c r="A23" s="1436">
        <v>44748</v>
      </c>
      <c r="B23" s="453" t="s">
        <v>17</v>
      </c>
      <c r="C23" s="709">
        <v>1</v>
      </c>
      <c r="D23" s="709">
        <v>1</v>
      </c>
      <c r="E23" s="709">
        <v>1</v>
      </c>
      <c r="F23" s="709">
        <v>1</v>
      </c>
      <c r="G23" s="1453" t="s">
        <v>3504</v>
      </c>
    </row>
    <row r="24" spans="1:7" ht="18.75" customHeight="1" thickBot="1" x14ac:dyDescent="0.3">
      <c r="A24" s="1437"/>
      <c r="B24" s="453" t="s">
        <v>102</v>
      </c>
      <c r="C24" s="733">
        <f t="shared" ref="C24:D24" si="5">24-C25-C26</f>
        <v>0</v>
      </c>
      <c r="D24" s="733">
        <f t="shared" si="5"/>
        <v>8.83</v>
      </c>
      <c r="E24" s="733">
        <f>24-E25-E26</f>
        <v>24</v>
      </c>
      <c r="F24" s="733">
        <f>24-F25-F26</f>
        <v>24</v>
      </c>
      <c r="G24" s="1448"/>
    </row>
    <row r="25" spans="1:7" ht="18.75" customHeight="1" thickBot="1" x14ac:dyDescent="0.3">
      <c r="A25" s="1437"/>
      <c r="B25" s="448" t="s">
        <v>103</v>
      </c>
      <c r="C25" s="612">
        <v>24</v>
      </c>
      <c r="D25" s="612">
        <v>15.17</v>
      </c>
      <c r="E25" s="731">
        <v>0</v>
      </c>
      <c r="F25" s="731">
        <v>0</v>
      </c>
      <c r="G25" s="1448"/>
    </row>
    <row r="26" spans="1:7" ht="18.75" customHeight="1" thickBot="1" x14ac:dyDescent="0.3">
      <c r="A26" s="1438"/>
      <c r="B26" s="457" t="s">
        <v>104</v>
      </c>
      <c r="C26" s="576">
        <v>0</v>
      </c>
      <c r="D26" s="576">
        <v>0</v>
      </c>
      <c r="E26" s="734">
        <v>0</v>
      </c>
      <c r="F26" s="734">
        <v>0</v>
      </c>
      <c r="G26" s="1448"/>
    </row>
    <row r="27" spans="1:7" ht="18.75" customHeight="1" thickBot="1" x14ac:dyDescent="0.3">
      <c r="A27" s="1436">
        <v>44749</v>
      </c>
      <c r="B27" s="453" t="s">
        <v>17</v>
      </c>
      <c r="C27" s="709">
        <v>1</v>
      </c>
      <c r="D27" s="709">
        <v>1</v>
      </c>
      <c r="E27" s="709">
        <v>1</v>
      </c>
      <c r="F27" s="709">
        <v>1</v>
      </c>
      <c r="G27" s="1448"/>
    </row>
    <row r="28" spans="1:7" ht="18.75" customHeight="1" thickBot="1" x14ac:dyDescent="0.3">
      <c r="A28" s="1437"/>
      <c r="B28" s="453" t="s">
        <v>102</v>
      </c>
      <c r="C28" s="733">
        <f t="shared" ref="C28:D28" si="6">24-C29-C30</f>
        <v>18.29</v>
      </c>
      <c r="D28" s="733">
        <f t="shared" si="6"/>
        <v>21.25</v>
      </c>
      <c r="E28" s="733">
        <f>24-E29-E30</f>
        <v>24</v>
      </c>
      <c r="F28" s="733">
        <f>24-F29-F30</f>
        <v>24</v>
      </c>
      <c r="G28" s="1448"/>
    </row>
    <row r="29" spans="1:7" ht="18.75" customHeight="1" thickBot="1" x14ac:dyDescent="0.3">
      <c r="A29" s="1437"/>
      <c r="B29" s="448" t="s">
        <v>103</v>
      </c>
      <c r="C29" s="612">
        <v>5.71</v>
      </c>
      <c r="D29" s="612">
        <v>2.75</v>
      </c>
      <c r="E29" s="731">
        <v>0</v>
      </c>
      <c r="F29" s="731">
        <v>0</v>
      </c>
      <c r="G29" s="1448"/>
    </row>
    <row r="30" spans="1:7" ht="18.75" customHeight="1" thickBot="1" x14ac:dyDescent="0.3">
      <c r="A30" s="1438"/>
      <c r="B30" s="457" t="s">
        <v>104</v>
      </c>
      <c r="C30" s="576">
        <v>0</v>
      </c>
      <c r="D30" s="576">
        <v>0</v>
      </c>
      <c r="E30" s="734">
        <v>0</v>
      </c>
      <c r="F30" s="734">
        <v>0</v>
      </c>
      <c r="G30" s="1449"/>
    </row>
    <row r="31" spans="1:7" ht="18.75" customHeight="1" thickBot="1" x14ac:dyDescent="0.3">
      <c r="A31" s="1436">
        <v>44750</v>
      </c>
      <c r="B31" s="453" t="s">
        <v>17</v>
      </c>
      <c r="C31" s="709">
        <v>1</v>
      </c>
      <c r="D31" s="709">
        <v>1</v>
      </c>
      <c r="E31" s="709">
        <v>1</v>
      </c>
      <c r="F31" s="709">
        <v>1</v>
      </c>
      <c r="G31" s="1453" t="s">
        <v>3431</v>
      </c>
    </row>
    <row r="32" spans="1:7" ht="18.75" customHeight="1" thickBot="1" x14ac:dyDescent="0.3">
      <c r="A32" s="1437"/>
      <c r="B32" s="453" t="s">
        <v>102</v>
      </c>
      <c r="C32" s="733">
        <f t="shared" ref="C32:D32" si="7">24-C33-C34</f>
        <v>16.329999999999998</v>
      </c>
      <c r="D32" s="733">
        <f t="shared" si="7"/>
        <v>19.170000000000002</v>
      </c>
      <c r="E32" s="733">
        <f>24-E33-E34</f>
        <v>24</v>
      </c>
      <c r="F32" s="733">
        <f>24-F33-F34</f>
        <v>24</v>
      </c>
      <c r="G32" s="1448"/>
    </row>
    <row r="33" spans="1:7" ht="18.75" customHeight="1" thickBot="1" x14ac:dyDescent="0.3">
      <c r="A33" s="1437"/>
      <c r="B33" s="448" t="s">
        <v>103</v>
      </c>
      <c r="C33" s="612">
        <v>7.67</v>
      </c>
      <c r="D33" s="612">
        <v>4.83</v>
      </c>
      <c r="E33" s="731">
        <v>0</v>
      </c>
      <c r="F33" s="731">
        <v>0</v>
      </c>
      <c r="G33" s="1448"/>
    </row>
    <row r="34" spans="1:7" ht="18.75" customHeight="1" thickBot="1" x14ac:dyDescent="0.3">
      <c r="A34" s="1438"/>
      <c r="B34" s="457" t="s">
        <v>104</v>
      </c>
      <c r="C34" s="576">
        <v>0</v>
      </c>
      <c r="D34" s="576">
        <v>0</v>
      </c>
      <c r="E34" s="734">
        <v>0</v>
      </c>
      <c r="F34" s="734">
        <v>0</v>
      </c>
      <c r="G34" s="1448"/>
    </row>
    <row r="35" spans="1:7" ht="18.75" customHeight="1" thickBot="1" x14ac:dyDescent="0.3">
      <c r="A35" s="1436">
        <v>44751</v>
      </c>
      <c r="B35" s="453" t="s">
        <v>17</v>
      </c>
      <c r="C35" s="709">
        <v>1</v>
      </c>
      <c r="D35" s="709">
        <v>1</v>
      </c>
      <c r="E35" s="709">
        <v>1</v>
      </c>
      <c r="F35" s="709">
        <v>1</v>
      </c>
      <c r="G35" s="1448"/>
    </row>
    <row r="36" spans="1:7" ht="18.75" customHeight="1" thickBot="1" x14ac:dyDescent="0.3">
      <c r="A36" s="1437"/>
      <c r="B36" s="453" t="s">
        <v>102</v>
      </c>
      <c r="C36" s="733">
        <f t="shared" ref="C36:D36" si="8">24-C37-C38</f>
        <v>0</v>
      </c>
      <c r="D36" s="733">
        <f t="shared" si="8"/>
        <v>20.25</v>
      </c>
      <c r="E36" s="733">
        <f>24-E37-E38</f>
        <v>24</v>
      </c>
      <c r="F36" s="733">
        <f>24-F37-F38</f>
        <v>24</v>
      </c>
      <c r="G36" s="1448"/>
    </row>
    <row r="37" spans="1:7" ht="18.75" customHeight="1" thickBot="1" x14ac:dyDescent="0.3">
      <c r="A37" s="1437"/>
      <c r="B37" s="448" t="s">
        <v>103</v>
      </c>
      <c r="C37" s="612">
        <v>24</v>
      </c>
      <c r="D37" s="612">
        <v>3.75</v>
      </c>
      <c r="E37" s="731">
        <v>0</v>
      </c>
      <c r="F37" s="731">
        <v>0</v>
      </c>
      <c r="G37" s="1448"/>
    </row>
    <row r="38" spans="1:7" ht="18.75" customHeight="1" thickBot="1" x14ac:dyDescent="0.3">
      <c r="A38" s="1438"/>
      <c r="B38" s="457" t="s">
        <v>104</v>
      </c>
      <c r="C38" s="576">
        <v>0</v>
      </c>
      <c r="D38" s="576">
        <v>0</v>
      </c>
      <c r="E38" s="734">
        <v>0</v>
      </c>
      <c r="F38" s="734">
        <v>0</v>
      </c>
      <c r="G38" s="1449"/>
    </row>
    <row r="39" spans="1:7" ht="18.75" customHeight="1" thickBot="1" x14ac:dyDescent="0.3">
      <c r="A39" s="1436">
        <v>44752</v>
      </c>
      <c r="B39" s="453" t="s">
        <v>17</v>
      </c>
      <c r="C39" s="709">
        <v>1</v>
      </c>
      <c r="D39" s="709">
        <v>1</v>
      </c>
      <c r="E39" s="709">
        <v>1</v>
      </c>
      <c r="F39" s="709">
        <v>1</v>
      </c>
      <c r="G39" s="1453" t="s">
        <v>3432</v>
      </c>
    </row>
    <row r="40" spans="1:7" ht="18.75" customHeight="1" thickBot="1" x14ac:dyDescent="0.3">
      <c r="A40" s="1437"/>
      <c r="B40" s="453" t="s">
        <v>102</v>
      </c>
      <c r="C40" s="733">
        <f t="shared" ref="C40:D40" si="9">24-C41-C42</f>
        <v>1.129999999999999</v>
      </c>
      <c r="D40" s="733">
        <f t="shared" si="9"/>
        <v>13.85</v>
      </c>
      <c r="E40" s="733">
        <f>24-E41-E42</f>
        <v>23.25</v>
      </c>
      <c r="F40" s="733">
        <f>24-F41-F42</f>
        <v>9.43</v>
      </c>
      <c r="G40" s="1418"/>
    </row>
    <row r="41" spans="1:7" ht="45" customHeight="1" thickBot="1" x14ac:dyDescent="0.3">
      <c r="A41" s="1437"/>
      <c r="B41" s="448" t="s">
        <v>103</v>
      </c>
      <c r="C41" s="612">
        <v>22.87</v>
      </c>
      <c r="D41" s="612">
        <v>10.15</v>
      </c>
      <c r="E41" s="731">
        <v>0.75</v>
      </c>
      <c r="F41" s="731">
        <v>14.57</v>
      </c>
      <c r="G41" s="1418"/>
    </row>
    <row r="42" spans="1:7" ht="95.25" customHeight="1" thickBot="1" x14ac:dyDescent="0.3">
      <c r="A42" s="1438"/>
      <c r="B42" s="457" t="s">
        <v>104</v>
      </c>
      <c r="C42" s="576">
        <v>0</v>
      </c>
      <c r="D42" s="576">
        <v>0</v>
      </c>
      <c r="E42" s="734">
        <v>0</v>
      </c>
      <c r="F42" s="734">
        <v>0</v>
      </c>
      <c r="G42" s="1423"/>
    </row>
    <row r="43" spans="1:7" ht="18.75" customHeight="1" thickBot="1" x14ac:dyDescent="0.3">
      <c r="A43" s="1436">
        <v>44753</v>
      </c>
      <c r="B43" s="453" t="s">
        <v>17</v>
      </c>
      <c r="C43" s="709">
        <v>1</v>
      </c>
      <c r="D43" s="709">
        <v>1</v>
      </c>
      <c r="E43" s="709">
        <v>1</v>
      </c>
      <c r="F43" s="709">
        <v>1</v>
      </c>
      <c r="G43" s="1453" t="s">
        <v>3328</v>
      </c>
    </row>
    <row r="44" spans="1:7" ht="18.75" customHeight="1" thickBot="1" x14ac:dyDescent="0.3">
      <c r="A44" s="1437"/>
      <c r="B44" s="453" t="s">
        <v>102</v>
      </c>
      <c r="C44" s="733">
        <f t="shared" ref="C44:D44" si="10">24-C45-C46</f>
        <v>7.5500000000000007</v>
      </c>
      <c r="D44" s="733">
        <f t="shared" si="10"/>
        <v>24</v>
      </c>
      <c r="E44" s="733">
        <f>24-E45-E46</f>
        <v>24</v>
      </c>
      <c r="F44" s="733">
        <f>24-F45-F46</f>
        <v>17.09</v>
      </c>
      <c r="G44" s="1418"/>
    </row>
    <row r="45" spans="1:7" ht="18.75" customHeight="1" thickBot="1" x14ac:dyDescent="0.3">
      <c r="A45" s="1437"/>
      <c r="B45" s="448" t="s">
        <v>103</v>
      </c>
      <c r="C45" s="612">
        <v>16.45</v>
      </c>
      <c r="D45" s="612">
        <v>0</v>
      </c>
      <c r="E45" s="731">
        <v>0</v>
      </c>
      <c r="F45" s="731">
        <v>6.91</v>
      </c>
      <c r="G45" s="1418"/>
    </row>
    <row r="46" spans="1:7" ht="43.5" customHeight="1" thickBot="1" x14ac:dyDescent="0.3">
      <c r="A46" s="1438"/>
      <c r="B46" s="457" t="s">
        <v>104</v>
      </c>
      <c r="C46" s="576">
        <v>0</v>
      </c>
      <c r="D46" s="576">
        <v>0</v>
      </c>
      <c r="E46" s="734">
        <v>0</v>
      </c>
      <c r="F46" s="734">
        <v>0</v>
      </c>
      <c r="G46" s="1423"/>
    </row>
    <row r="47" spans="1:7" ht="18.75" customHeight="1" thickBot="1" x14ac:dyDescent="0.3">
      <c r="A47" s="1436">
        <v>44754</v>
      </c>
      <c r="B47" s="453" t="s">
        <v>17</v>
      </c>
      <c r="C47" s="709">
        <v>1</v>
      </c>
      <c r="D47" s="709">
        <v>1</v>
      </c>
      <c r="E47" s="709">
        <v>1</v>
      </c>
      <c r="F47" s="709">
        <v>1</v>
      </c>
      <c r="G47" s="1453" t="s">
        <v>3334</v>
      </c>
    </row>
    <row r="48" spans="1:7" ht="18.75" customHeight="1" thickBot="1" x14ac:dyDescent="0.3">
      <c r="A48" s="1437"/>
      <c r="B48" s="453" t="s">
        <v>102</v>
      </c>
      <c r="C48" s="733">
        <f t="shared" ref="C48:D48" si="11">24-C49-C50</f>
        <v>0</v>
      </c>
      <c r="D48" s="733">
        <f t="shared" si="11"/>
        <v>12.72</v>
      </c>
      <c r="E48" s="733">
        <f>24-E49-E50</f>
        <v>24</v>
      </c>
      <c r="F48" s="733">
        <f>24-F49-F50</f>
        <v>24</v>
      </c>
      <c r="G48" s="1418"/>
    </row>
    <row r="49" spans="1:7" ht="18.75" customHeight="1" thickBot="1" x14ac:dyDescent="0.3">
      <c r="A49" s="1437"/>
      <c r="B49" s="448" t="s">
        <v>103</v>
      </c>
      <c r="C49" s="612">
        <v>24</v>
      </c>
      <c r="D49" s="612">
        <v>11.28</v>
      </c>
      <c r="E49" s="731">
        <v>0</v>
      </c>
      <c r="F49" s="731">
        <v>0</v>
      </c>
      <c r="G49" s="1418"/>
    </row>
    <row r="50" spans="1:7" ht="18.75" customHeight="1" thickBot="1" x14ac:dyDescent="0.3">
      <c r="A50" s="1438"/>
      <c r="B50" s="457" t="s">
        <v>104</v>
      </c>
      <c r="C50" s="576">
        <v>0</v>
      </c>
      <c r="D50" s="576">
        <v>0</v>
      </c>
      <c r="E50" s="734">
        <v>0</v>
      </c>
      <c r="F50" s="734">
        <v>0</v>
      </c>
      <c r="G50" s="1423"/>
    </row>
    <row r="51" spans="1:7" ht="18.75" customHeight="1" thickBot="1" x14ac:dyDescent="0.3">
      <c r="A51" s="1436">
        <v>44755</v>
      </c>
      <c r="B51" s="453" t="s">
        <v>17</v>
      </c>
      <c r="C51" s="709">
        <v>1</v>
      </c>
      <c r="D51" s="709">
        <v>1</v>
      </c>
      <c r="E51" s="709">
        <v>1</v>
      </c>
      <c r="F51" s="709">
        <v>1</v>
      </c>
      <c r="G51" s="1417" t="s">
        <v>3341</v>
      </c>
    </row>
    <row r="52" spans="1:7" ht="18.75" customHeight="1" thickBot="1" x14ac:dyDescent="0.3">
      <c r="A52" s="1437"/>
      <c r="B52" s="453" t="s">
        <v>102</v>
      </c>
      <c r="C52" s="733">
        <f t="shared" ref="C52:D52" si="12">24-C53-C54</f>
        <v>0</v>
      </c>
      <c r="D52" s="733">
        <f t="shared" si="12"/>
        <v>10</v>
      </c>
      <c r="E52" s="733">
        <f>24-E53-E54</f>
        <v>24</v>
      </c>
      <c r="F52" s="733">
        <f>24-F53-F54</f>
        <v>24</v>
      </c>
      <c r="G52" s="1418"/>
    </row>
    <row r="53" spans="1:7" ht="18.75" customHeight="1" thickBot="1" x14ac:dyDescent="0.3">
      <c r="A53" s="1437"/>
      <c r="B53" s="448" t="s">
        <v>103</v>
      </c>
      <c r="C53" s="612">
        <v>24</v>
      </c>
      <c r="D53" s="612">
        <v>14</v>
      </c>
      <c r="E53" s="731">
        <v>0</v>
      </c>
      <c r="F53" s="731">
        <v>0</v>
      </c>
      <c r="G53" s="1418"/>
    </row>
    <row r="54" spans="1:7" ht="18.75" customHeight="1" thickBot="1" x14ac:dyDescent="0.3">
      <c r="A54" s="1438"/>
      <c r="B54" s="457" t="s">
        <v>104</v>
      </c>
      <c r="C54" s="576">
        <v>0</v>
      </c>
      <c r="D54" s="576">
        <v>0</v>
      </c>
      <c r="E54" s="734">
        <v>0</v>
      </c>
      <c r="F54" s="734">
        <v>0</v>
      </c>
      <c r="G54" s="1423"/>
    </row>
    <row r="55" spans="1:7" ht="18.75" customHeight="1" thickBot="1" x14ac:dyDescent="0.3">
      <c r="A55" s="1436">
        <v>44756</v>
      </c>
      <c r="B55" s="453" t="s">
        <v>17</v>
      </c>
      <c r="C55" s="709">
        <v>1</v>
      </c>
      <c r="D55" s="709">
        <v>1</v>
      </c>
      <c r="E55" s="709">
        <v>1</v>
      </c>
      <c r="F55" s="709">
        <v>1</v>
      </c>
      <c r="G55" s="1417" t="s">
        <v>3346</v>
      </c>
    </row>
    <row r="56" spans="1:7" ht="18.75" customHeight="1" thickBot="1" x14ac:dyDescent="0.3">
      <c r="A56" s="1437"/>
      <c r="B56" s="453" t="s">
        <v>102</v>
      </c>
      <c r="C56" s="733">
        <f t="shared" ref="C56:D56" si="13">24-C57-C58</f>
        <v>0</v>
      </c>
      <c r="D56" s="733">
        <f t="shared" si="13"/>
        <v>0</v>
      </c>
      <c r="E56" s="733">
        <f>24-E57-E58</f>
        <v>24</v>
      </c>
      <c r="F56" s="733">
        <f>24-F57-F58</f>
        <v>2.6700000000000017</v>
      </c>
      <c r="G56" s="1418"/>
    </row>
    <row r="57" spans="1:7" ht="18.75" customHeight="1" thickBot="1" x14ac:dyDescent="0.3">
      <c r="A57" s="1437"/>
      <c r="B57" s="448" t="s">
        <v>103</v>
      </c>
      <c r="C57" s="612">
        <v>24</v>
      </c>
      <c r="D57" s="612">
        <v>24</v>
      </c>
      <c r="E57" s="731">
        <v>0</v>
      </c>
      <c r="F57" s="731">
        <v>21.33</v>
      </c>
      <c r="G57" s="1418"/>
    </row>
    <row r="58" spans="1:7" ht="18.75" customHeight="1" thickBot="1" x14ac:dyDescent="0.3">
      <c r="A58" s="1438"/>
      <c r="B58" s="457" t="s">
        <v>104</v>
      </c>
      <c r="C58" s="576">
        <v>0</v>
      </c>
      <c r="D58" s="576">
        <v>0</v>
      </c>
      <c r="E58" s="734">
        <v>0</v>
      </c>
      <c r="F58" s="734">
        <v>0</v>
      </c>
      <c r="G58" s="1418"/>
    </row>
    <row r="59" spans="1:7" ht="18.75" customHeight="1" thickBot="1" x14ac:dyDescent="0.3">
      <c r="A59" s="1436">
        <v>44757</v>
      </c>
      <c r="B59" s="453" t="s">
        <v>17</v>
      </c>
      <c r="C59" s="709">
        <v>1</v>
      </c>
      <c r="D59" s="709">
        <v>1</v>
      </c>
      <c r="E59" s="709">
        <v>1</v>
      </c>
      <c r="F59" s="709">
        <v>1</v>
      </c>
      <c r="G59" s="1456" t="s">
        <v>3462</v>
      </c>
    </row>
    <row r="60" spans="1:7" ht="18.75" customHeight="1" thickBot="1" x14ac:dyDescent="0.3">
      <c r="A60" s="1437"/>
      <c r="B60" s="453" t="s">
        <v>102</v>
      </c>
      <c r="C60" s="733">
        <f t="shared" ref="C60:D60" si="14">24-C61-C62</f>
        <v>0</v>
      </c>
      <c r="D60" s="733">
        <f t="shared" si="14"/>
        <v>0</v>
      </c>
      <c r="E60" s="733">
        <f>24-E61-E62</f>
        <v>22</v>
      </c>
      <c r="F60" s="733">
        <f>24-F61-F62</f>
        <v>9.58</v>
      </c>
      <c r="G60" s="1456"/>
    </row>
    <row r="61" spans="1:7" ht="18.75" customHeight="1" thickBot="1" x14ac:dyDescent="0.3">
      <c r="A61" s="1437"/>
      <c r="B61" s="448" t="s">
        <v>103</v>
      </c>
      <c r="C61" s="612">
        <v>24</v>
      </c>
      <c r="D61" s="612">
        <v>24</v>
      </c>
      <c r="E61" s="731">
        <v>2</v>
      </c>
      <c r="F61" s="731">
        <v>14.42</v>
      </c>
      <c r="G61" s="1456"/>
    </row>
    <row r="62" spans="1:7" ht="18.75" customHeight="1" thickBot="1" x14ac:dyDescent="0.3">
      <c r="A62" s="1438"/>
      <c r="B62" s="457" t="s">
        <v>104</v>
      </c>
      <c r="C62" s="576">
        <v>0</v>
      </c>
      <c r="D62" s="576">
        <v>0</v>
      </c>
      <c r="E62" s="734">
        <v>0</v>
      </c>
      <c r="F62" s="734">
        <v>0</v>
      </c>
      <c r="G62" s="1456"/>
    </row>
    <row r="63" spans="1:7" ht="18.75" customHeight="1" thickBot="1" x14ac:dyDescent="0.3">
      <c r="A63" s="1436">
        <v>44758</v>
      </c>
      <c r="B63" s="453" t="s">
        <v>17</v>
      </c>
      <c r="C63" s="709">
        <v>1</v>
      </c>
      <c r="D63" s="709">
        <v>1</v>
      </c>
      <c r="E63" s="709">
        <v>1</v>
      </c>
      <c r="F63" s="709">
        <v>1</v>
      </c>
      <c r="G63" s="1418"/>
    </row>
    <row r="64" spans="1:7" ht="18.75" customHeight="1" thickBot="1" x14ac:dyDescent="0.3">
      <c r="A64" s="1437"/>
      <c r="B64" s="453" t="s">
        <v>102</v>
      </c>
      <c r="C64" s="733">
        <f t="shared" ref="C64:D64" si="15">24-C65-C66</f>
        <v>0</v>
      </c>
      <c r="D64" s="733">
        <f t="shared" si="15"/>
        <v>0</v>
      </c>
      <c r="E64" s="733">
        <f>24-E65-E66</f>
        <v>24</v>
      </c>
      <c r="F64" s="733">
        <f>24-F65-F66</f>
        <v>24</v>
      </c>
      <c r="G64" s="1418"/>
    </row>
    <row r="65" spans="1:7" ht="18.75" customHeight="1" thickBot="1" x14ac:dyDescent="0.3">
      <c r="A65" s="1437"/>
      <c r="B65" s="448" t="s">
        <v>103</v>
      </c>
      <c r="C65" s="612">
        <v>24</v>
      </c>
      <c r="D65" s="612">
        <v>24</v>
      </c>
      <c r="E65" s="731">
        <v>0</v>
      </c>
      <c r="F65" s="731">
        <v>0</v>
      </c>
      <c r="G65" s="1418"/>
    </row>
    <row r="66" spans="1:7" ht="18.75" customHeight="1" thickBot="1" x14ac:dyDescent="0.3">
      <c r="A66" s="1438"/>
      <c r="B66" s="457" t="s">
        <v>104</v>
      </c>
      <c r="C66" s="576">
        <v>0</v>
      </c>
      <c r="D66" s="576">
        <v>0</v>
      </c>
      <c r="E66" s="734">
        <v>0</v>
      </c>
      <c r="F66" s="734">
        <v>0</v>
      </c>
      <c r="G66" s="1423"/>
    </row>
    <row r="67" spans="1:7" ht="18.75" customHeight="1" thickBot="1" x14ac:dyDescent="0.3">
      <c r="A67" s="1436">
        <v>44759</v>
      </c>
      <c r="B67" s="453" t="s">
        <v>17</v>
      </c>
      <c r="C67" s="709">
        <v>1</v>
      </c>
      <c r="D67" s="709">
        <v>1</v>
      </c>
      <c r="E67" s="709">
        <v>1</v>
      </c>
      <c r="F67" s="709">
        <v>1</v>
      </c>
      <c r="G67" s="1417" t="s">
        <v>3361</v>
      </c>
    </row>
    <row r="68" spans="1:7" ht="18.75" customHeight="1" thickBot="1" x14ac:dyDescent="0.3">
      <c r="A68" s="1437"/>
      <c r="B68" s="453" t="s">
        <v>102</v>
      </c>
      <c r="C68" s="733">
        <f t="shared" ref="C68:D68" si="16">24-C69-C70</f>
        <v>19.670000000000002</v>
      </c>
      <c r="D68" s="733">
        <f t="shared" si="16"/>
        <v>19.670000000000002</v>
      </c>
      <c r="E68" s="733">
        <f>24-E69-E70</f>
        <v>24</v>
      </c>
      <c r="F68" s="733">
        <f>24-F69-F70</f>
        <v>24</v>
      </c>
      <c r="G68" s="1418"/>
    </row>
    <row r="69" spans="1:7" ht="18.75" customHeight="1" thickBot="1" x14ac:dyDescent="0.3">
      <c r="A69" s="1437"/>
      <c r="B69" s="448" t="s">
        <v>103</v>
      </c>
      <c r="C69" s="612">
        <v>4.33</v>
      </c>
      <c r="D69" s="612">
        <v>4.33</v>
      </c>
      <c r="E69" s="731">
        <v>0</v>
      </c>
      <c r="F69" s="731">
        <v>0</v>
      </c>
      <c r="G69" s="1418"/>
    </row>
    <row r="70" spans="1:7" ht="18.75" customHeight="1" thickBot="1" x14ac:dyDescent="0.3">
      <c r="A70" s="1438"/>
      <c r="B70" s="457" t="s">
        <v>104</v>
      </c>
      <c r="C70" s="576">
        <v>0</v>
      </c>
      <c r="D70" s="576">
        <v>0</v>
      </c>
      <c r="E70" s="734">
        <v>0</v>
      </c>
      <c r="F70" s="734">
        <v>0</v>
      </c>
      <c r="G70" s="1423"/>
    </row>
    <row r="71" spans="1:7" ht="18.75" customHeight="1" thickBot="1" x14ac:dyDescent="0.3">
      <c r="A71" s="1436">
        <v>44760</v>
      </c>
      <c r="B71" s="453" t="s">
        <v>17</v>
      </c>
      <c r="C71" s="709">
        <v>1</v>
      </c>
      <c r="D71" s="709">
        <v>1</v>
      </c>
      <c r="E71" s="709">
        <v>1</v>
      </c>
      <c r="F71" s="709">
        <v>1</v>
      </c>
      <c r="G71" s="1417"/>
    </row>
    <row r="72" spans="1:7" ht="18.75" customHeight="1" thickBot="1" x14ac:dyDescent="0.3">
      <c r="A72" s="1437"/>
      <c r="B72" s="453" t="s">
        <v>102</v>
      </c>
      <c r="C72" s="733">
        <f t="shared" ref="C72:D72" si="17">24-C73-C74</f>
        <v>24</v>
      </c>
      <c r="D72" s="733">
        <f t="shared" si="17"/>
        <v>24</v>
      </c>
      <c r="E72" s="733">
        <f>24-E73-E74</f>
        <v>24</v>
      </c>
      <c r="F72" s="733">
        <f>24-F73-F74</f>
        <v>24</v>
      </c>
      <c r="G72" s="1418"/>
    </row>
    <row r="73" spans="1:7" ht="18.75" customHeight="1" thickBot="1" x14ac:dyDescent="0.3">
      <c r="A73" s="1437"/>
      <c r="B73" s="448" t="s">
        <v>103</v>
      </c>
      <c r="C73" s="612">
        <v>0</v>
      </c>
      <c r="D73" s="612">
        <v>0</v>
      </c>
      <c r="E73" s="731">
        <v>0</v>
      </c>
      <c r="F73" s="731">
        <v>0</v>
      </c>
      <c r="G73" s="1418"/>
    </row>
    <row r="74" spans="1:7" ht="18.75" customHeight="1" thickBot="1" x14ac:dyDescent="0.3">
      <c r="A74" s="1438"/>
      <c r="B74" s="457" t="s">
        <v>104</v>
      </c>
      <c r="C74" s="576">
        <v>0</v>
      </c>
      <c r="D74" s="576">
        <v>0</v>
      </c>
      <c r="E74" s="734">
        <v>0</v>
      </c>
      <c r="F74" s="734">
        <v>0</v>
      </c>
      <c r="G74" s="1423"/>
    </row>
    <row r="75" spans="1:7" ht="18.75" customHeight="1" thickBot="1" x14ac:dyDescent="0.3">
      <c r="A75" s="1436">
        <v>44761</v>
      </c>
      <c r="B75" s="453" t="s">
        <v>17</v>
      </c>
      <c r="C75" s="709">
        <v>1</v>
      </c>
      <c r="D75" s="709">
        <v>1</v>
      </c>
      <c r="E75" s="709">
        <v>1</v>
      </c>
      <c r="F75" s="709">
        <v>1</v>
      </c>
      <c r="G75" s="1417" t="s">
        <v>3373</v>
      </c>
    </row>
    <row r="76" spans="1:7" ht="18.75" customHeight="1" thickBot="1" x14ac:dyDescent="0.3">
      <c r="A76" s="1437"/>
      <c r="B76" s="453" t="s">
        <v>102</v>
      </c>
      <c r="C76" s="733">
        <f t="shared" ref="C76:D76" si="18">24-C77-C78</f>
        <v>8</v>
      </c>
      <c r="D76" s="733">
        <f t="shared" si="18"/>
        <v>24</v>
      </c>
      <c r="E76" s="733">
        <f>24-E77-E78</f>
        <v>24</v>
      </c>
      <c r="F76" s="733">
        <f>24-F77-F78</f>
        <v>24</v>
      </c>
      <c r="G76" s="1418"/>
    </row>
    <row r="77" spans="1:7" ht="18.75" customHeight="1" thickBot="1" x14ac:dyDescent="0.3">
      <c r="A77" s="1437"/>
      <c r="B77" s="448" t="s">
        <v>103</v>
      </c>
      <c r="C77" s="612">
        <v>16</v>
      </c>
      <c r="D77" s="612">
        <v>0</v>
      </c>
      <c r="E77" s="731">
        <v>0</v>
      </c>
      <c r="F77" s="731">
        <v>0</v>
      </c>
      <c r="G77" s="1418"/>
    </row>
    <row r="78" spans="1:7" ht="18.75" customHeight="1" thickBot="1" x14ac:dyDescent="0.3">
      <c r="A78" s="1438"/>
      <c r="B78" s="457" t="s">
        <v>104</v>
      </c>
      <c r="C78" s="576">
        <v>0</v>
      </c>
      <c r="D78" s="576">
        <v>0</v>
      </c>
      <c r="E78" s="734">
        <v>0</v>
      </c>
      <c r="F78" s="734">
        <v>0</v>
      </c>
      <c r="G78" s="1423"/>
    </row>
    <row r="79" spans="1:7" ht="18.75" customHeight="1" thickBot="1" x14ac:dyDescent="0.3">
      <c r="A79" s="1436">
        <v>44762</v>
      </c>
      <c r="B79" s="453" t="s">
        <v>17</v>
      </c>
      <c r="C79" s="709">
        <v>1</v>
      </c>
      <c r="D79" s="709">
        <v>1</v>
      </c>
      <c r="E79" s="709">
        <v>1</v>
      </c>
      <c r="F79" s="709">
        <v>1</v>
      </c>
      <c r="G79" s="1417" t="s">
        <v>3382</v>
      </c>
    </row>
    <row r="80" spans="1:7" ht="18.75" customHeight="1" thickBot="1" x14ac:dyDescent="0.3">
      <c r="A80" s="1437"/>
      <c r="B80" s="453" t="s">
        <v>102</v>
      </c>
      <c r="C80" s="733">
        <f t="shared" ref="C80:D80" si="19">24-C81-C82</f>
        <v>0</v>
      </c>
      <c r="D80" s="733">
        <f t="shared" si="19"/>
        <v>13.17</v>
      </c>
      <c r="E80" s="733">
        <f>24-E81-E82</f>
        <v>24</v>
      </c>
      <c r="F80" s="733">
        <f>24-F81-F82</f>
        <v>24</v>
      </c>
      <c r="G80" s="1418"/>
    </row>
    <row r="81" spans="1:7" ht="18.75" customHeight="1" thickBot="1" x14ac:dyDescent="0.3">
      <c r="A81" s="1437"/>
      <c r="B81" s="448" t="s">
        <v>103</v>
      </c>
      <c r="C81" s="612">
        <v>24</v>
      </c>
      <c r="D81" s="612">
        <v>10.83</v>
      </c>
      <c r="E81" s="731">
        <v>0</v>
      </c>
      <c r="F81" s="731">
        <v>0</v>
      </c>
      <c r="G81" s="1418"/>
    </row>
    <row r="82" spans="1:7" ht="18.75" customHeight="1" thickBot="1" x14ac:dyDescent="0.3">
      <c r="A82" s="1438"/>
      <c r="B82" s="457" t="s">
        <v>104</v>
      </c>
      <c r="C82" s="576">
        <v>0</v>
      </c>
      <c r="D82" s="576">
        <v>0</v>
      </c>
      <c r="E82" s="734">
        <v>0</v>
      </c>
      <c r="F82" s="734">
        <v>0</v>
      </c>
      <c r="G82" s="1418"/>
    </row>
    <row r="83" spans="1:7" ht="18.75" customHeight="1" thickBot="1" x14ac:dyDescent="0.3">
      <c r="A83" s="1436">
        <v>44763</v>
      </c>
      <c r="B83" s="453" t="s">
        <v>17</v>
      </c>
      <c r="C83" s="709">
        <v>1</v>
      </c>
      <c r="D83" s="709">
        <v>1</v>
      </c>
      <c r="E83" s="709">
        <v>1</v>
      </c>
      <c r="F83" s="709">
        <v>1</v>
      </c>
      <c r="G83" s="1418"/>
    </row>
    <row r="84" spans="1:7" ht="18.75" customHeight="1" thickBot="1" x14ac:dyDescent="0.3">
      <c r="A84" s="1437"/>
      <c r="B84" s="453" t="s">
        <v>102</v>
      </c>
      <c r="C84" s="733">
        <f t="shared" ref="C84:D84" si="20">24-C85-C86</f>
        <v>0</v>
      </c>
      <c r="D84" s="733">
        <f t="shared" si="20"/>
        <v>19.25</v>
      </c>
      <c r="E84" s="733">
        <f>24-E85-E86</f>
        <v>24</v>
      </c>
      <c r="F84" s="733">
        <f>24-F85-F86</f>
        <v>24</v>
      </c>
      <c r="G84" s="1418"/>
    </row>
    <row r="85" spans="1:7" ht="18.75" customHeight="1" thickBot="1" x14ac:dyDescent="0.3">
      <c r="A85" s="1437"/>
      <c r="B85" s="448" t="s">
        <v>103</v>
      </c>
      <c r="C85" s="612">
        <v>24</v>
      </c>
      <c r="D85" s="612">
        <v>4.75</v>
      </c>
      <c r="E85" s="731">
        <v>0</v>
      </c>
      <c r="F85" s="731">
        <v>0</v>
      </c>
      <c r="G85" s="1418"/>
    </row>
    <row r="86" spans="1:7" ht="18.75" customHeight="1" thickBot="1" x14ac:dyDescent="0.3">
      <c r="A86" s="1438"/>
      <c r="B86" s="457" t="s">
        <v>104</v>
      </c>
      <c r="C86" s="576">
        <v>0</v>
      </c>
      <c r="D86" s="576">
        <v>0</v>
      </c>
      <c r="E86" s="734">
        <v>0</v>
      </c>
      <c r="F86" s="734">
        <v>0</v>
      </c>
      <c r="G86" s="1419"/>
    </row>
    <row r="87" spans="1:7" ht="18.75" customHeight="1" thickBot="1" x14ac:dyDescent="0.3">
      <c r="A87" s="1436">
        <v>44764</v>
      </c>
      <c r="B87" s="453" t="s">
        <v>17</v>
      </c>
      <c r="C87" s="709">
        <v>1</v>
      </c>
      <c r="D87" s="709">
        <v>1</v>
      </c>
      <c r="E87" s="709">
        <v>1</v>
      </c>
      <c r="F87" s="709">
        <v>1</v>
      </c>
      <c r="G87" s="1457" t="s">
        <v>3393</v>
      </c>
    </row>
    <row r="88" spans="1:7" ht="18.75" customHeight="1" thickBot="1" x14ac:dyDescent="0.3">
      <c r="A88" s="1437"/>
      <c r="B88" s="453" t="s">
        <v>102</v>
      </c>
      <c r="C88" s="733">
        <f t="shared" ref="C88:D88" si="21">24-C89-C90</f>
        <v>0</v>
      </c>
      <c r="D88" s="733">
        <f t="shared" si="21"/>
        <v>20.170000000000002</v>
      </c>
      <c r="E88" s="733">
        <f>24-E89-E90</f>
        <v>24</v>
      </c>
      <c r="F88" s="733">
        <f>24-F89-F90</f>
        <v>24</v>
      </c>
      <c r="G88" s="1418"/>
    </row>
    <row r="89" spans="1:7" ht="18.75" customHeight="1" thickBot="1" x14ac:dyDescent="0.3">
      <c r="A89" s="1437"/>
      <c r="B89" s="448" t="s">
        <v>103</v>
      </c>
      <c r="C89" s="612">
        <v>24</v>
      </c>
      <c r="D89" s="612">
        <v>3.83</v>
      </c>
      <c r="E89" s="731">
        <v>0</v>
      </c>
      <c r="F89" s="731">
        <v>0</v>
      </c>
      <c r="G89" s="1418"/>
    </row>
    <row r="90" spans="1:7" ht="18.75" customHeight="1" thickBot="1" x14ac:dyDescent="0.3">
      <c r="A90" s="1438"/>
      <c r="B90" s="457" t="s">
        <v>104</v>
      </c>
      <c r="C90" s="576">
        <v>0</v>
      </c>
      <c r="D90" s="576">
        <v>0</v>
      </c>
      <c r="E90" s="734">
        <v>0</v>
      </c>
      <c r="F90" s="734">
        <v>0</v>
      </c>
      <c r="G90" s="1418"/>
    </row>
    <row r="91" spans="1:7" ht="18.75" customHeight="1" thickBot="1" x14ac:dyDescent="0.3">
      <c r="A91" s="1436">
        <v>44765</v>
      </c>
      <c r="B91" s="453" t="s">
        <v>17</v>
      </c>
      <c r="C91" s="709">
        <v>1</v>
      </c>
      <c r="D91" s="709">
        <v>1</v>
      </c>
      <c r="E91" s="709">
        <v>1</v>
      </c>
      <c r="F91" s="709">
        <v>1</v>
      </c>
      <c r="G91" s="1418"/>
    </row>
    <row r="92" spans="1:7" ht="18.75" customHeight="1" thickBot="1" x14ac:dyDescent="0.3">
      <c r="A92" s="1437"/>
      <c r="B92" s="453" t="s">
        <v>102</v>
      </c>
      <c r="C92" s="733">
        <f t="shared" ref="C92:D92" si="22">24-C93-C94</f>
        <v>13</v>
      </c>
      <c r="D92" s="733">
        <f t="shared" si="22"/>
        <v>12.67</v>
      </c>
      <c r="E92" s="733">
        <f>24-E93-E94</f>
        <v>24</v>
      </c>
      <c r="F92" s="733">
        <f>24-F93-F94</f>
        <v>24</v>
      </c>
      <c r="G92" s="1418"/>
    </row>
    <row r="93" spans="1:7" ht="18.75" customHeight="1" thickBot="1" x14ac:dyDescent="0.3">
      <c r="A93" s="1437"/>
      <c r="B93" s="448" t="s">
        <v>103</v>
      </c>
      <c r="C93" s="612">
        <v>11</v>
      </c>
      <c r="D93" s="612">
        <v>11.33</v>
      </c>
      <c r="E93" s="731">
        <v>0</v>
      </c>
      <c r="F93" s="731">
        <v>0</v>
      </c>
      <c r="G93" s="1418"/>
    </row>
    <row r="94" spans="1:7" ht="18.75" customHeight="1" thickBot="1" x14ac:dyDescent="0.3">
      <c r="A94" s="1438"/>
      <c r="B94" s="457" t="s">
        <v>104</v>
      </c>
      <c r="C94" s="576">
        <v>0</v>
      </c>
      <c r="D94" s="576">
        <v>0</v>
      </c>
      <c r="E94" s="734">
        <v>0</v>
      </c>
      <c r="F94" s="734">
        <v>0</v>
      </c>
      <c r="G94" s="1423"/>
    </row>
    <row r="95" spans="1:7" ht="18.75" customHeight="1" thickBot="1" x14ac:dyDescent="0.3">
      <c r="A95" s="1436">
        <v>44766</v>
      </c>
      <c r="B95" s="453" t="s">
        <v>17</v>
      </c>
      <c r="C95" s="709">
        <v>1</v>
      </c>
      <c r="D95" s="709">
        <v>1</v>
      </c>
      <c r="E95" s="709">
        <v>1</v>
      </c>
      <c r="F95" s="709">
        <v>1</v>
      </c>
      <c r="G95" s="1417" t="s">
        <v>3412</v>
      </c>
    </row>
    <row r="96" spans="1:7" ht="18.75" customHeight="1" thickBot="1" x14ac:dyDescent="0.3">
      <c r="A96" s="1437"/>
      <c r="B96" s="453" t="s">
        <v>102</v>
      </c>
      <c r="C96" s="733">
        <f t="shared" ref="C96:D96" si="23">24-C97-C98</f>
        <v>21.09</v>
      </c>
      <c r="D96" s="733">
        <f t="shared" si="23"/>
        <v>16.329999999999998</v>
      </c>
      <c r="E96" s="733">
        <f>24-E97-E98</f>
        <v>24</v>
      </c>
      <c r="F96" s="733">
        <f>24-F97-F98</f>
        <v>24</v>
      </c>
      <c r="G96" s="1418"/>
    </row>
    <row r="97" spans="1:7" ht="18.75" customHeight="1" thickBot="1" x14ac:dyDescent="0.3">
      <c r="A97" s="1437"/>
      <c r="B97" s="448" t="s">
        <v>103</v>
      </c>
      <c r="C97" s="612">
        <v>2.91</v>
      </c>
      <c r="D97" s="612">
        <v>7.67</v>
      </c>
      <c r="E97" s="731">
        <v>0</v>
      </c>
      <c r="F97" s="731">
        <v>0</v>
      </c>
      <c r="G97" s="1418"/>
    </row>
    <row r="98" spans="1:7" ht="18.75" customHeight="1" thickBot="1" x14ac:dyDescent="0.3">
      <c r="A98" s="1438"/>
      <c r="B98" s="457" t="s">
        <v>104</v>
      </c>
      <c r="C98" s="576">
        <v>0</v>
      </c>
      <c r="D98" s="576">
        <v>0</v>
      </c>
      <c r="E98" s="734">
        <v>0</v>
      </c>
      <c r="F98" s="734">
        <v>0</v>
      </c>
      <c r="G98" s="1418"/>
    </row>
    <row r="99" spans="1:7" ht="18.75" customHeight="1" thickBot="1" x14ac:dyDescent="0.3">
      <c r="A99" s="1436">
        <v>44767</v>
      </c>
      <c r="B99" s="453" t="s">
        <v>17</v>
      </c>
      <c r="C99" s="709">
        <v>1</v>
      </c>
      <c r="D99" s="709">
        <v>1</v>
      </c>
      <c r="E99" s="709">
        <v>1</v>
      </c>
      <c r="F99" s="709">
        <v>1</v>
      </c>
      <c r="G99" s="1418"/>
    </row>
    <row r="100" spans="1:7" ht="18.75" customHeight="1" thickBot="1" x14ac:dyDescent="0.3">
      <c r="A100" s="1437"/>
      <c r="B100" s="453" t="s">
        <v>102</v>
      </c>
      <c r="C100" s="733">
        <f t="shared" ref="C100:D100" si="24">24-C101-C102</f>
        <v>0</v>
      </c>
      <c r="D100" s="733">
        <f t="shared" si="24"/>
        <v>24</v>
      </c>
      <c r="E100" s="733">
        <f>24-E101-E102</f>
        <v>24</v>
      </c>
      <c r="F100" s="733">
        <f>24-F101-F102</f>
        <v>24</v>
      </c>
      <c r="G100" s="1418"/>
    </row>
    <row r="101" spans="1:7" ht="18.75" customHeight="1" thickBot="1" x14ac:dyDescent="0.3">
      <c r="A101" s="1437"/>
      <c r="B101" s="448" t="s">
        <v>103</v>
      </c>
      <c r="C101" s="612">
        <v>24</v>
      </c>
      <c r="D101" s="612">
        <v>0</v>
      </c>
      <c r="E101" s="731">
        <v>0</v>
      </c>
      <c r="F101" s="731">
        <v>0</v>
      </c>
      <c r="G101" s="1418"/>
    </row>
    <row r="102" spans="1:7" ht="18.75" customHeight="1" thickBot="1" x14ac:dyDescent="0.3">
      <c r="A102" s="1438"/>
      <c r="B102" s="457" t="s">
        <v>104</v>
      </c>
      <c r="C102" s="576">
        <v>0</v>
      </c>
      <c r="D102" s="576">
        <v>0</v>
      </c>
      <c r="E102" s="734">
        <v>0</v>
      </c>
      <c r="F102" s="734">
        <v>0</v>
      </c>
      <c r="G102" s="1423"/>
    </row>
    <row r="103" spans="1:7" ht="18.75" customHeight="1" thickBot="1" x14ac:dyDescent="0.3">
      <c r="A103" s="1436">
        <v>44768</v>
      </c>
      <c r="B103" s="453" t="s">
        <v>17</v>
      </c>
      <c r="C103" s="709">
        <v>1</v>
      </c>
      <c r="D103" s="709">
        <v>1</v>
      </c>
      <c r="E103" s="709">
        <v>1</v>
      </c>
      <c r="F103" s="709">
        <v>1</v>
      </c>
      <c r="G103" s="1417" t="s">
        <v>3429</v>
      </c>
    </row>
    <row r="104" spans="1:7" ht="18.75" customHeight="1" thickBot="1" x14ac:dyDescent="0.3">
      <c r="A104" s="1437"/>
      <c r="B104" s="453" t="s">
        <v>102</v>
      </c>
      <c r="C104" s="733">
        <f t="shared" ref="C104:D104" si="25">24-C105-C106</f>
        <v>0</v>
      </c>
      <c r="D104" s="733">
        <f t="shared" si="25"/>
        <v>9.6300000000000008</v>
      </c>
      <c r="E104" s="733">
        <f>24-E105-E106</f>
        <v>24</v>
      </c>
      <c r="F104" s="733">
        <f>24-F105-F106</f>
        <v>24</v>
      </c>
      <c r="G104" s="1418"/>
    </row>
    <row r="105" spans="1:7" ht="18.75" customHeight="1" thickBot="1" x14ac:dyDescent="0.3">
      <c r="A105" s="1437"/>
      <c r="B105" s="448" t="s">
        <v>103</v>
      </c>
      <c r="C105" s="612">
        <v>24</v>
      </c>
      <c r="D105" s="612">
        <v>14.37</v>
      </c>
      <c r="E105" s="731">
        <v>0</v>
      </c>
      <c r="F105" s="731">
        <v>0</v>
      </c>
      <c r="G105" s="1418"/>
    </row>
    <row r="106" spans="1:7" ht="18.75" customHeight="1" thickBot="1" x14ac:dyDescent="0.3">
      <c r="A106" s="1438"/>
      <c r="B106" s="457" t="s">
        <v>104</v>
      </c>
      <c r="C106" s="576">
        <v>0</v>
      </c>
      <c r="D106" s="576">
        <v>0</v>
      </c>
      <c r="E106" s="734">
        <v>0</v>
      </c>
      <c r="F106" s="734">
        <v>0</v>
      </c>
      <c r="G106" s="1418"/>
    </row>
    <row r="107" spans="1:7" ht="18.75" customHeight="1" thickBot="1" x14ac:dyDescent="0.3">
      <c r="A107" s="1436">
        <v>44769</v>
      </c>
      <c r="B107" s="453" t="s">
        <v>17</v>
      </c>
      <c r="C107" s="709">
        <v>1</v>
      </c>
      <c r="D107" s="709">
        <v>1</v>
      </c>
      <c r="E107" s="709">
        <v>1</v>
      </c>
      <c r="F107" s="709">
        <v>1</v>
      </c>
      <c r="G107" s="1418"/>
    </row>
    <row r="108" spans="1:7" ht="18.75" customHeight="1" thickBot="1" x14ac:dyDescent="0.3">
      <c r="A108" s="1437"/>
      <c r="B108" s="453" t="s">
        <v>102</v>
      </c>
      <c r="C108" s="733">
        <f t="shared" ref="C108:D108" si="26">24-C109-C110</f>
        <v>0</v>
      </c>
      <c r="D108" s="733">
        <f t="shared" si="26"/>
        <v>17.5</v>
      </c>
      <c r="E108" s="733">
        <f>24-E109-E110</f>
        <v>24</v>
      </c>
      <c r="F108" s="733">
        <f>24-F109-F110</f>
        <v>24</v>
      </c>
      <c r="G108" s="1418"/>
    </row>
    <row r="109" spans="1:7" ht="18.75" customHeight="1" thickBot="1" x14ac:dyDescent="0.3">
      <c r="A109" s="1437"/>
      <c r="B109" s="448" t="s">
        <v>103</v>
      </c>
      <c r="C109" s="612">
        <v>24</v>
      </c>
      <c r="D109" s="612">
        <v>6.5</v>
      </c>
      <c r="E109" s="731">
        <v>0</v>
      </c>
      <c r="F109" s="731">
        <v>0</v>
      </c>
      <c r="G109" s="1418"/>
    </row>
    <row r="110" spans="1:7" ht="18.75" customHeight="1" thickBot="1" x14ac:dyDescent="0.3">
      <c r="A110" s="1438"/>
      <c r="B110" s="457" t="s">
        <v>104</v>
      </c>
      <c r="C110" s="576">
        <v>0</v>
      </c>
      <c r="D110" s="576">
        <v>0</v>
      </c>
      <c r="E110" s="734">
        <v>0</v>
      </c>
      <c r="F110" s="734">
        <v>0</v>
      </c>
      <c r="G110" s="1423"/>
    </row>
    <row r="111" spans="1:7" ht="18.75" customHeight="1" thickBot="1" x14ac:dyDescent="0.3">
      <c r="A111" s="1436">
        <v>44770</v>
      </c>
      <c r="B111" s="453" t="s">
        <v>17</v>
      </c>
      <c r="C111" s="709">
        <v>1</v>
      </c>
      <c r="D111" s="709">
        <v>1</v>
      </c>
      <c r="E111" s="709">
        <v>1</v>
      </c>
      <c r="F111" s="709">
        <v>1</v>
      </c>
      <c r="G111" s="1458" t="s">
        <v>3528</v>
      </c>
    </row>
    <row r="112" spans="1:7" ht="18.75" customHeight="1" thickBot="1" x14ac:dyDescent="0.3">
      <c r="A112" s="1437"/>
      <c r="B112" s="453" t="s">
        <v>102</v>
      </c>
      <c r="C112" s="733">
        <f t="shared" ref="C112:D112" si="27">24-C113-C114</f>
        <v>6.1700000000000017</v>
      </c>
      <c r="D112" s="733">
        <f t="shared" si="27"/>
        <v>18.55</v>
      </c>
      <c r="E112" s="733">
        <f>24-E113-E114</f>
        <v>24</v>
      </c>
      <c r="F112" s="733">
        <f>24-F113-F114</f>
        <v>24</v>
      </c>
      <c r="G112" s="1459"/>
    </row>
    <row r="113" spans="1:7" ht="18.75" customHeight="1" thickBot="1" x14ac:dyDescent="0.3">
      <c r="A113" s="1437"/>
      <c r="B113" s="448" t="s">
        <v>103</v>
      </c>
      <c r="C113" s="612">
        <v>17.829999999999998</v>
      </c>
      <c r="D113" s="612">
        <v>5.45</v>
      </c>
      <c r="E113" s="731">
        <v>0</v>
      </c>
      <c r="F113" s="731">
        <v>0</v>
      </c>
      <c r="G113" s="1459"/>
    </row>
    <row r="114" spans="1:7" ht="18.75" customHeight="1" thickBot="1" x14ac:dyDescent="0.3">
      <c r="A114" s="1438"/>
      <c r="B114" s="457" t="s">
        <v>104</v>
      </c>
      <c r="C114" s="576">
        <v>0</v>
      </c>
      <c r="D114" s="576">
        <v>0</v>
      </c>
      <c r="E114" s="734">
        <v>0</v>
      </c>
      <c r="F114" s="734">
        <v>0</v>
      </c>
      <c r="G114" s="1460"/>
    </row>
    <row r="115" spans="1:7" ht="18.75" customHeight="1" thickBot="1" x14ac:dyDescent="0.3">
      <c r="A115" s="1436">
        <v>44771</v>
      </c>
      <c r="B115" s="453" t="s">
        <v>17</v>
      </c>
      <c r="C115" s="709">
        <v>1</v>
      </c>
      <c r="D115" s="709">
        <v>1</v>
      </c>
      <c r="E115" s="709">
        <v>1</v>
      </c>
      <c r="F115" s="709">
        <v>1</v>
      </c>
      <c r="G115" s="1447"/>
    </row>
    <row r="116" spans="1:7" ht="18.75" customHeight="1" thickBot="1" x14ac:dyDescent="0.3">
      <c r="A116" s="1437"/>
      <c r="B116" s="453" t="s">
        <v>102</v>
      </c>
      <c r="C116" s="733">
        <f t="shared" ref="C116:D116" si="28">24-C117-C118</f>
        <v>24</v>
      </c>
      <c r="D116" s="733">
        <f t="shared" si="28"/>
        <v>24</v>
      </c>
      <c r="E116" s="733">
        <f>24-E117-E118</f>
        <v>24</v>
      </c>
      <c r="F116" s="733">
        <f>24-F117-F118</f>
        <v>24</v>
      </c>
      <c r="G116" s="1448"/>
    </row>
    <row r="117" spans="1:7" ht="18.75" customHeight="1" thickBot="1" x14ac:dyDescent="0.3">
      <c r="A117" s="1437"/>
      <c r="B117" s="448" t="s">
        <v>103</v>
      </c>
      <c r="C117" s="612">
        <v>0</v>
      </c>
      <c r="D117" s="612">
        <v>0</v>
      </c>
      <c r="E117" s="731">
        <v>0</v>
      </c>
      <c r="F117" s="731">
        <v>0</v>
      </c>
      <c r="G117" s="1448"/>
    </row>
    <row r="118" spans="1:7" ht="18.75" customHeight="1" thickBot="1" x14ac:dyDescent="0.3">
      <c r="A118" s="1438"/>
      <c r="B118" s="457" t="s">
        <v>104</v>
      </c>
      <c r="C118" s="576">
        <v>0</v>
      </c>
      <c r="D118" s="576">
        <v>0</v>
      </c>
      <c r="E118" s="734">
        <v>0</v>
      </c>
      <c r="F118" s="734">
        <v>0</v>
      </c>
      <c r="G118" s="1449"/>
    </row>
    <row r="119" spans="1:7" ht="18.75" customHeight="1" thickBot="1" x14ac:dyDescent="0.3">
      <c r="A119" s="1436">
        <v>44772</v>
      </c>
      <c r="B119" s="453" t="s">
        <v>17</v>
      </c>
      <c r="C119" s="709">
        <v>1</v>
      </c>
      <c r="D119" s="709">
        <v>1</v>
      </c>
      <c r="E119" s="709">
        <v>1</v>
      </c>
      <c r="F119" s="709">
        <v>1</v>
      </c>
      <c r="G119" s="1447" t="s">
        <v>3451</v>
      </c>
    </row>
    <row r="120" spans="1:7" ht="18.75" customHeight="1" thickBot="1" x14ac:dyDescent="0.3">
      <c r="A120" s="1437"/>
      <c r="B120" s="453" t="s">
        <v>102</v>
      </c>
      <c r="C120" s="733">
        <f t="shared" ref="C120:D120" si="29">24-C121-C122</f>
        <v>24</v>
      </c>
      <c r="D120" s="733">
        <f t="shared" si="29"/>
        <v>17.05</v>
      </c>
      <c r="E120" s="733">
        <f>24-E121-E122</f>
        <v>24</v>
      </c>
      <c r="F120" s="733">
        <f>24-F121-F122</f>
        <v>24</v>
      </c>
      <c r="G120" s="1448"/>
    </row>
    <row r="121" spans="1:7" ht="18.75" customHeight="1" thickBot="1" x14ac:dyDescent="0.3">
      <c r="A121" s="1437"/>
      <c r="B121" s="448" t="s">
        <v>103</v>
      </c>
      <c r="C121" s="612">
        <v>0</v>
      </c>
      <c r="D121" s="612">
        <v>6.95</v>
      </c>
      <c r="E121" s="731">
        <v>0</v>
      </c>
      <c r="F121" s="731">
        <v>0</v>
      </c>
      <c r="G121" s="1448"/>
    </row>
    <row r="122" spans="1:7" ht="18.75" customHeight="1" thickBot="1" x14ac:dyDescent="0.3">
      <c r="A122" s="1438"/>
      <c r="B122" s="457" t="s">
        <v>104</v>
      </c>
      <c r="C122" s="576">
        <v>0</v>
      </c>
      <c r="D122" s="576">
        <v>0</v>
      </c>
      <c r="E122" s="734">
        <v>0</v>
      </c>
      <c r="F122" s="734">
        <v>0</v>
      </c>
      <c r="G122" s="1449"/>
    </row>
    <row r="123" spans="1:7" ht="18.75" customHeight="1" thickBot="1" x14ac:dyDescent="0.3">
      <c r="A123" s="1436">
        <v>44773</v>
      </c>
      <c r="B123" s="453" t="s">
        <v>17</v>
      </c>
      <c r="C123" s="709">
        <v>1</v>
      </c>
      <c r="D123" s="709">
        <v>1</v>
      </c>
      <c r="E123" s="709">
        <v>1</v>
      </c>
      <c r="F123" s="709">
        <v>1</v>
      </c>
      <c r="G123" s="1417" t="s">
        <v>3459</v>
      </c>
    </row>
    <row r="124" spans="1:7" ht="18.75" customHeight="1" thickBot="1" x14ac:dyDescent="0.3">
      <c r="A124" s="1437"/>
      <c r="B124" s="453" t="s">
        <v>102</v>
      </c>
      <c r="C124" s="733">
        <f t="shared" ref="C124:D124" si="30">24-C125-C126</f>
        <v>15</v>
      </c>
      <c r="D124" s="733">
        <f t="shared" si="30"/>
        <v>24</v>
      </c>
      <c r="E124" s="733">
        <f>24-E125-E126</f>
        <v>24</v>
      </c>
      <c r="F124" s="733">
        <f>24-F125-F126</f>
        <v>24</v>
      </c>
      <c r="G124" s="1418"/>
    </row>
    <row r="125" spans="1:7" ht="18.75" customHeight="1" thickBot="1" x14ac:dyDescent="0.3">
      <c r="A125" s="1437"/>
      <c r="B125" s="448" t="s">
        <v>103</v>
      </c>
      <c r="C125" s="612">
        <v>9</v>
      </c>
      <c r="D125" s="612">
        <v>0</v>
      </c>
      <c r="E125" s="731">
        <v>0</v>
      </c>
      <c r="F125" s="731">
        <v>0</v>
      </c>
      <c r="G125" s="1418"/>
    </row>
    <row r="126" spans="1:7" ht="18.75" customHeight="1" thickBot="1" x14ac:dyDescent="0.3">
      <c r="A126" s="1438"/>
      <c r="B126" s="457" t="s">
        <v>104</v>
      </c>
      <c r="C126" s="576">
        <v>0</v>
      </c>
      <c r="D126" s="576">
        <v>0</v>
      </c>
      <c r="E126" s="734">
        <v>0</v>
      </c>
      <c r="F126" s="734">
        <v>0</v>
      </c>
      <c r="G126" s="1423"/>
    </row>
    <row r="127" spans="1:7" x14ac:dyDescent="0.25">
      <c r="A127" s="464" t="s">
        <v>3223</v>
      </c>
      <c r="B127" s="465"/>
      <c r="C127" s="466">
        <f>SUM(C112,C108,C104,C100,C96,C92,C88,C84,C80,C76,C72,C68,C64,C60,C56,C52,C48,C44,C40,C36,C32,C28,C24,C20,C16,C12,C8,C4,C116,C120,C124)</f>
        <v>231.14999999999998</v>
      </c>
      <c r="D127" s="466">
        <f>SUM(D112,D108,D104,D100,D96,D92,D88,D84,D80,D76,D72,D68,D64,D60,D56,D52,D48,D44,D40,D36,D32,D28,D24,D20,D16,D12,D8,D4,D116,D120,D124)</f>
        <v>488.57</v>
      </c>
      <c r="E127" s="466">
        <f t="shared" ref="E127:F128" si="31">SUM(E112,E108,E104,E100,E96,E92,E88,E84,E80,E76,E72,E68,E64,E60,E56,E52,E48,E44,E40,E36,E32,E28,E24,E20,E16,E12,E8,E4,E116,E120,E124)</f>
        <v>740.42</v>
      </c>
      <c r="F127" s="466">
        <f t="shared" si="31"/>
        <v>686.27</v>
      </c>
      <c r="G127" s="468"/>
    </row>
    <row r="128" spans="1:7" x14ac:dyDescent="0.25">
      <c r="A128" s="882" t="s">
        <v>3224</v>
      </c>
      <c r="B128" s="134"/>
      <c r="C128" s="469">
        <f>SUM(C113,C109,C105,C101,C97,C93,C89,C85,C81,C77,C73,C69,C65,C61,C57,C53,C49,C45,C41,C37,C33,C29,C25,C21,C17,C13,C9,C5,C117,C121,C125)</f>
        <v>512.85</v>
      </c>
      <c r="D128" s="469">
        <f>SUM(D113,D109,D105,D101,D97,D93,D89,D85,D81,D77,D73,D69,D65,D61,D57,D53,D49,D45,D41,D37,D33,D29,D25,D21,D17,D13,D9,D5,D117,D121,D125)</f>
        <v>255.42999999999998</v>
      </c>
      <c r="E128" s="469">
        <f t="shared" si="31"/>
        <v>3.58</v>
      </c>
      <c r="F128" s="469">
        <f t="shared" si="31"/>
        <v>57.73</v>
      </c>
      <c r="G128" s="471"/>
    </row>
    <row r="129" spans="1:7" ht="15.75" thickBot="1" x14ac:dyDescent="0.3">
      <c r="A129" s="883" t="s">
        <v>3225</v>
      </c>
      <c r="B129" s="472"/>
      <c r="C129" s="473">
        <f>SUM(C114,C110,C106,C102,C98,C94,C90,C86,C82,C78,C74,C70,C66,C62,C58,C54,C50,C46,C42,C38,C34,C30,C26,C22,C18,C14,C10,C6,C118,C122,C126)</f>
        <v>0</v>
      </c>
      <c r="D129" s="473">
        <f t="shared" ref="D129:F129" si="32">SUM(D114,D110,D106,D102,D98,D94,D90,D86,D82,D78,D74,D70,D66,D62,D58,D54,D50,D46,D42,D38,D34,D30,D26,D22,D18,D14,D10,D6,D118,D122,D126)</f>
        <v>0</v>
      </c>
      <c r="E129" s="473">
        <f t="shared" si="32"/>
        <v>0</v>
      </c>
      <c r="F129" s="473">
        <f t="shared" si="32"/>
        <v>0</v>
      </c>
      <c r="G129" s="475"/>
    </row>
    <row r="130" spans="1:7" ht="15.75" thickBot="1" x14ac:dyDescent="0.3">
      <c r="A130" s="1450" t="s">
        <v>108</v>
      </c>
      <c r="B130" s="1451"/>
      <c r="C130" s="1451"/>
      <c r="D130" s="1451"/>
      <c r="E130" s="1451"/>
      <c r="F130" s="1451"/>
      <c r="G130" s="1452"/>
    </row>
  </sheetData>
  <mergeCells count="56">
    <mergeCell ref="G103:G110"/>
    <mergeCell ref="G119:G122"/>
    <mergeCell ref="G79:G86"/>
    <mergeCell ref="A130:G130"/>
    <mergeCell ref="A99:A102"/>
    <mergeCell ref="A103:A106"/>
    <mergeCell ref="A107:A110"/>
    <mergeCell ref="A111:A114"/>
    <mergeCell ref="G111:G114"/>
    <mergeCell ref="A115:A118"/>
    <mergeCell ref="A119:A122"/>
    <mergeCell ref="A123:A126"/>
    <mergeCell ref="G123:G126"/>
    <mergeCell ref="G115:G118"/>
    <mergeCell ref="A95:A98"/>
    <mergeCell ref="A83:A86"/>
    <mergeCell ref="A87:A90"/>
    <mergeCell ref="A91:A94"/>
    <mergeCell ref="G87:G94"/>
    <mergeCell ref="G95:G102"/>
    <mergeCell ref="A67:A70"/>
    <mergeCell ref="G67:G70"/>
    <mergeCell ref="A71:A74"/>
    <mergeCell ref="G71:G74"/>
    <mergeCell ref="A75:A78"/>
    <mergeCell ref="G75:G78"/>
    <mergeCell ref="A79:A82"/>
    <mergeCell ref="A43:A46"/>
    <mergeCell ref="G43:G46"/>
    <mergeCell ref="A47:A50"/>
    <mergeCell ref="G47:G50"/>
    <mergeCell ref="A51:A54"/>
    <mergeCell ref="G51:G54"/>
    <mergeCell ref="A55:A58"/>
    <mergeCell ref="A59:A62"/>
    <mergeCell ref="A63:A66"/>
    <mergeCell ref="G63:G66"/>
    <mergeCell ref="G55:G58"/>
    <mergeCell ref="G59:G62"/>
    <mergeCell ref="A39:A42"/>
    <mergeCell ref="G39:G42"/>
    <mergeCell ref="A15:A18"/>
    <mergeCell ref="A19:A22"/>
    <mergeCell ref="A23:A26"/>
    <mergeCell ref="A27:A30"/>
    <mergeCell ref="A31:A34"/>
    <mergeCell ref="A35:A38"/>
    <mergeCell ref="G23:G30"/>
    <mergeCell ref="G31:G38"/>
    <mergeCell ref="G15:G22"/>
    <mergeCell ref="A11:A14"/>
    <mergeCell ref="G11:G14"/>
    <mergeCell ref="G3:G10"/>
    <mergeCell ref="A1:G1"/>
    <mergeCell ref="A3:A6"/>
    <mergeCell ref="A7:A10"/>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G130"/>
  <sheetViews>
    <sheetView workbookViewId="0">
      <pane ySplit="2" topLeftCell="A29" activePane="bottomLeft" state="frozen"/>
      <selection pane="bottomLeft" activeCell="G31" sqref="G31:G34"/>
    </sheetView>
  </sheetViews>
  <sheetFormatPr defaultRowHeight="15" x14ac:dyDescent="0.25"/>
  <cols>
    <col min="1" max="1" width="47.7109375" customWidth="1"/>
    <col min="2" max="2" width="25" customWidth="1"/>
    <col min="4" max="4" width="9.140625" style="1"/>
    <col min="7" max="7" width="54.7109375" customWidth="1"/>
  </cols>
  <sheetData>
    <row r="1" spans="1:7" ht="21.75" thickBot="1" x14ac:dyDescent="0.4">
      <c r="A1" s="1443" t="s">
        <v>73</v>
      </c>
      <c r="B1" s="1443"/>
      <c r="C1" s="1443"/>
      <c r="D1" s="1443"/>
      <c r="E1" s="1443"/>
      <c r="F1" s="1443"/>
      <c r="G1" s="1443"/>
    </row>
    <row r="2" spans="1:7" ht="16.5" thickBot="1" x14ac:dyDescent="0.3">
      <c r="A2" s="108" t="s">
        <v>98</v>
      </c>
      <c r="B2" s="608"/>
      <c r="C2" s="607" t="s">
        <v>310</v>
      </c>
      <c r="D2" s="607" t="s">
        <v>239</v>
      </c>
      <c r="E2" s="447" t="s">
        <v>100</v>
      </c>
      <c r="F2" s="682" t="s">
        <v>157</v>
      </c>
      <c r="G2" s="111" t="s">
        <v>101</v>
      </c>
    </row>
    <row r="3" spans="1:7" ht="18.75" customHeight="1" thickBot="1" x14ac:dyDescent="0.3">
      <c r="A3" s="1436">
        <v>44774</v>
      </c>
      <c r="B3" s="453" t="s">
        <v>17</v>
      </c>
      <c r="C3" s="709">
        <v>1</v>
      </c>
      <c r="D3" s="709">
        <v>1</v>
      </c>
      <c r="E3" s="709">
        <v>1</v>
      </c>
      <c r="F3" s="709">
        <v>1</v>
      </c>
      <c r="G3" s="1453" t="s">
        <v>3488</v>
      </c>
    </row>
    <row r="4" spans="1:7" ht="18.75" customHeight="1" thickBot="1" x14ac:dyDescent="0.3">
      <c r="A4" s="1437"/>
      <c r="B4" s="453" t="s">
        <v>102</v>
      </c>
      <c r="C4" s="733">
        <f t="shared" ref="C4:D4" si="0">24-C5-C6</f>
        <v>0</v>
      </c>
      <c r="D4" s="733">
        <f t="shared" si="0"/>
        <v>15.1</v>
      </c>
      <c r="E4" s="733">
        <f>24-E5-E6</f>
        <v>24</v>
      </c>
      <c r="F4" s="733">
        <f>24-F5-F6</f>
        <v>24</v>
      </c>
      <c r="G4" s="1418"/>
    </row>
    <row r="5" spans="1:7" ht="18.75" customHeight="1" thickBot="1" x14ac:dyDescent="0.3">
      <c r="A5" s="1437"/>
      <c r="B5" s="448" t="s">
        <v>103</v>
      </c>
      <c r="C5" s="612">
        <v>24</v>
      </c>
      <c r="D5" s="612">
        <v>8.9</v>
      </c>
      <c r="E5" s="731">
        <v>0</v>
      </c>
      <c r="F5" s="731">
        <v>0</v>
      </c>
      <c r="G5" s="1418"/>
    </row>
    <row r="6" spans="1:7" ht="18.75" customHeight="1" thickBot="1" x14ac:dyDescent="0.3">
      <c r="A6" s="1438"/>
      <c r="B6" s="457" t="s">
        <v>104</v>
      </c>
      <c r="C6" s="576">
        <v>0</v>
      </c>
      <c r="D6" s="576">
        <v>0</v>
      </c>
      <c r="E6" s="734">
        <v>0</v>
      </c>
      <c r="F6" s="734">
        <v>0</v>
      </c>
      <c r="G6" s="1418"/>
    </row>
    <row r="7" spans="1:7" ht="15.75" thickBot="1" x14ac:dyDescent="0.3">
      <c r="A7" s="1436">
        <v>44775</v>
      </c>
      <c r="B7" s="453" t="s">
        <v>17</v>
      </c>
      <c r="C7" s="709">
        <v>1</v>
      </c>
      <c r="D7" s="709">
        <v>1</v>
      </c>
      <c r="E7" s="709">
        <v>1</v>
      </c>
      <c r="F7" s="709">
        <v>1</v>
      </c>
      <c r="G7" s="1418"/>
    </row>
    <row r="8" spans="1:7" ht="15.75" thickBot="1" x14ac:dyDescent="0.3">
      <c r="A8" s="1437"/>
      <c r="B8" s="453" t="s">
        <v>102</v>
      </c>
      <c r="C8" s="733">
        <f t="shared" ref="C8:D8" si="1">24-C9-C10</f>
        <v>0</v>
      </c>
      <c r="D8" s="733">
        <f t="shared" si="1"/>
        <v>14.23</v>
      </c>
      <c r="E8" s="733">
        <f>24-E9-E10</f>
        <v>24</v>
      </c>
      <c r="F8" s="733">
        <f>24-F9-F10</f>
        <v>24</v>
      </c>
      <c r="G8" s="1418"/>
    </row>
    <row r="9" spans="1:7" ht="15.75" thickBot="1" x14ac:dyDescent="0.3">
      <c r="A9" s="1437"/>
      <c r="B9" s="448" t="s">
        <v>103</v>
      </c>
      <c r="C9" s="612">
        <v>24</v>
      </c>
      <c r="D9" s="612">
        <v>9.77</v>
      </c>
      <c r="E9" s="731">
        <v>0</v>
      </c>
      <c r="F9" s="731">
        <v>0</v>
      </c>
      <c r="G9" s="1418"/>
    </row>
    <row r="10" spans="1:7" ht="27.75" customHeight="1" thickBot="1" x14ac:dyDescent="0.3">
      <c r="A10" s="1438"/>
      <c r="B10" s="457" t="s">
        <v>104</v>
      </c>
      <c r="C10" s="576">
        <v>0</v>
      </c>
      <c r="D10" s="576">
        <v>0</v>
      </c>
      <c r="E10" s="734">
        <v>0</v>
      </c>
      <c r="F10" s="734">
        <v>0</v>
      </c>
      <c r="G10" s="1423"/>
    </row>
    <row r="11" spans="1:7" ht="18.75" customHeight="1" thickBot="1" x14ac:dyDescent="0.3">
      <c r="A11" s="1436">
        <v>44776</v>
      </c>
      <c r="B11" s="453" t="s">
        <v>17</v>
      </c>
      <c r="C11" s="709">
        <v>1</v>
      </c>
      <c r="D11" s="709">
        <v>1</v>
      </c>
      <c r="E11" s="709">
        <v>1</v>
      </c>
      <c r="F11" s="709">
        <v>1</v>
      </c>
      <c r="G11" s="1417" t="s">
        <v>3489</v>
      </c>
    </row>
    <row r="12" spans="1:7" ht="18.75" customHeight="1" thickBot="1" x14ac:dyDescent="0.3">
      <c r="A12" s="1437"/>
      <c r="B12" s="453" t="s">
        <v>102</v>
      </c>
      <c r="C12" s="733">
        <f t="shared" ref="C12:D12" si="2">24-C13-C14</f>
        <v>0</v>
      </c>
      <c r="D12" s="733">
        <f t="shared" si="2"/>
        <v>18.09</v>
      </c>
      <c r="E12" s="733">
        <f>24-E13-E14</f>
        <v>24</v>
      </c>
      <c r="F12" s="733">
        <f>24-F13-F14</f>
        <v>24</v>
      </c>
      <c r="G12" s="1418"/>
    </row>
    <row r="13" spans="1:7" ht="18.75" customHeight="1" thickBot="1" x14ac:dyDescent="0.3">
      <c r="A13" s="1437"/>
      <c r="B13" s="448" t="s">
        <v>103</v>
      </c>
      <c r="C13" s="612">
        <v>24</v>
      </c>
      <c r="D13" s="612">
        <v>5.91</v>
      </c>
      <c r="E13" s="731">
        <v>0</v>
      </c>
      <c r="F13" s="731">
        <v>0</v>
      </c>
      <c r="G13" s="1418"/>
    </row>
    <row r="14" spans="1:7" ht="18.75" customHeight="1" thickBot="1" x14ac:dyDescent="0.3">
      <c r="A14" s="1438"/>
      <c r="B14" s="457" t="s">
        <v>104</v>
      </c>
      <c r="C14" s="576">
        <v>0</v>
      </c>
      <c r="D14" s="576">
        <v>0</v>
      </c>
      <c r="E14" s="734">
        <v>0</v>
      </c>
      <c r="F14" s="734">
        <v>0</v>
      </c>
      <c r="G14" s="1423"/>
    </row>
    <row r="15" spans="1:7" ht="18.75" customHeight="1" thickBot="1" x14ac:dyDescent="0.3">
      <c r="A15" s="1436">
        <v>44777</v>
      </c>
      <c r="B15" s="453" t="s">
        <v>17</v>
      </c>
      <c r="C15" s="709">
        <v>1</v>
      </c>
      <c r="D15" s="709">
        <v>1</v>
      </c>
      <c r="E15" s="709">
        <v>1</v>
      </c>
      <c r="F15" s="709">
        <v>1</v>
      </c>
      <c r="G15" s="1417"/>
    </row>
    <row r="16" spans="1:7" ht="15.75" thickBot="1" x14ac:dyDescent="0.3">
      <c r="A16" s="1437"/>
      <c r="B16" s="453" t="s">
        <v>102</v>
      </c>
      <c r="C16" s="733">
        <f t="shared" ref="C16:D16" si="3">24-C17-C18</f>
        <v>0</v>
      </c>
      <c r="D16" s="733">
        <f t="shared" si="3"/>
        <v>24</v>
      </c>
      <c r="E16" s="733">
        <f>24-E17-E18</f>
        <v>24</v>
      </c>
      <c r="F16" s="733">
        <f>24-F17-F18</f>
        <v>24</v>
      </c>
      <c r="G16" s="1418"/>
    </row>
    <row r="17" spans="1:7" ht="15.75" thickBot="1" x14ac:dyDescent="0.3">
      <c r="A17" s="1437"/>
      <c r="B17" s="448" t="s">
        <v>103</v>
      </c>
      <c r="C17" s="612">
        <v>24</v>
      </c>
      <c r="D17" s="612">
        <v>0</v>
      </c>
      <c r="E17" s="731">
        <v>0</v>
      </c>
      <c r="F17" s="731">
        <v>0</v>
      </c>
      <c r="G17" s="1418"/>
    </row>
    <row r="18" spans="1:7" ht="15.75" thickBot="1" x14ac:dyDescent="0.3">
      <c r="A18" s="1438"/>
      <c r="B18" s="457" t="s">
        <v>104</v>
      </c>
      <c r="C18" s="576">
        <v>0</v>
      </c>
      <c r="D18" s="576">
        <v>0</v>
      </c>
      <c r="E18" s="734">
        <v>0</v>
      </c>
      <c r="F18" s="734">
        <v>0</v>
      </c>
      <c r="G18" s="1423"/>
    </row>
    <row r="19" spans="1:7" ht="18.75" customHeight="1" thickBot="1" x14ac:dyDescent="0.3">
      <c r="A19" s="1436">
        <v>44778</v>
      </c>
      <c r="B19" s="453" t="s">
        <v>17</v>
      </c>
      <c r="C19" s="709">
        <v>1</v>
      </c>
      <c r="D19" s="709">
        <v>1</v>
      </c>
      <c r="E19" s="709">
        <v>1</v>
      </c>
      <c r="F19" s="709">
        <v>1</v>
      </c>
      <c r="G19" s="1417" t="s">
        <v>3534</v>
      </c>
    </row>
    <row r="20" spans="1:7" ht="18.75" customHeight="1" thickBot="1" x14ac:dyDescent="0.3">
      <c r="A20" s="1437"/>
      <c r="B20" s="453" t="s">
        <v>102</v>
      </c>
      <c r="C20" s="733">
        <f t="shared" ref="C20:D20" si="4">24-C21-C22</f>
        <v>12</v>
      </c>
      <c r="D20" s="733">
        <f t="shared" si="4"/>
        <v>16.920000000000002</v>
      </c>
      <c r="E20" s="733">
        <f>24-E21-E22</f>
        <v>24</v>
      </c>
      <c r="F20" s="733">
        <f>24-F21-F22</f>
        <v>24</v>
      </c>
      <c r="G20" s="1418"/>
    </row>
    <row r="21" spans="1:7" ht="18.75" customHeight="1" thickBot="1" x14ac:dyDescent="0.3">
      <c r="A21" s="1437"/>
      <c r="B21" s="448" t="s">
        <v>103</v>
      </c>
      <c r="C21" s="612">
        <v>12</v>
      </c>
      <c r="D21" s="612">
        <v>7.08</v>
      </c>
      <c r="E21" s="731">
        <v>0</v>
      </c>
      <c r="F21" s="731">
        <v>0</v>
      </c>
      <c r="G21" s="1418"/>
    </row>
    <row r="22" spans="1:7" ht="38.25" customHeight="1" thickBot="1" x14ac:dyDescent="0.3">
      <c r="A22" s="1438"/>
      <c r="B22" s="457" t="s">
        <v>104</v>
      </c>
      <c r="C22" s="576">
        <v>0</v>
      </c>
      <c r="D22" s="576">
        <v>0</v>
      </c>
      <c r="E22" s="734">
        <v>0</v>
      </c>
      <c r="F22" s="734">
        <v>0</v>
      </c>
      <c r="G22" s="1423"/>
    </row>
    <row r="23" spans="1:7" ht="18.75" customHeight="1" thickBot="1" x14ac:dyDescent="0.3">
      <c r="A23" s="1436">
        <v>44779</v>
      </c>
      <c r="B23" s="453" t="s">
        <v>17</v>
      </c>
      <c r="C23" s="709">
        <v>1</v>
      </c>
      <c r="D23" s="709">
        <v>1</v>
      </c>
      <c r="E23" s="709">
        <v>1</v>
      </c>
      <c r="F23" s="709">
        <v>1</v>
      </c>
      <c r="G23" s="1417" t="s">
        <v>3533</v>
      </c>
    </row>
    <row r="24" spans="1:7" ht="18.75" customHeight="1" thickBot="1" x14ac:dyDescent="0.3">
      <c r="A24" s="1437"/>
      <c r="B24" s="453" t="s">
        <v>102</v>
      </c>
      <c r="C24" s="733">
        <f t="shared" ref="C24:D24" si="5">24-C25-C26</f>
        <v>24</v>
      </c>
      <c r="D24" s="733">
        <f t="shared" si="5"/>
        <v>17.829999999999998</v>
      </c>
      <c r="E24" s="733">
        <f>24-E25-E26</f>
        <v>24</v>
      </c>
      <c r="F24" s="733">
        <f>24-F25-F26</f>
        <v>24</v>
      </c>
      <c r="G24" s="1418"/>
    </row>
    <row r="25" spans="1:7" ht="18.75" customHeight="1" thickBot="1" x14ac:dyDescent="0.3">
      <c r="A25" s="1437"/>
      <c r="B25" s="448" t="s">
        <v>103</v>
      </c>
      <c r="C25" s="612">
        <v>0</v>
      </c>
      <c r="D25" s="612">
        <v>6.17</v>
      </c>
      <c r="E25" s="731">
        <v>0</v>
      </c>
      <c r="F25" s="731">
        <v>0</v>
      </c>
      <c r="G25" s="1418"/>
    </row>
    <row r="26" spans="1:7" ht="18.75" customHeight="1" thickBot="1" x14ac:dyDescent="0.3">
      <c r="A26" s="1438"/>
      <c r="B26" s="457" t="s">
        <v>104</v>
      </c>
      <c r="C26" s="576">
        <v>0</v>
      </c>
      <c r="D26" s="576">
        <v>0</v>
      </c>
      <c r="E26" s="734">
        <v>0</v>
      </c>
      <c r="F26" s="734">
        <v>0</v>
      </c>
      <c r="G26" s="1418"/>
    </row>
    <row r="27" spans="1:7" ht="18.75" customHeight="1" thickBot="1" x14ac:dyDescent="0.3">
      <c r="A27" s="1436">
        <v>44780</v>
      </c>
      <c r="B27" s="453" t="s">
        <v>17</v>
      </c>
      <c r="C27" s="709">
        <v>1</v>
      </c>
      <c r="D27" s="709">
        <v>1</v>
      </c>
      <c r="E27" s="709">
        <v>1</v>
      </c>
      <c r="F27" s="709">
        <v>1</v>
      </c>
      <c r="G27" s="1418"/>
    </row>
    <row r="28" spans="1:7" ht="18.75" customHeight="1" thickBot="1" x14ac:dyDescent="0.3">
      <c r="A28" s="1437"/>
      <c r="B28" s="453" t="s">
        <v>102</v>
      </c>
      <c r="C28" s="733">
        <f t="shared" ref="C28:D28" si="6">24-C29-C30</f>
        <v>20.2</v>
      </c>
      <c r="D28" s="733">
        <f t="shared" si="6"/>
        <v>21.35</v>
      </c>
      <c r="E28" s="733">
        <f>24-E29-E30</f>
        <v>24</v>
      </c>
      <c r="F28" s="733">
        <f>24-F29-F30</f>
        <v>24</v>
      </c>
      <c r="G28" s="1418"/>
    </row>
    <row r="29" spans="1:7" ht="18.75" customHeight="1" thickBot="1" x14ac:dyDescent="0.3">
      <c r="A29" s="1437"/>
      <c r="B29" s="448" t="s">
        <v>103</v>
      </c>
      <c r="C29" s="612">
        <v>3.8</v>
      </c>
      <c r="D29" s="612">
        <v>2.65</v>
      </c>
      <c r="E29" s="731">
        <v>0</v>
      </c>
      <c r="F29" s="731">
        <v>0</v>
      </c>
      <c r="G29" s="1418"/>
    </row>
    <row r="30" spans="1:7" ht="18.75" customHeight="1" thickBot="1" x14ac:dyDescent="0.3">
      <c r="A30" s="1438"/>
      <c r="B30" s="457" t="s">
        <v>104</v>
      </c>
      <c r="C30" s="576">
        <v>0</v>
      </c>
      <c r="D30" s="576">
        <v>0</v>
      </c>
      <c r="E30" s="734">
        <v>0</v>
      </c>
      <c r="F30" s="734">
        <v>0</v>
      </c>
      <c r="G30" s="1423"/>
    </row>
    <row r="31" spans="1:7" ht="18.75" customHeight="1" thickBot="1" x14ac:dyDescent="0.3">
      <c r="A31" s="1436">
        <v>44781</v>
      </c>
      <c r="B31" s="453" t="s">
        <v>17</v>
      </c>
      <c r="C31" s="709">
        <v>1</v>
      </c>
      <c r="D31" s="709">
        <v>1</v>
      </c>
      <c r="E31" s="709">
        <v>1</v>
      </c>
      <c r="F31" s="709">
        <v>1</v>
      </c>
      <c r="G31" s="1417"/>
    </row>
    <row r="32" spans="1:7" ht="18.75" customHeight="1" thickBot="1" x14ac:dyDescent="0.3">
      <c r="A32" s="1437"/>
      <c r="B32" s="453" t="s">
        <v>102</v>
      </c>
      <c r="C32" s="733">
        <f t="shared" ref="C32:D32" si="7">24-C33-C34</f>
        <v>0</v>
      </c>
      <c r="D32" s="733">
        <f t="shared" si="7"/>
        <v>24</v>
      </c>
      <c r="E32" s="733">
        <f>24-E33-E34</f>
        <v>24</v>
      </c>
      <c r="F32" s="733">
        <f>24-F33-F34</f>
        <v>24</v>
      </c>
      <c r="G32" s="1418"/>
    </row>
    <row r="33" spans="1:7" ht="18.75" customHeight="1" thickBot="1" x14ac:dyDescent="0.3">
      <c r="A33" s="1437"/>
      <c r="B33" s="448" t="s">
        <v>103</v>
      </c>
      <c r="C33" s="612">
        <v>24</v>
      </c>
      <c r="D33" s="612">
        <v>0</v>
      </c>
      <c r="E33" s="731">
        <v>0</v>
      </c>
      <c r="F33" s="731">
        <v>0</v>
      </c>
      <c r="G33" s="1418"/>
    </row>
    <row r="34" spans="1:7" ht="18.75" customHeight="1" thickBot="1" x14ac:dyDescent="0.3">
      <c r="A34" s="1438"/>
      <c r="B34" s="457" t="s">
        <v>104</v>
      </c>
      <c r="C34" s="576">
        <v>0</v>
      </c>
      <c r="D34" s="576">
        <v>0</v>
      </c>
      <c r="E34" s="734">
        <v>0</v>
      </c>
      <c r="F34" s="734">
        <v>0</v>
      </c>
      <c r="G34" s="1418"/>
    </row>
    <row r="35" spans="1:7" ht="18.75" customHeight="1" thickBot="1" x14ac:dyDescent="0.3">
      <c r="A35" s="1436">
        <v>44782</v>
      </c>
      <c r="B35" s="453" t="s">
        <v>17</v>
      </c>
      <c r="C35" s="709">
        <v>1</v>
      </c>
      <c r="D35" s="709">
        <v>1</v>
      </c>
      <c r="E35" s="709">
        <v>1</v>
      </c>
      <c r="F35" s="709">
        <v>1</v>
      </c>
      <c r="G35" s="1417" t="s">
        <v>3545</v>
      </c>
    </row>
    <row r="36" spans="1:7" ht="18.75" customHeight="1" thickBot="1" x14ac:dyDescent="0.3">
      <c r="A36" s="1437"/>
      <c r="B36" s="453" t="s">
        <v>102</v>
      </c>
      <c r="C36" s="733">
        <f t="shared" ref="C36:D36" si="8">24-C37-C38</f>
        <v>0</v>
      </c>
      <c r="D36" s="733">
        <f t="shared" si="8"/>
        <v>8.65</v>
      </c>
      <c r="E36" s="733">
        <f>24-E37-E38</f>
        <v>24</v>
      </c>
      <c r="F36" s="733">
        <f>24-F37-F38</f>
        <v>24</v>
      </c>
      <c r="G36" s="1418"/>
    </row>
    <row r="37" spans="1:7" ht="18.75" customHeight="1" thickBot="1" x14ac:dyDescent="0.3">
      <c r="A37" s="1437"/>
      <c r="B37" s="448" t="s">
        <v>103</v>
      </c>
      <c r="C37" s="612">
        <v>24</v>
      </c>
      <c r="D37" s="612">
        <v>15.35</v>
      </c>
      <c r="E37" s="731">
        <v>0</v>
      </c>
      <c r="F37" s="731">
        <v>0</v>
      </c>
      <c r="G37" s="1418"/>
    </row>
    <row r="38" spans="1:7" ht="18.75" customHeight="1" thickBot="1" x14ac:dyDescent="0.3">
      <c r="A38" s="1438"/>
      <c r="B38" s="457" t="s">
        <v>104</v>
      </c>
      <c r="C38" s="576">
        <v>0</v>
      </c>
      <c r="D38" s="576">
        <v>0</v>
      </c>
      <c r="E38" s="734">
        <v>0</v>
      </c>
      <c r="F38" s="734">
        <v>0</v>
      </c>
      <c r="G38" s="1418"/>
    </row>
    <row r="39" spans="1:7" ht="18.75" customHeight="1" thickBot="1" x14ac:dyDescent="0.3">
      <c r="A39" s="1436">
        <v>44783</v>
      </c>
      <c r="B39" s="453" t="s">
        <v>17</v>
      </c>
      <c r="C39" s="709">
        <v>1</v>
      </c>
      <c r="D39" s="709">
        <v>1</v>
      </c>
      <c r="E39" s="709">
        <v>1</v>
      </c>
      <c r="F39" s="709">
        <v>1</v>
      </c>
      <c r="G39" s="1453"/>
    </row>
    <row r="40" spans="1:7" ht="18.75" customHeight="1" thickBot="1" x14ac:dyDescent="0.3">
      <c r="A40" s="1437"/>
      <c r="B40" s="453" t="s">
        <v>102</v>
      </c>
      <c r="C40" s="733">
        <f t="shared" ref="C40" si="9">24-C41-C42</f>
        <v>0</v>
      </c>
      <c r="D40" s="733">
        <f>24-D41-D42</f>
        <v>24</v>
      </c>
      <c r="E40" s="733">
        <f>24-E41-E42</f>
        <v>24</v>
      </c>
      <c r="F40" s="733">
        <f>24-F41-F42</f>
        <v>24</v>
      </c>
      <c r="G40" s="1418"/>
    </row>
    <row r="41" spans="1:7" ht="15.75" thickBot="1" x14ac:dyDescent="0.3">
      <c r="A41" s="1437"/>
      <c r="B41" s="448" t="s">
        <v>103</v>
      </c>
      <c r="C41" s="612">
        <v>24</v>
      </c>
      <c r="D41" s="731">
        <v>0</v>
      </c>
      <c r="E41" s="731">
        <v>0</v>
      </c>
      <c r="F41" s="731">
        <v>0</v>
      </c>
      <c r="G41" s="1418"/>
    </row>
    <row r="42" spans="1:7" ht="15.75" thickBot="1" x14ac:dyDescent="0.3">
      <c r="A42" s="1438"/>
      <c r="B42" s="457" t="s">
        <v>104</v>
      </c>
      <c r="C42" s="576">
        <v>0</v>
      </c>
      <c r="D42" s="734">
        <v>0</v>
      </c>
      <c r="E42" s="734">
        <v>0</v>
      </c>
      <c r="F42" s="734">
        <v>0</v>
      </c>
      <c r="G42" s="1423"/>
    </row>
    <row r="43" spans="1:7" ht="24.75" customHeight="1" thickBot="1" x14ac:dyDescent="0.3">
      <c r="A43" s="1436">
        <v>44784</v>
      </c>
      <c r="B43" s="453" t="s">
        <v>17</v>
      </c>
      <c r="C43" s="709">
        <v>1</v>
      </c>
      <c r="D43" s="709">
        <v>1</v>
      </c>
      <c r="E43" s="709">
        <v>1</v>
      </c>
      <c r="F43" s="709">
        <v>1</v>
      </c>
      <c r="G43" s="1453" t="s">
        <v>3567</v>
      </c>
    </row>
    <row r="44" spans="1:7" ht="24.75" customHeight="1" thickBot="1" x14ac:dyDescent="0.3">
      <c r="A44" s="1437"/>
      <c r="B44" s="453" t="s">
        <v>102</v>
      </c>
      <c r="C44" s="733">
        <f t="shared" ref="C44:D44" si="10">24-C45-C46</f>
        <v>13.12</v>
      </c>
      <c r="D44" s="733">
        <f t="shared" si="10"/>
        <v>7.3999999999999986</v>
      </c>
      <c r="E44" s="733">
        <f>24-E45-E46</f>
        <v>24</v>
      </c>
      <c r="F44" s="733">
        <f>24-F45-F46</f>
        <v>24</v>
      </c>
      <c r="G44" s="1418"/>
    </row>
    <row r="45" spans="1:7" ht="24.75" customHeight="1" thickBot="1" x14ac:dyDescent="0.3">
      <c r="A45" s="1437"/>
      <c r="B45" s="448" t="s">
        <v>103</v>
      </c>
      <c r="C45" s="612">
        <v>10.88</v>
      </c>
      <c r="D45" s="612">
        <v>16.600000000000001</v>
      </c>
      <c r="E45" s="731">
        <v>0</v>
      </c>
      <c r="F45" s="731">
        <v>0</v>
      </c>
      <c r="G45" s="1418"/>
    </row>
    <row r="46" spans="1:7" ht="24.75" customHeight="1" thickBot="1" x14ac:dyDescent="0.3">
      <c r="A46" s="1438"/>
      <c r="B46" s="457" t="s">
        <v>104</v>
      </c>
      <c r="C46" s="576">
        <v>0</v>
      </c>
      <c r="D46" s="576">
        <v>0</v>
      </c>
      <c r="E46" s="734">
        <v>0</v>
      </c>
      <c r="F46" s="734">
        <v>0</v>
      </c>
      <c r="G46" s="1423"/>
    </row>
    <row r="47" spans="1:7" ht="18.75" customHeight="1" thickBot="1" x14ac:dyDescent="0.3">
      <c r="A47" s="1436">
        <v>44785</v>
      </c>
      <c r="B47" s="453" t="s">
        <v>17</v>
      </c>
      <c r="C47" s="709">
        <v>1</v>
      </c>
      <c r="D47" s="709">
        <v>1</v>
      </c>
      <c r="E47" s="709">
        <v>1</v>
      </c>
      <c r="F47" s="709">
        <v>1</v>
      </c>
      <c r="G47" s="1453" t="s">
        <v>3570</v>
      </c>
    </row>
    <row r="48" spans="1:7" ht="18.75" customHeight="1" thickBot="1" x14ac:dyDescent="0.3">
      <c r="A48" s="1437"/>
      <c r="B48" s="453" t="s">
        <v>102</v>
      </c>
      <c r="C48" s="733">
        <f t="shared" ref="C48:D48" si="11">24-C49-C50</f>
        <v>24</v>
      </c>
      <c r="D48" s="733">
        <f t="shared" si="11"/>
        <v>20.43</v>
      </c>
      <c r="E48" s="733">
        <f>24-E49-E50</f>
        <v>24</v>
      </c>
      <c r="F48" s="733">
        <f>24-F49-F50</f>
        <v>24</v>
      </c>
      <c r="G48" s="1418"/>
    </row>
    <row r="49" spans="1:7" ht="18.75" customHeight="1" thickBot="1" x14ac:dyDescent="0.3">
      <c r="A49" s="1437"/>
      <c r="B49" s="448" t="s">
        <v>103</v>
      </c>
      <c r="C49" s="612">
        <v>0</v>
      </c>
      <c r="D49" s="612">
        <v>3.57</v>
      </c>
      <c r="E49" s="731">
        <v>0</v>
      </c>
      <c r="F49" s="731">
        <v>0</v>
      </c>
      <c r="G49" s="1418"/>
    </row>
    <row r="50" spans="1:7" ht="18.75" customHeight="1" thickBot="1" x14ac:dyDescent="0.3">
      <c r="A50" s="1438"/>
      <c r="B50" s="457" t="s">
        <v>104</v>
      </c>
      <c r="C50" s="576">
        <v>0</v>
      </c>
      <c r="D50" s="576">
        <v>0</v>
      </c>
      <c r="E50" s="734">
        <v>0</v>
      </c>
      <c r="F50" s="734">
        <v>0</v>
      </c>
      <c r="G50" s="1423"/>
    </row>
    <row r="51" spans="1:7" ht="18.75" customHeight="1" thickBot="1" x14ac:dyDescent="0.3">
      <c r="A51" s="1436">
        <v>44786</v>
      </c>
      <c r="B51" s="453" t="s">
        <v>17</v>
      </c>
      <c r="C51" s="709">
        <v>1</v>
      </c>
      <c r="D51" s="709">
        <v>1</v>
      </c>
      <c r="E51" s="709">
        <v>1</v>
      </c>
      <c r="F51" s="709">
        <v>1</v>
      </c>
      <c r="G51" s="1417" t="s">
        <v>3575</v>
      </c>
    </row>
    <row r="52" spans="1:7" ht="18.75" customHeight="1" thickBot="1" x14ac:dyDescent="0.3">
      <c r="A52" s="1437"/>
      <c r="B52" s="453" t="s">
        <v>102</v>
      </c>
      <c r="C52" s="733">
        <f t="shared" ref="C52:D52" si="12">24-C53-C54</f>
        <v>4.07</v>
      </c>
      <c r="D52" s="733">
        <f t="shared" si="12"/>
        <v>12.63</v>
      </c>
      <c r="E52" s="733">
        <f>24-E53-E54</f>
        <v>24</v>
      </c>
      <c r="F52" s="733">
        <f>24-F53-F54</f>
        <v>24</v>
      </c>
      <c r="G52" s="1418"/>
    </row>
    <row r="53" spans="1:7" ht="18.75" customHeight="1" thickBot="1" x14ac:dyDescent="0.3">
      <c r="A53" s="1437"/>
      <c r="B53" s="448" t="s">
        <v>103</v>
      </c>
      <c r="C53" s="612">
        <v>19.93</v>
      </c>
      <c r="D53" s="612">
        <v>11.37</v>
      </c>
      <c r="E53" s="731">
        <v>0</v>
      </c>
      <c r="F53" s="731">
        <v>0</v>
      </c>
      <c r="G53" s="1418"/>
    </row>
    <row r="54" spans="1:7" ht="18.75" customHeight="1" thickBot="1" x14ac:dyDescent="0.3">
      <c r="A54" s="1438"/>
      <c r="B54" s="457" t="s">
        <v>104</v>
      </c>
      <c r="C54" s="576">
        <v>0</v>
      </c>
      <c r="D54" s="576">
        <v>0</v>
      </c>
      <c r="E54" s="734">
        <v>0</v>
      </c>
      <c r="F54" s="734">
        <v>0</v>
      </c>
      <c r="G54" s="1423"/>
    </row>
    <row r="55" spans="1:7" ht="18.75" customHeight="1" thickBot="1" x14ac:dyDescent="0.3">
      <c r="A55" s="1436">
        <v>44787</v>
      </c>
      <c r="B55" s="453" t="s">
        <v>17</v>
      </c>
      <c r="C55" s="709">
        <v>1</v>
      </c>
      <c r="D55" s="709">
        <v>1</v>
      </c>
      <c r="E55" s="709">
        <v>1</v>
      </c>
      <c r="F55" s="709">
        <v>1</v>
      </c>
      <c r="G55" s="1417" t="s">
        <v>3587</v>
      </c>
    </row>
    <row r="56" spans="1:7" ht="18.75" customHeight="1" thickBot="1" x14ac:dyDescent="0.3">
      <c r="A56" s="1437"/>
      <c r="B56" s="453" t="s">
        <v>102</v>
      </c>
      <c r="C56" s="733">
        <f t="shared" ref="C56:D56" si="13">24-C57-C58</f>
        <v>0</v>
      </c>
      <c r="D56" s="733">
        <f t="shared" si="13"/>
        <v>16.25</v>
      </c>
      <c r="E56" s="733">
        <f>24-E57-E58</f>
        <v>24</v>
      </c>
      <c r="F56" s="733">
        <f>24-F57-F58</f>
        <v>24</v>
      </c>
      <c r="G56" s="1418"/>
    </row>
    <row r="57" spans="1:7" ht="18.75" customHeight="1" thickBot="1" x14ac:dyDescent="0.3">
      <c r="A57" s="1437"/>
      <c r="B57" s="448" t="s">
        <v>103</v>
      </c>
      <c r="C57" s="612">
        <v>24</v>
      </c>
      <c r="D57" s="612">
        <v>7.75</v>
      </c>
      <c r="E57" s="731">
        <v>0</v>
      </c>
      <c r="F57" s="731">
        <v>0</v>
      </c>
      <c r="G57" s="1418"/>
    </row>
    <row r="58" spans="1:7" ht="18.75" customHeight="1" thickBot="1" x14ac:dyDescent="0.3">
      <c r="A58" s="1438"/>
      <c r="B58" s="457" t="s">
        <v>104</v>
      </c>
      <c r="C58" s="576">
        <v>0</v>
      </c>
      <c r="D58" s="576">
        <v>0</v>
      </c>
      <c r="E58" s="734">
        <v>0</v>
      </c>
      <c r="F58" s="734">
        <v>0</v>
      </c>
      <c r="G58" s="1418"/>
    </row>
    <row r="59" spans="1:7" ht="18.75" customHeight="1" thickBot="1" x14ac:dyDescent="0.3">
      <c r="A59" s="1436">
        <v>44788</v>
      </c>
      <c r="B59" s="453" t="s">
        <v>17</v>
      </c>
      <c r="C59" s="709">
        <v>1</v>
      </c>
      <c r="D59" s="709">
        <v>1</v>
      </c>
      <c r="E59" s="709">
        <v>1</v>
      </c>
      <c r="F59" s="709">
        <v>1</v>
      </c>
      <c r="G59" s="1456"/>
    </row>
    <row r="60" spans="1:7" ht="18.75" customHeight="1" thickBot="1" x14ac:dyDescent="0.3">
      <c r="A60" s="1437"/>
      <c r="B60" s="453" t="s">
        <v>102</v>
      </c>
      <c r="C60" s="733">
        <f t="shared" ref="C60:D60" si="14">24-C61-C62</f>
        <v>0</v>
      </c>
      <c r="D60" s="733">
        <f t="shared" si="14"/>
        <v>20.92</v>
      </c>
      <c r="E60" s="733">
        <f>24-E61-E62</f>
        <v>24</v>
      </c>
      <c r="F60" s="733">
        <f>24-F61-F62</f>
        <v>24</v>
      </c>
      <c r="G60" s="1456"/>
    </row>
    <row r="61" spans="1:7" ht="18.75" customHeight="1" thickBot="1" x14ac:dyDescent="0.3">
      <c r="A61" s="1437"/>
      <c r="B61" s="448" t="s">
        <v>103</v>
      </c>
      <c r="C61" s="612">
        <v>24</v>
      </c>
      <c r="D61" s="612">
        <v>3.08</v>
      </c>
      <c r="E61" s="731">
        <v>0</v>
      </c>
      <c r="F61" s="731">
        <v>0</v>
      </c>
      <c r="G61" s="1456"/>
    </row>
    <row r="62" spans="1:7" ht="18.75" customHeight="1" thickBot="1" x14ac:dyDescent="0.3">
      <c r="A62" s="1438"/>
      <c r="B62" s="457" t="s">
        <v>104</v>
      </c>
      <c r="C62" s="576">
        <v>0</v>
      </c>
      <c r="D62" s="576">
        <v>0</v>
      </c>
      <c r="E62" s="734">
        <v>0</v>
      </c>
      <c r="F62" s="734">
        <v>0</v>
      </c>
      <c r="G62" s="1456"/>
    </row>
    <row r="63" spans="1:7" ht="18.75" customHeight="1" thickBot="1" x14ac:dyDescent="0.3">
      <c r="A63" s="1436">
        <v>44789</v>
      </c>
      <c r="B63" s="453" t="s">
        <v>17</v>
      </c>
      <c r="C63" s="709">
        <v>1</v>
      </c>
      <c r="D63" s="709">
        <v>1</v>
      </c>
      <c r="E63" s="709">
        <v>1</v>
      </c>
      <c r="F63" s="709">
        <v>1</v>
      </c>
      <c r="G63" s="1457" t="s">
        <v>3601</v>
      </c>
    </row>
    <row r="64" spans="1:7" ht="18.75" customHeight="1" thickBot="1" x14ac:dyDescent="0.3">
      <c r="A64" s="1437"/>
      <c r="B64" s="453" t="s">
        <v>102</v>
      </c>
      <c r="C64" s="733">
        <f t="shared" ref="C64:D64" si="15">24-C65-C66</f>
        <v>0</v>
      </c>
      <c r="D64" s="733">
        <f t="shared" si="15"/>
        <v>8.7200000000000006</v>
      </c>
      <c r="E64" s="733">
        <f>24-E65-E66</f>
        <v>24</v>
      </c>
      <c r="F64" s="733">
        <f>24-F65-F66</f>
        <v>24</v>
      </c>
      <c r="G64" s="1418"/>
    </row>
    <row r="65" spans="1:7" ht="18.75" customHeight="1" thickBot="1" x14ac:dyDescent="0.3">
      <c r="A65" s="1437"/>
      <c r="B65" s="448" t="s">
        <v>103</v>
      </c>
      <c r="C65" s="612">
        <v>24</v>
      </c>
      <c r="D65" s="612">
        <v>15.28</v>
      </c>
      <c r="E65" s="731">
        <v>0</v>
      </c>
      <c r="F65" s="731">
        <v>0</v>
      </c>
      <c r="G65" s="1418"/>
    </row>
    <row r="66" spans="1:7" ht="18.75" customHeight="1" thickBot="1" x14ac:dyDescent="0.3">
      <c r="A66" s="1438"/>
      <c r="B66" s="457" t="s">
        <v>104</v>
      </c>
      <c r="C66" s="576">
        <v>0</v>
      </c>
      <c r="D66" s="576">
        <v>0</v>
      </c>
      <c r="E66" s="734">
        <v>0</v>
      </c>
      <c r="F66" s="734">
        <v>0</v>
      </c>
      <c r="G66" s="1418"/>
    </row>
    <row r="67" spans="1:7" ht="18.75" customHeight="1" thickBot="1" x14ac:dyDescent="0.3">
      <c r="A67" s="1436">
        <v>44790</v>
      </c>
      <c r="B67" s="453" t="s">
        <v>17</v>
      </c>
      <c r="C67" s="709">
        <v>1</v>
      </c>
      <c r="D67" s="709">
        <v>1</v>
      </c>
      <c r="E67" s="709">
        <v>1</v>
      </c>
      <c r="F67" s="709">
        <v>1</v>
      </c>
      <c r="G67" s="1418"/>
    </row>
    <row r="68" spans="1:7" ht="18.75" customHeight="1" thickBot="1" x14ac:dyDescent="0.3">
      <c r="A68" s="1437"/>
      <c r="B68" s="453" t="s">
        <v>102</v>
      </c>
      <c r="C68" s="733">
        <f t="shared" ref="C68:D68" si="16">24-C69-C70</f>
        <v>0</v>
      </c>
      <c r="D68" s="733">
        <f t="shared" si="16"/>
        <v>22.48</v>
      </c>
      <c r="E68" s="733">
        <f>24-E69-E70</f>
        <v>24</v>
      </c>
      <c r="F68" s="733">
        <f>24-F69-F70</f>
        <v>24</v>
      </c>
      <c r="G68" s="1418"/>
    </row>
    <row r="69" spans="1:7" ht="18.75" customHeight="1" thickBot="1" x14ac:dyDescent="0.3">
      <c r="A69" s="1437"/>
      <c r="B69" s="448" t="s">
        <v>103</v>
      </c>
      <c r="C69" s="612">
        <v>24</v>
      </c>
      <c r="D69" s="612">
        <v>1.52</v>
      </c>
      <c r="E69" s="731">
        <v>0</v>
      </c>
      <c r="F69" s="731">
        <v>0</v>
      </c>
      <c r="G69" s="1418"/>
    </row>
    <row r="70" spans="1:7" ht="18.75" customHeight="1" thickBot="1" x14ac:dyDescent="0.3">
      <c r="A70" s="1438"/>
      <c r="B70" s="457" t="s">
        <v>104</v>
      </c>
      <c r="C70" s="576">
        <v>0</v>
      </c>
      <c r="D70" s="576">
        <v>0</v>
      </c>
      <c r="E70" s="734">
        <v>0</v>
      </c>
      <c r="F70" s="734">
        <v>0</v>
      </c>
      <c r="G70" s="1423"/>
    </row>
    <row r="71" spans="1:7" ht="18.75" customHeight="1" thickBot="1" x14ac:dyDescent="0.3">
      <c r="A71" s="1436">
        <v>44791</v>
      </c>
      <c r="B71" s="453" t="s">
        <v>17</v>
      </c>
      <c r="C71" s="709">
        <v>1</v>
      </c>
      <c r="D71" s="709">
        <v>1</v>
      </c>
      <c r="E71" s="709">
        <v>1</v>
      </c>
      <c r="F71" s="709">
        <v>1</v>
      </c>
      <c r="G71" s="1453" t="s">
        <v>3612</v>
      </c>
    </row>
    <row r="72" spans="1:7" ht="18.75" customHeight="1" thickBot="1" x14ac:dyDescent="0.3">
      <c r="A72" s="1437"/>
      <c r="B72" s="453" t="s">
        <v>102</v>
      </c>
      <c r="C72" s="733">
        <f t="shared" ref="C72:D72" si="17">24-C73-C74</f>
        <v>12.93</v>
      </c>
      <c r="D72" s="733">
        <f t="shared" si="17"/>
        <v>8.5500000000000007</v>
      </c>
      <c r="E72" s="733">
        <f>24-E73-E74</f>
        <v>24</v>
      </c>
      <c r="F72" s="733">
        <f>24-F73-F74</f>
        <v>24</v>
      </c>
      <c r="G72" s="1418"/>
    </row>
    <row r="73" spans="1:7" ht="18.75" customHeight="1" thickBot="1" x14ac:dyDescent="0.3">
      <c r="A73" s="1437"/>
      <c r="B73" s="448" t="s">
        <v>103</v>
      </c>
      <c r="C73" s="612">
        <v>11.07</v>
      </c>
      <c r="D73" s="612">
        <v>15.45</v>
      </c>
      <c r="E73" s="731">
        <v>0</v>
      </c>
      <c r="F73" s="731">
        <v>0</v>
      </c>
      <c r="G73" s="1418"/>
    </row>
    <row r="74" spans="1:7" ht="18.75" customHeight="1" thickBot="1" x14ac:dyDescent="0.3">
      <c r="A74" s="1438"/>
      <c r="B74" s="457" t="s">
        <v>104</v>
      </c>
      <c r="C74" s="576">
        <v>0</v>
      </c>
      <c r="D74" s="576">
        <v>0</v>
      </c>
      <c r="E74" s="734">
        <v>0</v>
      </c>
      <c r="F74" s="734">
        <v>0</v>
      </c>
      <c r="G74" s="1423"/>
    </row>
    <row r="75" spans="1:7" ht="18.75" customHeight="1" thickBot="1" x14ac:dyDescent="0.3">
      <c r="A75" s="1436">
        <v>44792</v>
      </c>
      <c r="B75" s="453" t="s">
        <v>17</v>
      </c>
      <c r="C75" s="709">
        <v>1</v>
      </c>
      <c r="D75" s="709">
        <v>1</v>
      </c>
      <c r="E75" s="709">
        <v>1</v>
      </c>
      <c r="F75" s="709">
        <v>1</v>
      </c>
      <c r="G75" s="1417"/>
    </row>
    <row r="76" spans="1:7" ht="18.75" customHeight="1" thickBot="1" x14ac:dyDescent="0.3">
      <c r="A76" s="1437"/>
      <c r="B76" s="453" t="s">
        <v>102</v>
      </c>
      <c r="C76" s="733">
        <f t="shared" ref="C76:D76" si="18">24-C77-C78</f>
        <v>24</v>
      </c>
      <c r="D76" s="733">
        <f t="shared" si="18"/>
        <v>24</v>
      </c>
      <c r="E76" s="733">
        <f>24-E77-E78</f>
        <v>24</v>
      </c>
      <c r="F76" s="733">
        <f>24-F77-F78</f>
        <v>24</v>
      </c>
      <c r="G76" s="1418"/>
    </row>
    <row r="77" spans="1:7" ht="18.75" customHeight="1" thickBot="1" x14ac:dyDescent="0.3">
      <c r="A77" s="1437"/>
      <c r="B77" s="448" t="s">
        <v>103</v>
      </c>
      <c r="C77" s="612">
        <v>0</v>
      </c>
      <c r="D77" s="612">
        <v>0</v>
      </c>
      <c r="E77" s="731">
        <v>0</v>
      </c>
      <c r="F77" s="731">
        <v>0</v>
      </c>
      <c r="G77" s="1418"/>
    </row>
    <row r="78" spans="1:7" ht="18.75" customHeight="1" thickBot="1" x14ac:dyDescent="0.3">
      <c r="A78" s="1438"/>
      <c r="B78" s="457" t="s">
        <v>104</v>
      </c>
      <c r="C78" s="576">
        <v>0</v>
      </c>
      <c r="D78" s="576">
        <v>0</v>
      </c>
      <c r="E78" s="734">
        <v>0</v>
      </c>
      <c r="F78" s="734">
        <v>0</v>
      </c>
      <c r="G78" s="1423"/>
    </row>
    <row r="79" spans="1:7" ht="18.75" customHeight="1" thickBot="1" x14ac:dyDescent="0.3">
      <c r="A79" s="1436">
        <v>44793</v>
      </c>
      <c r="B79" s="453" t="s">
        <v>17</v>
      </c>
      <c r="C79" s="709">
        <v>1</v>
      </c>
      <c r="D79" s="709">
        <v>1</v>
      </c>
      <c r="E79" s="709">
        <v>1</v>
      </c>
      <c r="F79" s="709">
        <v>1</v>
      </c>
      <c r="G79" s="1417" t="s">
        <v>3626</v>
      </c>
    </row>
    <row r="80" spans="1:7" ht="18.75" customHeight="1" thickBot="1" x14ac:dyDescent="0.3">
      <c r="A80" s="1437"/>
      <c r="B80" s="453" t="s">
        <v>102</v>
      </c>
      <c r="C80" s="733">
        <f t="shared" ref="C80:D80" si="19">24-C81-C82</f>
        <v>24</v>
      </c>
      <c r="D80" s="733">
        <f t="shared" si="19"/>
        <v>4.1000000000000014</v>
      </c>
      <c r="E80" s="733">
        <f>24-E81-E82</f>
        <v>24</v>
      </c>
      <c r="F80" s="733">
        <f>24-F81-F82</f>
        <v>24</v>
      </c>
      <c r="G80" s="1418"/>
    </row>
    <row r="81" spans="1:7" ht="18.75" customHeight="1" thickBot="1" x14ac:dyDescent="0.3">
      <c r="A81" s="1437"/>
      <c r="B81" s="448" t="s">
        <v>103</v>
      </c>
      <c r="C81" s="612">
        <v>0</v>
      </c>
      <c r="D81" s="612">
        <v>19.899999999999999</v>
      </c>
      <c r="E81" s="731">
        <v>0</v>
      </c>
      <c r="F81" s="731">
        <v>0</v>
      </c>
      <c r="G81" s="1418"/>
    </row>
    <row r="82" spans="1:7" ht="18.75" customHeight="1" thickBot="1" x14ac:dyDescent="0.3">
      <c r="A82" s="1438"/>
      <c r="B82" s="457" t="s">
        <v>104</v>
      </c>
      <c r="C82" s="576">
        <v>0</v>
      </c>
      <c r="D82" s="576">
        <v>0</v>
      </c>
      <c r="E82" s="734">
        <v>0</v>
      </c>
      <c r="F82" s="734">
        <v>0</v>
      </c>
      <c r="G82" s="1418"/>
    </row>
    <row r="83" spans="1:7" ht="18.75" customHeight="1" thickBot="1" x14ac:dyDescent="0.3">
      <c r="A83" s="1436">
        <v>44794</v>
      </c>
      <c r="B83" s="453" t="s">
        <v>17</v>
      </c>
      <c r="C83" s="709">
        <v>1</v>
      </c>
      <c r="D83" s="709">
        <v>1</v>
      </c>
      <c r="E83" s="709">
        <v>1</v>
      </c>
      <c r="F83" s="709">
        <v>1</v>
      </c>
      <c r="G83" s="1418"/>
    </row>
    <row r="84" spans="1:7" ht="18.75" customHeight="1" thickBot="1" x14ac:dyDescent="0.3">
      <c r="A84" s="1437"/>
      <c r="B84" s="453" t="s">
        <v>102</v>
      </c>
      <c r="C84" s="733">
        <f t="shared" ref="C84:D84" si="20">24-C85-C86</f>
        <v>21.93</v>
      </c>
      <c r="D84" s="733">
        <f t="shared" si="20"/>
        <v>8.32</v>
      </c>
      <c r="E84" s="733">
        <f>24-E85-E86</f>
        <v>24</v>
      </c>
      <c r="F84" s="733">
        <f>24-F85-F86</f>
        <v>24</v>
      </c>
      <c r="G84" s="1418"/>
    </row>
    <row r="85" spans="1:7" ht="18.75" customHeight="1" thickBot="1" x14ac:dyDescent="0.3">
      <c r="A85" s="1437"/>
      <c r="B85" s="448" t="s">
        <v>103</v>
      </c>
      <c r="C85" s="612">
        <v>2.0699999999999998</v>
      </c>
      <c r="D85" s="612">
        <v>15.68</v>
      </c>
      <c r="E85" s="731">
        <v>0</v>
      </c>
      <c r="F85" s="731">
        <v>0</v>
      </c>
      <c r="G85" s="1418"/>
    </row>
    <row r="86" spans="1:7" ht="18.75" customHeight="1" thickBot="1" x14ac:dyDescent="0.3">
      <c r="A86" s="1438"/>
      <c r="B86" s="457" t="s">
        <v>104</v>
      </c>
      <c r="C86" s="576">
        <v>0</v>
      </c>
      <c r="D86" s="576">
        <v>0</v>
      </c>
      <c r="E86" s="734">
        <v>0</v>
      </c>
      <c r="F86" s="734">
        <v>0</v>
      </c>
      <c r="G86" s="1423"/>
    </row>
    <row r="87" spans="1:7" ht="18.75" customHeight="1" thickBot="1" x14ac:dyDescent="0.3">
      <c r="A87" s="1436">
        <v>44795</v>
      </c>
      <c r="B87" s="453" t="s">
        <v>17</v>
      </c>
      <c r="C87" s="709">
        <v>1</v>
      </c>
      <c r="D87" s="709">
        <v>1</v>
      </c>
      <c r="E87" s="709">
        <v>1</v>
      </c>
      <c r="F87" s="709">
        <v>1</v>
      </c>
      <c r="G87" s="1447" t="s">
        <v>3633</v>
      </c>
    </row>
    <row r="88" spans="1:7" ht="18.75" customHeight="1" thickBot="1" x14ac:dyDescent="0.3">
      <c r="A88" s="1437"/>
      <c r="B88" s="453" t="s">
        <v>102</v>
      </c>
      <c r="C88" s="733">
        <f t="shared" ref="C88:D88" si="21">24-C89-C90</f>
        <v>0</v>
      </c>
      <c r="D88" s="733">
        <f t="shared" si="21"/>
        <v>18.93</v>
      </c>
      <c r="E88" s="733">
        <f>24-E89-E90</f>
        <v>24</v>
      </c>
      <c r="F88" s="733">
        <f>24-F89-F90</f>
        <v>24</v>
      </c>
      <c r="G88" s="1448"/>
    </row>
    <row r="89" spans="1:7" ht="18.75" customHeight="1" thickBot="1" x14ac:dyDescent="0.3">
      <c r="A89" s="1437"/>
      <c r="B89" s="448" t="s">
        <v>103</v>
      </c>
      <c r="C89" s="612">
        <v>24</v>
      </c>
      <c r="D89" s="612">
        <v>5.07</v>
      </c>
      <c r="E89" s="731">
        <v>0</v>
      </c>
      <c r="F89" s="731">
        <v>0</v>
      </c>
      <c r="G89" s="1448"/>
    </row>
    <row r="90" spans="1:7" ht="18.75" customHeight="1" thickBot="1" x14ac:dyDescent="0.3">
      <c r="A90" s="1438"/>
      <c r="B90" s="457" t="s">
        <v>104</v>
      </c>
      <c r="C90" s="576">
        <v>0</v>
      </c>
      <c r="D90" s="576">
        <v>0</v>
      </c>
      <c r="E90" s="734">
        <v>0</v>
      </c>
      <c r="F90" s="734">
        <v>0</v>
      </c>
      <c r="G90" s="1449"/>
    </row>
    <row r="91" spans="1:7" ht="18.75" customHeight="1" thickBot="1" x14ac:dyDescent="0.3">
      <c r="A91" s="1436">
        <v>44796</v>
      </c>
      <c r="B91" s="453" t="s">
        <v>17</v>
      </c>
      <c r="C91" s="709">
        <v>1</v>
      </c>
      <c r="D91" s="709">
        <v>1</v>
      </c>
      <c r="E91" s="709">
        <v>1</v>
      </c>
      <c r="F91" s="709">
        <v>1</v>
      </c>
      <c r="G91" s="1447" t="s">
        <v>3641</v>
      </c>
    </row>
    <row r="92" spans="1:7" ht="18.75" customHeight="1" thickBot="1" x14ac:dyDescent="0.3">
      <c r="A92" s="1437"/>
      <c r="B92" s="453" t="s">
        <v>102</v>
      </c>
      <c r="C92" s="733">
        <f t="shared" ref="C92:D92" si="22">24-C93-C94</f>
        <v>0</v>
      </c>
      <c r="D92" s="733">
        <f t="shared" si="22"/>
        <v>9.8800000000000008</v>
      </c>
      <c r="E92" s="733">
        <f>24-E93-E94</f>
        <v>24</v>
      </c>
      <c r="F92" s="733">
        <f>24-F93-F94</f>
        <v>24</v>
      </c>
      <c r="G92" s="1448"/>
    </row>
    <row r="93" spans="1:7" ht="18.75" customHeight="1" thickBot="1" x14ac:dyDescent="0.3">
      <c r="A93" s="1437"/>
      <c r="B93" s="448" t="s">
        <v>103</v>
      </c>
      <c r="C93" s="612">
        <v>24</v>
      </c>
      <c r="D93" s="612">
        <v>14.12</v>
      </c>
      <c r="E93" s="731">
        <v>0</v>
      </c>
      <c r="F93" s="731">
        <v>0</v>
      </c>
      <c r="G93" s="1448"/>
    </row>
    <row r="94" spans="1:7" ht="18.75" customHeight="1" thickBot="1" x14ac:dyDescent="0.3">
      <c r="A94" s="1438"/>
      <c r="B94" s="457" t="s">
        <v>104</v>
      </c>
      <c r="C94" s="576">
        <v>0</v>
      </c>
      <c r="D94" s="576">
        <v>0</v>
      </c>
      <c r="E94" s="734">
        <v>0</v>
      </c>
      <c r="F94" s="734">
        <v>0</v>
      </c>
      <c r="G94" s="1449"/>
    </row>
    <row r="95" spans="1:7" ht="32.25" customHeight="1" thickBot="1" x14ac:dyDescent="0.3">
      <c r="A95" s="1436">
        <v>44797</v>
      </c>
      <c r="B95" s="453" t="s">
        <v>17</v>
      </c>
      <c r="C95" s="709">
        <v>1</v>
      </c>
      <c r="D95" s="709">
        <v>1</v>
      </c>
      <c r="E95" s="709">
        <v>1</v>
      </c>
      <c r="F95" s="709">
        <v>1</v>
      </c>
      <c r="G95" s="1447" t="s">
        <v>3655</v>
      </c>
    </row>
    <row r="96" spans="1:7" ht="32.25" customHeight="1" thickBot="1" x14ac:dyDescent="0.3">
      <c r="A96" s="1437"/>
      <c r="B96" s="453" t="s">
        <v>102</v>
      </c>
      <c r="C96" s="733">
        <f t="shared" ref="C96:D96" si="23">24-C97-C98</f>
        <v>0</v>
      </c>
      <c r="D96" s="733">
        <f t="shared" si="23"/>
        <v>14.98</v>
      </c>
      <c r="E96" s="733">
        <f>24-E97-E98</f>
        <v>24</v>
      </c>
      <c r="F96" s="733">
        <f>24-F97-F98</f>
        <v>24</v>
      </c>
      <c r="G96" s="1454"/>
    </row>
    <row r="97" spans="1:7" ht="32.25" customHeight="1" thickBot="1" x14ac:dyDescent="0.3">
      <c r="A97" s="1437"/>
      <c r="B97" s="448" t="s">
        <v>103</v>
      </c>
      <c r="C97" s="612">
        <v>24</v>
      </c>
      <c r="D97" s="612">
        <v>9.02</v>
      </c>
      <c r="E97" s="731">
        <v>0</v>
      </c>
      <c r="F97" s="731">
        <v>0</v>
      </c>
      <c r="G97" s="1454"/>
    </row>
    <row r="98" spans="1:7" ht="32.25" customHeight="1" thickBot="1" x14ac:dyDescent="0.3">
      <c r="A98" s="1438"/>
      <c r="B98" s="457" t="s">
        <v>104</v>
      </c>
      <c r="C98" s="576">
        <v>0</v>
      </c>
      <c r="D98" s="576">
        <v>0</v>
      </c>
      <c r="E98" s="734">
        <v>0</v>
      </c>
      <c r="F98" s="734">
        <v>0</v>
      </c>
      <c r="G98" s="1454"/>
    </row>
    <row r="99" spans="1:7" ht="18.75" customHeight="1" thickBot="1" x14ac:dyDescent="0.3">
      <c r="A99" s="1436">
        <v>44798</v>
      </c>
      <c r="B99" s="453" t="s">
        <v>17</v>
      </c>
      <c r="C99" s="709">
        <v>1</v>
      </c>
      <c r="D99" s="709">
        <v>1</v>
      </c>
      <c r="E99" s="709">
        <v>1</v>
      </c>
      <c r="F99" s="709">
        <v>1</v>
      </c>
      <c r="G99" s="1454"/>
    </row>
    <row r="100" spans="1:7" ht="18.75" customHeight="1" thickBot="1" x14ac:dyDescent="0.3">
      <c r="A100" s="1437"/>
      <c r="B100" s="453" t="s">
        <v>102</v>
      </c>
      <c r="C100" s="733">
        <f t="shared" ref="C100:D100" si="24">24-C101-C102</f>
        <v>0</v>
      </c>
      <c r="D100" s="733">
        <f t="shared" si="24"/>
        <v>14.38</v>
      </c>
      <c r="E100" s="733">
        <f>24-E101-E102</f>
        <v>24</v>
      </c>
      <c r="F100" s="733">
        <f>24-F101-F102</f>
        <v>24</v>
      </c>
      <c r="G100" s="1454"/>
    </row>
    <row r="101" spans="1:7" ht="18.75" customHeight="1" thickBot="1" x14ac:dyDescent="0.3">
      <c r="A101" s="1437"/>
      <c r="B101" s="448" t="s">
        <v>103</v>
      </c>
      <c r="C101" s="612">
        <v>24</v>
      </c>
      <c r="D101" s="612">
        <v>9.6199999999999992</v>
      </c>
      <c r="E101" s="731">
        <v>0</v>
      </c>
      <c r="F101" s="731">
        <v>0</v>
      </c>
      <c r="G101" s="1454"/>
    </row>
    <row r="102" spans="1:7" ht="18.75" customHeight="1" thickBot="1" x14ac:dyDescent="0.3">
      <c r="A102" s="1438"/>
      <c r="B102" s="457" t="s">
        <v>104</v>
      </c>
      <c r="C102" s="576">
        <v>0</v>
      </c>
      <c r="D102" s="576">
        <v>0</v>
      </c>
      <c r="E102" s="734">
        <v>0</v>
      </c>
      <c r="F102" s="734">
        <v>0</v>
      </c>
      <c r="G102" s="1455"/>
    </row>
    <row r="103" spans="1:7" ht="18.75" customHeight="1" thickBot="1" x14ac:dyDescent="0.3">
      <c r="A103" s="1436">
        <v>44799</v>
      </c>
      <c r="B103" s="453" t="s">
        <v>17</v>
      </c>
      <c r="C103" s="709">
        <v>1</v>
      </c>
      <c r="D103" s="709">
        <v>1</v>
      </c>
      <c r="E103" s="709">
        <v>1</v>
      </c>
      <c r="F103" s="709">
        <v>1</v>
      </c>
      <c r="G103" s="1447" t="s">
        <v>3667</v>
      </c>
    </row>
    <row r="104" spans="1:7" ht="18.75" customHeight="1" thickBot="1" x14ac:dyDescent="0.3">
      <c r="A104" s="1437"/>
      <c r="B104" s="453" t="s">
        <v>102</v>
      </c>
      <c r="C104" s="731">
        <f t="shared" ref="C104:D104" si="25">24-C105-C106</f>
        <v>0</v>
      </c>
      <c r="D104" s="731">
        <f t="shared" si="25"/>
        <v>11.27</v>
      </c>
      <c r="E104" s="733">
        <f>24-E105-E106</f>
        <v>24</v>
      </c>
      <c r="F104" s="733">
        <f>24-F105-F106</f>
        <v>24</v>
      </c>
      <c r="G104" s="1454"/>
    </row>
    <row r="105" spans="1:7" ht="18.75" customHeight="1" thickBot="1" x14ac:dyDescent="0.3">
      <c r="A105" s="1437"/>
      <c r="B105" s="448" t="s">
        <v>103</v>
      </c>
      <c r="C105" s="731">
        <v>24</v>
      </c>
      <c r="D105" s="731">
        <v>12.73</v>
      </c>
      <c r="E105" s="731">
        <v>0</v>
      </c>
      <c r="F105" s="731">
        <v>0</v>
      </c>
      <c r="G105" s="1454"/>
    </row>
    <row r="106" spans="1:7" ht="18.75" customHeight="1" thickBot="1" x14ac:dyDescent="0.3">
      <c r="A106" s="1438"/>
      <c r="B106" s="457" t="s">
        <v>104</v>
      </c>
      <c r="C106" s="732">
        <v>0</v>
      </c>
      <c r="D106" s="734">
        <v>0</v>
      </c>
      <c r="E106" s="734">
        <v>0</v>
      </c>
      <c r="F106" s="734">
        <v>0</v>
      </c>
      <c r="G106" s="1454"/>
    </row>
    <row r="107" spans="1:7" ht="18.75" customHeight="1" thickBot="1" x14ac:dyDescent="0.3">
      <c r="A107" s="1436">
        <v>44800</v>
      </c>
      <c r="B107" s="453" t="s">
        <v>17</v>
      </c>
      <c r="C107" s="709">
        <v>1</v>
      </c>
      <c r="D107" s="709">
        <v>1</v>
      </c>
      <c r="E107" s="709">
        <v>1</v>
      </c>
      <c r="F107" s="709">
        <v>1</v>
      </c>
      <c r="G107" s="1454"/>
    </row>
    <row r="108" spans="1:7" ht="18.75" customHeight="1" thickBot="1" x14ac:dyDescent="0.3">
      <c r="A108" s="1437"/>
      <c r="B108" s="453" t="s">
        <v>102</v>
      </c>
      <c r="C108" s="731">
        <f t="shared" ref="C108:D108" si="26">24-C109-C110</f>
        <v>0</v>
      </c>
      <c r="D108" s="731">
        <f t="shared" si="26"/>
        <v>17.55</v>
      </c>
      <c r="E108" s="733">
        <f>24-E109-E110</f>
        <v>24</v>
      </c>
      <c r="F108" s="733">
        <f>24-F109-F110</f>
        <v>24</v>
      </c>
      <c r="G108" s="1454"/>
    </row>
    <row r="109" spans="1:7" ht="18.75" customHeight="1" thickBot="1" x14ac:dyDescent="0.3">
      <c r="A109" s="1437"/>
      <c r="B109" s="448" t="s">
        <v>103</v>
      </c>
      <c r="C109" s="731">
        <v>24</v>
      </c>
      <c r="D109" s="731">
        <v>6.45</v>
      </c>
      <c r="E109" s="731">
        <v>0</v>
      </c>
      <c r="F109" s="731">
        <v>0</v>
      </c>
      <c r="G109" s="1454"/>
    </row>
    <row r="110" spans="1:7" ht="18.75" customHeight="1" thickBot="1" x14ac:dyDescent="0.3">
      <c r="A110" s="1438"/>
      <c r="B110" s="457" t="s">
        <v>104</v>
      </c>
      <c r="C110" s="732">
        <v>0</v>
      </c>
      <c r="D110" s="734">
        <v>0</v>
      </c>
      <c r="E110" s="734">
        <v>0</v>
      </c>
      <c r="F110" s="734">
        <v>0</v>
      </c>
      <c r="G110" s="1455"/>
    </row>
    <row r="111" spans="1:7" ht="18.75" customHeight="1" thickBot="1" x14ac:dyDescent="0.3">
      <c r="A111" s="1436">
        <v>44801</v>
      </c>
      <c r="B111" s="453" t="s">
        <v>17</v>
      </c>
      <c r="C111" s="709">
        <v>1</v>
      </c>
      <c r="D111" s="709">
        <v>1</v>
      </c>
      <c r="E111" s="709">
        <v>1</v>
      </c>
      <c r="F111" s="709">
        <v>1</v>
      </c>
      <c r="G111" s="1447" t="s">
        <v>3696</v>
      </c>
    </row>
    <row r="112" spans="1:7" ht="18.75" customHeight="1" thickBot="1" x14ac:dyDescent="0.3">
      <c r="A112" s="1437"/>
      <c r="B112" s="453" t="s">
        <v>102</v>
      </c>
      <c r="C112" s="731">
        <f t="shared" ref="C112:D112" si="27">24-C113-C114</f>
        <v>0</v>
      </c>
      <c r="D112" s="731">
        <f t="shared" si="27"/>
        <v>16.53</v>
      </c>
      <c r="E112" s="733">
        <f>24-E113-E114</f>
        <v>24</v>
      </c>
      <c r="F112" s="733">
        <f>24-F113-F114</f>
        <v>24</v>
      </c>
      <c r="G112" s="1448"/>
    </row>
    <row r="113" spans="1:7" ht="18.75" customHeight="1" thickBot="1" x14ac:dyDescent="0.3">
      <c r="A113" s="1437"/>
      <c r="B113" s="448" t="s">
        <v>103</v>
      </c>
      <c r="C113" s="731">
        <v>24</v>
      </c>
      <c r="D113" s="731">
        <v>7.47</v>
      </c>
      <c r="E113" s="731">
        <v>0</v>
      </c>
      <c r="F113" s="731">
        <v>0</v>
      </c>
      <c r="G113" s="1448"/>
    </row>
    <row r="114" spans="1:7" ht="18.75" customHeight="1" thickBot="1" x14ac:dyDescent="0.3">
      <c r="A114" s="1438"/>
      <c r="B114" s="457" t="s">
        <v>104</v>
      </c>
      <c r="C114" s="732">
        <v>0</v>
      </c>
      <c r="D114" s="734">
        <v>0</v>
      </c>
      <c r="E114" s="734">
        <v>0</v>
      </c>
      <c r="F114" s="734">
        <v>0</v>
      </c>
      <c r="G114" s="1449"/>
    </row>
    <row r="115" spans="1:7" ht="18.75" customHeight="1" thickBot="1" x14ac:dyDescent="0.3">
      <c r="A115" s="1436">
        <v>44802</v>
      </c>
      <c r="B115" s="453" t="s">
        <v>17</v>
      </c>
      <c r="C115" s="709">
        <v>1</v>
      </c>
      <c r="D115" s="709">
        <v>1</v>
      </c>
      <c r="E115" s="709">
        <v>1</v>
      </c>
      <c r="F115" s="709">
        <v>1</v>
      </c>
      <c r="G115" s="1447" t="s">
        <v>3687</v>
      </c>
    </row>
    <row r="116" spans="1:7" ht="18.75" customHeight="1" thickBot="1" x14ac:dyDescent="0.3">
      <c r="A116" s="1437"/>
      <c r="B116" s="453" t="s">
        <v>102</v>
      </c>
      <c r="C116" s="731">
        <f t="shared" ref="C116:D116" si="28">24-C117-C118</f>
        <v>12.52</v>
      </c>
      <c r="D116" s="731">
        <f t="shared" si="28"/>
        <v>14.38</v>
      </c>
      <c r="E116" s="733">
        <f>24-E117-E118</f>
        <v>24</v>
      </c>
      <c r="F116" s="733">
        <f>24-F117-F118</f>
        <v>24</v>
      </c>
      <c r="G116" s="1454"/>
    </row>
    <row r="117" spans="1:7" ht="18.75" customHeight="1" thickBot="1" x14ac:dyDescent="0.3">
      <c r="A117" s="1437"/>
      <c r="B117" s="448" t="s">
        <v>103</v>
      </c>
      <c r="C117" s="731">
        <v>11.48</v>
      </c>
      <c r="D117" s="731">
        <v>9.6199999999999992</v>
      </c>
      <c r="E117" s="731">
        <v>0</v>
      </c>
      <c r="F117" s="731">
        <v>0</v>
      </c>
      <c r="G117" s="1454"/>
    </row>
    <row r="118" spans="1:7" ht="18.75" customHeight="1" thickBot="1" x14ac:dyDescent="0.3">
      <c r="A118" s="1438"/>
      <c r="B118" s="457" t="s">
        <v>104</v>
      </c>
      <c r="C118" s="732">
        <v>0</v>
      </c>
      <c r="D118" s="734">
        <v>0</v>
      </c>
      <c r="E118" s="734">
        <v>0</v>
      </c>
      <c r="F118" s="734">
        <v>0</v>
      </c>
      <c r="G118" s="1454"/>
    </row>
    <row r="119" spans="1:7" ht="18.75" customHeight="1" thickBot="1" x14ac:dyDescent="0.3">
      <c r="A119" s="1436">
        <v>44803</v>
      </c>
      <c r="B119" s="453" t="s">
        <v>17</v>
      </c>
      <c r="C119" s="709">
        <v>1</v>
      </c>
      <c r="D119" s="709">
        <v>1</v>
      </c>
      <c r="E119" s="709">
        <v>1</v>
      </c>
      <c r="F119" s="709">
        <v>1</v>
      </c>
      <c r="G119" s="1454"/>
    </row>
    <row r="120" spans="1:7" ht="18.75" customHeight="1" thickBot="1" x14ac:dyDescent="0.3">
      <c r="A120" s="1437"/>
      <c r="B120" s="453" t="s">
        <v>102</v>
      </c>
      <c r="C120" s="731">
        <f t="shared" ref="C120:D120" si="29">24-C121-C122</f>
        <v>24</v>
      </c>
      <c r="D120" s="731">
        <f t="shared" si="29"/>
        <v>16.38</v>
      </c>
      <c r="E120" s="733">
        <f>24-E121-E122</f>
        <v>24</v>
      </c>
      <c r="F120" s="733">
        <f>24-F121-F122</f>
        <v>24</v>
      </c>
      <c r="G120" s="1454"/>
    </row>
    <row r="121" spans="1:7" ht="18.75" customHeight="1" thickBot="1" x14ac:dyDescent="0.3">
      <c r="A121" s="1437"/>
      <c r="B121" s="448" t="s">
        <v>103</v>
      </c>
      <c r="C121" s="731">
        <v>0</v>
      </c>
      <c r="D121" s="731">
        <v>7.62</v>
      </c>
      <c r="E121" s="731">
        <v>0</v>
      </c>
      <c r="F121" s="731">
        <v>0</v>
      </c>
      <c r="G121" s="1454"/>
    </row>
    <row r="122" spans="1:7" ht="18.75" customHeight="1" thickBot="1" x14ac:dyDescent="0.3">
      <c r="A122" s="1438"/>
      <c r="B122" s="457" t="s">
        <v>104</v>
      </c>
      <c r="C122" s="732">
        <v>0</v>
      </c>
      <c r="D122" s="734">
        <v>0</v>
      </c>
      <c r="E122" s="734">
        <v>0</v>
      </c>
      <c r="F122" s="734">
        <v>0</v>
      </c>
      <c r="G122" s="1455"/>
    </row>
    <row r="123" spans="1:7" ht="18.75" customHeight="1" thickBot="1" x14ac:dyDescent="0.3">
      <c r="A123" s="1436">
        <v>44804</v>
      </c>
      <c r="B123" s="453" t="s">
        <v>17</v>
      </c>
      <c r="C123" s="709">
        <v>1</v>
      </c>
      <c r="D123" s="709">
        <v>1</v>
      </c>
      <c r="E123" s="709">
        <v>1</v>
      </c>
      <c r="F123" s="709">
        <v>1</v>
      </c>
      <c r="G123" s="1417" t="s">
        <v>3698</v>
      </c>
    </row>
    <row r="124" spans="1:7" ht="18.75" customHeight="1" thickBot="1" x14ac:dyDescent="0.3">
      <c r="A124" s="1437"/>
      <c r="B124" s="453" t="s">
        <v>102</v>
      </c>
      <c r="C124" s="731">
        <f t="shared" ref="C124:D124" si="30">24-C125-C126</f>
        <v>24</v>
      </c>
      <c r="D124" s="731">
        <f t="shared" si="30"/>
        <v>16.5</v>
      </c>
      <c r="E124" s="733">
        <f>24-E125-E126</f>
        <v>24</v>
      </c>
      <c r="F124" s="733">
        <f>24-F125-F126</f>
        <v>24</v>
      </c>
      <c r="G124" s="1418"/>
    </row>
    <row r="125" spans="1:7" ht="18.75" customHeight="1" thickBot="1" x14ac:dyDescent="0.3">
      <c r="A125" s="1437"/>
      <c r="B125" s="448" t="s">
        <v>103</v>
      </c>
      <c r="C125" s="731">
        <v>0</v>
      </c>
      <c r="D125" s="731">
        <v>7.5</v>
      </c>
      <c r="E125" s="731">
        <v>0</v>
      </c>
      <c r="F125" s="731">
        <v>0</v>
      </c>
      <c r="G125" s="1418"/>
    </row>
    <row r="126" spans="1:7" ht="18.75" customHeight="1" thickBot="1" x14ac:dyDescent="0.3">
      <c r="A126" s="1438"/>
      <c r="B126" s="457" t="s">
        <v>104</v>
      </c>
      <c r="C126" s="732">
        <v>0</v>
      </c>
      <c r="D126" s="734">
        <v>0</v>
      </c>
      <c r="E126" s="734">
        <v>0</v>
      </c>
      <c r="F126" s="734">
        <v>0</v>
      </c>
      <c r="G126" s="1423"/>
    </row>
    <row r="127" spans="1:7" x14ac:dyDescent="0.25">
      <c r="A127" s="464" t="s">
        <v>3530</v>
      </c>
      <c r="B127" s="465"/>
      <c r="C127" s="466">
        <f>SUM(C112,C108,C104,C100,C96,C92,C88,C84,C80,C76,C72,C68,C64,C60,C56,C52,C48,C44,C40,C36,C32,C28,C24,C20,C16,C12,C8,C4,C116,C120,C124)</f>
        <v>240.77</v>
      </c>
      <c r="D127" s="466">
        <f>SUM(D112,D108,D104,D100,D96,D92,D88,D84,D80,D76,D72,D68,D64,D60,D56,D52,D48,D44,D40,D36,D32,D28,D24,D20,D16,D12,D8,D4,D116,D120,D124)</f>
        <v>488.74999999999994</v>
      </c>
      <c r="E127" s="466">
        <f t="shared" ref="E127:F128" si="31">SUM(E112,E108,E104,E100,E96,E92,E88,E84,E80,E76,E72,E68,E64,E60,E56,E52,E48,E44,E40,E36,E32,E28,E24,E20,E16,E12,E8,E4,E116,E120,E124)</f>
        <v>744</v>
      </c>
      <c r="F127" s="466">
        <f t="shared" si="31"/>
        <v>744</v>
      </c>
      <c r="G127" s="468"/>
    </row>
    <row r="128" spans="1:7" x14ac:dyDescent="0.25">
      <c r="A128" s="898" t="s">
        <v>3531</v>
      </c>
      <c r="B128" s="134"/>
      <c r="C128" s="469">
        <f>SUM(C113,C109,C105,C101,C97,C93,C89,C85,C81,C77,C73,C69,C65,C61,C57,C53,C49,C45,C41,C37,C33,C29,C25,C21,C17,C13,C9,C5,C117,C121,C125)</f>
        <v>503.23</v>
      </c>
      <c r="D128" s="469">
        <f>SUM(D113,D109,D105,D101,D97,D93,D89,D85,D81,D77,D73,D69,D65,D61,D57,D53,D49,D45,D41,D37,D33,D29,D25,D21,D17,D13,D9,D5,D117,D121,D125)</f>
        <v>255.25000000000003</v>
      </c>
      <c r="E128" s="469">
        <f t="shared" si="31"/>
        <v>0</v>
      </c>
      <c r="F128" s="469">
        <f t="shared" si="31"/>
        <v>0</v>
      </c>
      <c r="G128" s="471"/>
    </row>
    <row r="129" spans="1:7" ht="15.75" thickBot="1" x14ac:dyDescent="0.3">
      <c r="A129" s="899" t="s">
        <v>3532</v>
      </c>
      <c r="B129" s="472"/>
      <c r="C129" s="473">
        <f>SUM(C114,C110,C106,C102,C98,C94,C90,C86,C82,C78,C74,C70,C66,C62,C58,C54,C50,C46,C42,C38,C34,C30,C26,C22,C18,C14,C10,C6,C118,C122,C126)</f>
        <v>0</v>
      </c>
      <c r="D129" s="473">
        <f t="shared" ref="D129:F129" si="32">SUM(D114,D110,D106,D102,D98,D94,D90,D86,D82,D78,D74,D70,D66,D62,D58,D54,D50,D46,D42,D38,D34,D30,D26,D22,D18,D14,D10,D6,D118,D122,D126)</f>
        <v>0</v>
      </c>
      <c r="E129" s="473">
        <f t="shared" si="32"/>
        <v>0</v>
      </c>
      <c r="F129" s="473">
        <f t="shared" si="32"/>
        <v>0</v>
      </c>
      <c r="G129" s="475"/>
    </row>
    <row r="130" spans="1:7" ht="15.75" thickBot="1" x14ac:dyDescent="0.3">
      <c r="A130" s="1450" t="s">
        <v>108</v>
      </c>
      <c r="B130" s="1451"/>
      <c r="C130" s="1451"/>
      <c r="D130" s="1451"/>
      <c r="E130" s="1451"/>
      <c r="F130" s="1451"/>
      <c r="G130" s="1452"/>
    </row>
  </sheetData>
  <mergeCells count="57">
    <mergeCell ref="A123:A126"/>
    <mergeCell ref="G123:G126"/>
    <mergeCell ref="A99:A102"/>
    <mergeCell ref="A103:A106"/>
    <mergeCell ref="A107:A110"/>
    <mergeCell ref="A119:A122"/>
    <mergeCell ref="G95:G102"/>
    <mergeCell ref="G103:G110"/>
    <mergeCell ref="G115:G122"/>
    <mergeCell ref="A43:A46"/>
    <mergeCell ref="G43:G46"/>
    <mergeCell ref="G51:G54"/>
    <mergeCell ref="G63:G70"/>
    <mergeCell ref="A67:A70"/>
    <mergeCell ref="A47:A50"/>
    <mergeCell ref="G47:G50"/>
    <mergeCell ref="A51:A54"/>
    <mergeCell ref="A55:A58"/>
    <mergeCell ref="G55:G58"/>
    <mergeCell ref="A59:A62"/>
    <mergeCell ref="G59:G62"/>
    <mergeCell ref="A63:A66"/>
    <mergeCell ref="A130:G130"/>
    <mergeCell ref="A71:A74"/>
    <mergeCell ref="G71:G74"/>
    <mergeCell ref="A75:A78"/>
    <mergeCell ref="G75:G78"/>
    <mergeCell ref="A79:A82"/>
    <mergeCell ref="A83:A86"/>
    <mergeCell ref="A111:A114"/>
    <mergeCell ref="G111:G114"/>
    <mergeCell ref="A115:A118"/>
    <mergeCell ref="A87:A90"/>
    <mergeCell ref="A91:A94"/>
    <mergeCell ref="A95:A98"/>
    <mergeCell ref="G79:G86"/>
    <mergeCell ref="G87:G90"/>
    <mergeCell ref="G91:G94"/>
    <mergeCell ref="A1:G1"/>
    <mergeCell ref="A3:A6"/>
    <mergeCell ref="A7:A10"/>
    <mergeCell ref="A11:A14"/>
    <mergeCell ref="G11:G14"/>
    <mergeCell ref="G3:G10"/>
    <mergeCell ref="A31:A34"/>
    <mergeCell ref="A35:A38"/>
    <mergeCell ref="A39:A42"/>
    <mergeCell ref="G39:G42"/>
    <mergeCell ref="G15:G18"/>
    <mergeCell ref="G19:G22"/>
    <mergeCell ref="G31:G34"/>
    <mergeCell ref="A15:A18"/>
    <mergeCell ref="A19:A22"/>
    <mergeCell ref="A23:A26"/>
    <mergeCell ref="G23:G30"/>
    <mergeCell ref="A27:A30"/>
    <mergeCell ref="G35:G38"/>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G130"/>
  <sheetViews>
    <sheetView workbookViewId="0">
      <pane xSplit="1" ySplit="2" topLeftCell="B71" activePane="bottomRight" state="frozen"/>
      <selection pane="topRight" activeCell="B1" sqref="B1"/>
      <selection pane="bottomLeft" activeCell="A3" sqref="A3"/>
      <selection pane="bottomRight" activeCell="G43" sqref="G43:G46"/>
    </sheetView>
  </sheetViews>
  <sheetFormatPr defaultRowHeight="15" x14ac:dyDescent="0.25"/>
  <cols>
    <col min="1" max="1" width="47.7109375" customWidth="1"/>
    <col min="2" max="2" width="25" customWidth="1"/>
    <col min="4" max="4" width="9.140625" style="1"/>
    <col min="7" max="7" width="54.7109375" customWidth="1"/>
  </cols>
  <sheetData>
    <row r="1" spans="1:7" ht="21.75" thickBot="1" x14ac:dyDescent="0.4">
      <c r="A1" s="1443" t="s">
        <v>73</v>
      </c>
      <c r="B1" s="1443"/>
      <c r="C1" s="1443"/>
      <c r="D1" s="1443"/>
      <c r="E1" s="1443"/>
      <c r="F1" s="1443"/>
      <c r="G1" s="1443"/>
    </row>
    <row r="2" spans="1:7" ht="16.5" thickBot="1" x14ac:dyDescent="0.3">
      <c r="A2" s="108" t="s">
        <v>98</v>
      </c>
      <c r="B2" s="608"/>
      <c r="C2" s="607" t="s">
        <v>310</v>
      </c>
      <c r="D2" s="607" t="s">
        <v>239</v>
      </c>
      <c r="E2" s="447" t="s">
        <v>100</v>
      </c>
      <c r="F2" s="682" t="s">
        <v>157</v>
      </c>
      <c r="G2" s="111" t="s">
        <v>101</v>
      </c>
    </row>
    <row r="3" spans="1:7" ht="29.25" customHeight="1" thickBot="1" x14ac:dyDescent="0.3">
      <c r="A3" s="1436">
        <v>44805</v>
      </c>
      <c r="B3" s="453" t="s">
        <v>17</v>
      </c>
      <c r="C3" s="709">
        <v>1</v>
      </c>
      <c r="D3" s="709">
        <v>1</v>
      </c>
      <c r="E3" s="709">
        <v>1</v>
      </c>
      <c r="F3" s="709">
        <v>1</v>
      </c>
      <c r="G3" s="1453" t="s">
        <v>3715</v>
      </c>
    </row>
    <row r="4" spans="1:7" ht="29.25" customHeight="1" thickBot="1" x14ac:dyDescent="0.3">
      <c r="A4" s="1437"/>
      <c r="B4" s="453" t="s">
        <v>102</v>
      </c>
      <c r="C4" s="731">
        <f t="shared" ref="C4:D4" si="0">24-C5-C6</f>
        <v>5.9699999999999989</v>
      </c>
      <c r="D4" s="731">
        <f t="shared" si="0"/>
        <v>18.670000000000002</v>
      </c>
      <c r="E4" s="733">
        <f>24-E5-E6</f>
        <v>24</v>
      </c>
      <c r="F4" s="733">
        <f>24-F5-F6</f>
        <v>24</v>
      </c>
      <c r="G4" s="1418"/>
    </row>
    <row r="5" spans="1:7" ht="29.25" customHeight="1" thickBot="1" x14ac:dyDescent="0.3">
      <c r="A5" s="1437"/>
      <c r="B5" s="448" t="s">
        <v>103</v>
      </c>
      <c r="C5" s="731">
        <v>18.03</v>
      </c>
      <c r="D5" s="731">
        <v>5.33</v>
      </c>
      <c r="E5" s="731">
        <v>0</v>
      </c>
      <c r="F5" s="731">
        <v>0</v>
      </c>
      <c r="G5" s="1418"/>
    </row>
    <row r="6" spans="1:7" ht="29.25" customHeight="1" thickBot="1" x14ac:dyDescent="0.3">
      <c r="A6" s="1438"/>
      <c r="B6" s="457" t="s">
        <v>104</v>
      </c>
      <c r="C6" s="732">
        <v>0</v>
      </c>
      <c r="D6" s="734">
        <v>0</v>
      </c>
      <c r="E6" s="734">
        <v>0</v>
      </c>
      <c r="F6" s="734">
        <v>0</v>
      </c>
      <c r="G6" s="1423"/>
    </row>
    <row r="7" spans="1:7" ht="15.75" customHeight="1" thickBot="1" x14ac:dyDescent="0.3">
      <c r="A7" s="1436">
        <v>44806</v>
      </c>
      <c r="B7" s="453" t="s">
        <v>17</v>
      </c>
      <c r="C7" s="709">
        <v>1</v>
      </c>
      <c r="D7" s="709">
        <v>1</v>
      </c>
      <c r="E7" s="709">
        <v>1</v>
      </c>
      <c r="F7" s="709">
        <v>1</v>
      </c>
      <c r="G7" s="1417" t="s">
        <v>3722</v>
      </c>
    </row>
    <row r="8" spans="1:7" ht="15.75" thickBot="1" x14ac:dyDescent="0.3">
      <c r="A8" s="1437"/>
      <c r="B8" s="453" t="s">
        <v>102</v>
      </c>
      <c r="C8" s="731">
        <f t="shared" ref="C8:D8" si="1">24-C9-C10</f>
        <v>0</v>
      </c>
      <c r="D8" s="731">
        <f t="shared" si="1"/>
        <v>11.35</v>
      </c>
      <c r="E8" s="733">
        <f>24-E9-E10</f>
        <v>24</v>
      </c>
      <c r="F8" s="733">
        <f>24-F9-F10</f>
        <v>24</v>
      </c>
      <c r="G8" s="1418"/>
    </row>
    <row r="9" spans="1:7" ht="15.75" thickBot="1" x14ac:dyDescent="0.3">
      <c r="A9" s="1437"/>
      <c r="B9" s="448" t="s">
        <v>103</v>
      </c>
      <c r="C9" s="731">
        <v>24</v>
      </c>
      <c r="D9" s="731">
        <v>12.65</v>
      </c>
      <c r="E9" s="731">
        <v>0</v>
      </c>
      <c r="F9" s="731">
        <v>0</v>
      </c>
      <c r="G9" s="1418"/>
    </row>
    <row r="10" spans="1:7" ht="27.75" customHeight="1" thickBot="1" x14ac:dyDescent="0.3">
      <c r="A10" s="1438"/>
      <c r="B10" s="457" t="s">
        <v>104</v>
      </c>
      <c r="C10" s="732">
        <v>0</v>
      </c>
      <c r="D10" s="734">
        <v>0</v>
      </c>
      <c r="E10" s="734">
        <v>0</v>
      </c>
      <c r="F10" s="734">
        <v>0</v>
      </c>
      <c r="G10" s="1418"/>
    </row>
    <row r="11" spans="1:7" ht="18.75" customHeight="1" thickBot="1" x14ac:dyDescent="0.3">
      <c r="A11" s="1436">
        <v>44807</v>
      </c>
      <c r="B11" s="453" t="s">
        <v>17</v>
      </c>
      <c r="C11" s="709">
        <v>1</v>
      </c>
      <c r="D11" s="709">
        <v>1</v>
      </c>
      <c r="E11" s="709">
        <v>1</v>
      </c>
      <c r="F11" s="709">
        <v>1</v>
      </c>
      <c r="G11" s="1418"/>
    </row>
    <row r="12" spans="1:7" ht="18.75" customHeight="1" thickBot="1" x14ac:dyDescent="0.3">
      <c r="A12" s="1437"/>
      <c r="B12" s="453" t="s">
        <v>102</v>
      </c>
      <c r="C12" s="731">
        <f t="shared" ref="C12:D12" si="2">24-C13-C14</f>
        <v>0</v>
      </c>
      <c r="D12" s="731">
        <f t="shared" si="2"/>
        <v>18.38</v>
      </c>
      <c r="E12" s="733">
        <f>24-E13-E14</f>
        <v>24</v>
      </c>
      <c r="F12" s="733">
        <f>24-F13-F14</f>
        <v>24</v>
      </c>
      <c r="G12" s="1418"/>
    </row>
    <row r="13" spans="1:7" ht="18.75" customHeight="1" thickBot="1" x14ac:dyDescent="0.3">
      <c r="A13" s="1437"/>
      <c r="B13" s="448" t="s">
        <v>103</v>
      </c>
      <c r="C13" s="731">
        <v>24</v>
      </c>
      <c r="D13" s="731">
        <v>5.62</v>
      </c>
      <c r="E13" s="731">
        <v>0</v>
      </c>
      <c r="F13" s="731">
        <v>0</v>
      </c>
      <c r="G13" s="1418"/>
    </row>
    <row r="14" spans="1:7" ht="18.75" customHeight="1" thickBot="1" x14ac:dyDescent="0.3">
      <c r="A14" s="1438"/>
      <c r="B14" s="457" t="s">
        <v>104</v>
      </c>
      <c r="C14" s="732">
        <v>0</v>
      </c>
      <c r="D14" s="734">
        <v>0</v>
      </c>
      <c r="E14" s="734">
        <v>0</v>
      </c>
      <c r="F14" s="734">
        <v>0</v>
      </c>
      <c r="G14" s="1423"/>
    </row>
    <row r="15" spans="1:7" ht="18.75" customHeight="1" thickBot="1" x14ac:dyDescent="0.3">
      <c r="A15" s="1436">
        <v>44808</v>
      </c>
      <c r="B15" s="453" t="s">
        <v>17</v>
      </c>
      <c r="C15" s="709">
        <v>1</v>
      </c>
      <c r="D15" s="709">
        <v>1</v>
      </c>
      <c r="E15" s="709">
        <v>1</v>
      </c>
      <c r="F15" s="709">
        <v>1</v>
      </c>
      <c r="G15" s="1417" t="s">
        <v>3730</v>
      </c>
    </row>
    <row r="16" spans="1:7" ht="15.75" thickBot="1" x14ac:dyDescent="0.3">
      <c r="A16" s="1437"/>
      <c r="B16" s="453" t="s">
        <v>102</v>
      </c>
      <c r="C16" s="731">
        <f t="shared" ref="C16:D16" si="3">24-C17-C18</f>
        <v>0</v>
      </c>
      <c r="D16" s="731">
        <f t="shared" si="3"/>
        <v>11</v>
      </c>
      <c r="E16" s="733">
        <f>24-E17-E18</f>
        <v>24</v>
      </c>
      <c r="F16" s="733">
        <f>24-F17-F18</f>
        <v>24</v>
      </c>
      <c r="G16" s="1418"/>
    </row>
    <row r="17" spans="1:7" ht="15.75" thickBot="1" x14ac:dyDescent="0.3">
      <c r="A17" s="1437"/>
      <c r="B17" s="448" t="s">
        <v>103</v>
      </c>
      <c r="C17" s="731">
        <v>24</v>
      </c>
      <c r="D17" s="731">
        <v>13</v>
      </c>
      <c r="E17" s="731">
        <v>0</v>
      </c>
      <c r="F17" s="731">
        <v>0</v>
      </c>
      <c r="G17" s="1418"/>
    </row>
    <row r="18" spans="1:7" ht="15.75" thickBot="1" x14ac:dyDescent="0.3">
      <c r="A18" s="1438"/>
      <c r="B18" s="457" t="s">
        <v>104</v>
      </c>
      <c r="C18" s="732">
        <v>0</v>
      </c>
      <c r="D18" s="734">
        <v>0</v>
      </c>
      <c r="E18" s="734">
        <v>0</v>
      </c>
      <c r="F18" s="734">
        <v>0</v>
      </c>
      <c r="G18" s="1423"/>
    </row>
    <row r="19" spans="1:7" ht="19.5" customHeight="1" thickBot="1" x14ac:dyDescent="0.3">
      <c r="A19" s="1436">
        <v>44809</v>
      </c>
      <c r="B19" s="453" t="s">
        <v>17</v>
      </c>
      <c r="C19" s="709">
        <v>1</v>
      </c>
      <c r="D19" s="709">
        <v>1</v>
      </c>
      <c r="E19" s="709">
        <v>1</v>
      </c>
      <c r="F19" s="709">
        <v>1</v>
      </c>
      <c r="G19" s="1417" t="s">
        <v>3744</v>
      </c>
    </row>
    <row r="20" spans="1:7" ht="19.5" customHeight="1" thickBot="1" x14ac:dyDescent="0.3">
      <c r="A20" s="1437"/>
      <c r="B20" s="453" t="s">
        <v>102</v>
      </c>
      <c r="C20" s="731">
        <f t="shared" ref="C20:D20" si="4">24-C21-C22</f>
        <v>0</v>
      </c>
      <c r="D20" s="731">
        <f t="shared" si="4"/>
        <v>16.62</v>
      </c>
      <c r="E20" s="733">
        <f>24-E21-E22</f>
        <v>24</v>
      </c>
      <c r="F20" s="733">
        <f>24-F21-F22</f>
        <v>24</v>
      </c>
      <c r="G20" s="1418"/>
    </row>
    <row r="21" spans="1:7" ht="19.5" customHeight="1" thickBot="1" x14ac:dyDescent="0.3">
      <c r="A21" s="1437"/>
      <c r="B21" s="448" t="s">
        <v>103</v>
      </c>
      <c r="C21" s="731">
        <v>24</v>
      </c>
      <c r="D21" s="731">
        <v>7.38</v>
      </c>
      <c r="E21" s="731">
        <v>0</v>
      </c>
      <c r="F21" s="731">
        <v>0</v>
      </c>
      <c r="G21" s="1418"/>
    </row>
    <row r="22" spans="1:7" ht="19.5" customHeight="1" thickBot="1" x14ac:dyDescent="0.3">
      <c r="A22" s="1438"/>
      <c r="B22" s="457" t="s">
        <v>104</v>
      </c>
      <c r="C22" s="732">
        <v>0</v>
      </c>
      <c r="D22" s="734">
        <v>0</v>
      </c>
      <c r="E22" s="734">
        <v>0</v>
      </c>
      <c r="F22" s="734">
        <v>0</v>
      </c>
      <c r="G22" s="1418"/>
    </row>
    <row r="23" spans="1:7" ht="19.5" customHeight="1" thickBot="1" x14ac:dyDescent="0.3">
      <c r="A23" s="1436">
        <v>44810</v>
      </c>
      <c r="B23" s="453" t="s">
        <v>17</v>
      </c>
      <c r="C23" s="709">
        <v>1</v>
      </c>
      <c r="D23" s="709">
        <v>1</v>
      </c>
      <c r="E23" s="709">
        <v>1</v>
      </c>
      <c r="F23" s="709">
        <v>1</v>
      </c>
      <c r="G23" s="1418"/>
    </row>
    <row r="24" spans="1:7" ht="19.5" customHeight="1" thickBot="1" x14ac:dyDescent="0.3">
      <c r="A24" s="1437"/>
      <c r="B24" s="453" t="s">
        <v>102</v>
      </c>
      <c r="C24" s="731">
        <f t="shared" ref="C24:D24" si="5">24-C25-C26</f>
        <v>0</v>
      </c>
      <c r="D24" s="731">
        <f t="shared" si="5"/>
        <v>14.3</v>
      </c>
      <c r="E24" s="733">
        <f>24-E25-E26</f>
        <v>24</v>
      </c>
      <c r="F24" s="733">
        <f>24-F25-F26</f>
        <v>24</v>
      </c>
      <c r="G24" s="1418"/>
    </row>
    <row r="25" spans="1:7" ht="19.5" customHeight="1" thickBot="1" x14ac:dyDescent="0.3">
      <c r="A25" s="1437"/>
      <c r="B25" s="448" t="s">
        <v>103</v>
      </c>
      <c r="C25" s="731">
        <v>24</v>
      </c>
      <c r="D25" s="731">
        <v>9.6999999999999993</v>
      </c>
      <c r="E25" s="731">
        <v>0</v>
      </c>
      <c r="F25" s="731">
        <v>0</v>
      </c>
      <c r="G25" s="1418"/>
    </row>
    <row r="26" spans="1:7" ht="19.5" customHeight="1" thickBot="1" x14ac:dyDescent="0.3">
      <c r="A26" s="1438"/>
      <c r="B26" s="457" t="s">
        <v>104</v>
      </c>
      <c r="C26" s="732">
        <v>0</v>
      </c>
      <c r="D26" s="734">
        <v>0</v>
      </c>
      <c r="E26" s="734">
        <v>0</v>
      </c>
      <c r="F26" s="734">
        <v>0</v>
      </c>
      <c r="G26" s="1423"/>
    </row>
    <row r="27" spans="1:7" ht="19.5" customHeight="1" thickBot="1" x14ac:dyDescent="0.3">
      <c r="A27" s="1436">
        <v>44811</v>
      </c>
      <c r="B27" s="453" t="s">
        <v>17</v>
      </c>
      <c r="C27" s="709">
        <v>1</v>
      </c>
      <c r="D27" s="709">
        <v>1</v>
      </c>
      <c r="E27" s="709">
        <v>1</v>
      </c>
      <c r="F27" s="709">
        <v>1</v>
      </c>
      <c r="G27" s="1417" t="s">
        <v>3755</v>
      </c>
    </row>
    <row r="28" spans="1:7" ht="19.5" customHeight="1" thickBot="1" x14ac:dyDescent="0.3">
      <c r="A28" s="1437"/>
      <c r="B28" s="453" t="s">
        <v>102</v>
      </c>
      <c r="C28" s="731">
        <f t="shared" ref="C28:D28" si="6">24-C29-C30</f>
        <v>0</v>
      </c>
      <c r="D28" s="731">
        <f t="shared" si="6"/>
        <v>13.6</v>
      </c>
      <c r="E28" s="733">
        <f>24-E29-E30</f>
        <v>24</v>
      </c>
      <c r="F28" s="733">
        <f>24-F29-F30</f>
        <v>24</v>
      </c>
      <c r="G28" s="1418"/>
    </row>
    <row r="29" spans="1:7" ht="19.5" customHeight="1" thickBot="1" x14ac:dyDescent="0.3">
      <c r="A29" s="1437"/>
      <c r="B29" s="448" t="s">
        <v>103</v>
      </c>
      <c r="C29" s="731">
        <v>24</v>
      </c>
      <c r="D29" s="731">
        <v>10.4</v>
      </c>
      <c r="E29" s="731">
        <v>0</v>
      </c>
      <c r="F29" s="731">
        <v>0</v>
      </c>
      <c r="G29" s="1418"/>
    </row>
    <row r="30" spans="1:7" ht="19.5" customHeight="1" thickBot="1" x14ac:dyDescent="0.3">
      <c r="A30" s="1438"/>
      <c r="B30" s="457" t="s">
        <v>104</v>
      </c>
      <c r="C30" s="732">
        <v>0</v>
      </c>
      <c r="D30" s="734">
        <v>0</v>
      </c>
      <c r="E30" s="734">
        <v>0</v>
      </c>
      <c r="F30" s="734">
        <v>0</v>
      </c>
      <c r="G30" s="1418"/>
    </row>
    <row r="31" spans="1:7" ht="19.5" customHeight="1" thickBot="1" x14ac:dyDescent="0.3">
      <c r="A31" s="1436">
        <v>44812</v>
      </c>
      <c r="B31" s="453" t="s">
        <v>17</v>
      </c>
      <c r="C31" s="709">
        <v>1</v>
      </c>
      <c r="D31" s="709">
        <v>1</v>
      </c>
      <c r="E31" s="709">
        <v>1</v>
      </c>
      <c r="F31" s="709">
        <v>1</v>
      </c>
      <c r="G31" s="1417" t="s">
        <v>3765</v>
      </c>
    </row>
    <row r="32" spans="1:7" ht="19.5" customHeight="1" thickBot="1" x14ac:dyDescent="0.3">
      <c r="A32" s="1437"/>
      <c r="B32" s="453" t="s">
        <v>102</v>
      </c>
      <c r="C32" s="731">
        <f t="shared" ref="C32:D32" si="7">24-C33-C34</f>
        <v>0</v>
      </c>
      <c r="D32" s="731">
        <f t="shared" si="7"/>
        <v>16.45</v>
      </c>
      <c r="E32" s="733">
        <f>24-E33-E34</f>
        <v>24</v>
      </c>
      <c r="F32" s="733">
        <f>24-F33-F34</f>
        <v>24</v>
      </c>
      <c r="G32" s="1418"/>
    </row>
    <row r="33" spans="1:7" ht="19.5" customHeight="1" thickBot="1" x14ac:dyDescent="0.3">
      <c r="A33" s="1437"/>
      <c r="B33" s="448" t="s">
        <v>103</v>
      </c>
      <c r="C33" s="731">
        <v>24</v>
      </c>
      <c r="D33" s="731">
        <v>7.55</v>
      </c>
      <c r="E33" s="731">
        <v>0</v>
      </c>
      <c r="F33" s="731">
        <v>0</v>
      </c>
      <c r="G33" s="1418"/>
    </row>
    <row r="34" spans="1:7" ht="19.5" customHeight="1" thickBot="1" x14ac:dyDescent="0.3">
      <c r="A34" s="1438"/>
      <c r="B34" s="457" t="s">
        <v>104</v>
      </c>
      <c r="C34" s="732">
        <v>0</v>
      </c>
      <c r="D34" s="734">
        <v>0</v>
      </c>
      <c r="E34" s="734">
        <v>0</v>
      </c>
      <c r="F34" s="734">
        <v>0</v>
      </c>
      <c r="G34" s="1418"/>
    </row>
    <row r="35" spans="1:7" ht="19.5" customHeight="1" thickBot="1" x14ac:dyDescent="0.3">
      <c r="A35" s="1436">
        <v>44813</v>
      </c>
      <c r="B35" s="453" t="s">
        <v>17</v>
      </c>
      <c r="C35" s="709">
        <v>1</v>
      </c>
      <c r="D35" s="709">
        <v>1</v>
      </c>
      <c r="E35" s="709">
        <v>1</v>
      </c>
      <c r="F35" s="709">
        <v>1</v>
      </c>
      <c r="G35" s="1418"/>
    </row>
    <row r="36" spans="1:7" ht="19.5" customHeight="1" thickBot="1" x14ac:dyDescent="0.3">
      <c r="A36" s="1437"/>
      <c r="B36" s="453" t="s">
        <v>102</v>
      </c>
      <c r="C36" s="731">
        <f t="shared" ref="C36:D36" si="8">24-C37-C38</f>
        <v>0</v>
      </c>
      <c r="D36" s="731">
        <f t="shared" si="8"/>
        <v>13.83</v>
      </c>
      <c r="E36" s="733">
        <f>24-E37-E38</f>
        <v>24</v>
      </c>
      <c r="F36" s="733">
        <f>24-F37-F38</f>
        <v>24</v>
      </c>
      <c r="G36" s="1418"/>
    </row>
    <row r="37" spans="1:7" ht="19.5" customHeight="1" thickBot="1" x14ac:dyDescent="0.3">
      <c r="A37" s="1437"/>
      <c r="B37" s="448" t="s">
        <v>103</v>
      </c>
      <c r="C37" s="731">
        <v>24</v>
      </c>
      <c r="D37" s="731">
        <v>10.17</v>
      </c>
      <c r="E37" s="731">
        <v>0</v>
      </c>
      <c r="F37" s="731">
        <v>0</v>
      </c>
      <c r="G37" s="1418"/>
    </row>
    <row r="38" spans="1:7" ht="19.5" customHeight="1" thickBot="1" x14ac:dyDescent="0.3">
      <c r="A38" s="1438"/>
      <c r="B38" s="457" t="s">
        <v>104</v>
      </c>
      <c r="C38" s="732">
        <v>0</v>
      </c>
      <c r="D38" s="734">
        <v>0</v>
      </c>
      <c r="E38" s="734">
        <v>0</v>
      </c>
      <c r="F38" s="734">
        <v>0</v>
      </c>
      <c r="G38" s="1423"/>
    </row>
    <row r="39" spans="1:7" ht="19.5" customHeight="1" thickBot="1" x14ac:dyDescent="0.3">
      <c r="A39" s="1436">
        <v>44814</v>
      </c>
      <c r="B39" s="453" t="s">
        <v>17</v>
      </c>
      <c r="C39" s="709">
        <v>1</v>
      </c>
      <c r="D39" s="709">
        <v>1</v>
      </c>
      <c r="E39" s="709">
        <v>1</v>
      </c>
      <c r="F39" s="709">
        <v>1</v>
      </c>
      <c r="G39" s="1453" t="s">
        <v>3775</v>
      </c>
    </row>
    <row r="40" spans="1:7" ht="19.5" customHeight="1" thickBot="1" x14ac:dyDescent="0.3">
      <c r="A40" s="1437"/>
      <c r="B40" s="453" t="s">
        <v>102</v>
      </c>
      <c r="C40" s="731">
        <f t="shared" ref="C40:D40" si="9">24-C41-C42</f>
        <v>20.65</v>
      </c>
      <c r="D40" s="731">
        <f t="shared" si="9"/>
        <v>10.35</v>
      </c>
      <c r="E40" s="733">
        <f>24-E41-E42</f>
        <v>24</v>
      </c>
      <c r="F40" s="733">
        <f>24-F41-F42</f>
        <v>24</v>
      </c>
      <c r="G40" s="1418"/>
    </row>
    <row r="41" spans="1:7" ht="19.5" customHeight="1" thickBot="1" x14ac:dyDescent="0.3">
      <c r="A41" s="1437"/>
      <c r="B41" s="448" t="s">
        <v>103</v>
      </c>
      <c r="C41" s="731">
        <v>3.35</v>
      </c>
      <c r="D41" s="731">
        <v>13.65</v>
      </c>
      <c r="E41" s="731">
        <v>0</v>
      </c>
      <c r="F41" s="731">
        <v>0</v>
      </c>
      <c r="G41" s="1418"/>
    </row>
    <row r="42" spans="1:7" ht="19.5" customHeight="1" thickBot="1" x14ac:dyDescent="0.3">
      <c r="A42" s="1438"/>
      <c r="B42" s="457" t="s">
        <v>104</v>
      </c>
      <c r="C42" s="732">
        <v>0</v>
      </c>
      <c r="D42" s="732">
        <v>0</v>
      </c>
      <c r="E42" s="734">
        <v>0</v>
      </c>
      <c r="F42" s="734">
        <v>0</v>
      </c>
      <c r="G42" s="1423"/>
    </row>
    <row r="43" spans="1:7" ht="30.75" customHeight="1" thickBot="1" x14ac:dyDescent="0.3">
      <c r="A43" s="1436">
        <v>44815</v>
      </c>
      <c r="B43" s="453" t="s">
        <v>17</v>
      </c>
      <c r="C43" s="709">
        <v>1</v>
      </c>
      <c r="D43" s="709">
        <v>1</v>
      </c>
      <c r="E43" s="709">
        <v>1</v>
      </c>
      <c r="F43" s="709">
        <v>1</v>
      </c>
      <c r="G43" s="1453" t="s">
        <v>3954</v>
      </c>
    </row>
    <row r="44" spans="1:7" ht="30.75" customHeight="1" thickBot="1" x14ac:dyDescent="0.3">
      <c r="A44" s="1437"/>
      <c r="B44" s="453" t="s">
        <v>102</v>
      </c>
      <c r="C44" s="731">
        <f t="shared" ref="C44:D44" si="10">24-C45-C46</f>
        <v>24</v>
      </c>
      <c r="D44" s="731">
        <f t="shared" si="10"/>
        <v>15.67</v>
      </c>
      <c r="E44" s="733">
        <f>24-E45-E46</f>
        <v>24</v>
      </c>
      <c r="F44" s="733">
        <f>24-F45-F46</f>
        <v>24</v>
      </c>
      <c r="G44" s="1418"/>
    </row>
    <row r="45" spans="1:7" ht="30.75" customHeight="1" thickBot="1" x14ac:dyDescent="0.3">
      <c r="A45" s="1437"/>
      <c r="B45" s="448" t="s">
        <v>103</v>
      </c>
      <c r="C45" s="731">
        <v>0</v>
      </c>
      <c r="D45" s="731">
        <v>8.33</v>
      </c>
      <c r="E45" s="731">
        <v>0</v>
      </c>
      <c r="F45" s="731">
        <v>0</v>
      </c>
      <c r="G45" s="1418"/>
    </row>
    <row r="46" spans="1:7" ht="30.75" customHeight="1" thickBot="1" x14ac:dyDescent="0.3">
      <c r="A46" s="1438"/>
      <c r="B46" s="457" t="s">
        <v>104</v>
      </c>
      <c r="C46" s="732">
        <v>0</v>
      </c>
      <c r="D46" s="732">
        <v>0</v>
      </c>
      <c r="E46" s="734">
        <v>0</v>
      </c>
      <c r="F46" s="734">
        <v>0</v>
      </c>
      <c r="G46" s="1423"/>
    </row>
    <row r="47" spans="1:7" ht="37.5" customHeight="1" thickBot="1" x14ac:dyDescent="0.3">
      <c r="A47" s="1436">
        <v>44816</v>
      </c>
      <c r="B47" s="453" t="s">
        <v>17</v>
      </c>
      <c r="C47" s="709">
        <v>1</v>
      </c>
      <c r="D47" s="709">
        <v>1</v>
      </c>
      <c r="E47" s="709">
        <v>1</v>
      </c>
      <c r="F47" s="709">
        <v>1</v>
      </c>
      <c r="G47" s="1417" t="s">
        <v>3800</v>
      </c>
    </row>
    <row r="48" spans="1:7" ht="37.5" customHeight="1" thickBot="1" x14ac:dyDescent="0.3">
      <c r="A48" s="1437"/>
      <c r="B48" s="453" t="s">
        <v>102</v>
      </c>
      <c r="C48" s="731">
        <f t="shared" ref="C48:D48" si="11">24-C49-C50</f>
        <v>24</v>
      </c>
      <c r="D48" s="731">
        <f t="shared" si="11"/>
        <v>24</v>
      </c>
      <c r="E48" s="733">
        <f>24-E49-E50</f>
        <v>24</v>
      </c>
      <c r="F48" s="733">
        <f>24-F49-F50</f>
        <v>19.48</v>
      </c>
      <c r="G48" s="1418"/>
    </row>
    <row r="49" spans="1:7" ht="37.5" customHeight="1" thickBot="1" x14ac:dyDescent="0.3">
      <c r="A49" s="1437"/>
      <c r="B49" s="448" t="s">
        <v>103</v>
      </c>
      <c r="C49" s="731">
        <v>0</v>
      </c>
      <c r="D49" s="731">
        <v>0</v>
      </c>
      <c r="E49" s="731">
        <v>0</v>
      </c>
      <c r="F49" s="731">
        <v>4.5199999999999996</v>
      </c>
      <c r="G49" s="1418"/>
    </row>
    <row r="50" spans="1:7" ht="37.5" customHeight="1" thickBot="1" x14ac:dyDescent="0.3">
      <c r="A50" s="1438"/>
      <c r="B50" s="457" t="s">
        <v>104</v>
      </c>
      <c r="C50" s="732">
        <v>0</v>
      </c>
      <c r="D50" s="732">
        <v>0</v>
      </c>
      <c r="E50" s="734">
        <v>0</v>
      </c>
      <c r="F50" s="734">
        <v>0</v>
      </c>
      <c r="G50" s="1418"/>
    </row>
    <row r="51" spans="1:7" ht="37.5" customHeight="1" thickBot="1" x14ac:dyDescent="0.3">
      <c r="A51" s="1436">
        <v>44817</v>
      </c>
      <c r="B51" s="453" t="s">
        <v>17</v>
      </c>
      <c r="C51" s="709">
        <v>1</v>
      </c>
      <c r="D51" s="709">
        <v>1</v>
      </c>
      <c r="E51" s="709">
        <v>1</v>
      </c>
      <c r="F51" s="709">
        <v>1</v>
      </c>
      <c r="G51" s="1418"/>
    </row>
    <row r="52" spans="1:7" ht="37.5" customHeight="1" thickBot="1" x14ac:dyDescent="0.3">
      <c r="A52" s="1437"/>
      <c r="B52" s="453" t="s">
        <v>102</v>
      </c>
      <c r="C52" s="731">
        <f t="shared" ref="C52:D52" si="12">24-C53-C54</f>
        <v>24</v>
      </c>
      <c r="D52" s="731">
        <f t="shared" si="12"/>
        <v>12.75</v>
      </c>
      <c r="E52" s="733">
        <f>24-E53-E54</f>
        <v>24</v>
      </c>
      <c r="F52" s="733">
        <f>24-F53-F54</f>
        <v>21.52</v>
      </c>
      <c r="G52" s="1418"/>
    </row>
    <row r="53" spans="1:7" ht="37.5" customHeight="1" thickBot="1" x14ac:dyDescent="0.3">
      <c r="A53" s="1437"/>
      <c r="B53" s="448" t="s">
        <v>103</v>
      </c>
      <c r="C53" s="731">
        <v>0</v>
      </c>
      <c r="D53" s="731">
        <v>11.25</v>
      </c>
      <c r="E53" s="731">
        <v>0</v>
      </c>
      <c r="F53" s="731">
        <v>2.48</v>
      </c>
      <c r="G53" s="1418"/>
    </row>
    <row r="54" spans="1:7" ht="37.5" customHeight="1" thickBot="1" x14ac:dyDescent="0.3">
      <c r="A54" s="1438"/>
      <c r="B54" s="457" t="s">
        <v>104</v>
      </c>
      <c r="C54" s="732">
        <v>0</v>
      </c>
      <c r="D54" s="732">
        <v>0</v>
      </c>
      <c r="E54" s="734">
        <v>0</v>
      </c>
      <c r="F54" s="734">
        <v>0</v>
      </c>
      <c r="G54" s="1423"/>
    </row>
    <row r="55" spans="1:7" ht="19.5" customHeight="1" thickBot="1" x14ac:dyDescent="0.3">
      <c r="A55" s="1436">
        <v>44818</v>
      </c>
      <c r="B55" s="453" t="s">
        <v>17</v>
      </c>
      <c r="C55" s="709">
        <v>1</v>
      </c>
      <c r="D55" s="709">
        <v>1</v>
      </c>
      <c r="E55" s="709">
        <v>1</v>
      </c>
      <c r="F55" s="709">
        <v>1</v>
      </c>
      <c r="G55" s="1417" t="s">
        <v>3809</v>
      </c>
    </row>
    <row r="56" spans="1:7" ht="19.5" customHeight="1" thickBot="1" x14ac:dyDescent="0.3">
      <c r="A56" s="1437"/>
      <c r="B56" s="453" t="s">
        <v>102</v>
      </c>
      <c r="C56" s="731">
        <f t="shared" ref="C56:D56" si="13">24-C57-C58</f>
        <v>24</v>
      </c>
      <c r="D56" s="731">
        <f t="shared" si="13"/>
        <v>24</v>
      </c>
      <c r="E56" s="733">
        <f>24-E57-E58</f>
        <v>24</v>
      </c>
      <c r="F56" s="733">
        <f>24-F57-F58</f>
        <v>24</v>
      </c>
      <c r="G56" s="1418"/>
    </row>
    <row r="57" spans="1:7" ht="19.5" customHeight="1" thickBot="1" x14ac:dyDescent="0.3">
      <c r="A57" s="1437"/>
      <c r="B57" s="448" t="s">
        <v>103</v>
      </c>
      <c r="C57" s="731">
        <v>0</v>
      </c>
      <c r="D57" s="731">
        <v>0</v>
      </c>
      <c r="E57" s="731">
        <v>0</v>
      </c>
      <c r="F57" s="731">
        <v>0</v>
      </c>
      <c r="G57" s="1418"/>
    </row>
    <row r="58" spans="1:7" ht="19.5" customHeight="1" thickBot="1" x14ac:dyDescent="0.3">
      <c r="A58" s="1438"/>
      <c r="B58" s="457" t="s">
        <v>104</v>
      </c>
      <c r="C58" s="732">
        <v>0</v>
      </c>
      <c r="D58" s="732">
        <v>0</v>
      </c>
      <c r="E58" s="734">
        <v>0</v>
      </c>
      <c r="F58" s="734">
        <v>0</v>
      </c>
      <c r="G58" s="1418"/>
    </row>
    <row r="59" spans="1:7" ht="19.5" customHeight="1" thickBot="1" x14ac:dyDescent="0.3">
      <c r="A59" s="1436">
        <v>44819</v>
      </c>
      <c r="B59" s="453" t="s">
        <v>17</v>
      </c>
      <c r="C59" s="709">
        <v>1</v>
      </c>
      <c r="D59" s="709">
        <v>1</v>
      </c>
      <c r="E59" s="709">
        <v>1</v>
      </c>
      <c r="F59" s="709">
        <v>1</v>
      </c>
      <c r="G59" s="1456" t="s">
        <v>3826</v>
      </c>
    </row>
    <row r="60" spans="1:7" ht="19.5" customHeight="1" thickBot="1" x14ac:dyDescent="0.3">
      <c r="A60" s="1437"/>
      <c r="B60" s="453" t="s">
        <v>102</v>
      </c>
      <c r="C60" s="731">
        <f t="shared" ref="C60:D60" si="14">24-C61-C62</f>
        <v>24</v>
      </c>
      <c r="D60" s="731">
        <f t="shared" si="14"/>
        <v>7.6499999999999986</v>
      </c>
      <c r="E60" s="733">
        <f>24-E61-E62</f>
        <v>24</v>
      </c>
      <c r="F60" s="733">
        <f>24-F61-F62</f>
        <v>24</v>
      </c>
      <c r="G60" s="1456"/>
    </row>
    <row r="61" spans="1:7" ht="19.5" customHeight="1" thickBot="1" x14ac:dyDescent="0.3">
      <c r="A61" s="1437"/>
      <c r="B61" s="448" t="s">
        <v>103</v>
      </c>
      <c r="C61" s="731">
        <v>0</v>
      </c>
      <c r="D61" s="731">
        <v>16.350000000000001</v>
      </c>
      <c r="E61" s="731">
        <v>0</v>
      </c>
      <c r="F61" s="731">
        <v>0</v>
      </c>
      <c r="G61" s="1456"/>
    </row>
    <row r="62" spans="1:7" ht="19.5" customHeight="1" thickBot="1" x14ac:dyDescent="0.3">
      <c r="A62" s="1438"/>
      <c r="B62" s="457" t="s">
        <v>104</v>
      </c>
      <c r="C62" s="732">
        <v>0</v>
      </c>
      <c r="D62" s="732">
        <v>0</v>
      </c>
      <c r="E62" s="734">
        <v>0</v>
      </c>
      <c r="F62" s="734">
        <v>0</v>
      </c>
      <c r="G62" s="1456"/>
    </row>
    <row r="63" spans="1:7" ht="42" customHeight="1" thickBot="1" x14ac:dyDescent="0.3">
      <c r="A63" s="1436">
        <v>44820</v>
      </c>
      <c r="B63" s="453" t="s">
        <v>17</v>
      </c>
      <c r="C63" s="709">
        <v>1</v>
      </c>
      <c r="D63" s="709">
        <v>1</v>
      </c>
      <c r="E63" s="709">
        <v>1</v>
      </c>
      <c r="F63" s="709">
        <v>1</v>
      </c>
      <c r="G63" s="1453" t="s">
        <v>3834</v>
      </c>
    </row>
    <row r="64" spans="1:7" ht="42" customHeight="1" thickBot="1" x14ac:dyDescent="0.3">
      <c r="A64" s="1437"/>
      <c r="B64" s="453" t="s">
        <v>102</v>
      </c>
      <c r="C64" s="731">
        <f t="shared" ref="C64:D64" si="15">24-C65-C66</f>
        <v>6.9699999999999989</v>
      </c>
      <c r="D64" s="731">
        <f t="shared" si="15"/>
        <v>20.82</v>
      </c>
      <c r="E64" s="733">
        <f>24-E65-E66</f>
        <v>24</v>
      </c>
      <c r="F64" s="733">
        <f>24-F65-F66</f>
        <v>24</v>
      </c>
      <c r="G64" s="1418"/>
    </row>
    <row r="65" spans="1:7" ht="42" customHeight="1" thickBot="1" x14ac:dyDescent="0.3">
      <c r="A65" s="1437"/>
      <c r="B65" s="448" t="s">
        <v>103</v>
      </c>
      <c r="C65" s="731">
        <v>17.03</v>
      </c>
      <c r="D65" s="731">
        <v>3.18</v>
      </c>
      <c r="E65" s="731">
        <v>0</v>
      </c>
      <c r="F65" s="731">
        <v>0</v>
      </c>
      <c r="G65" s="1418"/>
    </row>
    <row r="66" spans="1:7" ht="42" customHeight="1" thickBot="1" x14ac:dyDescent="0.3">
      <c r="A66" s="1438"/>
      <c r="B66" s="457" t="s">
        <v>104</v>
      </c>
      <c r="C66" s="732">
        <v>0</v>
      </c>
      <c r="D66" s="732">
        <v>0</v>
      </c>
      <c r="E66" s="734">
        <v>0</v>
      </c>
      <c r="F66" s="734">
        <v>0</v>
      </c>
      <c r="G66" s="1423"/>
    </row>
    <row r="67" spans="1:7" ht="19.5" customHeight="1" thickBot="1" x14ac:dyDescent="0.3">
      <c r="A67" s="1436">
        <v>44821</v>
      </c>
      <c r="B67" s="453" t="s">
        <v>17</v>
      </c>
      <c r="C67" s="709">
        <v>1</v>
      </c>
      <c r="D67" s="709">
        <v>1</v>
      </c>
      <c r="E67" s="709">
        <v>1</v>
      </c>
      <c r="F67" s="709">
        <v>1</v>
      </c>
      <c r="G67" s="1453" t="s">
        <v>3831</v>
      </c>
    </row>
    <row r="68" spans="1:7" ht="19.5" customHeight="1" thickBot="1" x14ac:dyDescent="0.3">
      <c r="A68" s="1437"/>
      <c r="B68" s="453" t="s">
        <v>102</v>
      </c>
      <c r="C68" s="731">
        <f t="shared" ref="C68:D68" si="16">24-C69-C70</f>
        <v>0</v>
      </c>
      <c r="D68" s="731">
        <f t="shared" si="16"/>
        <v>10.35</v>
      </c>
      <c r="E68" s="733">
        <f>24-E69-E70</f>
        <v>24</v>
      </c>
      <c r="F68" s="733">
        <f>24-F69-F70</f>
        <v>24</v>
      </c>
      <c r="G68" s="1418"/>
    </row>
    <row r="69" spans="1:7" ht="19.5" customHeight="1" thickBot="1" x14ac:dyDescent="0.3">
      <c r="A69" s="1437"/>
      <c r="B69" s="448" t="s">
        <v>103</v>
      </c>
      <c r="C69" s="731">
        <v>24</v>
      </c>
      <c r="D69" s="731">
        <v>13.65</v>
      </c>
      <c r="E69" s="731">
        <v>0</v>
      </c>
      <c r="F69" s="731">
        <v>0</v>
      </c>
      <c r="G69" s="1418"/>
    </row>
    <row r="70" spans="1:7" ht="19.5" customHeight="1" thickBot="1" x14ac:dyDescent="0.3">
      <c r="A70" s="1438"/>
      <c r="B70" s="457" t="s">
        <v>104</v>
      </c>
      <c r="C70" s="732">
        <v>0</v>
      </c>
      <c r="D70" s="732">
        <v>0</v>
      </c>
      <c r="E70" s="734">
        <v>0</v>
      </c>
      <c r="F70" s="734">
        <v>0</v>
      </c>
      <c r="G70" s="1423"/>
    </row>
    <row r="71" spans="1:7" ht="40.5" customHeight="1" thickBot="1" x14ac:dyDescent="0.3">
      <c r="A71" s="1436">
        <v>44822</v>
      </c>
      <c r="B71" s="453" t="s">
        <v>17</v>
      </c>
      <c r="C71" s="709">
        <v>1</v>
      </c>
      <c r="D71" s="709">
        <v>1</v>
      </c>
      <c r="E71" s="709">
        <v>1</v>
      </c>
      <c r="F71" s="709">
        <v>1</v>
      </c>
      <c r="G71" s="1453" t="s">
        <v>3855</v>
      </c>
    </row>
    <row r="72" spans="1:7" ht="40.5" customHeight="1" thickBot="1" x14ac:dyDescent="0.3">
      <c r="A72" s="1437"/>
      <c r="B72" s="453" t="s">
        <v>102</v>
      </c>
      <c r="C72" s="731">
        <f t="shared" ref="C72:D72" si="17">24-C73-C74</f>
        <v>0</v>
      </c>
      <c r="D72" s="731">
        <f t="shared" si="17"/>
        <v>19.420000000000002</v>
      </c>
      <c r="E72" s="733">
        <f>24-E73-E74</f>
        <v>24</v>
      </c>
      <c r="F72" s="733">
        <f>24-F73-F74</f>
        <v>10.53</v>
      </c>
      <c r="G72" s="1448"/>
    </row>
    <row r="73" spans="1:7" ht="40.5" customHeight="1" thickBot="1" x14ac:dyDescent="0.3">
      <c r="A73" s="1437"/>
      <c r="B73" s="448" t="s">
        <v>103</v>
      </c>
      <c r="C73" s="731">
        <v>24</v>
      </c>
      <c r="D73" s="731">
        <v>4.58</v>
      </c>
      <c r="E73" s="731">
        <v>0</v>
      </c>
      <c r="F73" s="731">
        <v>13.47</v>
      </c>
      <c r="G73" s="1448"/>
    </row>
    <row r="74" spans="1:7" ht="40.5" customHeight="1" thickBot="1" x14ac:dyDescent="0.3">
      <c r="A74" s="1438"/>
      <c r="B74" s="457" t="s">
        <v>104</v>
      </c>
      <c r="C74" s="732">
        <v>0</v>
      </c>
      <c r="D74" s="732">
        <v>0</v>
      </c>
      <c r="E74" s="734">
        <v>0</v>
      </c>
      <c r="F74" s="734">
        <v>0</v>
      </c>
      <c r="G74" s="1448"/>
    </row>
    <row r="75" spans="1:7" ht="40.5" customHeight="1" thickBot="1" x14ac:dyDescent="0.3">
      <c r="A75" s="1436">
        <v>44823</v>
      </c>
      <c r="B75" s="453" t="s">
        <v>17</v>
      </c>
      <c r="C75" s="709">
        <v>1</v>
      </c>
      <c r="D75" s="709">
        <v>1</v>
      </c>
      <c r="E75" s="709">
        <v>1</v>
      </c>
      <c r="F75" s="709">
        <v>1</v>
      </c>
      <c r="G75" s="1448"/>
    </row>
    <row r="76" spans="1:7" ht="40.5" customHeight="1" thickBot="1" x14ac:dyDescent="0.3">
      <c r="A76" s="1437"/>
      <c r="B76" s="453" t="s">
        <v>102</v>
      </c>
      <c r="C76" s="731">
        <f t="shared" ref="C76" si="18">24-C77-C78</f>
        <v>16.72</v>
      </c>
      <c r="D76" s="731">
        <f t="shared" ref="D76" si="19">24-D77-D78</f>
        <v>12.48</v>
      </c>
      <c r="E76" s="733">
        <f>24-E77-E78</f>
        <v>24</v>
      </c>
      <c r="F76" s="733">
        <f>24-F77-F78</f>
        <v>9.92</v>
      </c>
      <c r="G76" s="1448"/>
    </row>
    <row r="77" spans="1:7" ht="40.5" customHeight="1" thickBot="1" x14ac:dyDescent="0.3">
      <c r="A77" s="1437"/>
      <c r="B77" s="448" t="s">
        <v>103</v>
      </c>
      <c r="C77" s="731">
        <v>7.28</v>
      </c>
      <c r="D77" s="731">
        <v>11.52</v>
      </c>
      <c r="E77" s="731">
        <v>0</v>
      </c>
      <c r="F77" s="731">
        <v>14.08</v>
      </c>
      <c r="G77" s="1448"/>
    </row>
    <row r="78" spans="1:7" ht="40.5" customHeight="1" thickBot="1" x14ac:dyDescent="0.3">
      <c r="A78" s="1438"/>
      <c r="B78" s="457" t="s">
        <v>104</v>
      </c>
      <c r="C78" s="732">
        <v>0</v>
      </c>
      <c r="D78" s="732">
        <v>0</v>
      </c>
      <c r="E78" s="734">
        <v>0</v>
      </c>
      <c r="F78" s="734">
        <v>0</v>
      </c>
      <c r="G78" s="1449"/>
    </row>
    <row r="79" spans="1:7" ht="19.5" customHeight="1" thickBot="1" x14ac:dyDescent="0.3">
      <c r="A79" s="1436">
        <v>44824</v>
      </c>
      <c r="B79" s="453" t="s">
        <v>17</v>
      </c>
      <c r="C79" s="709">
        <v>1</v>
      </c>
      <c r="D79" s="709">
        <v>1</v>
      </c>
      <c r="E79" s="709">
        <v>1</v>
      </c>
      <c r="F79" s="709">
        <v>1</v>
      </c>
      <c r="G79" s="1447"/>
    </row>
    <row r="80" spans="1:7" ht="19.5" customHeight="1" thickBot="1" x14ac:dyDescent="0.3">
      <c r="A80" s="1437"/>
      <c r="B80" s="453" t="s">
        <v>102</v>
      </c>
      <c r="C80" s="731">
        <f t="shared" ref="C80:D80" si="20">24-C81-C82</f>
        <v>24</v>
      </c>
      <c r="D80" s="731">
        <f t="shared" si="20"/>
        <v>20.3</v>
      </c>
      <c r="E80" s="733">
        <f>24-E81-E82</f>
        <v>24</v>
      </c>
      <c r="F80" s="733">
        <f>24-F81-F82</f>
        <v>24</v>
      </c>
      <c r="G80" s="1448"/>
    </row>
    <row r="81" spans="1:7" ht="19.5" customHeight="1" thickBot="1" x14ac:dyDescent="0.3">
      <c r="A81" s="1437"/>
      <c r="B81" s="448" t="s">
        <v>103</v>
      </c>
      <c r="C81" s="731">
        <v>0</v>
      </c>
      <c r="D81" s="731">
        <v>3.7</v>
      </c>
      <c r="E81" s="731">
        <v>0</v>
      </c>
      <c r="F81" s="731">
        <v>0</v>
      </c>
      <c r="G81" s="1448"/>
    </row>
    <row r="82" spans="1:7" ht="19.5" customHeight="1" thickBot="1" x14ac:dyDescent="0.3">
      <c r="A82" s="1438"/>
      <c r="B82" s="457" t="s">
        <v>104</v>
      </c>
      <c r="C82" s="732">
        <v>0</v>
      </c>
      <c r="D82" s="732">
        <v>0</v>
      </c>
      <c r="E82" s="734">
        <v>0</v>
      </c>
      <c r="F82" s="734">
        <v>0</v>
      </c>
      <c r="G82" s="1449"/>
    </row>
    <row r="83" spans="1:7" ht="38.25" customHeight="1" thickBot="1" x14ac:dyDescent="0.3">
      <c r="A83" s="1436">
        <v>44825</v>
      </c>
      <c r="B83" s="453" t="s">
        <v>17</v>
      </c>
      <c r="C83" s="709">
        <v>1</v>
      </c>
      <c r="D83" s="709">
        <v>1</v>
      </c>
      <c r="E83" s="709">
        <v>1</v>
      </c>
      <c r="F83" s="709">
        <v>1</v>
      </c>
      <c r="G83" s="1447" t="s">
        <v>3868</v>
      </c>
    </row>
    <row r="84" spans="1:7" ht="38.25" customHeight="1" thickBot="1" x14ac:dyDescent="0.3">
      <c r="A84" s="1437"/>
      <c r="B84" s="453" t="s">
        <v>102</v>
      </c>
      <c r="C84" s="731">
        <f t="shared" ref="C84:D84" si="21">24-C85-C86</f>
        <v>7.98</v>
      </c>
      <c r="D84" s="731">
        <f t="shared" si="21"/>
        <v>15.73</v>
      </c>
      <c r="E84" s="733">
        <f>24-E85-E86</f>
        <v>24</v>
      </c>
      <c r="F84" s="733">
        <f>24-F85-F86</f>
        <v>24</v>
      </c>
      <c r="G84" s="1448"/>
    </row>
    <row r="85" spans="1:7" ht="38.25" customHeight="1" thickBot="1" x14ac:dyDescent="0.3">
      <c r="A85" s="1437"/>
      <c r="B85" s="448" t="s">
        <v>103</v>
      </c>
      <c r="C85" s="731">
        <v>16.02</v>
      </c>
      <c r="D85" s="731">
        <v>8.27</v>
      </c>
      <c r="E85" s="731">
        <v>0</v>
      </c>
      <c r="F85" s="731">
        <v>0</v>
      </c>
      <c r="G85" s="1448"/>
    </row>
    <row r="86" spans="1:7" ht="38.25" customHeight="1" thickBot="1" x14ac:dyDescent="0.3">
      <c r="A86" s="1438"/>
      <c r="B86" s="457" t="s">
        <v>104</v>
      </c>
      <c r="C86" s="732">
        <v>0</v>
      </c>
      <c r="D86" s="732">
        <v>0</v>
      </c>
      <c r="E86" s="734">
        <v>0</v>
      </c>
      <c r="F86" s="734">
        <v>0</v>
      </c>
      <c r="G86" s="1449"/>
    </row>
    <row r="87" spans="1:7" ht="19.5" customHeight="1" thickBot="1" x14ac:dyDescent="0.3">
      <c r="A87" s="1436">
        <v>44826</v>
      </c>
      <c r="B87" s="453" t="s">
        <v>17</v>
      </c>
      <c r="C87" s="709">
        <v>1</v>
      </c>
      <c r="D87" s="709">
        <v>1</v>
      </c>
      <c r="E87" s="709">
        <v>1</v>
      </c>
      <c r="F87" s="709">
        <v>1</v>
      </c>
      <c r="G87" s="1447" t="s">
        <v>3880</v>
      </c>
    </row>
    <row r="88" spans="1:7" ht="19.5" customHeight="1" thickBot="1" x14ac:dyDescent="0.3">
      <c r="A88" s="1437"/>
      <c r="B88" s="453" t="s">
        <v>102</v>
      </c>
      <c r="C88" s="731">
        <f t="shared" ref="C88:D88" si="22">24-C89-C90</f>
        <v>0</v>
      </c>
      <c r="D88" s="731">
        <f t="shared" si="22"/>
        <v>5.6000000000000014</v>
      </c>
      <c r="E88" s="733">
        <f>24-E89-E90</f>
        <v>24</v>
      </c>
      <c r="F88" s="733">
        <f>24-F89-F90</f>
        <v>24</v>
      </c>
      <c r="G88" s="1448"/>
    </row>
    <row r="89" spans="1:7" ht="19.5" customHeight="1" thickBot="1" x14ac:dyDescent="0.3">
      <c r="A89" s="1437"/>
      <c r="B89" s="448" t="s">
        <v>103</v>
      </c>
      <c r="C89" s="731">
        <v>24</v>
      </c>
      <c r="D89" s="731">
        <v>18.399999999999999</v>
      </c>
      <c r="E89" s="731">
        <v>0</v>
      </c>
      <c r="F89" s="731">
        <v>0</v>
      </c>
      <c r="G89" s="1448"/>
    </row>
    <row r="90" spans="1:7" ht="34.5" customHeight="1" thickBot="1" x14ac:dyDescent="0.3">
      <c r="A90" s="1438"/>
      <c r="B90" s="457" t="s">
        <v>104</v>
      </c>
      <c r="C90" s="732">
        <v>0</v>
      </c>
      <c r="D90" s="732">
        <v>0</v>
      </c>
      <c r="E90" s="734">
        <v>0</v>
      </c>
      <c r="F90" s="734">
        <v>0</v>
      </c>
      <c r="G90" s="1449"/>
    </row>
    <row r="91" spans="1:7" ht="19.5" customHeight="1" thickBot="1" x14ac:dyDescent="0.3">
      <c r="A91" s="1436">
        <v>44827</v>
      </c>
      <c r="B91" s="453" t="s">
        <v>17</v>
      </c>
      <c r="C91" s="709">
        <v>1</v>
      </c>
      <c r="D91" s="709">
        <v>1</v>
      </c>
      <c r="E91" s="709">
        <v>1</v>
      </c>
      <c r="F91" s="709">
        <v>1</v>
      </c>
      <c r="G91" s="1447"/>
    </row>
    <row r="92" spans="1:7" ht="19.5" customHeight="1" thickBot="1" x14ac:dyDescent="0.3">
      <c r="A92" s="1437"/>
      <c r="B92" s="453" t="s">
        <v>102</v>
      </c>
      <c r="C92" s="731">
        <f t="shared" ref="C92:D92" si="23">24-C93-C94</f>
        <v>0</v>
      </c>
      <c r="D92" s="731">
        <f t="shared" si="23"/>
        <v>20.02</v>
      </c>
      <c r="E92" s="733">
        <f>24-E93-E94</f>
        <v>24</v>
      </c>
      <c r="F92" s="733">
        <f>24-F93-F94</f>
        <v>24</v>
      </c>
      <c r="G92" s="1448"/>
    </row>
    <row r="93" spans="1:7" ht="19.5" customHeight="1" thickBot="1" x14ac:dyDescent="0.3">
      <c r="A93" s="1437"/>
      <c r="B93" s="448" t="s">
        <v>103</v>
      </c>
      <c r="C93" s="731">
        <v>24</v>
      </c>
      <c r="D93" s="731">
        <v>3.98</v>
      </c>
      <c r="E93" s="731">
        <v>0</v>
      </c>
      <c r="F93" s="731">
        <v>0</v>
      </c>
      <c r="G93" s="1448"/>
    </row>
    <row r="94" spans="1:7" ht="19.5" customHeight="1" thickBot="1" x14ac:dyDescent="0.3">
      <c r="A94" s="1438"/>
      <c r="B94" s="457" t="s">
        <v>104</v>
      </c>
      <c r="C94" s="732">
        <v>0</v>
      </c>
      <c r="D94" s="732">
        <v>0</v>
      </c>
      <c r="E94" s="734">
        <v>0</v>
      </c>
      <c r="F94" s="734">
        <v>0</v>
      </c>
      <c r="G94" s="1449"/>
    </row>
    <row r="95" spans="1:7" ht="19.5" customHeight="1" thickBot="1" x14ac:dyDescent="0.3">
      <c r="A95" s="1436">
        <v>44828</v>
      </c>
      <c r="B95" s="453" t="s">
        <v>17</v>
      </c>
      <c r="C95" s="709">
        <v>1</v>
      </c>
      <c r="D95" s="709">
        <v>1</v>
      </c>
      <c r="E95" s="709">
        <v>1</v>
      </c>
      <c r="F95" s="709">
        <v>1</v>
      </c>
      <c r="G95" s="1447" t="s">
        <v>3888</v>
      </c>
    </row>
    <row r="96" spans="1:7" ht="19.5" customHeight="1" thickBot="1" x14ac:dyDescent="0.3">
      <c r="A96" s="1437"/>
      <c r="B96" s="453" t="s">
        <v>102</v>
      </c>
      <c r="C96" s="731">
        <f t="shared" ref="C96:D96" si="24">24-C97-C98</f>
        <v>0</v>
      </c>
      <c r="D96" s="731">
        <f t="shared" si="24"/>
        <v>19.47</v>
      </c>
      <c r="E96" s="733">
        <f>24-E97-E98</f>
        <v>24</v>
      </c>
      <c r="F96" s="733">
        <f>24-F97-F98</f>
        <v>24</v>
      </c>
      <c r="G96" s="1448"/>
    </row>
    <row r="97" spans="1:7" ht="19.5" customHeight="1" thickBot="1" x14ac:dyDescent="0.3">
      <c r="A97" s="1437"/>
      <c r="B97" s="448" t="s">
        <v>103</v>
      </c>
      <c r="C97" s="731">
        <v>24</v>
      </c>
      <c r="D97" s="731">
        <v>4.53</v>
      </c>
      <c r="E97" s="731">
        <v>0</v>
      </c>
      <c r="F97" s="731">
        <v>0</v>
      </c>
      <c r="G97" s="1448"/>
    </row>
    <row r="98" spans="1:7" ht="18" customHeight="1" thickBot="1" x14ac:dyDescent="0.3">
      <c r="A98" s="1438"/>
      <c r="B98" s="457" t="s">
        <v>104</v>
      </c>
      <c r="C98" s="732">
        <v>0</v>
      </c>
      <c r="D98" s="732">
        <v>0</v>
      </c>
      <c r="E98" s="734">
        <v>0</v>
      </c>
      <c r="F98" s="734">
        <v>0</v>
      </c>
      <c r="G98" s="1449"/>
    </row>
    <row r="99" spans="1:7" ht="27.75" customHeight="1" thickBot="1" x14ac:dyDescent="0.3">
      <c r="A99" s="1436">
        <v>44829</v>
      </c>
      <c r="B99" s="453" t="s">
        <v>17</v>
      </c>
      <c r="C99" s="709">
        <v>1</v>
      </c>
      <c r="D99" s="709">
        <v>1</v>
      </c>
      <c r="E99" s="709">
        <v>1</v>
      </c>
      <c r="F99" s="709">
        <v>1</v>
      </c>
      <c r="G99" s="1447" t="s">
        <v>3909</v>
      </c>
    </row>
    <row r="100" spans="1:7" ht="27.75" customHeight="1" thickBot="1" x14ac:dyDescent="0.3">
      <c r="A100" s="1437"/>
      <c r="B100" s="453" t="s">
        <v>102</v>
      </c>
      <c r="C100" s="731">
        <f t="shared" ref="C100:D100" si="25">24-C101-C102</f>
        <v>16.68</v>
      </c>
      <c r="D100" s="731">
        <f t="shared" si="25"/>
        <v>16.5</v>
      </c>
      <c r="E100" s="733">
        <f>24-E101-E102</f>
        <v>24</v>
      </c>
      <c r="F100" s="733">
        <f>24-F101-F102</f>
        <v>24</v>
      </c>
      <c r="G100" s="1448"/>
    </row>
    <row r="101" spans="1:7" ht="27.75" customHeight="1" thickBot="1" x14ac:dyDescent="0.3">
      <c r="A101" s="1437"/>
      <c r="B101" s="448" t="s">
        <v>103</v>
      </c>
      <c r="C101" s="731">
        <v>7.32</v>
      </c>
      <c r="D101" s="731">
        <v>7.5</v>
      </c>
      <c r="E101" s="731">
        <v>0</v>
      </c>
      <c r="F101" s="731">
        <v>0</v>
      </c>
      <c r="G101" s="1448"/>
    </row>
    <row r="102" spans="1:7" ht="27.75" customHeight="1" thickBot="1" x14ac:dyDescent="0.3">
      <c r="A102" s="1438"/>
      <c r="B102" s="457" t="s">
        <v>104</v>
      </c>
      <c r="C102" s="732">
        <v>0</v>
      </c>
      <c r="D102" s="732">
        <v>0</v>
      </c>
      <c r="E102" s="734">
        <v>0</v>
      </c>
      <c r="F102" s="734">
        <v>0</v>
      </c>
      <c r="G102" s="1449"/>
    </row>
    <row r="103" spans="1:7" ht="40.5" customHeight="1" thickBot="1" x14ac:dyDescent="0.3">
      <c r="A103" s="1436">
        <v>44830</v>
      </c>
      <c r="B103" s="453" t="s">
        <v>17</v>
      </c>
      <c r="C103" s="709">
        <v>1</v>
      </c>
      <c r="D103" s="709">
        <v>1</v>
      </c>
      <c r="E103" s="709">
        <v>1</v>
      </c>
      <c r="F103" s="709">
        <v>1</v>
      </c>
      <c r="G103" s="1447" t="s">
        <v>3920</v>
      </c>
    </row>
    <row r="104" spans="1:7" ht="40.5" customHeight="1" thickBot="1" x14ac:dyDescent="0.3">
      <c r="A104" s="1437"/>
      <c r="B104" s="453" t="s">
        <v>102</v>
      </c>
      <c r="C104" s="731">
        <f t="shared" ref="C104:D104" si="26">24-C105-C106</f>
        <v>19.02</v>
      </c>
      <c r="D104" s="731">
        <f t="shared" si="26"/>
        <v>11.87</v>
      </c>
      <c r="E104" s="733">
        <f>24-E105-E106</f>
        <v>24</v>
      </c>
      <c r="F104" s="733">
        <f>24-F105-F106</f>
        <v>24</v>
      </c>
      <c r="G104" s="1448"/>
    </row>
    <row r="105" spans="1:7" ht="40.5" customHeight="1" thickBot="1" x14ac:dyDescent="0.3">
      <c r="A105" s="1437"/>
      <c r="B105" s="448" t="s">
        <v>103</v>
      </c>
      <c r="C105" s="731">
        <v>4.9800000000000004</v>
      </c>
      <c r="D105" s="731">
        <v>12.13</v>
      </c>
      <c r="E105" s="731">
        <v>0</v>
      </c>
      <c r="F105" s="731">
        <v>0</v>
      </c>
      <c r="G105" s="1448"/>
    </row>
    <row r="106" spans="1:7" ht="40.5" customHeight="1" thickBot="1" x14ac:dyDescent="0.3">
      <c r="A106" s="1438"/>
      <c r="B106" s="457" t="s">
        <v>104</v>
      </c>
      <c r="C106" s="732">
        <v>0</v>
      </c>
      <c r="D106" s="732">
        <v>0</v>
      </c>
      <c r="E106" s="734">
        <v>0</v>
      </c>
      <c r="F106" s="734">
        <v>0</v>
      </c>
      <c r="G106" s="1449"/>
    </row>
    <row r="107" spans="1:7" ht="19.5" customHeight="1" thickBot="1" x14ac:dyDescent="0.3">
      <c r="A107" s="1436">
        <v>44831</v>
      </c>
      <c r="B107" s="453" t="s">
        <v>17</v>
      </c>
      <c r="C107" s="709">
        <v>1</v>
      </c>
      <c r="D107" s="709">
        <v>1</v>
      </c>
      <c r="E107" s="709">
        <v>1</v>
      </c>
      <c r="F107" s="709">
        <v>1</v>
      </c>
      <c r="G107" s="1447"/>
    </row>
    <row r="108" spans="1:7" ht="19.5" customHeight="1" thickBot="1" x14ac:dyDescent="0.3">
      <c r="A108" s="1437"/>
      <c r="B108" s="453" t="s">
        <v>102</v>
      </c>
      <c r="C108" s="731">
        <f t="shared" ref="C108:D108" si="27">24-C109-C110</f>
        <v>0</v>
      </c>
      <c r="D108" s="731">
        <f t="shared" si="27"/>
        <v>20.62</v>
      </c>
      <c r="E108" s="733">
        <f>24-E109-E110</f>
        <v>24</v>
      </c>
      <c r="F108" s="733">
        <f>24-F109-F110</f>
        <v>24</v>
      </c>
      <c r="G108" s="1448"/>
    </row>
    <row r="109" spans="1:7" ht="19.5" customHeight="1" thickBot="1" x14ac:dyDescent="0.3">
      <c r="A109" s="1437"/>
      <c r="B109" s="448" t="s">
        <v>103</v>
      </c>
      <c r="C109" s="731">
        <v>24</v>
      </c>
      <c r="D109" s="731">
        <v>3.38</v>
      </c>
      <c r="E109" s="731">
        <v>0</v>
      </c>
      <c r="F109" s="731">
        <v>0</v>
      </c>
      <c r="G109" s="1448"/>
    </row>
    <row r="110" spans="1:7" ht="19.5" customHeight="1" thickBot="1" x14ac:dyDescent="0.3">
      <c r="A110" s="1438"/>
      <c r="B110" s="457" t="s">
        <v>104</v>
      </c>
      <c r="C110" s="732">
        <v>0</v>
      </c>
      <c r="D110" s="732">
        <v>0</v>
      </c>
      <c r="E110" s="734">
        <v>0</v>
      </c>
      <c r="F110" s="734">
        <v>0</v>
      </c>
      <c r="G110" s="1449"/>
    </row>
    <row r="111" spans="1:7" ht="19.5" customHeight="1" thickBot="1" x14ac:dyDescent="0.3">
      <c r="A111" s="1436">
        <v>44832</v>
      </c>
      <c r="B111" s="453" t="s">
        <v>17</v>
      </c>
      <c r="C111" s="709">
        <v>1</v>
      </c>
      <c r="D111" s="709">
        <v>1</v>
      </c>
      <c r="E111" s="709">
        <v>1</v>
      </c>
      <c r="F111" s="709">
        <v>1</v>
      </c>
      <c r="G111" s="1447" t="s">
        <v>3928</v>
      </c>
    </row>
    <row r="112" spans="1:7" ht="19.5" customHeight="1" thickBot="1" x14ac:dyDescent="0.3">
      <c r="A112" s="1437"/>
      <c r="B112" s="453" t="s">
        <v>102</v>
      </c>
      <c r="C112" s="731">
        <f t="shared" ref="C112:D112" si="28">24-C113-C114</f>
        <v>0</v>
      </c>
      <c r="D112" s="731">
        <f t="shared" si="28"/>
        <v>16.22</v>
      </c>
      <c r="E112" s="733">
        <f>24-E113-E114</f>
        <v>24</v>
      </c>
      <c r="F112" s="733">
        <f>24-F113-F114</f>
        <v>24</v>
      </c>
      <c r="G112" s="1448"/>
    </row>
    <row r="113" spans="1:7" ht="19.5" customHeight="1" thickBot="1" x14ac:dyDescent="0.3">
      <c r="A113" s="1437"/>
      <c r="B113" s="448" t="s">
        <v>103</v>
      </c>
      <c r="C113" s="731">
        <v>24</v>
      </c>
      <c r="D113" s="731">
        <v>7.78</v>
      </c>
      <c r="E113" s="731">
        <v>0</v>
      </c>
      <c r="F113" s="731">
        <v>0</v>
      </c>
      <c r="G113" s="1448"/>
    </row>
    <row r="114" spans="1:7" ht="19.5" customHeight="1" thickBot="1" x14ac:dyDescent="0.3">
      <c r="A114" s="1438"/>
      <c r="B114" s="457" t="s">
        <v>104</v>
      </c>
      <c r="C114" s="732">
        <v>0</v>
      </c>
      <c r="D114" s="732">
        <v>0</v>
      </c>
      <c r="E114" s="734">
        <v>0</v>
      </c>
      <c r="F114" s="734">
        <v>0</v>
      </c>
      <c r="G114" s="1449"/>
    </row>
    <row r="115" spans="1:7" ht="19.5" customHeight="1" thickBot="1" x14ac:dyDescent="0.3">
      <c r="A115" s="1436">
        <v>44833</v>
      </c>
      <c r="B115" s="453" t="s">
        <v>17</v>
      </c>
      <c r="C115" s="709">
        <v>1</v>
      </c>
      <c r="D115" s="709">
        <v>1</v>
      </c>
      <c r="E115" s="709">
        <v>1</v>
      </c>
      <c r="F115" s="709">
        <v>1</v>
      </c>
      <c r="G115" s="1447" t="s">
        <v>3941</v>
      </c>
    </row>
    <row r="116" spans="1:7" ht="19.5" customHeight="1" thickBot="1" x14ac:dyDescent="0.3">
      <c r="A116" s="1437"/>
      <c r="B116" s="453" t="s">
        <v>102</v>
      </c>
      <c r="C116" s="731">
        <f t="shared" ref="C116:D116" si="29">24-C117-C118</f>
        <v>0</v>
      </c>
      <c r="D116" s="731">
        <f t="shared" si="29"/>
        <v>14.57</v>
      </c>
      <c r="E116" s="733">
        <f>24-E117-E118</f>
        <v>24</v>
      </c>
      <c r="F116" s="733">
        <f>24-F117-F118</f>
        <v>24</v>
      </c>
      <c r="G116" s="1448"/>
    </row>
    <row r="117" spans="1:7" ht="19.5" customHeight="1" thickBot="1" x14ac:dyDescent="0.3">
      <c r="A117" s="1437"/>
      <c r="B117" s="448" t="s">
        <v>103</v>
      </c>
      <c r="C117" s="731">
        <v>24</v>
      </c>
      <c r="D117" s="731">
        <v>9.43</v>
      </c>
      <c r="E117" s="731">
        <v>0</v>
      </c>
      <c r="F117" s="731">
        <v>0</v>
      </c>
      <c r="G117" s="1448"/>
    </row>
    <row r="118" spans="1:7" ht="19.5" customHeight="1" thickBot="1" x14ac:dyDescent="0.3">
      <c r="A118" s="1438"/>
      <c r="B118" s="457" t="s">
        <v>104</v>
      </c>
      <c r="C118" s="732">
        <v>0</v>
      </c>
      <c r="D118" s="732">
        <v>0</v>
      </c>
      <c r="E118" s="734">
        <v>0</v>
      </c>
      <c r="F118" s="734">
        <v>0</v>
      </c>
      <c r="G118" s="1449"/>
    </row>
    <row r="119" spans="1:7" ht="19.5" customHeight="1" thickBot="1" x14ac:dyDescent="0.3">
      <c r="A119" s="1436">
        <v>44834</v>
      </c>
      <c r="B119" s="453" t="s">
        <v>17</v>
      </c>
      <c r="C119" s="709">
        <v>1</v>
      </c>
      <c r="D119" s="709">
        <v>1</v>
      </c>
      <c r="E119" s="709">
        <v>1</v>
      </c>
      <c r="F119" s="709">
        <v>1</v>
      </c>
      <c r="G119" s="1447" t="s">
        <v>3952</v>
      </c>
    </row>
    <row r="120" spans="1:7" ht="19.5" customHeight="1" thickBot="1" x14ac:dyDescent="0.3">
      <c r="A120" s="1437"/>
      <c r="B120" s="453" t="s">
        <v>102</v>
      </c>
      <c r="C120" s="731">
        <f t="shared" ref="C120:D120" si="30">24-C121-C122</f>
        <v>0</v>
      </c>
      <c r="D120" s="731">
        <f t="shared" si="30"/>
        <v>20.329999999999998</v>
      </c>
      <c r="E120" s="733">
        <f>24-E121-E122</f>
        <v>24</v>
      </c>
      <c r="F120" s="733">
        <f>24-F121-F122</f>
        <v>24</v>
      </c>
      <c r="G120" s="1448"/>
    </row>
    <row r="121" spans="1:7" ht="19.5" customHeight="1" thickBot="1" x14ac:dyDescent="0.3">
      <c r="A121" s="1437"/>
      <c r="B121" s="448" t="s">
        <v>103</v>
      </c>
      <c r="C121" s="731">
        <v>24</v>
      </c>
      <c r="D121" s="731">
        <v>3.67</v>
      </c>
      <c r="E121" s="731">
        <v>0</v>
      </c>
      <c r="F121" s="731">
        <v>0</v>
      </c>
      <c r="G121" s="1448"/>
    </row>
    <row r="122" spans="1:7" ht="19.5" customHeight="1" thickBot="1" x14ac:dyDescent="0.3">
      <c r="A122" s="1438"/>
      <c r="B122" s="457" t="s">
        <v>104</v>
      </c>
      <c r="C122" s="732">
        <v>0</v>
      </c>
      <c r="D122" s="732">
        <v>0</v>
      </c>
      <c r="E122" s="734">
        <v>0</v>
      </c>
      <c r="F122" s="734">
        <v>0</v>
      </c>
      <c r="G122" s="1449"/>
    </row>
    <row r="123" spans="1:7" ht="19.5" customHeight="1" thickBot="1" x14ac:dyDescent="0.3">
      <c r="A123" s="1436"/>
      <c r="B123" s="453" t="s">
        <v>17</v>
      </c>
      <c r="C123" s="709"/>
      <c r="D123" s="709"/>
      <c r="E123" s="709"/>
      <c r="F123" s="709"/>
      <c r="G123" s="1417"/>
    </row>
    <row r="124" spans="1:7" ht="19.5" customHeight="1" thickBot="1" x14ac:dyDescent="0.3">
      <c r="A124" s="1437"/>
      <c r="B124" s="453" t="s">
        <v>102</v>
      </c>
      <c r="C124" s="731"/>
      <c r="D124" s="731"/>
      <c r="E124" s="733"/>
      <c r="F124" s="733"/>
      <c r="G124" s="1418"/>
    </row>
    <row r="125" spans="1:7" ht="19.5" customHeight="1" thickBot="1" x14ac:dyDescent="0.3">
      <c r="A125" s="1437"/>
      <c r="B125" s="448" t="s">
        <v>103</v>
      </c>
      <c r="C125" s="731"/>
      <c r="D125" s="731"/>
      <c r="E125" s="731"/>
      <c r="F125" s="731"/>
      <c r="G125" s="1418"/>
    </row>
    <row r="126" spans="1:7" ht="19.5" customHeight="1" thickBot="1" x14ac:dyDescent="0.3">
      <c r="A126" s="1438"/>
      <c r="B126" s="457" t="s">
        <v>104</v>
      </c>
      <c r="C126" s="732"/>
      <c r="D126" s="734"/>
      <c r="E126" s="734"/>
      <c r="F126" s="734"/>
      <c r="G126" s="1423"/>
    </row>
    <row r="127" spans="1:7" x14ac:dyDescent="0.25">
      <c r="A127" s="464" t="s">
        <v>3700</v>
      </c>
      <c r="B127" s="465"/>
      <c r="C127" s="466">
        <f>SUM(C112,C108,C104,C100,C96,C92,C88,C84,C80,C76,C72,C68,C64,C60,C56,C52,C48,C44,C40,C36,C32,C28,C24,C20,C16,C12,C8,C4,C116,C120,C124)</f>
        <v>237.99</v>
      </c>
      <c r="D127" s="466">
        <f>SUM(D112,D108,D104,D100,D96,D92,D88,D84,D80,D76,D72,D68,D64,D60,D56,D52,D48,D44,D40,D36,D32,D28,D24,D20,D16,D12,D8,D4,D116,D120,D124)</f>
        <v>472.92000000000007</v>
      </c>
      <c r="E127" s="466">
        <f t="shared" ref="E127:F128" si="31">SUM(E112,E108,E104,E100,E96,E92,E88,E84,E80,E76,E72,E68,E64,E60,E56,E52,E48,E44,E40,E36,E32,E28,E24,E20,E16,E12,E8,E4,E116,E120,E124)</f>
        <v>720</v>
      </c>
      <c r="F127" s="466">
        <f t="shared" si="31"/>
        <v>685.45</v>
      </c>
      <c r="G127" s="468"/>
    </row>
    <row r="128" spans="1:7" x14ac:dyDescent="0.25">
      <c r="A128" s="937" t="s">
        <v>3701</v>
      </c>
      <c r="B128" s="134"/>
      <c r="C128" s="469">
        <f>SUM(C113,C109,C105,C101,C97,C93,C89,C85,C81,C77,C73,C69,C65,C61,C57,C53,C49,C45,C41,C37,C33,C29,C25,C21,C17,C13,C9,C5,C117,C121,C125)</f>
        <v>482.01</v>
      </c>
      <c r="D128" s="469">
        <f>SUM(D113,D109,D105,D101,D97,D93,D89,D85,D81,D77,D73,D69,D65,D61,D57,D53,D49,D45,D41,D37,D33,D29,D25,D21,D17,D13,D9,D5,D117,D121,D125)</f>
        <v>247.08000000000004</v>
      </c>
      <c r="E128" s="469">
        <f t="shared" si="31"/>
        <v>0</v>
      </c>
      <c r="F128" s="469">
        <f t="shared" si="31"/>
        <v>34.549999999999997</v>
      </c>
      <c r="G128" s="471"/>
    </row>
    <row r="129" spans="1:7" ht="15.75" thickBot="1" x14ac:dyDescent="0.3">
      <c r="A129" s="938" t="s">
        <v>3702</v>
      </c>
      <c r="B129" s="472"/>
      <c r="C129" s="473">
        <f>SUM(C114,C110,C106,C102,C98,C94,C90,C86,C82,C78,C74,C70,C66,C62,C58,C54,C50,C46,C42,C38,C34,C30,C26,C22,C18,C14,C10,C6,C118,C122,C126)</f>
        <v>0</v>
      </c>
      <c r="D129" s="473">
        <f t="shared" ref="D129:F129" si="32">SUM(D114,D110,D106,D102,D98,D94,D90,D86,D82,D78,D74,D70,D66,D62,D58,D54,D50,D46,D42,D38,D34,D30,D26,D22,D18,D14,D10,D6,D118,D122,D126)</f>
        <v>0</v>
      </c>
      <c r="E129" s="473">
        <f t="shared" si="32"/>
        <v>0</v>
      </c>
      <c r="F129" s="473">
        <f t="shared" si="32"/>
        <v>0</v>
      </c>
      <c r="G129" s="475"/>
    </row>
    <row r="130" spans="1:7" ht="15.75" thickBot="1" x14ac:dyDescent="0.3">
      <c r="A130" s="1450" t="s">
        <v>108</v>
      </c>
      <c r="B130" s="1451"/>
      <c r="C130" s="1451"/>
      <c r="D130" s="1451"/>
      <c r="E130" s="1451"/>
      <c r="F130" s="1451"/>
      <c r="G130" s="1452"/>
    </row>
  </sheetData>
  <mergeCells count="59">
    <mergeCell ref="G103:G106"/>
    <mergeCell ref="G107:G110"/>
    <mergeCell ref="G115:G118"/>
    <mergeCell ref="G119:G122"/>
    <mergeCell ref="A123:A126"/>
    <mergeCell ref="G123:G126"/>
    <mergeCell ref="A130:G130"/>
    <mergeCell ref="G3:G6"/>
    <mergeCell ref="A103:A106"/>
    <mergeCell ref="A107:A110"/>
    <mergeCell ref="A111:A114"/>
    <mergeCell ref="G111:G114"/>
    <mergeCell ref="A115:A118"/>
    <mergeCell ref="A119:A122"/>
    <mergeCell ref="A87:A90"/>
    <mergeCell ref="G87:G90"/>
    <mergeCell ref="A91:A94"/>
    <mergeCell ref="G91:G94"/>
    <mergeCell ref="A67:A70"/>
    <mergeCell ref="G63:G66"/>
    <mergeCell ref="G67:G70"/>
    <mergeCell ref="A95:A98"/>
    <mergeCell ref="A99:A102"/>
    <mergeCell ref="A71:A74"/>
    <mergeCell ref="A75:A78"/>
    <mergeCell ref="A79:A82"/>
    <mergeCell ref="A83:A86"/>
    <mergeCell ref="G71:G78"/>
    <mergeCell ref="G79:G82"/>
    <mergeCell ref="G83:G86"/>
    <mergeCell ref="G95:G98"/>
    <mergeCell ref="G99:G102"/>
    <mergeCell ref="A55:A58"/>
    <mergeCell ref="G55:G58"/>
    <mergeCell ref="A59:A62"/>
    <mergeCell ref="G59:G62"/>
    <mergeCell ref="A63:A66"/>
    <mergeCell ref="A43:A46"/>
    <mergeCell ref="G43:G46"/>
    <mergeCell ref="A47:A50"/>
    <mergeCell ref="A51:A54"/>
    <mergeCell ref="G47:G54"/>
    <mergeCell ref="A31:A34"/>
    <mergeCell ref="A35:A38"/>
    <mergeCell ref="A39:A42"/>
    <mergeCell ref="G39:G42"/>
    <mergeCell ref="G31:G38"/>
    <mergeCell ref="A15:A18"/>
    <mergeCell ref="G15:G18"/>
    <mergeCell ref="A19:A22"/>
    <mergeCell ref="A23:A26"/>
    <mergeCell ref="A27:A30"/>
    <mergeCell ref="G27:G30"/>
    <mergeCell ref="G19:G26"/>
    <mergeCell ref="A1:G1"/>
    <mergeCell ref="A3:A6"/>
    <mergeCell ref="A7:A10"/>
    <mergeCell ref="A11:A14"/>
    <mergeCell ref="G7:G14"/>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G130"/>
  <sheetViews>
    <sheetView workbookViewId="0">
      <pane ySplit="2" topLeftCell="A117" activePane="bottomLeft" state="frozen"/>
      <selection pane="bottomLeft" activeCell="F124" sqref="F124"/>
    </sheetView>
  </sheetViews>
  <sheetFormatPr defaultRowHeight="15" x14ac:dyDescent="0.25"/>
  <cols>
    <col min="1" max="1" width="47.7109375" customWidth="1"/>
    <col min="2" max="2" width="25" customWidth="1"/>
    <col min="4" max="4" width="9.140625" style="1"/>
    <col min="7" max="7" width="54.7109375" customWidth="1"/>
  </cols>
  <sheetData>
    <row r="1" spans="1:7" ht="21.75" thickBot="1" x14ac:dyDescent="0.4">
      <c r="A1" s="1443" t="s">
        <v>73</v>
      </c>
      <c r="B1" s="1443"/>
      <c r="C1" s="1443"/>
      <c r="D1" s="1443"/>
      <c r="E1" s="1443"/>
      <c r="F1" s="1461"/>
      <c r="G1" s="1443"/>
    </row>
    <row r="2" spans="1:7" ht="16.5" thickBot="1" x14ac:dyDescent="0.3">
      <c r="A2" s="108" t="s">
        <v>98</v>
      </c>
      <c r="B2" s="608"/>
      <c r="C2" s="607" t="s">
        <v>310</v>
      </c>
      <c r="D2" s="607" t="s">
        <v>239</v>
      </c>
      <c r="E2" s="447" t="s">
        <v>100</v>
      </c>
      <c r="F2" s="985" t="s">
        <v>157</v>
      </c>
      <c r="G2" s="111" t="s">
        <v>101</v>
      </c>
    </row>
    <row r="3" spans="1:7" ht="20.25" customHeight="1" thickBot="1" x14ac:dyDescent="0.3">
      <c r="A3" s="1436">
        <v>44835</v>
      </c>
      <c r="B3" s="453" t="s">
        <v>17</v>
      </c>
      <c r="C3" s="709">
        <v>1</v>
      </c>
      <c r="D3" s="709">
        <v>1</v>
      </c>
      <c r="E3" s="709">
        <v>1</v>
      </c>
      <c r="F3" s="709">
        <v>1</v>
      </c>
      <c r="G3" s="1453" t="s">
        <v>3952</v>
      </c>
    </row>
    <row r="4" spans="1:7" ht="20.25" customHeight="1" thickBot="1" x14ac:dyDescent="0.3">
      <c r="A4" s="1437"/>
      <c r="B4" s="453" t="s">
        <v>102</v>
      </c>
      <c r="C4" s="731">
        <f t="shared" ref="C4:D4" si="0">24-C5-C6</f>
        <v>0</v>
      </c>
      <c r="D4" s="731">
        <f t="shared" si="0"/>
        <v>12.5</v>
      </c>
      <c r="E4" s="733">
        <f>24-E5-E6</f>
        <v>24</v>
      </c>
      <c r="F4" s="733">
        <f>24-F5-F6</f>
        <v>24</v>
      </c>
      <c r="G4" s="1418"/>
    </row>
    <row r="5" spans="1:7" ht="20.25" customHeight="1" thickBot="1" x14ac:dyDescent="0.3">
      <c r="A5" s="1437"/>
      <c r="B5" s="448" t="s">
        <v>103</v>
      </c>
      <c r="C5" s="731">
        <v>24</v>
      </c>
      <c r="D5" s="731">
        <v>11.5</v>
      </c>
      <c r="E5" s="731">
        <v>0</v>
      </c>
      <c r="F5" s="731">
        <v>0</v>
      </c>
      <c r="G5" s="1418"/>
    </row>
    <row r="6" spans="1:7" ht="20.25" customHeight="1" thickBot="1" x14ac:dyDescent="0.3">
      <c r="A6" s="1438"/>
      <c r="B6" s="457" t="s">
        <v>104</v>
      </c>
      <c r="C6" s="732">
        <v>0</v>
      </c>
      <c r="D6" s="732">
        <v>0</v>
      </c>
      <c r="E6" s="734">
        <v>0</v>
      </c>
      <c r="F6" s="734">
        <v>0</v>
      </c>
      <c r="G6" s="1423"/>
    </row>
    <row r="7" spans="1:7" ht="20.25" customHeight="1" thickBot="1" x14ac:dyDescent="0.3">
      <c r="A7" s="1436">
        <v>44836</v>
      </c>
      <c r="B7" s="453" t="s">
        <v>17</v>
      </c>
      <c r="C7" s="709">
        <v>1</v>
      </c>
      <c r="D7" s="709">
        <v>1</v>
      </c>
      <c r="E7" s="709">
        <v>1</v>
      </c>
      <c r="F7" s="709">
        <v>1</v>
      </c>
      <c r="G7" s="1453"/>
    </row>
    <row r="8" spans="1:7" ht="20.25" customHeight="1" thickBot="1" x14ac:dyDescent="0.3">
      <c r="A8" s="1437"/>
      <c r="B8" s="453" t="s">
        <v>102</v>
      </c>
      <c r="C8" s="731">
        <f t="shared" ref="C8:D8" si="1">24-C9-C10</f>
        <v>0</v>
      </c>
      <c r="D8" s="731">
        <f t="shared" si="1"/>
        <v>24</v>
      </c>
      <c r="E8" s="733">
        <f>24-E9-E10</f>
        <v>24</v>
      </c>
      <c r="F8" s="733">
        <f>24-F9-F10</f>
        <v>24</v>
      </c>
      <c r="G8" s="1418"/>
    </row>
    <row r="9" spans="1:7" ht="20.25" customHeight="1" thickBot="1" x14ac:dyDescent="0.3">
      <c r="A9" s="1437"/>
      <c r="B9" s="448" t="s">
        <v>103</v>
      </c>
      <c r="C9" s="731">
        <v>24</v>
      </c>
      <c r="D9" s="731">
        <v>0</v>
      </c>
      <c r="E9" s="731">
        <v>0</v>
      </c>
      <c r="F9" s="731">
        <v>0</v>
      </c>
      <c r="G9" s="1418"/>
    </row>
    <row r="10" spans="1:7" ht="20.25" customHeight="1" thickBot="1" x14ac:dyDescent="0.3">
      <c r="A10" s="1438"/>
      <c r="B10" s="457" t="s">
        <v>104</v>
      </c>
      <c r="C10" s="732">
        <v>0</v>
      </c>
      <c r="D10" s="732">
        <v>0</v>
      </c>
      <c r="E10" s="734">
        <v>0</v>
      </c>
      <c r="F10" s="734">
        <v>0</v>
      </c>
      <c r="G10" s="1423"/>
    </row>
    <row r="11" spans="1:7" ht="20.25" customHeight="1" thickBot="1" x14ac:dyDescent="0.3">
      <c r="A11" s="1436">
        <v>44837</v>
      </c>
      <c r="B11" s="453" t="s">
        <v>17</v>
      </c>
      <c r="C11" s="709">
        <v>1</v>
      </c>
      <c r="D11" s="709">
        <v>1</v>
      </c>
      <c r="E11" s="709">
        <v>1</v>
      </c>
      <c r="F11" s="709">
        <v>1</v>
      </c>
      <c r="G11" s="1453" t="s">
        <v>3969</v>
      </c>
    </row>
    <row r="12" spans="1:7" ht="20.25" customHeight="1" thickBot="1" x14ac:dyDescent="0.3">
      <c r="A12" s="1437"/>
      <c r="B12" s="453" t="s">
        <v>102</v>
      </c>
      <c r="C12" s="731">
        <f t="shared" ref="C12:D12" si="2">24-C13-C14</f>
        <v>0</v>
      </c>
      <c r="D12" s="731">
        <f t="shared" si="2"/>
        <v>10.77</v>
      </c>
      <c r="E12" s="733">
        <f>24-E13-E14</f>
        <v>24</v>
      </c>
      <c r="F12" s="733">
        <f>24-F13-F14</f>
        <v>24</v>
      </c>
      <c r="G12" s="1418"/>
    </row>
    <row r="13" spans="1:7" ht="20.25" customHeight="1" thickBot="1" x14ac:dyDescent="0.3">
      <c r="A13" s="1437"/>
      <c r="B13" s="448" t="s">
        <v>103</v>
      </c>
      <c r="C13" s="731">
        <v>24</v>
      </c>
      <c r="D13" s="731">
        <v>13.23</v>
      </c>
      <c r="E13" s="731">
        <v>0</v>
      </c>
      <c r="F13" s="731">
        <v>0</v>
      </c>
      <c r="G13" s="1418"/>
    </row>
    <row r="14" spans="1:7" ht="20.25" customHeight="1" thickBot="1" x14ac:dyDescent="0.3">
      <c r="A14" s="1438"/>
      <c r="B14" s="457" t="s">
        <v>104</v>
      </c>
      <c r="C14" s="732">
        <v>0</v>
      </c>
      <c r="D14" s="732">
        <v>0</v>
      </c>
      <c r="E14" s="734">
        <v>0</v>
      </c>
      <c r="F14" s="734">
        <v>0</v>
      </c>
      <c r="G14" s="1423"/>
    </row>
    <row r="15" spans="1:7" ht="20.25" customHeight="1" thickBot="1" x14ac:dyDescent="0.3">
      <c r="A15" s="1436">
        <v>44838</v>
      </c>
      <c r="B15" s="453" t="s">
        <v>17</v>
      </c>
      <c r="C15" s="709">
        <v>1</v>
      </c>
      <c r="D15" s="709">
        <v>1</v>
      </c>
      <c r="E15" s="709">
        <v>1</v>
      </c>
      <c r="F15" s="709">
        <v>1</v>
      </c>
      <c r="G15" s="1417" t="s">
        <v>3982</v>
      </c>
    </row>
    <row r="16" spans="1:7" ht="20.25" customHeight="1" thickBot="1" x14ac:dyDescent="0.3">
      <c r="A16" s="1437"/>
      <c r="B16" s="453" t="s">
        <v>102</v>
      </c>
      <c r="C16" s="731">
        <f t="shared" ref="C16:D16" si="3">24-C17-C18</f>
        <v>1.1499999999999986</v>
      </c>
      <c r="D16" s="731">
        <f t="shared" si="3"/>
        <v>12.38</v>
      </c>
      <c r="E16" s="733">
        <f>24-E17-E18</f>
        <v>24</v>
      </c>
      <c r="F16" s="733">
        <f>24-F17-F18</f>
        <v>24</v>
      </c>
      <c r="G16" s="1418"/>
    </row>
    <row r="17" spans="1:7" ht="20.25" customHeight="1" thickBot="1" x14ac:dyDescent="0.3">
      <c r="A17" s="1437"/>
      <c r="B17" s="448" t="s">
        <v>103</v>
      </c>
      <c r="C17" s="731">
        <v>22.85</v>
      </c>
      <c r="D17" s="731">
        <v>11.62</v>
      </c>
      <c r="E17" s="731">
        <v>0</v>
      </c>
      <c r="F17" s="731">
        <v>0</v>
      </c>
      <c r="G17" s="1418"/>
    </row>
    <row r="18" spans="1:7" ht="20.25" customHeight="1" thickBot="1" x14ac:dyDescent="0.3">
      <c r="A18" s="1438"/>
      <c r="B18" s="457" t="s">
        <v>104</v>
      </c>
      <c r="C18" s="732">
        <v>0</v>
      </c>
      <c r="D18" s="732">
        <v>0</v>
      </c>
      <c r="E18" s="734">
        <v>0</v>
      </c>
      <c r="F18" s="734">
        <v>0</v>
      </c>
      <c r="G18" s="1423"/>
    </row>
    <row r="19" spans="1:7" ht="20.25" customHeight="1" thickBot="1" x14ac:dyDescent="0.3">
      <c r="A19" s="1436">
        <v>44839</v>
      </c>
      <c r="B19" s="453" t="s">
        <v>17</v>
      </c>
      <c r="C19" s="709">
        <v>1</v>
      </c>
      <c r="D19" s="709">
        <v>1</v>
      </c>
      <c r="E19" s="709">
        <v>1</v>
      </c>
      <c r="F19" s="709">
        <v>1</v>
      </c>
      <c r="G19" s="1417" t="s">
        <v>3986</v>
      </c>
    </row>
    <row r="20" spans="1:7" ht="20.25" customHeight="1" thickBot="1" x14ac:dyDescent="0.3">
      <c r="A20" s="1437"/>
      <c r="B20" s="453" t="s">
        <v>102</v>
      </c>
      <c r="C20" s="731">
        <f t="shared" ref="C20:D20" si="4">24-C21-C22</f>
        <v>24</v>
      </c>
      <c r="D20" s="731">
        <f t="shared" si="4"/>
        <v>19.23</v>
      </c>
      <c r="E20" s="733">
        <f>24-E21-E22</f>
        <v>24</v>
      </c>
      <c r="F20" s="733">
        <f>24-F21-F22</f>
        <v>24</v>
      </c>
      <c r="G20" s="1418"/>
    </row>
    <row r="21" spans="1:7" ht="20.25" customHeight="1" thickBot="1" x14ac:dyDescent="0.3">
      <c r="A21" s="1437"/>
      <c r="B21" s="448" t="s">
        <v>103</v>
      </c>
      <c r="C21" s="731">
        <v>0</v>
      </c>
      <c r="D21" s="731">
        <v>4.7699999999999996</v>
      </c>
      <c r="E21" s="731">
        <v>0</v>
      </c>
      <c r="F21" s="731">
        <v>0</v>
      </c>
      <c r="G21" s="1418"/>
    </row>
    <row r="22" spans="1:7" ht="20.25" customHeight="1" thickBot="1" x14ac:dyDescent="0.3">
      <c r="A22" s="1438"/>
      <c r="B22" s="457" t="s">
        <v>104</v>
      </c>
      <c r="C22" s="732">
        <v>0</v>
      </c>
      <c r="D22" s="732">
        <v>0</v>
      </c>
      <c r="E22" s="734">
        <v>0</v>
      </c>
      <c r="F22" s="734">
        <v>0</v>
      </c>
      <c r="G22" s="1418"/>
    </row>
    <row r="23" spans="1:7" ht="35.25" customHeight="1" thickBot="1" x14ac:dyDescent="0.3">
      <c r="A23" s="1436">
        <v>44840</v>
      </c>
      <c r="B23" s="453" t="s">
        <v>17</v>
      </c>
      <c r="C23" s="709">
        <v>1</v>
      </c>
      <c r="D23" s="709">
        <v>1</v>
      </c>
      <c r="E23" s="709">
        <v>1</v>
      </c>
      <c r="F23" s="709">
        <v>1</v>
      </c>
      <c r="G23" s="1453" t="s">
        <v>3997</v>
      </c>
    </row>
    <row r="24" spans="1:7" ht="35.25" customHeight="1" thickBot="1" x14ac:dyDescent="0.3">
      <c r="A24" s="1437"/>
      <c r="B24" s="453" t="s">
        <v>102</v>
      </c>
      <c r="C24" s="731">
        <f t="shared" ref="C24:D24" si="5">24-C25-C26</f>
        <v>14.35</v>
      </c>
      <c r="D24" s="731">
        <f t="shared" si="5"/>
        <v>12.85</v>
      </c>
      <c r="E24" s="733">
        <f>24-E25-E26</f>
        <v>24</v>
      </c>
      <c r="F24" s="733">
        <f>24-F25-F26</f>
        <v>24</v>
      </c>
      <c r="G24" s="1418"/>
    </row>
    <row r="25" spans="1:7" ht="35.25" customHeight="1" thickBot="1" x14ac:dyDescent="0.3">
      <c r="A25" s="1437"/>
      <c r="B25" s="448" t="s">
        <v>103</v>
      </c>
      <c r="C25" s="731">
        <v>9.65</v>
      </c>
      <c r="D25" s="731">
        <v>11.15</v>
      </c>
      <c r="E25" s="731">
        <v>0</v>
      </c>
      <c r="F25" s="731">
        <v>0</v>
      </c>
      <c r="G25" s="1418"/>
    </row>
    <row r="26" spans="1:7" ht="35.25" customHeight="1" thickBot="1" x14ac:dyDescent="0.3">
      <c r="A26" s="1438"/>
      <c r="B26" s="457" t="s">
        <v>104</v>
      </c>
      <c r="C26" s="732">
        <v>0</v>
      </c>
      <c r="D26" s="732">
        <v>0</v>
      </c>
      <c r="E26" s="734">
        <v>0</v>
      </c>
      <c r="F26" s="734">
        <v>0</v>
      </c>
      <c r="G26" s="1418"/>
    </row>
    <row r="27" spans="1:7" ht="20.25" customHeight="1" thickBot="1" x14ac:dyDescent="0.3">
      <c r="A27" s="1436">
        <v>44841</v>
      </c>
      <c r="B27" s="453" t="s">
        <v>17</v>
      </c>
      <c r="C27" s="709">
        <v>1</v>
      </c>
      <c r="D27" s="709">
        <v>1</v>
      </c>
      <c r="E27" s="709">
        <v>1</v>
      </c>
      <c r="F27" s="709">
        <v>1</v>
      </c>
      <c r="G27" s="1417" t="s">
        <v>4008</v>
      </c>
    </row>
    <row r="28" spans="1:7" ht="20.25" customHeight="1" thickBot="1" x14ac:dyDescent="0.3">
      <c r="A28" s="1437"/>
      <c r="B28" s="453" t="s">
        <v>102</v>
      </c>
      <c r="C28" s="731">
        <f t="shared" ref="C28:D28" si="6">24-C29-C30</f>
        <v>0</v>
      </c>
      <c r="D28" s="731">
        <f t="shared" si="6"/>
        <v>18.12</v>
      </c>
      <c r="E28" s="733">
        <f>24-E29-E30</f>
        <v>24</v>
      </c>
      <c r="F28" s="733">
        <f>24-F29-F30</f>
        <v>24</v>
      </c>
      <c r="G28" s="1418"/>
    </row>
    <row r="29" spans="1:7" ht="20.25" customHeight="1" thickBot="1" x14ac:dyDescent="0.3">
      <c r="A29" s="1437"/>
      <c r="B29" s="448" t="s">
        <v>103</v>
      </c>
      <c r="C29" s="731">
        <v>24</v>
      </c>
      <c r="D29" s="731">
        <v>5.88</v>
      </c>
      <c r="E29" s="731">
        <v>0</v>
      </c>
      <c r="F29" s="731">
        <v>0</v>
      </c>
      <c r="G29" s="1418"/>
    </row>
    <row r="30" spans="1:7" ht="20.25" customHeight="1" thickBot="1" x14ac:dyDescent="0.3">
      <c r="A30" s="1438"/>
      <c r="B30" s="457" t="s">
        <v>104</v>
      </c>
      <c r="C30" s="732">
        <v>0</v>
      </c>
      <c r="D30" s="732">
        <v>0</v>
      </c>
      <c r="E30" s="734">
        <v>0</v>
      </c>
      <c r="F30" s="734">
        <v>0</v>
      </c>
      <c r="G30" s="1418"/>
    </row>
    <row r="31" spans="1:7" ht="20.25" customHeight="1" thickBot="1" x14ac:dyDescent="0.3">
      <c r="A31" s="1436">
        <v>44842</v>
      </c>
      <c r="B31" s="453" t="s">
        <v>17</v>
      </c>
      <c r="C31" s="709">
        <v>1</v>
      </c>
      <c r="D31" s="709">
        <v>1</v>
      </c>
      <c r="E31" s="709">
        <v>1</v>
      </c>
      <c r="F31" s="709">
        <v>1</v>
      </c>
      <c r="G31" s="1453" t="s">
        <v>4017</v>
      </c>
    </row>
    <row r="32" spans="1:7" ht="20.25" customHeight="1" thickBot="1" x14ac:dyDescent="0.3">
      <c r="A32" s="1437"/>
      <c r="B32" s="453" t="s">
        <v>102</v>
      </c>
      <c r="C32" s="731">
        <f t="shared" ref="C32:D32" si="7">24-C33-C34</f>
        <v>0</v>
      </c>
      <c r="D32" s="731">
        <f t="shared" si="7"/>
        <v>9.1999999999999993</v>
      </c>
      <c r="E32" s="733">
        <f>24-E33-E34</f>
        <v>24</v>
      </c>
      <c r="F32" s="733">
        <f>24-F33-F34</f>
        <v>24</v>
      </c>
      <c r="G32" s="1418"/>
    </row>
    <row r="33" spans="1:7" ht="20.25" customHeight="1" thickBot="1" x14ac:dyDescent="0.3">
      <c r="A33" s="1437"/>
      <c r="B33" s="448" t="s">
        <v>103</v>
      </c>
      <c r="C33" s="731">
        <v>24</v>
      </c>
      <c r="D33" s="731">
        <v>14.8</v>
      </c>
      <c r="E33" s="731">
        <v>0</v>
      </c>
      <c r="F33" s="731">
        <v>0</v>
      </c>
      <c r="G33" s="1418"/>
    </row>
    <row r="34" spans="1:7" ht="20.25" customHeight="1" thickBot="1" x14ac:dyDescent="0.3">
      <c r="A34" s="1438"/>
      <c r="B34" s="457" t="s">
        <v>104</v>
      </c>
      <c r="C34" s="732">
        <v>0</v>
      </c>
      <c r="D34" s="732">
        <v>0</v>
      </c>
      <c r="E34" s="734">
        <v>0</v>
      </c>
      <c r="F34" s="734">
        <v>0</v>
      </c>
      <c r="G34" s="1423"/>
    </row>
    <row r="35" spans="1:7" ht="20.25" customHeight="1" thickBot="1" x14ac:dyDescent="0.3">
      <c r="A35" s="1436">
        <v>44843</v>
      </c>
      <c r="B35" s="453" t="s">
        <v>17</v>
      </c>
      <c r="C35" s="709">
        <v>1</v>
      </c>
      <c r="D35" s="709">
        <v>1</v>
      </c>
      <c r="E35" s="709">
        <v>1</v>
      </c>
      <c r="F35" s="709">
        <v>1</v>
      </c>
      <c r="G35" s="1453"/>
    </row>
    <row r="36" spans="1:7" ht="20.25" customHeight="1" thickBot="1" x14ac:dyDescent="0.3">
      <c r="A36" s="1437"/>
      <c r="B36" s="453" t="s">
        <v>102</v>
      </c>
      <c r="C36" s="731">
        <f t="shared" ref="C36:D36" si="8">24-C37-C38</f>
        <v>0</v>
      </c>
      <c r="D36" s="731">
        <f t="shared" si="8"/>
        <v>24</v>
      </c>
      <c r="E36" s="733">
        <f>24-E37-E38</f>
        <v>24</v>
      </c>
      <c r="F36" s="733">
        <f>24-F37-F38</f>
        <v>24</v>
      </c>
      <c r="G36" s="1418"/>
    </row>
    <row r="37" spans="1:7" ht="20.25" customHeight="1" thickBot="1" x14ac:dyDescent="0.3">
      <c r="A37" s="1437"/>
      <c r="B37" s="448" t="s">
        <v>103</v>
      </c>
      <c r="C37" s="731">
        <v>24</v>
      </c>
      <c r="D37" s="731">
        <v>0</v>
      </c>
      <c r="E37" s="731">
        <v>0</v>
      </c>
      <c r="F37" s="731">
        <v>0</v>
      </c>
      <c r="G37" s="1418"/>
    </row>
    <row r="38" spans="1:7" ht="20.25" customHeight="1" thickBot="1" x14ac:dyDescent="0.3">
      <c r="A38" s="1438"/>
      <c r="B38" s="457" t="s">
        <v>104</v>
      </c>
      <c r="C38" s="732">
        <v>0</v>
      </c>
      <c r="D38" s="732">
        <v>0</v>
      </c>
      <c r="E38" s="734">
        <v>0</v>
      </c>
      <c r="F38" s="734">
        <v>0</v>
      </c>
      <c r="G38" s="1423"/>
    </row>
    <row r="39" spans="1:7" ht="20.25" customHeight="1" thickBot="1" x14ac:dyDescent="0.3">
      <c r="A39" s="1436">
        <v>44844</v>
      </c>
      <c r="B39" s="453" t="s">
        <v>17</v>
      </c>
      <c r="C39" s="709">
        <v>1</v>
      </c>
      <c r="D39" s="709">
        <v>1</v>
      </c>
      <c r="E39" s="709">
        <v>1</v>
      </c>
      <c r="F39" s="709">
        <v>1</v>
      </c>
      <c r="G39" s="1453" t="s">
        <v>4028</v>
      </c>
    </row>
    <row r="40" spans="1:7" ht="20.25" customHeight="1" thickBot="1" x14ac:dyDescent="0.3">
      <c r="A40" s="1437"/>
      <c r="B40" s="453" t="s">
        <v>102</v>
      </c>
      <c r="C40" s="731">
        <f t="shared" ref="C40:D40" si="9">24-C41-C42</f>
        <v>0</v>
      </c>
      <c r="D40" s="731">
        <f t="shared" si="9"/>
        <v>9.57</v>
      </c>
      <c r="E40" s="733">
        <f>24-E41-E42</f>
        <v>24</v>
      </c>
      <c r="F40" s="733">
        <f>24-F41-F42</f>
        <v>24</v>
      </c>
      <c r="G40" s="1418"/>
    </row>
    <row r="41" spans="1:7" ht="20.25" customHeight="1" thickBot="1" x14ac:dyDescent="0.3">
      <c r="A41" s="1437"/>
      <c r="B41" s="448" t="s">
        <v>103</v>
      </c>
      <c r="C41" s="731">
        <v>24</v>
      </c>
      <c r="D41" s="731">
        <v>14.43</v>
      </c>
      <c r="E41" s="731">
        <v>0</v>
      </c>
      <c r="F41" s="731">
        <v>0</v>
      </c>
      <c r="G41" s="1418"/>
    </row>
    <row r="42" spans="1:7" ht="20.25" customHeight="1" thickBot="1" x14ac:dyDescent="0.3">
      <c r="A42" s="1438"/>
      <c r="B42" s="457" t="s">
        <v>104</v>
      </c>
      <c r="C42" s="732">
        <v>0</v>
      </c>
      <c r="D42" s="732">
        <v>0</v>
      </c>
      <c r="E42" s="734">
        <v>0</v>
      </c>
      <c r="F42" s="734">
        <v>0</v>
      </c>
      <c r="G42" s="1423"/>
    </row>
    <row r="43" spans="1:7" ht="20.25" customHeight="1" thickBot="1" x14ac:dyDescent="0.3">
      <c r="A43" s="1436">
        <v>44845</v>
      </c>
      <c r="B43" s="453" t="s">
        <v>17</v>
      </c>
      <c r="C43" s="709">
        <v>1</v>
      </c>
      <c r="D43" s="709">
        <v>1</v>
      </c>
      <c r="E43" s="709">
        <v>1</v>
      </c>
      <c r="F43" s="709">
        <v>1</v>
      </c>
      <c r="G43" s="1453" t="s">
        <v>4033</v>
      </c>
    </row>
    <row r="44" spans="1:7" ht="20.25" customHeight="1" thickBot="1" x14ac:dyDescent="0.3">
      <c r="A44" s="1437"/>
      <c r="B44" s="453" t="s">
        <v>102</v>
      </c>
      <c r="C44" s="731">
        <f t="shared" ref="C44:D44" si="10">24-C45-C46</f>
        <v>14.45</v>
      </c>
      <c r="D44" s="731">
        <f t="shared" si="10"/>
        <v>14.43</v>
      </c>
      <c r="E44" s="733">
        <f>24-E45-E46</f>
        <v>24</v>
      </c>
      <c r="F44" s="733">
        <f>24-F45-F46</f>
        <v>24</v>
      </c>
      <c r="G44" s="1418"/>
    </row>
    <row r="45" spans="1:7" ht="20.25" customHeight="1" thickBot="1" x14ac:dyDescent="0.3">
      <c r="A45" s="1437"/>
      <c r="B45" s="448" t="s">
        <v>103</v>
      </c>
      <c r="C45" s="731">
        <v>9.5500000000000007</v>
      </c>
      <c r="D45" s="731">
        <v>9.57</v>
      </c>
      <c r="E45" s="731">
        <v>0</v>
      </c>
      <c r="F45" s="731">
        <v>0</v>
      </c>
      <c r="G45" s="1418"/>
    </row>
    <row r="46" spans="1:7" ht="20.25" customHeight="1" thickBot="1" x14ac:dyDescent="0.3">
      <c r="A46" s="1438"/>
      <c r="B46" s="457" t="s">
        <v>104</v>
      </c>
      <c r="C46" s="732">
        <v>0</v>
      </c>
      <c r="D46" s="732">
        <v>0</v>
      </c>
      <c r="E46" s="734">
        <v>0</v>
      </c>
      <c r="F46" s="734">
        <v>0</v>
      </c>
      <c r="G46" s="1423"/>
    </row>
    <row r="47" spans="1:7" ht="20.25" customHeight="1" thickBot="1" x14ac:dyDescent="0.3">
      <c r="A47" s="1436">
        <v>44846</v>
      </c>
      <c r="B47" s="453" t="s">
        <v>17</v>
      </c>
      <c r="C47" s="709">
        <v>1</v>
      </c>
      <c r="D47" s="709">
        <v>1</v>
      </c>
      <c r="E47" s="709">
        <v>1</v>
      </c>
      <c r="F47" s="709">
        <v>1</v>
      </c>
      <c r="G47" s="1417" t="s">
        <v>4039</v>
      </c>
    </row>
    <row r="48" spans="1:7" ht="20.25" customHeight="1" thickBot="1" x14ac:dyDescent="0.3">
      <c r="A48" s="1437"/>
      <c r="B48" s="453" t="s">
        <v>102</v>
      </c>
      <c r="C48" s="731">
        <f t="shared" ref="C48:D48" si="11">24-C49-C50</f>
        <v>23.32</v>
      </c>
      <c r="D48" s="731">
        <f t="shared" si="11"/>
        <v>16.850000000000001</v>
      </c>
      <c r="E48" s="733">
        <f>24-E49-E50</f>
        <v>24</v>
      </c>
      <c r="F48" s="733">
        <f>24-F49-F50</f>
        <v>24</v>
      </c>
      <c r="G48" s="1418"/>
    </row>
    <row r="49" spans="1:7" ht="20.25" customHeight="1" thickBot="1" x14ac:dyDescent="0.3">
      <c r="A49" s="1437"/>
      <c r="B49" s="448" t="s">
        <v>103</v>
      </c>
      <c r="C49" s="731">
        <v>0.68</v>
      </c>
      <c r="D49" s="731">
        <v>7.15</v>
      </c>
      <c r="E49" s="731">
        <v>0</v>
      </c>
      <c r="F49" s="731">
        <v>0</v>
      </c>
      <c r="G49" s="1418"/>
    </row>
    <row r="50" spans="1:7" ht="20.25" customHeight="1" thickBot="1" x14ac:dyDescent="0.3">
      <c r="A50" s="1438"/>
      <c r="B50" s="457" t="s">
        <v>104</v>
      </c>
      <c r="C50" s="732">
        <v>0</v>
      </c>
      <c r="D50" s="732">
        <v>0</v>
      </c>
      <c r="E50" s="734">
        <v>0</v>
      </c>
      <c r="F50" s="734">
        <v>0</v>
      </c>
      <c r="G50" s="1418"/>
    </row>
    <row r="51" spans="1:7" ht="20.25" customHeight="1" thickBot="1" x14ac:dyDescent="0.3">
      <c r="A51" s="1436">
        <v>44847</v>
      </c>
      <c r="B51" s="453" t="s">
        <v>17</v>
      </c>
      <c r="C51" s="709">
        <v>1</v>
      </c>
      <c r="D51" s="709">
        <v>1</v>
      </c>
      <c r="E51" s="709">
        <v>1</v>
      </c>
      <c r="F51" s="709">
        <v>1</v>
      </c>
      <c r="G51" s="1417" t="s">
        <v>4042</v>
      </c>
    </row>
    <row r="52" spans="1:7" ht="20.25" customHeight="1" thickBot="1" x14ac:dyDescent="0.3">
      <c r="A52" s="1437"/>
      <c r="B52" s="453" t="s">
        <v>102</v>
      </c>
      <c r="C52" s="731">
        <f t="shared" ref="C52:D52" si="12">24-C53-C54</f>
        <v>0</v>
      </c>
      <c r="D52" s="731">
        <f t="shared" si="12"/>
        <v>10.91</v>
      </c>
      <c r="E52" s="733">
        <f>24-E53-E54</f>
        <v>24</v>
      </c>
      <c r="F52" s="733">
        <f>24-F53-F54</f>
        <v>24</v>
      </c>
      <c r="G52" s="1418"/>
    </row>
    <row r="53" spans="1:7" ht="20.25" customHeight="1" thickBot="1" x14ac:dyDescent="0.3">
      <c r="A53" s="1437"/>
      <c r="B53" s="448" t="s">
        <v>103</v>
      </c>
      <c r="C53" s="731">
        <v>24</v>
      </c>
      <c r="D53" s="731">
        <v>13.09</v>
      </c>
      <c r="E53" s="731">
        <v>0</v>
      </c>
      <c r="F53" s="731">
        <v>0</v>
      </c>
      <c r="G53" s="1418"/>
    </row>
    <row r="54" spans="1:7" ht="20.25" customHeight="1" thickBot="1" x14ac:dyDescent="0.3">
      <c r="A54" s="1438"/>
      <c r="B54" s="457" t="s">
        <v>104</v>
      </c>
      <c r="C54" s="732">
        <v>0</v>
      </c>
      <c r="D54" s="732">
        <v>0</v>
      </c>
      <c r="E54" s="734">
        <v>0</v>
      </c>
      <c r="F54" s="734">
        <v>0</v>
      </c>
      <c r="G54" s="1418"/>
    </row>
    <row r="55" spans="1:7" ht="20.25" customHeight="1" thickBot="1" x14ac:dyDescent="0.3">
      <c r="A55" s="1436">
        <v>44848</v>
      </c>
      <c r="B55" s="453" t="s">
        <v>17</v>
      </c>
      <c r="C55" s="709">
        <v>1</v>
      </c>
      <c r="D55" s="709">
        <v>1</v>
      </c>
      <c r="E55" s="709">
        <v>1</v>
      </c>
      <c r="F55" s="709">
        <v>1</v>
      </c>
      <c r="G55" s="1417" t="s">
        <v>4047</v>
      </c>
    </row>
    <row r="56" spans="1:7" ht="20.25" customHeight="1" thickBot="1" x14ac:dyDescent="0.3">
      <c r="A56" s="1437"/>
      <c r="B56" s="453" t="s">
        <v>102</v>
      </c>
      <c r="C56" s="731">
        <f t="shared" ref="C56:D56" si="13">24-C57-C58</f>
        <v>0</v>
      </c>
      <c r="D56" s="731">
        <f t="shared" si="13"/>
        <v>16.75</v>
      </c>
      <c r="E56" s="733">
        <f>24-E57-E58</f>
        <v>24</v>
      </c>
      <c r="F56" s="733">
        <f>24-F57-F58</f>
        <v>24</v>
      </c>
      <c r="G56" s="1418"/>
    </row>
    <row r="57" spans="1:7" ht="20.25" customHeight="1" thickBot="1" x14ac:dyDescent="0.3">
      <c r="A57" s="1437"/>
      <c r="B57" s="448" t="s">
        <v>103</v>
      </c>
      <c r="C57" s="731">
        <v>24</v>
      </c>
      <c r="D57" s="731">
        <v>7.25</v>
      </c>
      <c r="E57" s="731">
        <v>0</v>
      </c>
      <c r="F57" s="731">
        <v>0</v>
      </c>
      <c r="G57" s="1418"/>
    </row>
    <row r="58" spans="1:7" ht="20.25" customHeight="1" thickBot="1" x14ac:dyDescent="0.3">
      <c r="A58" s="1438"/>
      <c r="B58" s="457" t="s">
        <v>104</v>
      </c>
      <c r="C58" s="732">
        <v>0</v>
      </c>
      <c r="D58" s="732">
        <v>0</v>
      </c>
      <c r="E58" s="734">
        <v>0</v>
      </c>
      <c r="F58" s="734">
        <v>0</v>
      </c>
      <c r="G58" s="1418"/>
    </row>
    <row r="59" spans="1:7" ht="20.25" customHeight="1" thickBot="1" x14ac:dyDescent="0.3">
      <c r="A59" s="1436">
        <v>44849</v>
      </c>
      <c r="B59" s="453" t="s">
        <v>17</v>
      </c>
      <c r="C59" s="709">
        <v>1</v>
      </c>
      <c r="D59" s="709">
        <v>1</v>
      </c>
      <c r="E59" s="709">
        <v>1</v>
      </c>
      <c r="F59" s="709">
        <v>1</v>
      </c>
      <c r="G59" s="1456" t="s">
        <v>4070</v>
      </c>
    </row>
    <row r="60" spans="1:7" ht="20.25" customHeight="1" thickBot="1" x14ac:dyDescent="0.3">
      <c r="A60" s="1437"/>
      <c r="B60" s="453" t="s">
        <v>102</v>
      </c>
      <c r="C60" s="731">
        <f t="shared" ref="C60:D60" si="14">24-C61-C62</f>
        <v>0</v>
      </c>
      <c r="D60" s="731">
        <f t="shared" si="14"/>
        <v>12.02</v>
      </c>
      <c r="E60" s="733">
        <f>24-E61-E62</f>
        <v>24</v>
      </c>
      <c r="F60" s="733">
        <f>24-F61-F62</f>
        <v>24</v>
      </c>
      <c r="G60" s="1456"/>
    </row>
    <row r="61" spans="1:7" ht="20.25" customHeight="1" thickBot="1" x14ac:dyDescent="0.3">
      <c r="A61" s="1437"/>
      <c r="B61" s="448" t="s">
        <v>103</v>
      </c>
      <c r="C61" s="731">
        <v>24</v>
      </c>
      <c r="D61" s="731">
        <v>11.98</v>
      </c>
      <c r="E61" s="731">
        <v>0</v>
      </c>
      <c r="F61" s="731">
        <v>0</v>
      </c>
      <c r="G61" s="1456"/>
    </row>
    <row r="62" spans="1:7" ht="20.25" customHeight="1" thickBot="1" x14ac:dyDescent="0.3">
      <c r="A62" s="1438"/>
      <c r="B62" s="457" t="s">
        <v>104</v>
      </c>
      <c r="C62" s="732">
        <v>0</v>
      </c>
      <c r="D62" s="732">
        <v>0</v>
      </c>
      <c r="E62" s="734">
        <v>0</v>
      </c>
      <c r="F62" s="734">
        <v>0</v>
      </c>
      <c r="G62" s="1456"/>
    </row>
    <row r="63" spans="1:7" ht="20.25" customHeight="1" thickBot="1" x14ac:dyDescent="0.3">
      <c r="A63" s="1436">
        <v>44850</v>
      </c>
      <c r="B63" s="453" t="s">
        <v>17</v>
      </c>
      <c r="C63" s="709">
        <v>1</v>
      </c>
      <c r="D63" s="709">
        <v>1</v>
      </c>
      <c r="E63" s="709">
        <v>1</v>
      </c>
      <c r="F63" s="709">
        <v>1</v>
      </c>
      <c r="G63" s="1453" t="s">
        <v>4072</v>
      </c>
    </row>
    <row r="64" spans="1:7" ht="20.25" customHeight="1" thickBot="1" x14ac:dyDescent="0.3">
      <c r="A64" s="1437"/>
      <c r="B64" s="453" t="s">
        <v>102</v>
      </c>
      <c r="C64" s="731">
        <f t="shared" ref="C64:D64" si="15">24-C65-C66</f>
        <v>0</v>
      </c>
      <c r="D64" s="731">
        <f t="shared" si="15"/>
        <v>15</v>
      </c>
      <c r="E64" s="733">
        <f>24-E65-E66</f>
        <v>24</v>
      </c>
      <c r="F64" s="733">
        <f>24-F65-F66</f>
        <v>24</v>
      </c>
      <c r="G64" s="1418"/>
    </row>
    <row r="65" spans="1:7" ht="20.25" customHeight="1" thickBot="1" x14ac:dyDescent="0.3">
      <c r="A65" s="1437"/>
      <c r="B65" s="448" t="s">
        <v>103</v>
      </c>
      <c r="C65" s="731">
        <v>24</v>
      </c>
      <c r="D65" s="731">
        <v>9</v>
      </c>
      <c r="E65" s="731">
        <v>0</v>
      </c>
      <c r="F65" s="731">
        <v>0</v>
      </c>
      <c r="G65" s="1418"/>
    </row>
    <row r="66" spans="1:7" ht="20.25" customHeight="1" thickBot="1" x14ac:dyDescent="0.3">
      <c r="A66" s="1438"/>
      <c r="B66" s="457" t="s">
        <v>104</v>
      </c>
      <c r="C66" s="732">
        <v>0</v>
      </c>
      <c r="D66" s="732">
        <v>0</v>
      </c>
      <c r="E66" s="734">
        <v>0</v>
      </c>
      <c r="F66" s="734">
        <v>0</v>
      </c>
      <c r="G66" s="1423"/>
    </row>
    <row r="67" spans="1:7" ht="20.25" customHeight="1" thickBot="1" x14ac:dyDescent="0.3">
      <c r="A67" s="1436">
        <v>44851</v>
      </c>
      <c r="B67" s="453" t="s">
        <v>17</v>
      </c>
      <c r="C67" s="709">
        <v>1</v>
      </c>
      <c r="D67" s="709">
        <v>1</v>
      </c>
      <c r="E67" s="709">
        <v>1</v>
      </c>
      <c r="F67" s="709">
        <v>1</v>
      </c>
      <c r="G67" s="1453" t="s">
        <v>4081</v>
      </c>
    </row>
    <row r="68" spans="1:7" ht="20.25" customHeight="1" thickBot="1" x14ac:dyDescent="0.3">
      <c r="A68" s="1437"/>
      <c r="B68" s="453" t="s">
        <v>102</v>
      </c>
      <c r="C68" s="731">
        <f t="shared" ref="C68:D68" si="16">24-C69-C70</f>
        <v>0</v>
      </c>
      <c r="D68" s="731">
        <f t="shared" si="16"/>
        <v>19.18</v>
      </c>
      <c r="E68" s="733">
        <f>24-E69-E70</f>
        <v>24</v>
      </c>
      <c r="F68" s="733">
        <f>24-F69-F70</f>
        <v>24</v>
      </c>
      <c r="G68" s="1418"/>
    </row>
    <row r="69" spans="1:7" ht="20.25" customHeight="1" thickBot="1" x14ac:dyDescent="0.3">
      <c r="A69" s="1437"/>
      <c r="B69" s="448" t="s">
        <v>103</v>
      </c>
      <c r="C69" s="731">
        <v>24</v>
      </c>
      <c r="D69" s="731">
        <v>4.82</v>
      </c>
      <c r="E69" s="731">
        <v>0</v>
      </c>
      <c r="F69" s="731">
        <v>0</v>
      </c>
      <c r="G69" s="1418"/>
    </row>
    <row r="70" spans="1:7" ht="20.25" customHeight="1" thickBot="1" x14ac:dyDescent="0.3">
      <c r="A70" s="1438"/>
      <c r="B70" s="457" t="s">
        <v>104</v>
      </c>
      <c r="C70" s="732">
        <v>0</v>
      </c>
      <c r="D70" s="732">
        <v>0</v>
      </c>
      <c r="E70" s="734">
        <v>0</v>
      </c>
      <c r="F70" s="734">
        <v>0</v>
      </c>
      <c r="G70" s="1423"/>
    </row>
    <row r="71" spans="1:7" ht="20.25" customHeight="1" thickBot="1" x14ac:dyDescent="0.3">
      <c r="A71" s="1436">
        <v>44852</v>
      </c>
      <c r="B71" s="453" t="s">
        <v>17</v>
      </c>
      <c r="C71" s="709">
        <v>1</v>
      </c>
      <c r="D71" s="709">
        <v>1</v>
      </c>
      <c r="E71" s="709">
        <v>1</v>
      </c>
      <c r="F71" s="709">
        <v>1</v>
      </c>
      <c r="G71" s="1447"/>
    </row>
    <row r="72" spans="1:7" ht="20.25" customHeight="1" thickBot="1" x14ac:dyDescent="0.3">
      <c r="A72" s="1437"/>
      <c r="B72" s="453" t="s">
        <v>102</v>
      </c>
      <c r="C72" s="731">
        <f t="shared" ref="C72:D72" si="17">24-C73-C74</f>
        <v>0</v>
      </c>
      <c r="D72" s="731">
        <f t="shared" si="17"/>
        <v>16.5</v>
      </c>
      <c r="E72" s="733">
        <f>24-E73-E74</f>
        <v>24</v>
      </c>
      <c r="F72" s="733">
        <f>24-F73-F74</f>
        <v>24</v>
      </c>
      <c r="G72" s="1448"/>
    </row>
    <row r="73" spans="1:7" ht="20.25" customHeight="1" thickBot="1" x14ac:dyDescent="0.3">
      <c r="A73" s="1437"/>
      <c r="B73" s="448" t="s">
        <v>103</v>
      </c>
      <c r="C73" s="731">
        <v>24</v>
      </c>
      <c r="D73" s="731">
        <v>7.5</v>
      </c>
      <c r="E73" s="731">
        <v>0</v>
      </c>
      <c r="F73" s="731">
        <v>0</v>
      </c>
      <c r="G73" s="1448"/>
    </row>
    <row r="74" spans="1:7" ht="20.25" customHeight="1" thickBot="1" x14ac:dyDescent="0.3">
      <c r="A74" s="1438"/>
      <c r="B74" s="457" t="s">
        <v>104</v>
      </c>
      <c r="C74" s="732">
        <v>0</v>
      </c>
      <c r="D74" s="732">
        <v>0</v>
      </c>
      <c r="E74" s="734">
        <v>0</v>
      </c>
      <c r="F74" s="734">
        <v>0</v>
      </c>
      <c r="G74" s="1449"/>
    </row>
    <row r="75" spans="1:7" ht="31.5" customHeight="1" thickBot="1" x14ac:dyDescent="0.3">
      <c r="A75" s="1436">
        <v>44853</v>
      </c>
      <c r="B75" s="453" t="s">
        <v>17</v>
      </c>
      <c r="C75" s="709">
        <v>1</v>
      </c>
      <c r="D75" s="709">
        <v>1</v>
      </c>
      <c r="E75" s="709">
        <v>1</v>
      </c>
      <c r="F75" s="709">
        <v>1</v>
      </c>
      <c r="G75" s="1447" t="s">
        <v>4105</v>
      </c>
    </row>
    <row r="76" spans="1:7" ht="31.5" customHeight="1" thickBot="1" x14ac:dyDescent="0.3">
      <c r="A76" s="1437"/>
      <c r="B76" s="453" t="s">
        <v>102</v>
      </c>
      <c r="C76" s="731">
        <f t="shared" ref="C76:D76" si="18">24-C77-C78</f>
        <v>22.62</v>
      </c>
      <c r="D76" s="731">
        <f t="shared" si="18"/>
        <v>9.67</v>
      </c>
      <c r="E76" s="733">
        <f>24-E77-E78</f>
        <v>24</v>
      </c>
      <c r="F76" s="733">
        <f>24-F77-F78</f>
        <v>24</v>
      </c>
      <c r="G76" s="1448"/>
    </row>
    <row r="77" spans="1:7" ht="31.5" customHeight="1" thickBot="1" x14ac:dyDescent="0.3">
      <c r="A77" s="1437"/>
      <c r="B77" s="448" t="s">
        <v>103</v>
      </c>
      <c r="C77" s="731">
        <v>1.38</v>
      </c>
      <c r="D77" s="731">
        <v>14.33</v>
      </c>
      <c r="E77" s="731">
        <v>0</v>
      </c>
      <c r="F77" s="731">
        <v>0</v>
      </c>
      <c r="G77" s="1448"/>
    </row>
    <row r="78" spans="1:7" ht="31.5" customHeight="1" thickBot="1" x14ac:dyDescent="0.3">
      <c r="A78" s="1438"/>
      <c r="B78" s="457" t="s">
        <v>104</v>
      </c>
      <c r="C78" s="732">
        <v>0</v>
      </c>
      <c r="D78" s="732">
        <v>0</v>
      </c>
      <c r="E78" s="734">
        <v>0</v>
      </c>
      <c r="F78" s="734">
        <v>0</v>
      </c>
      <c r="G78" s="1449"/>
    </row>
    <row r="79" spans="1:7" ht="20.25" customHeight="1" thickBot="1" x14ac:dyDescent="0.3">
      <c r="A79" s="1436">
        <v>44854</v>
      </c>
      <c r="B79" s="453" t="s">
        <v>17</v>
      </c>
      <c r="C79" s="709">
        <v>1</v>
      </c>
      <c r="D79" s="709">
        <v>1</v>
      </c>
      <c r="E79" s="709">
        <v>1</v>
      </c>
      <c r="F79" s="709">
        <v>1</v>
      </c>
      <c r="G79" s="1447" t="s">
        <v>4106</v>
      </c>
    </row>
    <row r="80" spans="1:7" ht="20.25" customHeight="1" thickBot="1" x14ac:dyDescent="0.3">
      <c r="A80" s="1437"/>
      <c r="B80" s="453" t="s">
        <v>102</v>
      </c>
      <c r="C80" s="731">
        <f t="shared" ref="C80:D80" si="19">24-C81-C82</f>
        <v>8.8000000000000007</v>
      </c>
      <c r="D80" s="731">
        <f t="shared" si="19"/>
        <v>16.8</v>
      </c>
      <c r="E80" s="733">
        <f>24-E81-E82</f>
        <v>24</v>
      </c>
      <c r="F80" s="733">
        <f>24-F81-F82</f>
        <v>24</v>
      </c>
      <c r="G80" s="1448"/>
    </row>
    <row r="81" spans="1:7" ht="20.25" customHeight="1" thickBot="1" x14ac:dyDescent="0.3">
      <c r="A81" s="1437"/>
      <c r="B81" s="448" t="s">
        <v>103</v>
      </c>
      <c r="C81" s="731">
        <v>15.2</v>
      </c>
      <c r="D81" s="731">
        <v>7.2</v>
      </c>
      <c r="E81" s="731">
        <v>0</v>
      </c>
      <c r="F81" s="731">
        <v>0</v>
      </c>
      <c r="G81" s="1448"/>
    </row>
    <row r="82" spans="1:7" ht="20.25" customHeight="1" thickBot="1" x14ac:dyDescent="0.3">
      <c r="A82" s="1438"/>
      <c r="B82" s="457" t="s">
        <v>104</v>
      </c>
      <c r="C82" s="732">
        <v>0</v>
      </c>
      <c r="D82" s="732">
        <v>0</v>
      </c>
      <c r="E82" s="734">
        <v>0</v>
      </c>
      <c r="F82" s="734">
        <v>0</v>
      </c>
      <c r="G82" s="1449"/>
    </row>
    <row r="83" spans="1:7" ht="20.25" customHeight="1" thickBot="1" x14ac:dyDescent="0.3">
      <c r="A83" s="1436">
        <v>44855</v>
      </c>
      <c r="B83" s="453" t="s">
        <v>17</v>
      </c>
      <c r="C83" s="709">
        <v>1</v>
      </c>
      <c r="D83" s="709">
        <v>1</v>
      </c>
      <c r="E83" s="709">
        <v>1</v>
      </c>
      <c r="F83" s="709">
        <v>1</v>
      </c>
      <c r="G83" s="1447" t="s">
        <v>4114</v>
      </c>
    </row>
    <row r="84" spans="1:7" ht="20.25" customHeight="1" thickBot="1" x14ac:dyDescent="0.3">
      <c r="A84" s="1437"/>
      <c r="B84" s="453" t="s">
        <v>102</v>
      </c>
      <c r="C84" s="731">
        <f t="shared" ref="C84:D84" si="20">24-C85-C86</f>
        <v>0</v>
      </c>
      <c r="D84" s="731">
        <f t="shared" si="20"/>
        <v>16.78</v>
      </c>
      <c r="E84" s="733">
        <f>24-E85-E86</f>
        <v>24</v>
      </c>
      <c r="F84" s="733">
        <f>24-F85-F86</f>
        <v>24</v>
      </c>
      <c r="G84" s="1454"/>
    </row>
    <row r="85" spans="1:7" ht="20.25" customHeight="1" thickBot="1" x14ac:dyDescent="0.3">
      <c r="A85" s="1437"/>
      <c r="B85" s="448" t="s">
        <v>103</v>
      </c>
      <c r="C85" s="731">
        <v>24</v>
      </c>
      <c r="D85" s="731">
        <v>7.22</v>
      </c>
      <c r="E85" s="731">
        <v>0</v>
      </c>
      <c r="F85" s="731">
        <v>0</v>
      </c>
      <c r="G85" s="1454"/>
    </row>
    <row r="86" spans="1:7" ht="20.25" customHeight="1" thickBot="1" x14ac:dyDescent="0.3">
      <c r="A86" s="1438"/>
      <c r="B86" s="457" t="s">
        <v>104</v>
      </c>
      <c r="C86" s="732">
        <v>0</v>
      </c>
      <c r="D86" s="732">
        <v>0</v>
      </c>
      <c r="E86" s="734">
        <v>0</v>
      </c>
      <c r="F86" s="734">
        <v>0</v>
      </c>
      <c r="G86" s="1454"/>
    </row>
    <row r="87" spans="1:7" ht="20.25" customHeight="1" thickBot="1" x14ac:dyDescent="0.3">
      <c r="A87" s="1436">
        <v>44856</v>
      </c>
      <c r="B87" s="453" t="s">
        <v>17</v>
      </c>
      <c r="C87" s="709">
        <v>1</v>
      </c>
      <c r="D87" s="709">
        <v>1</v>
      </c>
      <c r="E87" s="709">
        <v>1</v>
      </c>
      <c r="F87" s="709">
        <v>1</v>
      </c>
      <c r="G87" s="1454"/>
    </row>
    <row r="88" spans="1:7" ht="20.25" customHeight="1" thickBot="1" x14ac:dyDescent="0.3">
      <c r="A88" s="1437"/>
      <c r="B88" s="453" t="s">
        <v>102</v>
      </c>
      <c r="C88" s="731">
        <f t="shared" ref="C88:D88" si="21">24-C89-C90</f>
        <v>0</v>
      </c>
      <c r="D88" s="731">
        <f t="shared" si="21"/>
        <v>20.5</v>
      </c>
      <c r="E88" s="733">
        <f>24-E89-E90</f>
        <v>24</v>
      </c>
      <c r="F88" s="733">
        <f>24-F89-F90</f>
        <v>24</v>
      </c>
      <c r="G88" s="1454"/>
    </row>
    <row r="89" spans="1:7" ht="20.25" customHeight="1" thickBot="1" x14ac:dyDescent="0.3">
      <c r="A89" s="1437"/>
      <c r="B89" s="448" t="s">
        <v>103</v>
      </c>
      <c r="C89" s="731">
        <v>24</v>
      </c>
      <c r="D89" s="731">
        <v>3.5</v>
      </c>
      <c r="E89" s="731">
        <v>0</v>
      </c>
      <c r="F89" s="731">
        <v>0</v>
      </c>
      <c r="G89" s="1454"/>
    </row>
    <row r="90" spans="1:7" ht="20.25" customHeight="1" thickBot="1" x14ac:dyDescent="0.3">
      <c r="A90" s="1438"/>
      <c r="B90" s="457" t="s">
        <v>104</v>
      </c>
      <c r="C90" s="732">
        <v>0</v>
      </c>
      <c r="D90" s="732">
        <v>0</v>
      </c>
      <c r="E90" s="734">
        <v>0</v>
      </c>
      <c r="F90" s="734">
        <v>0</v>
      </c>
      <c r="G90" s="1455"/>
    </row>
    <row r="91" spans="1:7" ht="20.25" customHeight="1" thickBot="1" x14ac:dyDescent="0.3">
      <c r="A91" s="1436">
        <v>44857</v>
      </c>
      <c r="B91" s="453" t="s">
        <v>17</v>
      </c>
      <c r="C91" s="709">
        <v>1</v>
      </c>
      <c r="D91" s="709">
        <v>1</v>
      </c>
      <c r="E91" s="709">
        <v>1</v>
      </c>
      <c r="F91" s="709">
        <v>1</v>
      </c>
      <c r="G91" s="1447" t="s">
        <v>4126</v>
      </c>
    </row>
    <row r="92" spans="1:7" ht="20.25" customHeight="1" thickBot="1" x14ac:dyDescent="0.3">
      <c r="A92" s="1437"/>
      <c r="B92" s="453" t="s">
        <v>102</v>
      </c>
      <c r="C92" s="731">
        <f t="shared" ref="C92:D92" si="22">24-C93-C94</f>
        <v>0</v>
      </c>
      <c r="D92" s="731">
        <f t="shared" si="22"/>
        <v>11.72</v>
      </c>
      <c r="E92" s="733">
        <f>24-E93-E94</f>
        <v>24</v>
      </c>
      <c r="F92" s="733">
        <f>24-F93-F94</f>
        <v>24</v>
      </c>
      <c r="G92" s="1448"/>
    </row>
    <row r="93" spans="1:7" ht="20.25" customHeight="1" thickBot="1" x14ac:dyDescent="0.3">
      <c r="A93" s="1437"/>
      <c r="B93" s="448" t="s">
        <v>103</v>
      </c>
      <c r="C93" s="731">
        <v>24</v>
      </c>
      <c r="D93" s="731">
        <v>12.28</v>
      </c>
      <c r="E93" s="731">
        <v>0</v>
      </c>
      <c r="F93" s="731">
        <v>0</v>
      </c>
      <c r="G93" s="1448"/>
    </row>
    <row r="94" spans="1:7" ht="20.25" customHeight="1" thickBot="1" x14ac:dyDescent="0.3">
      <c r="A94" s="1438"/>
      <c r="B94" s="457" t="s">
        <v>104</v>
      </c>
      <c r="C94" s="732">
        <v>0</v>
      </c>
      <c r="D94" s="732">
        <v>0</v>
      </c>
      <c r="E94" s="734">
        <v>0</v>
      </c>
      <c r="F94" s="734">
        <v>0</v>
      </c>
      <c r="G94" s="1449"/>
    </row>
    <row r="95" spans="1:7" ht="20.25" customHeight="1" thickBot="1" x14ac:dyDescent="0.3">
      <c r="A95" s="1436">
        <v>44858</v>
      </c>
      <c r="B95" s="453" t="s">
        <v>17</v>
      </c>
      <c r="C95" s="709">
        <v>1</v>
      </c>
      <c r="D95" s="709">
        <v>1</v>
      </c>
      <c r="E95" s="709">
        <v>1</v>
      </c>
      <c r="F95" s="709">
        <v>1</v>
      </c>
      <c r="G95" s="1447"/>
    </row>
    <row r="96" spans="1:7" ht="20.25" customHeight="1" thickBot="1" x14ac:dyDescent="0.3">
      <c r="A96" s="1437"/>
      <c r="B96" s="453" t="s">
        <v>102</v>
      </c>
      <c r="C96" s="731">
        <f t="shared" ref="C96:D96" si="23">24-C97-C98</f>
        <v>0</v>
      </c>
      <c r="D96" s="731">
        <f t="shared" si="23"/>
        <v>17.55</v>
      </c>
      <c r="E96" s="733">
        <f>24-E97-E98</f>
        <v>24</v>
      </c>
      <c r="F96" s="733">
        <f>24-F97-F98</f>
        <v>24</v>
      </c>
      <c r="G96" s="1448"/>
    </row>
    <row r="97" spans="1:7" ht="20.25" customHeight="1" thickBot="1" x14ac:dyDescent="0.3">
      <c r="A97" s="1437"/>
      <c r="B97" s="448" t="s">
        <v>103</v>
      </c>
      <c r="C97" s="731">
        <v>24</v>
      </c>
      <c r="D97" s="731">
        <v>6.45</v>
      </c>
      <c r="E97" s="731">
        <v>0</v>
      </c>
      <c r="F97" s="731">
        <v>0</v>
      </c>
      <c r="G97" s="1448"/>
    </row>
    <row r="98" spans="1:7" ht="20.25" customHeight="1" thickBot="1" x14ac:dyDescent="0.3">
      <c r="A98" s="1438"/>
      <c r="B98" s="457" t="s">
        <v>104</v>
      </c>
      <c r="C98" s="732">
        <v>0</v>
      </c>
      <c r="D98" s="732">
        <v>0</v>
      </c>
      <c r="E98" s="734">
        <v>0</v>
      </c>
      <c r="F98" s="734">
        <v>0</v>
      </c>
      <c r="G98" s="1449"/>
    </row>
    <row r="99" spans="1:7" ht="23.25" customHeight="1" thickBot="1" x14ac:dyDescent="0.3">
      <c r="A99" s="1436">
        <v>44859</v>
      </c>
      <c r="B99" s="453" t="s">
        <v>17</v>
      </c>
      <c r="C99" s="709">
        <v>1</v>
      </c>
      <c r="D99" s="709">
        <v>1</v>
      </c>
      <c r="E99" s="709">
        <v>1</v>
      </c>
      <c r="F99" s="709">
        <v>1</v>
      </c>
      <c r="G99" s="1447" t="s">
        <v>4140</v>
      </c>
    </row>
    <row r="100" spans="1:7" ht="23.25" customHeight="1" thickBot="1" x14ac:dyDescent="0.3">
      <c r="A100" s="1437"/>
      <c r="B100" s="453" t="s">
        <v>102</v>
      </c>
      <c r="C100" s="731">
        <f t="shared" ref="C100:D100" si="24">24-C101-C102</f>
        <v>6.1700000000000017</v>
      </c>
      <c r="D100" s="731">
        <f t="shared" si="24"/>
        <v>11.62</v>
      </c>
      <c r="E100" s="733">
        <f>24-E101-E102</f>
        <v>24</v>
      </c>
      <c r="F100" s="733">
        <f>24-F101-F102</f>
        <v>24</v>
      </c>
      <c r="G100" s="1448"/>
    </row>
    <row r="101" spans="1:7" ht="23.25" customHeight="1" thickBot="1" x14ac:dyDescent="0.3">
      <c r="A101" s="1437"/>
      <c r="B101" s="448" t="s">
        <v>103</v>
      </c>
      <c r="C101" s="731">
        <v>17.829999999999998</v>
      </c>
      <c r="D101" s="731">
        <v>12.38</v>
      </c>
      <c r="E101" s="731">
        <v>0</v>
      </c>
      <c r="F101" s="731">
        <v>0</v>
      </c>
      <c r="G101" s="1448"/>
    </row>
    <row r="102" spans="1:7" ht="23.25" customHeight="1" thickBot="1" x14ac:dyDescent="0.3">
      <c r="A102" s="1438"/>
      <c r="B102" s="457" t="s">
        <v>104</v>
      </c>
      <c r="C102" s="732">
        <v>0</v>
      </c>
      <c r="D102" s="732">
        <v>0</v>
      </c>
      <c r="E102" s="734">
        <v>0</v>
      </c>
      <c r="F102" s="734">
        <v>0</v>
      </c>
      <c r="G102" s="1449"/>
    </row>
    <row r="103" spans="1:7" ht="20.25" customHeight="1" thickBot="1" x14ac:dyDescent="0.3">
      <c r="A103" s="1436">
        <v>44860</v>
      </c>
      <c r="B103" s="453" t="s">
        <v>17</v>
      </c>
      <c r="C103" s="709">
        <v>1</v>
      </c>
      <c r="D103" s="709">
        <v>1</v>
      </c>
      <c r="E103" s="709">
        <v>1</v>
      </c>
      <c r="F103" s="709">
        <v>1</v>
      </c>
      <c r="G103" s="1447"/>
    </row>
    <row r="104" spans="1:7" ht="20.25" customHeight="1" thickBot="1" x14ac:dyDescent="0.3">
      <c r="A104" s="1437"/>
      <c r="B104" s="453" t="s">
        <v>102</v>
      </c>
      <c r="C104" s="731">
        <f t="shared" ref="C104:D104" si="25">24-C105-C106</f>
        <v>24</v>
      </c>
      <c r="D104" s="731">
        <f t="shared" si="25"/>
        <v>20.88</v>
      </c>
      <c r="E104" s="733">
        <f>24-E105-E106</f>
        <v>24</v>
      </c>
      <c r="F104" s="733">
        <f>24-F105-F106</f>
        <v>24</v>
      </c>
      <c r="G104" s="1448"/>
    </row>
    <row r="105" spans="1:7" ht="20.25" customHeight="1" thickBot="1" x14ac:dyDescent="0.3">
      <c r="A105" s="1437"/>
      <c r="B105" s="448" t="s">
        <v>103</v>
      </c>
      <c r="C105" s="731">
        <v>0</v>
      </c>
      <c r="D105" s="731">
        <v>3.12</v>
      </c>
      <c r="E105" s="731">
        <v>0</v>
      </c>
      <c r="F105" s="731">
        <v>0</v>
      </c>
      <c r="G105" s="1448"/>
    </row>
    <row r="106" spans="1:7" ht="20.25" customHeight="1" thickBot="1" x14ac:dyDescent="0.3">
      <c r="A106" s="1438"/>
      <c r="B106" s="457" t="s">
        <v>104</v>
      </c>
      <c r="C106" s="732">
        <v>0</v>
      </c>
      <c r="D106" s="732">
        <v>0</v>
      </c>
      <c r="E106" s="734">
        <v>0</v>
      </c>
      <c r="F106" s="734">
        <v>0</v>
      </c>
      <c r="G106" s="1449"/>
    </row>
    <row r="107" spans="1:7" ht="29.25" customHeight="1" thickBot="1" x14ac:dyDescent="0.3">
      <c r="A107" s="1436">
        <v>44861</v>
      </c>
      <c r="B107" s="453" t="s">
        <v>17</v>
      </c>
      <c r="C107" s="709">
        <v>1</v>
      </c>
      <c r="D107" s="709">
        <v>1</v>
      </c>
      <c r="E107" s="709">
        <v>1</v>
      </c>
      <c r="F107" s="709">
        <v>1</v>
      </c>
      <c r="G107" s="1447" t="s">
        <v>4158</v>
      </c>
    </row>
    <row r="108" spans="1:7" ht="29.25" customHeight="1" thickBot="1" x14ac:dyDescent="0.3">
      <c r="A108" s="1437"/>
      <c r="B108" s="453" t="s">
        <v>102</v>
      </c>
      <c r="C108" s="731">
        <f t="shared" ref="C108:D108" si="26">24-C109-C110</f>
        <v>23.1</v>
      </c>
      <c r="D108" s="731">
        <f t="shared" si="26"/>
        <v>15.6</v>
      </c>
      <c r="E108" s="733">
        <f>24-E109-E110</f>
        <v>24</v>
      </c>
      <c r="F108" s="733">
        <f>24-F109-F110</f>
        <v>24</v>
      </c>
      <c r="G108" s="1448"/>
    </row>
    <row r="109" spans="1:7" ht="29.25" customHeight="1" thickBot="1" x14ac:dyDescent="0.3">
      <c r="A109" s="1437"/>
      <c r="B109" s="448" t="s">
        <v>103</v>
      </c>
      <c r="C109" s="731">
        <v>0.9</v>
      </c>
      <c r="D109" s="731">
        <v>8.4</v>
      </c>
      <c r="E109" s="731">
        <v>0</v>
      </c>
      <c r="F109" s="731">
        <v>0</v>
      </c>
      <c r="G109" s="1448"/>
    </row>
    <row r="110" spans="1:7" ht="29.25" customHeight="1" thickBot="1" x14ac:dyDescent="0.3">
      <c r="A110" s="1438"/>
      <c r="B110" s="457" t="s">
        <v>104</v>
      </c>
      <c r="C110" s="732">
        <v>0</v>
      </c>
      <c r="D110" s="732">
        <v>0</v>
      </c>
      <c r="E110" s="734">
        <v>0</v>
      </c>
      <c r="F110" s="734">
        <v>0</v>
      </c>
      <c r="G110" s="1449"/>
    </row>
    <row r="111" spans="1:7" ht="20.25" customHeight="1" thickBot="1" x14ac:dyDescent="0.3">
      <c r="A111" s="1436">
        <v>44862</v>
      </c>
      <c r="B111" s="453" t="s">
        <v>17</v>
      </c>
      <c r="C111" s="709">
        <v>1</v>
      </c>
      <c r="D111" s="709">
        <v>1</v>
      </c>
      <c r="E111" s="709">
        <v>1</v>
      </c>
      <c r="F111" s="709">
        <v>1</v>
      </c>
      <c r="G111" s="1447" t="s">
        <v>4159</v>
      </c>
    </row>
    <row r="112" spans="1:7" ht="20.25" customHeight="1" thickBot="1" x14ac:dyDescent="0.3">
      <c r="A112" s="1437"/>
      <c r="B112" s="453" t="s">
        <v>102</v>
      </c>
      <c r="C112" s="731">
        <f t="shared" ref="C112:D112" si="27">24-C113-C114</f>
        <v>0</v>
      </c>
      <c r="D112" s="731">
        <f t="shared" si="27"/>
        <v>6</v>
      </c>
      <c r="E112" s="733">
        <f>24-E113-E114</f>
        <v>24</v>
      </c>
      <c r="F112" s="733">
        <f>24-F113-F114</f>
        <v>24</v>
      </c>
      <c r="G112" s="1448"/>
    </row>
    <row r="113" spans="1:7" ht="20.25" customHeight="1" thickBot="1" x14ac:dyDescent="0.3">
      <c r="A113" s="1437"/>
      <c r="B113" s="448" t="s">
        <v>103</v>
      </c>
      <c r="C113" s="731">
        <v>24</v>
      </c>
      <c r="D113" s="731">
        <v>18</v>
      </c>
      <c r="E113" s="731">
        <v>0</v>
      </c>
      <c r="F113" s="731">
        <v>0</v>
      </c>
      <c r="G113" s="1448"/>
    </row>
    <row r="114" spans="1:7" ht="20.25" customHeight="1" thickBot="1" x14ac:dyDescent="0.3">
      <c r="A114" s="1438"/>
      <c r="B114" s="457" t="s">
        <v>104</v>
      </c>
      <c r="C114" s="732">
        <v>0</v>
      </c>
      <c r="D114" s="732">
        <v>0</v>
      </c>
      <c r="E114" s="734">
        <v>0</v>
      </c>
      <c r="F114" s="734">
        <v>0</v>
      </c>
      <c r="G114" s="1449"/>
    </row>
    <row r="115" spans="1:7" ht="30.75" customHeight="1" thickBot="1" x14ac:dyDescent="0.3">
      <c r="A115" s="1436">
        <v>44863</v>
      </c>
      <c r="B115" s="453" t="s">
        <v>17</v>
      </c>
      <c r="C115" s="709">
        <v>1</v>
      </c>
      <c r="D115" s="709">
        <v>1</v>
      </c>
      <c r="E115" s="709">
        <v>1</v>
      </c>
      <c r="F115" s="709">
        <v>1</v>
      </c>
      <c r="G115" s="1447" t="s">
        <v>4167</v>
      </c>
    </row>
    <row r="116" spans="1:7" ht="20.25" customHeight="1" thickBot="1" x14ac:dyDescent="0.3">
      <c r="A116" s="1437"/>
      <c r="B116" s="453" t="s">
        <v>102</v>
      </c>
      <c r="C116" s="731">
        <f t="shared" ref="C116:D116" si="28">24-C117-C118</f>
        <v>0</v>
      </c>
      <c r="D116" s="731">
        <f t="shared" si="28"/>
        <v>14.6</v>
      </c>
      <c r="E116" s="733">
        <f>24-E117-E118</f>
        <v>24</v>
      </c>
      <c r="F116" s="733">
        <f>24-F117-F118</f>
        <v>24</v>
      </c>
      <c r="G116" s="1448"/>
    </row>
    <row r="117" spans="1:7" ht="20.25" customHeight="1" thickBot="1" x14ac:dyDescent="0.3">
      <c r="A117" s="1437"/>
      <c r="B117" s="448" t="s">
        <v>103</v>
      </c>
      <c r="C117" s="731">
        <v>24</v>
      </c>
      <c r="D117" s="731">
        <v>9.4</v>
      </c>
      <c r="E117" s="731">
        <v>0</v>
      </c>
      <c r="F117" s="731">
        <v>0</v>
      </c>
      <c r="G117" s="1448"/>
    </row>
    <row r="118" spans="1:7" ht="20.25" customHeight="1" thickBot="1" x14ac:dyDescent="0.3">
      <c r="A118" s="1438"/>
      <c r="B118" s="457" t="s">
        <v>104</v>
      </c>
      <c r="C118" s="732">
        <v>0</v>
      </c>
      <c r="D118" s="732">
        <v>0</v>
      </c>
      <c r="E118" s="734">
        <v>0</v>
      </c>
      <c r="F118" s="734">
        <v>0</v>
      </c>
      <c r="G118" s="1449"/>
    </row>
    <row r="119" spans="1:7" ht="20.25" customHeight="1" thickBot="1" x14ac:dyDescent="0.3">
      <c r="A119" s="1436">
        <v>44864</v>
      </c>
      <c r="B119" s="453" t="s">
        <v>17</v>
      </c>
      <c r="C119" s="709">
        <v>1</v>
      </c>
      <c r="D119" s="709">
        <v>1</v>
      </c>
      <c r="E119" s="709">
        <v>1</v>
      </c>
      <c r="F119" s="709">
        <v>1</v>
      </c>
      <c r="G119" s="1447"/>
    </row>
    <row r="120" spans="1:7" ht="20.25" customHeight="1" thickBot="1" x14ac:dyDescent="0.3">
      <c r="A120" s="1437"/>
      <c r="B120" s="453" t="s">
        <v>102</v>
      </c>
      <c r="C120" s="731">
        <f t="shared" ref="C120:D120" si="29">24-C121-C122</f>
        <v>0</v>
      </c>
      <c r="D120" s="731">
        <f t="shared" si="29"/>
        <v>24</v>
      </c>
      <c r="E120" s="733">
        <f>24-E121-E122</f>
        <v>24</v>
      </c>
      <c r="F120" s="733">
        <f>24-F121-F122</f>
        <v>24</v>
      </c>
      <c r="G120" s="1448"/>
    </row>
    <row r="121" spans="1:7" ht="20.25" customHeight="1" thickBot="1" x14ac:dyDescent="0.3">
      <c r="A121" s="1437"/>
      <c r="B121" s="448" t="s">
        <v>103</v>
      </c>
      <c r="C121" s="731">
        <v>24</v>
      </c>
      <c r="D121" s="731">
        <v>0</v>
      </c>
      <c r="E121" s="731">
        <v>0</v>
      </c>
      <c r="F121" s="731">
        <v>0</v>
      </c>
      <c r="G121" s="1448"/>
    </row>
    <row r="122" spans="1:7" ht="20.25" customHeight="1" thickBot="1" x14ac:dyDescent="0.3">
      <c r="A122" s="1438"/>
      <c r="B122" s="457" t="s">
        <v>104</v>
      </c>
      <c r="C122" s="732">
        <v>0</v>
      </c>
      <c r="D122" s="732">
        <v>0</v>
      </c>
      <c r="E122" s="734">
        <v>0</v>
      </c>
      <c r="F122" s="734">
        <v>0</v>
      </c>
      <c r="G122" s="1449"/>
    </row>
    <row r="123" spans="1:7" ht="20.25" customHeight="1" thickBot="1" x14ac:dyDescent="0.3">
      <c r="A123" s="1436">
        <v>44865</v>
      </c>
      <c r="B123" s="453" t="s">
        <v>17</v>
      </c>
      <c r="C123" s="709">
        <v>1</v>
      </c>
      <c r="D123" s="709">
        <v>1</v>
      </c>
      <c r="E123" s="709">
        <v>1</v>
      </c>
      <c r="F123" s="709">
        <v>1</v>
      </c>
      <c r="G123" s="1417" t="s">
        <v>4174</v>
      </c>
    </row>
    <row r="124" spans="1:7" ht="20.25" customHeight="1" thickBot="1" x14ac:dyDescent="0.3">
      <c r="A124" s="1437"/>
      <c r="B124" s="453" t="s">
        <v>102</v>
      </c>
      <c r="C124" s="731">
        <f t="shared" ref="C124:D124" si="30">24-C125-C126</f>
        <v>0</v>
      </c>
      <c r="D124" s="731">
        <f t="shared" si="30"/>
        <v>9.33</v>
      </c>
      <c r="E124" s="733">
        <f>24-E125-E126</f>
        <v>24</v>
      </c>
      <c r="F124" s="733">
        <f>24-F125-F126</f>
        <v>24</v>
      </c>
      <c r="G124" s="1418"/>
    </row>
    <row r="125" spans="1:7" ht="20.25" customHeight="1" thickBot="1" x14ac:dyDescent="0.3">
      <c r="A125" s="1437"/>
      <c r="B125" s="448" t="s">
        <v>103</v>
      </c>
      <c r="C125" s="731">
        <v>24</v>
      </c>
      <c r="D125" s="731">
        <v>14.67</v>
      </c>
      <c r="E125" s="731">
        <v>0</v>
      </c>
      <c r="F125" s="731">
        <v>0</v>
      </c>
      <c r="G125" s="1418"/>
    </row>
    <row r="126" spans="1:7" ht="20.25" customHeight="1" thickBot="1" x14ac:dyDescent="0.3">
      <c r="A126" s="1438"/>
      <c r="B126" s="457" t="s">
        <v>104</v>
      </c>
      <c r="C126" s="732">
        <v>0</v>
      </c>
      <c r="D126" s="732">
        <v>0</v>
      </c>
      <c r="E126" s="734">
        <v>0</v>
      </c>
      <c r="F126" s="734">
        <v>0</v>
      </c>
      <c r="G126" s="1423"/>
    </row>
    <row r="127" spans="1:7" x14ac:dyDescent="0.25">
      <c r="A127" s="464" t="s">
        <v>3943</v>
      </c>
      <c r="B127" s="465"/>
      <c r="C127" s="466">
        <f>SUM(C112,C108,C104,C100,C96,C92,C88,C84,C80,C76,C72,C68,C64,C60,C56,C52,C48,C44,C40,C36,C32,C28,C24,C20,C16,C12,C8,C4,C116,C120,C124)</f>
        <v>161.96000000000004</v>
      </c>
      <c r="D127" s="466">
        <f>SUM(D112,D108,D104,D100,D96,D92,D88,D84,D80,D76,D72,D68,D64,D60,D56,D52,D48,D44,D40,D36,D32,D28,D24,D20,D16,D12,D8,D4,D116,D120,D124)</f>
        <v>469.31</v>
      </c>
      <c r="E127" s="466">
        <f t="shared" ref="E127:F128" si="31">SUM(E112,E108,E104,E100,E96,E92,E88,E84,E80,E76,E72,E68,E64,E60,E56,E52,E48,E44,E40,E36,E32,E28,E24,E20,E16,E12,E8,E4,E116,E120,E124)</f>
        <v>744</v>
      </c>
      <c r="F127" s="466">
        <f t="shared" si="31"/>
        <v>744</v>
      </c>
      <c r="G127" s="468"/>
    </row>
    <row r="128" spans="1:7" x14ac:dyDescent="0.25">
      <c r="A128" s="982" t="s">
        <v>3944</v>
      </c>
      <c r="B128" s="134"/>
      <c r="C128" s="469">
        <f>SUM(C113,C109,C105,C101,C97,C93,C89,C85,C81,C77,C73,C69,C65,C61,C57,C53,C49,C45,C41,C37,C33,C29,C25,C21,C17,C13,C9,C5,C117,C121,C125)</f>
        <v>582.04</v>
      </c>
      <c r="D128" s="469">
        <f>SUM(D113,D109,D105,D101,D97,D93,D89,D85,D81,D77,D73,D69,D65,D61,D57,D53,D49,D45,D41,D37,D33,D29,D25,D21,D17,D13,D9,D5,D117,D121,D125)</f>
        <v>274.69000000000005</v>
      </c>
      <c r="E128" s="469">
        <f t="shared" si="31"/>
        <v>0</v>
      </c>
      <c r="F128" s="469">
        <f t="shared" si="31"/>
        <v>0</v>
      </c>
      <c r="G128" s="471"/>
    </row>
    <row r="129" spans="1:7" ht="15.75" thickBot="1" x14ac:dyDescent="0.3">
      <c r="A129" s="983" t="s">
        <v>3945</v>
      </c>
      <c r="B129" s="472"/>
      <c r="C129" s="473">
        <f>SUM(C114,C110,C106,C102,C98,C94,C90,C86,C82,C78,C74,C70,C66,C62,C58,C54,C50,C46,C42,C38,C34,C30,C26,C22,C18,C14,C10,C6,C118,C122,C126)</f>
        <v>0</v>
      </c>
      <c r="D129" s="473">
        <f t="shared" ref="D129:F129" si="32">SUM(D114,D110,D106,D102,D98,D94,D90,D86,D82,D78,D74,D70,D66,D62,D58,D54,D50,D46,D42,D38,D34,D30,D26,D22,D18,D14,D10,D6,D118,D122,D126)</f>
        <v>0</v>
      </c>
      <c r="E129" s="473">
        <f t="shared" si="32"/>
        <v>0</v>
      </c>
      <c r="F129" s="473">
        <f t="shared" si="32"/>
        <v>0</v>
      </c>
      <c r="G129" s="475"/>
    </row>
    <row r="130" spans="1:7" ht="15.75" thickBot="1" x14ac:dyDescent="0.3">
      <c r="A130" s="1450" t="s">
        <v>108</v>
      </c>
      <c r="B130" s="1451"/>
      <c r="C130" s="1451"/>
      <c r="D130" s="1451"/>
      <c r="E130" s="1451"/>
      <c r="F130" s="1451"/>
      <c r="G130" s="1452"/>
    </row>
  </sheetData>
  <mergeCells count="63">
    <mergeCell ref="A130:G130"/>
    <mergeCell ref="G7:G10"/>
    <mergeCell ref="G11:G14"/>
    <mergeCell ref="G19:G22"/>
    <mergeCell ref="G23:G26"/>
    <mergeCell ref="G31:G34"/>
    <mergeCell ref="G35:G38"/>
    <mergeCell ref="G55:G58"/>
    <mergeCell ref="G47:G50"/>
    <mergeCell ref="G71:G74"/>
    <mergeCell ref="A115:A118"/>
    <mergeCell ref="G115:G118"/>
    <mergeCell ref="A119:A122"/>
    <mergeCell ref="G119:G122"/>
    <mergeCell ref="A123:A126"/>
    <mergeCell ref="G123:G126"/>
    <mergeCell ref="A103:A106"/>
    <mergeCell ref="G103:G106"/>
    <mergeCell ref="A107:A110"/>
    <mergeCell ref="G107:G110"/>
    <mergeCell ref="A111:A114"/>
    <mergeCell ref="G111:G114"/>
    <mergeCell ref="A91:A94"/>
    <mergeCell ref="G91:G94"/>
    <mergeCell ref="A95:A98"/>
    <mergeCell ref="G95:G98"/>
    <mergeCell ref="A99:A102"/>
    <mergeCell ref="G99:G102"/>
    <mergeCell ref="A79:A82"/>
    <mergeCell ref="G79:G82"/>
    <mergeCell ref="A83:A86"/>
    <mergeCell ref="A87:A90"/>
    <mergeCell ref="G83:G90"/>
    <mergeCell ref="A75:A78"/>
    <mergeCell ref="G75:G78"/>
    <mergeCell ref="A47:A50"/>
    <mergeCell ref="A51:A54"/>
    <mergeCell ref="A55:A58"/>
    <mergeCell ref="G51:G54"/>
    <mergeCell ref="A59:A62"/>
    <mergeCell ref="G59:G62"/>
    <mergeCell ref="A63:A66"/>
    <mergeCell ref="G63:G66"/>
    <mergeCell ref="A67:A70"/>
    <mergeCell ref="G67:G70"/>
    <mergeCell ref="A71:A74"/>
    <mergeCell ref="A31:A34"/>
    <mergeCell ref="A35:A38"/>
    <mergeCell ref="A39:A42"/>
    <mergeCell ref="G39:G42"/>
    <mergeCell ref="A43:A46"/>
    <mergeCell ref="G43:G46"/>
    <mergeCell ref="A15:A18"/>
    <mergeCell ref="G15:G18"/>
    <mergeCell ref="A19:A22"/>
    <mergeCell ref="A23:A26"/>
    <mergeCell ref="A27:A30"/>
    <mergeCell ref="G27:G30"/>
    <mergeCell ref="A1:G1"/>
    <mergeCell ref="A3:A6"/>
    <mergeCell ref="G3:G6"/>
    <mergeCell ref="A7:A10"/>
    <mergeCell ref="A11:A14"/>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G130"/>
  <sheetViews>
    <sheetView topLeftCell="A111" workbookViewId="0">
      <selection activeCell="F122" sqref="F122"/>
    </sheetView>
  </sheetViews>
  <sheetFormatPr defaultRowHeight="15" x14ac:dyDescent="0.25"/>
  <cols>
    <col min="1" max="1" width="20" customWidth="1"/>
    <col min="2" max="2" width="31.85546875" customWidth="1"/>
    <col min="7" max="7" width="67.85546875" customWidth="1"/>
  </cols>
  <sheetData>
    <row r="1" spans="1:7" ht="21.75" thickBot="1" x14ac:dyDescent="0.4">
      <c r="A1" s="1443" t="s">
        <v>73</v>
      </c>
      <c r="B1" s="1443"/>
      <c r="C1" s="1443"/>
      <c r="D1" s="1443"/>
      <c r="E1" s="1443"/>
      <c r="F1" s="1461"/>
      <c r="G1" s="1443"/>
    </row>
    <row r="2" spans="1:7" ht="16.5" thickBot="1" x14ac:dyDescent="0.3">
      <c r="A2" s="108" t="s">
        <v>98</v>
      </c>
      <c r="B2" s="608"/>
      <c r="C2" s="607" t="s">
        <v>310</v>
      </c>
      <c r="D2" s="607" t="s">
        <v>239</v>
      </c>
      <c r="E2" s="447" t="s">
        <v>100</v>
      </c>
      <c r="F2" s="1057" t="s">
        <v>157</v>
      </c>
      <c r="G2" s="111" t="s">
        <v>101</v>
      </c>
    </row>
    <row r="3" spans="1:7" ht="31.5" customHeight="1" thickBot="1" x14ac:dyDescent="0.3">
      <c r="A3" s="1436">
        <v>44866</v>
      </c>
      <c r="B3" s="453" t="s">
        <v>17</v>
      </c>
      <c r="C3" s="709">
        <v>1</v>
      </c>
      <c r="D3" s="709">
        <v>1</v>
      </c>
      <c r="E3" s="709">
        <v>1</v>
      </c>
      <c r="F3" s="709">
        <v>1</v>
      </c>
      <c r="G3" s="1453" t="s">
        <v>4183</v>
      </c>
    </row>
    <row r="4" spans="1:7" ht="31.5" customHeight="1" thickBot="1" x14ac:dyDescent="0.3">
      <c r="A4" s="1437"/>
      <c r="B4" s="453" t="s">
        <v>102</v>
      </c>
      <c r="C4" s="731">
        <f t="shared" ref="C4:D4" si="0">24-C5-C6</f>
        <v>0</v>
      </c>
      <c r="D4" s="731">
        <f t="shared" si="0"/>
        <v>24</v>
      </c>
      <c r="E4" s="733">
        <f>24-E5-E6</f>
        <v>24</v>
      </c>
      <c r="F4" s="733">
        <f>24-F5-F6</f>
        <v>14.35</v>
      </c>
      <c r="G4" s="1418"/>
    </row>
    <row r="5" spans="1:7" ht="31.5" customHeight="1" thickBot="1" x14ac:dyDescent="0.3">
      <c r="A5" s="1437"/>
      <c r="B5" s="448" t="s">
        <v>103</v>
      </c>
      <c r="C5" s="731">
        <v>24</v>
      </c>
      <c r="D5" s="731">
        <v>0</v>
      </c>
      <c r="E5" s="731">
        <v>0</v>
      </c>
      <c r="F5" s="731">
        <v>9.65</v>
      </c>
      <c r="G5" s="1418"/>
    </row>
    <row r="6" spans="1:7" ht="31.5" customHeight="1" thickBot="1" x14ac:dyDescent="0.3">
      <c r="A6" s="1438"/>
      <c r="B6" s="457" t="s">
        <v>104</v>
      </c>
      <c r="C6" s="732">
        <v>0</v>
      </c>
      <c r="D6" s="732">
        <v>0</v>
      </c>
      <c r="E6" s="734">
        <v>0</v>
      </c>
      <c r="F6" s="734">
        <v>0</v>
      </c>
      <c r="G6" s="1423"/>
    </row>
    <row r="7" spans="1:7" ht="15.75" thickBot="1" x14ac:dyDescent="0.3">
      <c r="A7" s="1436">
        <v>44867</v>
      </c>
      <c r="B7" s="453" t="s">
        <v>17</v>
      </c>
      <c r="C7" s="709">
        <v>1</v>
      </c>
      <c r="D7" s="709">
        <v>1</v>
      </c>
      <c r="E7" s="709">
        <v>1</v>
      </c>
      <c r="F7" s="709">
        <v>1</v>
      </c>
      <c r="G7" s="1453" t="s">
        <v>4420</v>
      </c>
    </row>
    <row r="8" spans="1:7" ht="15.75" thickBot="1" x14ac:dyDescent="0.3">
      <c r="A8" s="1437"/>
      <c r="B8" s="453" t="s">
        <v>102</v>
      </c>
      <c r="C8" s="731">
        <f t="shared" ref="C8:D8" si="1">24-C9-C10</f>
        <v>0</v>
      </c>
      <c r="D8" s="731">
        <f t="shared" si="1"/>
        <v>18.03</v>
      </c>
      <c r="E8" s="733">
        <f>24-E9-E10</f>
        <v>24</v>
      </c>
      <c r="F8" s="733">
        <f>24-F9-F10</f>
        <v>0</v>
      </c>
      <c r="G8" s="1418"/>
    </row>
    <row r="9" spans="1:7" ht="15.75" thickBot="1" x14ac:dyDescent="0.3">
      <c r="A9" s="1437"/>
      <c r="B9" s="448" t="s">
        <v>103</v>
      </c>
      <c r="C9" s="731">
        <v>24</v>
      </c>
      <c r="D9" s="731">
        <v>5.97</v>
      </c>
      <c r="E9" s="731">
        <v>0</v>
      </c>
      <c r="F9" s="731">
        <v>24</v>
      </c>
      <c r="G9" s="1418"/>
    </row>
    <row r="10" spans="1:7" ht="15.75" thickBot="1" x14ac:dyDescent="0.3">
      <c r="A10" s="1438"/>
      <c r="B10" s="457" t="s">
        <v>104</v>
      </c>
      <c r="C10" s="732">
        <v>0</v>
      </c>
      <c r="D10" s="732">
        <v>0</v>
      </c>
      <c r="E10" s="734">
        <v>0</v>
      </c>
      <c r="F10" s="734">
        <v>0</v>
      </c>
      <c r="G10" s="1423"/>
    </row>
    <row r="11" spans="1:7" ht="45.75" customHeight="1" thickBot="1" x14ac:dyDescent="0.3">
      <c r="A11" s="1436">
        <v>44868</v>
      </c>
      <c r="B11" s="453" t="s">
        <v>17</v>
      </c>
      <c r="C11" s="709">
        <v>1</v>
      </c>
      <c r="D11" s="709">
        <v>1</v>
      </c>
      <c r="E11" s="709">
        <v>1</v>
      </c>
      <c r="F11" s="709">
        <v>1</v>
      </c>
      <c r="G11" s="1453" t="s">
        <v>4421</v>
      </c>
    </row>
    <row r="12" spans="1:7" ht="45.75" customHeight="1" thickBot="1" x14ac:dyDescent="0.3">
      <c r="A12" s="1437"/>
      <c r="B12" s="453" t="s">
        <v>102</v>
      </c>
      <c r="C12" s="731">
        <f t="shared" ref="C12:D12" si="2">24-C13-C14</f>
        <v>0</v>
      </c>
      <c r="D12" s="731">
        <f t="shared" si="2"/>
        <v>9.61</v>
      </c>
      <c r="E12" s="733">
        <f>24-E13-E14</f>
        <v>22.38</v>
      </c>
      <c r="F12" s="733">
        <f>24-F13-F14</f>
        <v>21.08</v>
      </c>
      <c r="G12" s="1418"/>
    </row>
    <row r="13" spans="1:7" ht="45.75" customHeight="1" thickBot="1" x14ac:dyDescent="0.3">
      <c r="A13" s="1437"/>
      <c r="B13" s="448" t="s">
        <v>103</v>
      </c>
      <c r="C13" s="731">
        <v>24</v>
      </c>
      <c r="D13" s="731">
        <v>14.39</v>
      </c>
      <c r="E13" s="731">
        <v>1.62</v>
      </c>
      <c r="F13" s="731">
        <v>2.92</v>
      </c>
      <c r="G13" s="1418"/>
    </row>
    <row r="14" spans="1:7" ht="45.75" customHeight="1" thickBot="1" x14ac:dyDescent="0.3">
      <c r="A14" s="1438"/>
      <c r="B14" s="457" t="s">
        <v>104</v>
      </c>
      <c r="C14" s="732">
        <v>0</v>
      </c>
      <c r="D14" s="732">
        <v>0</v>
      </c>
      <c r="E14" s="734">
        <v>0</v>
      </c>
      <c r="F14" s="734">
        <v>0</v>
      </c>
      <c r="G14" s="1423"/>
    </row>
    <row r="15" spans="1:7" ht="25.5" customHeight="1" thickBot="1" x14ac:dyDescent="0.3">
      <c r="A15" s="1436">
        <v>44869</v>
      </c>
      <c r="B15" s="453" t="s">
        <v>17</v>
      </c>
      <c r="C15" s="709">
        <v>1</v>
      </c>
      <c r="D15" s="709">
        <v>1</v>
      </c>
      <c r="E15" s="709">
        <v>1</v>
      </c>
      <c r="F15" s="709">
        <v>1</v>
      </c>
      <c r="G15" s="1453" t="s">
        <v>4422</v>
      </c>
    </row>
    <row r="16" spans="1:7" ht="25.5" customHeight="1" thickBot="1" x14ac:dyDescent="0.3">
      <c r="A16" s="1437"/>
      <c r="B16" s="453" t="s">
        <v>102</v>
      </c>
      <c r="C16" s="731">
        <f t="shared" ref="C16:D16" si="3">24-C17-C18</f>
        <v>16.899999999999999</v>
      </c>
      <c r="D16" s="731">
        <f t="shared" si="3"/>
        <v>5.3000000000000007</v>
      </c>
      <c r="E16" s="733">
        <f>24-E17-E18</f>
        <v>24</v>
      </c>
      <c r="F16" s="733">
        <f>24-F17-F18</f>
        <v>24</v>
      </c>
      <c r="G16" s="1418"/>
    </row>
    <row r="17" spans="1:7" ht="25.5" customHeight="1" thickBot="1" x14ac:dyDescent="0.3">
      <c r="A17" s="1437"/>
      <c r="B17" s="448" t="s">
        <v>103</v>
      </c>
      <c r="C17" s="731">
        <v>7.1</v>
      </c>
      <c r="D17" s="731">
        <v>18.7</v>
      </c>
      <c r="E17" s="731">
        <v>0</v>
      </c>
      <c r="F17" s="731">
        <v>0</v>
      </c>
      <c r="G17" s="1418"/>
    </row>
    <row r="18" spans="1:7" ht="25.5" customHeight="1" thickBot="1" x14ac:dyDescent="0.3">
      <c r="A18" s="1438"/>
      <c r="B18" s="457" t="s">
        <v>104</v>
      </c>
      <c r="C18" s="732">
        <v>0</v>
      </c>
      <c r="D18" s="732">
        <v>0</v>
      </c>
      <c r="E18" s="734">
        <v>0</v>
      </c>
      <c r="F18" s="734">
        <v>0</v>
      </c>
      <c r="G18" s="1423"/>
    </row>
    <row r="19" spans="1:7" ht="15.75" thickBot="1" x14ac:dyDescent="0.3">
      <c r="A19" s="1436">
        <v>44870</v>
      </c>
      <c r="B19" s="453" t="s">
        <v>17</v>
      </c>
      <c r="C19" s="709">
        <v>1</v>
      </c>
      <c r="D19" s="709">
        <v>1</v>
      </c>
      <c r="E19" s="709">
        <v>1</v>
      </c>
      <c r="F19" s="709">
        <v>1</v>
      </c>
      <c r="G19" s="1417"/>
    </row>
    <row r="20" spans="1:7" ht="15.75" thickBot="1" x14ac:dyDescent="0.3">
      <c r="A20" s="1437"/>
      <c r="B20" s="453" t="s">
        <v>102</v>
      </c>
      <c r="C20" s="731">
        <f t="shared" ref="C20:D20" si="4">24-C21-C22</f>
        <v>24</v>
      </c>
      <c r="D20" s="731">
        <f t="shared" si="4"/>
        <v>24</v>
      </c>
      <c r="E20" s="733">
        <f>24-E21-E22</f>
        <v>24</v>
      </c>
      <c r="F20" s="733">
        <f>24-F21-F22</f>
        <v>24</v>
      </c>
      <c r="G20" s="1418"/>
    </row>
    <row r="21" spans="1:7" ht="15.75" thickBot="1" x14ac:dyDescent="0.3">
      <c r="A21" s="1437"/>
      <c r="B21" s="448" t="s">
        <v>103</v>
      </c>
      <c r="C21" s="731">
        <v>0</v>
      </c>
      <c r="D21" s="731">
        <v>0</v>
      </c>
      <c r="E21" s="731">
        <v>0</v>
      </c>
      <c r="F21" s="731">
        <v>0</v>
      </c>
      <c r="G21" s="1418"/>
    </row>
    <row r="22" spans="1:7" ht="15.75" thickBot="1" x14ac:dyDescent="0.3">
      <c r="A22" s="1438"/>
      <c r="B22" s="457" t="s">
        <v>104</v>
      </c>
      <c r="C22" s="732">
        <v>0</v>
      </c>
      <c r="D22" s="732">
        <v>0</v>
      </c>
      <c r="E22" s="734">
        <v>0</v>
      </c>
      <c r="F22" s="734">
        <v>0</v>
      </c>
      <c r="G22" s="1418"/>
    </row>
    <row r="23" spans="1:7" ht="23.25" customHeight="1" thickBot="1" x14ac:dyDescent="0.3">
      <c r="A23" s="1436">
        <v>44871</v>
      </c>
      <c r="B23" s="453" t="s">
        <v>17</v>
      </c>
      <c r="C23" s="709">
        <v>1</v>
      </c>
      <c r="D23" s="709">
        <v>1</v>
      </c>
      <c r="E23" s="709">
        <v>1</v>
      </c>
      <c r="F23" s="709">
        <v>1</v>
      </c>
      <c r="G23" s="1453" t="s">
        <v>4423</v>
      </c>
    </row>
    <row r="24" spans="1:7" ht="23.25" customHeight="1" thickBot="1" x14ac:dyDescent="0.3">
      <c r="A24" s="1437"/>
      <c r="B24" s="453" t="s">
        <v>102</v>
      </c>
      <c r="C24" s="731">
        <f t="shared" ref="C24:D24" si="5">24-C25-C26</f>
        <v>22.5</v>
      </c>
      <c r="D24" s="731">
        <f t="shared" si="5"/>
        <v>9.8000000000000007</v>
      </c>
      <c r="E24" s="733">
        <f>24-E25-E26</f>
        <v>24</v>
      </c>
      <c r="F24" s="733">
        <f>24-F25-F26</f>
        <v>24</v>
      </c>
      <c r="G24" s="1418"/>
    </row>
    <row r="25" spans="1:7" ht="23.25" customHeight="1" thickBot="1" x14ac:dyDescent="0.3">
      <c r="A25" s="1437"/>
      <c r="B25" s="448" t="s">
        <v>103</v>
      </c>
      <c r="C25" s="731">
        <v>1.5</v>
      </c>
      <c r="D25" s="731">
        <v>14.2</v>
      </c>
      <c r="E25" s="731">
        <v>0</v>
      </c>
      <c r="F25" s="731">
        <v>0</v>
      </c>
      <c r="G25" s="1418"/>
    </row>
    <row r="26" spans="1:7" ht="23.25" customHeight="1" thickBot="1" x14ac:dyDescent="0.3">
      <c r="A26" s="1438"/>
      <c r="B26" s="457" t="s">
        <v>104</v>
      </c>
      <c r="C26" s="732">
        <v>0</v>
      </c>
      <c r="D26" s="732">
        <v>0</v>
      </c>
      <c r="E26" s="734">
        <v>0</v>
      </c>
      <c r="F26" s="734">
        <v>0</v>
      </c>
      <c r="G26" s="1418"/>
    </row>
    <row r="27" spans="1:7" ht="15.75" thickBot="1" x14ac:dyDescent="0.3">
      <c r="A27" s="1436">
        <v>44872</v>
      </c>
      <c r="B27" s="453" t="s">
        <v>17</v>
      </c>
      <c r="C27" s="709">
        <v>1</v>
      </c>
      <c r="D27" s="709">
        <v>1</v>
      </c>
      <c r="E27" s="709">
        <v>1</v>
      </c>
      <c r="F27" s="709">
        <v>1</v>
      </c>
      <c r="G27" s="1417"/>
    </row>
    <row r="28" spans="1:7" ht="15.75" thickBot="1" x14ac:dyDescent="0.3">
      <c r="A28" s="1437"/>
      <c r="B28" s="453" t="s">
        <v>102</v>
      </c>
      <c r="C28" s="731">
        <f t="shared" ref="C28:D28" si="6">24-C29-C30</f>
        <v>0</v>
      </c>
      <c r="D28" s="731">
        <f t="shared" si="6"/>
        <v>20.8</v>
      </c>
      <c r="E28" s="733">
        <f>24-E29-E30</f>
        <v>24</v>
      </c>
      <c r="F28" s="733">
        <f>24-F29-F30</f>
        <v>24</v>
      </c>
      <c r="G28" s="1418"/>
    </row>
    <row r="29" spans="1:7" ht="15.75" thickBot="1" x14ac:dyDescent="0.3">
      <c r="A29" s="1437"/>
      <c r="B29" s="448" t="s">
        <v>103</v>
      </c>
      <c r="C29" s="731">
        <v>24</v>
      </c>
      <c r="D29" s="731">
        <v>3.2</v>
      </c>
      <c r="E29" s="731">
        <v>0</v>
      </c>
      <c r="F29" s="731">
        <v>0</v>
      </c>
      <c r="G29" s="1418"/>
    </row>
    <row r="30" spans="1:7" ht="15.75" thickBot="1" x14ac:dyDescent="0.3">
      <c r="A30" s="1438"/>
      <c r="B30" s="457" t="s">
        <v>104</v>
      </c>
      <c r="C30" s="732">
        <v>0</v>
      </c>
      <c r="D30" s="732">
        <v>0</v>
      </c>
      <c r="E30" s="734">
        <v>0</v>
      </c>
      <c r="F30" s="734">
        <v>0</v>
      </c>
      <c r="G30" s="1418"/>
    </row>
    <row r="31" spans="1:7" ht="15" customHeight="1" thickBot="1" x14ac:dyDescent="0.3">
      <c r="A31" s="1436">
        <v>44873</v>
      </c>
      <c r="B31" s="453" t="s">
        <v>17</v>
      </c>
      <c r="C31" s="709">
        <v>1</v>
      </c>
      <c r="D31" s="709">
        <v>1</v>
      </c>
      <c r="E31" s="709">
        <v>1</v>
      </c>
      <c r="F31" s="709">
        <v>1</v>
      </c>
      <c r="G31" s="1453" t="s">
        <v>4424</v>
      </c>
    </row>
    <row r="32" spans="1:7" ht="15" customHeight="1" thickBot="1" x14ac:dyDescent="0.3">
      <c r="A32" s="1437"/>
      <c r="B32" s="453" t="s">
        <v>102</v>
      </c>
      <c r="C32" s="731">
        <f t="shared" ref="C32:D32" si="7">24-C33-C34</f>
        <v>0</v>
      </c>
      <c r="D32" s="731">
        <f t="shared" si="7"/>
        <v>18.28</v>
      </c>
      <c r="E32" s="733">
        <f>24-E33-E34</f>
        <v>24</v>
      </c>
      <c r="F32" s="733">
        <f>24-F33-F34</f>
        <v>24</v>
      </c>
      <c r="G32" s="1418"/>
    </row>
    <row r="33" spans="1:7" ht="15" customHeight="1" thickBot="1" x14ac:dyDescent="0.3">
      <c r="A33" s="1437"/>
      <c r="B33" s="448" t="s">
        <v>103</v>
      </c>
      <c r="C33" s="731">
        <v>24</v>
      </c>
      <c r="D33" s="731">
        <v>5.72</v>
      </c>
      <c r="E33" s="731">
        <v>0</v>
      </c>
      <c r="F33" s="731">
        <v>0</v>
      </c>
      <c r="G33" s="1418"/>
    </row>
    <row r="34" spans="1:7" ht="15" customHeight="1" thickBot="1" x14ac:dyDescent="0.3">
      <c r="A34" s="1438"/>
      <c r="B34" s="457" t="s">
        <v>104</v>
      </c>
      <c r="C34" s="732">
        <v>0</v>
      </c>
      <c r="D34" s="732">
        <v>0</v>
      </c>
      <c r="E34" s="734">
        <v>0</v>
      </c>
      <c r="F34" s="734">
        <v>0</v>
      </c>
      <c r="G34" s="1423"/>
    </row>
    <row r="35" spans="1:7" ht="18" customHeight="1" thickBot="1" x14ac:dyDescent="0.3">
      <c r="A35" s="1436">
        <v>44874</v>
      </c>
      <c r="B35" s="453" t="s">
        <v>17</v>
      </c>
      <c r="C35" s="709">
        <v>1</v>
      </c>
      <c r="D35" s="709">
        <v>1</v>
      </c>
      <c r="E35" s="709">
        <v>1</v>
      </c>
      <c r="F35" s="709">
        <v>1</v>
      </c>
      <c r="G35" s="1453" t="s">
        <v>4246</v>
      </c>
    </row>
    <row r="36" spans="1:7" ht="18" customHeight="1" thickBot="1" x14ac:dyDescent="0.3">
      <c r="A36" s="1437"/>
      <c r="B36" s="453" t="s">
        <v>102</v>
      </c>
      <c r="C36" s="731">
        <f t="shared" ref="C36:D36" si="8">24-C37-C38</f>
        <v>0</v>
      </c>
      <c r="D36" s="731">
        <f t="shared" si="8"/>
        <v>5.4699999999999989</v>
      </c>
      <c r="E36" s="733">
        <f>24-E37-E38</f>
        <v>24</v>
      </c>
      <c r="F36" s="733">
        <f>24-F37-F38</f>
        <v>24</v>
      </c>
      <c r="G36" s="1418"/>
    </row>
    <row r="37" spans="1:7" ht="18" customHeight="1" thickBot="1" x14ac:dyDescent="0.3">
      <c r="A37" s="1437"/>
      <c r="B37" s="448" t="s">
        <v>103</v>
      </c>
      <c r="C37" s="731">
        <v>24</v>
      </c>
      <c r="D37" s="731">
        <v>18.53</v>
      </c>
      <c r="E37" s="731">
        <v>0</v>
      </c>
      <c r="F37" s="731">
        <v>0</v>
      </c>
      <c r="G37" s="1418"/>
    </row>
    <row r="38" spans="1:7" ht="18" customHeight="1" thickBot="1" x14ac:dyDescent="0.3">
      <c r="A38" s="1438"/>
      <c r="B38" s="457" t="s">
        <v>104</v>
      </c>
      <c r="C38" s="732">
        <v>0</v>
      </c>
      <c r="D38" s="732">
        <v>0</v>
      </c>
      <c r="E38" s="734">
        <v>0</v>
      </c>
      <c r="F38" s="734">
        <v>0</v>
      </c>
      <c r="G38" s="1423"/>
    </row>
    <row r="39" spans="1:7" ht="25.5" customHeight="1" thickBot="1" x14ac:dyDescent="0.3">
      <c r="A39" s="1436">
        <v>44875</v>
      </c>
      <c r="B39" s="453" t="s">
        <v>17</v>
      </c>
      <c r="C39" s="709">
        <v>1</v>
      </c>
      <c r="D39" s="709">
        <v>1</v>
      </c>
      <c r="E39" s="709">
        <v>1</v>
      </c>
      <c r="F39" s="709">
        <v>1</v>
      </c>
      <c r="G39" s="1453" t="s">
        <v>4247</v>
      </c>
    </row>
    <row r="40" spans="1:7" ht="25.5" customHeight="1" thickBot="1" x14ac:dyDescent="0.3">
      <c r="A40" s="1437"/>
      <c r="B40" s="453" t="s">
        <v>102</v>
      </c>
      <c r="C40" s="731">
        <f t="shared" ref="C40:D40" si="9">24-C41-C42</f>
        <v>2.4600000000000009</v>
      </c>
      <c r="D40" s="731">
        <f t="shared" si="9"/>
        <v>22.12</v>
      </c>
      <c r="E40" s="733">
        <f>24-E41-E42</f>
        <v>24</v>
      </c>
      <c r="F40" s="733">
        <f>24-F41-F42</f>
        <v>24</v>
      </c>
      <c r="G40" s="1418"/>
    </row>
    <row r="41" spans="1:7" ht="25.5" customHeight="1" thickBot="1" x14ac:dyDescent="0.3">
      <c r="A41" s="1437"/>
      <c r="B41" s="448" t="s">
        <v>103</v>
      </c>
      <c r="C41" s="731">
        <v>21.54</v>
      </c>
      <c r="D41" s="731">
        <v>1.88</v>
      </c>
      <c r="E41" s="731">
        <v>0</v>
      </c>
      <c r="F41" s="731">
        <v>0</v>
      </c>
      <c r="G41" s="1418"/>
    </row>
    <row r="42" spans="1:7" ht="25.5" customHeight="1" thickBot="1" x14ac:dyDescent="0.3">
      <c r="A42" s="1438"/>
      <c r="B42" s="457" t="s">
        <v>104</v>
      </c>
      <c r="C42" s="732">
        <v>0</v>
      </c>
      <c r="D42" s="732">
        <v>0</v>
      </c>
      <c r="E42" s="734">
        <v>0</v>
      </c>
      <c r="F42" s="734">
        <v>0</v>
      </c>
      <c r="G42" s="1423"/>
    </row>
    <row r="43" spans="1:7" ht="15.75" thickBot="1" x14ac:dyDescent="0.3">
      <c r="A43" s="1436">
        <v>44876</v>
      </c>
      <c r="B43" s="453" t="s">
        <v>17</v>
      </c>
      <c r="C43" s="709">
        <v>1</v>
      </c>
      <c r="D43" s="709">
        <v>1</v>
      </c>
      <c r="E43" s="709">
        <v>1</v>
      </c>
      <c r="F43" s="709">
        <v>1</v>
      </c>
      <c r="G43" s="1453" t="s">
        <v>4274</v>
      </c>
    </row>
    <row r="44" spans="1:7" ht="15.75" thickBot="1" x14ac:dyDescent="0.3">
      <c r="A44" s="1437"/>
      <c r="B44" s="453" t="s">
        <v>102</v>
      </c>
      <c r="C44" s="731">
        <f t="shared" ref="C44:D44" si="10">24-C45-C46</f>
        <v>0</v>
      </c>
      <c r="D44" s="731">
        <f t="shared" si="10"/>
        <v>5.5500000000000007</v>
      </c>
      <c r="E44" s="733">
        <f>24-E45-E46</f>
        <v>24</v>
      </c>
      <c r="F44" s="733">
        <f>24-F45-F46</f>
        <v>24</v>
      </c>
      <c r="G44" s="1418"/>
    </row>
    <row r="45" spans="1:7" ht="15.75" thickBot="1" x14ac:dyDescent="0.3">
      <c r="A45" s="1437"/>
      <c r="B45" s="448" t="s">
        <v>103</v>
      </c>
      <c r="C45" s="731">
        <v>24</v>
      </c>
      <c r="D45" s="731">
        <v>18.45</v>
      </c>
      <c r="E45" s="731">
        <v>0</v>
      </c>
      <c r="F45" s="731">
        <v>0</v>
      </c>
      <c r="G45" s="1418"/>
    </row>
    <row r="46" spans="1:7" ht="15.75" thickBot="1" x14ac:dyDescent="0.3">
      <c r="A46" s="1438"/>
      <c r="B46" s="457" t="s">
        <v>104</v>
      </c>
      <c r="C46" s="732">
        <v>0</v>
      </c>
      <c r="D46" s="732">
        <v>0</v>
      </c>
      <c r="E46" s="734">
        <v>0</v>
      </c>
      <c r="F46" s="734">
        <v>0</v>
      </c>
      <c r="G46" s="1423"/>
    </row>
    <row r="47" spans="1:7" ht="33" customHeight="1" thickBot="1" x14ac:dyDescent="0.3">
      <c r="A47" s="1436">
        <v>44877</v>
      </c>
      <c r="B47" s="453" t="s">
        <v>17</v>
      </c>
      <c r="C47" s="709">
        <v>1</v>
      </c>
      <c r="D47" s="709">
        <v>1</v>
      </c>
      <c r="E47" s="709">
        <v>1</v>
      </c>
      <c r="F47" s="709">
        <v>1</v>
      </c>
      <c r="G47" s="1453" t="s">
        <v>4425</v>
      </c>
    </row>
    <row r="48" spans="1:7" ht="33" customHeight="1" thickBot="1" x14ac:dyDescent="0.3">
      <c r="A48" s="1437"/>
      <c r="B48" s="453" t="s">
        <v>102</v>
      </c>
      <c r="C48" s="733">
        <f>24-C49-C50</f>
        <v>13.05</v>
      </c>
      <c r="D48" s="731">
        <f t="shared" ref="D48" si="11">24-D49-D50</f>
        <v>18.759999999999998</v>
      </c>
      <c r="E48" s="733">
        <f>24-E49-E50</f>
        <v>24</v>
      </c>
      <c r="F48" s="733">
        <f>24-F49-F50</f>
        <v>24</v>
      </c>
      <c r="G48" s="1418"/>
    </row>
    <row r="49" spans="1:7" ht="33" customHeight="1" thickBot="1" x14ac:dyDescent="0.3">
      <c r="A49" s="1437"/>
      <c r="B49" s="448" t="s">
        <v>103</v>
      </c>
      <c r="C49" s="731">
        <v>10.95</v>
      </c>
      <c r="D49" s="731">
        <v>5.24</v>
      </c>
      <c r="E49" s="731">
        <v>0</v>
      </c>
      <c r="F49" s="731">
        <v>0</v>
      </c>
      <c r="G49" s="1418"/>
    </row>
    <row r="50" spans="1:7" ht="33" customHeight="1" thickBot="1" x14ac:dyDescent="0.3">
      <c r="A50" s="1438"/>
      <c r="B50" s="457" t="s">
        <v>104</v>
      </c>
      <c r="C50" s="734">
        <v>0</v>
      </c>
      <c r="D50" s="732">
        <v>0</v>
      </c>
      <c r="E50" s="734">
        <v>0</v>
      </c>
      <c r="F50" s="734">
        <v>0</v>
      </c>
      <c r="G50" s="1418"/>
    </row>
    <row r="51" spans="1:7" ht="15.75" thickBot="1" x14ac:dyDescent="0.3">
      <c r="A51" s="1436">
        <v>44878</v>
      </c>
      <c r="B51" s="453" t="s">
        <v>17</v>
      </c>
      <c r="C51" s="709">
        <v>1</v>
      </c>
      <c r="D51" s="709">
        <v>1</v>
      </c>
      <c r="E51" s="709">
        <v>1</v>
      </c>
      <c r="F51" s="709">
        <v>1</v>
      </c>
      <c r="G51" s="1417" t="s">
        <v>4267</v>
      </c>
    </row>
    <row r="52" spans="1:7" ht="15.75" thickBot="1" x14ac:dyDescent="0.3">
      <c r="A52" s="1437"/>
      <c r="B52" s="453" t="s">
        <v>102</v>
      </c>
      <c r="C52" s="733">
        <f>24-C53-C54</f>
        <v>6.7199999999999989</v>
      </c>
      <c r="D52" s="733">
        <f>24-D53-D54</f>
        <v>18.63</v>
      </c>
      <c r="E52" s="733">
        <f>24-E53-E54</f>
        <v>24</v>
      </c>
      <c r="F52" s="733">
        <f>24-F53-F54</f>
        <v>24</v>
      </c>
      <c r="G52" s="1418"/>
    </row>
    <row r="53" spans="1:7" ht="15.75" thickBot="1" x14ac:dyDescent="0.3">
      <c r="A53" s="1437"/>
      <c r="B53" s="448" t="s">
        <v>103</v>
      </c>
      <c r="C53" s="731">
        <v>17.28</v>
      </c>
      <c r="D53" s="731">
        <v>5.37</v>
      </c>
      <c r="E53" s="731">
        <v>0</v>
      </c>
      <c r="F53" s="731">
        <v>0</v>
      </c>
      <c r="G53" s="1418"/>
    </row>
    <row r="54" spans="1:7" ht="15.75" thickBot="1" x14ac:dyDescent="0.3">
      <c r="A54" s="1438"/>
      <c r="B54" s="457" t="s">
        <v>104</v>
      </c>
      <c r="C54" s="734">
        <v>0</v>
      </c>
      <c r="D54" s="734">
        <v>0</v>
      </c>
      <c r="E54" s="734">
        <v>0</v>
      </c>
      <c r="F54" s="734">
        <v>0</v>
      </c>
      <c r="G54" s="1418"/>
    </row>
    <row r="55" spans="1:7" ht="15.75" thickBot="1" x14ac:dyDescent="0.3">
      <c r="A55" s="1436">
        <v>44879</v>
      </c>
      <c r="B55" s="453" t="s">
        <v>17</v>
      </c>
      <c r="C55" s="709">
        <v>1</v>
      </c>
      <c r="D55" s="709">
        <v>1</v>
      </c>
      <c r="E55" s="709">
        <v>1</v>
      </c>
      <c r="F55" s="709">
        <v>1</v>
      </c>
      <c r="G55" s="1417" t="s">
        <v>4276</v>
      </c>
    </row>
    <row r="56" spans="1:7" ht="15.75" thickBot="1" x14ac:dyDescent="0.3">
      <c r="A56" s="1437"/>
      <c r="B56" s="453" t="s">
        <v>102</v>
      </c>
      <c r="C56" s="733">
        <f>24-C57-C58</f>
        <v>24</v>
      </c>
      <c r="D56" s="733">
        <f>24-D57-D58</f>
        <v>14.3</v>
      </c>
      <c r="E56" s="733">
        <f>24-E57-E58</f>
        <v>24</v>
      </c>
      <c r="F56" s="733">
        <f>24-F57-F58</f>
        <v>24</v>
      </c>
      <c r="G56" s="1418"/>
    </row>
    <row r="57" spans="1:7" ht="15.75" thickBot="1" x14ac:dyDescent="0.3">
      <c r="A57" s="1437"/>
      <c r="B57" s="448" t="s">
        <v>103</v>
      </c>
      <c r="C57" s="731">
        <v>0</v>
      </c>
      <c r="D57" s="731">
        <v>9.6999999999999993</v>
      </c>
      <c r="E57" s="731">
        <v>0</v>
      </c>
      <c r="F57" s="731">
        <v>0</v>
      </c>
      <c r="G57" s="1418"/>
    </row>
    <row r="58" spans="1:7" ht="15.75" thickBot="1" x14ac:dyDescent="0.3">
      <c r="A58" s="1438"/>
      <c r="B58" s="457" t="s">
        <v>104</v>
      </c>
      <c r="C58" s="734">
        <v>0</v>
      </c>
      <c r="D58" s="734">
        <v>0</v>
      </c>
      <c r="E58" s="734">
        <v>0</v>
      </c>
      <c r="F58" s="734">
        <v>0</v>
      </c>
      <c r="G58" s="1418"/>
    </row>
    <row r="59" spans="1:7" ht="33" customHeight="1" thickBot="1" x14ac:dyDescent="0.3">
      <c r="A59" s="1436">
        <v>44880</v>
      </c>
      <c r="B59" s="453" t="s">
        <v>17</v>
      </c>
      <c r="C59" s="709">
        <v>1</v>
      </c>
      <c r="D59" s="709">
        <v>1</v>
      </c>
      <c r="E59" s="709">
        <v>1</v>
      </c>
      <c r="F59" s="709">
        <v>1</v>
      </c>
      <c r="G59" s="1463" t="s">
        <v>4426</v>
      </c>
    </row>
    <row r="60" spans="1:7" ht="33" customHeight="1" thickBot="1" x14ac:dyDescent="0.3">
      <c r="A60" s="1437"/>
      <c r="B60" s="453" t="s">
        <v>102</v>
      </c>
      <c r="C60" s="733">
        <f>24-C61-C62</f>
        <v>3.2199999999999989</v>
      </c>
      <c r="D60" s="733">
        <f>24-D61-D62</f>
        <v>3.8000000000000007</v>
      </c>
      <c r="E60" s="733">
        <f>24-E61-E62</f>
        <v>24</v>
      </c>
      <c r="F60" s="733">
        <f>24-F61-F62</f>
        <v>24</v>
      </c>
      <c r="G60" s="1456"/>
    </row>
    <row r="61" spans="1:7" ht="33" customHeight="1" thickBot="1" x14ac:dyDescent="0.3">
      <c r="A61" s="1437"/>
      <c r="B61" s="448" t="s">
        <v>103</v>
      </c>
      <c r="C61" s="731">
        <v>20.78</v>
      </c>
      <c r="D61" s="731">
        <v>20.2</v>
      </c>
      <c r="E61" s="731">
        <v>0</v>
      </c>
      <c r="F61" s="731">
        <v>0</v>
      </c>
      <c r="G61" s="1456"/>
    </row>
    <row r="62" spans="1:7" ht="33" customHeight="1" thickBot="1" x14ac:dyDescent="0.3">
      <c r="A62" s="1438"/>
      <c r="B62" s="457" t="s">
        <v>104</v>
      </c>
      <c r="C62" s="734">
        <v>0</v>
      </c>
      <c r="D62" s="734">
        <v>0</v>
      </c>
      <c r="E62" s="734">
        <v>0</v>
      </c>
      <c r="F62" s="734">
        <v>0</v>
      </c>
      <c r="G62" s="1456"/>
    </row>
    <row r="63" spans="1:7" ht="15.75" thickBot="1" x14ac:dyDescent="0.3">
      <c r="A63" s="1436">
        <v>44881</v>
      </c>
      <c r="B63" s="453" t="s">
        <v>17</v>
      </c>
      <c r="C63" s="709">
        <v>1</v>
      </c>
      <c r="D63" s="709">
        <v>1</v>
      </c>
      <c r="E63" s="709">
        <v>1</v>
      </c>
      <c r="F63" s="709">
        <v>1</v>
      </c>
      <c r="G63" s="1453"/>
    </row>
    <row r="64" spans="1:7" ht="15.75" thickBot="1" x14ac:dyDescent="0.3">
      <c r="A64" s="1437"/>
      <c r="B64" s="453" t="s">
        <v>102</v>
      </c>
      <c r="C64" s="733">
        <f>24-C65-C66</f>
        <v>0</v>
      </c>
      <c r="D64" s="733">
        <f>24-D65-D66</f>
        <v>24</v>
      </c>
      <c r="E64" s="733">
        <f>24-E65-E66</f>
        <v>24</v>
      </c>
      <c r="F64" s="733">
        <f>24-F65-F66</f>
        <v>24</v>
      </c>
      <c r="G64" s="1418"/>
    </row>
    <row r="65" spans="1:7" ht="15.75" thickBot="1" x14ac:dyDescent="0.3">
      <c r="A65" s="1437"/>
      <c r="B65" s="448" t="s">
        <v>103</v>
      </c>
      <c r="C65" s="731">
        <v>24</v>
      </c>
      <c r="D65" s="731">
        <v>0</v>
      </c>
      <c r="E65" s="731">
        <v>0</v>
      </c>
      <c r="F65" s="731">
        <v>0</v>
      </c>
      <c r="G65" s="1418"/>
    </row>
    <row r="66" spans="1:7" ht="15.75" thickBot="1" x14ac:dyDescent="0.3">
      <c r="A66" s="1438"/>
      <c r="B66" s="457" t="s">
        <v>104</v>
      </c>
      <c r="C66" s="734">
        <v>0</v>
      </c>
      <c r="D66" s="734">
        <v>0</v>
      </c>
      <c r="E66" s="734">
        <v>0</v>
      </c>
      <c r="F66" s="734">
        <v>0</v>
      </c>
      <c r="G66" s="1423"/>
    </row>
    <row r="67" spans="1:7" ht="15.75" thickBot="1" x14ac:dyDescent="0.3">
      <c r="A67" s="1436">
        <v>44882</v>
      </c>
      <c r="B67" s="453" t="s">
        <v>17</v>
      </c>
      <c r="C67" s="709">
        <v>1</v>
      </c>
      <c r="D67" s="709">
        <v>1</v>
      </c>
      <c r="E67" s="709">
        <v>1</v>
      </c>
      <c r="F67" s="709">
        <v>1</v>
      </c>
      <c r="G67" s="1453" t="s">
        <v>4427</v>
      </c>
    </row>
    <row r="68" spans="1:7" ht="15.75" thickBot="1" x14ac:dyDescent="0.3">
      <c r="A68" s="1437"/>
      <c r="B68" s="453" t="s">
        <v>102</v>
      </c>
      <c r="C68" s="733">
        <f>24-C69-C70</f>
        <v>0</v>
      </c>
      <c r="D68" s="733">
        <f>24-D69-D70</f>
        <v>10.7</v>
      </c>
      <c r="E68" s="733">
        <f>24-E69-E70</f>
        <v>24</v>
      </c>
      <c r="F68" s="733">
        <f>24-F69-F70</f>
        <v>24</v>
      </c>
      <c r="G68" s="1418"/>
    </row>
    <row r="69" spans="1:7" ht="15.75" thickBot="1" x14ac:dyDescent="0.3">
      <c r="A69" s="1437"/>
      <c r="B69" s="448" t="s">
        <v>103</v>
      </c>
      <c r="C69" s="731">
        <v>24</v>
      </c>
      <c r="D69" s="731">
        <v>13.3</v>
      </c>
      <c r="E69" s="731">
        <v>0</v>
      </c>
      <c r="F69" s="731">
        <v>0</v>
      </c>
      <c r="G69" s="1418"/>
    </row>
    <row r="70" spans="1:7" ht="15.75" thickBot="1" x14ac:dyDescent="0.3">
      <c r="A70" s="1438"/>
      <c r="B70" s="457" t="s">
        <v>104</v>
      </c>
      <c r="C70" s="734">
        <v>0</v>
      </c>
      <c r="D70" s="734">
        <v>0</v>
      </c>
      <c r="E70" s="734">
        <v>0</v>
      </c>
      <c r="F70" s="734">
        <v>0</v>
      </c>
      <c r="G70" s="1423"/>
    </row>
    <row r="71" spans="1:7" ht="15.75" thickBot="1" x14ac:dyDescent="0.3">
      <c r="A71" s="1436">
        <v>44883</v>
      </c>
      <c r="B71" s="453" t="s">
        <v>17</v>
      </c>
      <c r="C71" s="709">
        <v>1</v>
      </c>
      <c r="D71" s="709">
        <v>1</v>
      </c>
      <c r="E71" s="709">
        <v>1</v>
      </c>
      <c r="F71" s="709">
        <v>1</v>
      </c>
      <c r="G71" s="1447"/>
    </row>
    <row r="72" spans="1:7" ht="15.75" thickBot="1" x14ac:dyDescent="0.3">
      <c r="A72" s="1437"/>
      <c r="B72" s="453" t="s">
        <v>102</v>
      </c>
      <c r="C72" s="733">
        <f>24-C73-C74</f>
        <v>0</v>
      </c>
      <c r="D72" s="733">
        <f>24-D73-D74</f>
        <v>24</v>
      </c>
      <c r="E72" s="733">
        <f>24-E73-E74</f>
        <v>24</v>
      </c>
      <c r="F72" s="733">
        <f>24-F73-F74</f>
        <v>24</v>
      </c>
      <c r="G72" s="1454"/>
    </row>
    <row r="73" spans="1:7" ht="15.75" thickBot="1" x14ac:dyDescent="0.3">
      <c r="A73" s="1437"/>
      <c r="B73" s="448" t="s">
        <v>103</v>
      </c>
      <c r="C73" s="731">
        <v>24</v>
      </c>
      <c r="D73" s="731">
        <v>0</v>
      </c>
      <c r="E73" s="731">
        <v>0</v>
      </c>
      <c r="F73" s="731">
        <v>0</v>
      </c>
      <c r="G73" s="1454"/>
    </row>
    <row r="74" spans="1:7" ht="15.75" thickBot="1" x14ac:dyDescent="0.3">
      <c r="A74" s="1438"/>
      <c r="B74" s="457" t="s">
        <v>104</v>
      </c>
      <c r="C74" s="734">
        <v>0</v>
      </c>
      <c r="D74" s="734">
        <v>0</v>
      </c>
      <c r="E74" s="734">
        <v>0</v>
      </c>
      <c r="F74" s="734">
        <v>0</v>
      </c>
      <c r="G74" s="1455"/>
    </row>
    <row r="75" spans="1:7" ht="19.5" customHeight="1" thickBot="1" x14ac:dyDescent="0.3">
      <c r="A75" s="1436">
        <v>44884</v>
      </c>
      <c r="B75" s="453" t="s">
        <v>17</v>
      </c>
      <c r="C75" s="709">
        <v>1</v>
      </c>
      <c r="D75" s="709">
        <v>1</v>
      </c>
      <c r="E75" s="709">
        <v>1</v>
      </c>
      <c r="F75" s="709">
        <v>1</v>
      </c>
      <c r="G75" s="1447" t="s">
        <v>4428</v>
      </c>
    </row>
    <row r="76" spans="1:7" ht="19.5" customHeight="1" thickBot="1" x14ac:dyDescent="0.3">
      <c r="A76" s="1437"/>
      <c r="B76" s="453" t="s">
        <v>102</v>
      </c>
      <c r="C76" s="733">
        <f>24-C77-C78</f>
        <v>0</v>
      </c>
      <c r="D76" s="733">
        <v>12.32</v>
      </c>
      <c r="E76" s="733">
        <f>24-E77-E78</f>
        <v>23.2</v>
      </c>
      <c r="F76" s="733">
        <f>24-F77-F78</f>
        <v>24</v>
      </c>
      <c r="G76" s="1448"/>
    </row>
    <row r="77" spans="1:7" ht="19.5" customHeight="1" thickBot="1" x14ac:dyDescent="0.3">
      <c r="A77" s="1437"/>
      <c r="B77" s="448" t="s">
        <v>103</v>
      </c>
      <c r="C77" s="731">
        <v>24</v>
      </c>
      <c r="D77" s="731">
        <v>11.68</v>
      </c>
      <c r="E77" s="731">
        <v>0.8</v>
      </c>
      <c r="F77" s="731">
        <v>0</v>
      </c>
      <c r="G77" s="1448"/>
    </row>
    <row r="78" spans="1:7" ht="19.5" customHeight="1" thickBot="1" x14ac:dyDescent="0.3">
      <c r="A78" s="1438"/>
      <c r="B78" s="457" t="s">
        <v>104</v>
      </c>
      <c r="C78" s="734">
        <v>0</v>
      </c>
      <c r="D78" s="734">
        <v>0</v>
      </c>
      <c r="E78" s="734">
        <v>0</v>
      </c>
      <c r="F78" s="734">
        <v>0</v>
      </c>
      <c r="G78" s="1449"/>
    </row>
    <row r="79" spans="1:7" ht="26.25" customHeight="1" thickBot="1" x14ac:dyDescent="0.3">
      <c r="A79" s="1436">
        <v>44885</v>
      </c>
      <c r="B79" s="453" t="s">
        <v>17</v>
      </c>
      <c r="C79" s="709">
        <v>1</v>
      </c>
      <c r="D79" s="709">
        <v>1</v>
      </c>
      <c r="E79" s="709">
        <v>1</v>
      </c>
      <c r="F79" s="709">
        <v>1</v>
      </c>
      <c r="G79" s="1447" t="s">
        <v>4429</v>
      </c>
    </row>
    <row r="80" spans="1:7" ht="26.25" customHeight="1" thickBot="1" x14ac:dyDescent="0.3">
      <c r="A80" s="1437"/>
      <c r="B80" s="453" t="s">
        <v>102</v>
      </c>
      <c r="C80" s="731">
        <v>18.920000000000002</v>
      </c>
      <c r="D80" s="731">
        <v>11.25</v>
      </c>
      <c r="E80" s="733">
        <v>21.34</v>
      </c>
      <c r="F80" s="733">
        <f>24-F81-F82</f>
        <v>24</v>
      </c>
      <c r="G80" s="1448"/>
    </row>
    <row r="81" spans="1:7" ht="26.25" customHeight="1" thickBot="1" x14ac:dyDescent="0.3">
      <c r="A81" s="1437"/>
      <c r="B81" s="448" t="s">
        <v>103</v>
      </c>
      <c r="C81" s="731">
        <v>5.08</v>
      </c>
      <c r="D81" s="731">
        <v>12.75</v>
      </c>
      <c r="E81" s="731">
        <v>2.66</v>
      </c>
      <c r="F81" s="731">
        <v>0</v>
      </c>
      <c r="G81" s="1448"/>
    </row>
    <row r="82" spans="1:7" ht="26.25" customHeight="1" thickBot="1" x14ac:dyDescent="0.3">
      <c r="A82" s="1438"/>
      <c r="B82" s="457" t="s">
        <v>104</v>
      </c>
      <c r="C82" s="732">
        <v>0</v>
      </c>
      <c r="D82" s="732">
        <v>0</v>
      </c>
      <c r="E82" s="734">
        <v>0</v>
      </c>
      <c r="F82" s="734">
        <v>0</v>
      </c>
      <c r="G82" s="1448"/>
    </row>
    <row r="83" spans="1:7" ht="15.75" thickBot="1" x14ac:dyDescent="0.3">
      <c r="A83" s="1436">
        <v>44886</v>
      </c>
      <c r="B83" s="453" t="s">
        <v>17</v>
      </c>
      <c r="C83" s="709">
        <v>1</v>
      </c>
      <c r="D83" s="709">
        <v>1</v>
      </c>
      <c r="E83" s="709">
        <v>1</v>
      </c>
      <c r="F83" s="709">
        <v>1</v>
      </c>
      <c r="G83" s="1462"/>
    </row>
    <row r="84" spans="1:7" ht="15.75" thickBot="1" x14ac:dyDescent="0.3">
      <c r="A84" s="1437"/>
      <c r="B84" s="453" t="s">
        <v>102</v>
      </c>
      <c r="C84" s="733">
        <f>24-C85-C86</f>
        <v>0</v>
      </c>
      <c r="D84" s="733">
        <f>24-D85-D86</f>
        <v>24</v>
      </c>
      <c r="E84" s="733">
        <f>24-E85-E86</f>
        <v>24</v>
      </c>
      <c r="F84" s="733">
        <f>24-F85-F86</f>
        <v>24</v>
      </c>
      <c r="G84" s="1454"/>
    </row>
    <row r="85" spans="1:7" ht="15.75" thickBot="1" x14ac:dyDescent="0.3">
      <c r="A85" s="1437"/>
      <c r="B85" s="448" t="s">
        <v>103</v>
      </c>
      <c r="C85" s="731">
        <v>24</v>
      </c>
      <c r="D85" s="731">
        <v>0</v>
      </c>
      <c r="E85" s="731">
        <v>0</v>
      </c>
      <c r="F85" s="731">
        <v>0</v>
      </c>
      <c r="G85" s="1454"/>
    </row>
    <row r="86" spans="1:7" ht="15.75" thickBot="1" x14ac:dyDescent="0.3">
      <c r="A86" s="1438"/>
      <c r="B86" s="457" t="s">
        <v>104</v>
      </c>
      <c r="C86" s="734">
        <v>0</v>
      </c>
      <c r="D86" s="734">
        <v>0</v>
      </c>
      <c r="E86" s="734">
        <v>0</v>
      </c>
      <c r="F86" s="734">
        <v>0</v>
      </c>
      <c r="G86" s="1455"/>
    </row>
    <row r="87" spans="1:7" ht="15.75" thickBot="1" x14ac:dyDescent="0.3">
      <c r="A87" s="1436">
        <v>44887</v>
      </c>
      <c r="B87" s="453" t="s">
        <v>17</v>
      </c>
      <c r="C87" s="709">
        <v>1</v>
      </c>
      <c r="D87" s="709">
        <v>1</v>
      </c>
      <c r="E87" s="709">
        <v>1</v>
      </c>
      <c r="F87" s="709">
        <v>1</v>
      </c>
      <c r="G87" s="1447" t="s">
        <v>4430</v>
      </c>
    </row>
    <row r="88" spans="1:7" ht="15.75" thickBot="1" x14ac:dyDescent="0.3">
      <c r="A88" s="1437"/>
      <c r="B88" s="453" t="s">
        <v>102</v>
      </c>
      <c r="C88" s="733">
        <f>24-C89-C90</f>
        <v>5.129999999999999</v>
      </c>
      <c r="D88" s="733">
        <f>24-D89-D90</f>
        <v>7.4499999999999993</v>
      </c>
      <c r="E88" s="733">
        <f>24-E89-E90</f>
        <v>24</v>
      </c>
      <c r="F88" s="733">
        <f>24-F89-F90</f>
        <v>24</v>
      </c>
      <c r="G88" s="1454"/>
    </row>
    <row r="89" spans="1:7" ht="15.75" thickBot="1" x14ac:dyDescent="0.3">
      <c r="A89" s="1437"/>
      <c r="B89" s="448" t="s">
        <v>103</v>
      </c>
      <c r="C89" s="731">
        <v>18.87</v>
      </c>
      <c r="D89" s="731">
        <v>16.55</v>
      </c>
      <c r="E89" s="731">
        <v>0</v>
      </c>
      <c r="F89" s="731">
        <v>0</v>
      </c>
      <c r="G89" s="1454"/>
    </row>
    <row r="90" spans="1:7" ht="15.75" thickBot="1" x14ac:dyDescent="0.3">
      <c r="A90" s="1438"/>
      <c r="B90" s="457" t="s">
        <v>104</v>
      </c>
      <c r="C90" s="734">
        <v>0</v>
      </c>
      <c r="D90" s="734">
        <v>0</v>
      </c>
      <c r="E90" s="734">
        <v>0</v>
      </c>
      <c r="F90" s="734">
        <v>0</v>
      </c>
      <c r="G90" s="1455"/>
    </row>
    <row r="91" spans="1:7" ht="15.75" thickBot="1" x14ac:dyDescent="0.3">
      <c r="A91" s="1436">
        <v>44888</v>
      </c>
      <c r="B91" s="453" t="s">
        <v>17</v>
      </c>
      <c r="C91" s="709">
        <v>1</v>
      </c>
      <c r="D91" s="709">
        <v>1</v>
      </c>
      <c r="E91" s="709">
        <v>1</v>
      </c>
      <c r="F91" s="709">
        <v>1</v>
      </c>
      <c r="G91" s="1447"/>
    </row>
    <row r="92" spans="1:7" ht="15.75" thickBot="1" x14ac:dyDescent="0.3">
      <c r="A92" s="1437"/>
      <c r="B92" s="453" t="s">
        <v>102</v>
      </c>
      <c r="C92" s="733">
        <f>24-C93-C94</f>
        <v>0</v>
      </c>
      <c r="D92" s="733">
        <f>24-D93-D94</f>
        <v>24</v>
      </c>
      <c r="E92" s="733">
        <f>24-E93-E94</f>
        <v>24</v>
      </c>
      <c r="F92" s="733">
        <f>24-F93-F94</f>
        <v>24</v>
      </c>
      <c r="G92" s="1448"/>
    </row>
    <row r="93" spans="1:7" ht="15.75" thickBot="1" x14ac:dyDescent="0.3">
      <c r="A93" s="1437"/>
      <c r="B93" s="448" t="s">
        <v>103</v>
      </c>
      <c r="C93" s="731">
        <v>24</v>
      </c>
      <c r="D93" s="731">
        <v>0</v>
      </c>
      <c r="E93" s="731">
        <v>0</v>
      </c>
      <c r="F93" s="731">
        <v>0</v>
      </c>
      <c r="G93" s="1448"/>
    </row>
    <row r="94" spans="1:7" ht="15.75" thickBot="1" x14ac:dyDescent="0.3">
      <c r="A94" s="1438"/>
      <c r="B94" s="457" t="s">
        <v>104</v>
      </c>
      <c r="C94" s="734">
        <v>0</v>
      </c>
      <c r="D94" s="734">
        <v>0</v>
      </c>
      <c r="E94" s="734">
        <v>0</v>
      </c>
      <c r="F94" s="734">
        <v>0</v>
      </c>
      <c r="G94" s="1449"/>
    </row>
    <row r="95" spans="1:7" ht="15.75" thickBot="1" x14ac:dyDescent="0.3">
      <c r="A95" s="1436">
        <v>44889</v>
      </c>
      <c r="B95" s="453" t="s">
        <v>17</v>
      </c>
      <c r="C95" s="709">
        <v>1</v>
      </c>
      <c r="D95" s="709">
        <v>1</v>
      </c>
      <c r="E95" s="709">
        <v>1</v>
      </c>
      <c r="F95" s="709">
        <v>1</v>
      </c>
      <c r="G95" s="1447" t="s">
        <v>4431</v>
      </c>
    </row>
    <row r="96" spans="1:7" ht="15.75" thickBot="1" x14ac:dyDescent="0.3">
      <c r="A96" s="1437"/>
      <c r="B96" s="453" t="s">
        <v>102</v>
      </c>
      <c r="C96" s="733">
        <f>24-C97-C98</f>
        <v>0</v>
      </c>
      <c r="D96" s="733">
        <f>24-D97-D98</f>
        <v>11.1</v>
      </c>
      <c r="E96" s="733">
        <f>24-E97-E98</f>
        <v>24</v>
      </c>
      <c r="F96" s="733">
        <f>24-F97-F98</f>
        <v>24</v>
      </c>
      <c r="G96" s="1448"/>
    </row>
    <row r="97" spans="1:7" ht="15.75" thickBot="1" x14ac:dyDescent="0.3">
      <c r="A97" s="1437"/>
      <c r="B97" s="448" t="s">
        <v>103</v>
      </c>
      <c r="C97" s="731">
        <v>24</v>
      </c>
      <c r="D97" s="731">
        <v>12.9</v>
      </c>
      <c r="E97" s="731">
        <v>0</v>
      </c>
      <c r="F97" s="731">
        <v>0</v>
      </c>
      <c r="G97" s="1448"/>
    </row>
    <row r="98" spans="1:7" ht="15.75" thickBot="1" x14ac:dyDescent="0.3">
      <c r="A98" s="1438"/>
      <c r="B98" s="457" t="s">
        <v>104</v>
      </c>
      <c r="C98" s="734">
        <v>0</v>
      </c>
      <c r="D98" s="734">
        <v>0</v>
      </c>
      <c r="E98" s="734">
        <v>0</v>
      </c>
      <c r="F98" s="734">
        <v>0</v>
      </c>
      <c r="G98" s="1449"/>
    </row>
    <row r="99" spans="1:7" ht="15.75" thickBot="1" x14ac:dyDescent="0.3">
      <c r="A99" s="1436">
        <v>44890</v>
      </c>
      <c r="B99" s="453" t="s">
        <v>17</v>
      </c>
      <c r="C99" s="709">
        <v>1</v>
      </c>
      <c r="D99" s="709">
        <v>1</v>
      </c>
      <c r="E99" s="709">
        <v>1</v>
      </c>
      <c r="F99" s="709">
        <v>1</v>
      </c>
      <c r="G99" s="1447"/>
    </row>
    <row r="100" spans="1:7" ht="15.75" thickBot="1" x14ac:dyDescent="0.3">
      <c r="A100" s="1437"/>
      <c r="B100" s="453" t="s">
        <v>102</v>
      </c>
      <c r="C100" s="733">
        <f>24-C101-C102</f>
        <v>0</v>
      </c>
      <c r="D100" s="733">
        <f>24-D101-D102</f>
        <v>24</v>
      </c>
      <c r="E100" s="733">
        <f>24-E101-E102</f>
        <v>24</v>
      </c>
      <c r="F100" s="733">
        <f>24-F101-F102</f>
        <v>24</v>
      </c>
      <c r="G100" s="1448"/>
    </row>
    <row r="101" spans="1:7" ht="15.75" thickBot="1" x14ac:dyDescent="0.3">
      <c r="A101" s="1437"/>
      <c r="B101" s="448" t="s">
        <v>103</v>
      </c>
      <c r="C101" s="731">
        <v>24</v>
      </c>
      <c r="D101" s="731">
        <v>0</v>
      </c>
      <c r="E101" s="731">
        <v>0</v>
      </c>
      <c r="F101" s="731">
        <v>0</v>
      </c>
      <c r="G101" s="1448"/>
    </row>
    <row r="102" spans="1:7" ht="15.75" thickBot="1" x14ac:dyDescent="0.3">
      <c r="A102" s="1438"/>
      <c r="B102" s="457" t="s">
        <v>104</v>
      </c>
      <c r="C102" s="734">
        <v>0</v>
      </c>
      <c r="D102" s="734">
        <v>0</v>
      </c>
      <c r="E102" s="734">
        <v>0</v>
      </c>
      <c r="F102" s="734">
        <v>0</v>
      </c>
      <c r="G102" s="1449"/>
    </row>
    <row r="103" spans="1:7" ht="15.75" thickBot="1" x14ac:dyDescent="0.3">
      <c r="A103" s="1436">
        <v>44891</v>
      </c>
      <c r="B103" s="453" t="s">
        <v>17</v>
      </c>
      <c r="C103" s="709">
        <v>1</v>
      </c>
      <c r="D103" s="709">
        <v>1</v>
      </c>
      <c r="E103" s="709">
        <v>1</v>
      </c>
      <c r="F103" s="709">
        <v>1</v>
      </c>
      <c r="G103" s="1447"/>
    </row>
    <row r="104" spans="1:7" ht="15.75" thickBot="1" x14ac:dyDescent="0.3">
      <c r="A104" s="1437"/>
      <c r="B104" s="453" t="s">
        <v>102</v>
      </c>
      <c r="C104" s="733">
        <f>24-C105-C106</f>
        <v>0</v>
      </c>
      <c r="D104" s="733">
        <f>24-D105-D106</f>
        <v>24</v>
      </c>
      <c r="E104" s="733">
        <f>24-E105-E106</f>
        <v>24</v>
      </c>
      <c r="F104" s="733">
        <f>24-F105-F106</f>
        <v>24</v>
      </c>
      <c r="G104" s="1448"/>
    </row>
    <row r="105" spans="1:7" ht="15.75" thickBot="1" x14ac:dyDescent="0.3">
      <c r="A105" s="1437"/>
      <c r="B105" s="448" t="s">
        <v>103</v>
      </c>
      <c r="C105" s="731">
        <v>24</v>
      </c>
      <c r="D105" s="731">
        <v>0</v>
      </c>
      <c r="E105" s="731">
        <v>0</v>
      </c>
      <c r="F105" s="731">
        <v>0</v>
      </c>
      <c r="G105" s="1448"/>
    </row>
    <row r="106" spans="1:7" ht="15.75" thickBot="1" x14ac:dyDescent="0.3">
      <c r="A106" s="1438"/>
      <c r="B106" s="457" t="s">
        <v>104</v>
      </c>
      <c r="C106" s="734">
        <v>0</v>
      </c>
      <c r="D106" s="734">
        <v>0</v>
      </c>
      <c r="E106" s="734">
        <v>0</v>
      </c>
      <c r="F106" s="734">
        <v>0</v>
      </c>
      <c r="G106" s="1449"/>
    </row>
    <row r="107" spans="1:7" ht="27" customHeight="1" thickBot="1" x14ac:dyDescent="0.3">
      <c r="A107" s="1436">
        <v>44892</v>
      </c>
      <c r="B107" s="453" t="s">
        <v>17</v>
      </c>
      <c r="C107" s="709">
        <v>1</v>
      </c>
      <c r="D107" s="709">
        <v>1</v>
      </c>
      <c r="E107" s="709">
        <v>1</v>
      </c>
      <c r="F107" s="709">
        <v>1</v>
      </c>
      <c r="G107" s="1447" t="s">
        <v>4432</v>
      </c>
    </row>
    <row r="108" spans="1:7" ht="27" customHeight="1" thickBot="1" x14ac:dyDescent="0.3">
      <c r="A108" s="1437"/>
      <c r="B108" s="453" t="s">
        <v>102</v>
      </c>
      <c r="C108" s="733">
        <f>24-C109-C110</f>
        <v>5.52</v>
      </c>
      <c r="D108" s="733">
        <f>24-D109-D110</f>
        <v>19.600000000000001</v>
      </c>
      <c r="E108" s="733">
        <f>24-E109-E110</f>
        <v>24</v>
      </c>
      <c r="F108" s="733">
        <f>24-F109-F110</f>
        <v>24</v>
      </c>
      <c r="G108" s="1448"/>
    </row>
    <row r="109" spans="1:7" ht="27" customHeight="1" thickBot="1" x14ac:dyDescent="0.3">
      <c r="A109" s="1437"/>
      <c r="B109" s="448" t="s">
        <v>103</v>
      </c>
      <c r="C109" s="731">
        <v>18.48</v>
      </c>
      <c r="D109" s="731">
        <v>4.4000000000000004</v>
      </c>
      <c r="E109" s="731">
        <v>0</v>
      </c>
      <c r="F109" s="731">
        <v>0</v>
      </c>
      <c r="G109" s="1448"/>
    </row>
    <row r="110" spans="1:7" ht="27" customHeight="1" thickBot="1" x14ac:dyDescent="0.3">
      <c r="A110" s="1438"/>
      <c r="B110" s="457" t="s">
        <v>104</v>
      </c>
      <c r="C110" s="734">
        <v>0</v>
      </c>
      <c r="D110" s="734">
        <v>0</v>
      </c>
      <c r="E110" s="734">
        <v>0</v>
      </c>
      <c r="F110" s="734">
        <v>0</v>
      </c>
      <c r="G110" s="1449"/>
    </row>
    <row r="111" spans="1:7" ht="15.75" thickBot="1" x14ac:dyDescent="0.3">
      <c r="A111" s="1436">
        <v>44893</v>
      </c>
      <c r="B111" s="453" t="s">
        <v>17</v>
      </c>
      <c r="C111" s="709">
        <v>1</v>
      </c>
      <c r="D111" s="709">
        <v>1</v>
      </c>
      <c r="E111" s="709">
        <v>1</v>
      </c>
      <c r="F111" s="709">
        <v>1</v>
      </c>
      <c r="G111" s="1447"/>
    </row>
    <row r="112" spans="1:7" ht="15.75" thickBot="1" x14ac:dyDescent="0.3">
      <c r="A112" s="1437"/>
      <c r="B112" s="453" t="s">
        <v>102</v>
      </c>
      <c r="C112" s="733">
        <f>24-C113-C114</f>
        <v>24</v>
      </c>
      <c r="D112" s="733">
        <f>24-D113-D114</f>
        <v>24</v>
      </c>
      <c r="E112" s="733">
        <f>24-E113-E114</f>
        <v>24</v>
      </c>
      <c r="F112" s="733">
        <f>24-F113-F114</f>
        <v>24</v>
      </c>
      <c r="G112" s="1448"/>
    </row>
    <row r="113" spans="1:7" ht="15.75" thickBot="1" x14ac:dyDescent="0.3">
      <c r="A113" s="1437"/>
      <c r="B113" s="448" t="s">
        <v>103</v>
      </c>
      <c r="C113" s="731">
        <v>0</v>
      </c>
      <c r="D113" s="731">
        <v>0</v>
      </c>
      <c r="E113" s="731">
        <v>0</v>
      </c>
      <c r="F113" s="731">
        <v>0</v>
      </c>
      <c r="G113" s="1448"/>
    </row>
    <row r="114" spans="1:7" ht="15.75" thickBot="1" x14ac:dyDescent="0.3">
      <c r="A114" s="1438"/>
      <c r="B114" s="457" t="s">
        <v>104</v>
      </c>
      <c r="C114" s="734">
        <v>0</v>
      </c>
      <c r="D114" s="734">
        <v>0</v>
      </c>
      <c r="E114" s="734">
        <v>0</v>
      </c>
      <c r="F114" s="734">
        <v>0</v>
      </c>
      <c r="G114" s="1449"/>
    </row>
    <row r="115" spans="1:7" ht="24" customHeight="1" thickBot="1" x14ac:dyDescent="0.3">
      <c r="A115" s="1436">
        <v>44894</v>
      </c>
      <c r="B115" s="453" t="s">
        <v>17</v>
      </c>
      <c r="C115" s="709">
        <v>1</v>
      </c>
      <c r="D115" s="709">
        <v>1</v>
      </c>
      <c r="E115" s="709">
        <v>1</v>
      </c>
      <c r="F115" s="709">
        <v>1</v>
      </c>
      <c r="G115" s="1447" t="s">
        <v>4433</v>
      </c>
    </row>
    <row r="116" spans="1:7" ht="24" customHeight="1" thickBot="1" x14ac:dyDescent="0.3">
      <c r="A116" s="1437"/>
      <c r="B116" s="453" t="s">
        <v>102</v>
      </c>
      <c r="C116" s="733">
        <f>24-C117-C118</f>
        <v>15.27</v>
      </c>
      <c r="D116" s="733">
        <f>24-D117-D118</f>
        <v>7.34</v>
      </c>
      <c r="E116" s="733">
        <f>24-E117-E118</f>
        <v>24</v>
      </c>
      <c r="F116" s="733">
        <f>24-F117-F118</f>
        <v>24</v>
      </c>
      <c r="G116" s="1448"/>
    </row>
    <row r="117" spans="1:7" ht="24" customHeight="1" thickBot="1" x14ac:dyDescent="0.3">
      <c r="A117" s="1437"/>
      <c r="B117" s="448" t="s">
        <v>103</v>
      </c>
      <c r="C117" s="731">
        <v>8.73</v>
      </c>
      <c r="D117" s="731">
        <v>16.66</v>
      </c>
      <c r="E117" s="731">
        <v>0</v>
      </c>
      <c r="F117" s="731">
        <v>0</v>
      </c>
      <c r="G117" s="1448"/>
    </row>
    <row r="118" spans="1:7" ht="24" customHeight="1" thickBot="1" x14ac:dyDescent="0.3">
      <c r="A118" s="1438"/>
      <c r="B118" s="457" t="s">
        <v>104</v>
      </c>
      <c r="C118" s="734">
        <v>0</v>
      </c>
      <c r="D118" s="734">
        <v>0</v>
      </c>
      <c r="E118" s="734">
        <v>0</v>
      </c>
      <c r="F118" s="734">
        <v>0</v>
      </c>
      <c r="G118" s="1449"/>
    </row>
    <row r="119" spans="1:7" ht="15.75" thickBot="1" x14ac:dyDescent="0.3">
      <c r="A119" s="1436">
        <v>44895</v>
      </c>
      <c r="B119" s="453" t="s">
        <v>17</v>
      </c>
      <c r="C119" s="709">
        <v>1</v>
      </c>
      <c r="D119" s="709">
        <v>1</v>
      </c>
      <c r="E119" s="709">
        <v>1</v>
      </c>
      <c r="F119" s="709">
        <v>1</v>
      </c>
      <c r="G119" s="1447" t="s">
        <v>4434</v>
      </c>
    </row>
    <row r="120" spans="1:7" ht="15.75" thickBot="1" x14ac:dyDescent="0.3">
      <c r="A120" s="1437"/>
      <c r="B120" s="453" t="s">
        <v>102</v>
      </c>
      <c r="C120" s="733">
        <f>24-C121-C122</f>
        <v>0</v>
      </c>
      <c r="D120" s="733">
        <f>24-D121-D122</f>
        <v>18.45</v>
      </c>
      <c r="E120" s="733">
        <f>24-E121-E122</f>
        <v>24</v>
      </c>
      <c r="F120" s="733">
        <f>24-F121-F122</f>
        <v>24</v>
      </c>
      <c r="G120" s="1448"/>
    </row>
    <row r="121" spans="1:7" ht="15.75" thickBot="1" x14ac:dyDescent="0.3">
      <c r="A121" s="1437"/>
      <c r="B121" s="448" t="s">
        <v>103</v>
      </c>
      <c r="C121" s="731">
        <v>24</v>
      </c>
      <c r="D121" s="731">
        <v>5.55</v>
      </c>
      <c r="E121" s="731">
        <v>0</v>
      </c>
      <c r="F121" s="731">
        <v>0</v>
      </c>
      <c r="G121" s="1448"/>
    </row>
    <row r="122" spans="1:7" ht="15.75" thickBot="1" x14ac:dyDescent="0.3">
      <c r="A122" s="1438"/>
      <c r="B122" s="457" t="s">
        <v>104</v>
      </c>
      <c r="C122" s="734">
        <v>0</v>
      </c>
      <c r="D122" s="734">
        <v>0</v>
      </c>
      <c r="E122" s="734">
        <v>0</v>
      </c>
      <c r="F122" s="734">
        <v>0</v>
      </c>
      <c r="G122" s="1449"/>
    </row>
    <row r="123" spans="1:7" ht="15.75" thickBot="1" x14ac:dyDescent="0.3">
      <c r="A123" s="1436"/>
      <c r="B123" s="453" t="s">
        <v>17</v>
      </c>
      <c r="C123" s="709"/>
      <c r="D123" s="709"/>
      <c r="E123" s="709"/>
      <c r="F123" s="709"/>
      <c r="G123" s="1417"/>
    </row>
    <row r="124" spans="1:7" ht="15.75" thickBot="1" x14ac:dyDescent="0.3">
      <c r="A124" s="1437"/>
      <c r="B124" s="453" t="s">
        <v>102</v>
      </c>
      <c r="C124" s="731"/>
      <c r="D124" s="731"/>
      <c r="E124" s="733"/>
      <c r="F124" s="733"/>
      <c r="G124" s="1418"/>
    </row>
    <row r="125" spans="1:7" ht="15.75" thickBot="1" x14ac:dyDescent="0.3">
      <c r="A125" s="1437"/>
      <c r="B125" s="448" t="s">
        <v>103</v>
      </c>
      <c r="C125" s="731"/>
      <c r="D125" s="731"/>
      <c r="E125" s="731"/>
      <c r="F125" s="731"/>
      <c r="G125" s="1418"/>
    </row>
    <row r="126" spans="1:7" ht="15.75" thickBot="1" x14ac:dyDescent="0.3">
      <c r="A126" s="1438"/>
      <c r="B126" s="457" t="s">
        <v>104</v>
      </c>
      <c r="C126" s="732"/>
      <c r="D126" s="732"/>
      <c r="E126" s="734"/>
      <c r="F126" s="734"/>
      <c r="G126" s="1423"/>
    </row>
    <row r="127" spans="1:7" x14ac:dyDescent="0.25">
      <c r="A127" s="464" t="s">
        <v>4180</v>
      </c>
      <c r="B127" s="465"/>
      <c r="C127" s="466">
        <f>SUM(C112,C108,C104,C100,C96,C92,C88,C84,C80,C76,C72,C68,C64,C60,C56,C52,C48,C44,C40,C36,C32,C28,C24,C20,C16,C12,C8,C4,C116,C120,C124)</f>
        <v>181.69</v>
      </c>
      <c r="D127" s="466">
        <f>SUM(D112,D108,D104,D100,D96,D92,D88,D84,D80,D76,D72,D68,D64,D60,D56,D52,D48,D44,D40,D36,D32,D28,D24,D20,D16,D12,D8,D4,D116,D120,D124)</f>
        <v>484.65999999999997</v>
      </c>
      <c r="E127" s="466">
        <f t="shared" ref="E127:F128" si="12">SUM(E112,E108,E104,E100,E96,E92,E88,E84,E80,E76,E72,E68,E64,E60,E56,E52,E48,E44,E40,E36,E32,E28,E24,E20,E16,E12,E8,E4,E116,E120,E124)</f>
        <v>714.92</v>
      </c>
      <c r="F127" s="466">
        <f t="shared" si="12"/>
        <v>683.43000000000006</v>
      </c>
      <c r="G127" s="468"/>
    </row>
    <row r="128" spans="1:7" x14ac:dyDescent="0.25">
      <c r="A128" s="1055" t="s">
        <v>4181</v>
      </c>
      <c r="B128" s="134"/>
      <c r="C128" s="469">
        <f>SUM(C113,C109,C105,C101,C97,C93,C89,C85,C81,C77,C73,C69,C65,C61,C57,C53,C49,C45,C41,C37,C33,C29,C25,C21,C17,C13,C9,C5,C117,C121,C125)</f>
        <v>538.31000000000006</v>
      </c>
      <c r="D128" s="469">
        <f>SUM(D113,D109,D105,D101,D97,D93,D89,D85,D81,D77,D73,D69,D65,D61,D57,D53,D49,D45,D41,D37,D33,D29,D25,D21,D17,D13,D9,D5,D117,D121,D125)</f>
        <v>235.33999999999997</v>
      </c>
      <c r="E128" s="469">
        <f t="shared" si="12"/>
        <v>5.08</v>
      </c>
      <c r="F128" s="469">
        <f t="shared" si="12"/>
        <v>36.57</v>
      </c>
      <c r="G128" s="471"/>
    </row>
    <row r="129" spans="1:7" ht="15.75" thickBot="1" x14ac:dyDescent="0.3">
      <c r="A129" s="1056" t="s">
        <v>4182</v>
      </c>
      <c r="B129" s="472"/>
      <c r="C129" s="473">
        <f>SUM(C114,C110,C106,C102,C98,C94,C90,C86,C82,C78,C74,C70,C66,C62,C58,C54,C50,C46,C42,C38,C34,C30,C26,C22,C18,C14,C10,C6,C118,C122,C126)</f>
        <v>0</v>
      </c>
      <c r="D129" s="473">
        <f t="shared" ref="D129:F129" si="13">SUM(D114,D110,D106,D102,D98,D94,D90,D86,D82,D78,D74,D70,D66,D62,D58,D54,D50,D46,D42,D38,D34,D30,D26,D22,D18,D14,D10,D6,D118,D122,D126)</f>
        <v>0</v>
      </c>
      <c r="E129" s="473">
        <f t="shared" si="13"/>
        <v>0</v>
      </c>
      <c r="F129" s="473">
        <f t="shared" si="13"/>
        <v>0</v>
      </c>
      <c r="G129" s="475"/>
    </row>
    <row r="130" spans="1:7" ht="15.75" thickBot="1" x14ac:dyDescent="0.3">
      <c r="A130" s="1450" t="s">
        <v>108</v>
      </c>
      <c r="B130" s="1451"/>
      <c r="C130" s="1451"/>
      <c r="D130" s="1451"/>
      <c r="E130" s="1451"/>
      <c r="F130" s="1451"/>
      <c r="G130" s="1452"/>
    </row>
  </sheetData>
  <mergeCells count="64">
    <mergeCell ref="A11:A14"/>
    <mergeCell ref="G11:G14"/>
    <mergeCell ref="A1:G1"/>
    <mergeCell ref="A3:A6"/>
    <mergeCell ref="G3:G6"/>
    <mergeCell ref="A7:A10"/>
    <mergeCell ref="G7:G10"/>
    <mergeCell ref="A15:A18"/>
    <mergeCell ref="G15:G18"/>
    <mergeCell ref="A19:A22"/>
    <mergeCell ref="G19:G22"/>
    <mergeCell ref="A23:A26"/>
    <mergeCell ref="G23:G26"/>
    <mergeCell ref="A27:A30"/>
    <mergeCell ref="G27:G30"/>
    <mergeCell ref="A31:A34"/>
    <mergeCell ref="G31:G34"/>
    <mergeCell ref="A35:A38"/>
    <mergeCell ref="G35:G38"/>
    <mergeCell ref="A39:A42"/>
    <mergeCell ref="G39:G42"/>
    <mergeCell ref="A43:A46"/>
    <mergeCell ref="G43:G46"/>
    <mergeCell ref="A47:A50"/>
    <mergeCell ref="G47:G50"/>
    <mergeCell ref="A51:A54"/>
    <mergeCell ref="G51:G54"/>
    <mergeCell ref="A55:A58"/>
    <mergeCell ref="G55:G58"/>
    <mergeCell ref="A59:A62"/>
    <mergeCell ref="G59:G62"/>
    <mergeCell ref="A63:A66"/>
    <mergeCell ref="G63:G66"/>
    <mergeCell ref="A67:A70"/>
    <mergeCell ref="G67:G70"/>
    <mergeCell ref="A71:A74"/>
    <mergeCell ref="G71:G74"/>
    <mergeCell ref="A75:A78"/>
    <mergeCell ref="G75:G78"/>
    <mergeCell ref="A79:A82"/>
    <mergeCell ref="G79:G82"/>
    <mergeCell ref="A83:A86"/>
    <mergeCell ref="G83:G86"/>
    <mergeCell ref="A87:A90"/>
    <mergeCell ref="G87:G90"/>
    <mergeCell ref="A91:A94"/>
    <mergeCell ref="G91:G94"/>
    <mergeCell ref="A95:A98"/>
    <mergeCell ref="G95:G98"/>
    <mergeCell ref="A99:A102"/>
    <mergeCell ref="G99:G102"/>
    <mergeCell ref="A103:A106"/>
    <mergeCell ref="G103:G106"/>
    <mergeCell ref="A107:A110"/>
    <mergeCell ref="G107:G110"/>
    <mergeCell ref="A123:A126"/>
    <mergeCell ref="G123:G126"/>
    <mergeCell ref="A130:G130"/>
    <mergeCell ref="A111:A114"/>
    <mergeCell ref="G111:G114"/>
    <mergeCell ref="A115:A118"/>
    <mergeCell ref="G115:G118"/>
    <mergeCell ref="A119:A122"/>
    <mergeCell ref="G119:G12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G130"/>
  <sheetViews>
    <sheetView workbookViewId="0">
      <pane ySplit="2" topLeftCell="A117" activePane="bottomLeft" state="frozen"/>
      <selection pane="bottomLeft" activeCell="B126" sqref="B126"/>
    </sheetView>
  </sheetViews>
  <sheetFormatPr defaultRowHeight="15" x14ac:dyDescent="0.25"/>
  <cols>
    <col min="1" max="1" width="47.7109375" customWidth="1"/>
    <col min="2" max="2" width="25" customWidth="1"/>
    <col min="4" max="4" width="9.140625" style="1"/>
    <col min="7" max="7" width="62" customWidth="1"/>
  </cols>
  <sheetData>
    <row r="1" spans="1:7" ht="21.75" thickBot="1" x14ac:dyDescent="0.4">
      <c r="A1" s="1443" t="s">
        <v>73</v>
      </c>
      <c r="B1" s="1443"/>
      <c r="C1" s="1443"/>
      <c r="D1" s="1443"/>
      <c r="E1" s="1443"/>
      <c r="F1" s="1461"/>
      <c r="G1" s="1443"/>
    </row>
    <row r="2" spans="1:7" ht="16.5" thickBot="1" x14ac:dyDescent="0.3">
      <c r="A2" s="108" t="s">
        <v>98</v>
      </c>
      <c r="B2" s="608"/>
      <c r="C2" s="607" t="s">
        <v>310</v>
      </c>
      <c r="D2" s="607" t="s">
        <v>239</v>
      </c>
      <c r="E2" s="447" t="s">
        <v>100</v>
      </c>
      <c r="F2" s="1020" t="s">
        <v>157</v>
      </c>
      <c r="G2" s="111" t="s">
        <v>101</v>
      </c>
    </row>
    <row r="3" spans="1:7" ht="20.25" customHeight="1" thickBot="1" x14ac:dyDescent="0.3">
      <c r="A3" s="1436">
        <v>44896</v>
      </c>
      <c r="B3" s="453" t="s">
        <v>17</v>
      </c>
      <c r="C3" s="709">
        <v>1</v>
      </c>
      <c r="D3" s="709">
        <v>1</v>
      </c>
      <c r="E3" s="709">
        <v>1</v>
      </c>
      <c r="F3" s="709">
        <v>1</v>
      </c>
      <c r="G3" s="1453" t="s">
        <v>4410</v>
      </c>
    </row>
    <row r="4" spans="1:7" ht="20.25" customHeight="1" thickBot="1" x14ac:dyDescent="0.3">
      <c r="A4" s="1437"/>
      <c r="B4" s="453" t="s">
        <v>102</v>
      </c>
      <c r="C4" s="733">
        <f>24-C5-C6</f>
        <v>0</v>
      </c>
      <c r="D4" s="733">
        <f>24-D5-D6</f>
        <v>15.19</v>
      </c>
      <c r="E4" s="733">
        <f>24-E5-E6</f>
        <v>24</v>
      </c>
      <c r="F4" s="733">
        <f>24-F5-F6</f>
        <v>24</v>
      </c>
      <c r="G4" s="1418"/>
    </row>
    <row r="5" spans="1:7" ht="20.25" customHeight="1" thickBot="1" x14ac:dyDescent="0.3">
      <c r="A5" s="1437"/>
      <c r="B5" s="448" t="s">
        <v>103</v>
      </c>
      <c r="C5" s="731">
        <v>24</v>
      </c>
      <c r="D5" s="731">
        <v>8.81</v>
      </c>
      <c r="E5" s="731">
        <v>0</v>
      </c>
      <c r="F5" s="731">
        <v>0</v>
      </c>
      <c r="G5" s="1418"/>
    </row>
    <row r="6" spans="1:7" ht="20.25" customHeight="1" thickBot="1" x14ac:dyDescent="0.3">
      <c r="A6" s="1438"/>
      <c r="B6" s="457" t="s">
        <v>104</v>
      </c>
      <c r="C6" s="734">
        <v>0</v>
      </c>
      <c r="D6" s="734">
        <v>0</v>
      </c>
      <c r="E6" s="734">
        <v>0</v>
      </c>
      <c r="F6" s="734">
        <v>0</v>
      </c>
      <c r="G6" s="1423"/>
    </row>
    <row r="7" spans="1:7" ht="20.25" customHeight="1" thickBot="1" x14ac:dyDescent="0.3">
      <c r="A7" s="1436">
        <v>44897</v>
      </c>
      <c r="B7" s="453" t="s">
        <v>17</v>
      </c>
      <c r="C7" s="709">
        <v>1</v>
      </c>
      <c r="D7" s="709">
        <v>1</v>
      </c>
      <c r="E7" s="709">
        <v>1</v>
      </c>
      <c r="F7" s="709">
        <v>1</v>
      </c>
      <c r="G7" s="1453" t="s">
        <v>4411</v>
      </c>
    </row>
    <row r="8" spans="1:7" ht="20.25" customHeight="1" thickBot="1" x14ac:dyDescent="0.3">
      <c r="A8" s="1437"/>
      <c r="B8" s="453" t="s">
        <v>102</v>
      </c>
      <c r="C8" s="733">
        <f>24-C9-C10</f>
        <v>0</v>
      </c>
      <c r="D8" s="733">
        <f>24-D9-D10</f>
        <v>8.84</v>
      </c>
      <c r="E8" s="733">
        <f>24-E9-E10</f>
        <v>24</v>
      </c>
      <c r="F8" s="733">
        <f>24-F9-F10</f>
        <v>24</v>
      </c>
      <c r="G8" s="1418"/>
    </row>
    <row r="9" spans="1:7" ht="20.25" customHeight="1" thickBot="1" x14ac:dyDescent="0.3">
      <c r="A9" s="1437"/>
      <c r="B9" s="448" t="s">
        <v>103</v>
      </c>
      <c r="C9" s="731">
        <v>24</v>
      </c>
      <c r="D9" s="731">
        <v>15.16</v>
      </c>
      <c r="E9" s="731">
        <v>0</v>
      </c>
      <c r="F9" s="731">
        <v>0</v>
      </c>
      <c r="G9" s="1418"/>
    </row>
    <row r="10" spans="1:7" ht="20.25" customHeight="1" thickBot="1" x14ac:dyDescent="0.3">
      <c r="A10" s="1438"/>
      <c r="B10" s="457" t="s">
        <v>104</v>
      </c>
      <c r="C10" s="734">
        <v>0</v>
      </c>
      <c r="D10" s="734">
        <v>0</v>
      </c>
      <c r="E10" s="734">
        <v>0</v>
      </c>
      <c r="F10" s="734">
        <v>0</v>
      </c>
      <c r="G10" s="1423"/>
    </row>
    <row r="11" spans="1:7" ht="18" customHeight="1" thickBot="1" x14ac:dyDescent="0.3">
      <c r="A11" s="1436">
        <v>44898</v>
      </c>
      <c r="B11" s="453" t="s">
        <v>17</v>
      </c>
      <c r="C11" s="709">
        <v>1</v>
      </c>
      <c r="D11" s="709">
        <v>1</v>
      </c>
      <c r="E11" s="709">
        <v>1</v>
      </c>
      <c r="F11" s="709">
        <v>1</v>
      </c>
      <c r="G11" s="1453"/>
    </row>
    <row r="12" spans="1:7" ht="18" customHeight="1" thickBot="1" x14ac:dyDescent="0.3">
      <c r="A12" s="1437"/>
      <c r="B12" s="453" t="s">
        <v>102</v>
      </c>
      <c r="C12" s="733">
        <f>24-C13-C14</f>
        <v>0</v>
      </c>
      <c r="D12" s="733">
        <f>24-D13-D14</f>
        <v>24</v>
      </c>
      <c r="E12" s="733">
        <f>24-E13-E14</f>
        <v>24</v>
      </c>
      <c r="F12" s="733">
        <f>24-F13-F14</f>
        <v>24</v>
      </c>
      <c r="G12" s="1418"/>
    </row>
    <row r="13" spans="1:7" ht="18" customHeight="1" thickBot="1" x14ac:dyDescent="0.3">
      <c r="A13" s="1437"/>
      <c r="B13" s="448" t="s">
        <v>103</v>
      </c>
      <c r="C13" s="731">
        <v>24</v>
      </c>
      <c r="D13" s="731">
        <v>0</v>
      </c>
      <c r="E13" s="731">
        <v>0</v>
      </c>
      <c r="F13" s="731">
        <v>0</v>
      </c>
      <c r="G13" s="1418"/>
    </row>
    <row r="14" spans="1:7" ht="18" customHeight="1" thickBot="1" x14ac:dyDescent="0.3">
      <c r="A14" s="1438"/>
      <c r="B14" s="457" t="s">
        <v>104</v>
      </c>
      <c r="C14" s="734">
        <v>0</v>
      </c>
      <c r="D14" s="734">
        <v>0</v>
      </c>
      <c r="E14" s="734">
        <v>0</v>
      </c>
      <c r="F14" s="734">
        <v>0</v>
      </c>
      <c r="G14" s="1423"/>
    </row>
    <row r="15" spans="1:7" ht="21" customHeight="1" thickBot="1" x14ac:dyDescent="0.3">
      <c r="A15" s="1436">
        <v>44899</v>
      </c>
      <c r="B15" s="453" t="s">
        <v>17</v>
      </c>
      <c r="C15" s="709">
        <v>1</v>
      </c>
      <c r="D15" s="709">
        <v>1</v>
      </c>
      <c r="E15" s="709">
        <v>1</v>
      </c>
      <c r="F15" s="709">
        <v>1</v>
      </c>
      <c r="G15" s="1453" t="s">
        <v>4449</v>
      </c>
    </row>
    <row r="16" spans="1:7" ht="21" customHeight="1" thickBot="1" x14ac:dyDescent="0.3">
      <c r="A16" s="1437"/>
      <c r="B16" s="453" t="s">
        <v>102</v>
      </c>
      <c r="C16" s="733">
        <f>24-C17-C18</f>
        <v>0</v>
      </c>
      <c r="D16" s="733">
        <f>24-D17-D18</f>
        <v>11.89</v>
      </c>
      <c r="E16" s="733">
        <f>24-E17-E18</f>
        <v>19.2</v>
      </c>
      <c r="F16" s="733">
        <f>24-F17-F18</f>
        <v>24</v>
      </c>
      <c r="G16" s="1418"/>
    </row>
    <row r="17" spans="1:7" ht="21" customHeight="1" thickBot="1" x14ac:dyDescent="0.3">
      <c r="A17" s="1437"/>
      <c r="B17" s="448" t="s">
        <v>103</v>
      </c>
      <c r="C17" s="731">
        <v>24</v>
      </c>
      <c r="D17" s="731">
        <v>12.11</v>
      </c>
      <c r="E17" s="731">
        <v>4.8</v>
      </c>
      <c r="F17" s="731">
        <v>0</v>
      </c>
      <c r="G17" s="1418"/>
    </row>
    <row r="18" spans="1:7" ht="21" customHeight="1" thickBot="1" x14ac:dyDescent="0.3">
      <c r="A18" s="1438"/>
      <c r="B18" s="457" t="s">
        <v>104</v>
      </c>
      <c r="C18" s="734">
        <v>0</v>
      </c>
      <c r="D18" s="734">
        <v>0</v>
      </c>
      <c r="E18" s="734">
        <v>0</v>
      </c>
      <c r="F18" s="734">
        <v>0</v>
      </c>
      <c r="G18" s="1423"/>
    </row>
    <row r="19" spans="1:7" ht="18" customHeight="1" thickBot="1" x14ac:dyDescent="0.3">
      <c r="A19" s="1436">
        <v>44900</v>
      </c>
      <c r="B19" s="453" t="s">
        <v>17</v>
      </c>
      <c r="C19" s="709">
        <v>1</v>
      </c>
      <c r="D19" s="709">
        <v>1</v>
      </c>
      <c r="E19" s="709">
        <v>1</v>
      </c>
      <c r="F19" s="709">
        <v>1</v>
      </c>
      <c r="G19" s="1453" t="s">
        <v>4450</v>
      </c>
    </row>
    <row r="20" spans="1:7" ht="18" customHeight="1" thickBot="1" x14ac:dyDescent="0.3">
      <c r="A20" s="1437"/>
      <c r="B20" s="453" t="s">
        <v>102</v>
      </c>
      <c r="C20" s="733">
        <f>24-C21-C22</f>
        <v>0</v>
      </c>
      <c r="D20" s="733">
        <f>24-D21-D22</f>
        <v>21.29</v>
      </c>
      <c r="E20" s="733">
        <f>24-E21-E22</f>
        <v>21.25</v>
      </c>
      <c r="F20" s="733">
        <f>24-F21-F22</f>
        <v>24</v>
      </c>
      <c r="G20" s="1418"/>
    </row>
    <row r="21" spans="1:7" ht="18" customHeight="1" thickBot="1" x14ac:dyDescent="0.3">
      <c r="A21" s="1437"/>
      <c r="B21" s="448" t="s">
        <v>103</v>
      </c>
      <c r="C21" s="731">
        <v>24</v>
      </c>
      <c r="D21" s="731">
        <v>2.71</v>
      </c>
      <c r="E21" s="731">
        <v>2.75</v>
      </c>
      <c r="F21" s="731">
        <v>0</v>
      </c>
      <c r="G21" s="1418"/>
    </row>
    <row r="22" spans="1:7" ht="18" customHeight="1" thickBot="1" x14ac:dyDescent="0.3">
      <c r="A22" s="1438"/>
      <c r="B22" s="457" t="s">
        <v>104</v>
      </c>
      <c r="C22" s="734">
        <v>0</v>
      </c>
      <c r="D22" s="734">
        <v>0</v>
      </c>
      <c r="E22" s="734">
        <v>0</v>
      </c>
      <c r="F22" s="734">
        <v>0</v>
      </c>
      <c r="G22" s="1418"/>
    </row>
    <row r="23" spans="1:7" ht="23.25" customHeight="1" thickBot="1" x14ac:dyDescent="0.3">
      <c r="A23" s="1436">
        <v>44901</v>
      </c>
      <c r="B23" s="453" t="s">
        <v>17</v>
      </c>
      <c r="C23" s="709">
        <v>1</v>
      </c>
      <c r="D23" s="709">
        <v>1</v>
      </c>
      <c r="E23" s="709">
        <v>1</v>
      </c>
      <c r="F23" s="709">
        <v>1</v>
      </c>
      <c r="G23" s="1453" t="s">
        <v>4456</v>
      </c>
    </row>
    <row r="24" spans="1:7" ht="23.25" customHeight="1" thickBot="1" x14ac:dyDescent="0.3">
      <c r="A24" s="1437"/>
      <c r="B24" s="453" t="s">
        <v>102</v>
      </c>
      <c r="C24" s="733">
        <f>24-C25-C26</f>
        <v>0</v>
      </c>
      <c r="D24" s="733">
        <f>24-D25-D26</f>
        <v>10.95</v>
      </c>
      <c r="E24" s="733">
        <v>24</v>
      </c>
      <c r="F24" s="733">
        <f>24-F25-F26</f>
        <v>24</v>
      </c>
      <c r="G24" s="1418"/>
    </row>
    <row r="25" spans="1:7" ht="23.25" customHeight="1" thickBot="1" x14ac:dyDescent="0.3">
      <c r="A25" s="1437"/>
      <c r="B25" s="448" t="s">
        <v>103</v>
      </c>
      <c r="C25" s="731">
        <v>24</v>
      </c>
      <c r="D25" s="731">
        <v>13.05</v>
      </c>
      <c r="E25" s="731">
        <v>0</v>
      </c>
      <c r="F25" s="731">
        <v>0</v>
      </c>
      <c r="G25" s="1418"/>
    </row>
    <row r="26" spans="1:7" ht="23.25" customHeight="1" thickBot="1" x14ac:dyDescent="0.3">
      <c r="A26" s="1438"/>
      <c r="B26" s="457" t="s">
        <v>104</v>
      </c>
      <c r="C26" s="734">
        <v>0</v>
      </c>
      <c r="D26" s="734">
        <v>0</v>
      </c>
      <c r="E26" s="734">
        <v>0</v>
      </c>
      <c r="F26" s="734">
        <v>0</v>
      </c>
      <c r="G26" s="1418"/>
    </row>
    <row r="27" spans="1:7" ht="20.25" customHeight="1" thickBot="1" x14ac:dyDescent="0.3">
      <c r="A27" s="1436">
        <v>44902</v>
      </c>
      <c r="B27" s="453" t="s">
        <v>17</v>
      </c>
      <c r="C27" s="709">
        <v>1</v>
      </c>
      <c r="D27" s="709">
        <v>1</v>
      </c>
      <c r="E27" s="709">
        <v>1</v>
      </c>
      <c r="F27" s="709">
        <v>1</v>
      </c>
      <c r="G27" s="1453" t="s">
        <v>4457</v>
      </c>
    </row>
    <row r="28" spans="1:7" ht="20.25" customHeight="1" thickBot="1" x14ac:dyDescent="0.3">
      <c r="A28" s="1437"/>
      <c r="B28" s="453" t="s">
        <v>102</v>
      </c>
      <c r="C28" s="733">
        <f>24-C29-C30</f>
        <v>0</v>
      </c>
      <c r="D28" s="733">
        <f>24-D29-D30</f>
        <v>8.07</v>
      </c>
      <c r="E28" s="733">
        <v>24</v>
      </c>
      <c r="F28" s="733">
        <f>24-F29-F30</f>
        <v>24</v>
      </c>
      <c r="G28" s="1418"/>
    </row>
    <row r="29" spans="1:7" ht="20.25" customHeight="1" thickBot="1" x14ac:dyDescent="0.3">
      <c r="A29" s="1437"/>
      <c r="B29" s="448" t="s">
        <v>103</v>
      </c>
      <c r="C29" s="731">
        <v>24</v>
      </c>
      <c r="D29" s="731">
        <v>15.93</v>
      </c>
      <c r="E29" s="731">
        <v>0</v>
      </c>
      <c r="F29" s="731">
        <v>0</v>
      </c>
      <c r="G29" s="1418"/>
    </row>
    <row r="30" spans="1:7" ht="20.25" customHeight="1" thickBot="1" x14ac:dyDescent="0.3">
      <c r="A30" s="1438"/>
      <c r="B30" s="457" t="s">
        <v>104</v>
      </c>
      <c r="C30" s="734">
        <v>0</v>
      </c>
      <c r="D30" s="734">
        <v>0</v>
      </c>
      <c r="E30" s="734">
        <v>0</v>
      </c>
      <c r="F30" s="734">
        <v>0</v>
      </c>
      <c r="G30" s="1418"/>
    </row>
    <row r="31" spans="1:7" ht="20.25" customHeight="1" thickBot="1" x14ac:dyDescent="0.3">
      <c r="A31" s="1436">
        <v>44903</v>
      </c>
      <c r="B31" s="453" t="s">
        <v>17</v>
      </c>
      <c r="C31" s="709">
        <v>1</v>
      </c>
      <c r="D31" s="709">
        <v>1</v>
      </c>
      <c r="E31" s="709">
        <v>1</v>
      </c>
      <c r="F31" s="709">
        <v>1</v>
      </c>
      <c r="G31" s="1453"/>
    </row>
    <row r="32" spans="1:7" ht="20.25" customHeight="1" thickBot="1" x14ac:dyDescent="0.3">
      <c r="A32" s="1437"/>
      <c r="B32" s="453" t="s">
        <v>102</v>
      </c>
      <c r="C32" s="733">
        <f>24-C33-C34</f>
        <v>0</v>
      </c>
      <c r="D32" s="733">
        <f>24-D33-D34</f>
        <v>24</v>
      </c>
      <c r="E32" s="733">
        <v>24</v>
      </c>
      <c r="F32" s="733">
        <f>24-F33-F34</f>
        <v>24</v>
      </c>
      <c r="G32" s="1418"/>
    </row>
    <row r="33" spans="1:7" ht="20.25" customHeight="1" thickBot="1" x14ac:dyDescent="0.3">
      <c r="A33" s="1437"/>
      <c r="B33" s="448" t="s">
        <v>103</v>
      </c>
      <c r="C33" s="731">
        <v>24</v>
      </c>
      <c r="D33" s="731">
        <v>0</v>
      </c>
      <c r="E33" s="731">
        <v>0</v>
      </c>
      <c r="F33" s="731">
        <v>0</v>
      </c>
      <c r="G33" s="1418"/>
    </row>
    <row r="34" spans="1:7" ht="20.25" customHeight="1" thickBot="1" x14ac:dyDescent="0.3">
      <c r="A34" s="1438"/>
      <c r="B34" s="457" t="s">
        <v>104</v>
      </c>
      <c r="C34" s="734">
        <v>0</v>
      </c>
      <c r="D34" s="734">
        <v>0</v>
      </c>
      <c r="E34" s="734">
        <v>0</v>
      </c>
      <c r="F34" s="734">
        <v>0</v>
      </c>
      <c r="G34" s="1423"/>
    </row>
    <row r="35" spans="1:7" ht="23.25" customHeight="1" thickBot="1" x14ac:dyDescent="0.3">
      <c r="A35" s="1436">
        <v>44904</v>
      </c>
      <c r="B35" s="453" t="s">
        <v>17</v>
      </c>
      <c r="C35" s="709">
        <v>1</v>
      </c>
      <c r="D35" s="709">
        <v>1</v>
      </c>
      <c r="E35" s="709">
        <v>1</v>
      </c>
      <c r="F35" s="709">
        <v>1</v>
      </c>
      <c r="G35" s="1453" t="s">
        <v>4494</v>
      </c>
    </row>
    <row r="36" spans="1:7" ht="23.25" customHeight="1" thickBot="1" x14ac:dyDescent="0.3">
      <c r="A36" s="1437"/>
      <c r="B36" s="453" t="s">
        <v>102</v>
      </c>
      <c r="C36" s="733">
        <f>24-C37-C38</f>
        <v>5.9999999999998721E-2</v>
      </c>
      <c r="D36" s="733">
        <f>24-D37-D38</f>
        <v>12.7</v>
      </c>
      <c r="E36" s="733">
        <f>24-E37-E38</f>
        <v>20.14</v>
      </c>
      <c r="F36" s="733">
        <f>24-F37-F38</f>
        <v>24</v>
      </c>
      <c r="G36" s="1418"/>
    </row>
    <row r="37" spans="1:7" ht="23.25" customHeight="1" thickBot="1" x14ac:dyDescent="0.3">
      <c r="A37" s="1437"/>
      <c r="B37" s="448" t="s">
        <v>103</v>
      </c>
      <c r="C37" s="731">
        <v>23.94</v>
      </c>
      <c r="D37" s="731">
        <v>11.3</v>
      </c>
      <c r="E37" s="731">
        <v>3.86</v>
      </c>
      <c r="F37" s="731">
        <v>0</v>
      </c>
      <c r="G37" s="1418"/>
    </row>
    <row r="38" spans="1:7" ht="23.25" customHeight="1" thickBot="1" x14ac:dyDescent="0.3">
      <c r="A38" s="1438"/>
      <c r="B38" s="457" t="s">
        <v>104</v>
      </c>
      <c r="C38" s="734">
        <v>0</v>
      </c>
      <c r="D38" s="734">
        <v>0</v>
      </c>
      <c r="E38" s="734">
        <v>0</v>
      </c>
      <c r="F38" s="734">
        <v>0</v>
      </c>
      <c r="G38" s="1423"/>
    </row>
    <row r="39" spans="1:7" ht="23.25" customHeight="1" thickBot="1" x14ac:dyDescent="0.3">
      <c r="A39" s="1436">
        <v>44905</v>
      </c>
      <c r="B39" s="453" t="s">
        <v>17</v>
      </c>
      <c r="C39" s="709">
        <v>1</v>
      </c>
      <c r="D39" s="709">
        <v>1</v>
      </c>
      <c r="E39" s="709">
        <v>1</v>
      </c>
      <c r="F39" s="709">
        <v>1</v>
      </c>
      <c r="G39" s="1453" t="s">
        <v>4519</v>
      </c>
    </row>
    <row r="40" spans="1:7" ht="23.25" customHeight="1" thickBot="1" x14ac:dyDescent="0.3">
      <c r="A40" s="1437"/>
      <c r="B40" s="453" t="s">
        <v>102</v>
      </c>
      <c r="C40" s="733">
        <f>24-C41-C42</f>
        <v>22.07</v>
      </c>
      <c r="D40" s="733">
        <f>24-D41-D42</f>
        <v>24</v>
      </c>
      <c r="E40" s="733">
        <f>24-E41-E42</f>
        <v>24</v>
      </c>
      <c r="F40" s="733">
        <f>24-F41-F42</f>
        <v>24</v>
      </c>
      <c r="G40" s="1418"/>
    </row>
    <row r="41" spans="1:7" ht="23.25" customHeight="1" thickBot="1" x14ac:dyDescent="0.3">
      <c r="A41" s="1437"/>
      <c r="B41" s="448" t="s">
        <v>103</v>
      </c>
      <c r="C41" s="731">
        <v>1.93</v>
      </c>
      <c r="D41" s="731">
        <v>0</v>
      </c>
      <c r="E41" s="731">
        <v>0</v>
      </c>
      <c r="F41" s="731">
        <v>0</v>
      </c>
      <c r="G41" s="1418"/>
    </row>
    <row r="42" spans="1:7" ht="23.25" customHeight="1" thickBot="1" x14ac:dyDescent="0.3">
      <c r="A42" s="1438"/>
      <c r="B42" s="457" t="s">
        <v>104</v>
      </c>
      <c r="C42" s="734">
        <v>0</v>
      </c>
      <c r="D42" s="734">
        <v>0</v>
      </c>
      <c r="E42" s="734">
        <v>0</v>
      </c>
      <c r="F42" s="734">
        <v>0</v>
      </c>
      <c r="G42" s="1423"/>
    </row>
    <row r="43" spans="1:7" ht="20.25" customHeight="1" thickBot="1" x14ac:dyDescent="0.3">
      <c r="A43" s="1436">
        <v>44906</v>
      </c>
      <c r="B43" s="453" t="s">
        <v>17</v>
      </c>
      <c r="C43" s="709">
        <v>1</v>
      </c>
      <c r="D43" s="709">
        <v>1</v>
      </c>
      <c r="E43" s="709">
        <v>1</v>
      </c>
      <c r="F43" s="709">
        <v>1</v>
      </c>
      <c r="G43" s="1453" t="s">
        <v>4520</v>
      </c>
    </row>
    <row r="44" spans="1:7" ht="20.25" customHeight="1" thickBot="1" x14ac:dyDescent="0.3">
      <c r="A44" s="1437"/>
      <c r="B44" s="453" t="s">
        <v>102</v>
      </c>
      <c r="C44" s="733">
        <f>24-C45-C46</f>
        <v>0</v>
      </c>
      <c r="D44" s="733">
        <f>24-D45-D46</f>
        <v>12.84</v>
      </c>
      <c r="E44" s="733">
        <f>24-E45-E46</f>
        <v>24</v>
      </c>
      <c r="F44" s="733">
        <f>24-F45-F46</f>
        <v>24</v>
      </c>
      <c r="G44" s="1418"/>
    </row>
    <row r="45" spans="1:7" ht="20.25" customHeight="1" thickBot="1" x14ac:dyDescent="0.3">
      <c r="A45" s="1437"/>
      <c r="B45" s="448" t="s">
        <v>103</v>
      </c>
      <c r="C45" s="731">
        <v>24</v>
      </c>
      <c r="D45" s="731">
        <v>11.16</v>
      </c>
      <c r="E45" s="731">
        <v>0</v>
      </c>
      <c r="F45" s="731">
        <v>0</v>
      </c>
      <c r="G45" s="1418"/>
    </row>
    <row r="46" spans="1:7" ht="20.25" customHeight="1" thickBot="1" x14ac:dyDescent="0.3">
      <c r="A46" s="1438"/>
      <c r="B46" s="457" t="s">
        <v>104</v>
      </c>
      <c r="C46" s="734">
        <v>0</v>
      </c>
      <c r="D46" s="734">
        <v>0</v>
      </c>
      <c r="E46" s="734">
        <v>0</v>
      </c>
      <c r="F46" s="734">
        <v>0</v>
      </c>
      <c r="G46" s="1423"/>
    </row>
    <row r="47" spans="1:7" ht="24" customHeight="1" thickBot="1" x14ac:dyDescent="0.3">
      <c r="A47" s="1436">
        <v>44907</v>
      </c>
      <c r="B47" s="453" t="s">
        <v>17</v>
      </c>
      <c r="C47" s="709">
        <v>1</v>
      </c>
      <c r="D47" s="709">
        <v>1</v>
      </c>
      <c r="E47" s="709">
        <v>1</v>
      </c>
      <c r="F47" s="709">
        <v>1</v>
      </c>
      <c r="G47" s="1453"/>
    </row>
    <row r="48" spans="1:7" ht="24" customHeight="1" thickBot="1" x14ac:dyDescent="0.3">
      <c r="A48" s="1437"/>
      <c r="B48" s="453" t="s">
        <v>102</v>
      </c>
      <c r="C48" s="733">
        <f>24-C49-C50</f>
        <v>0</v>
      </c>
      <c r="D48" s="733">
        <f>24-D49-D50</f>
        <v>24</v>
      </c>
      <c r="E48" s="733">
        <f>24-E49-E50</f>
        <v>24</v>
      </c>
      <c r="F48" s="733">
        <f>24-F49-F50</f>
        <v>24</v>
      </c>
      <c r="G48" s="1418"/>
    </row>
    <row r="49" spans="1:7" ht="24" customHeight="1" thickBot="1" x14ac:dyDescent="0.3">
      <c r="A49" s="1437"/>
      <c r="B49" s="448" t="s">
        <v>103</v>
      </c>
      <c r="C49" s="731">
        <v>24</v>
      </c>
      <c r="D49" s="731">
        <v>0</v>
      </c>
      <c r="E49" s="731">
        <v>0</v>
      </c>
      <c r="F49" s="731">
        <v>0</v>
      </c>
      <c r="G49" s="1418"/>
    </row>
    <row r="50" spans="1:7" ht="24" customHeight="1" thickBot="1" x14ac:dyDescent="0.3">
      <c r="A50" s="1438"/>
      <c r="B50" s="457" t="s">
        <v>104</v>
      </c>
      <c r="C50" s="734">
        <v>0</v>
      </c>
      <c r="D50" s="734">
        <v>0</v>
      </c>
      <c r="E50" s="734">
        <v>0</v>
      </c>
      <c r="F50" s="734">
        <v>0</v>
      </c>
      <c r="G50" s="1418"/>
    </row>
    <row r="51" spans="1:7" ht="20.25" customHeight="1" thickBot="1" x14ac:dyDescent="0.3">
      <c r="A51" s="1436">
        <v>44908</v>
      </c>
      <c r="B51" s="453" t="s">
        <v>17</v>
      </c>
      <c r="C51" s="709">
        <v>1</v>
      </c>
      <c r="D51" s="709">
        <v>1</v>
      </c>
      <c r="E51" s="709">
        <v>1</v>
      </c>
      <c r="F51" s="709">
        <v>1</v>
      </c>
      <c r="G51" s="1453" t="s">
        <v>4578</v>
      </c>
    </row>
    <row r="52" spans="1:7" ht="20.25" customHeight="1" thickBot="1" x14ac:dyDescent="0.3">
      <c r="A52" s="1437"/>
      <c r="B52" s="453" t="s">
        <v>102</v>
      </c>
      <c r="C52" s="733">
        <f>24-C53-C54</f>
        <v>0</v>
      </c>
      <c r="D52" s="733">
        <f>24-D53-D54</f>
        <v>4.5</v>
      </c>
      <c r="E52" s="733">
        <f>24-E53-E54</f>
        <v>24</v>
      </c>
      <c r="F52" s="733">
        <f>24-F53-F54</f>
        <v>24</v>
      </c>
      <c r="G52" s="1418"/>
    </row>
    <row r="53" spans="1:7" ht="20.25" customHeight="1" thickBot="1" x14ac:dyDescent="0.3">
      <c r="A53" s="1437"/>
      <c r="B53" s="448" t="s">
        <v>103</v>
      </c>
      <c r="C53" s="731">
        <v>24</v>
      </c>
      <c r="D53" s="731">
        <v>19.5</v>
      </c>
      <c r="E53" s="731">
        <v>0</v>
      </c>
      <c r="F53" s="731">
        <v>0</v>
      </c>
      <c r="G53" s="1418"/>
    </row>
    <row r="54" spans="1:7" ht="20.25" customHeight="1" thickBot="1" x14ac:dyDescent="0.3">
      <c r="A54" s="1438"/>
      <c r="B54" s="457" t="s">
        <v>104</v>
      </c>
      <c r="C54" s="734">
        <v>0</v>
      </c>
      <c r="D54" s="734">
        <v>0</v>
      </c>
      <c r="E54" s="734">
        <v>0</v>
      </c>
      <c r="F54" s="734">
        <v>0</v>
      </c>
      <c r="G54" s="1418"/>
    </row>
    <row r="55" spans="1:7" ht="20.25" customHeight="1" thickBot="1" x14ac:dyDescent="0.3">
      <c r="A55" s="1436">
        <v>44909</v>
      </c>
      <c r="B55" s="453" t="s">
        <v>17</v>
      </c>
      <c r="C55" s="709">
        <v>1</v>
      </c>
      <c r="D55" s="709">
        <v>1</v>
      </c>
      <c r="E55" s="709">
        <v>1</v>
      </c>
      <c r="F55" s="709">
        <v>1</v>
      </c>
      <c r="G55" s="1453" t="s">
        <v>4508</v>
      </c>
    </row>
    <row r="56" spans="1:7" ht="20.25" customHeight="1" thickBot="1" x14ac:dyDescent="0.3">
      <c r="A56" s="1437"/>
      <c r="B56" s="453" t="s">
        <v>102</v>
      </c>
      <c r="C56" s="733">
        <f>24-C57-C58</f>
        <v>0</v>
      </c>
      <c r="D56" s="733">
        <f>24-D57-D58</f>
        <v>21</v>
      </c>
      <c r="E56" s="733">
        <f>24-E57-E58</f>
        <v>24</v>
      </c>
      <c r="F56" s="733">
        <f>24-F57-F58</f>
        <v>24</v>
      </c>
      <c r="G56" s="1418"/>
    </row>
    <row r="57" spans="1:7" ht="20.25" customHeight="1" thickBot="1" x14ac:dyDescent="0.3">
      <c r="A57" s="1437"/>
      <c r="B57" s="448" t="s">
        <v>103</v>
      </c>
      <c r="C57" s="731">
        <v>24</v>
      </c>
      <c r="D57" s="731">
        <v>3</v>
      </c>
      <c r="E57" s="731">
        <v>0</v>
      </c>
      <c r="F57" s="731">
        <v>0</v>
      </c>
      <c r="G57" s="1418"/>
    </row>
    <row r="58" spans="1:7" ht="20.25" customHeight="1" thickBot="1" x14ac:dyDescent="0.3">
      <c r="A58" s="1438"/>
      <c r="B58" s="457" t="s">
        <v>104</v>
      </c>
      <c r="C58" s="734">
        <v>0</v>
      </c>
      <c r="D58" s="734">
        <v>0</v>
      </c>
      <c r="E58" s="734">
        <v>0</v>
      </c>
      <c r="F58" s="734">
        <v>0</v>
      </c>
      <c r="G58" s="1423"/>
    </row>
    <row r="59" spans="1:7" ht="21" customHeight="1" thickBot="1" x14ac:dyDescent="0.3">
      <c r="A59" s="1436">
        <v>44910</v>
      </c>
      <c r="B59" s="453" t="s">
        <v>17</v>
      </c>
      <c r="C59" s="709">
        <v>1</v>
      </c>
      <c r="D59" s="709">
        <v>1</v>
      </c>
      <c r="E59" s="709">
        <v>1</v>
      </c>
      <c r="F59" s="709">
        <v>1</v>
      </c>
      <c r="G59" s="1464" t="s">
        <v>4515</v>
      </c>
    </row>
    <row r="60" spans="1:7" ht="21" customHeight="1" thickBot="1" x14ac:dyDescent="0.3">
      <c r="A60" s="1437"/>
      <c r="B60" s="453" t="s">
        <v>102</v>
      </c>
      <c r="C60" s="733">
        <f>24-C61-C62</f>
        <v>0</v>
      </c>
      <c r="D60" s="733">
        <f>24-D61-D62</f>
        <v>7.7899999999999991</v>
      </c>
      <c r="E60" s="733">
        <f>24-E61-E62</f>
        <v>24</v>
      </c>
      <c r="F60" s="733">
        <f>24-F61-F62</f>
        <v>24</v>
      </c>
      <c r="G60" s="1465"/>
    </row>
    <row r="61" spans="1:7" ht="21" customHeight="1" thickBot="1" x14ac:dyDescent="0.3">
      <c r="A61" s="1437"/>
      <c r="B61" s="448" t="s">
        <v>103</v>
      </c>
      <c r="C61" s="731">
        <v>24</v>
      </c>
      <c r="D61" s="731">
        <v>16.21</v>
      </c>
      <c r="E61" s="731">
        <v>0</v>
      </c>
      <c r="F61" s="731">
        <v>0</v>
      </c>
      <c r="G61" s="1465"/>
    </row>
    <row r="62" spans="1:7" ht="21" customHeight="1" thickBot="1" x14ac:dyDescent="0.3">
      <c r="A62" s="1438"/>
      <c r="B62" s="457" t="s">
        <v>104</v>
      </c>
      <c r="C62" s="734">
        <v>0</v>
      </c>
      <c r="D62" s="734">
        <v>0</v>
      </c>
      <c r="E62" s="734">
        <v>0</v>
      </c>
      <c r="F62" s="734">
        <v>0</v>
      </c>
      <c r="G62" s="1465"/>
    </row>
    <row r="63" spans="1:7" ht="20.25" customHeight="1" thickBot="1" x14ac:dyDescent="0.3">
      <c r="A63" s="1436">
        <v>44911</v>
      </c>
      <c r="B63" s="453" t="s">
        <v>17</v>
      </c>
      <c r="C63" s="709">
        <v>1</v>
      </c>
      <c r="D63" s="709">
        <v>1</v>
      </c>
      <c r="E63" s="709">
        <v>1</v>
      </c>
      <c r="F63" s="709">
        <v>1</v>
      </c>
      <c r="G63" s="1453" t="s">
        <v>4541</v>
      </c>
    </row>
    <row r="64" spans="1:7" ht="20.25" customHeight="1" thickBot="1" x14ac:dyDescent="0.3">
      <c r="A64" s="1437"/>
      <c r="B64" s="453" t="s">
        <v>102</v>
      </c>
      <c r="C64" s="733">
        <f>24-C65-C66</f>
        <v>12.64</v>
      </c>
      <c r="D64" s="733">
        <f>24-D65-D66</f>
        <v>19.149999999999999</v>
      </c>
      <c r="E64" s="733">
        <f>24-E65-E66</f>
        <v>24</v>
      </c>
      <c r="F64" s="733">
        <f>24-F65-F66</f>
        <v>24</v>
      </c>
      <c r="G64" s="1418"/>
    </row>
    <row r="65" spans="1:7" ht="20.25" customHeight="1" thickBot="1" x14ac:dyDescent="0.3">
      <c r="A65" s="1437"/>
      <c r="B65" s="448" t="s">
        <v>103</v>
      </c>
      <c r="C65" s="731">
        <v>11.36</v>
      </c>
      <c r="D65" s="731">
        <v>4.8499999999999996</v>
      </c>
      <c r="E65" s="731">
        <v>0</v>
      </c>
      <c r="F65" s="731">
        <v>0</v>
      </c>
      <c r="G65" s="1418"/>
    </row>
    <row r="66" spans="1:7" ht="20.25" customHeight="1" thickBot="1" x14ac:dyDescent="0.3">
      <c r="A66" s="1438"/>
      <c r="B66" s="457" t="s">
        <v>104</v>
      </c>
      <c r="C66" s="734">
        <v>0</v>
      </c>
      <c r="D66" s="734">
        <v>0</v>
      </c>
      <c r="E66" s="734">
        <v>0</v>
      </c>
      <c r="F66" s="734">
        <v>0</v>
      </c>
      <c r="G66" s="1423"/>
    </row>
    <row r="67" spans="1:7" ht="20.25" customHeight="1" thickBot="1" x14ac:dyDescent="0.3">
      <c r="A67" s="1436">
        <v>44912</v>
      </c>
      <c r="B67" s="453" t="s">
        <v>17</v>
      </c>
      <c r="C67" s="709">
        <v>1</v>
      </c>
      <c r="D67" s="709">
        <v>1</v>
      </c>
      <c r="E67" s="709">
        <v>1</v>
      </c>
      <c r="F67" s="709">
        <v>1</v>
      </c>
      <c r="G67" s="1453" t="s">
        <v>4540</v>
      </c>
    </row>
    <row r="68" spans="1:7" ht="20.25" customHeight="1" thickBot="1" x14ac:dyDescent="0.3">
      <c r="A68" s="1437"/>
      <c r="B68" s="453" t="s">
        <v>102</v>
      </c>
      <c r="C68" s="733">
        <f>24-C69-C70</f>
        <v>24</v>
      </c>
      <c r="D68" s="733">
        <f>24-D69-D70</f>
        <v>9.7200000000000006</v>
      </c>
      <c r="E68" s="733">
        <f>24-E69-E70</f>
        <v>24</v>
      </c>
      <c r="F68" s="733">
        <f>24-F69-F70</f>
        <v>24</v>
      </c>
      <c r="G68" s="1418"/>
    </row>
    <row r="69" spans="1:7" ht="20.25" customHeight="1" thickBot="1" x14ac:dyDescent="0.3">
      <c r="A69" s="1437"/>
      <c r="B69" s="448" t="s">
        <v>103</v>
      </c>
      <c r="C69" s="731">
        <v>0</v>
      </c>
      <c r="D69" s="731">
        <v>14.28</v>
      </c>
      <c r="E69" s="731">
        <v>0</v>
      </c>
      <c r="F69" s="731">
        <v>0</v>
      </c>
      <c r="G69" s="1418"/>
    </row>
    <row r="70" spans="1:7" ht="20.25" customHeight="1" thickBot="1" x14ac:dyDescent="0.3">
      <c r="A70" s="1438"/>
      <c r="B70" s="457" t="s">
        <v>104</v>
      </c>
      <c r="C70" s="734">
        <v>0</v>
      </c>
      <c r="D70" s="734">
        <v>0</v>
      </c>
      <c r="E70" s="734">
        <v>0</v>
      </c>
      <c r="F70" s="734">
        <v>0</v>
      </c>
      <c r="G70" s="1423"/>
    </row>
    <row r="71" spans="1:7" ht="39" customHeight="1" thickBot="1" x14ac:dyDescent="0.3">
      <c r="A71" s="1436">
        <v>44913</v>
      </c>
      <c r="B71" s="453" t="s">
        <v>17</v>
      </c>
      <c r="C71" s="709">
        <v>1</v>
      </c>
      <c r="D71" s="709">
        <v>1</v>
      </c>
      <c r="E71" s="709">
        <v>1</v>
      </c>
      <c r="F71" s="709">
        <v>1</v>
      </c>
      <c r="G71" s="1447" t="s">
        <v>4552</v>
      </c>
    </row>
    <row r="72" spans="1:7" ht="39" customHeight="1" thickBot="1" x14ac:dyDescent="0.3">
      <c r="A72" s="1437"/>
      <c r="B72" s="453" t="s">
        <v>102</v>
      </c>
      <c r="C72" s="733">
        <f>24-C73-C74</f>
        <v>8.42</v>
      </c>
      <c r="D72" s="733">
        <f>24-D73-D74</f>
        <v>13.17</v>
      </c>
      <c r="E72" s="733">
        <f>24-E73-E74</f>
        <v>24</v>
      </c>
      <c r="F72" s="733">
        <f>24-F73-F74</f>
        <v>12.2</v>
      </c>
      <c r="G72" s="1454"/>
    </row>
    <row r="73" spans="1:7" ht="39" customHeight="1" thickBot="1" x14ac:dyDescent="0.3">
      <c r="A73" s="1437"/>
      <c r="B73" s="448" t="s">
        <v>103</v>
      </c>
      <c r="C73" s="1077">
        <v>15.58</v>
      </c>
      <c r="D73" s="1077">
        <v>10.83</v>
      </c>
      <c r="E73" s="1077">
        <v>0</v>
      </c>
      <c r="F73" s="1077">
        <v>11.8</v>
      </c>
      <c r="G73" s="1454"/>
    </row>
    <row r="74" spans="1:7" ht="39" customHeight="1" thickBot="1" x14ac:dyDescent="0.3">
      <c r="A74" s="1438"/>
      <c r="B74" s="457" t="s">
        <v>104</v>
      </c>
      <c r="C74" s="734">
        <v>0</v>
      </c>
      <c r="D74" s="734">
        <v>0</v>
      </c>
      <c r="E74" s="734">
        <v>0</v>
      </c>
      <c r="F74" s="734">
        <v>0</v>
      </c>
      <c r="G74" s="1455"/>
    </row>
    <row r="75" spans="1:7" ht="26.25" customHeight="1" thickBot="1" x14ac:dyDescent="0.3">
      <c r="A75" s="1436">
        <v>44914</v>
      </c>
      <c r="B75" s="453" t="s">
        <v>17</v>
      </c>
      <c r="C75" s="709">
        <v>1</v>
      </c>
      <c r="D75" s="709">
        <v>1</v>
      </c>
      <c r="E75" s="709">
        <v>1</v>
      </c>
      <c r="F75" s="709">
        <v>1</v>
      </c>
      <c r="G75" s="1447" t="s">
        <v>4561</v>
      </c>
    </row>
    <row r="76" spans="1:7" ht="26.25" customHeight="1" thickBot="1" x14ac:dyDescent="0.3">
      <c r="A76" s="1437"/>
      <c r="B76" s="453" t="s">
        <v>102</v>
      </c>
      <c r="C76" s="733">
        <f>24-C77-C78</f>
        <v>0</v>
      </c>
      <c r="D76" s="733">
        <f>24-D77-D78</f>
        <v>20.39</v>
      </c>
      <c r="E76" s="733">
        <f>24-E77-E78</f>
        <v>24</v>
      </c>
      <c r="F76" s="733">
        <f>24-F77-F78</f>
        <v>11.1</v>
      </c>
      <c r="G76" s="1448"/>
    </row>
    <row r="77" spans="1:7" ht="26.25" customHeight="1" thickBot="1" x14ac:dyDescent="0.3">
      <c r="A77" s="1437"/>
      <c r="B77" s="448" t="s">
        <v>103</v>
      </c>
      <c r="C77" s="1077">
        <v>24</v>
      </c>
      <c r="D77" s="1077">
        <v>3.61</v>
      </c>
      <c r="E77" s="1077">
        <v>0</v>
      </c>
      <c r="F77" s="1077">
        <v>12.9</v>
      </c>
      <c r="G77" s="1448"/>
    </row>
    <row r="78" spans="1:7" ht="26.25" customHeight="1" thickBot="1" x14ac:dyDescent="0.3">
      <c r="A78" s="1438"/>
      <c r="B78" s="457" t="s">
        <v>104</v>
      </c>
      <c r="C78" s="734">
        <v>0</v>
      </c>
      <c r="D78" s="734">
        <v>0</v>
      </c>
      <c r="E78" s="734">
        <v>0</v>
      </c>
      <c r="F78" s="734">
        <v>0</v>
      </c>
      <c r="G78" s="1449"/>
    </row>
    <row r="79" spans="1:7" ht="20.25" customHeight="1" thickBot="1" x14ac:dyDescent="0.3">
      <c r="A79" s="1436">
        <v>44915</v>
      </c>
      <c r="B79" s="453" t="s">
        <v>17</v>
      </c>
      <c r="C79" s="709">
        <v>1</v>
      </c>
      <c r="D79" s="709">
        <v>1</v>
      </c>
      <c r="E79" s="709">
        <v>1</v>
      </c>
      <c r="F79" s="709">
        <v>1</v>
      </c>
      <c r="G79" s="1447" t="s">
        <v>4579</v>
      </c>
    </row>
    <row r="80" spans="1:7" ht="20.25" customHeight="1" thickBot="1" x14ac:dyDescent="0.3">
      <c r="A80" s="1437"/>
      <c r="B80" s="453" t="s">
        <v>102</v>
      </c>
      <c r="C80" s="733">
        <f>24-C81-C82</f>
        <v>0</v>
      </c>
      <c r="D80" s="733">
        <f>24-D81-D82</f>
        <v>7.8900000000000006</v>
      </c>
      <c r="E80" s="733">
        <f>24-E81-E82</f>
        <v>24</v>
      </c>
      <c r="F80" s="733">
        <f>24-F81-F82</f>
        <v>24</v>
      </c>
      <c r="G80" s="1448"/>
    </row>
    <row r="81" spans="1:7" ht="20.25" customHeight="1" thickBot="1" x14ac:dyDescent="0.3">
      <c r="A81" s="1437"/>
      <c r="B81" s="448" t="s">
        <v>103</v>
      </c>
      <c r="C81" s="1077">
        <v>24</v>
      </c>
      <c r="D81" s="1077">
        <v>16.11</v>
      </c>
      <c r="E81" s="1077">
        <v>0</v>
      </c>
      <c r="F81" s="1077">
        <v>0</v>
      </c>
      <c r="G81" s="1448"/>
    </row>
    <row r="82" spans="1:7" ht="20.25" customHeight="1" thickBot="1" x14ac:dyDescent="0.3">
      <c r="A82" s="1438"/>
      <c r="B82" s="457" t="s">
        <v>104</v>
      </c>
      <c r="C82" s="734">
        <v>0</v>
      </c>
      <c r="D82" s="734">
        <v>0</v>
      </c>
      <c r="E82" s="734">
        <v>0</v>
      </c>
      <c r="F82" s="734">
        <v>0</v>
      </c>
      <c r="G82" s="1448"/>
    </row>
    <row r="83" spans="1:7" ht="20.25" customHeight="1" thickBot="1" x14ac:dyDescent="0.3">
      <c r="A83" s="1436">
        <v>44916</v>
      </c>
      <c r="B83" s="453" t="s">
        <v>17</v>
      </c>
      <c r="C83" s="709">
        <v>1</v>
      </c>
      <c r="D83" s="709">
        <v>1</v>
      </c>
      <c r="E83" s="709">
        <v>1</v>
      </c>
      <c r="F83" s="709">
        <v>1</v>
      </c>
      <c r="G83" s="1462" t="s">
        <v>4588</v>
      </c>
    </row>
    <row r="84" spans="1:7" ht="20.25" customHeight="1" thickBot="1" x14ac:dyDescent="0.3">
      <c r="A84" s="1437"/>
      <c r="B84" s="453" t="s">
        <v>102</v>
      </c>
      <c r="C84" s="733">
        <f>24-C85-C86</f>
        <v>0</v>
      </c>
      <c r="D84" s="733">
        <f>24-D85-D86</f>
        <v>23.5</v>
      </c>
      <c r="E84" s="733">
        <f>24-E85-E86</f>
        <v>24</v>
      </c>
      <c r="F84" s="733">
        <f>24-F85-F86</f>
        <v>24</v>
      </c>
      <c r="G84" s="1454"/>
    </row>
    <row r="85" spans="1:7" ht="20.25" customHeight="1" thickBot="1" x14ac:dyDescent="0.3">
      <c r="A85" s="1437"/>
      <c r="B85" s="448" t="s">
        <v>103</v>
      </c>
      <c r="C85" s="1077">
        <v>24</v>
      </c>
      <c r="D85" s="1077">
        <v>0.5</v>
      </c>
      <c r="E85" s="1077">
        <v>0</v>
      </c>
      <c r="F85" s="1077">
        <v>0</v>
      </c>
      <c r="G85" s="1454"/>
    </row>
    <row r="86" spans="1:7" ht="20.25" customHeight="1" thickBot="1" x14ac:dyDescent="0.3">
      <c r="A86" s="1438"/>
      <c r="B86" s="457" t="s">
        <v>104</v>
      </c>
      <c r="C86" s="734">
        <v>0</v>
      </c>
      <c r="D86" s="734">
        <v>0</v>
      </c>
      <c r="E86" s="734">
        <v>0</v>
      </c>
      <c r="F86" s="734">
        <v>0</v>
      </c>
      <c r="G86" s="1455"/>
    </row>
    <row r="87" spans="1:7" ht="20.25" customHeight="1" thickBot="1" x14ac:dyDescent="0.3">
      <c r="A87" s="1436">
        <v>44917</v>
      </c>
      <c r="B87" s="453" t="s">
        <v>17</v>
      </c>
      <c r="C87" s="709">
        <v>1</v>
      </c>
      <c r="D87" s="709">
        <v>1</v>
      </c>
      <c r="E87" s="709">
        <v>1</v>
      </c>
      <c r="F87" s="709">
        <v>1</v>
      </c>
      <c r="G87" s="1447" t="s">
        <v>4589</v>
      </c>
    </row>
    <row r="88" spans="1:7" ht="20.25" customHeight="1" thickBot="1" x14ac:dyDescent="0.3">
      <c r="A88" s="1437"/>
      <c r="B88" s="453" t="s">
        <v>102</v>
      </c>
      <c r="C88" s="733">
        <f>24-C89-C90</f>
        <v>0</v>
      </c>
      <c r="D88" s="733">
        <f>24-D89-D90</f>
        <v>6.0500000000000007</v>
      </c>
      <c r="E88" s="733">
        <f>24-E89-E90</f>
        <v>24</v>
      </c>
      <c r="F88" s="733">
        <f>24-F89-F90</f>
        <v>24</v>
      </c>
      <c r="G88" s="1454"/>
    </row>
    <row r="89" spans="1:7" ht="20.25" customHeight="1" thickBot="1" x14ac:dyDescent="0.3">
      <c r="A89" s="1437"/>
      <c r="B89" s="448" t="s">
        <v>103</v>
      </c>
      <c r="C89" s="1077">
        <v>24</v>
      </c>
      <c r="D89" s="1077">
        <v>17.95</v>
      </c>
      <c r="E89" s="1077">
        <v>0</v>
      </c>
      <c r="F89" s="1077">
        <v>0</v>
      </c>
      <c r="G89" s="1454"/>
    </row>
    <row r="90" spans="1:7" ht="20.25" customHeight="1" thickBot="1" x14ac:dyDescent="0.3">
      <c r="A90" s="1438"/>
      <c r="B90" s="457" t="s">
        <v>104</v>
      </c>
      <c r="C90" s="734">
        <v>0</v>
      </c>
      <c r="D90" s="734">
        <v>0</v>
      </c>
      <c r="E90" s="734">
        <v>0</v>
      </c>
      <c r="F90" s="734">
        <v>0</v>
      </c>
      <c r="G90" s="1455"/>
    </row>
    <row r="91" spans="1:7" ht="20.25" customHeight="1" thickBot="1" x14ac:dyDescent="0.3">
      <c r="A91" s="1436">
        <v>44918</v>
      </c>
      <c r="B91" s="453" t="s">
        <v>17</v>
      </c>
      <c r="C91" s="709">
        <v>1</v>
      </c>
      <c r="D91" s="709">
        <v>1</v>
      </c>
      <c r="E91" s="709">
        <v>1</v>
      </c>
      <c r="F91" s="709">
        <v>1</v>
      </c>
      <c r="G91" s="1447" t="s">
        <v>4590</v>
      </c>
    </row>
    <row r="92" spans="1:7" ht="20.25" customHeight="1" thickBot="1" x14ac:dyDescent="0.3">
      <c r="A92" s="1437"/>
      <c r="B92" s="453" t="s">
        <v>102</v>
      </c>
      <c r="C92" s="733">
        <f>24-C93-C94</f>
        <v>0</v>
      </c>
      <c r="D92" s="733">
        <f>24-D93-D94</f>
        <v>18.600000000000001</v>
      </c>
      <c r="E92" s="733">
        <f>24-E93-E94</f>
        <v>24</v>
      </c>
      <c r="F92" s="733">
        <f>24-F93-F94</f>
        <v>24</v>
      </c>
      <c r="G92" s="1448"/>
    </row>
    <row r="93" spans="1:7" ht="20.25" customHeight="1" thickBot="1" x14ac:dyDescent="0.3">
      <c r="A93" s="1437"/>
      <c r="B93" s="448" t="s">
        <v>103</v>
      </c>
      <c r="C93" s="1077">
        <v>24</v>
      </c>
      <c r="D93" s="1077">
        <v>5.4</v>
      </c>
      <c r="E93" s="1077">
        <v>0</v>
      </c>
      <c r="F93" s="1077">
        <v>0</v>
      </c>
      <c r="G93" s="1448"/>
    </row>
    <row r="94" spans="1:7" ht="20.25" customHeight="1" thickBot="1" x14ac:dyDescent="0.3">
      <c r="A94" s="1438"/>
      <c r="B94" s="457" t="s">
        <v>104</v>
      </c>
      <c r="C94" s="734">
        <v>0</v>
      </c>
      <c r="D94" s="734">
        <v>0</v>
      </c>
      <c r="E94" s="734">
        <v>0</v>
      </c>
      <c r="F94" s="734">
        <v>0</v>
      </c>
      <c r="G94" s="1449"/>
    </row>
    <row r="95" spans="1:7" ht="20.25" customHeight="1" thickBot="1" x14ac:dyDescent="0.3">
      <c r="A95" s="1436">
        <v>44919</v>
      </c>
      <c r="B95" s="453" t="s">
        <v>17</v>
      </c>
      <c r="C95" s="709">
        <v>1</v>
      </c>
      <c r="D95" s="709">
        <v>1</v>
      </c>
      <c r="E95" s="709">
        <v>1</v>
      </c>
      <c r="F95" s="709">
        <v>1</v>
      </c>
      <c r="G95" s="1447" t="s">
        <v>4596</v>
      </c>
    </row>
    <row r="96" spans="1:7" ht="20.25" customHeight="1" thickBot="1" x14ac:dyDescent="0.3">
      <c r="A96" s="1437"/>
      <c r="B96" s="453" t="s">
        <v>102</v>
      </c>
      <c r="C96" s="733">
        <f>24-C97-C98</f>
        <v>0</v>
      </c>
      <c r="D96" s="733">
        <f>24-D97-D98</f>
        <v>11.9</v>
      </c>
      <c r="E96" s="733">
        <f>24-E97-E98</f>
        <v>24</v>
      </c>
      <c r="F96" s="733">
        <f>24-F97-F98</f>
        <v>24</v>
      </c>
      <c r="G96" s="1448"/>
    </row>
    <row r="97" spans="1:7" ht="20.25" customHeight="1" thickBot="1" x14ac:dyDescent="0.3">
      <c r="A97" s="1437"/>
      <c r="B97" s="448" t="s">
        <v>103</v>
      </c>
      <c r="C97" s="1077">
        <v>24</v>
      </c>
      <c r="D97" s="1077">
        <v>12.1</v>
      </c>
      <c r="E97" s="1077">
        <v>0</v>
      </c>
      <c r="F97" s="1077">
        <v>0</v>
      </c>
      <c r="G97" s="1448"/>
    </row>
    <row r="98" spans="1:7" ht="20.25" customHeight="1" thickBot="1" x14ac:dyDescent="0.3">
      <c r="A98" s="1438"/>
      <c r="B98" s="457" t="s">
        <v>104</v>
      </c>
      <c r="C98" s="734">
        <v>0</v>
      </c>
      <c r="D98" s="734">
        <v>0</v>
      </c>
      <c r="E98" s="734">
        <v>0</v>
      </c>
      <c r="F98" s="734">
        <v>0</v>
      </c>
      <c r="G98" s="1449"/>
    </row>
    <row r="99" spans="1:7" ht="23.25" customHeight="1" thickBot="1" x14ac:dyDescent="0.3">
      <c r="A99" s="1436">
        <v>44920</v>
      </c>
      <c r="B99" s="453" t="s">
        <v>17</v>
      </c>
      <c r="C99" s="709">
        <v>1</v>
      </c>
      <c r="D99" s="709">
        <v>1</v>
      </c>
      <c r="E99" s="709">
        <v>1</v>
      </c>
      <c r="F99" s="709">
        <v>1</v>
      </c>
      <c r="G99" s="1447" t="s">
        <v>4601</v>
      </c>
    </row>
    <row r="100" spans="1:7" ht="23.25" customHeight="1" thickBot="1" x14ac:dyDescent="0.3">
      <c r="A100" s="1437"/>
      <c r="B100" s="453" t="s">
        <v>102</v>
      </c>
      <c r="C100" s="733">
        <f>24-C101-C102</f>
        <v>0</v>
      </c>
      <c r="D100" s="733">
        <f>24-D101-D102</f>
        <v>9.14</v>
      </c>
      <c r="E100" s="733">
        <f>24-E101-E102</f>
        <v>24</v>
      </c>
      <c r="F100" s="733">
        <f>24-F101-F102</f>
        <v>24</v>
      </c>
      <c r="G100" s="1448"/>
    </row>
    <row r="101" spans="1:7" ht="23.25" customHeight="1" thickBot="1" x14ac:dyDescent="0.3">
      <c r="A101" s="1437"/>
      <c r="B101" s="448" t="s">
        <v>103</v>
      </c>
      <c r="C101" s="1077">
        <v>24</v>
      </c>
      <c r="D101" s="1077">
        <v>14.86</v>
      </c>
      <c r="E101" s="1077">
        <v>0</v>
      </c>
      <c r="F101" s="1077">
        <v>0</v>
      </c>
      <c r="G101" s="1448"/>
    </row>
    <row r="102" spans="1:7" ht="23.25" customHeight="1" thickBot="1" x14ac:dyDescent="0.3">
      <c r="A102" s="1438"/>
      <c r="B102" s="457" t="s">
        <v>104</v>
      </c>
      <c r="C102" s="734">
        <v>0</v>
      </c>
      <c r="D102" s="734">
        <v>0</v>
      </c>
      <c r="E102" s="734">
        <v>0</v>
      </c>
      <c r="F102" s="734">
        <v>0</v>
      </c>
      <c r="G102" s="1449"/>
    </row>
    <row r="103" spans="1:7" ht="20.25" customHeight="1" thickBot="1" x14ac:dyDescent="0.3">
      <c r="A103" s="1436">
        <v>44921</v>
      </c>
      <c r="B103" s="453" t="s">
        <v>17</v>
      </c>
      <c r="C103" s="709">
        <v>1</v>
      </c>
      <c r="D103" s="709">
        <v>1</v>
      </c>
      <c r="E103" s="709">
        <v>1</v>
      </c>
      <c r="F103" s="709">
        <v>1</v>
      </c>
      <c r="G103" s="1447" t="s">
        <v>4608</v>
      </c>
    </row>
    <row r="104" spans="1:7" ht="20.25" customHeight="1" thickBot="1" x14ac:dyDescent="0.3">
      <c r="A104" s="1437"/>
      <c r="B104" s="453" t="s">
        <v>102</v>
      </c>
      <c r="C104" s="733">
        <f>24-C105-C106</f>
        <v>0</v>
      </c>
      <c r="D104" s="733">
        <f>24-D105-D106</f>
        <v>18.77</v>
      </c>
      <c r="E104" s="733">
        <f>24-E105-E106</f>
        <v>24</v>
      </c>
      <c r="F104" s="733">
        <f>24-F105-F106</f>
        <v>24</v>
      </c>
      <c r="G104" s="1448"/>
    </row>
    <row r="105" spans="1:7" ht="20.25" customHeight="1" thickBot="1" x14ac:dyDescent="0.3">
      <c r="A105" s="1437"/>
      <c r="B105" s="448" t="s">
        <v>103</v>
      </c>
      <c r="C105" s="1077">
        <v>24</v>
      </c>
      <c r="D105" s="1077">
        <v>5.23</v>
      </c>
      <c r="E105" s="1077">
        <v>0</v>
      </c>
      <c r="F105" s="1077">
        <v>0</v>
      </c>
      <c r="G105" s="1448"/>
    </row>
    <row r="106" spans="1:7" ht="20.25" customHeight="1" thickBot="1" x14ac:dyDescent="0.3">
      <c r="A106" s="1438"/>
      <c r="B106" s="457" t="s">
        <v>104</v>
      </c>
      <c r="C106" s="734">
        <v>0</v>
      </c>
      <c r="D106" s="734">
        <v>0</v>
      </c>
      <c r="E106" s="734">
        <v>0</v>
      </c>
      <c r="F106" s="734">
        <v>0</v>
      </c>
      <c r="G106" s="1449"/>
    </row>
    <row r="107" spans="1:7" ht="19.5" customHeight="1" thickBot="1" x14ac:dyDescent="0.3">
      <c r="A107" s="1436">
        <v>44922</v>
      </c>
      <c r="B107" s="453" t="s">
        <v>17</v>
      </c>
      <c r="C107" s="709">
        <v>1</v>
      </c>
      <c r="D107" s="709">
        <v>1</v>
      </c>
      <c r="E107" s="709">
        <v>1</v>
      </c>
      <c r="F107" s="709">
        <v>1</v>
      </c>
      <c r="G107" s="1447" t="s">
        <v>4609</v>
      </c>
    </row>
    <row r="108" spans="1:7" ht="19.5" customHeight="1" thickBot="1" x14ac:dyDescent="0.3">
      <c r="A108" s="1437"/>
      <c r="B108" s="453" t="s">
        <v>102</v>
      </c>
      <c r="C108" s="733">
        <f>24-C109-C110</f>
        <v>13.6</v>
      </c>
      <c r="D108" s="733">
        <f>24-D109-D110</f>
        <v>0</v>
      </c>
      <c r="E108" s="733">
        <f>24-E109-E110</f>
        <v>24</v>
      </c>
      <c r="F108" s="733">
        <f>24-F109-F110</f>
        <v>24</v>
      </c>
      <c r="G108" s="1448"/>
    </row>
    <row r="109" spans="1:7" ht="19.5" customHeight="1" thickBot="1" x14ac:dyDescent="0.3">
      <c r="A109" s="1437"/>
      <c r="B109" s="448" t="s">
        <v>103</v>
      </c>
      <c r="C109" s="1077">
        <v>10.4</v>
      </c>
      <c r="D109" s="1077">
        <v>24</v>
      </c>
      <c r="E109" s="1077">
        <v>0</v>
      </c>
      <c r="F109" s="1077">
        <v>0</v>
      </c>
      <c r="G109" s="1448"/>
    </row>
    <row r="110" spans="1:7" ht="19.5" customHeight="1" thickBot="1" x14ac:dyDescent="0.3">
      <c r="A110" s="1438"/>
      <c r="B110" s="457" t="s">
        <v>104</v>
      </c>
      <c r="C110" s="734">
        <v>0</v>
      </c>
      <c r="D110" s="734">
        <v>0</v>
      </c>
      <c r="E110" s="734">
        <v>0</v>
      </c>
      <c r="F110" s="734">
        <v>0</v>
      </c>
      <c r="G110" s="1449"/>
    </row>
    <row r="111" spans="1:7" ht="22.5" customHeight="1" thickBot="1" x14ac:dyDescent="0.3">
      <c r="A111" s="1436">
        <v>44923</v>
      </c>
      <c r="B111" s="453" t="s">
        <v>17</v>
      </c>
      <c r="C111" s="709">
        <v>1</v>
      </c>
      <c r="D111" s="709">
        <v>1</v>
      </c>
      <c r="E111" s="709">
        <v>1</v>
      </c>
      <c r="F111" s="709">
        <v>1</v>
      </c>
      <c r="G111" s="1447" t="s">
        <v>4646</v>
      </c>
    </row>
    <row r="112" spans="1:7" ht="22.5" customHeight="1" thickBot="1" x14ac:dyDescent="0.3">
      <c r="A112" s="1437"/>
      <c r="B112" s="453" t="s">
        <v>102</v>
      </c>
      <c r="C112" s="733">
        <f>24-C113-C114</f>
        <v>19.670000000000002</v>
      </c>
      <c r="D112" s="733">
        <f>24-D113-D114</f>
        <v>21.6</v>
      </c>
      <c r="E112" s="733">
        <f>24-E113-E114</f>
        <v>20.54</v>
      </c>
      <c r="F112" s="733">
        <f>24-F113-F114</f>
        <v>24</v>
      </c>
      <c r="G112" s="1448"/>
    </row>
    <row r="113" spans="1:7" ht="22.5" customHeight="1" thickBot="1" x14ac:dyDescent="0.3">
      <c r="A113" s="1437"/>
      <c r="B113" s="448" t="s">
        <v>103</v>
      </c>
      <c r="C113" s="1077">
        <v>4.33</v>
      </c>
      <c r="D113" s="1077">
        <v>2.4</v>
      </c>
      <c r="E113" s="1077">
        <v>3.46</v>
      </c>
      <c r="F113" s="1077">
        <v>0</v>
      </c>
      <c r="G113" s="1448"/>
    </row>
    <row r="114" spans="1:7" ht="22.5" customHeight="1" thickBot="1" x14ac:dyDescent="0.3">
      <c r="A114" s="1438"/>
      <c r="B114" s="457" t="s">
        <v>104</v>
      </c>
      <c r="C114" s="734">
        <v>0</v>
      </c>
      <c r="D114" s="734">
        <v>0</v>
      </c>
      <c r="E114" s="734">
        <v>0</v>
      </c>
      <c r="F114" s="734">
        <v>0</v>
      </c>
      <c r="G114" s="1449"/>
    </row>
    <row r="115" spans="1:7" ht="21" customHeight="1" thickBot="1" x14ac:dyDescent="0.3">
      <c r="A115" s="1436">
        <v>44924</v>
      </c>
      <c r="B115" s="453" t="s">
        <v>17</v>
      </c>
      <c r="C115" s="709">
        <v>1</v>
      </c>
      <c r="D115" s="709">
        <v>1</v>
      </c>
      <c r="E115" s="709">
        <v>1</v>
      </c>
      <c r="F115" s="709">
        <v>1</v>
      </c>
      <c r="G115" s="1447" t="s">
        <v>4647</v>
      </c>
    </row>
    <row r="116" spans="1:7" ht="20.25" customHeight="1" thickBot="1" x14ac:dyDescent="0.3">
      <c r="A116" s="1437"/>
      <c r="B116" s="453" t="s">
        <v>102</v>
      </c>
      <c r="C116" s="733">
        <f>24-C117-C118</f>
        <v>0</v>
      </c>
      <c r="D116" s="733">
        <f>24-D117-D118</f>
        <v>6.6499999999999986</v>
      </c>
      <c r="E116" s="733">
        <f>24-E117-E118</f>
        <v>20.04</v>
      </c>
      <c r="F116" s="733">
        <f>24-F117-F118</f>
        <v>24</v>
      </c>
      <c r="G116" s="1448"/>
    </row>
    <row r="117" spans="1:7" ht="20.25" customHeight="1" thickBot="1" x14ac:dyDescent="0.3">
      <c r="A117" s="1437"/>
      <c r="B117" s="448" t="s">
        <v>103</v>
      </c>
      <c r="C117" s="1077">
        <v>24</v>
      </c>
      <c r="D117" s="1077">
        <v>17.350000000000001</v>
      </c>
      <c r="E117" s="1077">
        <v>3.96</v>
      </c>
      <c r="F117" s="1077">
        <v>0</v>
      </c>
      <c r="G117" s="1448"/>
    </row>
    <row r="118" spans="1:7" ht="20.25" customHeight="1" thickBot="1" x14ac:dyDescent="0.3">
      <c r="A118" s="1438"/>
      <c r="B118" s="457" t="s">
        <v>104</v>
      </c>
      <c r="C118" s="734">
        <v>0</v>
      </c>
      <c r="D118" s="734">
        <v>0</v>
      </c>
      <c r="E118" s="734">
        <v>0</v>
      </c>
      <c r="F118" s="734">
        <v>0</v>
      </c>
      <c r="G118" s="1449"/>
    </row>
    <row r="119" spans="1:7" ht="20.25" customHeight="1" thickBot="1" x14ac:dyDescent="0.3">
      <c r="A119" s="1436">
        <v>44925</v>
      </c>
      <c r="B119" s="453" t="s">
        <v>17</v>
      </c>
      <c r="C119" s="709">
        <v>1</v>
      </c>
      <c r="D119" s="709">
        <v>1</v>
      </c>
      <c r="E119" s="709">
        <v>1</v>
      </c>
      <c r="F119" s="709">
        <v>1</v>
      </c>
      <c r="G119" s="1447" t="s">
        <v>4648</v>
      </c>
    </row>
    <row r="120" spans="1:7" ht="20.25" customHeight="1" thickBot="1" x14ac:dyDescent="0.3">
      <c r="A120" s="1437"/>
      <c r="B120" s="453" t="s">
        <v>102</v>
      </c>
      <c r="C120" s="733">
        <f>24-C121-C122</f>
        <v>0</v>
      </c>
      <c r="D120" s="733">
        <f>24-D121-D122</f>
        <v>24</v>
      </c>
      <c r="E120" s="733">
        <f>24-E121-E122</f>
        <v>19.95</v>
      </c>
      <c r="F120" s="733">
        <f>24-F121-F122</f>
        <v>24</v>
      </c>
      <c r="G120" s="1448"/>
    </row>
    <row r="121" spans="1:7" ht="20.25" customHeight="1" thickBot="1" x14ac:dyDescent="0.3">
      <c r="A121" s="1437"/>
      <c r="B121" s="448" t="s">
        <v>103</v>
      </c>
      <c r="C121" s="1077">
        <v>24</v>
      </c>
      <c r="D121" s="1077">
        <v>0</v>
      </c>
      <c r="E121" s="1077">
        <v>4.05</v>
      </c>
      <c r="F121" s="1077">
        <v>0</v>
      </c>
      <c r="G121" s="1448"/>
    </row>
    <row r="122" spans="1:7" ht="20.25" customHeight="1" thickBot="1" x14ac:dyDescent="0.3">
      <c r="A122" s="1438"/>
      <c r="B122" s="457" t="s">
        <v>104</v>
      </c>
      <c r="C122" s="734">
        <v>0</v>
      </c>
      <c r="D122" s="734">
        <v>0</v>
      </c>
      <c r="E122" s="734">
        <v>0</v>
      </c>
      <c r="F122" s="734">
        <v>0</v>
      </c>
      <c r="G122" s="1449"/>
    </row>
    <row r="123" spans="1:7" ht="20.25" customHeight="1" thickBot="1" x14ac:dyDescent="0.3">
      <c r="A123" s="1436">
        <v>44926</v>
      </c>
      <c r="B123" s="453" t="s">
        <v>17</v>
      </c>
      <c r="C123" s="709">
        <v>1</v>
      </c>
      <c r="D123" s="709">
        <v>1</v>
      </c>
      <c r="E123" s="709">
        <v>1</v>
      </c>
      <c r="F123" s="709">
        <v>1</v>
      </c>
      <c r="G123" s="1453" t="s">
        <v>4662</v>
      </c>
    </row>
    <row r="124" spans="1:7" ht="20.25" customHeight="1" thickBot="1" x14ac:dyDescent="0.3">
      <c r="A124" s="1437"/>
      <c r="B124" s="453" t="s">
        <v>102</v>
      </c>
      <c r="C124" s="733">
        <f>24-C125-C126</f>
        <v>0</v>
      </c>
      <c r="D124" s="733">
        <f>24-D125-D126</f>
        <v>7.2199999999999989</v>
      </c>
      <c r="E124" s="733">
        <f>24-E125-E126</f>
        <v>19.95</v>
      </c>
      <c r="F124" s="733">
        <f>24-F125-F126</f>
        <v>24</v>
      </c>
      <c r="G124" s="1418"/>
    </row>
    <row r="125" spans="1:7" ht="20.25" customHeight="1" thickBot="1" x14ac:dyDescent="0.3">
      <c r="A125" s="1437"/>
      <c r="B125" s="448" t="s">
        <v>103</v>
      </c>
      <c r="C125" s="1077">
        <v>24</v>
      </c>
      <c r="D125" s="1077">
        <v>16.78</v>
      </c>
      <c r="E125" s="1077">
        <v>4.05</v>
      </c>
      <c r="F125" s="1077">
        <v>0</v>
      </c>
      <c r="G125" s="1418"/>
    </row>
    <row r="126" spans="1:7" ht="20.25" customHeight="1" thickBot="1" x14ac:dyDescent="0.3">
      <c r="A126" s="1438"/>
      <c r="B126" s="457" t="s">
        <v>104</v>
      </c>
      <c r="C126" s="734">
        <v>0</v>
      </c>
      <c r="D126" s="734">
        <v>0</v>
      </c>
      <c r="E126" s="734">
        <v>0</v>
      </c>
      <c r="F126" s="734">
        <v>0</v>
      </c>
      <c r="G126" s="1423"/>
    </row>
    <row r="127" spans="1:7" x14ac:dyDescent="0.25">
      <c r="A127" s="464" t="s">
        <v>4445</v>
      </c>
      <c r="B127" s="465"/>
      <c r="C127" s="466">
        <f>SUM(C112,C108,C104,C100,C96,C92,C88,C84,C80,C76,C72,C68,C64,C60,C56,C52,C48,C44,C40,C36,C32,C28,C24,C20,C16,C12,C8,C4,C116,C120,C124)</f>
        <v>100.46000000000001</v>
      </c>
      <c r="D127" s="466">
        <f>SUM(D112,D108,D104,D100,D96,D92,D88,D84,D80,D76,D72,D68,D64,D60,D56,D52,D48,D44,D40,D36,D32,D28,D24,D20,D16,D12,D8,D4,D116,D120,D124)</f>
        <v>448.80999999999995</v>
      </c>
      <c r="E127" s="466">
        <f t="shared" ref="E127:F128" si="0">SUM(E112,E108,E104,E100,E96,E92,E88,E84,E80,E76,E72,E68,E64,E60,E56,E52,E48,E44,E40,E36,E32,E28,E24,E20,E16,E12,E8,E4,E116,E120,E124)</f>
        <v>717.07</v>
      </c>
      <c r="F127" s="466">
        <f t="shared" si="0"/>
        <v>719.3</v>
      </c>
      <c r="G127" s="468"/>
    </row>
    <row r="128" spans="1:7" x14ac:dyDescent="0.25">
      <c r="A128" s="1017" t="s">
        <v>4447</v>
      </c>
      <c r="B128" s="134"/>
      <c r="C128" s="469">
        <f>SUM(C113,C109,C105,C101,C97,C93,C89,C85,C81,C77,C73,C69,C65,C61,C57,C53,C49,C45,C41,C37,C33,C29,C25,C21,C17,C13,C9,C5,C117,C121,C125)</f>
        <v>643.54</v>
      </c>
      <c r="D128" s="469">
        <f>SUM(D113,D109,D105,D101,D97,D93,D89,D85,D81,D77,D73,D69,D65,D61,D57,D53,D49,D45,D41,D37,D33,D29,D25,D21,D17,D13,D9,D5,D117,D121,D125)</f>
        <v>295.19000000000005</v>
      </c>
      <c r="E128" s="469">
        <f t="shared" si="0"/>
        <v>26.930000000000003</v>
      </c>
      <c r="F128" s="469">
        <f t="shared" si="0"/>
        <v>24.700000000000003</v>
      </c>
      <c r="G128" s="471"/>
    </row>
    <row r="129" spans="1:7" ht="15.75" thickBot="1" x14ac:dyDescent="0.3">
      <c r="A129" s="1018" t="s">
        <v>4446</v>
      </c>
      <c r="B129" s="472"/>
      <c r="C129" s="473">
        <f>SUM(C114,C110,C106,C102,C98,C94,C90,C86,C82,C78,C74,C70,C66,C62,C58,C54,C50,C46,C42,C38,C34,C30,C26,C22,C18,C14,C10,C6,C118,C122,C126)</f>
        <v>0</v>
      </c>
      <c r="D129" s="473">
        <f t="shared" ref="D129:F129" si="1">SUM(D114,D110,D106,D102,D98,D94,D90,D86,D82,D78,D74,D70,D66,D62,D58,D54,D50,D46,D42,D38,D34,D30,D26,D22,D18,D14,D10,D6,D118,D122,D126)</f>
        <v>0</v>
      </c>
      <c r="E129" s="473">
        <f t="shared" si="1"/>
        <v>0</v>
      </c>
      <c r="F129" s="473">
        <f t="shared" si="1"/>
        <v>0</v>
      </c>
      <c r="G129" s="475"/>
    </row>
    <row r="130" spans="1:7" ht="15.75" thickBot="1" x14ac:dyDescent="0.3">
      <c r="A130" s="1450" t="s">
        <v>108</v>
      </c>
      <c r="B130" s="1451"/>
      <c r="C130" s="1451"/>
      <c r="D130" s="1451"/>
      <c r="E130" s="1451"/>
      <c r="F130" s="1451"/>
      <c r="G130" s="1452"/>
    </row>
  </sheetData>
  <mergeCells count="64">
    <mergeCell ref="A130:G130"/>
    <mergeCell ref="A115:A118"/>
    <mergeCell ref="G115:G118"/>
    <mergeCell ref="A119:A122"/>
    <mergeCell ref="G119:G122"/>
    <mergeCell ref="A123:A126"/>
    <mergeCell ref="G123:G126"/>
    <mergeCell ref="A103:A106"/>
    <mergeCell ref="G103:G106"/>
    <mergeCell ref="A107:A110"/>
    <mergeCell ref="G107:G110"/>
    <mergeCell ref="A111:A114"/>
    <mergeCell ref="G111:G114"/>
    <mergeCell ref="A91:A94"/>
    <mergeCell ref="G91:G94"/>
    <mergeCell ref="A95:A98"/>
    <mergeCell ref="G95:G98"/>
    <mergeCell ref="A99:A102"/>
    <mergeCell ref="G99:G102"/>
    <mergeCell ref="A87:A90"/>
    <mergeCell ref="G83:G86"/>
    <mergeCell ref="G87:G90"/>
    <mergeCell ref="A63:A66"/>
    <mergeCell ref="G63:G66"/>
    <mergeCell ref="A67:A70"/>
    <mergeCell ref="G67:G70"/>
    <mergeCell ref="A71:A74"/>
    <mergeCell ref="G71:G74"/>
    <mergeCell ref="A75:A78"/>
    <mergeCell ref="G75:G78"/>
    <mergeCell ref="A79:A82"/>
    <mergeCell ref="G79:G82"/>
    <mergeCell ref="A83:A86"/>
    <mergeCell ref="A51:A54"/>
    <mergeCell ref="G51:G54"/>
    <mergeCell ref="A55:A58"/>
    <mergeCell ref="G55:G58"/>
    <mergeCell ref="A59:A62"/>
    <mergeCell ref="G59:G62"/>
    <mergeCell ref="A39:A42"/>
    <mergeCell ref="G39:G42"/>
    <mergeCell ref="A43:A46"/>
    <mergeCell ref="G43:G46"/>
    <mergeCell ref="A47:A50"/>
    <mergeCell ref="G47:G50"/>
    <mergeCell ref="A27:A30"/>
    <mergeCell ref="G27:G30"/>
    <mergeCell ref="A31:A34"/>
    <mergeCell ref="G31:G34"/>
    <mergeCell ref="A35:A38"/>
    <mergeCell ref="G35:G38"/>
    <mergeCell ref="A15:A18"/>
    <mergeCell ref="G15:G18"/>
    <mergeCell ref="A19:A22"/>
    <mergeCell ref="G19:G22"/>
    <mergeCell ref="A23:A26"/>
    <mergeCell ref="G23:G26"/>
    <mergeCell ref="A11:A14"/>
    <mergeCell ref="G11:G14"/>
    <mergeCell ref="A1:G1"/>
    <mergeCell ref="A3:A6"/>
    <mergeCell ref="G3:G6"/>
    <mergeCell ref="A7:A10"/>
    <mergeCell ref="G7:G10"/>
  </mergeCell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G130"/>
  <sheetViews>
    <sheetView topLeftCell="A110" workbookViewId="0">
      <selection activeCell="G103" sqref="G103:G106"/>
    </sheetView>
  </sheetViews>
  <sheetFormatPr defaultRowHeight="15" x14ac:dyDescent="0.25"/>
  <cols>
    <col min="1" max="1" width="16.7109375" customWidth="1"/>
    <col min="2" max="2" width="37" customWidth="1"/>
    <col min="7" max="7" width="71.85546875" customWidth="1"/>
  </cols>
  <sheetData>
    <row r="1" spans="1:7" ht="21.75" thickBot="1" x14ac:dyDescent="0.4">
      <c r="A1" s="1443" t="s">
        <v>73</v>
      </c>
      <c r="B1" s="1443"/>
      <c r="C1" s="1443"/>
      <c r="D1" s="1443"/>
      <c r="E1" s="1443"/>
      <c r="F1" s="1461"/>
      <c r="G1" s="1443"/>
    </row>
    <row r="2" spans="1:7" ht="16.5" thickBot="1" x14ac:dyDescent="0.3">
      <c r="A2" s="108" t="s">
        <v>98</v>
      </c>
      <c r="B2" s="608"/>
      <c r="C2" s="607" t="s">
        <v>310</v>
      </c>
      <c r="D2" s="607" t="s">
        <v>239</v>
      </c>
      <c r="E2" s="447" t="s">
        <v>100</v>
      </c>
      <c r="F2" s="1102" t="s">
        <v>157</v>
      </c>
      <c r="G2" s="111" t="s">
        <v>101</v>
      </c>
    </row>
    <row r="3" spans="1:7" ht="15.75" thickBot="1" x14ac:dyDescent="0.3">
      <c r="A3" s="1436">
        <v>44927</v>
      </c>
      <c r="B3" s="453" t="s">
        <v>17</v>
      </c>
      <c r="C3" s="709">
        <v>1</v>
      </c>
      <c r="D3" s="709">
        <v>1</v>
      </c>
      <c r="E3" s="709">
        <v>1</v>
      </c>
      <c r="F3" s="709">
        <v>1</v>
      </c>
      <c r="G3" s="1453" t="s">
        <v>4669</v>
      </c>
    </row>
    <row r="4" spans="1:7" ht="15.75" thickBot="1" x14ac:dyDescent="0.3">
      <c r="A4" s="1437"/>
      <c r="B4" s="453" t="s">
        <v>102</v>
      </c>
      <c r="C4" s="733">
        <f>24-C5-C6</f>
        <v>0</v>
      </c>
      <c r="D4" s="733">
        <f>24-D5-D6</f>
        <v>13.07</v>
      </c>
      <c r="E4" s="733">
        <f>24-E5-E6</f>
        <v>24</v>
      </c>
      <c r="F4" s="733">
        <f>24-F5-F6</f>
        <v>24</v>
      </c>
      <c r="G4" s="1418"/>
    </row>
    <row r="5" spans="1:7" ht="15.75" thickBot="1" x14ac:dyDescent="0.3">
      <c r="A5" s="1437"/>
      <c r="B5" s="448" t="s">
        <v>103</v>
      </c>
      <c r="C5" s="731">
        <v>24</v>
      </c>
      <c r="D5" s="731">
        <v>10.93</v>
      </c>
      <c r="E5" s="731">
        <v>0</v>
      </c>
      <c r="F5" s="731">
        <v>0</v>
      </c>
      <c r="G5" s="1418"/>
    </row>
    <row r="6" spans="1:7" ht="15.75" thickBot="1" x14ac:dyDescent="0.3">
      <c r="A6" s="1438"/>
      <c r="B6" s="457" t="s">
        <v>104</v>
      </c>
      <c r="C6" s="734">
        <v>0</v>
      </c>
      <c r="D6" s="734">
        <v>0</v>
      </c>
      <c r="E6" s="734">
        <v>0</v>
      </c>
      <c r="F6" s="734">
        <v>0</v>
      </c>
      <c r="G6" s="1423"/>
    </row>
    <row r="7" spans="1:7" ht="15.75" thickBot="1" x14ac:dyDescent="0.3">
      <c r="A7" s="1436">
        <v>44928</v>
      </c>
      <c r="B7" s="453" t="s">
        <v>17</v>
      </c>
      <c r="C7" s="709">
        <v>1</v>
      </c>
      <c r="D7" s="709">
        <v>1</v>
      </c>
      <c r="E7" s="709">
        <v>1</v>
      </c>
      <c r="F7" s="709">
        <v>1</v>
      </c>
      <c r="G7" s="1453" t="s">
        <v>4673</v>
      </c>
    </row>
    <row r="8" spans="1:7" ht="15.75" thickBot="1" x14ac:dyDescent="0.3">
      <c r="A8" s="1437"/>
      <c r="B8" s="453" t="s">
        <v>102</v>
      </c>
      <c r="C8" s="733">
        <f>24-C9-C10</f>
        <v>0</v>
      </c>
      <c r="D8" s="733">
        <f>24-D9-D10</f>
        <v>3.6999999999999993</v>
      </c>
      <c r="E8" s="733">
        <f>24-E9-E10</f>
        <v>21.3</v>
      </c>
      <c r="F8" s="733">
        <f>24-F9-F10</f>
        <v>24</v>
      </c>
      <c r="G8" s="1418"/>
    </row>
    <row r="9" spans="1:7" ht="15.75" thickBot="1" x14ac:dyDescent="0.3">
      <c r="A9" s="1437"/>
      <c r="B9" s="448" t="s">
        <v>103</v>
      </c>
      <c r="C9" s="731">
        <v>24</v>
      </c>
      <c r="D9" s="731">
        <v>20.3</v>
      </c>
      <c r="E9" s="731">
        <v>2.7</v>
      </c>
      <c r="F9" s="731">
        <v>0</v>
      </c>
      <c r="G9" s="1418"/>
    </row>
    <row r="10" spans="1:7" ht="15.75" thickBot="1" x14ac:dyDescent="0.3">
      <c r="A10" s="1438"/>
      <c r="B10" s="457" t="s">
        <v>104</v>
      </c>
      <c r="C10" s="734">
        <v>0</v>
      </c>
      <c r="D10" s="734">
        <v>0</v>
      </c>
      <c r="E10" s="734">
        <v>0</v>
      </c>
      <c r="F10" s="734">
        <v>0</v>
      </c>
      <c r="G10" s="1423"/>
    </row>
    <row r="11" spans="1:7" ht="15.75" thickBot="1" x14ac:dyDescent="0.3">
      <c r="A11" s="1436">
        <v>44929</v>
      </c>
      <c r="B11" s="453" t="s">
        <v>17</v>
      </c>
      <c r="C11" s="709">
        <v>1</v>
      </c>
      <c r="D11" s="709">
        <v>1</v>
      </c>
      <c r="E11" s="709">
        <v>1</v>
      </c>
      <c r="F11" s="709">
        <v>1</v>
      </c>
      <c r="G11" s="1453" t="s">
        <v>4683</v>
      </c>
    </row>
    <row r="12" spans="1:7" ht="15.75" thickBot="1" x14ac:dyDescent="0.3">
      <c r="A12" s="1437"/>
      <c r="B12" s="453" t="s">
        <v>102</v>
      </c>
      <c r="C12" s="733">
        <f>24-C13-C14</f>
        <v>0</v>
      </c>
      <c r="D12" s="733">
        <f>24-D13-D14</f>
        <v>20.72</v>
      </c>
      <c r="E12" s="733">
        <f>24-E13-E14</f>
        <v>24</v>
      </c>
      <c r="F12" s="733">
        <f>24-F13-F14</f>
        <v>24</v>
      </c>
      <c r="G12" s="1418"/>
    </row>
    <row r="13" spans="1:7" ht="15.75" thickBot="1" x14ac:dyDescent="0.3">
      <c r="A13" s="1437"/>
      <c r="B13" s="448" t="s">
        <v>103</v>
      </c>
      <c r="C13" s="731">
        <v>24</v>
      </c>
      <c r="D13" s="731">
        <v>3.28</v>
      </c>
      <c r="E13" s="731">
        <v>0</v>
      </c>
      <c r="F13" s="731">
        <v>0</v>
      </c>
      <c r="G13" s="1418"/>
    </row>
    <row r="14" spans="1:7" ht="15.75" thickBot="1" x14ac:dyDescent="0.3">
      <c r="A14" s="1438"/>
      <c r="B14" s="457" t="s">
        <v>104</v>
      </c>
      <c r="C14" s="734">
        <v>0</v>
      </c>
      <c r="D14" s="734">
        <v>0</v>
      </c>
      <c r="E14" s="734">
        <v>0</v>
      </c>
      <c r="F14" s="734">
        <v>0</v>
      </c>
      <c r="G14" s="1423"/>
    </row>
    <row r="15" spans="1:7" ht="15.75" thickBot="1" x14ac:dyDescent="0.3">
      <c r="A15" s="1436">
        <v>44930</v>
      </c>
      <c r="B15" s="453" t="s">
        <v>17</v>
      </c>
      <c r="C15" s="709">
        <v>1</v>
      </c>
      <c r="D15" s="709">
        <v>1</v>
      </c>
      <c r="E15" s="709">
        <v>1</v>
      </c>
      <c r="F15" s="709">
        <v>1</v>
      </c>
      <c r="G15" s="1453" t="s">
        <v>4692</v>
      </c>
    </row>
    <row r="16" spans="1:7" ht="15.75" thickBot="1" x14ac:dyDescent="0.3">
      <c r="A16" s="1437"/>
      <c r="B16" s="453" t="s">
        <v>102</v>
      </c>
      <c r="C16" s="733">
        <f>24-C17-C18</f>
        <v>0</v>
      </c>
      <c r="D16" s="733">
        <f>24-D17-D18</f>
        <v>13.57</v>
      </c>
      <c r="E16" s="733">
        <f>24-E17-E18</f>
        <v>24</v>
      </c>
      <c r="F16" s="733">
        <f>24-F17-F18</f>
        <v>24</v>
      </c>
      <c r="G16" s="1418"/>
    </row>
    <row r="17" spans="1:7" ht="15.75" thickBot="1" x14ac:dyDescent="0.3">
      <c r="A17" s="1437"/>
      <c r="B17" s="448" t="s">
        <v>103</v>
      </c>
      <c r="C17" s="731">
        <v>24</v>
      </c>
      <c r="D17" s="1077">
        <v>10.43</v>
      </c>
      <c r="E17" s="731">
        <v>0</v>
      </c>
      <c r="F17" s="731">
        <v>0</v>
      </c>
      <c r="G17" s="1418"/>
    </row>
    <row r="18" spans="1:7" ht="15.75" thickBot="1" x14ac:dyDescent="0.3">
      <c r="A18" s="1438"/>
      <c r="B18" s="457" t="s">
        <v>104</v>
      </c>
      <c r="C18" s="734">
        <v>0</v>
      </c>
      <c r="D18" s="734">
        <v>0</v>
      </c>
      <c r="E18" s="734">
        <v>0</v>
      </c>
      <c r="F18" s="734">
        <v>0</v>
      </c>
      <c r="G18" s="1423"/>
    </row>
    <row r="19" spans="1:7" ht="15.75" thickBot="1" x14ac:dyDescent="0.3">
      <c r="A19" s="1436">
        <v>44931</v>
      </c>
      <c r="B19" s="453" t="s">
        <v>17</v>
      </c>
      <c r="C19" s="709">
        <v>1</v>
      </c>
      <c r="D19" s="709">
        <v>1</v>
      </c>
      <c r="E19" s="709">
        <v>1</v>
      </c>
      <c r="F19" s="709">
        <v>1</v>
      </c>
      <c r="G19" s="1453" t="s">
        <v>4688</v>
      </c>
    </row>
    <row r="20" spans="1:7" ht="15.75" thickBot="1" x14ac:dyDescent="0.3">
      <c r="A20" s="1437"/>
      <c r="B20" s="453" t="s">
        <v>102</v>
      </c>
      <c r="C20" s="733">
        <f>24-C21-C22</f>
        <v>18.5</v>
      </c>
      <c r="D20" s="733">
        <f>24-D21-D22</f>
        <v>18.47</v>
      </c>
      <c r="E20" s="733">
        <f>24-E21-E22</f>
        <v>24</v>
      </c>
      <c r="F20" s="733">
        <f>24-F21-F22</f>
        <v>24</v>
      </c>
      <c r="G20" s="1418"/>
    </row>
    <row r="21" spans="1:7" ht="15.75" thickBot="1" x14ac:dyDescent="0.3">
      <c r="A21" s="1437"/>
      <c r="B21" s="448" t="s">
        <v>103</v>
      </c>
      <c r="C21" s="731">
        <v>5.5</v>
      </c>
      <c r="D21" s="1077">
        <v>5.53</v>
      </c>
      <c r="E21" s="731">
        <v>0</v>
      </c>
      <c r="F21" s="731">
        <v>0</v>
      </c>
      <c r="G21" s="1418"/>
    </row>
    <row r="22" spans="1:7" ht="15.75" thickBot="1" x14ac:dyDescent="0.3">
      <c r="A22" s="1438"/>
      <c r="B22" s="457" t="s">
        <v>104</v>
      </c>
      <c r="C22" s="734">
        <v>0</v>
      </c>
      <c r="D22" s="734">
        <v>0</v>
      </c>
      <c r="E22" s="734">
        <v>0</v>
      </c>
      <c r="F22" s="734">
        <v>0</v>
      </c>
      <c r="G22" s="1418"/>
    </row>
    <row r="23" spans="1:7" ht="15.75" thickBot="1" x14ac:dyDescent="0.3">
      <c r="A23" s="1436">
        <v>44932</v>
      </c>
      <c r="B23" s="453" t="s">
        <v>17</v>
      </c>
      <c r="C23" s="709">
        <v>1</v>
      </c>
      <c r="D23" s="709">
        <v>1</v>
      </c>
      <c r="E23" s="709">
        <v>1</v>
      </c>
      <c r="F23" s="709">
        <v>1</v>
      </c>
      <c r="G23" s="1453" t="s">
        <v>4706</v>
      </c>
    </row>
    <row r="24" spans="1:7" ht="15.75" thickBot="1" x14ac:dyDescent="0.3">
      <c r="A24" s="1437"/>
      <c r="B24" s="453" t="s">
        <v>102</v>
      </c>
      <c r="C24" s="733">
        <f>24-C25-C26</f>
        <v>24</v>
      </c>
      <c r="D24" s="733">
        <f>24-D25-D26</f>
        <v>8.9700000000000006</v>
      </c>
      <c r="E24" s="733">
        <f>24-E25-E26</f>
        <v>24</v>
      </c>
      <c r="F24" s="733">
        <f>24-F25-F26</f>
        <v>24</v>
      </c>
      <c r="G24" s="1418"/>
    </row>
    <row r="25" spans="1:7" ht="15.75" thickBot="1" x14ac:dyDescent="0.3">
      <c r="A25" s="1437"/>
      <c r="B25" s="448" t="s">
        <v>103</v>
      </c>
      <c r="C25" s="731">
        <v>0</v>
      </c>
      <c r="D25" s="731">
        <v>15.03</v>
      </c>
      <c r="E25" s="731">
        <v>0</v>
      </c>
      <c r="F25" s="731">
        <v>0</v>
      </c>
      <c r="G25" s="1418"/>
    </row>
    <row r="26" spans="1:7" ht="15.75" thickBot="1" x14ac:dyDescent="0.3">
      <c r="A26" s="1438"/>
      <c r="B26" s="457" t="s">
        <v>104</v>
      </c>
      <c r="C26" s="734">
        <v>0</v>
      </c>
      <c r="D26" s="734">
        <v>0</v>
      </c>
      <c r="E26" s="734">
        <v>0</v>
      </c>
      <c r="F26" s="734">
        <v>0</v>
      </c>
      <c r="G26" s="1418"/>
    </row>
    <row r="27" spans="1:7" ht="15.75" thickBot="1" x14ac:dyDescent="0.3">
      <c r="A27" s="1436">
        <v>44933</v>
      </c>
      <c r="B27" s="453" t="s">
        <v>17</v>
      </c>
      <c r="C27" s="709">
        <v>1</v>
      </c>
      <c r="D27" s="709">
        <v>1</v>
      </c>
      <c r="E27" s="709">
        <v>1</v>
      </c>
      <c r="F27" s="709">
        <v>1</v>
      </c>
      <c r="G27" s="1453" t="s">
        <v>4710</v>
      </c>
    </row>
    <row r="28" spans="1:7" ht="15.75" thickBot="1" x14ac:dyDescent="0.3">
      <c r="A28" s="1437"/>
      <c r="B28" s="453" t="s">
        <v>102</v>
      </c>
      <c r="C28" s="733">
        <f>24-C29-C30</f>
        <v>4.2899999999999991</v>
      </c>
      <c r="D28" s="733">
        <f>24-D29-D30</f>
        <v>20.45</v>
      </c>
      <c r="E28" s="733">
        <f>24-E29-E30</f>
        <v>24</v>
      </c>
      <c r="F28" s="733">
        <f>24-F29-F30</f>
        <v>24</v>
      </c>
      <c r="G28" s="1418"/>
    </row>
    <row r="29" spans="1:7" ht="15.75" thickBot="1" x14ac:dyDescent="0.3">
      <c r="A29" s="1437"/>
      <c r="B29" s="448" t="s">
        <v>103</v>
      </c>
      <c r="C29" s="731">
        <v>19.71</v>
      </c>
      <c r="D29" s="731">
        <v>3.55</v>
      </c>
      <c r="E29" s="731">
        <v>0</v>
      </c>
      <c r="F29" s="731">
        <v>0</v>
      </c>
      <c r="G29" s="1418"/>
    </row>
    <row r="30" spans="1:7" ht="15.75" thickBot="1" x14ac:dyDescent="0.3">
      <c r="A30" s="1438"/>
      <c r="B30" s="457" t="s">
        <v>104</v>
      </c>
      <c r="C30" s="734">
        <v>0</v>
      </c>
      <c r="D30" s="734">
        <v>0</v>
      </c>
      <c r="E30" s="734">
        <v>0</v>
      </c>
      <c r="F30" s="734">
        <v>0</v>
      </c>
      <c r="G30" s="1418"/>
    </row>
    <row r="31" spans="1:7" ht="15.75" thickBot="1" x14ac:dyDescent="0.3">
      <c r="A31" s="1436">
        <v>44934</v>
      </c>
      <c r="B31" s="453" t="s">
        <v>17</v>
      </c>
      <c r="C31" s="709">
        <v>1</v>
      </c>
      <c r="D31" s="709">
        <v>1</v>
      </c>
      <c r="E31" s="709">
        <v>1</v>
      </c>
      <c r="F31" s="709">
        <v>1</v>
      </c>
      <c r="G31" s="1453" t="s">
        <v>4713</v>
      </c>
    </row>
    <row r="32" spans="1:7" ht="15.75" thickBot="1" x14ac:dyDescent="0.3">
      <c r="A32" s="1437"/>
      <c r="B32" s="453" t="s">
        <v>102</v>
      </c>
      <c r="C32" s="733">
        <f>24-C33-C34</f>
        <v>0</v>
      </c>
      <c r="D32" s="733">
        <f>24-D33-D34</f>
        <v>1.0899999999999999</v>
      </c>
      <c r="E32" s="733">
        <f>24-E33-E34</f>
        <v>24</v>
      </c>
      <c r="F32" s="733">
        <f>24-F33-F34</f>
        <v>24</v>
      </c>
      <c r="G32" s="1418"/>
    </row>
    <row r="33" spans="1:7" ht="15.75" thickBot="1" x14ac:dyDescent="0.3">
      <c r="A33" s="1437"/>
      <c r="B33" s="448" t="s">
        <v>103</v>
      </c>
      <c r="C33" s="731">
        <v>24</v>
      </c>
      <c r="D33" s="731">
        <v>22.91</v>
      </c>
      <c r="E33" s="731">
        <v>0</v>
      </c>
      <c r="F33" s="731">
        <v>0</v>
      </c>
      <c r="G33" s="1418"/>
    </row>
    <row r="34" spans="1:7" ht="15.75" thickBot="1" x14ac:dyDescent="0.3">
      <c r="A34" s="1438"/>
      <c r="B34" s="457" t="s">
        <v>104</v>
      </c>
      <c r="C34" s="734">
        <v>0</v>
      </c>
      <c r="D34" s="734">
        <v>0</v>
      </c>
      <c r="E34" s="734">
        <v>0</v>
      </c>
      <c r="F34" s="734">
        <v>0</v>
      </c>
      <c r="G34" s="1423"/>
    </row>
    <row r="35" spans="1:7" ht="15.75" thickBot="1" x14ac:dyDescent="0.3">
      <c r="A35" s="1436">
        <v>44935</v>
      </c>
      <c r="B35" s="453" t="s">
        <v>17</v>
      </c>
      <c r="C35" s="709">
        <v>1</v>
      </c>
      <c r="D35" s="709">
        <v>1</v>
      </c>
      <c r="E35" s="709">
        <v>1</v>
      </c>
      <c r="F35" s="709">
        <v>1</v>
      </c>
      <c r="G35" s="1453" t="s">
        <v>4726</v>
      </c>
    </row>
    <row r="36" spans="1:7" ht="15.75" thickBot="1" x14ac:dyDescent="0.3">
      <c r="A36" s="1437"/>
      <c r="B36" s="453" t="s">
        <v>102</v>
      </c>
      <c r="C36" s="733">
        <f>24-C37-C38</f>
        <v>0</v>
      </c>
      <c r="D36" s="733">
        <f>24-D37-D38</f>
        <v>22.22</v>
      </c>
      <c r="E36" s="733">
        <f>24-E37-E38</f>
        <v>24</v>
      </c>
      <c r="F36" s="733">
        <f>24-F37-F38</f>
        <v>24</v>
      </c>
      <c r="G36" s="1418"/>
    </row>
    <row r="37" spans="1:7" ht="15.75" thickBot="1" x14ac:dyDescent="0.3">
      <c r="A37" s="1437"/>
      <c r="B37" s="448" t="s">
        <v>103</v>
      </c>
      <c r="C37" s="731">
        <v>24</v>
      </c>
      <c r="D37" s="731">
        <v>1.78</v>
      </c>
      <c r="E37" s="731">
        <v>0</v>
      </c>
      <c r="F37" s="731">
        <v>0</v>
      </c>
      <c r="G37" s="1418"/>
    </row>
    <row r="38" spans="1:7" ht="15.75" thickBot="1" x14ac:dyDescent="0.3">
      <c r="A38" s="1438"/>
      <c r="B38" s="457" t="s">
        <v>104</v>
      </c>
      <c r="C38" s="734">
        <v>0</v>
      </c>
      <c r="D38" s="734">
        <v>0</v>
      </c>
      <c r="E38" s="734">
        <v>0</v>
      </c>
      <c r="F38" s="734">
        <v>0</v>
      </c>
      <c r="G38" s="1423"/>
    </row>
    <row r="39" spans="1:7" ht="15.75" thickBot="1" x14ac:dyDescent="0.3">
      <c r="A39" s="1436">
        <v>44936</v>
      </c>
      <c r="B39" s="453" t="s">
        <v>17</v>
      </c>
      <c r="C39" s="709">
        <v>1</v>
      </c>
      <c r="D39" s="709">
        <v>1</v>
      </c>
      <c r="E39" s="709">
        <v>1</v>
      </c>
      <c r="F39" s="709">
        <v>1</v>
      </c>
      <c r="G39" s="1453" t="s">
        <v>4733</v>
      </c>
    </row>
    <row r="40" spans="1:7" ht="15.75" thickBot="1" x14ac:dyDescent="0.3">
      <c r="A40" s="1437"/>
      <c r="B40" s="453" t="s">
        <v>102</v>
      </c>
      <c r="C40" s="733">
        <f>24-C41-C42</f>
        <v>0</v>
      </c>
      <c r="D40" s="733">
        <f>24-D41-D42</f>
        <v>7.4899999999999984</v>
      </c>
      <c r="E40" s="733">
        <f>24-E41-E42</f>
        <v>24</v>
      </c>
      <c r="F40" s="733">
        <f>24-F41-F42</f>
        <v>24</v>
      </c>
      <c r="G40" s="1418"/>
    </row>
    <row r="41" spans="1:7" ht="15.75" thickBot="1" x14ac:dyDescent="0.3">
      <c r="A41" s="1437"/>
      <c r="B41" s="448" t="s">
        <v>103</v>
      </c>
      <c r="C41" s="731">
        <v>24</v>
      </c>
      <c r="D41" s="731">
        <v>16.510000000000002</v>
      </c>
      <c r="E41" s="731">
        <v>0</v>
      </c>
      <c r="F41" s="731">
        <v>0</v>
      </c>
      <c r="G41" s="1418"/>
    </row>
    <row r="42" spans="1:7" ht="15.75" thickBot="1" x14ac:dyDescent="0.3">
      <c r="A42" s="1438"/>
      <c r="B42" s="457" t="s">
        <v>104</v>
      </c>
      <c r="C42" s="734">
        <v>0</v>
      </c>
      <c r="D42" s="734">
        <v>0</v>
      </c>
      <c r="E42" s="734">
        <v>0</v>
      </c>
      <c r="F42" s="734">
        <v>0</v>
      </c>
      <c r="G42" s="1423"/>
    </row>
    <row r="43" spans="1:7" ht="15.75" thickBot="1" x14ac:dyDescent="0.3">
      <c r="A43" s="1436">
        <v>44937</v>
      </c>
      <c r="B43" s="453" t="s">
        <v>17</v>
      </c>
      <c r="C43" s="709">
        <v>1</v>
      </c>
      <c r="D43" s="709">
        <v>1</v>
      </c>
      <c r="E43" s="709">
        <v>1</v>
      </c>
      <c r="F43" s="709">
        <v>1</v>
      </c>
      <c r="G43" s="1453" t="s">
        <v>4742</v>
      </c>
    </row>
    <row r="44" spans="1:7" ht="15.75" thickBot="1" x14ac:dyDescent="0.3">
      <c r="A44" s="1437"/>
      <c r="B44" s="453" t="s">
        <v>102</v>
      </c>
      <c r="C44" s="733">
        <f>24-C45-C46</f>
        <v>0</v>
      </c>
      <c r="D44" s="733">
        <f>24-D45-D46</f>
        <v>22.766999999999999</v>
      </c>
      <c r="E44" s="733">
        <f>24-E45-E46</f>
        <v>24</v>
      </c>
      <c r="F44" s="733">
        <f>24-F45-F46</f>
        <v>24</v>
      </c>
      <c r="G44" s="1418"/>
    </row>
    <row r="45" spans="1:7" ht="15.75" thickBot="1" x14ac:dyDescent="0.3">
      <c r="A45" s="1437"/>
      <c r="B45" s="448" t="s">
        <v>103</v>
      </c>
      <c r="C45" s="731">
        <v>24</v>
      </c>
      <c r="D45" s="731">
        <v>1.2330000000000001</v>
      </c>
      <c r="E45" s="731">
        <v>0</v>
      </c>
      <c r="F45" s="731">
        <v>0</v>
      </c>
      <c r="G45" s="1418"/>
    </row>
    <row r="46" spans="1:7" ht="15.75" thickBot="1" x14ac:dyDescent="0.3">
      <c r="A46" s="1438"/>
      <c r="B46" s="457" t="s">
        <v>104</v>
      </c>
      <c r="C46" s="734">
        <v>0</v>
      </c>
      <c r="D46" s="734">
        <v>0</v>
      </c>
      <c r="E46" s="734">
        <v>0</v>
      </c>
      <c r="F46" s="734">
        <v>0</v>
      </c>
      <c r="G46" s="1423"/>
    </row>
    <row r="47" spans="1:7" ht="15.75" thickBot="1" x14ac:dyDescent="0.3">
      <c r="A47" s="1436">
        <v>44938</v>
      </c>
      <c r="B47" s="453" t="s">
        <v>17</v>
      </c>
      <c r="C47" s="709">
        <v>1</v>
      </c>
      <c r="D47" s="709">
        <v>1</v>
      </c>
      <c r="E47" s="709">
        <v>1</v>
      </c>
      <c r="F47" s="709">
        <v>1</v>
      </c>
      <c r="G47" s="1453" t="s">
        <v>4743</v>
      </c>
    </row>
    <row r="48" spans="1:7" ht="15.75" thickBot="1" x14ac:dyDescent="0.3">
      <c r="A48" s="1437"/>
      <c r="B48" s="453" t="s">
        <v>102</v>
      </c>
      <c r="C48" s="733">
        <f>24-C49-C50</f>
        <v>16.64</v>
      </c>
      <c r="D48" s="733">
        <f>24-D49-D50</f>
        <v>1.9200000000000017</v>
      </c>
      <c r="E48" s="733">
        <f>24-E49-E50</f>
        <v>24</v>
      </c>
      <c r="F48" s="733">
        <f>24-F49-F50</f>
        <v>24</v>
      </c>
      <c r="G48" s="1418"/>
    </row>
    <row r="49" spans="1:7" ht="15.75" thickBot="1" x14ac:dyDescent="0.3">
      <c r="A49" s="1437"/>
      <c r="B49" s="448" t="s">
        <v>103</v>
      </c>
      <c r="C49" s="731">
        <v>7.36</v>
      </c>
      <c r="D49" s="731">
        <v>22.08</v>
      </c>
      <c r="E49" s="731">
        <v>0</v>
      </c>
      <c r="F49" s="731">
        <v>0</v>
      </c>
      <c r="G49" s="1418"/>
    </row>
    <row r="50" spans="1:7" ht="15.75" thickBot="1" x14ac:dyDescent="0.3">
      <c r="A50" s="1438"/>
      <c r="B50" s="457" t="s">
        <v>104</v>
      </c>
      <c r="C50" s="734">
        <v>0</v>
      </c>
      <c r="D50" s="734">
        <v>0</v>
      </c>
      <c r="E50" s="734">
        <v>0</v>
      </c>
      <c r="F50" s="734">
        <v>0</v>
      </c>
      <c r="G50" s="1418"/>
    </row>
    <row r="51" spans="1:7" ht="15.75" thickBot="1" x14ac:dyDescent="0.3">
      <c r="A51" s="1436">
        <v>44939</v>
      </c>
      <c r="B51" s="453" t="s">
        <v>17</v>
      </c>
      <c r="C51" s="709">
        <v>1</v>
      </c>
      <c r="D51" s="709">
        <v>1</v>
      </c>
      <c r="E51" s="709">
        <v>1</v>
      </c>
      <c r="F51" s="709">
        <v>1</v>
      </c>
      <c r="G51" s="1453" t="s">
        <v>4751</v>
      </c>
    </row>
    <row r="52" spans="1:7" ht="15.75" thickBot="1" x14ac:dyDescent="0.3">
      <c r="A52" s="1437"/>
      <c r="B52" s="453" t="s">
        <v>102</v>
      </c>
      <c r="C52" s="733">
        <f>24-C53-C54</f>
        <v>24</v>
      </c>
      <c r="D52" s="733">
        <f>24-D53-D54</f>
        <v>22.5</v>
      </c>
      <c r="E52" s="733">
        <f>24-E53-E54</f>
        <v>24</v>
      </c>
      <c r="F52" s="733">
        <f>24-F53-F54</f>
        <v>24</v>
      </c>
      <c r="G52" s="1418"/>
    </row>
    <row r="53" spans="1:7" ht="15.75" thickBot="1" x14ac:dyDescent="0.3">
      <c r="A53" s="1437"/>
      <c r="B53" s="448" t="s">
        <v>103</v>
      </c>
      <c r="C53" s="731">
        <v>0</v>
      </c>
      <c r="D53" s="731">
        <v>1.5</v>
      </c>
      <c r="E53" s="731">
        <v>0</v>
      </c>
      <c r="F53" s="731">
        <v>0</v>
      </c>
      <c r="G53" s="1418"/>
    </row>
    <row r="54" spans="1:7" ht="15.75" thickBot="1" x14ac:dyDescent="0.3">
      <c r="A54" s="1438"/>
      <c r="B54" s="457" t="s">
        <v>104</v>
      </c>
      <c r="C54" s="734">
        <v>0</v>
      </c>
      <c r="D54" s="734">
        <v>0</v>
      </c>
      <c r="E54" s="734">
        <v>0</v>
      </c>
      <c r="F54" s="734">
        <v>0</v>
      </c>
      <c r="G54" s="1418"/>
    </row>
    <row r="55" spans="1:7" ht="15.75" thickBot="1" x14ac:dyDescent="0.3">
      <c r="A55" s="1436">
        <v>44940</v>
      </c>
      <c r="B55" s="453" t="s">
        <v>17</v>
      </c>
      <c r="C55" s="709">
        <v>1</v>
      </c>
      <c r="D55" s="709">
        <v>1</v>
      </c>
      <c r="E55" s="709">
        <v>1</v>
      </c>
      <c r="F55" s="709">
        <v>1</v>
      </c>
      <c r="G55" s="1453" t="s">
        <v>4760</v>
      </c>
    </row>
    <row r="56" spans="1:7" ht="15.75" thickBot="1" x14ac:dyDescent="0.3">
      <c r="A56" s="1437"/>
      <c r="B56" s="453" t="s">
        <v>102</v>
      </c>
      <c r="C56" s="733">
        <f>24-C57-C58</f>
        <v>10.17</v>
      </c>
      <c r="D56" s="733">
        <f>24-D57-D58</f>
        <v>14.25</v>
      </c>
      <c r="E56" s="733">
        <f>24-E57-E58</f>
        <v>24</v>
      </c>
      <c r="F56" s="733">
        <f>24-F57-F58</f>
        <v>24</v>
      </c>
      <c r="G56" s="1418"/>
    </row>
    <row r="57" spans="1:7" ht="15.75" thickBot="1" x14ac:dyDescent="0.3">
      <c r="A57" s="1437"/>
      <c r="B57" s="448" t="s">
        <v>103</v>
      </c>
      <c r="C57" s="731">
        <v>13.83</v>
      </c>
      <c r="D57" s="731">
        <v>9.75</v>
      </c>
      <c r="E57" s="731">
        <v>0</v>
      </c>
      <c r="F57" s="731">
        <v>0</v>
      </c>
      <c r="G57" s="1418"/>
    </row>
    <row r="58" spans="1:7" ht="15.75" thickBot="1" x14ac:dyDescent="0.3">
      <c r="A58" s="1438"/>
      <c r="B58" s="457" t="s">
        <v>104</v>
      </c>
      <c r="C58" s="734">
        <v>0</v>
      </c>
      <c r="D58" s="734">
        <v>0</v>
      </c>
      <c r="E58" s="734">
        <v>0</v>
      </c>
      <c r="F58" s="734">
        <v>0</v>
      </c>
      <c r="G58" s="1423"/>
    </row>
    <row r="59" spans="1:7" ht="15.75" thickBot="1" x14ac:dyDescent="0.3">
      <c r="A59" s="1436">
        <v>44941</v>
      </c>
      <c r="B59" s="453" t="s">
        <v>17</v>
      </c>
      <c r="C59" s="709">
        <v>1</v>
      </c>
      <c r="D59" s="709">
        <v>1</v>
      </c>
      <c r="E59" s="709">
        <v>1</v>
      </c>
      <c r="F59" s="709">
        <v>1</v>
      </c>
      <c r="G59" s="1464" t="s">
        <v>4777</v>
      </c>
    </row>
    <row r="60" spans="1:7" ht="15.75" thickBot="1" x14ac:dyDescent="0.3">
      <c r="A60" s="1437"/>
      <c r="B60" s="453" t="s">
        <v>102</v>
      </c>
      <c r="C60" s="733">
        <f>24-C61-C62</f>
        <v>0</v>
      </c>
      <c r="D60" s="733">
        <f>24-D61-D62</f>
        <v>12.74</v>
      </c>
      <c r="E60" s="733">
        <f>24-E61-E62</f>
        <v>12.67</v>
      </c>
      <c r="F60" s="733">
        <f>24-F61-F62</f>
        <v>24</v>
      </c>
      <c r="G60" s="1465"/>
    </row>
    <row r="61" spans="1:7" ht="15.75" thickBot="1" x14ac:dyDescent="0.3">
      <c r="A61" s="1437"/>
      <c r="B61" s="448" t="s">
        <v>103</v>
      </c>
      <c r="C61" s="731">
        <v>24</v>
      </c>
      <c r="D61" s="731">
        <v>11.26</v>
      </c>
      <c r="E61" s="731">
        <v>11.33</v>
      </c>
      <c r="F61" s="731">
        <v>0</v>
      </c>
      <c r="G61" s="1465"/>
    </row>
    <row r="62" spans="1:7" ht="15.75" thickBot="1" x14ac:dyDescent="0.3">
      <c r="A62" s="1438"/>
      <c r="B62" s="457" t="s">
        <v>104</v>
      </c>
      <c r="C62" s="734">
        <v>0</v>
      </c>
      <c r="D62" s="734">
        <v>0</v>
      </c>
      <c r="E62" s="734">
        <v>0</v>
      </c>
      <c r="F62" s="734">
        <v>0</v>
      </c>
      <c r="G62" s="1465"/>
    </row>
    <row r="63" spans="1:7" ht="15.75" thickBot="1" x14ac:dyDescent="0.3">
      <c r="A63" s="1436">
        <v>44942</v>
      </c>
      <c r="B63" s="453" t="s">
        <v>17</v>
      </c>
      <c r="C63" s="709">
        <v>1</v>
      </c>
      <c r="D63" s="709">
        <v>1</v>
      </c>
      <c r="E63" s="709">
        <v>1</v>
      </c>
      <c r="F63" s="709">
        <v>1</v>
      </c>
      <c r="G63" s="1453" t="s">
        <v>4780</v>
      </c>
    </row>
    <row r="64" spans="1:7" ht="15.75" thickBot="1" x14ac:dyDescent="0.3">
      <c r="A64" s="1437"/>
      <c r="B64" s="453" t="s">
        <v>102</v>
      </c>
      <c r="C64" s="733">
        <f>24-C65-C66</f>
        <v>0</v>
      </c>
      <c r="D64" s="733">
        <f>24-D65-D66</f>
        <v>8.2669999999999995</v>
      </c>
      <c r="E64" s="733">
        <f>24-E65-E66</f>
        <v>24</v>
      </c>
      <c r="F64" s="733">
        <f>24-F65-F66</f>
        <v>24</v>
      </c>
      <c r="G64" s="1418"/>
    </row>
    <row r="65" spans="1:7" ht="15.75" thickBot="1" x14ac:dyDescent="0.3">
      <c r="A65" s="1437"/>
      <c r="B65" s="448" t="s">
        <v>103</v>
      </c>
      <c r="C65" s="731">
        <v>24</v>
      </c>
      <c r="D65" s="731">
        <v>15.733000000000001</v>
      </c>
      <c r="E65" s="731">
        <v>0</v>
      </c>
      <c r="F65" s="731">
        <v>0</v>
      </c>
      <c r="G65" s="1418"/>
    </row>
    <row r="66" spans="1:7" ht="15.75" thickBot="1" x14ac:dyDescent="0.3">
      <c r="A66" s="1438"/>
      <c r="B66" s="457" t="s">
        <v>104</v>
      </c>
      <c r="C66" s="734">
        <v>0</v>
      </c>
      <c r="D66" s="734">
        <v>0</v>
      </c>
      <c r="E66" s="734">
        <v>0</v>
      </c>
      <c r="F66" s="734">
        <v>0</v>
      </c>
      <c r="G66" s="1423"/>
    </row>
    <row r="67" spans="1:7" ht="15.75" thickBot="1" x14ac:dyDescent="0.3">
      <c r="A67" s="1436">
        <v>44943</v>
      </c>
      <c r="B67" s="453" t="s">
        <v>17</v>
      </c>
      <c r="C67" s="709">
        <v>1</v>
      </c>
      <c r="D67" s="709">
        <v>1</v>
      </c>
      <c r="E67" s="709">
        <v>1</v>
      </c>
      <c r="F67" s="709">
        <v>1</v>
      </c>
      <c r="G67" s="1453" t="s">
        <v>4798</v>
      </c>
    </row>
    <row r="68" spans="1:7" ht="15.75" thickBot="1" x14ac:dyDescent="0.3">
      <c r="A68" s="1437"/>
      <c r="B68" s="453" t="s">
        <v>102</v>
      </c>
      <c r="C68" s="733">
        <f>24-C69-C70</f>
        <v>0</v>
      </c>
      <c r="D68" s="733">
        <f>24-D69-D70</f>
        <v>21.8</v>
      </c>
      <c r="E68" s="733">
        <f>24-E69-E70</f>
        <v>24</v>
      </c>
      <c r="F68" s="733">
        <f>24-F69-F70</f>
        <v>10.79</v>
      </c>
      <c r="G68" s="1418"/>
    </row>
    <row r="69" spans="1:7" ht="15.75" thickBot="1" x14ac:dyDescent="0.3">
      <c r="A69" s="1437"/>
      <c r="B69" s="448" t="s">
        <v>103</v>
      </c>
      <c r="C69" s="731">
        <v>24</v>
      </c>
      <c r="D69" s="731">
        <v>2.2000000000000002</v>
      </c>
      <c r="E69" s="731">
        <v>0</v>
      </c>
      <c r="F69" s="731">
        <v>13.21</v>
      </c>
      <c r="G69" s="1418"/>
    </row>
    <row r="70" spans="1:7" ht="15.75" thickBot="1" x14ac:dyDescent="0.3">
      <c r="A70" s="1438"/>
      <c r="B70" s="457" t="s">
        <v>104</v>
      </c>
      <c r="C70" s="734">
        <v>0</v>
      </c>
      <c r="D70" s="734">
        <v>0</v>
      </c>
      <c r="E70" s="734">
        <v>0</v>
      </c>
      <c r="F70" s="734">
        <v>0</v>
      </c>
      <c r="G70" s="1423"/>
    </row>
    <row r="71" spans="1:7" ht="15.75" thickBot="1" x14ac:dyDescent="0.3">
      <c r="A71" s="1436">
        <v>44944</v>
      </c>
      <c r="B71" s="453" t="s">
        <v>17</v>
      </c>
      <c r="C71" s="709">
        <v>1</v>
      </c>
      <c r="D71" s="709">
        <v>1</v>
      </c>
      <c r="E71" s="709">
        <v>1</v>
      </c>
      <c r="F71" s="709">
        <v>1</v>
      </c>
      <c r="G71" s="1462" t="s">
        <v>4799</v>
      </c>
    </row>
    <row r="72" spans="1:7" ht="15.75" thickBot="1" x14ac:dyDescent="0.3">
      <c r="A72" s="1437"/>
      <c r="B72" s="453" t="s">
        <v>102</v>
      </c>
      <c r="C72" s="733">
        <f>24-C73-C74</f>
        <v>0</v>
      </c>
      <c r="D72" s="733">
        <f>24-D73-D74</f>
        <v>24</v>
      </c>
      <c r="E72" s="733">
        <f>24-E73-E74</f>
        <v>24</v>
      </c>
      <c r="F72" s="733">
        <f>24-F73-F74</f>
        <v>0</v>
      </c>
      <c r="G72" s="1454"/>
    </row>
    <row r="73" spans="1:7" ht="15.75" thickBot="1" x14ac:dyDescent="0.3">
      <c r="A73" s="1437"/>
      <c r="B73" s="448" t="s">
        <v>103</v>
      </c>
      <c r="C73" s="731">
        <v>24</v>
      </c>
      <c r="D73" s="731">
        <v>0</v>
      </c>
      <c r="E73" s="731">
        <v>0</v>
      </c>
      <c r="F73" s="731">
        <v>24</v>
      </c>
      <c r="G73" s="1454"/>
    </row>
    <row r="74" spans="1:7" ht="15.75" thickBot="1" x14ac:dyDescent="0.3">
      <c r="A74" s="1438"/>
      <c r="B74" s="457" t="s">
        <v>104</v>
      </c>
      <c r="C74" s="734">
        <v>0</v>
      </c>
      <c r="D74" s="734">
        <v>0</v>
      </c>
      <c r="E74" s="734">
        <v>0</v>
      </c>
      <c r="F74" s="734">
        <v>0</v>
      </c>
      <c r="G74" s="1455"/>
    </row>
    <row r="75" spans="1:7" ht="15.75" thickBot="1" x14ac:dyDescent="0.3">
      <c r="A75" s="1436">
        <v>44945</v>
      </c>
      <c r="B75" s="453" t="s">
        <v>17</v>
      </c>
      <c r="C75" s="709">
        <v>1</v>
      </c>
      <c r="D75" s="709">
        <v>1</v>
      </c>
      <c r="E75" s="709">
        <v>1</v>
      </c>
      <c r="F75" s="709">
        <v>1</v>
      </c>
      <c r="G75" s="1447" t="s">
        <v>4800</v>
      </c>
    </row>
    <row r="76" spans="1:7" ht="15.75" thickBot="1" x14ac:dyDescent="0.3">
      <c r="A76" s="1437"/>
      <c r="B76" s="453" t="s">
        <v>102</v>
      </c>
      <c r="C76" s="733">
        <f>24-C77-C78</f>
        <v>0</v>
      </c>
      <c r="D76" s="733">
        <f>24-D77-D78</f>
        <v>24</v>
      </c>
      <c r="E76" s="733">
        <f>24-E77-E78</f>
        <v>24</v>
      </c>
      <c r="F76" s="733">
        <f>24-F77-F78</f>
        <v>16</v>
      </c>
      <c r="G76" s="1448"/>
    </row>
    <row r="77" spans="1:7" ht="15.75" thickBot="1" x14ac:dyDescent="0.3">
      <c r="A77" s="1437"/>
      <c r="B77" s="448" t="s">
        <v>103</v>
      </c>
      <c r="C77" s="731">
        <v>24</v>
      </c>
      <c r="D77" s="731">
        <v>0</v>
      </c>
      <c r="E77" s="731">
        <v>0</v>
      </c>
      <c r="F77" s="731">
        <v>8</v>
      </c>
      <c r="G77" s="1448"/>
    </row>
    <row r="78" spans="1:7" ht="15.75" thickBot="1" x14ac:dyDescent="0.3">
      <c r="A78" s="1438"/>
      <c r="B78" s="457" t="s">
        <v>104</v>
      </c>
      <c r="C78" s="734">
        <v>0</v>
      </c>
      <c r="D78" s="734">
        <v>0</v>
      </c>
      <c r="E78" s="734">
        <v>0</v>
      </c>
      <c r="F78" s="734">
        <v>0</v>
      </c>
      <c r="G78" s="1449"/>
    </row>
    <row r="79" spans="1:7" ht="15.75" thickBot="1" x14ac:dyDescent="0.3">
      <c r="A79" s="1436">
        <v>44946</v>
      </c>
      <c r="B79" s="453" t="s">
        <v>17</v>
      </c>
      <c r="C79" s="709">
        <v>1</v>
      </c>
      <c r="D79" s="709">
        <v>1</v>
      </c>
      <c r="E79" s="709">
        <v>1</v>
      </c>
      <c r="F79" s="709">
        <v>1</v>
      </c>
      <c r="G79" s="1447"/>
    </row>
    <row r="80" spans="1:7" ht="15.75" thickBot="1" x14ac:dyDescent="0.3">
      <c r="A80" s="1437"/>
      <c r="B80" s="453" t="s">
        <v>102</v>
      </c>
      <c r="C80" s="733">
        <f>24-C81-C82</f>
        <v>0</v>
      </c>
      <c r="D80" s="733">
        <f>24-D81-D82</f>
        <v>24</v>
      </c>
      <c r="E80" s="733">
        <f>24-E81-E82</f>
        <v>24</v>
      </c>
      <c r="F80" s="733">
        <f>24-F81-F82</f>
        <v>24</v>
      </c>
      <c r="G80" s="1448"/>
    </row>
    <row r="81" spans="1:7" ht="15.75" thickBot="1" x14ac:dyDescent="0.3">
      <c r="A81" s="1437"/>
      <c r="B81" s="448" t="s">
        <v>103</v>
      </c>
      <c r="C81" s="731">
        <v>24</v>
      </c>
      <c r="D81" s="731">
        <v>0</v>
      </c>
      <c r="E81" s="731">
        <v>0</v>
      </c>
      <c r="F81" s="731">
        <v>0</v>
      </c>
      <c r="G81" s="1448"/>
    </row>
    <row r="82" spans="1:7" ht="15.75" thickBot="1" x14ac:dyDescent="0.3">
      <c r="A82" s="1438"/>
      <c r="B82" s="457" t="s">
        <v>104</v>
      </c>
      <c r="C82" s="734">
        <v>0</v>
      </c>
      <c r="D82" s="734">
        <v>0</v>
      </c>
      <c r="E82" s="734">
        <v>0</v>
      </c>
      <c r="F82" s="734">
        <v>0</v>
      </c>
      <c r="G82" s="1448"/>
    </row>
    <row r="83" spans="1:7" ht="15.75" thickBot="1" x14ac:dyDescent="0.3">
      <c r="A83" s="1436">
        <v>44947</v>
      </c>
      <c r="B83" s="453" t="s">
        <v>17</v>
      </c>
      <c r="C83" s="709">
        <v>1</v>
      </c>
      <c r="D83" s="709">
        <v>1</v>
      </c>
      <c r="E83" s="709">
        <v>1</v>
      </c>
      <c r="F83" s="709">
        <v>1</v>
      </c>
      <c r="G83" s="1462" t="s">
        <v>4826</v>
      </c>
    </row>
    <row r="84" spans="1:7" ht="15.75" thickBot="1" x14ac:dyDescent="0.3">
      <c r="A84" s="1437"/>
      <c r="B84" s="453" t="s">
        <v>102</v>
      </c>
      <c r="C84" s="733">
        <f>24-C85-C86</f>
        <v>9.25</v>
      </c>
      <c r="D84" s="733">
        <f>24-D85-D86</f>
        <v>8.07</v>
      </c>
      <c r="E84" s="733">
        <f>24-E85-E86</f>
        <v>24</v>
      </c>
      <c r="F84" s="733">
        <f>24-F85-F86</f>
        <v>24</v>
      </c>
      <c r="G84" s="1454"/>
    </row>
    <row r="85" spans="1:7" ht="15.75" thickBot="1" x14ac:dyDescent="0.3">
      <c r="A85" s="1437"/>
      <c r="B85" s="448" t="s">
        <v>103</v>
      </c>
      <c r="C85" s="731">
        <v>14.75</v>
      </c>
      <c r="D85" s="731">
        <v>15.93</v>
      </c>
      <c r="E85" s="731">
        <v>0</v>
      </c>
      <c r="F85" s="731">
        <v>0</v>
      </c>
      <c r="G85" s="1454"/>
    </row>
    <row r="86" spans="1:7" ht="15.75" thickBot="1" x14ac:dyDescent="0.3">
      <c r="A86" s="1438"/>
      <c r="B86" s="457" t="s">
        <v>104</v>
      </c>
      <c r="C86" s="734">
        <v>0</v>
      </c>
      <c r="D86" s="734">
        <v>0</v>
      </c>
      <c r="E86" s="734">
        <v>0</v>
      </c>
      <c r="F86" s="734">
        <v>0</v>
      </c>
      <c r="G86" s="1455"/>
    </row>
    <row r="87" spans="1:7" ht="15.75" thickBot="1" x14ac:dyDescent="0.3">
      <c r="A87" s="1436">
        <v>44948</v>
      </c>
      <c r="B87" s="453" t="s">
        <v>17</v>
      </c>
      <c r="C87" s="709">
        <v>1</v>
      </c>
      <c r="D87" s="709">
        <v>1</v>
      </c>
      <c r="E87" s="709">
        <v>1</v>
      </c>
      <c r="F87" s="709">
        <v>1</v>
      </c>
      <c r="G87" s="1447" t="s">
        <v>4834</v>
      </c>
    </row>
    <row r="88" spans="1:7" ht="15.75" thickBot="1" x14ac:dyDescent="0.3">
      <c r="A88" s="1437"/>
      <c r="B88" s="453" t="s">
        <v>102</v>
      </c>
      <c r="C88" s="733">
        <f>24-C89-C90</f>
        <v>24</v>
      </c>
      <c r="D88" s="733">
        <f>24-D89-D90</f>
        <v>15</v>
      </c>
      <c r="E88" s="733">
        <f>24-E89-E90</f>
        <v>24</v>
      </c>
      <c r="F88" s="733">
        <f>24-F89-F90</f>
        <v>24</v>
      </c>
      <c r="G88" s="1454"/>
    </row>
    <row r="89" spans="1:7" ht="15.75" thickBot="1" x14ac:dyDescent="0.3">
      <c r="A89" s="1437"/>
      <c r="B89" s="448" t="s">
        <v>103</v>
      </c>
      <c r="C89" s="731">
        <v>0</v>
      </c>
      <c r="D89" s="731">
        <v>9</v>
      </c>
      <c r="E89" s="731">
        <v>0</v>
      </c>
      <c r="F89" s="731">
        <v>0</v>
      </c>
      <c r="G89" s="1454"/>
    </row>
    <row r="90" spans="1:7" ht="15.75" thickBot="1" x14ac:dyDescent="0.3">
      <c r="A90" s="1438"/>
      <c r="B90" s="457" t="s">
        <v>104</v>
      </c>
      <c r="C90" s="734">
        <v>0</v>
      </c>
      <c r="D90" s="734">
        <v>0</v>
      </c>
      <c r="E90" s="734">
        <v>0</v>
      </c>
      <c r="F90" s="734">
        <v>0</v>
      </c>
      <c r="G90" s="1455"/>
    </row>
    <row r="91" spans="1:7" ht="15.75" thickBot="1" x14ac:dyDescent="0.3">
      <c r="A91" s="1436">
        <v>44949</v>
      </c>
      <c r="B91" s="453" t="s">
        <v>17</v>
      </c>
      <c r="C91" s="709">
        <v>1</v>
      </c>
      <c r="D91" s="709">
        <v>1</v>
      </c>
      <c r="E91" s="709">
        <v>1</v>
      </c>
      <c r="F91" s="709">
        <v>1</v>
      </c>
      <c r="G91" s="1447" t="s">
        <v>4827</v>
      </c>
    </row>
    <row r="92" spans="1:7" ht="15.75" thickBot="1" x14ac:dyDescent="0.3">
      <c r="A92" s="1437"/>
      <c r="B92" s="453" t="s">
        <v>102</v>
      </c>
      <c r="C92" s="733">
        <f>24-C93-C94</f>
        <v>13.94</v>
      </c>
      <c r="D92" s="733">
        <f>24-D93-D94</f>
        <v>13.59</v>
      </c>
      <c r="E92" s="733">
        <f>24-E93-E94</f>
        <v>24</v>
      </c>
      <c r="F92" s="733">
        <f>24-F93-F94</f>
        <v>24</v>
      </c>
      <c r="G92" s="1448"/>
    </row>
    <row r="93" spans="1:7" ht="15.75" thickBot="1" x14ac:dyDescent="0.3">
      <c r="A93" s="1437"/>
      <c r="B93" s="448" t="s">
        <v>103</v>
      </c>
      <c r="C93" s="731">
        <v>10.06</v>
      </c>
      <c r="D93" s="731">
        <v>10.41</v>
      </c>
      <c r="E93" s="731">
        <v>0</v>
      </c>
      <c r="F93" s="731">
        <v>0</v>
      </c>
      <c r="G93" s="1448"/>
    </row>
    <row r="94" spans="1:7" ht="15.75" thickBot="1" x14ac:dyDescent="0.3">
      <c r="A94" s="1438"/>
      <c r="B94" s="457" t="s">
        <v>104</v>
      </c>
      <c r="C94" s="734">
        <v>0</v>
      </c>
      <c r="D94" s="734">
        <v>0</v>
      </c>
      <c r="E94" s="734">
        <v>0</v>
      </c>
      <c r="F94" s="734">
        <v>0</v>
      </c>
      <c r="G94" s="1449"/>
    </row>
    <row r="95" spans="1:7" ht="15.75" thickBot="1" x14ac:dyDescent="0.3">
      <c r="A95" s="1436">
        <v>44950</v>
      </c>
      <c r="B95" s="453" t="s">
        <v>17</v>
      </c>
      <c r="C95" s="709">
        <v>1</v>
      </c>
      <c r="D95" s="709">
        <v>1</v>
      </c>
      <c r="E95" s="709">
        <v>1</v>
      </c>
      <c r="F95" s="709">
        <v>1</v>
      </c>
      <c r="G95" s="1447"/>
    </row>
    <row r="96" spans="1:7" ht="15.75" thickBot="1" x14ac:dyDescent="0.3">
      <c r="A96" s="1437"/>
      <c r="B96" s="453" t="s">
        <v>102</v>
      </c>
      <c r="C96" s="733">
        <f>24-C97-C98</f>
        <v>0</v>
      </c>
      <c r="D96" s="733">
        <f>24-D97-D98</f>
        <v>0</v>
      </c>
      <c r="E96" s="733">
        <f>24-E97-E98</f>
        <v>24</v>
      </c>
      <c r="F96" s="733">
        <f>24-F97-F98</f>
        <v>24</v>
      </c>
      <c r="G96" s="1448"/>
    </row>
    <row r="97" spans="1:7" ht="15.75" thickBot="1" x14ac:dyDescent="0.3">
      <c r="A97" s="1437"/>
      <c r="B97" s="448" t="s">
        <v>103</v>
      </c>
      <c r="C97" s="731">
        <v>24</v>
      </c>
      <c r="D97" s="731">
        <v>24</v>
      </c>
      <c r="E97" s="731">
        <v>0</v>
      </c>
      <c r="F97" s="731">
        <v>0</v>
      </c>
      <c r="G97" s="1448"/>
    </row>
    <row r="98" spans="1:7" ht="15.75" thickBot="1" x14ac:dyDescent="0.3">
      <c r="A98" s="1438"/>
      <c r="B98" s="457" t="s">
        <v>104</v>
      </c>
      <c r="C98" s="734">
        <v>0</v>
      </c>
      <c r="D98" s="734">
        <v>0</v>
      </c>
      <c r="E98" s="734">
        <v>0</v>
      </c>
      <c r="F98" s="734">
        <v>0</v>
      </c>
      <c r="G98" s="1449"/>
    </row>
    <row r="99" spans="1:7" ht="15.75" thickBot="1" x14ac:dyDescent="0.3">
      <c r="A99" s="1436">
        <v>44951</v>
      </c>
      <c r="B99" s="453" t="s">
        <v>17</v>
      </c>
      <c r="C99" s="709">
        <v>1</v>
      </c>
      <c r="D99" s="709">
        <v>1</v>
      </c>
      <c r="E99" s="709">
        <v>1</v>
      </c>
      <c r="F99" s="709">
        <v>1</v>
      </c>
      <c r="G99" s="1447" t="s">
        <v>4835</v>
      </c>
    </row>
    <row r="100" spans="1:7" ht="15.75" thickBot="1" x14ac:dyDescent="0.3">
      <c r="A100" s="1437"/>
      <c r="B100" s="453" t="s">
        <v>102</v>
      </c>
      <c r="C100" s="733">
        <f>24-C101-C102</f>
        <v>0</v>
      </c>
      <c r="D100" s="733">
        <f>24-D101-D102</f>
        <v>16.59</v>
      </c>
      <c r="E100" s="733">
        <f>24-E101-E102</f>
        <v>24</v>
      </c>
      <c r="F100" s="733">
        <f>24-F101-F102</f>
        <v>24</v>
      </c>
      <c r="G100" s="1448"/>
    </row>
    <row r="101" spans="1:7" ht="15.75" thickBot="1" x14ac:dyDescent="0.3">
      <c r="A101" s="1437"/>
      <c r="B101" s="448" t="s">
        <v>103</v>
      </c>
      <c r="C101" s="731">
        <v>24</v>
      </c>
      <c r="D101" s="731">
        <v>7.41</v>
      </c>
      <c r="E101" s="731">
        <v>0</v>
      </c>
      <c r="F101" s="731">
        <v>0</v>
      </c>
      <c r="G101" s="1448"/>
    </row>
    <row r="102" spans="1:7" ht="15.75" thickBot="1" x14ac:dyDescent="0.3">
      <c r="A102" s="1438"/>
      <c r="B102" s="457" t="s">
        <v>104</v>
      </c>
      <c r="C102" s="734">
        <v>0</v>
      </c>
      <c r="D102" s="734">
        <v>0</v>
      </c>
      <c r="E102" s="734">
        <v>0</v>
      </c>
      <c r="F102" s="734">
        <v>0</v>
      </c>
      <c r="G102" s="1449"/>
    </row>
    <row r="103" spans="1:7" ht="15.75" thickBot="1" x14ac:dyDescent="0.3">
      <c r="A103" s="1436">
        <v>44952</v>
      </c>
      <c r="B103" s="453" t="s">
        <v>17</v>
      </c>
      <c r="C103" s="709">
        <v>1</v>
      </c>
      <c r="D103" s="709">
        <v>1</v>
      </c>
      <c r="E103" s="709">
        <v>1</v>
      </c>
      <c r="F103" s="709">
        <v>1</v>
      </c>
      <c r="G103" s="1447" t="s">
        <v>4847</v>
      </c>
    </row>
    <row r="104" spans="1:7" ht="15.75" thickBot="1" x14ac:dyDescent="0.3">
      <c r="A104" s="1437"/>
      <c r="B104" s="453" t="s">
        <v>102</v>
      </c>
      <c r="C104" s="733">
        <f>24-C105-C106</f>
        <v>0</v>
      </c>
      <c r="D104" s="733">
        <f>24-D105-D106</f>
        <v>19.5</v>
      </c>
      <c r="E104" s="733">
        <f>24-E105-E106</f>
        <v>24</v>
      </c>
      <c r="F104" s="733">
        <f>24-F105-F106</f>
        <v>24</v>
      </c>
      <c r="G104" s="1448"/>
    </row>
    <row r="105" spans="1:7" ht="15.75" thickBot="1" x14ac:dyDescent="0.3">
      <c r="A105" s="1437"/>
      <c r="B105" s="448" t="s">
        <v>103</v>
      </c>
      <c r="C105" s="731">
        <v>24</v>
      </c>
      <c r="D105" s="731">
        <v>4.5</v>
      </c>
      <c r="E105" s="731">
        <v>0</v>
      </c>
      <c r="F105" s="731">
        <v>0</v>
      </c>
      <c r="G105" s="1448"/>
    </row>
    <row r="106" spans="1:7" ht="15.75" thickBot="1" x14ac:dyDescent="0.3">
      <c r="A106" s="1438"/>
      <c r="B106" s="457" t="s">
        <v>104</v>
      </c>
      <c r="C106" s="734">
        <v>0</v>
      </c>
      <c r="D106" s="734">
        <v>0</v>
      </c>
      <c r="E106" s="734">
        <v>0</v>
      </c>
      <c r="F106" s="734">
        <v>0</v>
      </c>
      <c r="G106" s="1449"/>
    </row>
    <row r="107" spans="1:7" ht="15.75" thickBot="1" x14ac:dyDescent="0.3">
      <c r="A107" s="1436">
        <v>44953</v>
      </c>
      <c r="B107" s="453" t="s">
        <v>17</v>
      </c>
      <c r="C107" s="709">
        <v>1</v>
      </c>
      <c r="D107" s="709">
        <v>1</v>
      </c>
      <c r="E107" s="709">
        <v>1</v>
      </c>
      <c r="F107" s="709">
        <v>1</v>
      </c>
      <c r="G107" s="1447"/>
    </row>
    <row r="108" spans="1:7" ht="15.75" thickBot="1" x14ac:dyDescent="0.3">
      <c r="A108" s="1437"/>
      <c r="B108" s="453" t="s">
        <v>102</v>
      </c>
      <c r="C108" s="733">
        <f>24-C109-C110</f>
        <v>0</v>
      </c>
      <c r="D108" s="733">
        <f>24-D109-D110</f>
        <v>0</v>
      </c>
      <c r="E108" s="733">
        <f>24-E109-E110</f>
        <v>24</v>
      </c>
      <c r="F108" s="733">
        <f>24-F109-F110</f>
        <v>24</v>
      </c>
      <c r="G108" s="1448"/>
    </row>
    <row r="109" spans="1:7" ht="15.75" thickBot="1" x14ac:dyDescent="0.3">
      <c r="A109" s="1437"/>
      <c r="B109" s="448" t="s">
        <v>103</v>
      </c>
      <c r="C109" s="731">
        <v>24</v>
      </c>
      <c r="D109" s="731">
        <v>24</v>
      </c>
      <c r="E109" s="731">
        <v>0</v>
      </c>
      <c r="F109" s="731">
        <v>0</v>
      </c>
      <c r="G109" s="1448"/>
    </row>
    <row r="110" spans="1:7" ht="15.75" thickBot="1" x14ac:dyDescent="0.3">
      <c r="A110" s="1438"/>
      <c r="B110" s="457" t="s">
        <v>104</v>
      </c>
      <c r="C110" s="734">
        <v>0</v>
      </c>
      <c r="D110" s="734">
        <v>0</v>
      </c>
      <c r="E110" s="734">
        <v>0</v>
      </c>
      <c r="F110" s="734">
        <v>0</v>
      </c>
      <c r="G110" s="1449"/>
    </row>
    <row r="111" spans="1:7" ht="15.75" thickBot="1" x14ac:dyDescent="0.3">
      <c r="A111" s="1436">
        <v>44954</v>
      </c>
      <c r="B111" s="453" t="s">
        <v>17</v>
      </c>
      <c r="C111" s="709">
        <v>1</v>
      </c>
      <c r="D111" s="709">
        <v>1</v>
      </c>
      <c r="E111" s="709">
        <v>1</v>
      </c>
      <c r="F111" s="709">
        <v>1</v>
      </c>
      <c r="G111" s="1447" t="s">
        <v>4857</v>
      </c>
    </row>
    <row r="112" spans="1:7" ht="15.75" thickBot="1" x14ac:dyDescent="0.3">
      <c r="A112" s="1437"/>
      <c r="B112" s="453" t="s">
        <v>102</v>
      </c>
      <c r="C112" s="733">
        <f>24-C113-C114</f>
        <v>0</v>
      </c>
      <c r="D112" s="733">
        <f>24-D113-D114</f>
        <v>17.29</v>
      </c>
      <c r="E112" s="733">
        <f>24-E113-E114</f>
        <v>24</v>
      </c>
      <c r="F112" s="733">
        <f>24-F113-F114</f>
        <v>24</v>
      </c>
      <c r="G112" s="1448"/>
    </row>
    <row r="113" spans="1:7" ht="15.75" thickBot="1" x14ac:dyDescent="0.3">
      <c r="A113" s="1437"/>
      <c r="B113" s="448" t="s">
        <v>103</v>
      </c>
      <c r="C113" s="731">
        <v>24</v>
      </c>
      <c r="D113" s="731">
        <v>6.71</v>
      </c>
      <c r="E113" s="731">
        <v>0</v>
      </c>
      <c r="F113" s="731">
        <v>0</v>
      </c>
      <c r="G113" s="1448"/>
    </row>
    <row r="114" spans="1:7" ht="15.75" thickBot="1" x14ac:dyDescent="0.3">
      <c r="A114" s="1438"/>
      <c r="B114" s="457" t="s">
        <v>104</v>
      </c>
      <c r="C114" s="734">
        <v>0</v>
      </c>
      <c r="D114" s="734">
        <v>0</v>
      </c>
      <c r="E114" s="734">
        <v>0</v>
      </c>
      <c r="F114" s="734">
        <v>0</v>
      </c>
      <c r="G114" s="1449"/>
    </row>
    <row r="115" spans="1:7" ht="15.75" thickBot="1" x14ac:dyDescent="0.3">
      <c r="A115" s="1436">
        <v>44955</v>
      </c>
      <c r="B115" s="453" t="s">
        <v>17</v>
      </c>
      <c r="C115" s="709">
        <v>1</v>
      </c>
      <c r="D115" s="709">
        <v>1</v>
      </c>
      <c r="E115" s="709">
        <v>1</v>
      </c>
      <c r="F115" s="709">
        <v>1</v>
      </c>
      <c r="G115" s="1447"/>
    </row>
    <row r="116" spans="1:7" ht="15.75" thickBot="1" x14ac:dyDescent="0.3">
      <c r="A116" s="1437"/>
      <c r="B116" s="453" t="s">
        <v>102</v>
      </c>
      <c r="C116" s="733">
        <f>24-C117-C118</f>
        <v>0</v>
      </c>
      <c r="D116" s="733">
        <f>24-D117-D118</f>
        <v>0</v>
      </c>
      <c r="E116" s="733">
        <f>24-E117-E118</f>
        <v>24</v>
      </c>
      <c r="F116" s="733">
        <f>24-F117-F118</f>
        <v>24</v>
      </c>
      <c r="G116" s="1448"/>
    </row>
    <row r="117" spans="1:7" ht="15.75" thickBot="1" x14ac:dyDescent="0.3">
      <c r="A117" s="1437"/>
      <c r="B117" s="448" t="s">
        <v>103</v>
      </c>
      <c r="C117" s="731">
        <v>24</v>
      </c>
      <c r="D117" s="731">
        <v>24</v>
      </c>
      <c r="E117" s="731">
        <v>0</v>
      </c>
      <c r="F117" s="731">
        <v>0</v>
      </c>
      <c r="G117" s="1448"/>
    </row>
    <row r="118" spans="1:7" ht="15.75" thickBot="1" x14ac:dyDescent="0.3">
      <c r="A118" s="1438"/>
      <c r="B118" s="457" t="s">
        <v>104</v>
      </c>
      <c r="C118" s="734">
        <v>0</v>
      </c>
      <c r="D118" s="734">
        <v>0</v>
      </c>
      <c r="E118" s="734">
        <v>0</v>
      </c>
      <c r="F118" s="734">
        <v>0</v>
      </c>
      <c r="G118" s="1449"/>
    </row>
    <row r="119" spans="1:7" ht="15.75" thickBot="1" x14ac:dyDescent="0.3">
      <c r="A119" s="1436">
        <v>44956</v>
      </c>
      <c r="B119" s="453" t="s">
        <v>17</v>
      </c>
      <c r="C119" s="709">
        <v>1</v>
      </c>
      <c r="D119" s="709">
        <v>1</v>
      </c>
      <c r="E119" s="709">
        <v>1</v>
      </c>
      <c r="F119" s="709">
        <v>1</v>
      </c>
      <c r="G119" s="1447" t="s">
        <v>4865</v>
      </c>
    </row>
    <row r="120" spans="1:7" ht="15.75" thickBot="1" x14ac:dyDescent="0.3">
      <c r="A120" s="1437"/>
      <c r="B120" s="453" t="s">
        <v>102</v>
      </c>
      <c r="C120" s="733">
        <f>24-C121-C122</f>
        <v>0</v>
      </c>
      <c r="D120" s="733">
        <f>24-D121-D122</f>
        <v>20.75</v>
      </c>
      <c r="E120" s="733">
        <f>24-E121-E122</f>
        <v>24</v>
      </c>
      <c r="F120" s="733">
        <f>24-F121-F122</f>
        <v>24</v>
      </c>
      <c r="G120" s="1448"/>
    </row>
    <row r="121" spans="1:7" ht="15.75" thickBot="1" x14ac:dyDescent="0.3">
      <c r="A121" s="1437"/>
      <c r="B121" s="448" t="s">
        <v>103</v>
      </c>
      <c r="C121" s="731">
        <v>24</v>
      </c>
      <c r="D121" s="731">
        <v>3.25</v>
      </c>
      <c r="E121" s="731">
        <v>0</v>
      </c>
      <c r="F121" s="731">
        <v>0</v>
      </c>
      <c r="G121" s="1448"/>
    </row>
    <row r="122" spans="1:7" ht="15.75" thickBot="1" x14ac:dyDescent="0.3">
      <c r="A122" s="1438"/>
      <c r="B122" s="457" t="s">
        <v>104</v>
      </c>
      <c r="C122" s="734">
        <v>0</v>
      </c>
      <c r="D122" s="734">
        <v>0</v>
      </c>
      <c r="E122" s="734">
        <v>0</v>
      </c>
      <c r="F122" s="734">
        <v>0</v>
      </c>
      <c r="G122" s="1449"/>
    </row>
    <row r="123" spans="1:7" ht="15.75" thickBot="1" x14ac:dyDescent="0.3">
      <c r="A123" s="1436">
        <v>44957</v>
      </c>
      <c r="B123" s="453" t="s">
        <v>17</v>
      </c>
      <c r="C123" s="709">
        <v>1</v>
      </c>
      <c r="D123" s="709">
        <v>1</v>
      </c>
      <c r="E123" s="709">
        <v>1</v>
      </c>
      <c r="F123" s="709">
        <v>1</v>
      </c>
      <c r="G123" s="1453"/>
    </row>
    <row r="124" spans="1:7" ht="15.75" thickBot="1" x14ac:dyDescent="0.3">
      <c r="A124" s="1437"/>
      <c r="B124" s="453" t="s">
        <v>102</v>
      </c>
      <c r="C124" s="733">
        <f>24-C125-C126</f>
        <v>0</v>
      </c>
      <c r="D124" s="733">
        <f>24-D125-D126</f>
        <v>24</v>
      </c>
      <c r="E124" s="733">
        <f>24-E125-E126</f>
        <v>24</v>
      </c>
      <c r="F124" s="733">
        <f>24-F125-F126</f>
        <v>24</v>
      </c>
      <c r="G124" s="1418"/>
    </row>
    <row r="125" spans="1:7" ht="15.75" thickBot="1" x14ac:dyDescent="0.3">
      <c r="A125" s="1437"/>
      <c r="B125" s="448" t="s">
        <v>103</v>
      </c>
      <c r="C125" s="731">
        <v>24</v>
      </c>
      <c r="D125" s="731">
        <v>0</v>
      </c>
      <c r="E125" s="731">
        <v>0</v>
      </c>
      <c r="F125" s="731">
        <v>0</v>
      </c>
      <c r="G125" s="1418"/>
    </row>
    <row r="126" spans="1:7" ht="15.75" thickBot="1" x14ac:dyDescent="0.3">
      <c r="A126" s="1438"/>
      <c r="B126" s="457" t="s">
        <v>104</v>
      </c>
      <c r="C126" s="734">
        <v>0</v>
      </c>
      <c r="D126" s="734">
        <v>0</v>
      </c>
      <c r="E126" s="734">
        <v>0</v>
      </c>
      <c r="F126" s="734">
        <v>0</v>
      </c>
      <c r="G126" s="1423"/>
    </row>
    <row r="127" spans="1:7" x14ac:dyDescent="0.25">
      <c r="A127" s="464" t="s">
        <v>4664</v>
      </c>
      <c r="B127" s="465"/>
      <c r="C127" s="466">
        <f>SUM(C112,C108,C104,C100,C96,C92,C88,C84,C80,C76,C72,C68,C64,C60,C56,C52,C48,C44,C40,C36,C32,C28,C24,C20,C16,C12,C8,C4,C116,C120,C124)</f>
        <v>144.79</v>
      </c>
      <c r="D127" s="466">
        <f>SUM(D112,D108,D104,D100,D96,D92,D88,D84,D80,D76,D72,D68,D64,D60,D56,D52,D48,D44,D40,D36,D32,D28,D24,D20,D16,D12,D8,D4,D116,D120,D124)</f>
        <v>440.78399999999999</v>
      </c>
      <c r="E127" s="466">
        <f t="shared" ref="E127:F128" si="0">SUM(E112,E108,E104,E100,E96,E92,E88,E84,E80,E76,E72,E68,E64,E60,E56,E52,E48,E44,E40,E36,E32,E28,E24,E20,E16,E12,E8,E4,E116,E120,E124)</f>
        <v>729.97</v>
      </c>
      <c r="F127" s="466">
        <f t="shared" si="0"/>
        <v>698.79</v>
      </c>
      <c r="G127" s="468"/>
    </row>
    <row r="128" spans="1:7" x14ac:dyDescent="0.25">
      <c r="A128" s="1099" t="s">
        <v>4447</v>
      </c>
      <c r="B128" s="134"/>
      <c r="C128" s="469">
        <f>SUM(C113,C109,C105,C101,C97,C93,C89,C85,C81,C77,C73,C69,C65,C61,C57,C53,C49,C45,C41,C37,C33,C29,C25,C21,C17,C13,C9,C5,C117,C121,C125)</f>
        <v>599.21</v>
      </c>
      <c r="D128" s="469">
        <f>SUM(D113,D109,D105,D101,D97,D93,D89,D85,D81,D77,D73,D69,D65,D61,D57,D53,D49,D45,D41,D37,D33,D29,D25,D21,D17,D13,D9,D5,D117,D121,D125)</f>
        <v>303.21600000000001</v>
      </c>
      <c r="E128" s="469">
        <f t="shared" si="0"/>
        <v>14.030000000000001</v>
      </c>
      <c r="F128" s="469">
        <f t="shared" si="0"/>
        <v>45.21</v>
      </c>
      <c r="G128" s="471"/>
    </row>
    <row r="129" spans="1:7" ht="15.75" thickBot="1" x14ac:dyDescent="0.3">
      <c r="A129" s="1100" t="s">
        <v>4446</v>
      </c>
      <c r="B129" s="472"/>
      <c r="C129" s="473">
        <f>SUM(C114,C110,C106,C102,C98,C94,C90,C86,C82,C78,C74,C70,C66,C62,C58,C54,C50,C46,C42,C38,C34,C30,C26,C22,C18,C14,C10,C6,C118,C122,C126)</f>
        <v>0</v>
      </c>
      <c r="D129" s="473">
        <f t="shared" ref="D129:F129" si="1">SUM(D114,D110,D106,D102,D98,D94,D90,D86,D82,D78,D74,D70,D66,D62,D58,D54,D50,D46,D42,D38,D34,D30,D26,D22,D18,D14,D10,D6,D118,D122,D126)</f>
        <v>0</v>
      </c>
      <c r="E129" s="473">
        <f t="shared" si="1"/>
        <v>0</v>
      </c>
      <c r="F129" s="473">
        <f t="shared" si="1"/>
        <v>0</v>
      </c>
      <c r="G129" s="475"/>
    </row>
    <row r="130" spans="1:7" ht="15.75" thickBot="1" x14ac:dyDescent="0.3">
      <c r="A130" s="1450" t="s">
        <v>108</v>
      </c>
      <c r="B130" s="1451"/>
      <c r="C130" s="1451"/>
      <c r="D130" s="1451"/>
      <c r="E130" s="1451"/>
      <c r="F130" s="1451"/>
      <c r="G130" s="1452"/>
    </row>
  </sheetData>
  <mergeCells count="64">
    <mergeCell ref="A11:A14"/>
    <mergeCell ref="G11:G14"/>
    <mergeCell ref="A1:G1"/>
    <mergeCell ref="A3:A6"/>
    <mergeCell ref="G3:G6"/>
    <mergeCell ref="A7:A10"/>
    <mergeCell ref="G7:G10"/>
    <mergeCell ref="A15:A18"/>
    <mergeCell ref="G15:G18"/>
    <mergeCell ref="A19:A22"/>
    <mergeCell ref="G19:G22"/>
    <mergeCell ref="A23:A26"/>
    <mergeCell ref="G23:G26"/>
    <mergeCell ref="A27:A30"/>
    <mergeCell ref="G27:G30"/>
    <mergeCell ref="A31:A34"/>
    <mergeCell ref="G31:G34"/>
    <mergeCell ref="A35:A38"/>
    <mergeCell ref="G35:G38"/>
    <mergeCell ref="A39:A42"/>
    <mergeCell ref="G39:G42"/>
    <mergeCell ref="A43:A46"/>
    <mergeCell ref="G43:G46"/>
    <mergeCell ref="A47:A50"/>
    <mergeCell ref="G47:G50"/>
    <mergeCell ref="A51:A54"/>
    <mergeCell ref="G51:G54"/>
    <mergeCell ref="A55:A58"/>
    <mergeCell ref="G55:G58"/>
    <mergeCell ref="A59:A62"/>
    <mergeCell ref="G59:G62"/>
    <mergeCell ref="A63:A66"/>
    <mergeCell ref="G63:G66"/>
    <mergeCell ref="A67:A70"/>
    <mergeCell ref="G67:G70"/>
    <mergeCell ref="A71:A74"/>
    <mergeCell ref="G71:G74"/>
    <mergeCell ref="A75:A78"/>
    <mergeCell ref="G75:G78"/>
    <mergeCell ref="A79:A82"/>
    <mergeCell ref="G79:G82"/>
    <mergeCell ref="A83:A86"/>
    <mergeCell ref="G83:G86"/>
    <mergeCell ref="A87:A90"/>
    <mergeCell ref="G87:G90"/>
    <mergeCell ref="A91:A94"/>
    <mergeCell ref="G91:G94"/>
    <mergeCell ref="A95:A98"/>
    <mergeCell ref="G95:G98"/>
    <mergeCell ref="A99:A102"/>
    <mergeCell ref="G99:G102"/>
    <mergeCell ref="A103:A106"/>
    <mergeCell ref="G103:G106"/>
    <mergeCell ref="A107:A110"/>
    <mergeCell ref="G107:G110"/>
    <mergeCell ref="A123:A126"/>
    <mergeCell ref="G123:G126"/>
    <mergeCell ref="A130:G130"/>
    <mergeCell ref="A111:A114"/>
    <mergeCell ref="G111:G114"/>
    <mergeCell ref="A115:A118"/>
    <mergeCell ref="G115:G118"/>
    <mergeCell ref="A119:A122"/>
    <mergeCell ref="G119:G122"/>
  </mergeCells>
  <pageMargins left="0.7" right="0.7" top="0.75" bottom="0.75" header="0.3" footer="0.3"/>
  <pageSetup paperSize="9" orientation="portrait" horizontalDpi="4294967293" verticalDpi="4294967293"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G130"/>
  <sheetViews>
    <sheetView workbookViewId="0">
      <pane xSplit="1" ySplit="2" topLeftCell="B114" activePane="bottomRight" state="frozen"/>
      <selection pane="topRight" activeCell="B1" sqref="B1"/>
      <selection pane="bottomLeft" activeCell="A3" sqref="A3"/>
      <selection pane="bottomRight" activeCell="G107" sqref="G107:G110"/>
    </sheetView>
  </sheetViews>
  <sheetFormatPr defaultRowHeight="15" x14ac:dyDescent="0.25"/>
  <cols>
    <col min="1" max="1" width="21.140625" customWidth="1"/>
    <col min="2" max="2" width="28.42578125" customWidth="1"/>
    <col min="7" max="7" width="73.5703125" customWidth="1"/>
  </cols>
  <sheetData>
    <row r="1" spans="1:7" ht="21.75" thickBot="1" x14ac:dyDescent="0.4">
      <c r="A1" s="1443" t="s">
        <v>73</v>
      </c>
      <c r="B1" s="1443"/>
      <c r="C1" s="1443"/>
      <c r="D1" s="1443"/>
      <c r="E1" s="1443"/>
      <c r="F1" s="1461"/>
      <c r="G1" s="1443"/>
    </row>
    <row r="2" spans="1:7" ht="16.5" thickBot="1" x14ac:dyDescent="0.3">
      <c r="A2" s="108" t="s">
        <v>98</v>
      </c>
      <c r="B2" s="608"/>
      <c r="C2" s="607" t="s">
        <v>310</v>
      </c>
      <c r="D2" s="607" t="s">
        <v>239</v>
      </c>
      <c r="E2" s="447" t="s">
        <v>100</v>
      </c>
      <c r="F2" s="1148" t="s">
        <v>157</v>
      </c>
      <c r="G2" s="111" t="s">
        <v>101</v>
      </c>
    </row>
    <row r="3" spans="1:7" ht="15.75" thickBot="1" x14ac:dyDescent="0.3">
      <c r="A3" s="1436">
        <v>44958</v>
      </c>
      <c r="B3" s="453" t="s">
        <v>17</v>
      </c>
      <c r="C3" s="709">
        <v>1</v>
      </c>
      <c r="D3" s="709">
        <v>1</v>
      </c>
      <c r="E3" s="709">
        <v>1</v>
      </c>
      <c r="F3" s="709">
        <v>1</v>
      </c>
      <c r="G3" s="1453" t="s">
        <v>4876</v>
      </c>
    </row>
    <row r="4" spans="1:7" ht="15.75" thickBot="1" x14ac:dyDescent="0.3">
      <c r="A4" s="1437"/>
      <c r="B4" s="453" t="s">
        <v>102</v>
      </c>
      <c r="C4" s="733">
        <f>24-C5-C6</f>
        <v>20.75</v>
      </c>
      <c r="D4" s="733">
        <f>24-D5-D6</f>
        <v>24</v>
      </c>
      <c r="E4" s="733">
        <f>24-E5-E6</f>
        <v>24</v>
      </c>
      <c r="F4" s="733">
        <f>24-F5-F6</f>
        <v>24</v>
      </c>
      <c r="G4" s="1418"/>
    </row>
    <row r="5" spans="1:7" ht="15.75" thickBot="1" x14ac:dyDescent="0.3">
      <c r="A5" s="1437"/>
      <c r="B5" s="448" t="s">
        <v>103</v>
      </c>
      <c r="C5" s="731">
        <v>3.25</v>
      </c>
      <c r="D5" s="731">
        <v>0</v>
      </c>
      <c r="E5" s="731">
        <v>0</v>
      </c>
      <c r="F5" s="731">
        <v>0</v>
      </c>
      <c r="G5" s="1418"/>
    </row>
    <row r="6" spans="1:7" ht="15.75" thickBot="1" x14ac:dyDescent="0.3">
      <c r="A6" s="1438"/>
      <c r="B6" s="457" t="s">
        <v>104</v>
      </c>
      <c r="C6" s="734">
        <v>0</v>
      </c>
      <c r="D6" s="734">
        <v>0</v>
      </c>
      <c r="E6" s="734">
        <v>0</v>
      </c>
      <c r="F6" s="734">
        <v>0</v>
      </c>
      <c r="G6" s="1423"/>
    </row>
    <row r="7" spans="1:7" ht="15.75" thickBot="1" x14ac:dyDescent="0.3">
      <c r="A7" s="1436">
        <v>44959</v>
      </c>
      <c r="B7" s="453" t="s">
        <v>17</v>
      </c>
      <c r="C7" s="709">
        <v>1</v>
      </c>
      <c r="D7" s="709">
        <v>1</v>
      </c>
      <c r="E7" s="709">
        <v>1</v>
      </c>
      <c r="F7" s="709">
        <v>1</v>
      </c>
      <c r="G7" s="1453" t="s">
        <v>4890</v>
      </c>
    </row>
    <row r="8" spans="1:7" ht="15.75" thickBot="1" x14ac:dyDescent="0.3">
      <c r="A8" s="1437"/>
      <c r="B8" s="453" t="s">
        <v>102</v>
      </c>
      <c r="C8" s="733">
        <f>24-C9-C10</f>
        <v>24</v>
      </c>
      <c r="D8" s="733">
        <f>24-D9-D10</f>
        <v>18.62</v>
      </c>
      <c r="E8" s="733">
        <f>24-E9-E10</f>
        <v>24</v>
      </c>
      <c r="F8" s="733">
        <f>24-F9-F10</f>
        <v>24</v>
      </c>
      <c r="G8" s="1418"/>
    </row>
    <row r="9" spans="1:7" ht="15.75" thickBot="1" x14ac:dyDescent="0.3">
      <c r="A9" s="1437"/>
      <c r="B9" s="448" t="s">
        <v>103</v>
      </c>
      <c r="C9" s="731">
        <v>0</v>
      </c>
      <c r="D9" s="731">
        <v>5.38</v>
      </c>
      <c r="E9" s="731">
        <v>0</v>
      </c>
      <c r="F9" s="731">
        <v>0</v>
      </c>
      <c r="G9" s="1418"/>
    </row>
    <row r="10" spans="1:7" ht="15.75" thickBot="1" x14ac:dyDescent="0.3">
      <c r="A10" s="1438"/>
      <c r="B10" s="457" t="s">
        <v>104</v>
      </c>
      <c r="C10" s="734">
        <v>0</v>
      </c>
      <c r="D10" s="734">
        <v>0</v>
      </c>
      <c r="E10" s="734">
        <v>0</v>
      </c>
      <c r="F10" s="734">
        <v>0</v>
      </c>
      <c r="G10" s="1423"/>
    </row>
    <row r="11" spans="1:7" ht="15.75" thickBot="1" x14ac:dyDescent="0.3">
      <c r="A11" s="1436">
        <v>44960</v>
      </c>
      <c r="B11" s="453" t="s">
        <v>17</v>
      </c>
      <c r="C11" s="709">
        <v>1</v>
      </c>
      <c r="D11" s="709">
        <v>1</v>
      </c>
      <c r="E11" s="709">
        <v>1</v>
      </c>
      <c r="F11" s="709">
        <v>1</v>
      </c>
      <c r="G11" s="1453" t="s">
        <v>4889</v>
      </c>
    </row>
    <row r="12" spans="1:7" ht="15.75" thickBot="1" x14ac:dyDescent="0.3">
      <c r="A12" s="1437"/>
      <c r="B12" s="453" t="s">
        <v>102</v>
      </c>
      <c r="C12" s="733">
        <f>24-C13-C14</f>
        <v>8.5</v>
      </c>
      <c r="D12" s="733">
        <f>24-D13-D14</f>
        <v>14.63</v>
      </c>
      <c r="E12" s="733">
        <f>24-E13-E14</f>
        <v>24</v>
      </c>
      <c r="F12" s="733">
        <f>24-F13-F14</f>
        <v>24</v>
      </c>
      <c r="G12" s="1418"/>
    </row>
    <row r="13" spans="1:7" ht="15.75" thickBot="1" x14ac:dyDescent="0.3">
      <c r="A13" s="1437"/>
      <c r="B13" s="448" t="s">
        <v>103</v>
      </c>
      <c r="C13" s="731">
        <v>15.5</v>
      </c>
      <c r="D13" s="731">
        <v>9.3699999999999992</v>
      </c>
      <c r="E13" s="731">
        <v>0</v>
      </c>
      <c r="F13" s="731">
        <v>0</v>
      </c>
      <c r="G13" s="1418"/>
    </row>
    <row r="14" spans="1:7" ht="15.75" thickBot="1" x14ac:dyDescent="0.3">
      <c r="A14" s="1438"/>
      <c r="B14" s="457" t="s">
        <v>104</v>
      </c>
      <c r="C14" s="734">
        <v>0</v>
      </c>
      <c r="D14" s="734">
        <v>0</v>
      </c>
      <c r="E14" s="734">
        <v>0</v>
      </c>
      <c r="F14" s="734">
        <v>0</v>
      </c>
      <c r="G14" s="1423"/>
    </row>
    <row r="15" spans="1:7" ht="15.75" thickBot="1" x14ac:dyDescent="0.3">
      <c r="A15" s="1436">
        <v>44961</v>
      </c>
      <c r="B15" s="453" t="s">
        <v>17</v>
      </c>
      <c r="C15" s="709">
        <v>1</v>
      </c>
      <c r="D15" s="709">
        <v>1</v>
      </c>
      <c r="E15" s="709">
        <v>1</v>
      </c>
      <c r="F15" s="709">
        <v>1</v>
      </c>
      <c r="G15" s="1453" t="s">
        <v>4903</v>
      </c>
    </row>
    <row r="16" spans="1:7" ht="15.75" thickBot="1" x14ac:dyDescent="0.3">
      <c r="A16" s="1437"/>
      <c r="B16" s="453" t="s">
        <v>102</v>
      </c>
      <c r="C16" s="733">
        <f>24-C17-C18</f>
        <v>0</v>
      </c>
      <c r="D16" s="733">
        <f>24-D17-D18</f>
        <v>22.35</v>
      </c>
      <c r="E16" s="733">
        <f>24-E17-E18</f>
        <v>24</v>
      </c>
      <c r="F16" s="733">
        <f>24-F17-F18</f>
        <v>24</v>
      </c>
      <c r="G16" s="1418"/>
    </row>
    <row r="17" spans="1:7" ht="15.75" thickBot="1" x14ac:dyDescent="0.3">
      <c r="A17" s="1437"/>
      <c r="B17" s="448" t="s">
        <v>103</v>
      </c>
      <c r="C17" s="731">
        <v>24</v>
      </c>
      <c r="D17" s="731">
        <v>1.65</v>
      </c>
      <c r="E17" s="731">
        <v>0</v>
      </c>
      <c r="F17" s="731">
        <v>0</v>
      </c>
      <c r="G17" s="1418"/>
    </row>
    <row r="18" spans="1:7" ht="15.75" thickBot="1" x14ac:dyDescent="0.3">
      <c r="A18" s="1438"/>
      <c r="B18" s="457" t="s">
        <v>104</v>
      </c>
      <c r="C18" s="734">
        <v>0</v>
      </c>
      <c r="D18" s="734">
        <v>0</v>
      </c>
      <c r="E18" s="734">
        <v>0</v>
      </c>
      <c r="F18" s="734">
        <v>0</v>
      </c>
      <c r="G18" s="1423"/>
    </row>
    <row r="19" spans="1:7" ht="15.75" thickBot="1" x14ac:dyDescent="0.3">
      <c r="A19" s="1436">
        <v>44962</v>
      </c>
      <c r="B19" s="453" t="s">
        <v>17</v>
      </c>
      <c r="C19" s="709">
        <v>1</v>
      </c>
      <c r="D19" s="709">
        <v>1</v>
      </c>
      <c r="E19" s="709">
        <v>1</v>
      </c>
      <c r="F19" s="709">
        <v>1</v>
      </c>
      <c r="G19" s="1453" t="s">
        <v>4904</v>
      </c>
    </row>
    <row r="20" spans="1:7" ht="15.75" thickBot="1" x14ac:dyDescent="0.3">
      <c r="A20" s="1437"/>
      <c r="B20" s="453" t="s">
        <v>102</v>
      </c>
      <c r="C20" s="733">
        <f>24-C21-C22</f>
        <v>0</v>
      </c>
      <c r="D20" s="733">
        <f>24-D21-D22</f>
        <v>15.68</v>
      </c>
      <c r="E20" s="733">
        <f>24-E21-E22</f>
        <v>24</v>
      </c>
      <c r="F20" s="733">
        <f>24-F21-F22</f>
        <v>24</v>
      </c>
      <c r="G20" s="1418"/>
    </row>
    <row r="21" spans="1:7" ht="15.75" thickBot="1" x14ac:dyDescent="0.3">
      <c r="A21" s="1437"/>
      <c r="B21" s="448" t="s">
        <v>103</v>
      </c>
      <c r="C21" s="731">
        <v>24</v>
      </c>
      <c r="D21" s="731">
        <v>8.32</v>
      </c>
      <c r="E21" s="731">
        <v>0</v>
      </c>
      <c r="F21" s="731">
        <v>0</v>
      </c>
      <c r="G21" s="1418"/>
    </row>
    <row r="22" spans="1:7" ht="15.75" thickBot="1" x14ac:dyDescent="0.3">
      <c r="A22" s="1438"/>
      <c r="B22" s="457" t="s">
        <v>104</v>
      </c>
      <c r="C22" s="734">
        <v>0</v>
      </c>
      <c r="D22" s="734">
        <v>0</v>
      </c>
      <c r="E22" s="734">
        <v>0</v>
      </c>
      <c r="F22" s="734">
        <v>0</v>
      </c>
      <c r="G22" s="1418"/>
    </row>
    <row r="23" spans="1:7" ht="15.75" thickBot="1" x14ac:dyDescent="0.3">
      <c r="A23" s="1436">
        <v>44963</v>
      </c>
      <c r="B23" s="453" t="s">
        <v>17</v>
      </c>
      <c r="C23" s="709">
        <v>1</v>
      </c>
      <c r="D23" s="709">
        <v>1</v>
      </c>
      <c r="E23" s="709">
        <v>1</v>
      </c>
      <c r="F23" s="709">
        <v>1</v>
      </c>
      <c r="G23" s="1453"/>
    </row>
    <row r="24" spans="1:7" ht="15.75" thickBot="1" x14ac:dyDescent="0.3">
      <c r="A24" s="1437"/>
      <c r="B24" s="453" t="s">
        <v>102</v>
      </c>
      <c r="C24" s="733">
        <f>24-C25-C26</f>
        <v>0</v>
      </c>
      <c r="D24" s="733">
        <f>24-D25-D26</f>
        <v>24</v>
      </c>
      <c r="E24" s="733">
        <f>24-E25-E26</f>
        <v>24</v>
      </c>
      <c r="F24" s="733">
        <f>24-F25-F26</f>
        <v>24</v>
      </c>
      <c r="G24" s="1418"/>
    </row>
    <row r="25" spans="1:7" ht="15.75" thickBot="1" x14ac:dyDescent="0.3">
      <c r="A25" s="1437"/>
      <c r="B25" s="448" t="s">
        <v>103</v>
      </c>
      <c r="C25" s="731">
        <v>24</v>
      </c>
      <c r="D25" s="731">
        <v>0</v>
      </c>
      <c r="E25" s="731">
        <v>0</v>
      </c>
      <c r="F25" s="731">
        <v>0</v>
      </c>
      <c r="G25" s="1418"/>
    </row>
    <row r="26" spans="1:7" ht="15.75" thickBot="1" x14ac:dyDescent="0.3">
      <c r="A26" s="1438"/>
      <c r="B26" s="457" t="s">
        <v>104</v>
      </c>
      <c r="C26" s="734">
        <v>0</v>
      </c>
      <c r="D26" s="734">
        <v>0</v>
      </c>
      <c r="E26" s="734">
        <v>0</v>
      </c>
      <c r="F26" s="734">
        <v>0</v>
      </c>
      <c r="G26" s="1418"/>
    </row>
    <row r="27" spans="1:7" ht="15.75" thickBot="1" x14ac:dyDescent="0.3">
      <c r="A27" s="1436">
        <v>44964</v>
      </c>
      <c r="B27" s="453" t="s">
        <v>17</v>
      </c>
      <c r="C27" s="709">
        <v>1</v>
      </c>
      <c r="D27" s="709">
        <v>1</v>
      </c>
      <c r="E27" s="709">
        <v>1</v>
      </c>
      <c r="F27" s="709">
        <v>1</v>
      </c>
      <c r="G27" s="1453" t="s">
        <v>4918</v>
      </c>
    </row>
    <row r="28" spans="1:7" ht="15.75" thickBot="1" x14ac:dyDescent="0.3">
      <c r="A28" s="1437"/>
      <c r="B28" s="453" t="s">
        <v>102</v>
      </c>
      <c r="C28" s="733">
        <f>24-C29-C30</f>
        <v>0</v>
      </c>
      <c r="D28" s="733">
        <f>24-D29-D30</f>
        <v>6.2800000000000011</v>
      </c>
      <c r="E28" s="733">
        <f>24-E29-E30</f>
        <v>24</v>
      </c>
      <c r="F28" s="733">
        <f>24-F29-F30</f>
        <v>24</v>
      </c>
      <c r="G28" s="1418"/>
    </row>
    <row r="29" spans="1:7" ht="15.75" thickBot="1" x14ac:dyDescent="0.3">
      <c r="A29" s="1437"/>
      <c r="B29" s="448" t="s">
        <v>103</v>
      </c>
      <c r="C29" s="731">
        <v>24</v>
      </c>
      <c r="D29" s="731">
        <v>17.72</v>
      </c>
      <c r="E29" s="731">
        <v>0</v>
      </c>
      <c r="F29" s="731">
        <v>0</v>
      </c>
      <c r="G29" s="1418"/>
    </row>
    <row r="30" spans="1:7" ht="15.75" thickBot="1" x14ac:dyDescent="0.3">
      <c r="A30" s="1438"/>
      <c r="B30" s="457" t="s">
        <v>104</v>
      </c>
      <c r="C30" s="734">
        <v>0</v>
      </c>
      <c r="D30" s="734">
        <v>0</v>
      </c>
      <c r="E30" s="734">
        <v>0</v>
      </c>
      <c r="F30" s="734">
        <v>0</v>
      </c>
      <c r="G30" s="1418"/>
    </row>
    <row r="31" spans="1:7" ht="24" customHeight="1" thickBot="1" x14ac:dyDescent="0.3">
      <c r="A31" s="1436">
        <v>44965</v>
      </c>
      <c r="B31" s="453" t="s">
        <v>17</v>
      </c>
      <c r="C31" s="709">
        <v>1</v>
      </c>
      <c r="D31" s="709">
        <v>1</v>
      </c>
      <c r="E31" s="709">
        <v>1</v>
      </c>
      <c r="F31" s="709">
        <v>1</v>
      </c>
      <c r="G31" s="1453" t="s">
        <v>4944</v>
      </c>
    </row>
    <row r="32" spans="1:7" ht="24" customHeight="1" thickBot="1" x14ac:dyDescent="0.3">
      <c r="A32" s="1437"/>
      <c r="B32" s="453" t="s">
        <v>102</v>
      </c>
      <c r="C32" s="733">
        <f>24-C33-C34</f>
        <v>0</v>
      </c>
      <c r="D32" s="733">
        <f>24-D33-D34</f>
        <v>12.83</v>
      </c>
      <c r="E32" s="733">
        <f>24-E33-E34</f>
        <v>24</v>
      </c>
      <c r="F32" s="733">
        <f>24-F33-F34</f>
        <v>22.8</v>
      </c>
      <c r="G32" s="1448"/>
    </row>
    <row r="33" spans="1:7" ht="24" customHeight="1" thickBot="1" x14ac:dyDescent="0.3">
      <c r="A33" s="1437"/>
      <c r="B33" s="448" t="s">
        <v>103</v>
      </c>
      <c r="C33" s="731">
        <v>24</v>
      </c>
      <c r="D33" s="731">
        <v>11.17</v>
      </c>
      <c r="E33" s="731">
        <v>0</v>
      </c>
      <c r="F33" s="731">
        <v>1.2</v>
      </c>
      <c r="G33" s="1448"/>
    </row>
    <row r="34" spans="1:7" ht="24" customHeight="1" thickBot="1" x14ac:dyDescent="0.3">
      <c r="A34" s="1438"/>
      <c r="B34" s="457" t="s">
        <v>104</v>
      </c>
      <c r="C34" s="734">
        <v>0</v>
      </c>
      <c r="D34" s="734">
        <v>0</v>
      </c>
      <c r="E34" s="734">
        <v>0</v>
      </c>
      <c r="F34" s="734">
        <v>0</v>
      </c>
      <c r="G34" s="1448"/>
    </row>
    <row r="35" spans="1:7" ht="24" customHeight="1" thickBot="1" x14ac:dyDescent="0.3">
      <c r="A35" s="1436">
        <v>44966</v>
      </c>
      <c r="B35" s="453" t="s">
        <v>17</v>
      </c>
      <c r="C35" s="709">
        <v>1</v>
      </c>
      <c r="D35" s="709">
        <v>1</v>
      </c>
      <c r="E35" s="709">
        <v>1</v>
      </c>
      <c r="F35" s="709">
        <v>1</v>
      </c>
      <c r="G35" s="1448"/>
    </row>
    <row r="36" spans="1:7" ht="24" customHeight="1" thickBot="1" x14ac:dyDescent="0.3">
      <c r="A36" s="1437"/>
      <c r="B36" s="453" t="s">
        <v>102</v>
      </c>
      <c r="C36" s="733">
        <f>24-C37-C38</f>
        <v>20.6</v>
      </c>
      <c r="D36" s="733">
        <f>24-D37-D38</f>
        <v>18.170000000000002</v>
      </c>
      <c r="E36" s="733">
        <f>24-E37-E38</f>
        <v>24</v>
      </c>
      <c r="F36" s="733">
        <f>24-F37-F38</f>
        <v>13.33</v>
      </c>
      <c r="G36" s="1448"/>
    </row>
    <row r="37" spans="1:7" ht="24" customHeight="1" thickBot="1" x14ac:dyDescent="0.3">
      <c r="A37" s="1437"/>
      <c r="B37" s="448" t="s">
        <v>103</v>
      </c>
      <c r="C37" s="731">
        <v>3.4</v>
      </c>
      <c r="D37" s="731">
        <v>5.83</v>
      </c>
      <c r="E37" s="731">
        <v>0</v>
      </c>
      <c r="F37" s="731">
        <v>10.67</v>
      </c>
      <c r="G37" s="1448"/>
    </row>
    <row r="38" spans="1:7" ht="24" customHeight="1" thickBot="1" x14ac:dyDescent="0.3">
      <c r="A38" s="1438"/>
      <c r="B38" s="457" t="s">
        <v>104</v>
      </c>
      <c r="C38" s="734">
        <v>0</v>
      </c>
      <c r="D38" s="734">
        <v>0</v>
      </c>
      <c r="E38" s="734">
        <v>0</v>
      </c>
      <c r="F38" s="734">
        <v>0</v>
      </c>
      <c r="G38" s="1449"/>
    </row>
    <row r="39" spans="1:7" ht="15.75" thickBot="1" x14ac:dyDescent="0.3">
      <c r="A39" s="1436">
        <v>44967</v>
      </c>
      <c r="B39" s="453" t="s">
        <v>17</v>
      </c>
      <c r="C39" s="709">
        <v>1</v>
      </c>
      <c r="D39" s="709">
        <v>1</v>
      </c>
      <c r="E39" s="709">
        <v>1</v>
      </c>
      <c r="F39" s="709">
        <v>1</v>
      </c>
      <c r="G39" s="1453" t="s">
        <v>4951</v>
      </c>
    </row>
    <row r="40" spans="1:7" ht="15.75" thickBot="1" x14ac:dyDescent="0.3">
      <c r="A40" s="1437"/>
      <c r="B40" s="453" t="s">
        <v>102</v>
      </c>
      <c r="C40" s="733">
        <f>24-C41-C42</f>
        <v>24</v>
      </c>
      <c r="D40" s="733">
        <f>24-D41-D42</f>
        <v>8</v>
      </c>
      <c r="E40" s="733">
        <f>24-E41-E42</f>
        <v>24</v>
      </c>
      <c r="F40" s="733">
        <f>24-F41-F42</f>
        <v>24</v>
      </c>
      <c r="G40" s="1418"/>
    </row>
    <row r="41" spans="1:7" ht="15.75" thickBot="1" x14ac:dyDescent="0.3">
      <c r="A41" s="1437"/>
      <c r="B41" s="448" t="s">
        <v>103</v>
      </c>
      <c r="C41" s="731">
        <v>0</v>
      </c>
      <c r="D41" s="731">
        <v>16</v>
      </c>
      <c r="E41" s="731">
        <v>0</v>
      </c>
      <c r="F41" s="731">
        <v>0</v>
      </c>
      <c r="G41" s="1418"/>
    </row>
    <row r="42" spans="1:7" ht="15.75" thickBot="1" x14ac:dyDescent="0.3">
      <c r="A42" s="1438"/>
      <c r="B42" s="457" t="s">
        <v>104</v>
      </c>
      <c r="C42" s="734">
        <v>0</v>
      </c>
      <c r="D42" s="734">
        <v>0</v>
      </c>
      <c r="E42" s="734">
        <v>0</v>
      </c>
      <c r="F42" s="734">
        <v>0</v>
      </c>
      <c r="G42" s="1423"/>
    </row>
    <row r="43" spans="1:7" ht="21.75" customHeight="1" thickBot="1" x14ac:dyDescent="0.3">
      <c r="A43" s="1436">
        <v>44968</v>
      </c>
      <c r="B43" s="453" t="s">
        <v>17</v>
      </c>
      <c r="C43" s="709">
        <v>1</v>
      </c>
      <c r="D43" s="709">
        <v>1</v>
      </c>
      <c r="E43" s="709">
        <v>1</v>
      </c>
      <c r="F43" s="709">
        <v>1</v>
      </c>
      <c r="G43" s="1453" t="s">
        <v>4963</v>
      </c>
    </row>
    <row r="44" spans="1:7" ht="21.75" customHeight="1" thickBot="1" x14ac:dyDescent="0.3">
      <c r="A44" s="1437"/>
      <c r="B44" s="453" t="s">
        <v>102</v>
      </c>
      <c r="C44" s="733">
        <f>24-C45-C46</f>
        <v>12.53</v>
      </c>
      <c r="D44" s="733">
        <f>24-D45-D46</f>
        <v>17.45</v>
      </c>
      <c r="E44" s="733">
        <f>24-E45-E46</f>
        <v>24</v>
      </c>
      <c r="F44" s="733">
        <f>24-F45-F46</f>
        <v>24</v>
      </c>
      <c r="G44" s="1418"/>
    </row>
    <row r="45" spans="1:7" ht="21.75" customHeight="1" thickBot="1" x14ac:dyDescent="0.3">
      <c r="A45" s="1437"/>
      <c r="B45" s="448" t="s">
        <v>103</v>
      </c>
      <c r="C45" s="731">
        <v>11.47</v>
      </c>
      <c r="D45" s="731">
        <v>6.55</v>
      </c>
      <c r="E45" s="731">
        <v>0</v>
      </c>
      <c r="F45" s="731">
        <v>0</v>
      </c>
      <c r="G45" s="1418"/>
    </row>
    <row r="46" spans="1:7" ht="21.75" customHeight="1" thickBot="1" x14ac:dyDescent="0.3">
      <c r="A46" s="1438"/>
      <c r="B46" s="457" t="s">
        <v>104</v>
      </c>
      <c r="C46" s="734">
        <v>0</v>
      </c>
      <c r="D46" s="734">
        <v>0</v>
      </c>
      <c r="E46" s="734">
        <v>0</v>
      </c>
      <c r="F46" s="734">
        <v>0</v>
      </c>
      <c r="G46" s="1423"/>
    </row>
    <row r="47" spans="1:7" ht="15.75" thickBot="1" x14ac:dyDescent="0.3">
      <c r="A47" s="1436">
        <v>44969</v>
      </c>
      <c r="B47" s="453" t="s">
        <v>17</v>
      </c>
      <c r="C47" s="709">
        <v>1</v>
      </c>
      <c r="D47" s="709">
        <v>1</v>
      </c>
      <c r="E47" s="709">
        <v>1</v>
      </c>
      <c r="F47" s="709">
        <v>1</v>
      </c>
      <c r="G47" s="1453" t="s">
        <v>4966</v>
      </c>
    </row>
    <row r="48" spans="1:7" ht="15.75" thickBot="1" x14ac:dyDescent="0.3">
      <c r="A48" s="1437"/>
      <c r="B48" s="453" t="s">
        <v>102</v>
      </c>
      <c r="C48" s="733">
        <f>24-C49-C50</f>
        <v>0</v>
      </c>
      <c r="D48" s="733">
        <f>24-D49-D50</f>
        <v>15.62</v>
      </c>
      <c r="E48" s="733">
        <f>24-E49-E50</f>
        <v>24</v>
      </c>
      <c r="F48" s="733">
        <f>24-F49-F50</f>
        <v>24</v>
      </c>
      <c r="G48" s="1418"/>
    </row>
    <row r="49" spans="1:7" ht="15.75" thickBot="1" x14ac:dyDescent="0.3">
      <c r="A49" s="1437"/>
      <c r="B49" s="448" t="s">
        <v>103</v>
      </c>
      <c r="C49" s="731">
        <v>24</v>
      </c>
      <c r="D49" s="731">
        <v>8.3800000000000008</v>
      </c>
      <c r="E49" s="731">
        <v>0</v>
      </c>
      <c r="F49" s="731">
        <v>0</v>
      </c>
      <c r="G49" s="1418"/>
    </row>
    <row r="50" spans="1:7" ht="15.75" thickBot="1" x14ac:dyDescent="0.3">
      <c r="A50" s="1438"/>
      <c r="B50" s="457" t="s">
        <v>104</v>
      </c>
      <c r="C50" s="734">
        <v>0</v>
      </c>
      <c r="D50" s="734">
        <v>0</v>
      </c>
      <c r="E50" s="734">
        <v>0</v>
      </c>
      <c r="F50" s="734">
        <v>0</v>
      </c>
      <c r="G50" s="1418"/>
    </row>
    <row r="51" spans="1:7" ht="15.75" thickBot="1" x14ac:dyDescent="0.3">
      <c r="A51" s="1436">
        <v>44970</v>
      </c>
      <c r="B51" s="453" t="s">
        <v>17</v>
      </c>
      <c r="C51" s="709">
        <v>1</v>
      </c>
      <c r="D51" s="709">
        <v>1</v>
      </c>
      <c r="E51" s="709">
        <v>1</v>
      </c>
      <c r="F51" s="709">
        <v>1</v>
      </c>
      <c r="G51" s="1453"/>
    </row>
    <row r="52" spans="1:7" ht="15.75" thickBot="1" x14ac:dyDescent="0.3">
      <c r="A52" s="1437"/>
      <c r="B52" s="453" t="s">
        <v>102</v>
      </c>
      <c r="C52" s="733">
        <f>24-C53-C54</f>
        <v>0</v>
      </c>
      <c r="D52" s="733">
        <f>24-D53-D54</f>
        <v>12.67</v>
      </c>
      <c r="E52" s="733">
        <f>24-E53-E54</f>
        <v>24</v>
      </c>
      <c r="F52" s="733">
        <f>24-F53-F54</f>
        <v>24</v>
      </c>
      <c r="G52" s="1418"/>
    </row>
    <row r="53" spans="1:7" ht="15.75" thickBot="1" x14ac:dyDescent="0.3">
      <c r="A53" s="1437"/>
      <c r="B53" s="448" t="s">
        <v>103</v>
      </c>
      <c r="C53" s="731">
        <v>24</v>
      </c>
      <c r="D53" s="731">
        <v>11.33</v>
      </c>
      <c r="E53" s="731">
        <v>0</v>
      </c>
      <c r="F53" s="731">
        <v>0</v>
      </c>
      <c r="G53" s="1418"/>
    </row>
    <row r="54" spans="1:7" ht="15.75" thickBot="1" x14ac:dyDescent="0.3">
      <c r="A54" s="1438"/>
      <c r="B54" s="457" t="s">
        <v>104</v>
      </c>
      <c r="C54" s="734">
        <v>0</v>
      </c>
      <c r="D54" s="734">
        <v>0</v>
      </c>
      <c r="E54" s="734">
        <v>0</v>
      </c>
      <c r="F54" s="734">
        <v>0</v>
      </c>
      <c r="G54" s="1418"/>
    </row>
    <row r="55" spans="1:7" ht="15.75" thickBot="1" x14ac:dyDescent="0.3">
      <c r="A55" s="1436">
        <v>44971</v>
      </c>
      <c r="B55" s="453" t="s">
        <v>17</v>
      </c>
      <c r="C55" s="709">
        <v>1</v>
      </c>
      <c r="D55" s="709">
        <v>1</v>
      </c>
      <c r="E55" s="709">
        <v>1</v>
      </c>
      <c r="F55" s="709">
        <v>1</v>
      </c>
      <c r="G55" s="1453" t="s">
        <v>4971</v>
      </c>
    </row>
    <row r="56" spans="1:7" ht="15.75" thickBot="1" x14ac:dyDescent="0.3">
      <c r="A56" s="1437"/>
      <c r="B56" s="453" t="s">
        <v>102</v>
      </c>
      <c r="C56" s="733">
        <f>24-C57-C58</f>
        <v>0</v>
      </c>
      <c r="D56" s="733">
        <f>24-D57-D58</f>
        <v>11.98</v>
      </c>
      <c r="E56" s="733">
        <f>24-E57-E58</f>
        <v>24</v>
      </c>
      <c r="F56" s="733">
        <f>24-F57-F58</f>
        <v>24</v>
      </c>
      <c r="G56" s="1418"/>
    </row>
    <row r="57" spans="1:7" ht="15.75" thickBot="1" x14ac:dyDescent="0.3">
      <c r="A57" s="1437"/>
      <c r="B57" s="448" t="s">
        <v>103</v>
      </c>
      <c r="C57" s="731">
        <v>24</v>
      </c>
      <c r="D57" s="731">
        <v>12.02</v>
      </c>
      <c r="E57" s="731">
        <v>0</v>
      </c>
      <c r="F57" s="731">
        <v>0</v>
      </c>
      <c r="G57" s="1418"/>
    </row>
    <row r="58" spans="1:7" ht="15.75" thickBot="1" x14ac:dyDescent="0.3">
      <c r="A58" s="1438"/>
      <c r="B58" s="457" t="s">
        <v>104</v>
      </c>
      <c r="C58" s="734">
        <v>0</v>
      </c>
      <c r="D58" s="734">
        <v>0</v>
      </c>
      <c r="E58" s="734">
        <v>0</v>
      </c>
      <c r="F58" s="734">
        <v>0</v>
      </c>
      <c r="G58" s="1423"/>
    </row>
    <row r="59" spans="1:7" ht="15.75" thickBot="1" x14ac:dyDescent="0.3">
      <c r="A59" s="1436">
        <v>44972</v>
      </c>
      <c r="B59" s="453" t="s">
        <v>17</v>
      </c>
      <c r="C59" s="709">
        <v>1</v>
      </c>
      <c r="D59" s="709">
        <v>1</v>
      </c>
      <c r="E59" s="709">
        <v>1</v>
      </c>
      <c r="F59" s="709">
        <v>1</v>
      </c>
      <c r="G59" s="1464"/>
    </row>
    <row r="60" spans="1:7" ht="15.75" thickBot="1" x14ac:dyDescent="0.3">
      <c r="A60" s="1437"/>
      <c r="B60" s="453" t="s">
        <v>102</v>
      </c>
      <c r="C60" s="733">
        <f>24-C61-C62</f>
        <v>0</v>
      </c>
      <c r="D60" s="733">
        <f>24-D61-D62</f>
        <v>23.13</v>
      </c>
      <c r="E60" s="733">
        <f>24-E61-E62</f>
        <v>24</v>
      </c>
      <c r="F60" s="733">
        <f>24-F61-F62</f>
        <v>24</v>
      </c>
      <c r="G60" s="1465"/>
    </row>
    <row r="61" spans="1:7" ht="15.75" thickBot="1" x14ac:dyDescent="0.3">
      <c r="A61" s="1437"/>
      <c r="B61" s="448" t="s">
        <v>103</v>
      </c>
      <c r="C61" s="731">
        <v>24</v>
      </c>
      <c r="D61" s="731">
        <v>0.87</v>
      </c>
      <c r="E61" s="731">
        <v>0</v>
      </c>
      <c r="F61" s="731">
        <v>0</v>
      </c>
      <c r="G61" s="1465"/>
    </row>
    <row r="62" spans="1:7" ht="15.75" thickBot="1" x14ac:dyDescent="0.3">
      <c r="A62" s="1438"/>
      <c r="B62" s="457" t="s">
        <v>104</v>
      </c>
      <c r="C62" s="734">
        <v>0</v>
      </c>
      <c r="D62" s="734">
        <v>0</v>
      </c>
      <c r="E62" s="734">
        <v>0</v>
      </c>
      <c r="F62" s="734">
        <v>0</v>
      </c>
      <c r="G62" s="1465"/>
    </row>
    <row r="63" spans="1:7" ht="15.75" thickBot="1" x14ac:dyDescent="0.3">
      <c r="A63" s="1436">
        <v>44973</v>
      </c>
      <c r="B63" s="453" t="s">
        <v>17</v>
      </c>
      <c r="C63" s="709">
        <v>1</v>
      </c>
      <c r="D63" s="709">
        <v>1</v>
      </c>
      <c r="E63" s="709">
        <v>1</v>
      </c>
      <c r="F63" s="709">
        <v>1</v>
      </c>
      <c r="G63" s="1453" t="s">
        <v>4981</v>
      </c>
    </row>
    <row r="64" spans="1:7" ht="15.75" thickBot="1" x14ac:dyDescent="0.3">
      <c r="A64" s="1437"/>
      <c r="B64" s="453" t="s">
        <v>102</v>
      </c>
      <c r="C64" s="733">
        <f>24-C65-C66</f>
        <v>0</v>
      </c>
      <c r="D64" s="733">
        <f>24-D65-D66</f>
        <v>13.3</v>
      </c>
      <c r="E64" s="733">
        <f>24-E65-E66</f>
        <v>24</v>
      </c>
      <c r="F64" s="733">
        <f>24-F65-F66</f>
        <v>24</v>
      </c>
      <c r="G64" s="1418"/>
    </row>
    <row r="65" spans="1:7" ht="15.75" thickBot="1" x14ac:dyDescent="0.3">
      <c r="A65" s="1437"/>
      <c r="B65" s="448" t="s">
        <v>103</v>
      </c>
      <c r="C65" s="731">
        <v>24</v>
      </c>
      <c r="D65" s="731">
        <v>10.7</v>
      </c>
      <c r="E65" s="731">
        <v>0</v>
      </c>
      <c r="F65" s="731">
        <v>0</v>
      </c>
      <c r="G65" s="1418"/>
    </row>
    <row r="66" spans="1:7" ht="15.75" thickBot="1" x14ac:dyDescent="0.3">
      <c r="A66" s="1438"/>
      <c r="B66" s="457" t="s">
        <v>104</v>
      </c>
      <c r="C66" s="734">
        <v>0</v>
      </c>
      <c r="D66" s="734">
        <v>0</v>
      </c>
      <c r="E66" s="734">
        <v>0</v>
      </c>
      <c r="F66" s="734">
        <v>0</v>
      </c>
      <c r="G66" s="1423"/>
    </row>
    <row r="67" spans="1:7" ht="15.75" thickBot="1" x14ac:dyDescent="0.3">
      <c r="A67" s="1436">
        <v>44974</v>
      </c>
      <c r="B67" s="453" t="s">
        <v>17</v>
      </c>
      <c r="C67" s="709">
        <v>1</v>
      </c>
      <c r="D67" s="709">
        <v>1</v>
      </c>
      <c r="E67" s="709">
        <v>1</v>
      </c>
      <c r="F67" s="709">
        <v>1</v>
      </c>
      <c r="G67" s="1453" t="s">
        <v>4986</v>
      </c>
    </row>
    <row r="68" spans="1:7" ht="15.75" thickBot="1" x14ac:dyDescent="0.3">
      <c r="A68" s="1437"/>
      <c r="B68" s="453" t="s">
        <v>102</v>
      </c>
      <c r="C68" s="733">
        <f>24-C69-C70</f>
        <v>0</v>
      </c>
      <c r="D68" s="733">
        <f>24-D69-D70</f>
        <v>19.850000000000001</v>
      </c>
      <c r="E68" s="733">
        <f>24-E69-E70</f>
        <v>24</v>
      </c>
      <c r="F68" s="733">
        <f>24-F69-F70</f>
        <v>24</v>
      </c>
      <c r="G68" s="1418"/>
    </row>
    <row r="69" spans="1:7" ht="15.75" thickBot="1" x14ac:dyDescent="0.3">
      <c r="A69" s="1437"/>
      <c r="B69" s="448" t="s">
        <v>103</v>
      </c>
      <c r="C69" s="731">
        <v>24</v>
      </c>
      <c r="D69" s="731">
        <v>4.1500000000000004</v>
      </c>
      <c r="E69" s="731">
        <v>0</v>
      </c>
      <c r="F69" s="731">
        <v>0</v>
      </c>
      <c r="G69" s="1418"/>
    </row>
    <row r="70" spans="1:7" ht="15.75" thickBot="1" x14ac:dyDescent="0.3">
      <c r="A70" s="1438"/>
      <c r="B70" s="457" t="s">
        <v>104</v>
      </c>
      <c r="C70" s="734">
        <v>0</v>
      </c>
      <c r="D70" s="734">
        <v>0</v>
      </c>
      <c r="E70" s="734">
        <v>0</v>
      </c>
      <c r="F70" s="734">
        <v>0</v>
      </c>
      <c r="G70" s="1423"/>
    </row>
    <row r="71" spans="1:7" ht="24.75" customHeight="1" thickBot="1" x14ac:dyDescent="0.3">
      <c r="A71" s="1436">
        <v>44975</v>
      </c>
      <c r="B71" s="453" t="s">
        <v>17</v>
      </c>
      <c r="C71" s="709">
        <v>1</v>
      </c>
      <c r="D71" s="709">
        <v>1</v>
      </c>
      <c r="E71" s="709">
        <v>1</v>
      </c>
      <c r="F71" s="709">
        <v>1</v>
      </c>
      <c r="G71" s="1462" t="s">
        <v>5001</v>
      </c>
    </row>
    <row r="72" spans="1:7" ht="24.75" customHeight="1" thickBot="1" x14ac:dyDescent="0.3">
      <c r="A72" s="1437"/>
      <c r="B72" s="453" t="s">
        <v>102</v>
      </c>
      <c r="C72" s="733">
        <f>24-C73-C74</f>
        <v>0</v>
      </c>
      <c r="D72" s="733">
        <f>24-D73-D74</f>
        <v>13.43</v>
      </c>
      <c r="E72" s="733">
        <f>24-E73-E74</f>
        <v>14.99</v>
      </c>
      <c r="F72" s="733">
        <f>24-F73-F74</f>
        <v>24</v>
      </c>
      <c r="G72" s="1454"/>
    </row>
    <row r="73" spans="1:7" ht="24.75" customHeight="1" thickBot="1" x14ac:dyDescent="0.3">
      <c r="A73" s="1437"/>
      <c r="B73" s="448" t="s">
        <v>103</v>
      </c>
      <c r="C73" s="731">
        <v>24</v>
      </c>
      <c r="D73" s="731">
        <v>10.57</v>
      </c>
      <c r="E73" s="731">
        <v>9.01</v>
      </c>
      <c r="F73" s="731">
        <v>0</v>
      </c>
      <c r="G73" s="1454"/>
    </row>
    <row r="74" spans="1:7" ht="24.75" customHeight="1" thickBot="1" x14ac:dyDescent="0.3">
      <c r="A74" s="1438"/>
      <c r="B74" s="457" t="s">
        <v>104</v>
      </c>
      <c r="C74" s="734">
        <v>0</v>
      </c>
      <c r="D74" s="734">
        <v>0</v>
      </c>
      <c r="E74" s="734">
        <v>0</v>
      </c>
      <c r="F74" s="734">
        <v>0</v>
      </c>
      <c r="G74" s="1455"/>
    </row>
    <row r="75" spans="1:7" ht="28.5" customHeight="1" thickBot="1" x14ac:dyDescent="0.3">
      <c r="A75" s="1436">
        <v>44976</v>
      </c>
      <c r="B75" s="453" t="s">
        <v>17</v>
      </c>
      <c r="C75" s="709">
        <v>1</v>
      </c>
      <c r="D75" s="709">
        <v>1</v>
      </c>
      <c r="E75" s="709">
        <v>1</v>
      </c>
      <c r="F75" s="709">
        <v>1</v>
      </c>
      <c r="G75" s="1447" t="s">
        <v>5008</v>
      </c>
    </row>
    <row r="76" spans="1:7" ht="28.5" customHeight="1" thickBot="1" x14ac:dyDescent="0.3">
      <c r="A76" s="1437"/>
      <c r="B76" s="453" t="s">
        <v>102</v>
      </c>
      <c r="C76" s="733">
        <f>24-C77-C78</f>
        <v>0</v>
      </c>
      <c r="D76" s="733">
        <f>24-D77-D78</f>
        <v>14.43</v>
      </c>
      <c r="E76" s="733">
        <f>24-E77-E78</f>
        <v>20.88</v>
      </c>
      <c r="F76" s="733">
        <f>24-F77-F78</f>
        <v>24</v>
      </c>
      <c r="G76" s="1448"/>
    </row>
    <row r="77" spans="1:7" ht="28.5" customHeight="1" thickBot="1" x14ac:dyDescent="0.3">
      <c r="A77" s="1437"/>
      <c r="B77" s="448" t="s">
        <v>103</v>
      </c>
      <c r="C77" s="731">
        <v>24</v>
      </c>
      <c r="D77" s="731">
        <v>9.57</v>
      </c>
      <c r="E77" s="731">
        <v>3.12</v>
      </c>
      <c r="F77" s="731">
        <v>0</v>
      </c>
      <c r="G77" s="1448"/>
    </row>
    <row r="78" spans="1:7" ht="28.5" customHeight="1" thickBot="1" x14ac:dyDescent="0.3">
      <c r="A78" s="1438"/>
      <c r="B78" s="457" t="s">
        <v>104</v>
      </c>
      <c r="C78" s="734">
        <v>0</v>
      </c>
      <c r="D78" s="734">
        <v>0</v>
      </c>
      <c r="E78" s="734">
        <v>0</v>
      </c>
      <c r="F78" s="734">
        <v>0</v>
      </c>
      <c r="G78" s="1449"/>
    </row>
    <row r="79" spans="1:7" ht="15.75" thickBot="1" x14ac:dyDescent="0.3">
      <c r="A79" s="1436">
        <v>44977</v>
      </c>
      <c r="B79" s="453" t="s">
        <v>17</v>
      </c>
      <c r="C79" s="709">
        <v>1</v>
      </c>
      <c r="D79" s="709">
        <v>1</v>
      </c>
      <c r="E79" s="709">
        <v>1</v>
      </c>
      <c r="F79" s="709">
        <v>1</v>
      </c>
      <c r="G79" s="1447" t="s">
        <v>5021</v>
      </c>
    </row>
    <row r="80" spans="1:7" ht="15.75" thickBot="1" x14ac:dyDescent="0.3">
      <c r="A80" s="1437"/>
      <c r="B80" s="453" t="s">
        <v>102</v>
      </c>
      <c r="C80" s="733">
        <f>24-C81-C82</f>
        <v>21.45</v>
      </c>
      <c r="D80" s="733">
        <f>24-D81-D82</f>
        <v>16.45</v>
      </c>
      <c r="E80" s="733">
        <f>24-E81-E82</f>
        <v>24</v>
      </c>
      <c r="F80" s="733">
        <f>24-F81-F82</f>
        <v>24</v>
      </c>
      <c r="G80" s="1448"/>
    </row>
    <row r="81" spans="1:7" ht="15.75" thickBot="1" x14ac:dyDescent="0.3">
      <c r="A81" s="1437"/>
      <c r="B81" s="448" t="s">
        <v>103</v>
      </c>
      <c r="C81" s="731">
        <v>2.5499999999999998</v>
      </c>
      <c r="D81" s="731">
        <v>7.55</v>
      </c>
      <c r="E81" s="731">
        <v>0</v>
      </c>
      <c r="F81" s="731">
        <v>0</v>
      </c>
      <c r="G81" s="1448"/>
    </row>
    <row r="82" spans="1:7" ht="15.75" thickBot="1" x14ac:dyDescent="0.3">
      <c r="A82" s="1438"/>
      <c r="B82" s="457" t="s">
        <v>104</v>
      </c>
      <c r="C82" s="734">
        <v>0</v>
      </c>
      <c r="D82" s="734">
        <v>0</v>
      </c>
      <c r="E82" s="734">
        <v>0</v>
      </c>
      <c r="F82" s="734">
        <v>0</v>
      </c>
      <c r="G82" s="1448"/>
    </row>
    <row r="83" spans="1:7" ht="15.75" thickBot="1" x14ac:dyDescent="0.3">
      <c r="A83" s="1436">
        <v>44978</v>
      </c>
      <c r="B83" s="453" t="s">
        <v>17</v>
      </c>
      <c r="C83" s="709">
        <v>1</v>
      </c>
      <c r="D83" s="709">
        <v>1</v>
      </c>
      <c r="E83" s="709">
        <v>1</v>
      </c>
      <c r="F83" s="709">
        <v>1</v>
      </c>
      <c r="G83" s="1462" t="s">
        <v>5024</v>
      </c>
    </row>
    <row r="84" spans="1:7" ht="15.75" thickBot="1" x14ac:dyDescent="0.3">
      <c r="A84" s="1437"/>
      <c r="B84" s="453" t="s">
        <v>102</v>
      </c>
      <c r="C84" s="733">
        <f>24-C85-C86</f>
        <v>24</v>
      </c>
      <c r="D84" s="733">
        <f>24-D85-D86</f>
        <v>19.75</v>
      </c>
      <c r="E84" s="733">
        <f>24-E85-E86</f>
        <v>15.52</v>
      </c>
      <c r="F84" s="733">
        <f>24-F85-F86</f>
        <v>24</v>
      </c>
      <c r="G84" s="1454"/>
    </row>
    <row r="85" spans="1:7" ht="15.75" thickBot="1" x14ac:dyDescent="0.3">
      <c r="A85" s="1437"/>
      <c r="B85" s="448" t="s">
        <v>103</v>
      </c>
      <c r="C85" s="731">
        <v>0</v>
      </c>
      <c r="D85" s="731">
        <v>4.25</v>
      </c>
      <c r="E85" s="731">
        <v>8.48</v>
      </c>
      <c r="F85" s="731">
        <v>0</v>
      </c>
      <c r="G85" s="1454"/>
    </row>
    <row r="86" spans="1:7" ht="15.75" thickBot="1" x14ac:dyDescent="0.3">
      <c r="A86" s="1438"/>
      <c r="B86" s="457" t="s">
        <v>104</v>
      </c>
      <c r="C86" s="734">
        <v>0</v>
      </c>
      <c r="D86" s="734">
        <v>0</v>
      </c>
      <c r="E86" s="734">
        <v>0</v>
      </c>
      <c r="F86" s="734">
        <v>0</v>
      </c>
      <c r="G86" s="1455"/>
    </row>
    <row r="87" spans="1:7" ht="18.75" customHeight="1" thickBot="1" x14ac:dyDescent="0.3">
      <c r="A87" s="1436">
        <v>44979</v>
      </c>
      <c r="B87" s="453" t="s">
        <v>17</v>
      </c>
      <c r="C87" s="709">
        <v>1</v>
      </c>
      <c r="D87" s="709">
        <v>1</v>
      </c>
      <c r="E87" s="709">
        <v>1</v>
      </c>
      <c r="F87" s="709">
        <v>1</v>
      </c>
      <c r="G87" s="1447" t="s">
        <v>5034</v>
      </c>
    </row>
    <row r="88" spans="1:7" ht="18.75" customHeight="1" thickBot="1" x14ac:dyDescent="0.3">
      <c r="A88" s="1437"/>
      <c r="B88" s="453" t="s">
        <v>102</v>
      </c>
      <c r="C88" s="733">
        <f>24-C89-C90</f>
        <v>16.3</v>
      </c>
      <c r="D88" s="733">
        <f>24-D89-D90</f>
        <v>3</v>
      </c>
      <c r="E88" s="733">
        <f>24-E89-E90</f>
        <v>24</v>
      </c>
      <c r="F88" s="733">
        <f>24-F89-F90</f>
        <v>24</v>
      </c>
      <c r="G88" s="1454"/>
    </row>
    <row r="89" spans="1:7" ht="18.75" customHeight="1" thickBot="1" x14ac:dyDescent="0.3">
      <c r="A89" s="1437"/>
      <c r="B89" s="448" t="s">
        <v>103</v>
      </c>
      <c r="C89" s="731">
        <v>7.7</v>
      </c>
      <c r="D89" s="731">
        <v>21</v>
      </c>
      <c r="E89" s="731">
        <v>0</v>
      </c>
      <c r="F89" s="731">
        <v>0</v>
      </c>
      <c r="G89" s="1454"/>
    </row>
    <row r="90" spans="1:7" ht="18.75" customHeight="1" thickBot="1" x14ac:dyDescent="0.3">
      <c r="A90" s="1438"/>
      <c r="B90" s="457" t="s">
        <v>104</v>
      </c>
      <c r="C90" s="734">
        <v>0</v>
      </c>
      <c r="D90" s="734">
        <v>0</v>
      </c>
      <c r="E90" s="734">
        <v>0</v>
      </c>
      <c r="F90" s="734">
        <v>0</v>
      </c>
      <c r="G90" s="1455"/>
    </row>
    <row r="91" spans="1:7" ht="15.75" thickBot="1" x14ac:dyDescent="0.3">
      <c r="A91" s="1436">
        <v>44980</v>
      </c>
      <c r="B91" s="453" t="s">
        <v>17</v>
      </c>
      <c r="C91" s="709">
        <v>1</v>
      </c>
      <c r="D91" s="709">
        <v>1</v>
      </c>
      <c r="E91" s="709">
        <v>1</v>
      </c>
      <c r="F91" s="709">
        <v>1</v>
      </c>
      <c r="G91" s="1447" t="s">
        <v>4799</v>
      </c>
    </row>
    <row r="92" spans="1:7" ht="15.75" thickBot="1" x14ac:dyDescent="0.3">
      <c r="A92" s="1437"/>
      <c r="B92" s="453" t="s">
        <v>102</v>
      </c>
      <c r="C92" s="733">
        <f>24-C93-C94</f>
        <v>0</v>
      </c>
      <c r="D92" s="733">
        <f>24-D93-D94</f>
        <v>21.9</v>
      </c>
      <c r="E92" s="733">
        <f>24-E93-E94</f>
        <v>24</v>
      </c>
      <c r="F92" s="733">
        <f>24-F93-F94</f>
        <v>24</v>
      </c>
      <c r="G92" s="1448"/>
    </row>
    <row r="93" spans="1:7" ht="15.75" thickBot="1" x14ac:dyDescent="0.3">
      <c r="A93" s="1437"/>
      <c r="B93" s="448" t="s">
        <v>103</v>
      </c>
      <c r="C93" s="731">
        <v>24</v>
      </c>
      <c r="D93" s="731">
        <v>2.1</v>
      </c>
      <c r="E93" s="731">
        <v>0</v>
      </c>
      <c r="F93" s="731">
        <v>0</v>
      </c>
      <c r="G93" s="1448"/>
    </row>
    <row r="94" spans="1:7" ht="15.75" thickBot="1" x14ac:dyDescent="0.3">
      <c r="A94" s="1438"/>
      <c r="B94" s="457" t="s">
        <v>104</v>
      </c>
      <c r="C94" s="734">
        <v>0</v>
      </c>
      <c r="D94" s="734">
        <v>0</v>
      </c>
      <c r="E94" s="734">
        <v>0</v>
      </c>
      <c r="F94" s="734">
        <v>0</v>
      </c>
      <c r="G94" s="1449"/>
    </row>
    <row r="95" spans="1:7" ht="15.75" thickBot="1" x14ac:dyDescent="0.3">
      <c r="A95" s="1436">
        <v>44981</v>
      </c>
      <c r="B95" s="453" t="s">
        <v>17</v>
      </c>
      <c r="C95" s="709">
        <v>1</v>
      </c>
      <c r="D95" s="709">
        <v>1</v>
      </c>
      <c r="E95" s="709">
        <v>1</v>
      </c>
      <c r="F95" s="709">
        <v>1</v>
      </c>
      <c r="G95" s="1447" t="s">
        <v>5042</v>
      </c>
    </row>
    <row r="96" spans="1:7" ht="15.75" thickBot="1" x14ac:dyDescent="0.3">
      <c r="A96" s="1437"/>
      <c r="B96" s="453" t="s">
        <v>102</v>
      </c>
      <c r="C96" s="733">
        <f>24-C97-C98</f>
        <v>0</v>
      </c>
      <c r="D96" s="733">
        <f>24-D97-D98</f>
        <v>3.5300000000000011</v>
      </c>
      <c r="E96" s="733">
        <f>24-E97-E98</f>
        <v>24</v>
      </c>
      <c r="F96" s="733">
        <f>24-F97-F98</f>
        <v>24</v>
      </c>
      <c r="G96" s="1448"/>
    </row>
    <row r="97" spans="1:7" ht="15.75" thickBot="1" x14ac:dyDescent="0.3">
      <c r="A97" s="1437"/>
      <c r="B97" s="448" t="s">
        <v>103</v>
      </c>
      <c r="C97" s="731">
        <v>24</v>
      </c>
      <c r="D97" s="731">
        <v>20.47</v>
      </c>
      <c r="E97" s="731">
        <v>0</v>
      </c>
      <c r="F97" s="731">
        <v>0</v>
      </c>
      <c r="G97" s="1448"/>
    </row>
    <row r="98" spans="1:7" ht="15.75" thickBot="1" x14ac:dyDescent="0.3">
      <c r="A98" s="1438"/>
      <c r="B98" s="457" t="s">
        <v>104</v>
      </c>
      <c r="C98" s="734">
        <v>0</v>
      </c>
      <c r="D98" s="734">
        <v>0</v>
      </c>
      <c r="E98" s="734">
        <v>0</v>
      </c>
      <c r="F98" s="734">
        <v>0</v>
      </c>
      <c r="G98" s="1449"/>
    </row>
    <row r="99" spans="1:7" ht="15.75" thickBot="1" x14ac:dyDescent="0.3">
      <c r="A99" s="1436">
        <v>44982</v>
      </c>
      <c r="B99" s="453" t="s">
        <v>17</v>
      </c>
      <c r="C99" s="709">
        <v>1</v>
      </c>
      <c r="D99" s="709">
        <v>1</v>
      </c>
      <c r="E99" s="709">
        <v>1</v>
      </c>
      <c r="F99" s="709">
        <v>1</v>
      </c>
      <c r="G99" s="1447" t="s">
        <v>5051</v>
      </c>
    </row>
    <row r="100" spans="1:7" ht="15.75" thickBot="1" x14ac:dyDescent="0.3">
      <c r="A100" s="1437"/>
      <c r="B100" s="453" t="s">
        <v>102</v>
      </c>
      <c r="C100" s="733">
        <f>24-C101-C102</f>
        <v>0</v>
      </c>
      <c r="D100" s="733">
        <f>24-D101-D102</f>
        <v>17.100000000000001</v>
      </c>
      <c r="E100" s="733">
        <f>24-E101-E102</f>
        <v>24</v>
      </c>
      <c r="F100" s="733">
        <f>24-F101-F102</f>
        <v>24</v>
      </c>
      <c r="G100" s="1448"/>
    </row>
    <row r="101" spans="1:7" ht="15.75" thickBot="1" x14ac:dyDescent="0.3">
      <c r="A101" s="1437"/>
      <c r="B101" s="448" t="s">
        <v>103</v>
      </c>
      <c r="C101" s="731">
        <v>24</v>
      </c>
      <c r="D101" s="731">
        <v>6.9</v>
      </c>
      <c r="E101" s="731">
        <v>0</v>
      </c>
      <c r="F101" s="731">
        <v>0</v>
      </c>
      <c r="G101" s="1448"/>
    </row>
    <row r="102" spans="1:7" ht="15.75" thickBot="1" x14ac:dyDescent="0.3">
      <c r="A102" s="1438"/>
      <c r="B102" s="457" t="s">
        <v>104</v>
      </c>
      <c r="C102" s="734">
        <v>0</v>
      </c>
      <c r="D102" s="734">
        <v>0</v>
      </c>
      <c r="E102" s="734">
        <v>0</v>
      </c>
      <c r="F102" s="734">
        <v>0</v>
      </c>
      <c r="G102" s="1449"/>
    </row>
    <row r="103" spans="1:7" ht="15.75" thickBot="1" x14ac:dyDescent="0.3">
      <c r="A103" s="1436">
        <v>44983</v>
      </c>
      <c r="B103" s="453" t="s">
        <v>17</v>
      </c>
      <c r="C103" s="709">
        <v>1</v>
      </c>
      <c r="D103" s="709">
        <v>1</v>
      </c>
      <c r="E103" s="709">
        <v>1</v>
      </c>
      <c r="F103" s="709">
        <v>1</v>
      </c>
      <c r="G103" s="1447"/>
    </row>
    <row r="104" spans="1:7" ht="15.75" thickBot="1" x14ac:dyDescent="0.3">
      <c r="A104" s="1437"/>
      <c r="B104" s="453" t="s">
        <v>102</v>
      </c>
      <c r="C104" s="733">
        <f>24-C105-C106</f>
        <v>0</v>
      </c>
      <c r="D104" s="733">
        <f>24-D105-D106</f>
        <v>9.9</v>
      </c>
      <c r="E104" s="733">
        <f>24-E105-E106</f>
        <v>24</v>
      </c>
      <c r="F104" s="733">
        <f>24-F105-F106</f>
        <v>24</v>
      </c>
      <c r="G104" s="1448"/>
    </row>
    <row r="105" spans="1:7" ht="15.75" thickBot="1" x14ac:dyDescent="0.3">
      <c r="A105" s="1437"/>
      <c r="B105" s="448" t="s">
        <v>103</v>
      </c>
      <c r="C105" s="731">
        <v>24</v>
      </c>
      <c r="D105" s="731">
        <v>14.1</v>
      </c>
      <c r="E105" s="731">
        <v>0</v>
      </c>
      <c r="F105" s="731">
        <v>0</v>
      </c>
      <c r="G105" s="1448"/>
    </row>
    <row r="106" spans="1:7" ht="15.75" thickBot="1" x14ac:dyDescent="0.3">
      <c r="A106" s="1438"/>
      <c r="B106" s="457" t="s">
        <v>104</v>
      </c>
      <c r="C106" s="734">
        <v>0</v>
      </c>
      <c r="D106" s="734">
        <v>0</v>
      </c>
      <c r="E106" s="734">
        <v>0</v>
      </c>
      <c r="F106" s="734">
        <v>0</v>
      </c>
      <c r="G106" s="1449"/>
    </row>
    <row r="107" spans="1:7" ht="15.75" thickBot="1" x14ac:dyDescent="0.3">
      <c r="A107" s="1436">
        <v>44984</v>
      </c>
      <c r="B107" s="453" t="s">
        <v>17</v>
      </c>
      <c r="C107" s="709">
        <v>1</v>
      </c>
      <c r="D107" s="709">
        <v>1</v>
      </c>
      <c r="E107" s="709">
        <v>1</v>
      </c>
      <c r="F107" s="709">
        <v>1</v>
      </c>
      <c r="G107" s="1447" t="s">
        <v>5064</v>
      </c>
    </row>
    <row r="108" spans="1:7" ht="15.75" thickBot="1" x14ac:dyDescent="0.3">
      <c r="A108" s="1437"/>
      <c r="B108" s="453" t="s">
        <v>102</v>
      </c>
      <c r="C108" s="733">
        <f>24-C109-C110</f>
        <v>0</v>
      </c>
      <c r="D108" s="733">
        <f>24-D109-D110</f>
        <v>18.78</v>
      </c>
      <c r="E108" s="733">
        <f>24-E109-E110</f>
        <v>24</v>
      </c>
      <c r="F108" s="733">
        <f>24-F109-F110</f>
        <v>24</v>
      </c>
      <c r="G108" s="1448"/>
    </row>
    <row r="109" spans="1:7" ht="15.75" thickBot="1" x14ac:dyDescent="0.3">
      <c r="A109" s="1437"/>
      <c r="B109" s="448" t="s">
        <v>103</v>
      </c>
      <c r="C109" s="731">
        <v>24</v>
      </c>
      <c r="D109" s="731">
        <v>5.22</v>
      </c>
      <c r="E109" s="731">
        <v>0</v>
      </c>
      <c r="F109" s="731">
        <v>0</v>
      </c>
      <c r="G109" s="1448"/>
    </row>
    <row r="110" spans="1:7" ht="15.75" thickBot="1" x14ac:dyDescent="0.3">
      <c r="A110" s="1438"/>
      <c r="B110" s="457" t="s">
        <v>104</v>
      </c>
      <c r="C110" s="734">
        <v>0</v>
      </c>
      <c r="D110" s="734">
        <v>0</v>
      </c>
      <c r="E110" s="734">
        <v>0</v>
      </c>
      <c r="F110" s="734">
        <v>0</v>
      </c>
      <c r="G110" s="1449"/>
    </row>
    <row r="111" spans="1:7" ht="27.75" customHeight="1" thickBot="1" x14ac:dyDescent="0.3">
      <c r="A111" s="1436">
        <v>44985</v>
      </c>
      <c r="B111" s="453" t="s">
        <v>17</v>
      </c>
      <c r="C111" s="709">
        <v>1</v>
      </c>
      <c r="D111" s="709">
        <v>1</v>
      </c>
      <c r="E111" s="709">
        <v>1</v>
      </c>
      <c r="F111" s="709">
        <v>1</v>
      </c>
      <c r="G111" s="1447" t="s">
        <v>5069</v>
      </c>
    </row>
    <row r="112" spans="1:7" ht="27.75" customHeight="1" thickBot="1" x14ac:dyDescent="0.3">
      <c r="A112" s="1437"/>
      <c r="B112" s="453" t="s">
        <v>102</v>
      </c>
      <c r="C112" s="733">
        <f>24-C113-C114</f>
        <v>1.1799999999999997</v>
      </c>
      <c r="D112" s="733">
        <f>24-D113-D114</f>
        <v>9.57</v>
      </c>
      <c r="E112" s="733">
        <f>24-E113-E114</f>
        <v>24</v>
      </c>
      <c r="F112" s="733">
        <f>24-F113-F114</f>
        <v>24</v>
      </c>
      <c r="G112" s="1448"/>
    </row>
    <row r="113" spans="1:7" ht="27.75" customHeight="1" thickBot="1" x14ac:dyDescent="0.3">
      <c r="A113" s="1437"/>
      <c r="B113" s="448" t="s">
        <v>103</v>
      </c>
      <c r="C113" s="731">
        <v>22.82</v>
      </c>
      <c r="D113" s="731">
        <v>14.43</v>
      </c>
      <c r="E113" s="731">
        <v>0</v>
      </c>
      <c r="F113" s="731">
        <v>0</v>
      </c>
      <c r="G113" s="1448"/>
    </row>
    <row r="114" spans="1:7" ht="27.75" customHeight="1" thickBot="1" x14ac:dyDescent="0.3">
      <c r="A114" s="1438"/>
      <c r="B114" s="457" t="s">
        <v>104</v>
      </c>
      <c r="C114" s="734">
        <v>0</v>
      </c>
      <c r="D114" s="734">
        <v>0</v>
      </c>
      <c r="E114" s="734">
        <v>0</v>
      </c>
      <c r="F114" s="734">
        <v>0</v>
      </c>
      <c r="G114" s="1449"/>
    </row>
    <row r="115" spans="1:7" ht="15.75" thickBot="1" x14ac:dyDescent="0.3">
      <c r="A115" s="1436"/>
      <c r="B115" s="453"/>
      <c r="C115" s="709"/>
      <c r="D115" s="709"/>
      <c r="E115" s="709"/>
      <c r="F115" s="709"/>
      <c r="G115" s="1447"/>
    </row>
    <row r="116" spans="1:7" ht="15.75" thickBot="1" x14ac:dyDescent="0.3">
      <c r="A116" s="1437"/>
      <c r="B116" s="453"/>
      <c r="C116" s="733"/>
      <c r="D116" s="733"/>
      <c r="E116" s="733"/>
      <c r="F116" s="733"/>
      <c r="G116" s="1448"/>
    </row>
    <row r="117" spans="1:7" ht="15.75" thickBot="1" x14ac:dyDescent="0.3">
      <c r="A117" s="1437"/>
      <c r="B117" s="448"/>
      <c r="C117" s="731"/>
      <c r="D117" s="731"/>
      <c r="E117" s="731"/>
      <c r="F117" s="731"/>
      <c r="G117" s="1448"/>
    </row>
    <row r="118" spans="1:7" ht="15.75" thickBot="1" x14ac:dyDescent="0.3">
      <c r="A118" s="1438"/>
      <c r="B118" s="457"/>
      <c r="C118" s="734"/>
      <c r="D118" s="734"/>
      <c r="E118" s="734"/>
      <c r="F118" s="734"/>
      <c r="G118" s="1449"/>
    </row>
    <row r="119" spans="1:7" ht="15.75" thickBot="1" x14ac:dyDescent="0.3">
      <c r="A119" s="1436"/>
      <c r="B119" s="453"/>
      <c r="C119" s="709"/>
      <c r="D119" s="709"/>
      <c r="E119" s="709"/>
      <c r="F119" s="709"/>
      <c r="G119" s="1447"/>
    </row>
    <row r="120" spans="1:7" ht="15.75" thickBot="1" x14ac:dyDescent="0.3">
      <c r="A120" s="1437"/>
      <c r="B120" s="453"/>
      <c r="C120" s="733"/>
      <c r="D120" s="733"/>
      <c r="E120" s="733"/>
      <c r="F120" s="733"/>
      <c r="G120" s="1448"/>
    </row>
    <row r="121" spans="1:7" ht="15.75" thickBot="1" x14ac:dyDescent="0.3">
      <c r="A121" s="1437"/>
      <c r="B121" s="448"/>
      <c r="C121" s="731"/>
      <c r="D121" s="731"/>
      <c r="E121" s="731"/>
      <c r="F121" s="731"/>
      <c r="G121" s="1448"/>
    </row>
    <row r="122" spans="1:7" ht="15.75" thickBot="1" x14ac:dyDescent="0.3">
      <c r="A122" s="1438"/>
      <c r="B122" s="457"/>
      <c r="C122" s="734"/>
      <c r="D122" s="734"/>
      <c r="E122" s="734"/>
      <c r="F122" s="734"/>
      <c r="G122" s="1449"/>
    </row>
    <row r="123" spans="1:7" ht="15.75" thickBot="1" x14ac:dyDescent="0.3">
      <c r="A123" s="1436"/>
      <c r="B123" s="453"/>
      <c r="C123" s="709"/>
      <c r="D123" s="709"/>
      <c r="E123" s="709"/>
      <c r="F123" s="709"/>
      <c r="G123" s="1453"/>
    </row>
    <row r="124" spans="1:7" ht="15.75" thickBot="1" x14ac:dyDescent="0.3">
      <c r="A124" s="1437"/>
      <c r="B124" s="453"/>
      <c r="C124" s="733"/>
      <c r="D124" s="733"/>
      <c r="E124" s="733"/>
      <c r="F124" s="733"/>
      <c r="G124" s="1418"/>
    </row>
    <row r="125" spans="1:7" ht="15.75" thickBot="1" x14ac:dyDescent="0.3">
      <c r="A125" s="1437"/>
      <c r="B125" s="448"/>
      <c r="C125" s="731"/>
      <c r="D125" s="731"/>
      <c r="E125" s="731"/>
      <c r="F125" s="731"/>
      <c r="G125" s="1418"/>
    </row>
    <row r="126" spans="1:7" ht="15.75" thickBot="1" x14ac:dyDescent="0.3">
      <c r="A126" s="1438"/>
      <c r="B126" s="457"/>
      <c r="C126" s="734"/>
      <c r="D126" s="734"/>
      <c r="E126" s="734"/>
      <c r="F126" s="734"/>
      <c r="G126" s="1423"/>
    </row>
    <row r="127" spans="1:7" x14ac:dyDescent="0.25">
      <c r="A127" s="464" t="s">
        <v>4923</v>
      </c>
      <c r="B127" s="465"/>
      <c r="C127" s="466">
        <f>SUM(C112,C108,C104,C100,C96,C92,C88,C84,C80,C76,C72,C68,C64,C60,C56,C52,C48,C44,C40,C36,C32,C28,C24,C20,C16,C12,C8,C4,C116,C120,C124)</f>
        <v>173.31</v>
      </c>
      <c r="D127" s="466">
        <f>SUM(D112,D108,D104,D100,D96,D92,D88,D84,D80,D76,D72,D68,D64,D60,D56,D52,D48,D44,D40,D36,D32,D28,D24,D20,D16,D12,D8,D4,D116,D120,D124)</f>
        <v>426.40000000000003</v>
      </c>
      <c r="E127" s="466">
        <f t="shared" ref="E127:F128" si="0">SUM(E112,E108,E104,E100,E96,E92,E88,E84,E80,E76,E72,E68,E64,E60,E56,E52,E48,E44,E40,E36,E32,E28,E24,E20,E16,E12,E8,E4,E116,E120,E124)</f>
        <v>651.39</v>
      </c>
      <c r="F127" s="466">
        <f t="shared" si="0"/>
        <v>660.13</v>
      </c>
      <c r="G127" s="468"/>
    </row>
    <row r="128" spans="1:7" x14ac:dyDescent="0.25">
      <c r="A128" s="1145" t="s">
        <v>4924</v>
      </c>
      <c r="B128" s="134"/>
      <c r="C128" s="469">
        <f>SUM(C113,C109,C105,C101,C97,C93,C89,C85,C81,C77,C73,C69,C65,C61,C57,C53,C49,C45,C41,C37,C33,C29,C25,C21,C17,C13,C9,C5,C117,C121,C125)</f>
        <v>498.69</v>
      </c>
      <c r="D128" s="469">
        <f>SUM(D113,D109,D105,D101,D97,D93,D89,D85,D81,D77,D73,D69,D65,D61,D57,D53,D49,D45,D41,D37,D33,D29,D25,D21,D17,D13,D9,D5,D117,D121,D125)</f>
        <v>245.60000000000002</v>
      </c>
      <c r="E128" s="469">
        <f t="shared" si="0"/>
        <v>20.61</v>
      </c>
      <c r="F128" s="469">
        <f t="shared" si="0"/>
        <v>11.87</v>
      </c>
      <c r="G128" s="471"/>
    </row>
    <row r="129" spans="1:7" ht="15.75" thickBot="1" x14ac:dyDescent="0.3">
      <c r="A129" s="1146" t="s">
        <v>4925</v>
      </c>
      <c r="B129" s="472"/>
      <c r="C129" s="473">
        <f>SUM(C114,C110,C106,C102,C98,C94,C90,C86,C82,C78,C74,C70,C66,C62,C58,C54,C50,C46,C42,C38,C34,C30,C26,C22,C18,C14,C10,C6,C118,C122,C126)</f>
        <v>0</v>
      </c>
      <c r="D129" s="473">
        <f t="shared" ref="D129:F129" si="1">SUM(D114,D110,D106,D102,D98,D94,D90,D86,D82,D78,D74,D70,D66,D62,D58,D54,D50,D46,D42,D38,D34,D30,D26,D22,D18,D14,D10,D6,D118,D122,D126)</f>
        <v>0</v>
      </c>
      <c r="E129" s="473">
        <f t="shared" si="1"/>
        <v>0</v>
      </c>
      <c r="F129" s="473">
        <f t="shared" si="1"/>
        <v>0</v>
      </c>
      <c r="G129" s="475"/>
    </row>
    <row r="130" spans="1:7" ht="15.75" thickBot="1" x14ac:dyDescent="0.3">
      <c r="A130" s="1450" t="s">
        <v>108</v>
      </c>
      <c r="B130" s="1451"/>
      <c r="C130" s="1451"/>
      <c r="D130" s="1451"/>
      <c r="E130" s="1451"/>
      <c r="F130" s="1451"/>
      <c r="G130" s="1452"/>
    </row>
  </sheetData>
  <mergeCells count="63">
    <mergeCell ref="A123:A126"/>
    <mergeCell ref="G123:G126"/>
    <mergeCell ref="A130:G130"/>
    <mergeCell ref="A111:A114"/>
    <mergeCell ref="G111:G114"/>
    <mergeCell ref="A115:A118"/>
    <mergeCell ref="G115:G118"/>
    <mergeCell ref="A119:A122"/>
    <mergeCell ref="G119:G122"/>
    <mergeCell ref="A99:A102"/>
    <mergeCell ref="G99:G102"/>
    <mergeCell ref="A103:A106"/>
    <mergeCell ref="G103:G106"/>
    <mergeCell ref="A107:A110"/>
    <mergeCell ref="G107:G110"/>
    <mergeCell ref="A87:A90"/>
    <mergeCell ref="G87:G90"/>
    <mergeCell ref="A91:A94"/>
    <mergeCell ref="G91:G94"/>
    <mergeCell ref="A95:A98"/>
    <mergeCell ref="G95:G98"/>
    <mergeCell ref="A75:A78"/>
    <mergeCell ref="G75:G78"/>
    <mergeCell ref="A79:A82"/>
    <mergeCell ref="G79:G82"/>
    <mergeCell ref="A83:A86"/>
    <mergeCell ref="G83:G86"/>
    <mergeCell ref="A63:A66"/>
    <mergeCell ref="G63:G66"/>
    <mergeCell ref="A67:A70"/>
    <mergeCell ref="G67:G70"/>
    <mergeCell ref="A71:A74"/>
    <mergeCell ref="G71:G74"/>
    <mergeCell ref="A51:A54"/>
    <mergeCell ref="G51:G54"/>
    <mergeCell ref="A55:A58"/>
    <mergeCell ref="G55:G58"/>
    <mergeCell ref="A59:A62"/>
    <mergeCell ref="G59:G62"/>
    <mergeCell ref="A39:A42"/>
    <mergeCell ref="G39:G42"/>
    <mergeCell ref="A43:A46"/>
    <mergeCell ref="G43:G46"/>
    <mergeCell ref="A47:A50"/>
    <mergeCell ref="G47:G50"/>
    <mergeCell ref="A27:A30"/>
    <mergeCell ref="G27:G30"/>
    <mergeCell ref="A31:A34"/>
    <mergeCell ref="A35:A38"/>
    <mergeCell ref="G31:G38"/>
    <mergeCell ref="A15:A18"/>
    <mergeCell ref="G15:G18"/>
    <mergeCell ref="A19:A22"/>
    <mergeCell ref="G19:G22"/>
    <mergeCell ref="A23:A26"/>
    <mergeCell ref="G23:G26"/>
    <mergeCell ref="A11:A14"/>
    <mergeCell ref="G11:G14"/>
    <mergeCell ref="A1:G1"/>
    <mergeCell ref="A3:A6"/>
    <mergeCell ref="G3:G6"/>
    <mergeCell ref="A7:A10"/>
    <mergeCell ref="G7:G10"/>
  </mergeCells>
  <pageMargins left="0.7" right="0.7" top="0.75" bottom="0.75" header="0.3" footer="0.3"/>
  <pageSetup paperSize="9" orientation="portrait" horizontalDpi="4294967293" verticalDpi="4294967293"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G130"/>
  <sheetViews>
    <sheetView topLeftCell="A112" zoomScale="95" zoomScaleNormal="95" workbookViewId="0">
      <pane xSplit="1" topLeftCell="B1" activePane="topRight" state="frozen"/>
      <selection pane="topRight" activeCell="G79" sqref="G79:G82"/>
    </sheetView>
  </sheetViews>
  <sheetFormatPr defaultRowHeight="15" x14ac:dyDescent="0.25"/>
  <cols>
    <col min="1" max="1" width="21.140625" customWidth="1"/>
    <col min="2" max="2" width="28.42578125" customWidth="1"/>
    <col min="7" max="7" width="73.5703125" customWidth="1"/>
  </cols>
  <sheetData>
    <row r="1" spans="1:7" ht="21.75" thickBot="1" x14ac:dyDescent="0.4">
      <c r="A1" s="1443" t="s">
        <v>73</v>
      </c>
      <c r="B1" s="1443"/>
      <c r="C1" s="1443"/>
      <c r="D1" s="1443"/>
      <c r="E1" s="1443"/>
      <c r="F1" s="1461"/>
      <c r="G1" s="1443"/>
    </row>
    <row r="2" spans="1:7" ht="16.5" thickBot="1" x14ac:dyDescent="0.3">
      <c r="A2" s="108" t="s">
        <v>98</v>
      </c>
      <c r="B2" s="608"/>
      <c r="C2" s="607" t="s">
        <v>310</v>
      </c>
      <c r="D2" s="607" t="s">
        <v>239</v>
      </c>
      <c r="E2" s="447" t="s">
        <v>100</v>
      </c>
      <c r="F2" s="1200" t="s">
        <v>157</v>
      </c>
      <c r="G2" s="111" t="s">
        <v>101</v>
      </c>
    </row>
    <row r="3" spans="1:7" ht="17.25" customHeight="1" thickBot="1" x14ac:dyDescent="0.3">
      <c r="A3" s="1436">
        <v>44986</v>
      </c>
      <c r="B3" s="453" t="s">
        <v>17</v>
      </c>
      <c r="C3" s="709">
        <v>1</v>
      </c>
      <c r="D3" s="709">
        <v>1</v>
      </c>
      <c r="E3" s="709">
        <v>1</v>
      </c>
      <c r="F3" s="709">
        <v>1</v>
      </c>
      <c r="G3" s="1453" t="s">
        <v>5075</v>
      </c>
    </row>
    <row r="4" spans="1:7" ht="17.25" customHeight="1" thickBot="1" x14ac:dyDescent="0.3">
      <c r="A4" s="1437"/>
      <c r="B4" s="453" t="s">
        <v>102</v>
      </c>
      <c r="C4" s="733">
        <f>24-C5-C6</f>
        <v>0</v>
      </c>
      <c r="D4" s="733">
        <f>24-D5-D6</f>
        <v>22.7</v>
      </c>
      <c r="E4" s="733">
        <f>24-E5-E6</f>
        <v>24</v>
      </c>
      <c r="F4" s="733">
        <f>24-F5-F6</f>
        <v>24</v>
      </c>
      <c r="G4" s="1418"/>
    </row>
    <row r="5" spans="1:7" ht="17.25" customHeight="1" thickBot="1" x14ac:dyDescent="0.3">
      <c r="A5" s="1437"/>
      <c r="B5" s="448" t="s">
        <v>103</v>
      </c>
      <c r="C5" s="731">
        <v>24</v>
      </c>
      <c r="D5" s="731">
        <v>1.3</v>
      </c>
      <c r="E5" s="731">
        <v>0</v>
      </c>
      <c r="F5" s="731">
        <v>0</v>
      </c>
      <c r="G5" s="1418"/>
    </row>
    <row r="6" spans="1:7" ht="17.25" customHeight="1" thickBot="1" x14ac:dyDescent="0.3">
      <c r="A6" s="1438"/>
      <c r="B6" s="457" t="s">
        <v>104</v>
      </c>
      <c r="C6" s="734">
        <v>0</v>
      </c>
      <c r="D6" s="734">
        <v>0</v>
      </c>
      <c r="E6" s="734">
        <v>0</v>
      </c>
      <c r="F6" s="734">
        <v>0</v>
      </c>
      <c r="G6" s="1423"/>
    </row>
    <row r="7" spans="1:7" ht="25.5" customHeight="1" thickBot="1" x14ac:dyDescent="0.3">
      <c r="A7" s="1436">
        <v>44987</v>
      </c>
      <c r="B7" s="453" t="s">
        <v>17</v>
      </c>
      <c r="C7" s="709">
        <v>1</v>
      </c>
      <c r="D7" s="709">
        <v>1</v>
      </c>
      <c r="E7" s="709">
        <v>1</v>
      </c>
      <c r="F7" s="709">
        <v>1</v>
      </c>
      <c r="G7" s="1453" t="s">
        <v>5085</v>
      </c>
    </row>
    <row r="8" spans="1:7" ht="25.5" customHeight="1" thickBot="1" x14ac:dyDescent="0.3">
      <c r="A8" s="1437"/>
      <c r="B8" s="453" t="s">
        <v>102</v>
      </c>
      <c r="C8" s="733">
        <f>24-C9-C10</f>
        <v>18.03</v>
      </c>
      <c r="D8" s="733">
        <f>24-D9-D10</f>
        <v>2.5799999999999983</v>
      </c>
      <c r="E8" s="733">
        <f>24-E9-E10</f>
        <v>24</v>
      </c>
      <c r="F8" s="733">
        <f>24-F9-F10</f>
        <v>24</v>
      </c>
      <c r="G8" s="1418"/>
    </row>
    <row r="9" spans="1:7" ht="25.5" customHeight="1" thickBot="1" x14ac:dyDescent="0.3">
      <c r="A9" s="1437"/>
      <c r="B9" s="448" t="s">
        <v>103</v>
      </c>
      <c r="C9" s="731">
        <v>5.97</v>
      </c>
      <c r="D9" s="731">
        <v>21.42</v>
      </c>
      <c r="E9" s="731">
        <v>0</v>
      </c>
      <c r="F9" s="731">
        <v>0</v>
      </c>
      <c r="G9" s="1418"/>
    </row>
    <row r="10" spans="1:7" ht="25.5" customHeight="1" thickBot="1" x14ac:dyDescent="0.3">
      <c r="A10" s="1438"/>
      <c r="B10" s="457" t="s">
        <v>104</v>
      </c>
      <c r="C10" s="734">
        <v>0</v>
      </c>
      <c r="D10" s="734">
        <v>0</v>
      </c>
      <c r="E10" s="734">
        <v>0</v>
      </c>
      <c r="F10" s="734">
        <v>0</v>
      </c>
      <c r="G10" s="1423"/>
    </row>
    <row r="11" spans="1:7" ht="17.25" customHeight="1" thickBot="1" x14ac:dyDescent="0.3">
      <c r="A11" s="1436">
        <v>44988</v>
      </c>
      <c r="B11" s="453" t="s">
        <v>17</v>
      </c>
      <c r="C11" s="709">
        <v>1</v>
      </c>
      <c r="D11" s="709">
        <v>1</v>
      </c>
      <c r="E11" s="709">
        <v>1</v>
      </c>
      <c r="F11" s="709">
        <v>1</v>
      </c>
      <c r="G11" s="1453"/>
    </row>
    <row r="12" spans="1:7" ht="17.25" customHeight="1" thickBot="1" x14ac:dyDescent="0.3">
      <c r="A12" s="1437"/>
      <c r="B12" s="453" t="s">
        <v>102</v>
      </c>
      <c r="C12" s="733">
        <f>24-C13-C14</f>
        <v>24</v>
      </c>
      <c r="D12" s="733">
        <f>24-D13-D14</f>
        <v>23.27</v>
      </c>
      <c r="E12" s="733">
        <f>24-E13-E14</f>
        <v>24</v>
      </c>
      <c r="F12" s="733">
        <f>24-F13-F14</f>
        <v>24</v>
      </c>
      <c r="G12" s="1418"/>
    </row>
    <row r="13" spans="1:7" ht="17.25" customHeight="1" thickBot="1" x14ac:dyDescent="0.3">
      <c r="A13" s="1437"/>
      <c r="B13" s="448" t="s">
        <v>103</v>
      </c>
      <c r="C13" s="731">
        <v>0</v>
      </c>
      <c r="D13" s="731">
        <v>0.73</v>
      </c>
      <c r="E13" s="731">
        <v>0</v>
      </c>
      <c r="F13" s="731">
        <v>0</v>
      </c>
      <c r="G13" s="1418"/>
    </row>
    <row r="14" spans="1:7" ht="17.25" customHeight="1" thickBot="1" x14ac:dyDescent="0.3">
      <c r="A14" s="1438"/>
      <c r="B14" s="457" t="s">
        <v>104</v>
      </c>
      <c r="C14" s="734">
        <v>0</v>
      </c>
      <c r="D14" s="734">
        <v>0</v>
      </c>
      <c r="E14" s="734">
        <v>0</v>
      </c>
      <c r="F14" s="734">
        <v>0</v>
      </c>
      <c r="G14" s="1423"/>
    </row>
    <row r="15" spans="1:7" ht="29.25" customHeight="1" thickBot="1" x14ac:dyDescent="0.3">
      <c r="A15" s="1436">
        <v>44989</v>
      </c>
      <c r="B15" s="453" t="s">
        <v>17</v>
      </c>
      <c r="C15" s="709">
        <v>1</v>
      </c>
      <c r="D15" s="709">
        <v>1</v>
      </c>
      <c r="E15" s="709">
        <v>1</v>
      </c>
      <c r="F15" s="709">
        <v>1</v>
      </c>
      <c r="G15" s="1453" t="s">
        <v>5106</v>
      </c>
    </row>
    <row r="16" spans="1:7" ht="29.25" customHeight="1" thickBot="1" x14ac:dyDescent="0.3">
      <c r="A16" s="1437"/>
      <c r="B16" s="453" t="s">
        <v>102</v>
      </c>
      <c r="C16" s="733">
        <f>24-C17-C18</f>
        <v>9.18</v>
      </c>
      <c r="D16" s="733">
        <f>24-D17-D18</f>
        <v>1.9699999999999989</v>
      </c>
      <c r="E16" s="733">
        <f>24-E17-E18</f>
        <v>16.88</v>
      </c>
      <c r="F16" s="733">
        <f>24-F17-F18</f>
        <v>24</v>
      </c>
      <c r="G16" s="1418"/>
    </row>
    <row r="17" spans="1:7" ht="29.25" customHeight="1" thickBot="1" x14ac:dyDescent="0.3">
      <c r="A17" s="1437"/>
      <c r="B17" s="448" t="s">
        <v>103</v>
      </c>
      <c r="C17" s="731">
        <v>14.82</v>
      </c>
      <c r="D17" s="731">
        <v>22.03</v>
      </c>
      <c r="E17" s="731">
        <v>7.12</v>
      </c>
      <c r="F17" s="731">
        <v>0</v>
      </c>
      <c r="G17" s="1418"/>
    </row>
    <row r="18" spans="1:7" ht="33.75" customHeight="1" thickBot="1" x14ac:dyDescent="0.3">
      <c r="A18" s="1438"/>
      <c r="B18" s="457" t="s">
        <v>104</v>
      </c>
      <c r="C18" s="734">
        <v>0</v>
      </c>
      <c r="D18" s="734">
        <v>0</v>
      </c>
      <c r="E18" s="734">
        <v>0</v>
      </c>
      <c r="F18" s="734">
        <v>0</v>
      </c>
      <c r="G18" s="1423"/>
    </row>
    <row r="19" spans="1:7" ht="17.25" customHeight="1" thickBot="1" x14ac:dyDescent="0.3">
      <c r="A19" s="1436">
        <v>44990</v>
      </c>
      <c r="B19" s="453" t="s">
        <v>17</v>
      </c>
      <c r="C19" s="709">
        <v>1</v>
      </c>
      <c r="D19" s="709">
        <v>1</v>
      </c>
      <c r="E19" s="709">
        <v>1</v>
      </c>
      <c r="F19" s="709">
        <v>1</v>
      </c>
      <c r="G19" s="1453"/>
    </row>
    <row r="20" spans="1:7" ht="17.25" customHeight="1" thickBot="1" x14ac:dyDescent="0.3">
      <c r="A20" s="1437"/>
      <c r="B20" s="453" t="s">
        <v>102</v>
      </c>
      <c r="C20" s="733">
        <f>24-C21-C22</f>
        <v>0</v>
      </c>
      <c r="D20" s="733">
        <f>24-D21-D22</f>
        <v>23.58</v>
      </c>
      <c r="E20" s="733">
        <f>24-E21-E22</f>
        <v>23.85</v>
      </c>
      <c r="F20" s="733">
        <f>24-F21-F22</f>
        <v>24</v>
      </c>
      <c r="G20" s="1418"/>
    </row>
    <row r="21" spans="1:7" ht="17.25" customHeight="1" thickBot="1" x14ac:dyDescent="0.3">
      <c r="A21" s="1437"/>
      <c r="B21" s="448" t="s">
        <v>103</v>
      </c>
      <c r="C21" s="731">
        <v>24</v>
      </c>
      <c r="D21" s="731">
        <v>0.42</v>
      </c>
      <c r="E21" s="731">
        <v>0.15</v>
      </c>
      <c r="F21" s="731">
        <v>0</v>
      </c>
      <c r="G21" s="1418"/>
    </row>
    <row r="22" spans="1:7" ht="17.25" customHeight="1" thickBot="1" x14ac:dyDescent="0.3">
      <c r="A22" s="1438"/>
      <c r="B22" s="457" t="s">
        <v>104</v>
      </c>
      <c r="C22" s="734">
        <v>0</v>
      </c>
      <c r="D22" s="734">
        <v>0</v>
      </c>
      <c r="E22" s="734">
        <v>0</v>
      </c>
      <c r="F22" s="734">
        <v>0</v>
      </c>
      <c r="G22" s="1418"/>
    </row>
    <row r="23" spans="1:7" ht="17.25" customHeight="1" thickBot="1" x14ac:dyDescent="0.3">
      <c r="A23" s="1436">
        <v>44991</v>
      </c>
      <c r="B23" s="453" t="s">
        <v>17</v>
      </c>
      <c r="C23" s="709">
        <v>1</v>
      </c>
      <c r="D23" s="709">
        <v>1</v>
      </c>
      <c r="E23" s="709">
        <v>1</v>
      </c>
      <c r="F23" s="709">
        <v>1</v>
      </c>
      <c r="G23" s="1453" t="s">
        <v>5112</v>
      </c>
    </row>
    <row r="24" spans="1:7" ht="17.25" customHeight="1" thickBot="1" x14ac:dyDescent="0.3">
      <c r="A24" s="1437"/>
      <c r="B24" s="453" t="s">
        <v>102</v>
      </c>
      <c r="C24" s="733">
        <f>24-C25-C26</f>
        <v>0</v>
      </c>
      <c r="D24" s="733">
        <f>24-D25-D26</f>
        <v>10.050000000000001</v>
      </c>
      <c r="E24" s="733">
        <f>24-E25-E26</f>
        <v>24</v>
      </c>
      <c r="F24" s="733">
        <f>24-F25-F26</f>
        <v>24</v>
      </c>
      <c r="G24" s="1418"/>
    </row>
    <row r="25" spans="1:7" ht="17.25" customHeight="1" thickBot="1" x14ac:dyDescent="0.3">
      <c r="A25" s="1437"/>
      <c r="B25" s="448" t="s">
        <v>103</v>
      </c>
      <c r="C25" s="731">
        <v>24</v>
      </c>
      <c r="D25" s="731">
        <v>13.95</v>
      </c>
      <c r="E25" s="731">
        <v>0</v>
      </c>
      <c r="F25" s="731">
        <v>0</v>
      </c>
      <c r="G25" s="1418"/>
    </row>
    <row r="26" spans="1:7" ht="17.25" customHeight="1" thickBot="1" x14ac:dyDescent="0.3">
      <c r="A26" s="1438"/>
      <c r="B26" s="457" t="s">
        <v>104</v>
      </c>
      <c r="C26" s="734">
        <v>0</v>
      </c>
      <c r="D26" s="734">
        <v>0</v>
      </c>
      <c r="E26" s="734">
        <v>0</v>
      </c>
      <c r="F26" s="734">
        <v>0</v>
      </c>
      <c r="G26" s="1418"/>
    </row>
    <row r="27" spans="1:7" ht="17.25" customHeight="1" thickBot="1" x14ac:dyDescent="0.3">
      <c r="A27" s="1436">
        <v>44992</v>
      </c>
      <c r="B27" s="453" t="s">
        <v>17</v>
      </c>
      <c r="C27" s="709">
        <v>1</v>
      </c>
      <c r="D27" s="709">
        <v>1</v>
      </c>
      <c r="E27" s="709">
        <v>1</v>
      </c>
      <c r="F27" s="709">
        <v>1</v>
      </c>
      <c r="G27" s="1453"/>
    </row>
    <row r="28" spans="1:7" ht="17.25" customHeight="1" thickBot="1" x14ac:dyDescent="0.3">
      <c r="A28" s="1437"/>
      <c r="B28" s="453" t="s">
        <v>102</v>
      </c>
      <c r="C28" s="733">
        <f>24-C29-C30</f>
        <v>0</v>
      </c>
      <c r="D28" s="733">
        <f>24-D29-D30</f>
        <v>21.95</v>
      </c>
      <c r="E28" s="733">
        <f>24-E29-E30</f>
        <v>24</v>
      </c>
      <c r="F28" s="733">
        <f>24-F29-F30</f>
        <v>24</v>
      </c>
      <c r="G28" s="1418"/>
    </row>
    <row r="29" spans="1:7" ht="17.25" customHeight="1" thickBot="1" x14ac:dyDescent="0.3">
      <c r="A29" s="1437"/>
      <c r="B29" s="448" t="s">
        <v>103</v>
      </c>
      <c r="C29" s="731">
        <v>24</v>
      </c>
      <c r="D29" s="731">
        <v>2.0499999999999998</v>
      </c>
      <c r="E29" s="731">
        <v>0</v>
      </c>
      <c r="F29" s="731">
        <v>0</v>
      </c>
      <c r="G29" s="1418"/>
    </row>
    <row r="30" spans="1:7" ht="17.25" customHeight="1" thickBot="1" x14ac:dyDescent="0.3">
      <c r="A30" s="1438"/>
      <c r="B30" s="457" t="s">
        <v>104</v>
      </c>
      <c r="C30" s="734">
        <v>0</v>
      </c>
      <c r="D30" s="734">
        <v>0</v>
      </c>
      <c r="E30" s="734">
        <v>0</v>
      </c>
      <c r="F30" s="734">
        <v>0</v>
      </c>
      <c r="G30" s="1418"/>
    </row>
    <row r="31" spans="1:7" ht="17.25" customHeight="1" thickBot="1" x14ac:dyDescent="0.3">
      <c r="A31" s="1436">
        <v>44993</v>
      </c>
      <c r="B31" s="453" t="s">
        <v>17</v>
      </c>
      <c r="C31" s="709">
        <v>1</v>
      </c>
      <c r="D31" s="709">
        <v>1</v>
      </c>
      <c r="E31" s="709">
        <v>1</v>
      </c>
      <c r="F31" s="709">
        <v>1</v>
      </c>
      <c r="G31" s="1453" t="s">
        <v>5115</v>
      </c>
    </row>
    <row r="32" spans="1:7" ht="17.25" customHeight="1" thickBot="1" x14ac:dyDescent="0.3">
      <c r="A32" s="1437"/>
      <c r="B32" s="453" t="s">
        <v>102</v>
      </c>
      <c r="C32" s="733">
        <f>24-C33-C34</f>
        <v>0</v>
      </c>
      <c r="D32" s="733">
        <f>24-D33-D34</f>
        <v>11.8</v>
      </c>
      <c r="E32" s="733">
        <f>24-E33-E34</f>
        <v>24</v>
      </c>
      <c r="F32" s="733">
        <f>24-F33-F34</f>
        <v>24</v>
      </c>
      <c r="G32" s="1418"/>
    </row>
    <row r="33" spans="1:7" ht="17.25" customHeight="1" thickBot="1" x14ac:dyDescent="0.3">
      <c r="A33" s="1437"/>
      <c r="B33" s="448" t="s">
        <v>103</v>
      </c>
      <c r="C33" s="731">
        <v>24</v>
      </c>
      <c r="D33" s="731">
        <v>12.2</v>
      </c>
      <c r="E33" s="731">
        <v>0</v>
      </c>
      <c r="F33" s="731">
        <v>0</v>
      </c>
      <c r="G33" s="1418"/>
    </row>
    <row r="34" spans="1:7" ht="17.25" customHeight="1" thickBot="1" x14ac:dyDescent="0.3">
      <c r="A34" s="1438"/>
      <c r="B34" s="457" t="s">
        <v>104</v>
      </c>
      <c r="C34" s="734">
        <v>0</v>
      </c>
      <c r="D34" s="734">
        <v>0</v>
      </c>
      <c r="E34" s="734">
        <v>0</v>
      </c>
      <c r="F34" s="734">
        <v>0</v>
      </c>
      <c r="G34" s="1418"/>
    </row>
    <row r="35" spans="1:7" ht="17.25" customHeight="1" thickBot="1" x14ac:dyDescent="0.3">
      <c r="A35" s="1436">
        <v>44994</v>
      </c>
      <c r="B35" s="453" t="s">
        <v>17</v>
      </c>
      <c r="C35" s="709">
        <v>1</v>
      </c>
      <c r="D35" s="709">
        <v>1</v>
      </c>
      <c r="E35" s="709">
        <v>1</v>
      </c>
      <c r="F35" s="709">
        <v>1</v>
      </c>
      <c r="G35" s="1453" t="s">
        <v>5120</v>
      </c>
    </row>
    <row r="36" spans="1:7" ht="17.25" customHeight="1" thickBot="1" x14ac:dyDescent="0.3">
      <c r="A36" s="1437"/>
      <c r="B36" s="453" t="s">
        <v>102</v>
      </c>
      <c r="C36" s="733">
        <f>24-C37-C38</f>
        <v>10.029999999999999</v>
      </c>
      <c r="D36" s="733">
        <f>24-D37-D38</f>
        <v>21.43</v>
      </c>
      <c r="E36" s="733">
        <f>24-E37-E38</f>
        <v>24</v>
      </c>
      <c r="F36" s="733">
        <f>24-F37-F38</f>
        <v>24</v>
      </c>
      <c r="G36" s="1418"/>
    </row>
    <row r="37" spans="1:7" ht="17.25" customHeight="1" thickBot="1" x14ac:dyDescent="0.3">
      <c r="A37" s="1437"/>
      <c r="B37" s="448" t="s">
        <v>103</v>
      </c>
      <c r="C37" s="731">
        <v>13.97</v>
      </c>
      <c r="D37" s="731">
        <v>2.57</v>
      </c>
      <c r="E37" s="731">
        <v>0</v>
      </c>
      <c r="F37" s="731">
        <v>0</v>
      </c>
      <c r="G37" s="1418"/>
    </row>
    <row r="38" spans="1:7" ht="17.25" customHeight="1" thickBot="1" x14ac:dyDescent="0.3">
      <c r="A38" s="1438"/>
      <c r="B38" s="457" t="s">
        <v>104</v>
      </c>
      <c r="C38" s="734">
        <v>0</v>
      </c>
      <c r="D38" s="734">
        <v>0</v>
      </c>
      <c r="E38" s="734">
        <v>0</v>
      </c>
      <c r="F38" s="734">
        <v>0</v>
      </c>
      <c r="G38" s="1418"/>
    </row>
    <row r="39" spans="1:7" ht="17.25" customHeight="1" thickBot="1" x14ac:dyDescent="0.3">
      <c r="A39" s="1436">
        <v>44995</v>
      </c>
      <c r="B39" s="453" t="s">
        <v>17</v>
      </c>
      <c r="C39" s="709">
        <v>1</v>
      </c>
      <c r="D39" s="709">
        <v>1</v>
      </c>
      <c r="E39" s="709">
        <v>1</v>
      </c>
      <c r="F39" s="709">
        <v>1</v>
      </c>
      <c r="G39" s="1453" t="s">
        <v>5124</v>
      </c>
    </row>
    <row r="40" spans="1:7" ht="17.25" customHeight="1" thickBot="1" x14ac:dyDescent="0.3">
      <c r="A40" s="1437"/>
      <c r="B40" s="453" t="s">
        <v>102</v>
      </c>
      <c r="C40" s="733">
        <f>24-C41-C42</f>
        <v>24</v>
      </c>
      <c r="D40" s="733">
        <f>24-D41-D42</f>
        <v>0.42000000000000171</v>
      </c>
      <c r="E40" s="733">
        <f>24-E41-E42</f>
        <v>24</v>
      </c>
      <c r="F40" s="733">
        <f>24-F41-F42</f>
        <v>24</v>
      </c>
      <c r="G40" s="1418"/>
    </row>
    <row r="41" spans="1:7" ht="17.25" customHeight="1" thickBot="1" x14ac:dyDescent="0.3">
      <c r="A41" s="1437"/>
      <c r="B41" s="448" t="s">
        <v>103</v>
      </c>
      <c r="C41" s="731">
        <v>0</v>
      </c>
      <c r="D41" s="731">
        <v>23.58</v>
      </c>
      <c r="E41" s="731">
        <v>0</v>
      </c>
      <c r="F41" s="731">
        <v>0</v>
      </c>
      <c r="G41" s="1418"/>
    </row>
    <row r="42" spans="1:7" ht="17.25" customHeight="1" thickBot="1" x14ac:dyDescent="0.3">
      <c r="A42" s="1438"/>
      <c r="B42" s="457" t="s">
        <v>104</v>
      </c>
      <c r="C42" s="734">
        <v>0</v>
      </c>
      <c r="D42" s="734">
        <v>0</v>
      </c>
      <c r="E42" s="734">
        <v>0</v>
      </c>
      <c r="F42" s="734">
        <v>0</v>
      </c>
      <c r="G42" s="1423"/>
    </row>
    <row r="43" spans="1:7" ht="17.25" customHeight="1" thickBot="1" x14ac:dyDescent="0.3">
      <c r="A43" s="1436">
        <v>44996</v>
      </c>
      <c r="B43" s="453" t="s">
        <v>17</v>
      </c>
      <c r="C43" s="709">
        <v>1</v>
      </c>
      <c r="D43" s="709">
        <v>1</v>
      </c>
      <c r="E43" s="709">
        <v>1</v>
      </c>
      <c r="F43" s="709">
        <v>1</v>
      </c>
      <c r="G43" s="1453" t="s">
        <v>5128</v>
      </c>
    </row>
    <row r="44" spans="1:7" ht="17.25" customHeight="1" thickBot="1" x14ac:dyDescent="0.3">
      <c r="A44" s="1437"/>
      <c r="B44" s="453" t="s">
        <v>102</v>
      </c>
      <c r="C44" s="733">
        <f>24-C45-C46</f>
        <v>3.1000000000000014</v>
      </c>
      <c r="D44" s="733">
        <f>24-D45-D46</f>
        <v>21.7</v>
      </c>
      <c r="E44" s="733">
        <f>24-E45-E46</f>
        <v>24</v>
      </c>
      <c r="F44" s="733">
        <f>24-F45-F46</f>
        <v>24</v>
      </c>
      <c r="G44" s="1418"/>
    </row>
    <row r="45" spans="1:7" ht="17.25" customHeight="1" thickBot="1" x14ac:dyDescent="0.3">
      <c r="A45" s="1437"/>
      <c r="B45" s="448" t="s">
        <v>103</v>
      </c>
      <c r="C45" s="731">
        <v>20.9</v>
      </c>
      <c r="D45" s="731">
        <v>2.2999999999999998</v>
      </c>
      <c r="E45" s="731">
        <v>0</v>
      </c>
      <c r="F45" s="731">
        <v>0</v>
      </c>
      <c r="G45" s="1418"/>
    </row>
    <row r="46" spans="1:7" ht="17.25" customHeight="1" thickBot="1" x14ac:dyDescent="0.3">
      <c r="A46" s="1438"/>
      <c r="B46" s="457" t="s">
        <v>104</v>
      </c>
      <c r="C46" s="734">
        <v>0</v>
      </c>
      <c r="D46" s="734">
        <v>0</v>
      </c>
      <c r="E46" s="734">
        <v>0</v>
      </c>
      <c r="F46" s="734">
        <v>0</v>
      </c>
      <c r="G46" s="1423"/>
    </row>
    <row r="47" spans="1:7" ht="17.25" customHeight="1" thickBot="1" x14ac:dyDescent="0.3">
      <c r="A47" s="1436">
        <v>44997</v>
      </c>
      <c r="B47" s="453" t="s">
        <v>17</v>
      </c>
      <c r="C47" s="709">
        <v>1</v>
      </c>
      <c r="D47" s="709">
        <v>1</v>
      </c>
      <c r="E47" s="709">
        <v>1</v>
      </c>
      <c r="F47" s="709">
        <v>1</v>
      </c>
      <c r="G47" s="1453" t="s">
        <v>5130</v>
      </c>
    </row>
    <row r="48" spans="1:7" ht="17.25" customHeight="1" thickBot="1" x14ac:dyDescent="0.3">
      <c r="A48" s="1437"/>
      <c r="B48" s="453" t="s">
        <v>102</v>
      </c>
      <c r="C48" s="733">
        <f>24-C49-C50</f>
        <v>0</v>
      </c>
      <c r="D48" s="733">
        <f>24-D49-D50</f>
        <v>7.370000000000001</v>
      </c>
      <c r="E48" s="733">
        <f>24-E49-E50</f>
        <v>24</v>
      </c>
      <c r="F48" s="733">
        <f>24-F49-F50</f>
        <v>24</v>
      </c>
      <c r="G48" s="1418"/>
    </row>
    <row r="49" spans="1:7" ht="17.25" customHeight="1" thickBot="1" x14ac:dyDescent="0.3">
      <c r="A49" s="1437"/>
      <c r="B49" s="448" t="s">
        <v>103</v>
      </c>
      <c r="C49" s="731">
        <v>24</v>
      </c>
      <c r="D49" s="731">
        <v>16.63</v>
      </c>
      <c r="E49" s="731">
        <v>0</v>
      </c>
      <c r="F49" s="731">
        <v>0</v>
      </c>
      <c r="G49" s="1418"/>
    </row>
    <row r="50" spans="1:7" ht="17.25" customHeight="1" thickBot="1" x14ac:dyDescent="0.3">
      <c r="A50" s="1438"/>
      <c r="B50" s="457" t="s">
        <v>104</v>
      </c>
      <c r="C50" s="734">
        <v>0</v>
      </c>
      <c r="D50" s="734">
        <v>0</v>
      </c>
      <c r="E50" s="734">
        <v>0</v>
      </c>
      <c r="F50" s="734">
        <v>0</v>
      </c>
      <c r="G50" s="1418"/>
    </row>
    <row r="51" spans="1:7" ht="17.25" customHeight="1" thickBot="1" x14ac:dyDescent="0.3">
      <c r="A51" s="1436">
        <v>44998</v>
      </c>
      <c r="B51" s="453" t="s">
        <v>17</v>
      </c>
      <c r="C51" s="709">
        <v>1</v>
      </c>
      <c r="D51" s="709">
        <v>1</v>
      </c>
      <c r="E51" s="709">
        <v>1</v>
      </c>
      <c r="F51" s="709">
        <v>1</v>
      </c>
      <c r="G51" s="1453" t="s">
        <v>5139</v>
      </c>
    </row>
    <row r="52" spans="1:7" ht="17.25" customHeight="1" thickBot="1" x14ac:dyDescent="0.3">
      <c r="A52" s="1437"/>
      <c r="B52" s="453" t="s">
        <v>102</v>
      </c>
      <c r="C52" s="733">
        <f>24-C53-C54</f>
        <v>0</v>
      </c>
      <c r="D52" s="733">
        <f>24-D53-D54</f>
        <v>20.83</v>
      </c>
      <c r="E52" s="733">
        <f>24-E53-E54</f>
        <v>24</v>
      </c>
      <c r="F52" s="733">
        <f>24-F53-F54</f>
        <v>24</v>
      </c>
      <c r="G52" s="1418"/>
    </row>
    <row r="53" spans="1:7" ht="17.25" customHeight="1" thickBot="1" x14ac:dyDescent="0.3">
      <c r="A53" s="1437"/>
      <c r="B53" s="448" t="s">
        <v>103</v>
      </c>
      <c r="C53" s="731">
        <v>24</v>
      </c>
      <c r="D53" s="731">
        <v>3.17</v>
      </c>
      <c r="E53" s="731">
        <v>0</v>
      </c>
      <c r="F53" s="731">
        <v>0</v>
      </c>
      <c r="G53" s="1418"/>
    </row>
    <row r="54" spans="1:7" ht="17.25" customHeight="1" thickBot="1" x14ac:dyDescent="0.3">
      <c r="A54" s="1438"/>
      <c r="B54" s="457" t="s">
        <v>104</v>
      </c>
      <c r="C54" s="734">
        <v>0</v>
      </c>
      <c r="D54" s="734">
        <v>0</v>
      </c>
      <c r="E54" s="734">
        <v>0</v>
      </c>
      <c r="F54" s="734">
        <v>0</v>
      </c>
      <c r="G54" s="1418"/>
    </row>
    <row r="55" spans="1:7" ht="17.25" customHeight="1" thickBot="1" x14ac:dyDescent="0.3">
      <c r="A55" s="1436">
        <v>44999</v>
      </c>
      <c r="B55" s="453" t="s">
        <v>17</v>
      </c>
      <c r="C55" s="709">
        <v>1</v>
      </c>
      <c r="D55" s="709">
        <v>1</v>
      </c>
      <c r="E55" s="709">
        <v>1</v>
      </c>
      <c r="F55" s="709">
        <v>1</v>
      </c>
      <c r="G55" s="1453"/>
    </row>
    <row r="56" spans="1:7" ht="17.25" customHeight="1" thickBot="1" x14ac:dyDescent="0.3">
      <c r="A56" s="1437"/>
      <c r="B56" s="453" t="s">
        <v>102</v>
      </c>
      <c r="C56" s="733">
        <f>24-C57-C58</f>
        <v>0</v>
      </c>
      <c r="D56" s="733">
        <f>24-D57-D58</f>
        <v>8.1300000000000008</v>
      </c>
      <c r="E56" s="733">
        <f>24-E57-E58</f>
        <v>24</v>
      </c>
      <c r="F56" s="733">
        <f>24-F57-F58</f>
        <v>24</v>
      </c>
      <c r="G56" s="1418"/>
    </row>
    <row r="57" spans="1:7" ht="17.25" customHeight="1" thickBot="1" x14ac:dyDescent="0.3">
      <c r="A57" s="1437"/>
      <c r="B57" s="448" t="s">
        <v>103</v>
      </c>
      <c r="C57" s="731">
        <v>24</v>
      </c>
      <c r="D57" s="731">
        <v>15.87</v>
      </c>
      <c r="E57" s="731">
        <v>0</v>
      </c>
      <c r="F57" s="731">
        <v>0</v>
      </c>
      <c r="G57" s="1418"/>
    </row>
    <row r="58" spans="1:7" ht="17.25" customHeight="1" thickBot="1" x14ac:dyDescent="0.3">
      <c r="A58" s="1438"/>
      <c r="B58" s="457" t="s">
        <v>104</v>
      </c>
      <c r="C58" s="734">
        <v>0</v>
      </c>
      <c r="D58" s="734">
        <v>0</v>
      </c>
      <c r="E58" s="734">
        <v>0</v>
      </c>
      <c r="F58" s="734">
        <v>0</v>
      </c>
      <c r="G58" s="1423"/>
    </row>
    <row r="59" spans="1:7" ht="17.25" customHeight="1" thickBot="1" x14ac:dyDescent="0.3">
      <c r="A59" s="1436">
        <v>45000</v>
      </c>
      <c r="B59" s="453" t="s">
        <v>17</v>
      </c>
      <c r="C59" s="709">
        <v>1</v>
      </c>
      <c r="D59" s="709">
        <v>1</v>
      </c>
      <c r="E59" s="709">
        <v>1</v>
      </c>
      <c r="F59" s="709">
        <v>1</v>
      </c>
      <c r="G59" s="1464" t="s">
        <v>5149</v>
      </c>
    </row>
    <row r="60" spans="1:7" ht="17.25" customHeight="1" thickBot="1" x14ac:dyDescent="0.3">
      <c r="A60" s="1437"/>
      <c r="B60" s="453" t="s">
        <v>102</v>
      </c>
      <c r="C60" s="733">
        <f>24-C61-C62</f>
        <v>0</v>
      </c>
      <c r="D60" s="733">
        <f>24-D61-D62</f>
        <v>15.53</v>
      </c>
      <c r="E60" s="733">
        <f>24-E61-E62</f>
        <v>24</v>
      </c>
      <c r="F60" s="733">
        <f>24-F61-F62</f>
        <v>24</v>
      </c>
      <c r="G60" s="1465"/>
    </row>
    <row r="61" spans="1:7" ht="17.25" customHeight="1" thickBot="1" x14ac:dyDescent="0.3">
      <c r="A61" s="1437"/>
      <c r="B61" s="448" t="s">
        <v>103</v>
      </c>
      <c r="C61" s="731">
        <v>24</v>
      </c>
      <c r="D61" s="731">
        <v>8.4700000000000006</v>
      </c>
      <c r="E61" s="731">
        <v>0</v>
      </c>
      <c r="F61" s="731">
        <v>0</v>
      </c>
      <c r="G61" s="1465"/>
    </row>
    <row r="62" spans="1:7" ht="17.25" customHeight="1" thickBot="1" x14ac:dyDescent="0.3">
      <c r="A62" s="1438"/>
      <c r="B62" s="457" t="s">
        <v>104</v>
      </c>
      <c r="C62" s="734">
        <v>0</v>
      </c>
      <c r="D62" s="734">
        <v>0</v>
      </c>
      <c r="E62" s="734">
        <v>0</v>
      </c>
      <c r="F62" s="734">
        <v>0</v>
      </c>
      <c r="G62" s="1465"/>
    </row>
    <row r="63" spans="1:7" ht="17.25" customHeight="1" thickBot="1" x14ac:dyDescent="0.3">
      <c r="A63" s="1436">
        <v>45001</v>
      </c>
      <c r="B63" s="453" t="s">
        <v>17</v>
      </c>
      <c r="C63" s="709">
        <v>1</v>
      </c>
      <c r="D63" s="709">
        <v>1</v>
      </c>
      <c r="E63" s="709">
        <v>1</v>
      </c>
      <c r="F63" s="709">
        <v>1</v>
      </c>
      <c r="G63" s="1453"/>
    </row>
    <row r="64" spans="1:7" ht="17.25" customHeight="1" thickBot="1" x14ac:dyDescent="0.3">
      <c r="A64" s="1437"/>
      <c r="B64" s="453" t="s">
        <v>102</v>
      </c>
      <c r="C64" s="733">
        <f>24-C65-C66</f>
        <v>0</v>
      </c>
      <c r="D64" s="733">
        <f>24-D65-D66</f>
        <v>10.38</v>
      </c>
      <c r="E64" s="733">
        <f>24-E65-E66</f>
        <v>24</v>
      </c>
      <c r="F64" s="733">
        <f>24-F65-F66</f>
        <v>24</v>
      </c>
      <c r="G64" s="1418"/>
    </row>
    <row r="65" spans="1:7" ht="17.25" customHeight="1" thickBot="1" x14ac:dyDescent="0.3">
      <c r="A65" s="1437"/>
      <c r="B65" s="448" t="s">
        <v>103</v>
      </c>
      <c r="C65" s="731">
        <v>24</v>
      </c>
      <c r="D65" s="731">
        <v>13.62</v>
      </c>
      <c r="E65" s="731">
        <v>0</v>
      </c>
      <c r="F65" s="731">
        <v>0</v>
      </c>
      <c r="G65" s="1418"/>
    </row>
    <row r="66" spans="1:7" ht="17.25" customHeight="1" thickBot="1" x14ac:dyDescent="0.3">
      <c r="A66" s="1438"/>
      <c r="B66" s="457" t="s">
        <v>104</v>
      </c>
      <c r="C66" s="734">
        <v>0</v>
      </c>
      <c r="D66" s="734">
        <v>0</v>
      </c>
      <c r="E66" s="734">
        <v>0</v>
      </c>
      <c r="F66" s="734">
        <v>0</v>
      </c>
      <c r="G66" s="1423"/>
    </row>
    <row r="67" spans="1:7" ht="17.25" customHeight="1" thickBot="1" x14ac:dyDescent="0.3">
      <c r="A67" s="1436">
        <v>45002</v>
      </c>
      <c r="B67" s="453" t="s">
        <v>17</v>
      </c>
      <c r="C67" s="709">
        <v>1</v>
      </c>
      <c r="D67" s="709">
        <v>1</v>
      </c>
      <c r="E67" s="709">
        <v>1</v>
      </c>
      <c r="F67" s="709">
        <v>1</v>
      </c>
      <c r="G67" s="1453"/>
    </row>
    <row r="68" spans="1:7" ht="17.25" customHeight="1" thickBot="1" x14ac:dyDescent="0.3">
      <c r="A68" s="1437"/>
      <c r="B68" s="453" t="s">
        <v>102</v>
      </c>
      <c r="C68" s="733">
        <f>24-C69-C70</f>
        <v>0</v>
      </c>
      <c r="D68" s="733">
        <f>24-D69-D70</f>
        <v>19.420000000000002</v>
      </c>
      <c r="E68" s="733">
        <f>24-E69-E70</f>
        <v>24</v>
      </c>
      <c r="F68" s="733">
        <f>24-F69-F70</f>
        <v>24</v>
      </c>
      <c r="G68" s="1418"/>
    </row>
    <row r="69" spans="1:7" ht="17.25" customHeight="1" thickBot="1" x14ac:dyDescent="0.3">
      <c r="A69" s="1437"/>
      <c r="B69" s="448" t="s">
        <v>103</v>
      </c>
      <c r="C69" s="731">
        <v>24</v>
      </c>
      <c r="D69" s="731">
        <v>4.58</v>
      </c>
      <c r="E69" s="731">
        <v>0</v>
      </c>
      <c r="F69" s="731">
        <v>0</v>
      </c>
      <c r="G69" s="1418"/>
    </row>
    <row r="70" spans="1:7" ht="17.25" customHeight="1" thickBot="1" x14ac:dyDescent="0.3">
      <c r="A70" s="1438"/>
      <c r="B70" s="457" t="s">
        <v>104</v>
      </c>
      <c r="C70" s="734">
        <v>0</v>
      </c>
      <c r="D70" s="734">
        <v>0</v>
      </c>
      <c r="E70" s="734">
        <v>0</v>
      </c>
      <c r="F70" s="734">
        <v>0</v>
      </c>
      <c r="G70" s="1423"/>
    </row>
    <row r="71" spans="1:7" ht="20.25" customHeight="1" thickBot="1" x14ac:dyDescent="0.3">
      <c r="A71" s="1436">
        <v>45003</v>
      </c>
      <c r="B71" s="453" t="s">
        <v>17</v>
      </c>
      <c r="C71" s="709">
        <v>1</v>
      </c>
      <c r="D71" s="709">
        <v>1</v>
      </c>
      <c r="E71" s="709">
        <v>1</v>
      </c>
      <c r="F71" s="709">
        <v>1</v>
      </c>
      <c r="G71" s="1462" t="s">
        <v>5161</v>
      </c>
    </row>
    <row r="72" spans="1:7" ht="20.25" customHeight="1" thickBot="1" x14ac:dyDescent="0.3">
      <c r="A72" s="1437"/>
      <c r="B72" s="453" t="s">
        <v>102</v>
      </c>
      <c r="C72" s="733">
        <f>24-C73-C74</f>
        <v>15.73</v>
      </c>
      <c r="D72" s="733">
        <f>24-D73-D74</f>
        <v>8.52</v>
      </c>
      <c r="E72" s="733">
        <f>24-E73-E74</f>
        <v>24</v>
      </c>
      <c r="F72" s="733">
        <f>24-F73-F74</f>
        <v>24</v>
      </c>
      <c r="G72" s="1454"/>
    </row>
    <row r="73" spans="1:7" ht="20.25" customHeight="1" thickBot="1" x14ac:dyDescent="0.3">
      <c r="A73" s="1437"/>
      <c r="B73" s="448" t="s">
        <v>103</v>
      </c>
      <c r="C73" s="731">
        <v>8.27</v>
      </c>
      <c r="D73" s="731">
        <v>15.48</v>
      </c>
      <c r="E73" s="731">
        <v>0</v>
      </c>
      <c r="F73" s="731">
        <v>0</v>
      </c>
      <c r="G73" s="1454"/>
    </row>
    <row r="74" spans="1:7" ht="20.25" customHeight="1" thickBot="1" x14ac:dyDescent="0.3">
      <c r="A74" s="1438"/>
      <c r="B74" s="457" t="s">
        <v>104</v>
      </c>
      <c r="C74" s="734">
        <v>0</v>
      </c>
      <c r="D74" s="734">
        <v>0</v>
      </c>
      <c r="E74" s="734">
        <v>0</v>
      </c>
      <c r="F74" s="734">
        <v>0</v>
      </c>
      <c r="G74" s="1455"/>
    </row>
    <row r="75" spans="1:7" ht="17.25" customHeight="1" thickBot="1" x14ac:dyDescent="0.3">
      <c r="A75" s="1436">
        <v>45004</v>
      </c>
      <c r="B75" s="453" t="s">
        <v>17</v>
      </c>
      <c r="C75" s="709">
        <v>1</v>
      </c>
      <c r="D75" s="709">
        <v>1</v>
      </c>
      <c r="E75" s="709">
        <v>1</v>
      </c>
      <c r="F75" s="709">
        <v>1</v>
      </c>
      <c r="G75" s="1447" t="s">
        <v>5174</v>
      </c>
    </row>
    <row r="76" spans="1:7" ht="17.25" customHeight="1" thickBot="1" x14ac:dyDescent="0.3">
      <c r="A76" s="1437"/>
      <c r="B76" s="453" t="s">
        <v>102</v>
      </c>
      <c r="C76" s="733">
        <f>24-C77-C78</f>
        <v>24</v>
      </c>
      <c r="D76" s="733">
        <f>24-D77-D78</f>
        <v>11.2</v>
      </c>
      <c r="E76" s="733">
        <f>24-E77-E78</f>
        <v>24</v>
      </c>
      <c r="F76" s="733">
        <f>24-F77-F78</f>
        <v>24</v>
      </c>
      <c r="G76" s="1448"/>
    </row>
    <row r="77" spans="1:7" ht="17.25" customHeight="1" thickBot="1" x14ac:dyDescent="0.3">
      <c r="A77" s="1437"/>
      <c r="B77" s="448" t="s">
        <v>103</v>
      </c>
      <c r="C77" s="731">
        <v>0</v>
      </c>
      <c r="D77" s="731">
        <v>12.8</v>
      </c>
      <c r="E77" s="731">
        <v>0</v>
      </c>
      <c r="F77" s="731">
        <v>0</v>
      </c>
      <c r="G77" s="1448"/>
    </row>
    <row r="78" spans="1:7" ht="17.25" customHeight="1" thickBot="1" x14ac:dyDescent="0.3">
      <c r="A78" s="1438"/>
      <c r="B78" s="457" t="s">
        <v>104</v>
      </c>
      <c r="C78" s="734">
        <v>0</v>
      </c>
      <c r="D78" s="734">
        <v>0</v>
      </c>
      <c r="E78" s="734">
        <v>0</v>
      </c>
      <c r="F78" s="734">
        <v>0</v>
      </c>
      <c r="G78" s="1449"/>
    </row>
    <row r="79" spans="1:7" ht="17.25" customHeight="1" thickBot="1" x14ac:dyDescent="0.3">
      <c r="A79" s="1436">
        <v>45005</v>
      </c>
      <c r="B79" s="453" t="s">
        <v>17</v>
      </c>
      <c r="C79" s="709">
        <v>1</v>
      </c>
      <c r="D79" s="709">
        <v>1</v>
      </c>
      <c r="E79" s="709">
        <v>1</v>
      </c>
      <c r="F79" s="709">
        <v>1</v>
      </c>
      <c r="G79" s="1447" t="s">
        <v>5336</v>
      </c>
    </row>
    <row r="80" spans="1:7" ht="17.25" customHeight="1" thickBot="1" x14ac:dyDescent="0.3">
      <c r="A80" s="1437"/>
      <c r="B80" s="453" t="s">
        <v>102</v>
      </c>
      <c r="C80" s="733">
        <f>24-C81-C82</f>
        <v>6.27</v>
      </c>
      <c r="D80" s="733">
        <f>24-D81-D82</f>
        <v>18.63</v>
      </c>
      <c r="E80" s="733">
        <f>24-E81-E82</f>
        <v>20.64</v>
      </c>
      <c r="F80" s="733">
        <f>24-F81-F82</f>
        <v>24</v>
      </c>
      <c r="G80" s="1448"/>
    </row>
    <row r="81" spans="1:7" ht="17.25" customHeight="1" thickBot="1" x14ac:dyDescent="0.3">
      <c r="A81" s="1437"/>
      <c r="B81" s="448" t="s">
        <v>103</v>
      </c>
      <c r="C81" s="731">
        <v>17.73</v>
      </c>
      <c r="D81" s="731">
        <v>5.37</v>
      </c>
      <c r="E81" s="731">
        <v>3.36</v>
      </c>
      <c r="F81" s="731">
        <v>0</v>
      </c>
      <c r="G81" s="1448"/>
    </row>
    <row r="82" spans="1:7" ht="17.25" customHeight="1" thickBot="1" x14ac:dyDescent="0.3">
      <c r="A82" s="1438"/>
      <c r="B82" s="457" t="s">
        <v>104</v>
      </c>
      <c r="C82" s="734">
        <v>0</v>
      </c>
      <c r="D82" s="734">
        <v>0</v>
      </c>
      <c r="E82" s="734">
        <v>0</v>
      </c>
      <c r="F82" s="734">
        <v>0</v>
      </c>
      <c r="G82" s="1448"/>
    </row>
    <row r="83" spans="1:7" ht="17.25" customHeight="1" thickBot="1" x14ac:dyDescent="0.3">
      <c r="A83" s="1436">
        <v>45006</v>
      </c>
      <c r="B83" s="453" t="s">
        <v>17</v>
      </c>
      <c r="C83" s="709">
        <v>1</v>
      </c>
      <c r="D83" s="709">
        <v>1</v>
      </c>
      <c r="E83" s="709">
        <v>1</v>
      </c>
      <c r="F83" s="709">
        <v>1</v>
      </c>
      <c r="G83" s="1462" t="s">
        <v>5179</v>
      </c>
    </row>
    <row r="84" spans="1:7" ht="17.25" customHeight="1" thickBot="1" x14ac:dyDescent="0.3">
      <c r="A84" s="1437"/>
      <c r="B84" s="453" t="s">
        <v>102</v>
      </c>
      <c r="C84" s="733">
        <f>24-C85-C86</f>
        <v>0</v>
      </c>
      <c r="D84" s="733">
        <f>24-D85-D86</f>
        <v>1.8299999999999983</v>
      </c>
      <c r="E84" s="733">
        <f>24-E85-E86</f>
        <v>24</v>
      </c>
      <c r="F84" s="733">
        <f>24-F85-F86</f>
        <v>24</v>
      </c>
      <c r="G84" s="1454"/>
    </row>
    <row r="85" spans="1:7" ht="17.25" customHeight="1" thickBot="1" x14ac:dyDescent="0.3">
      <c r="A85" s="1437"/>
      <c r="B85" s="448" t="s">
        <v>103</v>
      </c>
      <c r="C85" s="731">
        <v>24</v>
      </c>
      <c r="D85" s="731">
        <v>22.17</v>
      </c>
      <c r="E85" s="731">
        <v>0</v>
      </c>
      <c r="F85" s="731">
        <v>0</v>
      </c>
      <c r="G85" s="1454"/>
    </row>
    <row r="86" spans="1:7" ht="17.25" customHeight="1" thickBot="1" x14ac:dyDescent="0.3">
      <c r="A86" s="1438"/>
      <c r="B86" s="457" t="s">
        <v>104</v>
      </c>
      <c r="C86" s="734">
        <v>0</v>
      </c>
      <c r="D86" s="734">
        <v>0</v>
      </c>
      <c r="E86" s="734">
        <v>0</v>
      </c>
      <c r="F86" s="734">
        <v>0</v>
      </c>
      <c r="G86" s="1455"/>
    </row>
    <row r="87" spans="1:7" ht="17.25" customHeight="1" thickBot="1" x14ac:dyDescent="0.3">
      <c r="A87" s="1436">
        <v>45007</v>
      </c>
      <c r="B87" s="453" t="s">
        <v>17</v>
      </c>
      <c r="C87" s="709">
        <v>1</v>
      </c>
      <c r="D87" s="709">
        <v>1</v>
      </c>
      <c r="E87" s="709">
        <v>1</v>
      </c>
      <c r="F87" s="709">
        <v>1</v>
      </c>
      <c r="G87" s="1447"/>
    </row>
    <row r="88" spans="1:7" ht="17.25" customHeight="1" thickBot="1" x14ac:dyDescent="0.3">
      <c r="A88" s="1437"/>
      <c r="B88" s="453" t="s">
        <v>102</v>
      </c>
      <c r="C88" s="733">
        <f>24-C89-C90</f>
        <v>0</v>
      </c>
      <c r="D88" s="733">
        <f>24-D89-D90</f>
        <v>21.53</v>
      </c>
      <c r="E88" s="733">
        <f>24-E89-E90</f>
        <v>24</v>
      </c>
      <c r="F88" s="733">
        <f>24-F89-F90</f>
        <v>24</v>
      </c>
      <c r="G88" s="1454"/>
    </row>
    <row r="89" spans="1:7" ht="17.25" customHeight="1" thickBot="1" x14ac:dyDescent="0.3">
      <c r="A89" s="1437"/>
      <c r="B89" s="448" t="s">
        <v>103</v>
      </c>
      <c r="C89" s="731">
        <v>24</v>
      </c>
      <c r="D89" s="731">
        <v>2.4700000000000002</v>
      </c>
      <c r="E89" s="731">
        <v>0</v>
      </c>
      <c r="F89" s="731">
        <v>0</v>
      </c>
      <c r="G89" s="1454"/>
    </row>
    <row r="90" spans="1:7" ht="17.25" customHeight="1" thickBot="1" x14ac:dyDescent="0.3">
      <c r="A90" s="1438"/>
      <c r="B90" s="457" t="s">
        <v>104</v>
      </c>
      <c r="C90" s="734">
        <v>0</v>
      </c>
      <c r="D90" s="734">
        <v>0</v>
      </c>
      <c r="E90" s="734">
        <v>0</v>
      </c>
      <c r="F90" s="734">
        <v>0</v>
      </c>
      <c r="G90" s="1455"/>
    </row>
    <row r="91" spans="1:7" ht="17.25" customHeight="1" thickBot="1" x14ac:dyDescent="0.3">
      <c r="A91" s="1436">
        <v>45008</v>
      </c>
      <c r="B91" s="453" t="s">
        <v>17</v>
      </c>
      <c r="C91" s="709">
        <v>1</v>
      </c>
      <c r="D91" s="709">
        <v>1</v>
      </c>
      <c r="E91" s="709">
        <v>1</v>
      </c>
      <c r="F91" s="709">
        <v>1</v>
      </c>
      <c r="G91" s="1447" t="s">
        <v>5187</v>
      </c>
    </row>
    <row r="92" spans="1:7" ht="17.25" customHeight="1" thickBot="1" x14ac:dyDescent="0.3">
      <c r="A92" s="1437"/>
      <c r="B92" s="453" t="s">
        <v>102</v>
      </c>
      <c r="C92" s="733">
        <f>24-C93-C94</f>
        <v>0</v>
      </c>
      <c r="D92" s="733">
        <f>24-D93-D94</f>
        <v>7.68</v>
      </c>
      <c r="E92" s="733">
        <f>24-E93-E94</f>
        <v>24</v>
      </c>
      <c r="F92" s="733">
        <f>24-F93-F94</f>
        <v>24</v>
      </c>
      <c r="G92" s="1448"/>
    </row>
    <row r="93" spans="1:7" ht="17.25" customHeight="1" thickBot="1" x14ac:dyDescent="0.3">
      <c r="A93" s="1437"/>
      <c r="B93" s="448" t="s">
        <v>103</v>
      </c>
      <c r="C93" s="731">
        <v>24</v>
      </c>
      <c r="D93" s="731">
        <v>16.32</v>
      </c>
      <c r="E93" s="731">
        <v>0</v>
      </c>
      <c r="F93" s="731">
        <v>0</v>
      </c>
      <c r="G93" s="1448"/>
    </row>
    <row r="94" spans="1:7" ht="17.25" customHeight="1" thickBot="1" x14ac:dyDescent="0.3">
      <c r="A94" s="1438"/>
      <c r="B94" s="457" t="s">
        <v>104</v>
      </c>
      <c r="C94" s="734">
        <v>0</v>
      </c>
      <c r="D94" s="734">
        <v>0</v>
      </c>
      <c r="E94" s="734">
        <v>0</v>
      </c>
      <c r="F94" s="734">
        <v>0</v>
      </c>
      <c r="G94" s="1449"/>
    </row>
    <row r="95" spans="1:7" ht="17.25" customHeight="1" thickBot="1" x14ac:dyDescent="0.3">
      <c r="A95" s="1436">
        <v>45009</v>
      </c>
      <c r="B95" s="453" t="s">
        <v>17</v>
      </c>
      <c r="C95" s="709">
        <v>1</v>
      </c>
      <c r="D95" s="709">
        <v>1</v>
      </c>
      <c r="E95" s="709">
        <v>1</v>
      </c>
      <c r="F95" s="709">
        <v>1</v>
      </c>
      <c r="G95" s="1447" t="s">
        <v>5191</v>
      </c>
    </row>
    <row r="96" spans="1:7" ht="17.25" customHeight="1" thickBot="1" x14ac:dyDescent="0.3">
      <c r="A96" s="1437"/>
      <c r="B96" s="453" t="s">
        <v>102</v>
      </c>
      <c r="C96" s="733">
        <f>24-C97-C98</f>
        <v>0</v>
      </c>
      <c r="D96" s="733">
        <f>24-D97-D98</f>
        <v>19.75</v>
      </c>
      <c r="E96" s="733">
        <f>24-E97-E98</f>
        <v>24</v>
      </c>
      <c r="F96" s="733">
        <f>24-F97-F98</f>
        <v>24</v>
      </c>
      <c r="G96" s="1448"/>
    </row>
    <row r="97" spans="1:7" ht="17.25" customHeight="1" thickBot="1" x14ac:dyDescent="0.3">
      <c r="A97" s="1437"/>
      <c r="B97" s="448" t="s">
        <v>103</v>
      </c>
      <c r="C97" s="731">
        <v>24</v>
      </c>
      <c r="D97" s="731">
        <v>4.25</v>
      </c>
      <c r="E97" s="731">
        <v>0</v>
      </c>
      <c r="F97" s="731">
        <v>0</v>
      </c>
      <c r="G97" s="1448"/>
    </row>
    <row r="98" spans="1:7" ht="17.25" customHeight="1" thickBot="1" x14ac:dyDescent="0.3">
      <c r="A98" s="1438"/>
      <c r="B98" s="457" t="s">
        <v>104</v>
      </c>
      <c r="C98" s="734">
        <v>0</v>
      </c>
      <c r="D98" s="734">
        <v>0</v>
      </c>
      <c r="E98" s="734">
        <v>0</v>
      </c>
      <c r="F98" s="734">
        <v>0</v>
      </c>
      <c r="G98" s="1449"/>
    </row>
    <row r="99" spans="1:7" ht="20.25" customHeight="1" thickBot="1" x14ac:dyDescent="0.3">
      <c r="A99" s="1436">
        <v>45010</v>
      </c>
      <c r="B99" s="453" t="s">
        <v>17</v>
      </c>
      <c r="C99" s="709">
        <v>1</v>
      </c>
      <c r="D99" s="709">
        <v>1</v>
      </c>
      <c r="E99" s="709">
        <v>1</v>
      </c>
      <c r="F99" s="709">
        <v>1</v>
      </c>
      <c r="G99" s="1447" t="s">
        <v>5199</v>
      </c>
    </row>
    <row r="100" spans="1:7" ht="20.25" customHeight="1" thickBot="1" x14ac:dyDescent="0.3">
      <c r="A100" s="1437"/>
      <c r="B100" s="453" t="s">
        <v>102</v>
      </c>
      <c r="C100" s="733">
        <f>24-C101-C102</f>
        <v>0</v>
      </c>
      <c r="D100" s="733">
        <f>24-D101-D102</f>
        <v>3.3999999999999986</v>
      </c>
      <c r="E100" s="733">
        <f>24-E101-E102</f>
        <v>17.670000000000002</v>
      </c>
      <c r="F100" s="733">
        <f>24-F101-F102</f>
        <v>24</v>
      </c>
      <c r="G100" s="1448"/>
    </row>
    <row r="101" spans="1:7" ht="20.25" customHeight="1" thickBot="1" x14ac:dyDescent="0.3">
      <c r="A101" s="1437"/>
      <c r="B101" s="448" t="s">
        <v>103</v>
      </c>
      <c r="C101" s="731">
        <v>24</v>
      </c>
      <c r="D101" s="731">
        <v>20.6</v>
      </c>
      <c r="E101" s="731">
        <v>6.33</v>
      </c>
      <c r="F101" s="731">
        <v>0</v>
      </c>
      <c r="G101" s="1448"/>
    </row>
    <row r="102" spans="1:7" ht="20.25" customHeight="1" thickBot="1" x14ac:dyDescent="0.3">
      <c r="A102" s="1438"/>
      <c r="B102" s="457" t="s">
        <v>104</v>
      </c>
      <c r="C102" s="734">
        <v>0</v>
      </c>
      <c r="D102" s="734">
        <v>0</v>
      </c>
      <c r="E102" s="734">
        <v>0</v>
      </c>
      <c r="F102" s="734">
        <v>0</v>
      </c>
      <c r="G102" s="1449"/>
    </row>
    <row r="103" spans="1:7" ht="17.25" customHeight="1" thickBot="1" x14ac:dyDescent="0.3">
      <c r="A103" s="1436">
        <v>45011</v>
      </c>
      <c r="B103" s="453" t="s">
        <v>17</v>
      </c>
      <c r="C103" s="709">
        <v>1</v>
      </c>
      <c r="D103" s="709">
        <v>1</v>
      </c>
      <c r="E103" s="709">
        <v>1</v>
      </c>
      <c r="F103" s="709">
        <v>1</v>
      </c>
      <c r="G103" s="1447" t="s">
        <v>5215</v>
      </c>
    </row>
    <row r="104" spans="1:7" ht="17.25" customHeight="1" thickBot="1" x14ac:dyDescent="0.3">
      <c r="A104" s="1437"/>
      <c r="B104" s="453" t="s">
        <v>102</v>
      </c>
      <c r="C104" s="733">
        <f>24-C105-C106</f>
        <v>0</v>
      </c>
      <c r="D104" s="733">
        <f>24-D105-D106</f>
        <v>23.77</v>
      </c>
      <c r="E104" s="733">
        <f>24-E105-E106</f>
        <v>12.42</v>
      </c>
      <c r="F104" s="733">
        <f>24-F105-F106</f>
        <v>24</v>
      </c>
      <c r="G104" s="1448"/>
    </row>
    <row r="105" spans="1:7" ht="17.25" customHeight="1" thickBot="1" x14ac:dyDescent="0.3">
      <c r="A105" s="1437"/>
      <c r="B105" s="448" t="s">
        <v>103</v>
      </c>
      <c r="C105" s="731">
        <v>24</v>
      </c>
      <c r="D105" s="731">
        <v>0.23</v>
      </c>
      <c r="E105" s="731">
        <v>11.58</v>
      </c>
      <c r="F105" s="731">
        <v>0</v>
      </c>
      <c r="G105" s="1448"/>
    </row>
    <row r="106" spans="1:7" ht="17.25" customHeight="1" thickBot="1" x14ac:dyDescent="0.3">
      <c r="A106" s="1438"/>
      <c r="B106" s="457" t="s">
        <v>104</v>
      </c>
      <c r="C106" s="734">
        <v>0</v>
      </c>
      <c r="D106" s="734">
        <v>0</v>
      </c>
      <c r="E106" s="734">
        <v>0</v>
      </c>
      <c r="F106" s="734">
        <v>0</v>
      </c>
      <c r="G106" s="1449"/>
    </row>
    <row r="107" spans="1:7" ht="17.25" customHeight="1" thickBot="1" x14ac:dyDescent="0.3">
      <c r="A107" s="1436">
        <v>45012</v>
      </c>
      <c r="B107" s="453" t="s">
        <v>17</v>
      </c>
      <c r="C107" s="709">
        <v>1</v>
      </c>
      <c r="D107" s="709">
        <v>1</v>
      </c>
      <c r="E107" s="709">
        <v>1</v>
      </c>
      <c r="F107" s="709">
        <v>1</v>
      </c>
      <c r="G107" s="1447" t="s">
        <v>5241</v>
      </c>
    </row>
    <row r="108" spans="1:7" ht="17.25" customHeight="1" thickBot="1" x14ac:dyDescent="0.3">
      <c r="A108" s="1437"/>
      <c r="B108" s="453" t="s">
        <v>102</v>
      </c>
      <c r="C108" s="733">
        <f>24-C109-C110</f>
        <v>0</v>
      </c>
      <c r="D108" s="733">
        <f>24-D109-D110</f>
        <v>16.87</v>
      </c>
      <c r="E108" s="733">
        <f>24-E109-E110</f>
        <v>24</v>
      </c>
      <c r="F108" s="733">
        <f>24-F109-F110</f>
        <v>24</v>
      </c>
      <c r="G108" s="1448"/>
    </row>
    <row r="109" spans="1:7" ht="17.25" customHeight="1" thickBot="1" x14ac:dyDescent="0.3">
      <c r="A109" s="1437"/>
      <c r="B109" s="448" t="s">
        <v>103</v>
      </c>
      <c r="C109" s="731">
        <v>24</v>
      </c>
      <c r="D109" s="1077">
        <v>7.13</v>
      </c>
      <c r="E109" s="731">
        <v>0</v>
      </c>
      <c r="F109" s="731">
        <v>0</v>
      </c>
      <c r="G109" s="1448"/>
    </row>
    <row r="110" spans="1:7" ht="17.25" customHeight="1" thickBot="1" x14ac:dyDescent="0.3">
      <c r="A110" s="1438"/>
      <c r="B110" s="457" t="s">
        <v>104</v>
      </c>
      <c r="C110" s="734">
        <v>0</v>
      </c>
      <c r="D110" s="734">
        <v>0</v>
      </c>
      <c r="E110" s="734">
        <v>0</v>
      </c>
      <c r="F110" s="734">
        <v>0</v>
      </c>
      <c r="G110" s="1449"/>
    </row>
    <row r="111" spans="1:7" ht="20.25" customHeight="1" thickBot="1" x14ac:dyDescent="0.3">
      <c r="A111" s="1436">
        <v>45013</v>
      </c>
      <c r="B111" s="453" t="s">
        <v>17</v>
      </c>
      <c r="C111" s="709">
        <v>1</v>
      </c>
      <c r="D111" s="709">
        <v>1</v>
      </c>
      <c r="E111" s="709">
        <v>1</v>
      </c>
      <c r="F111" s="709">
        <v>1</v>
      </c>
      <c r="G111" s="1447" t="s">
        <v>5240</v>
      </c>
    </row>
    <row r="112" spans="1:7" ht="20.25" customHeight="1" thickBot="1" x14ac:dyDescent="0.3">
      <c r="A112" s="1437"/>
      <c r="B112" s="453" t="s">
        <v>102</v>
      </c>
      <c r="C112" s="733">
        <f>24-C113-C114</f>
        <v>17.82</v>
      </c>
      <c r="D112" s="733">
        <f>24-D113-D114</f>
        <v>7.6900000000000013</v>
      </c>
      <c r="E112" s="733">
        <f>24-E113-E114</f>
        <v>17.420000000000002</v>
      </c>
      <c r="F112" s="733">
        <f>24-F113-F114</f>
        <v>24</v>
      </c>
      <c r="G112" s="1448"/>
    </row>
    <row r="113" spans="1:7" ht="20.25" customHeight="1" thickBot="1" x14ac:dyDescent="0.3">
      <c r="A113" s="1437"/>
      <c r="B113" s="448" t="s">
        <v>103</v>
      </c>
      <c r="C113" s="731">
        <v>6.18</v>
      </c>
      <c r="D113" s="1077">
        <v>16.309999999999999</v>
      </c>
      <c r="E113" s="731">
        <v>6.58</v>
      </c>
      <c r="F113" s="731">
        <v>0</v>
      </c>
      <c r="G113" s="1448"/>
    </row>
    <row r="114" spans="1:7" ht="20.25" customHeight="1" thickBot="1" x14ac:dyDescent="0.3">
      <c r="A114" s="1438"/>
      <c r="B114" s="457" t="s">
        <v>104</v>
      </c>
      <c r="C114" s="734">
        <v>0</v>
      </c>
      <c r="D114" s="734">
        <v>0</v>
      </c>
      <c r="E114" s="734">
        <v>0</v>
      </c>
      <c r="F114" s="734">
        <v>0</v>
      </c>
      <c r="G114" s="1449"/>
    </row>
    <row r="115" spans="1:7" ht="17.25" customHeight="1" thickBot="1" x14ac:dyDescent="0.3">
      <c r="A115" s="1436">
        <v>45014</v>
      </c>
      <c r="B115" s="453" t="s">
        <v>17</v>
      </c>
      <c r="C115" s="709">
        <v>1</v>
      </c>
      <c r="D115" s="709">
        <v>1</v>
      </c>
      <c r="E115" s="709">
        <v>1</v>
      </c>
      <c r="F115" s="709">
        <v>1</v>
      </c>
      <c r="G115" s="1447"/>
    </row>
    <row r="116" spans="1:7" ht="17.25" customHeight="1" thickBot="1" x14ac:dyDescent="0.3">
      <c r="A116" s="1437"/>
      <c r="B116" s="453" t="s">
        <v>102</v>
      </c>
      <c r="C116" s="733">
        <f>24-C117-C118</f>
        <v>24</v>
      </c>
      <c r="D116" s="733">
        <f>24-D117-D118</f>
        <v>24</v>
      </c>
      <c r="E116" s="733">
        <f>24-E117-E118</f>
        <v>24</v>
      </c>
      <c r="F116" s="733">
        <f>24-F117-F118</f>
        <v>24</v>
      </c>
      <c r="G116" s="1448"/>
    </row>
    <row r="117" spans="1:7" ht="17.25" customHeight="1" thickBot="1" x14ac:dyDescent="0.3">
      <c r="A117" s="1437"/>
      <c r="B117" s="448" t="s">
        <v>103</v>
      </c>
      <c r="C117" s="1077">
        <v>0</v>
      </c>
      <c r="D117" s="1077">
        <v>0</v>
      </c>
      <c r="E117" s="731">
        <v>0</v>
      </c>
      <c r="F117" s="731">
        <v>0</v>
      </c>
      <c r="G117" s="1448"/>
    </row>
    <row r="118" spans="1:7" ht="17.25" customHeight="1" thickBot="1" x14ac:dyDescent="0.3">
      <c r="A118" s="1438"/>
      <c r="B118" s="457" t="s">
        <v>104</v>
      </c>
      <c r="C118" s="734">
        <v>0</v>
      </c>
      <c r="D118" s="734">
        <v>0</v>
      </c>
      <c r="E118" s="734">
        <v>0</v>
      </c>
      <c r="F118" s="734">
        <v>0</v>
      </c>
      <c r="G118" s="1449"/>
    </row>
    <row r="119" spans="1:7" ht="17.25" customHeight="1" thickBot="1" x14ac:dyDescent="0.3">
      <c r="A119" s="1436">
        <v>45015</v>
      </c>
      <c r="B119" s="453" t="s">
        <v>17</v>
      </c>
      <c r="C119" s="709">
        <v>1</v>
      </c>
      <c r="D119" s="709">
        <v>1</v>
      </c>
      <c r="E119" s="709">
        <v>1</v>
      </c>
      <c r="F119" s="709">
        <v>1</v>
      </c>
      <c r="G119" s="1447" t="s">
        <v>5267</v>
      </c>
    </row>
    <row r="120" spans="1:7" ht="17.25" customHeight="1" thickBot="1" x14ac:dyDescent="0.3">
      <c r="A120" s="1437"/>
      <c r="B120" s="453" t="s">
        <v>102</v>
      </c>
      <c r="C120" s="733">
        <f>24-C121-C122</f>
        <v>14.17</v>
      </c>
      <c r="D120" s="733">
        <f>24-D121-D122</f>
        <v>7.4400000000000013</v>
      </c>
      <c r="E120" s="733">
        <f>24-E121-E122</f>
        <v>24</v>
      </c>
      <c r="F120" s="733">
        <f>24-F121-F122</f>
        <v>24</v>
      </c>
      <c r="G120" s="1448"/>
    </row>
    <row r="121" spans="1:7" ht="17.25" customHeight="1" thickBot="1" x14ac:dyDescent="0.3">
      <c r="A121" s="1437"/>
      <c r="B121" s="448" t="s">
        <v>103</v>
      </c>
      <c r="C121" s="1077">
        <v>9.83</v>
      </c>
      <c r="D121" s="1077">
        <v>16.559999999999999</v>
      </c>
      <c r="E121" s="731">
        <v>0</v>
      </c>
      <c r="F121" s="731">
        <v>0</v>
      </c>
      <c r="G121" s="1448"/>
    </row>
    <row r="122" spans="1:7" ht="17.25" customHeight="1" thickBot="1" x14ac:dyDescent="0.3">
      <c r="A122" s="1438"/>
      <c r="B122" s="457" t="s">
        <v>104</v>
      </c>
      <c r="C122" s="734">
        <v>0</v>
      </c>
      <c r="D122" s="734">
        <v>0</v>
      </c>
      <c r="E122" s="734">
        <v>0</v>
      </c>
      <c r="F122" s="734">
        <v>0</v>
      </c>
      <c r="G122" s="1449"/>
    </row>
    <row r="123" spans="1:7" ht="17.25" customHeight="1" thickBot="1" x14ac:dyDescent="0.3">
      <c r="A123" s="1436">
        <v>45016</v>
      </c>
      <c r="B123" s="453" t="s">
        <v>17</v>
      </c>
      <c r="C123" s="709">
        <v>1</v>
      </c>
      <c r="D123" s="709">
        <v>1</v>
      </c>
      <c r="E123" s="709">
        <v>1</v>
      </c>
      <c r="F123" s="709">
        <v>1</v>
      </c>
      <c r="G123" s="1453" t="s">
        <v>5248</v>
      </c>
    </row>
    <row r="124" spans="1:7" ht="17.25" customHeight="1" thickBot="1" x14ac:dyDescent="0.3">
      <c r="A124" s="1437"/>
      <c r="B124" s="453" t="s">
        <v>102</v>
      </c>
      <c r="C124" s="733">
        <f>24-C125-C126</f>
        <v>0</v>
      </c>
      <c r="D124" s="733">
        <f>24-D125-D126</f>
        <v>14.9</v>
      </c>
      <c r="E124" s="733">
        <f>24-E125-E126</f>
        <v>24</v>
      </c>
      <c r="F124" s="733">
        <f>24-F125-F126</f>
        <v>24</v>
      </c>
      <c r="G124" s="1418"/>
    </row>
    <row r="125" spans="1:7" ht="17.25" customHeight="1" thickBot="1" x14ac:dyDescent="0.3">
      <c r="A125" s="1437"/>
      <c r="B125" s="448" t="s">
        <v>103</v>
      </c>
      <c r="C125" s="1077">
        <v>24</v>
      </c>
      <c r="D125" s="1077">
        <v>9.1</v>
      </c>
      <c r="E125" s="731">
        <v>0</v>
      </c>
      <c r="F125" s="731">
        <v>0</v>
      </c>
      <c r="G125" s="1418"/>
    </row>
    <row r="126" spans="1:7" ht="17.25" customHeight="1" thickBot="1" x14ac:dyDescent="0.3">
      <c r="A126" s="1438"/>
      <c r="B126" s="457" t="s">
        <v>104</v>
      </c>
      <c r="C126" s="734">
        <v>0</v>
      </c>
      <c r="D126" s="734">
        <v>0</v>
      </c>
      <c r="E126" s="734">
        <v>0</v>
      </c>
      <c r="F126" s="734">
        <v>0</v>
      </c>
      <c r="G126" s="1423"/>
    </row>
    <row r="127" spans="1:7" x14ac:dyDescent="0.25">
      <c r="A127" s="464" t="s">
        <v>5072</v>
      </c>
      <c r="B127" s="465"/>
      <c r="C127" s="466">
        <f>SUM(C112,C108,C104,C100,C96,C92,C88,C84,C80,C76,C72,C68,C64,C60,C56,C52,C48,C44,C40,C36,C32,C28,C24,C20,C16,C12,C8,C4,C116,C120,C124)</f>
        <v>190.33</v>
      </c>
      <c r="D127" s="466">
        <f>SUM(D112,D108,D104,D100,D96,D92,D88,D84,D80,D76,D72,D68,D64,D60,D56,D52,D48,D44,D40,D36,D32,D28,D24,D20,D16,D12,D8,D4,D116,D120,D124)</f>
        <v>430.32</v>
      </c>
      <c r="E127" s="466">
        <f t="shared" ref="E127:F128" si="0">SUM(E112,E108,E104,E100,E96,E92,E88,E84,E80,E76,E72,E68,E64,E60,E56,E52,E48,E44,E40,E36,E32,E28,E24,E20,E16,E12,E8,E4,E116,E120,E124)</f>
        <v>708.88</v>
      </c>
      <c r="F127" s="466">
        <f t="shared" si="0"/>
        <v>744</v>
      </c>
      <c r="G127" s="468"/>
    </row>
    <row r="128" spans="1:7" x14ac:dyDescent="0.25">
      <c r="A128" s="1198" t="s">
        <v>5073</v>
      </c>
      <c r="B128" s="134"/>
      <c r="C128" s="469">
        <f>SUM(C113,C109,C105,C101,C97,C93,C89,C85,C81,C77,C73,C69,C65,C61,C57,C53,C49,C45,C41,C37,C33,C29,C25,C21,C17,C13,C9,C5,C117,C121,C125)</f>
        <v>553.67000000000007</v>
      </c>
      <c r="D128" s="469">
        <f>SUM(D113,D109,D105,D101,D97,D93,D89,D85,D81,D77,D73,D69,D65,D61,D57,D53,D49,D45,D41,D37,D33,D29,D25,D21,D17,D13,D9,D5,D117,D121,D125)</f>
        <v>313.68000000000006</v>
      </c>
      <c r="E128" s="469">
        <f t="shared" si="0"/>
        <v>35.119999999999997</v>
      </c>
      <c r="F128" s="469">
        <f t="shared" si="0"/>
        <v>0</v>
      </c>
      <c r="G128" s="471"/>
    </row>
    <row r="129" spans="1:7" ht="15.75" thickBot="1" x14ac:dyDescent="0.3">
      <c r="A129" s="1199" t="s">
        <v>5074</v>
      </c>
      <c r="B129" s="472"/>
      <c r="C129" s="473">
        <f>SUM(C114,C110,C106,C102,C98,C94,C90,C86,C82,C78,C74,C70,C66,C62,C58,C54,C50,C46,C42,C38,C34,C30,C26,C22,C18,C14,C10,C6,C118,C122,C126)</f>
        <v>0</v>
      </c>
      <c r="D129" s="473">
        <f t="shared" ref="D129:F129" si="1">SUM(D114,D110,D106,D102,D98,D94,D90,D86,D82,D78,D74,D70,D66,D62,D58,D54,D50,D46,D42,D38,D34,D30,D26,D22,D18,D14,D10,D6,D118,D122,D126)</f>
        <v>0</v>
      </c>
      <c r="E129" s="473">
        <f t="shared" si="1"/>
        <v>0</v>
      </c>
      <c r="F129" s="473">
        <f t="shared" si="1"/>
        <v>0</v>
      </c>
      <c r="G129" s="475"/>
    </row>
    <row r="130" spans="1:7" ht="15.75" thickBot="1" x14ac:dyDescent="0.3">
      <c r="A130" s="1450" t="s">
        <v>108</v>
      </c>
      <c r="B130" s="1451"/>
      <c r="C130" s="1451"/>
      <c r="D130" s="1451"/>
      <c r="E130" s="1451"/>
      <c r="F130" s="1451"/>
      <c r="G130" s="1452"/>
    </row>
  </sheetData>
  <mergeCells count="64">
    <mergeCell ref="A11:A14"/>
    <mergeCell ref="G11:G14"/>
    <mergeCell ref="A1:G1"/>
    <mergeCell ref="A3:A6"/>
    <mergeCell ref="G3:G6"/>
    <mergeCell ref="A7:A10"/>
    <mergeCell ref="G7:G10"/>
    <mergeCell ref="A39:A42"/>
    <mergeCell ref="G39:G42"/>
    <mergeCell ref="A15:A18"/>
    <mergeCell ref="G15:G18"/>
    <mergeCell ref="A19:A22"/>
    <mergeCell ref="G19:G22"/>
    <mergeCell ref="A23:A26"/>
    <mergeCell ref="G23:G26"/>
    <mergeCell ref="A27:A30"/>
    <mergeCell ref="G27:G30"/>
    <mergeCell ref="A31:A34"/>
    <mergeCell ref="A35:A38"/>
    <mergeCell ref="G31:G34"/>
    <mergeCell ref="G35:G38"/>
    <mergeCell ref="A43:A46"/>
    <mergeCell ref="G43:G46"/>
    <mergeCell ref="A47:A50"/>
    <mergeCell ref="G47:G50"/>
    <mergeCell ref="A51:A54"/>
    <mergeCell ref="G51:G54"/>
    <mergeCell ref="A55:A58"/>
    <mergeCell ref="G55:G58"/>
    <mergeCell ref="A59:A62"/>
    <mergeCell ref="G59:G62"/>
    <mergeCell ref="A63:A66"/>
    <mergeCell ref="G63:G66"/>
    <mergeCell ref="A67:A70"/>
    <mergeCell ref="G67:G70"/>
    <mergeCell ref="A71:A74"/>
    <mergeCell ref="G71:G74"/>
    <mergeCell ref="A75:A78"/>
    <mergeCell ref="G75:G78"/>
    <mergeCell ref="A79:A82"/>
    <mergeCell ref="G79:G82"/>
    <mergeCell ref="A83:A86"/>
    <mergeCell ref="G83:G86"/>
    <mergeCell ref="A87:A90"/>
    <mergeCell ref="G87:G90"/>
    <mergeCell ref="A91:A94"/>
    <mergeCell ref="G91:G94"/>
    <mergeCell ref="A95:A98"/>
    <mergeCell ref="G95:G98"/>
    <mergeCell ref="A99:A102"/>
    <mergeCell ref="G99:G102"/>
    <mergeCell ref="A103:A106"/>
    <mergeCell ref="G103:G106"/>
    <mergeCell ref="A107:A110"/>
    <mergeCell ref="G107:G110"/>
    <mergeCell ref="A111:A114"/>
    <mergeCell ref="G111:G114"/>
    <mergeCell ref="A130:G130"/>
    <mergeCell ref="A115:A118"/>
    <mergeCell ref="G115:G118"/>
    <mergeCell ref="A119:A122"/>
    <mergeCell ref="G119:G122"/>
    <mergeCell ref="A123:A126"/>
    <mergeCell ref="G123:G126"/>
  </mergeCells>
  <pageMargins left="0.7" right="0.7" top="0.75" bottom="0.75" header="0.3" footer="0.3"/>
  <pageSetup paperSize="9" orientation="portrait" verticalDpi="3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G130"/>
  <sheetViews>
    <sheetView workbookViewId="0">
      <pane xSplit="1" ySplit="2" topLeftCell="B115" activePane="bottomRight" state="frozen"/>
      <selection pane="topRight" activeCell="B1" sqref="B1"/>
      <selection pane="bottomLeft" activeCell="A3" sqref="A3"/>
      <selection pane="bottomRight" activeCell="G119" sqref="G119:G122"/>
    </sheetView>
  </sheetViews>
  <sheetFormatPr defaultRowHeight="15" x14ac:dyDescent="0.25"/>
  <cols>
    <col min="1" max="1" width="16.42578125" customWidth="1"/>
    <col min="2" max="2" width="27.85546875" customWidth="1"/>
    <col min="7" max="7" width="69" customWidth="1"/>
  </cols>
  <sheetData>
    <row r="1" spans="1:7" ht="21.75" thickBot="1" x14ac:dyDescent="0.4">
      <c r="A1" s="1443" t="s">
        <v>73</v>
      </c>
      <c r="B1" s="1443"/>
      <c r="C1" s="1443"/>
      <c r="D1" s="1443"/>
      <c r="E1" s="1443"/>
      <c r="F1" s="1461"/>
      <c r="G1" s="1443"/>
    </row>
    <row r="2" spans="1:7" ht="16.5" thickBot="1" x14ac:dyDescent="0.3">
      <c r="A2" s="108" t="s">
        <v>98</v>
      </c>
      <c r="B2" s="608"/>
      <c r="C2" s="607" t="s">
        <v>310</v>
      </c>
      <c r="D2" s="607" t="s">
        <v>239</v>
      </c>
      <c r="E2" s="447" t="s">
        <v>100</v>
      </c>
      <c r="F2" s="1237" t="s">
        <v>157</v>
      </c>
      <c r="G2" s="111" t="s">
        <v>101</v>
      </c>
    </row>
    <row r="3" spans="1:7" ht="15.75" thickBot="1" x14ac:dyDescent="0.3">
      <c r="A3" s="1436">
        <v>45017</v>
      </c>
      <c r="B3" s="453" t="s">
        <v>17</v>
      </c>
      <c r="C3" s="1278">
        <v>1</v>
      </c>
      <c r="D3" s="1278">
        <v>1</v>
      </c>
      <c r="E3" s="709">
        <v>1</v>
      </c>
      <c r="F3" s="709">
        <v>1</v>
      </c>
      <c r="G3" s="1453" t="s">
        <v>5252</v>
      </c>
    </row>
    <row r="4" spans="1:7" ht="15.75" thickBot="1" x14ac:dyDescent="0.3">
      <c r="A4" s="1437"/>
      <c r="B4" s="453" t="s">
        <v>102</v>
      </c>
      <c r="C4" s="1279">
        <f>24-C5-C6</f>
        <v>0</v>
      </c>
      <c r="D4" s="1279">
        <f>24-D5-D6</f>
        <v>15.74</v>
      </c>
      <c r="E4" s="733">
        <f>24-E5-E6</f>
        <v>24</v>
      </c>
      <c r="F4" s="733">
        <f>24-F5-F6</f>
        <v>24</v>
      </c>
      <c r="G4" s="1418"/>
    </row>
    <row r="5" spans="1:7" ht="15.75" thickBot="1" x14ac:dyDescent="0.3">
      <c r="A5" s="1437"/>
      <c r="B5" s="448" t="s">
        <v>103</v>
      </c>
      <c r="C5" s="1077">
        <v>24</v>
      </c>
      <c r="D5" s="1077">
        <v>8.26</v>
      </c>
      <c r="E5" s="731">
        <v>0</v>
      </c>
      <c r="F5" s="731">
        <v>0</v>
      </c>
      <c r="G5" s="1418"/>
    </row>
    <row r="6" spans="1:7" ht="15.75" thickBot="1" x14ac:dyDescent="0.3">
      <c r="A6" s="1438"/>
      <c r="B6" s="457" t="s">
        <v>104</v>
      </c>
      <c r="C6" s="1280">
        <v>0</v>
      </c>
      <c r="D6" s="1280">
        <v>0</v>
      </c>
      <c r="E6" s="734">
        <v>0</v>
      </c>
      <c r="F6" s="734">
        <v>0</v>
      </c>
      <c r="G6" s="1423"/>
    </row>
    <row r="7" spans="1:7" ht="15.75" thickBot="1" x14ac:dyDescent="0.3">
      <c r="A7" s="1436">
        <v>45018</v>
      </c>
      <c r="B7" s="453" t="s">
        <v>17</v>
      </c>
      <c r="C7" s="1278">
        <v>1</v>
      </c>
      <c r="D7" s="1278">
        <v>1</v>
      </c>
      <c r="E7" s="709">
        <v>1</v>
      </c>
      <c r="F7" s="709">
        <v>1</v>
      </c>
      <c r="G7" s="1453" t="s">
        <v>5262</v>
      </c>
    </row>
    <row r="8" spans="1:7" ht="15.75" thickBot="1" x14ac:dyDescent="0.3">
      <c r="A8" s="1437"/>
      <c r="B8" s="453" t="s">
        <v>102</v>
      </c>
      <c r="C8" s="1279">
        <f>24-C9-C10</f>
        <v>0</v>
      </c>
      <c r="D8" s="1279">
        <f>24-D9-D10</f>
        <v>9.77</v>
      </c>
      <c r="E8" s="733">
        <f>24-E9-E10</f>
        <v>22.24</v>
      </c>
      <c r="F8" s="733">
        <f>24-F9-F10</f>
        <v>24</v>
      </c>
      <c r="G8" s="1418"/>
    </row>
    <row r="9" spans="1:7" ht="15.75" thickBot="1" x14ac:dyDescent="0.3">
      <c r="A9" s="1437"/>
      <c r="B9" s="448" t="s">
        <v>103</v>
      </c>
      <c r="C9" s="1077">
        <v>24</v>
      </c>
      <c r="D9" s="1077">
        <v>14.23</v>
      </c>
      <c r="E9" s="1077">
        <v>1.76</v>
      </c>
      <c r="F9" s="731">
        <v>0</v>
      </c>
      <c r="G9" s="1418"/>
    </row>
    <row r="10" spans="1:7" ht="15.75" thickBot="1" x14ac:dyDescent="0.3">
      <c r="A10" s="1438"/>
      <c r="B10" s="457" t="s">
        <v>104</v>
      </c>
      <c r="C10" s="1280">
        <v>0</v>
      </c>
      <c r="D10" s="1280">
        <v>0</v>
      </c>
      <c r="E10" s="734">
        <v>0</v>
      </c>
      <c r="F10" s="734">
        <v>0</v>
      </c>
      <c r="G10" s="1423"/>
    </row>
    <row r="11" spans="1:7" ht="23.25" customHeight="1" thickBot="1" x14ac:dyDescent="0.3">
      <c r="A11" s="1436">
        <v>45019</v>
      </c>
      <c r="B11" s="453" t="s">
        <v>17</v>
      </c>
      <c r="C11" s="1278">
        <v>1</v>
      </c>
      <c r="D11" s="1278">
        <v>1</v>
      </c>
      <c r="E11" s="709">
        <v>1</v>
      </c>
      <c r="F11" s="709">
        <v>1</v>
      </c>
      <c r="G11" s="1453" t="s">
        <v>5298</v>
      </c>
    </row>
    <row r="12" spans="1:7" ht="23.25" customHeight="1" thickBot="1" x14ac:dyDescent="0.3">
      <c r="A12" s="1437"/>
      <c r="B12" s="453" t="s">
        <v>102</v>
      </c>
      <c r="C12" s="1279">
        <f>24-C13-C14</f>
        <v>0</v>
      </c>
      <c r="D12" s="1279">
        <f>24-D13-D14</f>
        <v>14.47</v>
      </c>
      <c r="E12" s="733">
        <f>24-E13-E14</f>
        <v>24</v>
      </c>
      <c r="F12" s="733">
        <f>24-F13-F14</f>
        <v>5.9699999999999989</v>
      </c>
      <c r="G12" s="1418"/>
    </row>
    <row r="13" spans="1:7" ht="23.25" customHeight="1" thickBot="1" x14ac:dyDescent="0.3">
      <c r="A13" s="1437"/>
      <c r="B13" s="448" t="s">
        <v>103</v>
      </c>
      <c r="C13" s="1077">
        <v>24</v>
      </c>
      <c r="D13" s="1077">
        <v>9.5299999999999994</v>
      </c>
      <c r="E13" s="1077">
        <v>0</v>
      </c>
      <c r="F13" s="731">
        <v>18.03</v>
      </c>
      <c r="G13" s="1418"/>
    </row>
    <row r="14" spans="1:7" ht="23.25" customHeight="1" thickBot="1" x14ac:dyDescent="0.3">
      <c r="A14" s="1438"/>
      <c r="B14" s="457" t="s">
        <v>104</v>
      </c>
      <c r="C14" s="1280">
        <v>0</v>
      </c>
      <c r="D14" s="1280">
        <v>0</v>
      </c>
      <c r="E14" s="734">
        <v>0</v>
      </c>
      <c r="F14" s="734">
        <v>0</v>
      </c>
      <c r="G14" s="1423"/>
    </row>
    <row r="15" spans="1:7" ht="15.75" thickBot="1" x14ac:dyDescent="0.3">
      <c r="A15" s="1436">
        <v>45020</v>
      </c>
      <c r="B15" s="453" t="s">
        <v>17</v>
      </c>
      <c r="C15" s="1278">
        <v>1</v>
      </c>
      <c r="D15" s="1278">
        <v>1</v>
      </c>
      <c r="E15" s="709">
        <v>1</v>
      </c>
      <c r="F15" s="709"/>
      <c r="G15" s="1453" t="s">
        <v>5297</v>
      </c>
    </row>
    <row r="16" spans="1:7" ht="15.75" thickBot="1" x14ac:dyDescent="0.3">
      <c r="A16" s="1437"/>
      <c r="B16" s="453" t="s">
        <v>102</v>
      </c>
      <c r="C16" s="1279">
        <f>24-C17-C18</f>
        <v>11.97</v>
      </c>
      <c r="D16" s="1279">
        <f>24-D17-D18</f>
        <v>17.420000000000002</v>
      </c>
      <c r="E16" s="733">
        <f>24-E17-E18</f>
        <v>24</v>
      </c>
      <c r="F16" s="733"/>
      <c r="G16" s="1418"/>
    </row>
    <row r="17" spans="1:7" ht="15.75" thickBot="1" x14ac:dyDescent="0.3">
      <c r="A17" s="1437"/>
      <c r="B17" s="448" t="s">
        <v>103</v>
      </c>
      <c r="C17" s="1077">
        <v>12.03</v>
      </c>
      <c r="D17" s="1077">
        <v>6.58</v>
      </c>
      <c r="E17" s="1077">
        <v>0</v>
      </c>
      <c r="F17" s="731"/>
      <c r="G17" s="1418"/>
    </row>
    <row r="18" spans="1:7" ht="15.75" thickBot="1" x14ac:dyDescent="0.3">
      <c r="A18" s="1438"/>
      <c r="B18" s="457" t="s">
        <v>104</v>
      </c>
      <c r="C18" s="1280">
        <v>0</v>
      </c>
      <c r="D18" s="1280">
        <v>0</v>
      </c>
      <c r="E18" s="734">
        <v>0</v>
      </c>
      <c r="F18" s="734"/>
      <c r="G18" s="1423"/>
    </row>
    <row r="19" spans="1:7" ht="15.75" thickBot="1" x14ac:dyDescent="0.3">
      <c r="A19" s="1436">
        <v>45021</v>
      </c>
      <c r="B19" s="453" t="s">
        <v>17</v>
      </c>
      <c r="C19" s="1278">
        <v>1</v>
      </c>
      <c r="D19" s="1278">
        <v>1</v>
      </c>
      <c r="E19" s="709">
        <v>1</v>
      </c>
      <c r="F19" s="709"/>
      <c r="G19" s="1453" t="s">
        <v>5306</v>
      </c>
    </row>
    <row r="20" spans="1:7" ht="15.75" thickBot="1" x14ac:dyDescent="0.3">
      <c r="A20" s="1437"/>
      <c r="B20" s="453" t="s">
        <v>102</v>
      </c>
      <c r="C20" s="1279">
        <f>24-C21-C22</f>
        <v>19.57</v>
      </c>
      <c r="D20" s="1279">
        <f>24-D21-D22</f>
        <v>12.77</v>
      </c>
      <c r="E20" s="733">
        <f>24-E21-E22</f>
        <v>24</v>
      </c>
      <c r="F20" s="733"/>
      <c r="G20" s="1418"/>
    </row>
    <row r="21" spans="1:7" ht="15.75" thickBot="1" x14ac:dyDescent="0.3">
      <c r="A21" s="1437"/>
      <c r="B21" s="448" t="s">
        <v>103</v>
      </c>
      <c r="C21" s="1077">
        <v>4.43</v>
      </c>
      <c r="D21" s="1077">
        <v>11.23</v>
      </c>
      <c r="E21" s="1077">
        <v>0</v>
      </c>
      <c r="F21" s="731"/>
      <c r="G21" s="1418"/>
    </row>
    <row r="22" spans="1:7" ht="15.75" thickBot="1" x14ac:dyDescent="0.3">
      <c r="A22" s="1438"/>
      <c r="B22" s="457" t="s">
        <v>104</v>
      </c>
      <c r="C22" s="1280">
        <v>0</v>
      </c>
      <c r="D22" s="1280">
        <v>0</v>
      </c>
      <c r="E22" s="734">
        <v>0</v>
      </c>
      <c r="F22" s="734"/>
      <c r="G22" s="1418"/>
    </row>
    <row r="23" spans="1:7" ht="20.25" customHeight="1" thickBot="1" x14ac:dyDescent="0.3">
      <c r="A23" s="1436">
        <v>45022</v>
      </c>
      <c r="B23" s="453" t="s">
        <v>17</v>
      </c>
      <c r="C23" s="1278">
        <v>1</v>
      </c>
      <c r="D23" s="1278">
        <v>1</v>
      </c>
      <c r="E23" s="709">
        <v>1</v>
      </c>
      <c r="F23" s="709"/>
      <c r="G23" s="1453" t="s">
        <v>5315</v>
      </c>
    </row>
    <row r="24" spans="1:7" ht="20.25" customHeight="1" thickBot="1" x14ac:dyDescent="0.3">
      <c r="A24" s="1437"/>
      <c r="B24" s="453" t="s">
        <v>102</v>
      </c>
      <c r="C24" s="1279">
        <f>24-C25-C26</f>
        <v>0</v>
      </c>
      <c r="D24" s="1279">
        <f>24-D25-D26</f>
        <v>15.44</v>
      </c>
      <c r="E24" s="733">
        <f>24-E25-E26</f>
        <v>20.97</v>
      </c>
      <c r="F24" s="733"/>
      <c r="G24" s="1418"/>
    </row>
    <row r="25" spans="1:7" ht="20.25" customHeight="1" thickBot="1" x14ac:dyDescent="0.3">
      <c r="A25" s="1437"/>
      <c r="B25" s="448" t="s">
        <v>103</v>
      </c>
      <c r="C25" s="1077">
        <v>24</v>
      </c>
      <c r="D25" s="1077">
        <v>8.56</v>
      </c>
      <c r="E25" s="1077">
        <v>3.03</v>
      </c>
      <c r="F25" s="731"/>
      <c r="G25" s="1418"/>
    </row>
    <row r="26" spans="1:7" ht="20.25" customHeight="1" thickBot="1" x14ac:dyDescent="0.3">
      <c r="A26" s="1438"/>
      <c r="B26" s="457" t="s">
        <v>104</v>
      </c>
      <c r="C26" s="1280">
        <v>0</v>
      </c>
      <c r="D26" s="1280">
        <v>0</v>
      </c>
      <c r="E26" s="734">
        <v>0</v>
      </c>
      <c r="F26" s="734"/>
      <c r="G26" s="1418"/>
    </row>
    <row r="27" spans="1:7" ht="15.75" thickBot="1" x14ac:dyDescent="0.3">
      <c r="A27" s="1436">
        <v>45023</v>
      </c>
      <c r="B27" s="453" t="s">
        <v>17</v>
      </c>
      <c r="C27" s="1278">
        <v>1</v>
      </c>
      <c r="D27" s="1278">
        <v>1</v>
      </c>
      <c r="E27" s="709">
        <v>1</v>
      </c>
      <c r="F27" s="709"/>
      <c r="G27" s="1453" t="s">
        <v>5320</v>
      </c>
    </row>
    <row r="28" spans="1:7" ht="15.75" thickBot="1" x14ac:dyDescent="0.3">
      <c r="A28" s="1437"/>
      <c r="B28" s="453" t="s">
        <v>102</v>
      </c>
      <c r="C28" s="1279">
        <f>24-C29-C30</f>
        <v>0</v>
      </c>
      <c r="D28" s="1279">
        <f>24-D29-D30</f>
        <v>16.579999999999998</v>
      </c>
      <c r="E28" s="733">
        <f>24-E29-E30</f>
        <v>23.37</v>
      </c>
      <c r="F28" s="733"/>
      <c r="G28" s="1418"/>
    </row>
    <row r="29" spans="1:7" ht="15.75" thickBot="1" x14ac:dyDescent="0.3">
      <c r="A29" s="1437"/>
      <c r="B29" s="448" t="s">
        <v>103</v>
      </c>
      <c r="C29" s="1077">
        <v>24</v>
      </c>
      <c r="D29" s="1077">
        <v>7.42</v>
      </c>
      <c r="E29" s="1077">
        <v>0.63</v>
      </c>
      <c r="F29" s="731"/>
      <c r="G29" s="1418"/>
    </row>
    <row r="30" spans="1:7" ht="15.75" thickBot="1" x14ac:dyDescent="0.3">
      <c r="A30" s="1438"/>
      <c r="B30" s="457" t="s">
        <v>104</v>
      </c>
      <c r="C30" s="1280">
        <v>0</v>
      </c>
      <c r="D30" s="1280">
        <v>0</v>
      </c>
      <c r="E30" s="734">
        <v>0</v>
      </c>
      <c r="F30" s="734"/>
      <c r="G30" s="1418"/>
    </row>
    <row r="31" spans="1:7" ht="15.75" thickBot="1" x14ac:dyDescent="0.3">
      <c r="A31" s="1436">
        <v>45024</v>
      </c>
      <c r="B31" s="453" t="s">
        <v>17</v>
      </c>
      <c r="C31" s="1278">
        <v>1</v>
      </c>
      <c r="D31" s="1278">
        <v>1</v>
      </c>
      <c r="E31" s="709">
        <v>1</v>
      </c>
      <c r="F31" s="709"/>
      <c r="G31" s="1453" t="s">
        <v>5325</v>
      </c>
    </row>
    <row r="32" spans="1:7" ht="15.75" thickBot="1" x14ac:dyDescent="0.3">
      <c r="A32" s="1437"/>
      <c r="B32" s="453" t="s">
        <v>102</v>
      </c>
      <c r="C32" s="1279">
        <f>24-C33-C34</f>
        <v>0</v>
      </c>
      <c r="D32" s="1279">
        <f>24-D33-D34</f>
        <v>12.15</v>
      </c>
      <c r="E32" s="733">
        <f>24-E33-E34</f>
        <v>24</v>
      </c>
      <c r="F32" s="733"/>
      <c r="G32" s="1418"/>
    </row>
    <row r="33" spans="1:7" ht="15.75" thickBot="1" x14ac:dyDescent="0.3">
      <c r="A33" s="1437"/>
      <c r="B33" s="448" t="s">
        <v>103</v>
      </c>
      <c r="C33" s="1077">
        <v>24</v>
      </c>
      <c r="D33" s="1077">
        <v>11.85</v>
      </c>
      <c r="E33" s="1077">
        <v>0</v>
      </c>
      <c r="F33" s="731"/>
      <c r="G33" s="1418"/>
    </row>
    <row r="34" spans="1:7" ht="15.75" thickBot="1" x14ac:dyDescent="0.3">
      <c r="A34" s="1438"/>
      <c r="B34" s="457" t="s">
        <v>104</v>
      </c>
      <c r="C34" s="1280">
        <v>0</v>
      </c>
      <c r="D34" s="1280">
        <v>0</v>
      </c>
      <c r="E34" s="734">
        <v>0</v>
      </c>
      <c r="F34" s="734"/>
      <c r="G34" s="1418"/>
    </row>
    <row r="35" spans="1:7" ht="15.75" thickBot="1" x14ac:dyDescent="0.3">
      <c r="A35" s="1436">
        <v>45025</v>
      </c>
      <c r="B35" s="453" t="s">
        <v>17</v>
      </c>
      <c r="C35" s="1278">
        <v>1</v>
      </c>
      <c r="D35" s="1278">
        <v>1</v>
      </c>
      <c r="E35" s="709">
        <v>1</v>
      </c>
      <c r="F35" s="709"/>
      <c r="G35" s="1453" t="s">
        <v>5331</v>
      </c>
    </row>
    <row r="36" spans="1:7" ht="15.75" thickBot="1" x14ac:dyDescent="0.3">
      <c r="A36" s="1437"/>
      <c r="B36" s="453" t="s">
        <v>102</v>
      </c>
      <c r="C36" s="1279">
        <f>24-C37-C38</f>
        <v>0</v>
      </c>
      <c r="D36" s="1279">
        <f>24-D37-D38</f>
        <v>11.02</v>
      </c>
      <c r="E36" s="733">
        <f>24-E37-E38</f>
        <v>24</v>
      </c>
      <c r="F36" s="733"/>
      <c r="G36" s="1418"/>
    </row>
    <row r="37" spans="1:7" ht="15.75" thickBot="1" x14ac:dyDescent="0.3">
      <c r="A37" s="1437"/>
      <c r="B37" s="448" t="s">
        <v>103</v>
      </c>
      <c r="C37" s="1077">
        <v>24</v>
      </c>
      <c r="D37" s="1077">
        <v>12.98</v>
      </c>
      <c r="E37" s="1077">
        <v>0</v>
      </c>
      <c r="F37" s="731"/>
      <c r="G37" s="1418"/>
    </row>
    <row r="38" spans="1:7" ht="15.75" thickBot="1" x14ac:dyDescent="0.3">
      <c r="A38" s="1438"/>
      <c r="B38" s="457" t="s">
        <v>104</v>
      </c>
      <c r="C38" s="1280">
        <v>0</v>
      </c>
      <c r="D38" s="1280">
        <v>0</v>
      </c>
      <c r="E38" s="734">
        <v>0</v>
      </c>
      <c r="F38" s="734"/>
      <c r="G38" s="1418"/>
    </row>
    <row r="39" spans="1:7" ht="15.75" thickBot="1" x14ac:dyDescent="0.3">
      <c r="A39" s="1436">
        <v>45026</v>
      </c>
      <c r="B39" s="453" t="s">
        <v>17</v>
      </c>
      <c r="C39" s="1278">
        <v>1</v>
      </c>
      <c r="D39" s="1278">
        <v>1</v>
      </c>
      <c r="E39" s="709">
        <v>1</v>
      </c>
      <c r="F39" s="709"/>
      <c r="G39" s="1453" t="s">
        <v>5347</v>
      </c>
    </row>
    <row r="40" spans="1:7" ht="15.75" thickBot="1" x14ac:dyDescent="0.3">
      <c r="A40" s="1437"/>
      <c r="B40" s="453" t="s">
        <v>102</v>
      </c>
      <c r="C40" s="1279">
        <f>24-C41-C42</f>
        <v>16.23</v>
      </c>
      <c r="D40" s="1279">
        <f>24-D41-D42</f>
        <v>12.02</v>
      </c>
      <c r="E40" s="733">
        <f>24-E41-E42</f>
        <v>24</v>
      </c>
      <c r="F40" s="733"/>
      <c r="G40" s="1418"/>
    </row>
    <row r="41" spans="1:7" ht="15.75" thickBot="1" x14ac:dyDescent="0.3">
      <c r="A41" s="1437"/>
      <c r="B41" s="448" t="s">
        <v>103</v>
      </c>
      <c r="C41" s="1077">
        <v>7.77</v>
      </c>
      <c r="D41" s="1077">
        <v>11.98</v>
      </c>
      <c r="E41" s="1077">
        <v>0</v>
      </c>
      <c r="F41" s="731"/>
      <c r="G41" s="1418"/>
    </row>
    <row r="42" spans="1:7" ht="15.75" thickBot="1" x14ac:dyDescent="0.3">
      <c r="A42" s="1438"/>
      <c r="B42" s="457" t="s">
        <v>104</v>
      </c>
      <c r="C42" s="1280">
        <v>0</v>
      </c>
      <c r="D42" s="1280">
        <v>0</v>
      </c>
      <c r="E42" s="734">
        <v>0</v>
      </c>
      <c r="F42" s="734"/>
      <c r="G42" s="1423"/>
    </row>
    <row r="43" spans="1:7" ht="15.75" thickBot="1" x14ac:dyDescent="0.3">
      <c r="A43" s="1436">
        <v>45027</v>
      </c>
      <c r="B43" s="453" t="s">
        <v>17</v>
      </c>
      <c r="C43" s="1278">
        <v>1</v>
      </c>
      <c r="D43" s="1278">
        <v>1</v>
      </c>
      <c r="E43" s="709">
        <v>1</v>
      </c>
      <c r="F43" s="709"/>
      <c r="G43" s="1453" t="s">
        <v>5349</v>
      </c>
    </row>
    <row r="44" spans="1:7" ht="15.75" thickBot="1" x14ac:dyDescent="0.3">
      <c r="A44" s="1437"/>
      <c r="B44" s="453" t="s">
        <v>102</v>
      </c>
      <c r="C44" s="1279">
        <f>24-C45-C46</f>
        <v>24</v>
      </c>
      <c r="D44" s="1279">
        <f>24-D45-D46</f>
        <v>18.53</v>
      </c>
      <c r="E44" s="733">
        <f>24-E45-E46</f>
        <v>24</v>
      </c>
      <c r="F44" s="733"/>
      <c r="G44" s="1418"/>
    </row>
    <row r="45" spans="1:7" ht="15.75" thickBot="1" x14ac:dyDescent="0.3">
      <c r="A45" s="1437"/>
      <c r="B45" s="448" t="s">
        <v>103</v>
      </c>
      <c r="C45" s="1077">
        <v>0</v>
      </c>
      <c r="D45" s="1077">
        <v>5.47</v>
      </c>
      <c r="E45" s="1077">
        <v>0</v>
      </c>
      <c r="F45" s="731"/>
      <c r="G45" s="1418"/>
    </row>
    <row r="46" spans="1:7" ht="15.75" thickBot="1" x14ac:dyDescent="0.3">
      <c r="A46" s="1438"/>
      <c r="B46" s="457" t="s">
        <v>104</v>
      </c>
      <c r="C46" s="1280">
        <v>0</v>
      </c>
      <c r="D46" s="1280">
        <v>0</v>
      </c>
      <c r="E46" s="734">
        <v>0</v>
      </c>
      <c r="F46" s="734"/>
      <c r="G46" s="1423"/>
    </row>
    <row r="47" spans="1:7" ht="15.75" thickBot="1" x14ac:dyDescent="0.3">
      <c r="A47" s="1436">
        <v>45028</v>
      </c>
      <c r="B47" s="453" t="s">
        <v>17</v>
      </c>
      <c r="C47" s="1278">
        <v>1</v>
      </c>
      <c r="D47" s="1278">
        <v>1</v>
      </c>
      <c r="E47" s="709">
        <v>1</v>
      </c>
      <c r="F47" s="709"/>
      <c r="G47" s="1453" t="s">
        <v>5362</v>
      </c>
    </row>
    <row r="48" spans="1:7" ht="15.75" thickBot="1" x14ac:dyDescent="0.3">
      <c r="A48" s="1437"/>
      <c r="B48" s="453" t="s">
        <v>102</v>
      </c>
      <c r="C48" s="1279">
        <f>24-C49-C50</f>
        <v>18.5</v>
      </c>
      <c r="D48" s="1279">
        <f>24-D49-D50</f>
        <v>12.12</v>
      </c>
      <c r="E48" s="733">
        <f>24-E49-E50</f>
        <v>24</v>
      </c>
      <c r="F48" s="733"/>
      <c r="G48" s="1418"/>
    </row>
    <row r="49" spans="1:7" ht="15.75" thickBot="1" x14ac:dyDescent="0.3">
      <c r="A49" s="1437"/>
      <c r="B49" s="448" t="s">
        <v>103</v>
      </c>
      <c r="C49" s="1077">
        <v>5.5</v>
      </c>
      <c r="D49" s="1077">
        <v>11.88</v>
      </c>
      <c r="E49" s="1077">
        <v>0</v>
      </c>
      <c r="F49" s="731"/>
      <c r="G49" s="1418"/>
    </row>
    <row r="50" spans="1:7" ht="15.75" thickBot="1" x14ac:dyDescent="0.3">
      <c r="A50" s="1438"/>
      <c r="B50" s="457" t="s">
        <v>104</v>
      </c>
      <c r="C50" s="1280">
        <v>0</v>
      </c>
      <c r="D50" s="1280">
        <v>0</v>
      </c>
      <c r="E50" s="734">
        <v>0</v>
      </c>
      <c r="F50" s="734"/>
      <c r="G50" s="1418"/>
    </row>
    <row r="51" spans="1:7" ht="15.75" thickBot="1" x14ac:dyDescent="0.3">
      <c r="A51" s="1436">
        <v>45029</v>
      </c>
      <c r="B51" s="453" t="s">
        <v>17</v>
      </c>
      <c r="C51" s="1278">
        <v>1</v>
      </c>
      <c r="D51" s="1278">
        <v>1</v>
      </c>
      <c r="E51" s="709">
        <v>1</v>
      </c>
      <c r="F51" s="709"/>
      <c r="G51" s="1453" t="s">
        <v>5367</v>
      </c>
    </row>
    <row r="52" spans="1:7" ht="15.75" thickBot="1" x14ac:dyDescent="0.3">
      <c r="A52" s="1437"/>
      <c r="B52" s="453" t="s">
        <v>102</v>
      </c>
      <c r="C52" s="1279">
        <f>24-C53-C54</f>
        <v>0</v>
      </c>
      <c r="D52" s="1279">
        <f>24-D53-D54</f>
        <v>14.29</v>
      </c>
      <c r="E52" s="733">
        <f>24-E53-E54</f>
        <v>24</v>
      </c>
      <c r="F52" s="733"/>
      <c r="G52" s="1418"/>
    </row>
    <row r="53" spans="1:7" ht="15.75" thickBot="1" x14ac:dyDescent="0.3">
      <c r="A53" s="1437"/>
      <c r="B53" s="448" t="s">
        <v>103</v>
      </c>
      <c r="C53" s="1077">
        <v>24</v>
      </c>
      <c r="D53" s="1077">
        <v>9.7100000000000009</v>
      </c>
      <c r="E53" s="1077">
        <v>0</v>
      </c>
      <c r="F53" s="731"/>
      <c r="G53" s="1418"/>
    </row>
    <row r="54" spans="1:7" ht="15.75" thickBot="1" x14ac:dyDescent="0.3">
      <c r="A54" s="1438"/>
      <c r="B54" s="457" t="s">
        <v>104</v>
      </c>
      <c r="C54" s="1280">
        <v>0</v>
      </c>
      <c r="D54" s="1280">
        <v>0</v>
      </c>
      <c r="E54" s="734">
        <v>0</v>
      </c>
      <c r="F54" s="734"/>
      <c r="G54" s="1418"/>
    </row>
    <row r="55" spans="1:7" ht="15.75" thickBot="1" x14ac:dyDescent="0.3">
      <c r="A55" s="1436">
        <v>45030</v>
      </c>
      <c r="B55" s="453" t="s">
        <v>17</v>
      </c>
      <c r="C55" s="1278">
        <v>1</v>
      </c>
      <c r="D55" s="1278">
        <v>1</v>
      </c>
      <c r="E55" s="709">
        <v>1</v>
      </c>
      <c r="F55" s="709"/>
      <c r="G55" s="1453" t="s">
        <v>5378</v>
      </c>
    </row>
    <row r="56" spans="1:7" ht="15.75" thickBot="1" x14ac:dyDescent="0.3">
      <c r="A56" s="1437"/>
      <c r="B56" s="453" t="s">
        <v>102</v>
      </c>
      <c r="C56" s="1279">
        <f>24-C57-C58</f>
        <v>0</v>
      </c>
      <c r="D56" s="1279">
        <f>24-D57-D58</f>
        <v>19.04</v>
      </c>
      <c r="E56" s="733">
        <f>24-E57-E58</f>
        <v>24</v>
      </c>
      <c r="F56" s="733"/>
      <c r="G56" s="1418"/>
    </row>
    <row r="57" spans="1:7" ht="15.75" thickBot="1" x14ac:dyDescent="0.3">
      <c r="A57" s="1437"/>
      <c r="B57" s="448" t="s">
        <v>103</v>
      </c>
      <c r="C57" s="1077">
        <v>24</v>
      </c>
      <c r="D57" s="1077">
        <v>4.96</v>
      </c>
      <c r="E57" s="1077">
        <v>0</v>
      </c>
      <c r="F57" s="731"/>
      <c r="G57" s="1418"/>
    </row>
    <row r="58" spans="1:7" ht="15.75" thickBot="1" x14ac:dyDescent="0.3">
      <c r="A58" s="1438"/>
      <c r="B58" s="457" t="s">
        <v>104</v>
      </c>
      <c r="C58" s="1280">
        <v>0</v>
      </c>
      <c r="D58" s="1280">
        <v>0</v>
      </c>
      <c r="E58" s="734">
        <v>0</v>
      </c>
      <c r="F58" s="734"/>
      <c r="G58" s="1423"/>
    </row>
    <row r="59" spans="1:7" ht="18.75" customHeight="1" thickBot="1" x14ac:dyDescent="0.3">
      <c r="A59" s="1436">
        <v>45031</v>
      </c>
      <c r="B59" s="453" t="s">
        <v>17</v>
      </c>
      <c r="C59" s="1278">
        <v>1</v>
      </c>
      <c r="D59" s="1278">
        <v>1</v>
      </c>
      <c r="E59" s="709">
        <v>1</v>
      </c>
      <c r="F59" s="709"/>
      <c r="G59" s="1464" t="s">
        <v>5380</v>
      </c>
    </row>
    <row r="60" spans="1:7" ht="18.75" customHeight="1" thickBot="1" x14ac:dyDescent="0.3">
      <c r="A60" s="1437"/>
      <c r="B60" s="453" t="s">
        <v>102</v>
      </c>
      <c r="C60" s="1279">
        <f>24-C61-C62</f>
        <v>11.6</v>
      </c>
      <c r="D60" s="1279">
        <f>24-D61-D62</f>
        <v>11.77</v>
      </c>
      <c r="E60" s="733">
        <f>24-E61-E62</f>
        <v>24</v>
      </c>
      <c r="F60" s="733"/>
      <c r="G60" s="1465"/>
    </row>
    <row r="61" spans="1:7" ht="18.75" customHeight="1" thickBot="1" x14ac:dyDescent="0.3">
      <c r="A61" s="1437"/>
      <c r="B61" s="448" t="s">
        <v>103</v>
      </c>
      <c r="C61" s="1077">
        <v>12.4</v>
      </c>
      <c r="D61" s="1077">
        <v>12.23</v>
      </c>
      <c r="E61" s="1077">
        <v>0</v>
      </c>
      <c r="F61" s="731"/>
      <c r="G61" s="1465"/>
    </row>
    <row r="62" spans="1:7" ht="18.75" customHeight="1" thickBot="1" x14ac:dyDescent="0.3">
      <c r="A62" s="1438"/>
      <c r="B62" s="457" t="s">
        <v>104</v>
      </c>
      <c r="C62" s="1280">
        <v>0</v>
      </c>
      <c r="D62" s="1280">
        <v>0</v>
      </c>
      <c r="E62" s="734">
        <v>0</v>
      </c>
      <c r="F62" s="734"/>
      <c r="G62" s="1465"/>
    </row>
    <row r="63" spans="1:7" ht="21" customHeight="1" thickBot="1" x14ac:dyDescent="0.3">
      <c r="A63" s="1436">
        <v>45032</v>
      </c>
      <c r="B63" s="453" t="s">
        <v>17</v>
      </c>
      <c r="C63" s="1278">
        <v>1</v>
      </c>
      <c r="D63" s="1278">
        <v>1</v>
      </c>
      <c r="E63" s="709">
        <v>1</v>
      </c>
      <c r="F63" s="709"/>
      <c r="G63" s="1453" t="s">
        <v>5406</v>
      </c>
    </row>
    <row r="64" spans="1:7" ht="21" customHeight="1" thickBot="1" x14ac:dyDescent="0.3">
      <c r="A64" s="1437"/>
      <c r="B64" s="453" t="s">
        <v>102</v>
      </c>
      <c r="C64" s="1279">
        <f>24-C65-C66</f>
        <v>24</v>
      </c>
      <c r="D64" s="1279">
        <f>24-D65-D66</f>
        <v>19.12</v>
      </c>
      <c r="E64" s="733">
        <f>24-E65-E66</f>
        <v>24</v>
      </c>
      <c r="F64" s="733"/>
      <c r="G64" s="1418"/>
    </row>
    <row r="65" spans="1:7" ht="21" customHeight="1" thickBot="1" x14ac:dyDescent="0.3">
      <c r="A65" s="1437"/>
      <c r="B65" s="448" t="s">
        <v>103</v>
      </c>
      <c r="C65" s="1077">
        <v>0</v>
      </c>
      <c r="D65" s="1077">
        <v>4.88</v>
      </c>
      <c r="E65" s="1077">
        <v>0</v>
      </c>
      <c r="F65" s="731"/>
      <c r="G65" s="1418"/>
    </row>
    <row r="66" spans="1:7" ht="21" customHeight="1" thickBot="1" x14ac:dyDescent="0.3">
      <c r="A66" s="1438"/>
      <c r="B66" s="457" t="s">
        <v>104</v>
      </c>
      <c r="C66" s="1280">
        <v>0</v>
      </c>
      <c r="D66" s="1280">
        <v>0</v>
      </c>
      <c r="E66" s="734">
        <v>0</v>
      </c>
      <c r="F66" s="734"/>
      <c r="G66" s="1423"/>
    </row>
    <row r="67" spans="1:7" ht="15.75" thickBot="1" x14ac:dyDescent="0.3">
      <c r="A67" s="1436">
        <v>45033</v>
      </c>
      <c r="B67" s="453" t="s">
        <v>17</v>
      </c>
      <c r="C67" s="1278">
        <v>1</v>
      </c>
      <c r="D67" s="1278">
        <v>1</v>
      </c>
      <c r="E67" s="709">
        <v>1</v>
      </c>
      <c r="F67" s="709"/>
      <c r="G67" s="1453" t="s">
        <v>5407</v>
      </c>
    </row>
    <row r="68" spans="1:7" ht="15.75" thickBot="1" x14ac:dyDescent="0.3">
      <c r="A68" s="1437"/>
      <c r="B68" s="453" t="s">
        <v>102</v>
      </c>
      <c r="C68" s="1279">
        <f>24-C69-C70</f>
        <v>10.24</v>
      </c>
      <c r="D68" s="1279">
        <f>24-D69-D70</f>
        <v>8.09</v>
      </c>
      <c r="E68" s="733">
        <f>24-E69-E70</f>
        <v>24</v>
      </c>
      <c r="F68" s="733"/>
      <c r="G68" s="1418"/>
    </row>
    <row r="69" spans="1:7" ht="15.75" thickBot="1" x14ac:dyDescent="0.3">
      <c r="A69" s="1437"/>
      <c r="B69" s="448" t="s">
        <v>103</v>
      </c>
      <c r="C69" s="1077">
        <v>13.76</v>
      </c>
      <c r="D69" s="1077">
        <v>15.91</v>
      </c>
      <c r="E69" s="1077">
        <v>0</v>
      </c>
      <c r="F69" s="731"/>
      <c r="G69" s="1418"/>
    </row>
    <row r="70" spans="1:7" ht="15.75" thickBot="1" x14ac:dyDescent="0.3">
      <c r="A70" s="1438"/>
      <c r="B70" s="457" t="s">
        <v>104</v>
      </c>
      <c r="C70" s="1280">
        <v>0</v>
      </c>
      <c r="D70" s="1280">
        <v>0</v>
      </c>
      <c r="E70" s="734">
        <v>0</v>
      </c>
      <c r="F70" s="734"/>
      <c r="G70" s="1423"/>
    </row>
    <row r="71" spans="1:7" ht="15.75" thickBot="1" x14ac:dyDescent="0.3">
      <c r="A71" s="1436">
        <v>45034</v>
      </c>
      <c r="B71" s="453" t="s">
        <v>17</v>
      </c>
      <c r="C71" s="1278">
        <v>1</v>
      </c>
      <c r="D71" s="1278">
        <v>1</v>
      </c>
      <c r="E71" s="709">
        <v>1</v>
      </c>
      <c r="F71" s="709"/>
      <c r="G71" s="1462" t="s">
        <v>5415</v>
      </c>
    </row>
    <row r="72" spans="1:7" ht="15.75" thickBot="1" x14ac:dyDescent="0.3">
      <c r="A72" s="1437"/>
      <c r="B72" s="453" t="s">
        <v>102</v>
      </c>
      <c r="C72" s="1279">
        <f>24-C73-C74</f>
        <v>0</v>
      </c>
      <c r="D72" s="1279">
        <f>24-D73-D74</f>
        <v>17.420000000000002</v>
      </c>
      <c r="E72" s="733">
        <f>24-E73-E74</f>
        <v>24</v>
      </c>
      <c r="F72" s="733"/>
      <c r="G72" s="1454"/>
    </row>
    <row r="73" spans="1:7" ht="15.75" thickBot="1" x14ac:dyDescent="0.3">
      <c r="A73" s="1437"/>
      <c r="B73" s="448" t="s">
        <v>103</v>
      </c>
      <c r="C73" s="1077">
        <v>24</v>
      </c>
      <c r="D73" s="1077">
        <v>6.58</v>
      </c>
      <c r="E73" s="1077">
        <v>0</v>
      </c>
      <c r="F73" s="731"/>
      <c r="G73" s="1454"/>
    </row>
    <row r="74" spans="1:7" ht="15.75" thickBot="1" x14ac:dyDescent="0.3">
      <c r="A74" s="1438"/>
      <c r="B74" s="457" t="s">
        <v>104</v>
      </c>
      <c r="C74" s="1280">
        <v>0</v>
      </c>
      <c r="D74" s="1280">
        <v>0</v>
      </c>
      <c r="E74" s="734">
        <v>0</v>
      </c>
      <c r="F74" s="734"/>
      <c r="G74" s="1455"/>
    </row>
    <row r="75" spans="1:7" ht="15.75" thickBot="1" x14ac:dyDescent="0.3">
      <c r="A75" s="1436">
        <v>45035</v>
      </c>
      <c r="B75" s="453" t="s">
        <v>17</v>
      </c>
      <c r="C75" s="1278">
        <v>1</v>
      </c>
      <c r="D75" s="1278">
        <v>1</v>
      </c>
      <c r="E75" s="709">
        <v>1</v>
      </c>
      <c r="F75" s="709"/>
      <c r="G75" s="1447" t="s">
        <v>5416</v>
      </c>
    </row>
    <row r="76" spans="1:7" ht="15.75" thickBot="1" x14ac:dyDescent="0.3">
      <c r="A76" s="1437"/>
      <c r="B76" s="453" t="s">
        <v>102</v>
      </c>
      <c r="C76" s="1279">
        <f>24-C77-C78</f>
        <v>0</v>
      </c>
      <c r="D76" s="1279">
        <f>24-D77-D78</f>
        <v>14.85</v>
      </c>
      <c r="E76" s="733">
        <f>24-E77-E78</f>
        <v>24</v>
      </c>
      <c r="F76" s="733"/>
      <c r="G76" s="1448"/>
    </row>
    <row r="77" spans="1:7" ht="15.75" thickBot="1" x14ac:dyDescent="0.3">
      <c r="A77" s="1437"/>
      <c r="B77" s="448" t="s">
        <v>103</v>
      </c>
      <c r="C77" s="1077">
        <v>24</v>
      </c>
      <c r="D77" s="1077">
        <v>9.15</v>
      </c>
      <c r="E77" s="1077">
        <v>0</v>
      </c>
      <c r="F77" s="731"/>
      <c r="G77" s="1448"/>
    </row>
    <row r="78" spans="1:7" ht="15.75" thickBot="1" x14ac:dyDescent="0.3">
      <c r="A78" s="1438"/>
      <c r="B78" s="457" t="s">
        <v>104</v>
      </c>
      <c r="C78" s="1280">
        <v>0</v>
      </c>
      <c r="D78" s="1280">
        <v>0</v>
      </c>
      <c r="E78" s="734">
        <v>0</v>
      </c>
      <c r="F78" s="734"/>
      <c r="G78" s="1449"/>
    </row>
    <row r="79" spans="1:7" ht="15.75" thickBot="1" x14ac:dyDescent="0.3">
      <c r="A79" s="1436">
        <v>45036</v>
      </c>
      <c r="B79" s="453" t="s">
        <v>17</v>
      </c>
      <c r="C79" s="1278">
        <v>1</v>
      </c>
      <c r="D79" s="1278">
        <v>1</v>
      </c>
      <c r="E79" s="709">
        <v>1</v>
      </c>
      <c r="F79" s="709"/>
      <c r="G79" s="1447" t="s">
        <v>5428</v>
      </c>
    </row>
    <row r="80" spans="1:7" ht="15.75" thickBot="1" x14ac:dyDescent="0.3">
      <c r="A80" s="1437"/>
      <c r="B80" s="453" t="s">
        <v>102</v>
      </c>
      <c r="C80" s="1279">
        <f>24-C81-C82</f>
        <v>0</v>
      </c>
      <c r="D80" s="1279">
        <f>24-D81-D82</f>
        <v>6.02</v>
      </c>
      <c r="E80" s="733">
        <f>24-E81-E82</f>
        <v>24</v>
      </c>
      <c r="F80" s="733"/>
      <c r="G80" s="1448"/>
    </row>
    <row r="81" spans="1:7" ht="15.75" thickBot="1" x14ac:dyDescent="0.3">
      <c r="A81" s="1437"/>
      <c r="B81" s="448" t="s">
        <v>103</v>
      </c>
      <c r="C81" s="1077">
        <v>24</v>
      </c>
      <c r="D81" s="1077">
        <v>17.98</v>
      </c>
      <c r="E81" s="1077">
        <v>0</v>
      </c>
      <c r="F81" s="731"/>
      <c r="G81" s="1448"/>
    </row>
    <row r="82" spans="1:7" ht="15.75" thickBot="1" x14ac:dyDescent="0.3">
      <c r="A82" s="1438"/>
      <c r="B82" s="457" t="s">
        <v>104</v>
      </c>
      <c r="C82" s="1280">
        <v>0</v>
      </c>
      <c r="D82" s="1280">
        <v>0</v>
      </c>
      <c r="E82" s="734">
        <v>0</v>
      </c>
      <c r="F82" s="734"/>
      <c r="G82" s="1448"/>
    </row>
    <row r="83" spans="1:7" ht="15.75" thickBot="1" x14ac:dyDescent="0.3">
      <c r="A83" s="1436">
        <v>45037</v>
      </c>
      <c r="B83" s="453" t="s">
        <v>17</v>
      </c>
      <c r="C83" s="1278">
        <v>1</v>
      </c>
      <c r="D83" s="1278">
        <v>1</v>
      </c>
      <c r="E83" s="709">
        <v>1</v>
      </c>
      <c r="F83" s="709"/>
      <c r="G83" s="1462" t="s">
        <v>5431</v>
      </c>
    </row>
    <row r="84" spans="1:7" ht="15.75" thickBot="1" x14ac:dyDescent="0.3">
      <c r="A84" s="1437"/>
      <c r="B84" s="453" t="s">
        <v>102</v>
      </c>
      <c r="C84" s="1279">
        <f>24-C85-C86</f>
        <v>0</v>
      </c>
      <c r="D84" s="1279">
        <f>24-D85-D86</f>
        <v>22.35</v>
      </c>
      <c r="E84" s="733">
        <f>24-E85-E86</f>
        <v>24</v>
      </c>
      <c r="F84" s="733"/>
      <c r="G84" s="1454"/>
    </row>
    <row r="85" spans="1:7" ht="15.75" thickBot="1" x14ac:dyDescent="0.3">
      <c r="A85" s="1437"/>
      <c r="B85" s="448" t="s">
        <v>103</v>
      </c>
      <c r="C85" s="1077">
        <v>24</v>
      </c>
      <c r="D85" s="1077">
        <v>1.65</v>
      </c>
      <c r="E85" s="1077">
        <v>0</v>
      </c>
      <c r="F85" s="731"/>
      <c r="G85" s="1454"/>
    </row>
    <row r="86" spans="1:7" ht="15.75" thickBot="1" x14ac:dyDescent="0.3">
      <c r="A86" s="1438"/>
      <c r="B86" s="457" t="s">
        <v>104</v>
      </c>
      <c r="C86" s="1280">
        <v>0</v>
      </c>
      <c r="D86" s="1280">
        <v>0</v>
      </c>
      <c r="E86" s="734">
        <v>0</v>
      </c>
      <c r="F86" s="734"/>
      <c r="G86" s="1455"/>
    </row>
    <row r="87" spans="1:7" ht="15.75" thickBot="1" x14ac:dyDescent="0.3">
      <c r="A87" s="1436">
        <v>45038</v>
      </c>
      <c r="B87" s="453" t="s">
        <v>17</v>
      </c>
      <c r="C87" s="1278">
        <v>1</v>
      </c>
      <c r="D87" s="1278">
        <v>1</v>
      </c>
      <c r="E87" s="709">
        <v>1</v>
      </c>
      <c r="F87" s="709"/>
      <c r="G87" s="1447" t="s">
        <v>5436</v>
      </c>
    </row>
    <row r="88" spans="1:7" ht="15.75" thickBot="1" x14ac:dyDescent="0.3">
      <c r="A88" s="1437"/>
      <c r="B88" s="453" t="s">
        <v>102</v>
      </c>
      <c r="C88" s="1279">
        <f>24-C89-C90</f>
        <v>0</v>
      </c>
      <c r="D88" s="1279">
        <f>24-D89-D90</f>
        <v>9.9499999999999993</v>
      </c>
      <c r="E88" s="733">
        <f>24-E89-E90</f>
        <v>24</v>
      </c>
      <c r="F88" s="733"/>
      <c r="G88" s="1454"/>
    </row>
    <row r="89" spans="1:7" ht="15.75" thickBot="1" x14ac:dyDescent="0.3">
      <c r="A89" s="1437"/>
      <c r="B89" s="448" t="s">
        <v>103</v>
      </c>
      <c r="C89" s="1077">
        <v>24</v>
      </c>
      <c r="D89" s="1077">
        <v>14.05</v>
      </c>
      <c r="E89" s="1077">
        <v>0</v>
      </c>
      <c r="F89" s="731"/>
      <c r="G89" s="1454"/>
    </row>
    <row r="90" spans="1:7" ht="15.75" thickBot="1" x14ac:dyDescent="0.3">
      <c r="A90" s="1438"/>
      <c r="B90" s="457" t="s">
        <v>104</v>
      </c>
      <c r="C90" s="1280">
        <v>0</v>
      </c>
      <c r="D90" s="1280">
        <v>0</v>
      </c>
      <c r="E90" s="734">
        <v>0</v>
      </c>
      <c r="F90" s="734"/>
      <c r="G90" s="1455"/>
    </row>
    <row r="91" spans="1:7" ht="15.75" thickBot="1" x14ac:dyDescent="0.3">
      <c r="A91" s="1436">
        <v>45039</v>
      </c>
      <c r="B91" s="453" t="s">
        <v>17</v>
      </c>
      <c r="C91" s="1278">
        <v>1</v>
      </c>
      <c r="D91" s="1278">
        <v>1</v>
      </c>
      <c r="E91" s="709">
        <v>1</v>
      </c>
      <c r="F91" s="709"/>
      <c r="G91" s="1447" t="s">
        <v>5449</v>
      </c>
    </row>
    <row r="92" spans="1:7" ht="15.75" thickBot="1" x14ac:dyDescent="0.3">
      <c r="A92" s="1437"/>
      <c r="B92" s="453" t="s">
        <v>102</v>
      </c>
      <c r="C92" s="1279">
        <f>24-C93-C94</f>
        <v>18.420000000000002</v>
      </c>
      <c r="D92" s="1279">
        <f>24-D93-D94</f>
        <v>24</v>
      </c>
      <c r="E92" s="733">
        <f>24-E93-E94</f>
        <v>19.52</v>
      </c>
      <c r="F92" s="733"/>
      <c r="G92" s="1448"/>
    </row>
    <row r="93" spans="1:7" ht="15.75" thickBot="1" x14ac:dyDescent="0.3">
      <c r="A93" s="1437"/>
      <c r="B93" s="448" t="s">
        <v>103</v>
      </c>
      <c r="C93" s="1077">
        <v>5.58</v>
      </c>
      <c r="D93" s="1077">
        <v>0</v>
      </c>
      <c r="E93" s="1077">
        <v>4.4800000000000004</v>
      </c>
      <c r="F93" s="731"/>
      <c r="G93" s="1448"/>
    </row>
    <row r="94" spans="1:7" ht="15.75" thickBot="1" x14ac:dyDescent="0.3">
      <c r="A94" s="1438"/>
      <c r="B94" s="457" t="s">
        <v>104</v>
      </c>
      <c r="C94" s="1280">
        <v>0</v>
      </c>
      <c r="D94" s="1280">
        <v>0</v>
      </c>
      <c r="E94" s="734">
        <v>0</v>
      </c>
      <c r="F94" s="734"/>
      <c r="G94" s="1449"/>
    </row>
    <row r="95" spans="1:7" ht="35.25" customHeight="1" thickBot="1" x14ac:dyDescent="0.3">
      <c r="A95" s="1436">
        <v>45040</v>
      </c>
      <c r="B95" s="453" t="s">
        <v>17</v>
      </c>
      <c r="C95" s="1278">
        <v>1</v>
      </c>
      <c r="D95" s="1278">
        <v>1</v>
      </c>
      <c r="E95" s="709">
        <v>1</v>
      </c>
      <c r="F95" s="709"/>
      <c r="G95" s="1447" t="s">
        <v>5472</v>
      </c>
    </row>
    <row r="96" spans="1:7" ht="35.25" customHeight="1" thickBot="1" x14ac:dyDescent="0.3">
      <c r="A96" s="1437"/>
      <c r="B96" s="453" t="s">
        <v>102</v>
      </c>
      <c r="C96" s="1279">
        <f>24-C97-C98</f>
        <v>1.8099999999999987</v>
      </c>
      <c r="D96" s="1279">
        <f>24-D97-D98</f>
        <v>22.77</v>
      </c>
      <c r="E96" s="733">
        <f>24-E97-E98</f>
        <v>20.75</v>
      </c>
      <c r="F96" s="733"/>
      <c r="G96" s="1448"/>
    </row>
    <row r="97" spans="1:7" ht="35.25" customHeight="1" thickBot="1" x14ac:dyDescent="0.3">
      <c r="A97" s="1437"/>
      <c r="B97" s="448" t="s">
        <v>103</v>
      </c>
      <c r="C97" s="1077">
        <v>22.19</v>
      </c>
      <c r="D97" s="1077">
        <v>1.23</v>
      </c>
      <c r="E97" s="1077">
        <v>3.25</v>
      </c>
      <c r="F97" s="731"/>
      <c r="G97" s="1448"/>
    </row>
    <row r="98" spans="1:7" ht="35.25" customHeight="1" thickBot="1" x14ac:dyDescent="0.3">
      <c r="A98" s="1438"/>
      <c r="B98" s="457" t="s">
        <v>104</v>
      </c>
      <c r="C98" s="1280">
        <v>0</v>
      </c>
      <c r="D98" s="1280">
        <v>0</v>
      </c>
      <c r="E98" s="734">
        <v>0</v>
      </c>
      <c r="F98" s="734"/>
      <c r="G98" s="1449"/>
    </row>
    <row r="99" spans="1:7" ht="39" customHeight="1" thickBot="1" x14ac:dyDescent="0.3">
      <c r="A99" s="1436">
        <v>45041</v>
      </c>
      <c r="B99" s="453" t="s">
        <v>17</v>
      </c>
      <c r="C99" s="1278">
        <v>1</v>
      </c>
      <c r="D99" s="1278">
        <v>1</v>
      </c>
      <c r="E99" s="709">
        <v>1</v>
      </c>
      <c r="F99" s="709"/>
      <c r="G99" s="1447" t="s">
        <v>5504</v>
      </c>
    </row>
    <row r="100" spans="1:7" ht="39" customHeight="1" thickBot="1" x14ac:dyDescent="0.3">
      <c r="A100" s="1437"/>
      <c r="B100" s="453" t="s">
        <v>102</v>
      </c>
      <c r="C100" s="1279">
        <f>24-C101-C102</f>
        <v>0</v>
      </c>
      <c r="D100" s="1279">
        <f>24-D101-D102</f>
        <v>17.64</v>
      </c>
      <c r="E100" s="733">
        <f>24-E101-E102</f>
        <v>23.24</v>
      </c>
      <c r="F100" s="733"/>
      <c r="G100" s="1448"/>
    </row>
    <row r="101" spans="1:7" ht="39" customHeight="1" thickBot="1" x14ac:dyDescent="0.3">
      <c r="A101" s="1437"/>
      <c r="B101" s="448" t="s">
        <v>103</v>
      </c>
      <c r="C101" s="1077">
        <v>24</v>
      </c>
      <c r="D101" s="1077">
        <v>6.36</v>
      </c>
      <c r="E101" s="1077">
        <v>0.76</v>
      </c>
      <c r="F101" s="731"/>
      <c r="G101" s="1448"/>
    </row>
    <row r="102" spans="1:7" ht="39" customHeight="1" thickBot="1" x14ac:dyDescent="0.3">
      <c r="A102" s="1438"/>
      <c r="B102" s="457" t="s">
        <v>104</v>
      </c>
      <c r="C102" s="1280">
        <v>0</v>
      </c>
      <c r="D102" s="1280">
        <v>0</v>
      </c>
      <c r="E102" s="734">
        <v>0</v>
      </c>
      <c r="F102" s="734"/>
      <c r="G102" s="1449"/>
    </row>
    <row r="103" spans="1:7" ht="15.75" thickBot="1" x14ac:dyDescent="0.3">
      <c r="A103" s="1436">
        <v>45042</v>
      </c>
      <c r="B103" s="453" t="s">
        <v>17</v>
      </c>
      <c r="C103" s="1278">
        <v>1</v>
      </c>
      <c r="D103" s="1278">
        <v>1</v>
      </c>
      <c r="E103" s="709">
        <v>1</v>
      </c>
      <c r="F103" s="709"/>
      <c r="G103" s="1447" t="s">
        <v>5505</v>
      </c>
    </row>
    <row r="104" spans="1:7" ht="15.75" thickBot="1" x14ac:dyDescent="0.3">
      <c r="A104" s="1437"/>
      <c r="B104" s="453" t="s">
        <v>102</v>
      </c>
      <c r="C104" s="1279">
        <f>24-C105-C106</f>
        <v>0</v>
      </c>
      <c r="D104" s="1279">
        <f>24-D105-D106</f>
        <v>22.14</v>
      </c>
      <c r="E104" s="733">
        <f>24-E105-E106</f>
        <v>24</v>
      </c>
      <c r="F104" s="733"/>
      <c r="G104" s="1448"/>
    </row>
    <row r="105" spans="1:7" ht="15.75" thickBot="1" x14ac:dyDescent="0.3">
      <c r="A105" s="1437"/>
      <c r="B105" s="448" t="s">
        <v>103</v>
      </c>
      <c r="C105" s="1077">
        <v>24</v>
      </c>
      <c r="D105" s="1077">
        <v>1.86</v>
      </c>
      <c r="E105" s="1077">
        <v>0</v>
      </c>
      <c r="F105" s="731"/>
      <c r="G105" s="1448"/>
    </row>
    <row r="106" spans="1:7" ht="15.75" thickBot="1" x14ac:dyDescent="0.3">
      <c r="A106" s="1438"/>
      <c r="B106" s="457" t="s">
        <v>104</v>
      </c>
      <c r="C106" s="1280">
        <v>0</v>
      </c>
      <c r="D106" s="1280">
        <v>0</v>
      </c>
      <c r="E106" s="734">
        <v>0</v>
      </c>
      <c r="F106" s="734"/>
      <c r="G106" s="1449"/>
    </row>
    <row r="107" spans="1:7" ht="15.75" thickBot="1" x14ac:dyDescent="0.3">
      <c r="A107" s="1436">
        <v>45043</v>
      </c>
      <c r="B107" s="453" t="s">
        <v>17</v>
      </c>
      <c r="C107" s="1278">
        <v>1</v>
      </c>
      <c r="D107" s="1278">
        <v>1</v>
      </c>
      <c r="E107" s="709">
        <v>1</v>
      </c>
      <c r="F107" s="709"/>
      <c r="G107" s="1447" t="s">
        <v>5513</v>
      </c>
    </row>
    <row r="108" spans="1:7" ht="15.75" thickBot="1" x14ac:dyDescent="0.3">
      <c r="A108" s="1437"/>
      <c r="B108" s="453" t="s">
        <v>102</v>
      </c>
      <c r="C108" s="1279">
        <f>24-C109-C110</f>
        <v>0</v>
      </c>
      <c r="D108" s="1279">
        <f>24-D109-D110</f>
        <v>1.1999999999999993</v>
      </c>
      <c r="E108" s="733">
        <f>24-E109-E110</f>
        <v>24</v>
      </c>
      <c r="F108" s="733"/>
      <c r="G108" s="1448"/>
    </row>
    <row r="109" spans="1:7" ht="15.75" thickBot="1" x14ac:dyDescent="0.3">
      <c r="A109" s="1437"/>
      <c r="B109" s="448" t="s">
        <v>103</v>
      </c>
      <c r="C109" s="1077">
        <v>24</v>
      </c>
      <c r="D109" s="1077">
        <v>22.8</v>
      </c>
      <c r="E109" s="1077">
        <v>0</v>
      </c>
      <c r="F109" s="731"/>
      <c r="G109" s="1448"/>
    </row>
    <row r="110" spans="1:7" ht="15.75" thickBot="1" x14ac:dyDescent="0.3">
      <c r="A110" s="1438"/>
      <c r="B110" s="457" t="s">
        <v>104</v>
      </c>
      <c r="C110" s="1280">
        <v>0</v>
      </c>
      <c r="D110" s="1280">
        <v>0</v>
      </c>
      <c r="E110" s="734">
        <v>0</v>
      </c>
      <c r="F110" s="734"/>
      <c r="G110" s="1449"/>
    </row>
    <row r="111" spans="1:7" ht="15.75" thickBot="1" x14ac:dyDescent="0.3">
      <c r="A111" s="1436">
        <v>45044</v>
      </c>
      <c r="B111" s="453" t="s">
        <v>17</v>
      </c>
      <c r="C111" s="1278">
        <v>1</v>
      </c>
      <c r="D111" s="1278">
        <v>1</v>
      </c>
      <c r="E111" s="709">
        <v>1</v>
      </c>
      <c r="F111" s="709"/>
      <c r="G111" s="1447" t="s">
        <v>5518</v>
      </c>
    </row>
    <row r="112" spans="1:7" ht="15.75" thickBot="1" x14ac:dyDescent="0.3">
      <c r="A112" s="1437"/>
      <c r="B112" s="453" t="s">
        <v>102</v>
      </c>
      <c r="C112" s="1279">
        <f>24-C113-C114</f>
        <v>23.37</v>
      </c>
      <c r="D112" s="1279">
        <f>24-D113-D114</f>
        <v>16.399999999999999</v>
      </c>
      <c r="E112" s="733">
        <f>24-E113-E114</f>
        <v>24</v>
      </c>
      <c r="F112" s="733"/>
      <c r="G112" s="1448"/>
    </row>
    <row r="113" spans="1:7" ht="15.75" thickBot="1" x14ac:dyDescent="0.3">
      <c r="A113" s="1437"/>
      <c r="B113" s="448" t="s">
        <v>103</v>
      </c>
      <c r="C113" s="1077">
        <v>0.63</v>
      </c>
      <c r="D113" s="1077">
        <v>7.6</v>
      </c>
      <c r="E113" s="1077">
        <v>0</v>
      </c>
      <c r="F113" s="731"/>
      <c r="G113" s="1448"/>
    </row>
    <row r="114" spans="1:7" ht="15.75" thickBot="1" x14ac:dyDescent="0.3">
      <c r="A114" s="1438"/>
      <c r="B114" s="457" t="s">
        <v>104</v>
      </c>
      <c r="C114" s="1280">
        <v>0</v>
      </c>
      <c r="D114" s="1280">
        <v>0</v>
      </c>
      <c r="E114" s="734">
        <v>0</v>
      </c>
      <c r="F114" s="734"/>
      <c r="G114" s="1449"/>
    </row>
    <row r="115" spans="1:7" ht="15.75" thickBot="1" x14ac:dyDescent="0.3">
      <c r="A115" s="1436">
        <v>45045</v>
      </c>
      <c r="B115" s="453" t="s">
        <v>17</v>
      </c>
      <c r="C115" s="1278">
        <v>1</v>
      </c>
      <c r="D115" s="1278">
        <v>1</v>
      </c>
      <c r="E115" s="709">
        <v>1</v>
      </c>
      <c r="F115" s="709"/>
      <c r="G115" s="1447" t="s">
        <v>5533</v>
      </c>
    </row>
    <row r="116" spans="1:7" ht="15.75" thickBot="1" x14ac:dyDescent="0.3">
      <c r="A116" s="1437"/>
      <c r="B116" s="453" t="s">
        <v>102</v>
      </c>
      <c r="C116" s="1279">
        <f>24-C117-C118</f>
        <v>24</v>
      </c>
      <c r="D116" s="1279">
        <f>24-D117-D118</f>
        <v>8.5299999999999994</v>
      </c>
      <c r="E116" s="733">
        <f>24-E117-E118</f>
        <v>24</v>
      </c>
      <c r="F116" s="733"/>
      <c r="G116" s="1448"/>
    </row>
    <row r="117" spans="1:7" ht="15.75" thickBot="1" x14ac:dyDescent="0.3">
      <c r="A117" s="1437"/>
      <c r="B117" s="448" t="s">
        <v>103</v>
      </c>
      <c r="C117" s="1077">
        <v>0</v>
      </c>
      <c r="D117" s="1077">
        <v>15.47</v>
      </c>
      <c r="E117" s="1077">
        <v>0</v>
      </c>
      <c r="F117" s="731"/>
      <c r="G117" s="1448"/>
    </row>
    <row r="118" spans="1:7" ht="15.75" thickBot="1" x14ac:dyDescent="0.3">
      <c r="A118" s="1438"/>
      <c r="B118" s="457" t="s">
        <v>104</v>
      </c>
      <c r="C118" s="1280">
        <v>0</v>
      </c>
      <c r="D118" s="1280">
        <v>0</v>
      </c>
      <c r="E118" s="734">
        <v>0</v>
      </c>
      <c r="F118" s="734"/>
      <c r="G118" s="1449"/>
    </row>
    <row r="119" spans="1:7" ht="15.75" thickBot="1" x14ac:dyDescent="0.3">
      <c r="A119" s="1436">
        <v>45046</v>
      </c>
      <c r="B119" s="453" t="s">
        <v>17</v>
      </c>
      <c r="C119" s="1278">
        <v>1</v>
      </c>
      <c r="D119" s="1278">
        <v>1</v>
      </c>
      <c r="E119" s="709">
        <v>1</v>
      </c>
      <c r="F119" s="709"/>
      <c r="G119" s="1447" t="s">
        <v>5539</v>
      </c>
    </row>
    <row r="120" spans="1:7" ht="15.75" thickBot="1" x14ac:dyDescent="0.3">
      <c r="A120" s="1437"/>
      <c r="B120" s="453" t="s">
        <v>102</v>
      </c>
      <c r="C120" s="1279">
        <f>24-C121-C122</f>
        <v>24</v>
      </c>
      <c r="D120" s="1279">
        <f>24-D121-D122</f>
        <v>19.850000000000001</v>
      </c>
      <c r="E120" s="733">
        <f>24-E121-E122</f>
        <v>24</v>
      </c>
      <c r="F120" s="733"/>
      <c r="G120" s="1448"/>
    </row>
    <row r="121" spans="1:7" ht="15.75" thickBot="1" x14ac:dyDescent="0.3">
      <c r="A121" s="1437"/>
      <c r="B121" s="448" t="s">
        <v>103</v>
      </c>
      <c r="C121" s="1077">
        <v>0</v>
      </c>
      <c r="D121" s="1077">
        <v>4.1500000000000004</v>
      </c>
      <c r="E121" s="1077">
        <v>0</v>
      </c>
      <c r="F121" s="731"/>
      <c r="G121" s="1448"/>
    </row>
    <row r="122" spans="1:7" ht="15.75" thickBot="1" x14ac:dyDescent="0.3">
      <c r="A122" s="1438"/>
      <c r="B122" s="457" t="s">
        <v>104</v>
      </c>
      <c r="C122" s="1280">
        <v>0</v>
      </c>
      <c r="D122" s="1280">
        <v>0</v>
      </c>
      <c r="E122" s="734">
        <v>0</v>
      </c>
      <c r="F122" s="734"/>
      <c r="G122" s="1449"/>
    </row>
    <row r="123" spans="1:7" ht="15.75" thickBot="1" x14ac:dyDescent="0.3">
      <c r="A123" s="1436"/>
      <c r="B123" s="453" t="s">
        <v>17</v>
      </c>
      <c r="C123" s="709"/>
      <c r="D123" s="709"/>
      <c r="E123" s="709"/>
      <c r="F123" s="709"/>
      <c r="G123" s="1453"/>
    </row>
    <row r="124" spans="1:7" ht="15.75" thickBot="1" x14ac:dyDescent="0.3">
      <c r="A124" s="1437"/>
      <c r="B124" s="453" t="s">
        <v>102</v>
      </c>
      <c r="C124" s="733"/>
      <c r="D124" s="733"/>
      <c r="E124" s="733"/>
      <c r="F124" s="733"/>
      <c r="G124" s="1418"/>
    </row>
    <row r="125" spans="1:7" ht="15.75" thickBot="1" x14ac:dyDescent="0.3">
      <c r="A125" s="1437"/>
      <c r="B125" s="448" t="s">
        <v>103</v>
      </c>
      <c r="C125" s="1077"/>
      <c r="D125" s="1077"/>
      <c r="E125" s="731"/>
      <c r="F125" s="731"/>
      <c r="G125" s="1418"/>
    </row>
    <row r="126" spans="1:7" ht="15.75" thickBot="1" x14ac:dyDescent="0.3">
      <c r="A126" s="1438"/>
      <c r="B126" s="457" t="s">
        <v>104</v>
      </c>
      <c r="C126" s="734"/>
      <c r="D126" s="734"/>
      <c r="E126" s="734"/>
      <c r="F126" s="734"/>
      <c r="G126" s="1423"/>
    </row>
    <row r="127" spans="1:7" x14ac:dyDescent="0.25">
      <c r="A127" s="464" t="s">
        <v>5249</v>
      </c>
      <c r="B127" s="465"/>
      <c r="C127" s="466">
        <f>SUM(C112,C108,C104,C100,C96,C92,C88,C84,C80,C76,C72,C68,C64,C60,C56,C52,C48,C44,C40,C36,C32,C28,C24,C20,C16,C12,C8,C4,C116,C120,C124)</f>
        <v>227.70999999999998</v>
      </c>
      <c r="D127" s="466">
        <f>SUM(D112,D108,D104,D100,D96,D92,D88,D84,D80,D76,D72,D68,D64,D60,D56,D52,D48,D44,D40,D36,D32,D28,D24,D20,D16,D12,D8,D4,D116,D120,D124)</f>
        <v>443.46</v>
      </c>
      <c r="E127" s="466">
        <f t="shared" ref="E127:F128" si="0">SUM(E112,E108,E104,E100,E96,E92,E88,E84,E80,E76,E72,E68,E64,E60,E56,E52,E48,E44,E40,E36,E32,E28,E24,E20,E16,E12,E8,E4,E116,E120,E124)</f>
        <v>706.09</v>
      </c>
      <c r="F127" s="466">
        <f t="shared" si="0"/>
        <v>53.97</v>
      </c>
      <c r="G127" s="468"/>
    </row>
    <row r="128" spans="1:7" x14ac:dyDescent="0.25">
      <c r="A128" s="1234" t="s">
        <v>5250</v>
      </c>
      <c r="B128" s="134"/>
      <c r="C128" s="469">
        <f>SUM(C113,C109,C105,C101,C97,C93,C89,C85,C81,C77,C73,C69,C65,C61,C57,C53,C49,C45,C41,C37,C33,C29,C25,C21,C17,C13,C9,C5,C117,C121,C125)</f>
        <v>492.28999999999991</v>
      </c>
      <c r="D128" s="469">
        <f>SUM(D113,D109,D105,D101,D97,D93,D89,D85,D81,D77,D73,D69,D65,D61,D57,D53,D49,D45,D41,D37,D33,D29,D25,D21,D17,D13,D9,D5,D117,D121,D125)</f>
        <v>276.53999999999996</v>
      </c>
      <c r="E128" s="469">
        <f t="shared" si="0"/>
        <v>13.91</v>
      </c>
      <c r="F128" s="469">
        <f t="shared" si="0"/>
        <v>18.03</v>
      </c>
      <c r="G128" s="471"/>
    </row>
    <row r="129" spans="1:7" ht="15.75" thickBot="1" x14ac:dyDescent="0.3">
      <c r="A129" s="1235" t="s">
        <v>5251</v>
      </c>
      <c r="B129" s="472"/>
      <c r="C129" s="473">
        <f>SUM(C114,C110,C106,C102,C98,C94,C90,C86,C82,C78,C74,C70,C66,C62,C58,C54,C50,C46,C42,C38,C34,C30,C26,C22,C18,C14,C10,C6,C118,C122,C126)</f>
        <v>0</v>
      </c>
      <c r="D129" s="473">
        <f t="shared" ref="D129:F129" si="1">SUM(D114,D110,D106,D102,D98,D94,D90,D86,D82,D78,D74,D70,D66,D62,D58,D54,D50,D46,D42,D38,D34,D30,D26,D22,D18,D14,D10,D6,D118,D122,D126)</f>
        <v>0</v>
      </c>
      <c r="E129" s="473">
        <f t="shared" si="1"/>
        <v>0</v>
      </c>
      <c r="F129" s="473">
        <f t="shared" si="1"/>
        <v>0</v>
      </c>
      <c r="G129" s="475"/>
    </row>
    <row r="130" spans="1:7" ht="15.75" thickBot="1" x14ac:dyDescent="0.3">
      <c r="A130" s="1450" t="s">
        <v>108</v>
      </c>
      <c r="B130" s="1451"/>
      <c r="C130" s="1451"/>
      <c r="D130" s="1451"/>
      <c r="E130" s="1451"/>
      <c r="F130" s="1451"/>
      <c r="G130" s="1452"/>
    </row>
  </sheetData>
  <mergeCells count="64">
    <mergeCell ref="A11:A14"/>
    <mergeCell ref="G11:G14"/>
    <mergeCell ref="A1:G1"/>
    <mergeCell ref="A3:A6"/>
    <mergeCell ref="G3:G6"/>
    <mergeCell ref="A7:A10"/>
    <mergeCell ref="G7:G10"/>
    <mergeCell ref="A15:A18"/>
    <mergeCell ref="G15:G18"/>
    <mergeCell ref="A19:A22"/>
    <mergeCell ref="G19:G22"/>
    <mergeCell ref="A23:A26"/>
    <mergeCell ref="G23:G26"/>
    <mergeCell ref="A27:A30"/>
    <mergeCell ref="G27:G30"/>
    <mergeCell ref="A31:A34"/>
    <mergeCell ref="G31:G34"/>
    <mergeCell ref="A35:A38"/>
    <mergeCell ref="G35:G38"/>
    <mergeCell ref="A39:A42"/>
    <mergeCell ref="G39:G42"/>
    <mergeCell ref="A43:A46"/>
    <mergeCell ref="G43:G46"/>
    <mergeCell ref="A47:A50"/>
    <mergeCell ref="G47:G50"/>
    <mergeCell ref="A51:A54"/>
    <mergeCell ref="G51:G54"/>
    <mergeCell ref="A55:A58"/>
    <mergeCell ref="G55:G58"/>
    <mergeCell ref="A59:A62"/>
    <mergeCell ref="G59:G62"/>
    <mergeCell ref="A63:A66"/>
    <mergeCell ref="G63:G66"/>
    <mergeCell ref="A67:A70"/>
    <mergeCell ref="G67:G70"/>
    <mergeCell ref="A71:A74"/>
    <mergeCell ref="G71:G74"/>
    <mergeCell ref="A75:A78"/>
    <mergeCell ref="G75:G78"/>
    <mergeCell ref="A79:A82"/>
    <mergeCell ref="G79:G82"/>
    <mergeCell ref="A83:A86"/>
    <mergeCell ref="G83:G86"/>
    <mergeCell ref="A87:A90"/>
    <mergeCell ref="G87:G90"/>
    <mergeCell ref="A91:A94"/>
    <mergeCell ref="G91:G94"/>
    <mergeCell ref="A95:A98"/>
    <mergeCell ref="G95:G98"/>
    <mergeCell ref="A99:A102"/>
    <mergeCell ref="G99:G102"/>
    <mergeCell ref="A103:A106"/>
    <mergeCell ref="G103:G106"/>
    <mergeCell ref="A107:A110"/>
    <mergeCell ref="G107:G110"/>
    <mergeCell ref="A123:A126"/>
    <mergeCell ref="G123:G126"/>
    <mergeCell ref="A130:G130"/>
    <mergeCell ref="A111:A114"/>
    <mergeCell ref="G111:G114"/>
    <mergeCell ref="A115:A118"/>
    <mergeCell ref="G115:G118"/>
    <mergeCell ref="A119:A122"/>
    <mergeCell ref="G119:G122"/>
  </mergeCells>
  <pageMargins left="0.7" right="0.7" top="0.75" bottom="0.75" header="0.3" footer="0.3"/>
  <pageSetup paperSize="9" orientation="portrait" horizontalDpi="4294967293" verticalDpi="4294967293"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G130"/>
  <sheetViews>
    <sheetView workbookViewId="0">
      <pane xSplit="1" ySplit="2" topLeftCell="B119" activePane="bottomRight" state="frozen"/>
      <selection pane="topRight" activeCell="B1" sqref="B1"/>
      <selection pane="bottomLeft" activeCell="A3" sqref="A3"/>
      <selection pane="bottomRight" activeCell="G123" sqref="G123:G126"/>
    </sheetView>
  </sheetViews>
  <sheetFormatPr defaultRowHeight="15" x14ac:dyDescent="0.25"/>
  <cols>
    <col min="1" max="1" width="16.42578125" customWidth="1"/>
    <col min="2" max="2" width="27.85546875" customWidth="1"/>
    <col min="7" max="7" width="69" customWidth="1"/>
  </cols>
  <sheetData>
    <row r="1" spans="1:7" ht="21.75" thickBot="1" x14ac:dyDescent="0.4">
      <c r="A1" s="1443" t="s">
        <v>73</v>
      </c>
      <c r="B1" s="1443"/>
      <c r="C1" s="1443"/>
      <c r="D1" s="1443"/>
      <c r="E1" s="1443"/>
      <c r="F1" s="1461"/>
      <c r="G1" s="1443"/>
    </row>
    <row r="2" spans="1:7" ht="16.5" thickBot="1" x14ac:dyDescent="0.3">
      <c r="A2" s="108" t="s">
        <v>98</v>
      </c>
      <c r="B2" s="608"/>
      <c r="C2" s="607" t="s">
        <v>310</v>
      </c>
      <c r="D2" s="607" t="s">
        <v>239</v>
      </c>
      <c r="E2" s="447" t="s">
        <v>100</v>
      </c>
      <c r="F2" s="1286" t="s">
        <v>157</v>
      </c>
      <c r="G2" s="111" t="s">
        <v>101</v>
      </c>
    </row>
    <row r="3" spans="1:7" ht="15.75" thickBot="1" x14ac:dyDescent="0.3">
      <c r="A3" s="1436">
        <v>45047</v>
      </c>
      <c r="B3" s="453" t="s">
        <v>17</v>
      </c>
      <c r="C3" s="1278">
        <v>1</v>
      </c>
      <c r="D3" s="1278">
        <v>1</v>
      </c>
      <c r="E3" s="709">
        <v>1</v>
      </c>
      <c r="F3" s="1288"/>
      <c r="G3" s="1453" t="s">
        <v>5551</v>
      </c>
    </row>
    <row r="4" spans="1:7" ht="15.75" thickBot="1" x14ac:dyDescent="0.3">
      <c r="A4" s="1437"/>
      <c r="B4" s="453" t="s">
        <v>102</v>
      </c>
      <c r="C4" s="1279">
        <f>24-C5-C6</f>
        <v>24</v>
      </c>
      <c r="D4" s="1279">
        <f>24-D5-D6</f>
        <v>8.35</v>
      </c>
      <c r="E4" s="733">
        <f>24-E5-E6</f>
        <v>24</v>
      </c>
      <c r="F4" s="733"/>
      <c r="G4" s="1418"/>
    </row>
    <row r="5" spans="1:7" ht="15.75" thickBot="1" x14ac:dyDescent="0.3">
      <c r="A5" s="1437"/>
      <c r="B5" s="448" t="s">
        <v>103</v>
      </c>
      <c r="C5" s="1077">
        <v>0</v>
      </c>
      <c r="D5" s="1077">
        <v>15.65</v>
      </c>
      <c r="E5" s="731">
        <v>0</v>
      </c>
      <c r="F5" s="731"/>
      <c r="G5" s="1418"/>
    </row>
    <row r="6" spans="1:7" ht="15.75" thickBot="1" x14ac:dyDescent="0.3">
      <c r="A6" s="1438"/>
      <c r="B6" s="457" t="s">
        <v>104</v>
      </c>
      <c r="C6" s="1280">
        <v>0</v>
      </c>
      <c r="D6" s="1280">
        <v>0</v>
      </c>
      <c r="E6" s="734">
        <v>0</v>
      </c>
      <c r="F6" s="734"/>
      <c r="G6" s="1423"/>
    </row>
    <row r="7" spans="1:7" ht="15.75" thickBot="1" x14ac:dyDescent="0.3">
      <c r="A7" s="1436">
        <v>45048</v>
      </c>
      <c r="B7" s="453" t="s">
        <v>17</v>
      </c>
      <c r="C7" s="1278">
        <v>1</v>
      </c>
      <c r="D7" s="1278">
        <v>1</v>
      </c>
      <c r="E7" s="709">
        <v>1</v>
      </c>
      <c r="F7" s="709"/>
      <c r="G7" s="1453" t="s">
        <v>5561</v>
      </c>
    </row>
    <row r="8" spans="1:7" ht="15.75" thickBot="1" x14ac:dyDescent="0.3">
      <c r="A8" s="1437"/>
      <c r="B8" s="453" t="s">
        <v>102</v>
      </c>
      <c r="C8" s="1279">
        <f>24-C9-C10</f>
        <v>23.03</v>
      </c>
      <c r="D8" s="1279">
        <f>24-D9-D10</f>
        <v>24</v>
      </c>
      <c r="E8" s="733">
        <f>24-E9-E10</f>
        <v>24</v>
      </c>
      <c r="F8" s="733"/>
      <c r="G8" s="1418"/>
    </row>
    <row r="9" spans="1:7" ht="15.75" thickBot="1" x14ac:dyDescent="0.3">
      <c r="A9" s="1437"/>
      <c r="B9" s="448" t="s">
        <v>103</v>
      </c>
      <c r="C9" s="1077">
        <v>0.97</v>
      </c>
      <c r="D9" s="1077">
        <v>0</v>
      </c>
      <c r="E9" s="731">
        <v>0</v>
      </c>
      <c r="F9" s="731"/>
      <c r="G9" s="1418"/>
    </row>
    <row r="10" spans="1:7" ht="15.75" thickBot="1" x14ac:dyDescent="0.3">
      <c r="A10" s="1438"/>
      <c r="B10" s="457" t="s">
        <v>104</v>
      </c>
      <c r="C10" s="1280">
        <v>0</v>
      </c>
      <c r="D10" s="1280">
        <v>0</v>
      </c>
      <c r="E10" s="734">
        <v>0</v>
      </c>
      <c r="F10" s="734"/>
      <c r="G10" s="1423"/>
    </row>
    <row r="11" spans="1:7" ht="18" customHeight="1" thickBot="1" x14ac:dyDescent="0.3">
      <c r="A11" s="1436">
        <v>45049</v>
      </c>
      <c r="B11" s="453" t="s">
        <v>17</v>
      </c>
      <c r="C11" s="1278">
        <v>1</v>
      </c>
      <c r="D11" s="1278">
        <v>1</v>
      </c>
      <c r="E11" s="709">
        <v>1</v>
      </c>
      <c r="F11" s="709"/>
      <c r="G11" s="1453" t="s">
        <v>5726</v>
      </c>
    </row>
    <row r="12" spans="1:7" ht="18" customHeight="1" thickBot="1" x14ac:dyDescent="0.3">
      <c r="A12" s="1437"/>
      <c r="B12" s="453" t="s">
        <v>102</v>
      </c>
      <c r="C12" s="1279">
        <f>24-C13-C14</f>
        <v>0</v>
      </c>
      <c r="D12" s="1279">
        <f>24-D13-D14</f>
        <v>10.220000000000001</v>
      </c>
      <c r="E12" s="733">
        <f>24-E13-E14</f>
        <v>24</v>
      </c>
      <c r="F12" s="733"/>
      <c r="G12" s="1418"/>
    </row>
    <row r="13" spans="1:7" ht="18" customHeight="1" thickBot="1" x14ac:dyDescent="0.3">
      <c r="A13" s="1437"/>
      <c r="B13" s="448" t="s">
        <v>103</v>
      </c>
      <c r="C13" s="1077">
        <v>24</v>
      </c>
      <c r="D13" s="1077">
        <v>13.78</v>
      </c>
      <c r="E13" s="731">
        <v>0</v>
      </c>
      <c r="F13" s="731"/>
      <c r="G13" s="1418"/>
    </row>
    <row r="14" spans="1:7" ht="18" customHeight="1" thickBot="1" x14ac:dyDescent="0.3">
      <c r="A14" s="1438"/>
      <c r="B14" s="457" t="s">
        <v>104</v>
      </c>
      <c r="C14" s="1280">
        <v>0</v>
      </c>
      <c r="D14" s="1280">
        <v>0</v>
      </c>
      <c r="E14" s="734">
        <v>0</v>
      </c>
      <c r="F14" s="734"/>
      <c r="G14" s="1423"/>
    </row>
    <row r="15" spans="1:7" ht="18" customHeight="1" thickBot="1" x14ac:dyDescent="0.3">
      <c r="A15" s="1436">
        <v>45050</v>
      </c>
      <c r="B15" s="453" t="s">
        <v>17</v>
      </c>
      <c r="C15" s="1278">
        <v>1</v>
      </c>
      <c r="D15" s="1278">
        <v>1</v>
      </c>
      <c r="E15" s="709">
        <v>1</v>
      </c>
      <c r="F15" s="709"/>
      <c r="G15" s="1453" t="s">
        <v>5571</v>
      </c>
    </row>
    <row r="16" spans="1:7" ht="18" customHeight="1" thickBot="1" x14ac:dyDescent="0.3">
      <c r="A16" s="1437"/>
      <c r="B16" s="453" t="s">
        <v>102</v>
      </c>
      <c r="C16" s="1279">
        <f>24-C17-C18</f>
        <v>0</v>
      </c>
      <c r="D16" s="1279">
        <f>24-D17-D18</f>
        <v>22.22</v>
      </c>
      <c r="E16" s="733">
        <f>24-E17-E18</f>
        <v>24</v>
      </c>
      <c r="F16" s="733"/>
      <c r="G16" s="1418"/>
    </row>
    <row r="17" spans="1:7" ht="18" customHeight="1" thickBot="1" x14ac:dyDescent="0.3">
      <c r="A17" s="1437"/>
      <c r="B17" s="448" t="s">
        <v>103</v>
      </c>
      <c r="C17" s="1077">
        <v>24</v>
      </c>
      <c r="D17" s="1077">
        <v>1.78</v>
      </c>
      <c r="E17" s="731">
        <v>0</v>
      </c>
      <c r="F17" s="731"/>
      <c r="G17" s="1418"/>
    </row>
    <row r="18" spans="1:7" ht="18" customHeight="1" thickBot="1" x14ac:dyDescent="0.3">
      <c r="A18" s="1438"/>
      <c r="B18" s="457" t="s">
        <v>104</v>
      </c>
      <c r="C18" s="1280">
        <v>0</v>
      </c>
      <c r="D18" s="1280">
        <v>0</v>
      </c>
      <c r="E18" s="734">
        <v>0</v>
      </c>
      <c r="F18" s="734"/>
      <c r="G18" s="1423"/>
    </row>
    <row r="19" spans="1:7" ht="18" customHeight="1" thickBot="1" x14ac:dyDescent="0.3">
      <c r="A19" s="1436">
        <v>45051</v>
      </c>
      <c r="B19" s="453" t="s">
        <v>17</v>
      </c>
      <c r="C19" s="1278">
        <v>1</v>
      </c>
      <c r="D19" s="1278">
        <v>1</v>
      </c>
      <c r="E19" s="709">
        <v>1</v>
      </c>
      <c r="F19" s="709"/>
      <c r="G19" s="1453" t="s">
        <v>5572</v>
      </c>
    </row>
    <row r="20" spans="1:7" ht="18" customHeight="1" thickBot="1" x14ac:dyDescent="0.3">
      <c r="A20" s="1437"/>
      <c r="B20" s="453" t="s">
        <v>102</v>
      </c>
      <c r="C20" s="1279">
        <f>24-C21-C22</f>
        <v>0</v>
      </c>
      <c r="D20" s="1279">
        <f>24-D21-D22</f>
        <v>0</v>
      </c>
      <c r="E20" s="733">
        <f>24-E21-E22</f>
        <v>6.3000000000000007</v>
      </c>
      <c r="F20" s="733"/>
      <c r="G20" s="1418"/>
    </row>
    <row r="21" spans="1:7" ht="18" customHeight="1" thickBot="1" x14ac:dyDescent="0.3">
      <c r="A21" s="1437"/>
      <c r="B21" s="448" t="s">
        <v>103</v>
      </c>
      <c r="C21" s="1077">
        <v>24</v>
      </c>
      <c r="D21" s="1077">
        <v>24</v>
      </c>
      <c r="E21" s="731">
        <v>17.7</v>
      </c>
      <c r="F21" s="731"/>
      <c r="G21" s="1418"/>
    </row>
    <row r="22" spans="1:7" ht="18" customHeight="1" thickBot="1" x14ac:dyDescent="0.3">
      <c r="A22" s="1438"/>
      <c r="B22" s="457" t="s">
        <v>104</v>
      </c>
      <c r="C22" s="1280">
        <v>0</v>
      </c>
      <c r="D22" s="1280">
        <v>0</v>
      </c>
      <c r="E22" s="734">
        <v>0</v>
      </c>
      <c r="F22" s="734"/>
      <c r="G22" s="1418"/>
    </row>
    <row r="23" spans="1:7" ht="18" customHeight="1" thickBot="1" x14ac:dyDescent="0.3">
      <c r="A23" s="1436">
        <v>45052</v>
      </c>
      <c r="B23" s="453" t="s">
        <v>17</v>
      </c>
      <c r="C23" s="1278">
        <v>1</v>
      </c>
      <c r="D23" s="1278">
        <v>1</v>
      </c>
      <c r="E23" s="709">
        <v>1</v>
      </c>
      <c r="F23" s="709"/>
      <c r="G23" s="1453"/>
    </row>
    <row r="24" spans="1:7" ht="18" customHeight="1" thickBot="1" x14ac:dyDescent="0.3">
      <c r="A24" s="1437"/>
      <c r="B24" s="453" t="s">
        <v>102</v>
      </c>
      <c r="C24" s="1279">
        <f>24-C25-C26</f>
        <v>0</v>
      </c>
      <c r="D24" s="1279">
        <f>24-D25-D26</f>
        <v>0</v>
      </c>
      <c r="E24" s="733">
        <f>24-E25-E26</f>
        <v>0</v>
      </c>
      <c r="F24" s="733"/>
      <c r="G24" s="1418"/>
    </row>
    <row r="25" spans="1:7" ht="18" customHeight="1" thickBot="1" x14ac:dyDescent="0.3">
      <c r="A25" s="1437"/>
      <c r="B25" s="448" t="s">
        <v>103</v>
      </c>
      <c r="C25" s="1077">
        <v>24</v>
      </c>
      <c r="D25" s="1077">
        <v>24</v>
      </c>
      <c r="E25" s="1077">
        <v>24</v>
      </c>
      <c r="F25" s="731"/>
      <c r="G25" s="1418"/>
    </row>
    <row r="26" spans="1:7" ht="18" customHeight="1" thickBot="1" x14ac:dyDescent="0.3">
      <c r="A26" s="1438"/>
      <c r="B26" s="457" t="s">
        <v>104</v>
      </c>
      <c r="C26" s="1280">
        <v>0</v>
      </c>
      <c r="D26" s="1280">
        <v>0</v>
      </c>
      <c r="E26" s="734">
        <v>0</v>
      </c>
      <c r="F26" s="734"/>
      <c r="G26" s="1418"/>
    </row>
    <row r="27" spans="1:7" ht="18" customHeight="1" thickBot="1" x14ac:dyDescent="0.3">
      <c r="A27" s="1436">
        <v>45053</v>
      </c>
      <c r="B27" s="453" t="s">
        <v>17</v>
      </c>
      <c r="C27" s="1278">
        <v>1</v>
      </c>
      <c r="D27" s="1278">
        <v>1</v>
      </c>
      <c r="E27" s="709">
        <v>1</v>
      </c>
      <c r="F27" s="709"/>
      <c r="G27" s="1453" t="s">
        <v>5576</v>
      </c>
    </row>
    <row r="28" spans="1:7" ht="18" customHeight="1" thickBot="1" x14ac:dyDescent="0.3">
      <c r="A28" s="1437"/>
      <c r="B28" s="453" t="s">
        <v>102</v>
      </c>
      <c r="C28" s="1279">
        <f>24-C29-C30</f>
        <v>21.75</v>
      </c>
      <c r="D28" s="1279">
        <f>24-D29-D30</f>
        <v>21.6</v>
      </c>
      <c r="E28" s="733">
        <f>24-E29-E30</f>
        <v>21.92</v>
      </c>
      <c r="F28" s="733"/>
      <c r="G28" s="1418"/>
    </row>
    <row r="29" spans="1:7" ht="18" customHeight="1" thickBot="1" x14ac:dyDescent="0.3">
      <c r="A29" s="1437"/>
      <c r="B29" s="448" t="s">
        <v>103</v>
      </c>
      <c r="C29" s="1077">
        <v>2.25</v>
      </c>
      <c r="D29" s="1077">
        <v>2.4</v>
      </c>
      <c r="E29" s="1077">
        <v>2.08</v>
      </c>
      <c r="F29" s="731"/>
      <c r="G29" s="1418"/>
    </row>
    <row r="30" spans="1:7" ht="18" customHeight="1" thickBot="1" x14ac:dyDescent="0.3">
      <c r="A30" s="1438"/>
      <c r="B30" s="457" t="s">
        <v>104</v>
      </c>
      <c r="C30" s="1280">
        <v>0</v>
      </c>
      <c r="D30" s="1280">
        <v>0</v>
      </c>
      <c r="E30" s="734">
        <v>0</v>
      </c>
      <c r="F30" s="734"/>
      <c r="G30" s="1418"/>
    </row>
    <row r="31" spans="1:7" ht="18" customHeight="1" thickBot="1" x14ac:dyDescent="0.3">
      <c r="A31" s="1436">
        <v>45054</v>
      </c>
      <c r="B31" s="453" t="s">
        <v>17</v>
      </c>
      <c r="C31" s="1278">
        <v>1</v>
      </c>
      <c r="D31" s="1278">
        <v>1</v>
      </c>
      <c r="E31" s="709">
        <v>1</v>
      </c>
      <c r="F31" s="709"/>
      <c r="G31" s="1453" t="s">
        <v>5593</v>
      </c>
    </row>
    <row r="32" spans="1:7" ht="18" customHeight="1" thickBot="1" x14ac:dyDescent="0.3">
      <c r="A32" s="1437"/>
      <c r="B32" s="453" t="s">
        <v>102</v>
      </c>
      <c r="C32" s="1279">
        <f>24-C33-C34</f>
        <v>24</v>
      </c>
      <c r="D32" s="1279">
        <f>24-D33-D34</f>
        <v>12.15</v>
      </c>
      <c r="E32" s="733">
        <f>24-E33-E34</f>
        <v>24</v>
      </c>
      <c r="F32" s="733"/>
      <c r="G32" s="1418"/>
    </row>
    <row r="33" spans="1:7" ht="18" customHeight="1" thickBot="1" x14ac:dyDescent="0.3">
      <c r="A33" s="1437"/>
      <c r="B33" s="448" t="s">
        <v>103</v>
      </c>
      <c r="C33" s="1077">
        <v>0</v>
      </c>
      <c r="D33" s="1077">
        <v>11.85</v>
      </c>
      <c r="E33" s="1077">
        <v>0</v>
      </c>
      <c r="F33" s="731"/>
      <c r="G33" s="1418"/>
    </row>
    <row r="34" spans="1:7" ht="18" customHeight="1" thickBot="1" x14ac:dyDescent="0.3">
      <c r="A34" s="1438"/>
      <c r="B34" s="457" t="s">
        <v>104</v>
      </c>
      <c r="C34" s="1280">
        <v>0</v>
      </c>
      <c r="D34" s="1280">
        <v>0</v>
      </c>
      <c r="E34" s="734">
        <v>0</v>
      </c>
      <c r="F34" s="734"/>
      <c r="G34" s="1418"/>
    </row>
    <row r="35" spans="1:7" ht="18" customHeight="1" thickBot="1" x14ac:dyDescent="0.3">
      <c r="A35" s="1436">
        <v>45055</v>
      </c>
      <c r="B35" s="453" t="s">
        <v>17</v>
      </c>
      <c r="C35" s="1278">
        <v>1</v>
      </c>
      <c r="D35" s="1278">
        <v>1</v>
      </c>
      <c r="E35" s="709">
        <v>1</v>
      </c>
      <c r="F35" s="709"/>
      <c r="G35" s="1453" t="s">
        <v>5599</v>
      </c>
    </row>
    <row r="36" spans="1:7" ht="18" customHeight="1" thickBot="1" x14ac:dyDescent="0.3">
      <c r="A36" s="1437"/>
      <c r="B36" s="453" t="s">
        <v>102</v>
      </c>
      <c r="C36" s="1279">
        <f>24-C37-C38</f>
        <v>24</v>
      </c>
      <c r="D36" s="1279">
        <f>24-D37-D38</f>
        <v>13.4</v>
      </c>
      <c r="E36" s="733">
        <f>24-E37-E38</f>
        <v>24</v>
      </c>
      <c r="F36" s="733"/>
      <c r="G36" s="1418"/>
    </row>
    <row r="37" spans="1:7" ht="18" customHeight="1" thickBot="1" x14ac:dyDescent="0.3">
      <c r="A37" s="1437"/>
      <c r="B37" s="448" t="s">
        <v>103</v>
      </c>
      <c r="C37" s="1077">
        <v>0</v>
      </c>
      <c r="D37" s="1077">
        <v>10.6</v>
      </c>
      <c r="E37" s="1077">
        <v>0</v>
      </c>
      <c r="F37" s="731"/>
      <c r="G37" s="1418"/>
    </row>
    <row r="38" spans="1:7" ht="18" customHeight="1" thickBot="1" x14ac:dyDescent="0.3">
      <c r="A38" s="1438"/>
      <c r="B38" s="457" t="s">
        <v>104</v>
      </c>
      <c r="C38" s="1280">
        <v>0</v>
      </c>
      <c r="D38" s="1280">
        <v>0</v>
      </c>
      <c r="E38" s="734">
        <v>0</v>
      </c>
      <c r="F38" s="734"/>
      <c r="G38" s="1418"/>
    </row>
    <row r="39" spans="1:7" ht="18" customHeight="1" thickBot="1" x14ac:dyDescent="0.3">
      <c r="A39" s="1436">
        <v>45056</v>
      </c>
      <c r="B39" s="453" t="s">
        <v>17</v>
      </c>
      <c r="C39" s="1278">
        <v>1</v>
      </c>
      <c r="D39" s="1278">
        <v>1</v>
      </c>
      <c r="E39" s="709">
        <v>1</v>
      </c>
      <c r="F39" s="709"/>
      <c r="G39" s="1453" t="s">
        <v>5611</v>
      </c>
    </row>
    <row r="40" spans="1:7" ht="18" customHeight="1" thickBot="1" x14ac:dyDescent="0.3">
      <c r="A40" s="1437"/>
      <c r="B40" s="453" t="s">
        <v>102</v>
      </c>
      <c r="C40" s="1279">
        <f>24-C41-C42</f>
        <v>20.94</v>
      </c>
      <c r="D40" s="1279">
        <f>24-D41-D42</f>
        <v>14.45</v>
      </c>
      <c r="E40" s="733">
        <f>24-E41-E42</f>
        <v>24</v>
      </c>
      <c r="F40" s="733"/>
      <c r="G40" s="1418"/>
    </row>
    <row r="41" spans="1:7" ht="18" customHeight="1" thickBot="1" x14ac:dyDescent="0.3">
      <c r="A41" s="1437"/>
      <c r="B41" s="448" t="s">
        <v>103</v>
      </c>
      <c r="C41" s="1077">
        <v>3.06</v>
      </c>
      <c r="D41" s="1077">
        <v>9.5500000000000007</v>
      </c>
      <c r="E41" s="1077">
        <v>0</v>
      </c>
      <c r="F41" s="731"/>
      <c r="G41" s="1418"/>
    </row>
    <row r="42" spans="1:7" ht="18" customHeight="1" thickBot="1" x14ac:dyDescent="0.3">
      <c r="A42" s="1438"/>
      <c r="B42" s="457" t="s">
        <v>104</v>
      </c>
      <c r="C42" s="1280">
        <v>0</v>
      </c>
      <c r="D42" s="1280">
        <v>0</v>
      </c>
      <c r="E42" s="734">
        <v>0</v>
      </c>
      <c r="F42" s="734"/>
      <c r="G42" s="1423"/>
    </row>
    <row r="43" spans="1:7" ht="18" customHeight="1" thickBot="1" x14ac:dyDescent="0.3">
      <c r="A43" s="1436">
        <v>45057</v>
      </c>
      <c r="B43" s="453" t="s">
        <v>17</v>
      </c>
      <c r="C43" s="1278">
        <v>1</v>
      </c>
      <c r="D43" s="1278">
        <v>1</v>
      </c>
      <c r="E43" s="709">
        <v>1</v>
      </c>
      <c r="F43" s="709"/>
      <c r="G43" s="1453" t="s">
        <v>5610</v>
      </c>
    </row>
    <row r="44" spans="1:7" ht="18" customHeight="1" thickBot="1" x14ac:dyDescent="0.3">
      <c r="A44" s="1437"/>
      <c r="B44" s="453" t="s">
        <v>102</v>
      </c>
      <c r="C44" s="1279">
        <f>24-C45-C46</f>
        <v>0</v>
      </c>
      <c r="D44" s="1279">
        <f>24-D45-D46</f>
        <v>12.54</v>
      </c>
      <c r="E44" s="733">
        <f>24-E45-E46</f>
        <v>24</v>
      </c>
      <c r="F44" s="733"/>
      <c r="G44" s="1418"/>
    </row>
    <row r="45" spans="1:7" ht="18" customHeight="1" thickBot="1" x14ac:dyDescent="0.3">
      <c r="A45" s="1437"/>
      <c r="B45" s="448" t="s">
        <v>103</v>
      </c>
      <c r="C45" s="1077">
        <v>24</v>
      </c>
      <c r="D45" s="1077">
        <v>11.46</v>
      </c>
      <c r="E45" s="1077">
        <v>0</v>
      </c>
      <c r="F45" s="731"/>
      <c r="G45" s="1418"/>
    </row>
    <row r="46" spans="1:7" ht="18" customHeight="1" thickBot="1" x14ac:dyDescent="0.3">
      <c r="A46" s="1438"/>
      <c r="B46" s="457" t="s">
        <v>104</v>
      </c>
      <c r="C46" s="1280">
        <v>0</v>
      </c>
      <c r="D46" s="1280">
        <v>0</v>
      </c>
      <c r="E46" s="734">
        <v>0</v>
      </c>
      <c r="F46" s="734"/>
      <c r="G46" s="1423"/>
    </row>
    <row r="47" spans="1:7" ht="18" customHeight="1" thickBot="1" x14ac:dyDescent="0.3">
      <c r="A47" s="1436">
        <v>45058</v>
      </c>
      <c r="B47" s="453" t="s">
        <v>17</v>
      </c>
      <c r="C47" s="1278">
        <v>1</v>
      </c>
      <c r="D47" s="1278">
        <v>1</v>
      </c>
      <c r="E47" s="709">
        <v>1</v>
      </c>
      <c r="F47" s="709"/>
      <c r="G47" s="1453"/>
    </row>
    <row r="48" spans="1:7" ht="18" customHeight="1" thickBot="1" x14ac:dyDescent="0.3">
      <c r="A48" s="1437"/>
      <c r="B48" s="453" t="s">
        <v>102</v>
      </c>
      <c r="C48" s="1279">
        <f>24-C49-C50</f>
        <v>0</v>
      </c>
      <c r="D48" s="1279">
        <f>24-D49-D50</f>
        <v>24</v>
      </c>
      <c r="E48" s="733">
        <f>24-E49-E50</f>
        <v>24</v>
      </c>
      <c r="F48" s="733"/>
      <c r="G48" s="1418"/>
    </row>
    <row r="49" spans="1:7" ht="18" customHeight="1" thickBot="1" x14ac:dyDescent="0.3">
      <c r="A49" s="1437"/>
      <c r="B49" s="448" t="s">
        <v>103</v>
      </c>
      <c r="C49" s="1077">
        <v>24</v>
      </c>
      <c r="D49" s="1077">
        <v>0</v>
      </c>
      <c r="E49" s="1077">
        <v>0</v>
      </c>
      <c r="F49" s="731"/>
      <c r="G49" s="1418"/>
    </row>
    <row r="50" spans="1:7" ht="18" customHeight="1" thickBot="1" x14ac:dyDescent="0.3">
      <c r="A50" s="1438"/>
      <c r="B50" s="457" t="s">
        <v>104</v>
      </c>
      <c r="C50" s="1280">
        <v>0</v>
      </c>
      <c r="D50" s="1280">
        <v>0</v>
      </c>
      <c r="E50" s="734">
        <v>0</v>
      </c>
      <c r="F50" s="734"/>
      <c r="G50" s="1418"/>
    </row>
    <row r="51" spans="1:7" ht="18" customHeight="1" thickBot="1" x14ac:dyDescent="0.3">
      <c r="A51" s="1436">
        <v>45059</v>
      </c>
      <c r="B51" s="453" t="s">
        <v>17</v>
      </c>
      <c r="C51" s="1278">
        <v>1</v>
      </c>
      <c r="D51" s="1278">
        <v>1</v>
      </c>
      <c r="E51" s="709">
        <v>1</v>
      </c>
      <c r="F51" s="709"/>
      <c r="G51" s="1453" t="s">
        <v>5626</v>
      </c>
    </row>
    <row r="52" spans="1:7" ht="18" customHeight="1" thickBot="1" x14ac:dyDescent="0.3">
      <c r="A52" s="1437"/>
      <c r="B52" s="453" t="s">
        <v>102</v>
      </c>
      <c r="C52" s="1279">
        <f>24-C53-C54</f>
        <v>0</v>
      </c>
      <c r="D52" s="1279">
        <f>24-D53-D54</f>
        <v>9.07</v>
      </c>
      <c r="E52" s="733">
        <f>24-E53-E54</f>
        <v>24</v>
      </c>
      <c r="F52" s="733"/>
      <c r="G52" s="1418"/>
    </row>
    <row r="53" spans="1:7" ht="18" customHeight="1" thickBot="1" x14ac:dyDescent="0.3">
      <c r="A53" s="1437"/>
      <c r="B53" s="448" t="s">
        <v>103</v>
      </c>
      <c r="C53" s="1077">
        <v>24</v>
      </c>
      <c r="D53" s="1077">
        <v>14.93</v>
      </c>
      <c r="E53" s="1077">
        <v>0</v>
      </c>
      <c r="F53" s="731"/>
      <c r="G53" s="1418"/>
    </row>
    <row r="54" spans="1:7" ht="18" customHeight="1" thickBot="1" x14ac:dyDescent="0.3">
      <c r="A54" s="1438"/>
      <c r="B54" s="457" t="s">
        <v>104</v>
      </c>
      <c r="C54" s="1280">
        <v>0</v>
      </c>
      <c r="D54" s="1280">
        <v>0</v>
      </c>
      <c r="E54" s="734">
        <v>0</v>
      </c>
      <c r="F54" s="734"/>
      <c r="G54" s="1418"/>
    </row>
    <row r="55" spans="1:7" ht="18" customHeight="1" thickBot="1" x14ac:dyDescent="0.3">
      <c r="A55" s="1436">
        <v>45060</v>
      </c>
      <c r="B55" s="453" t="s">
        <v>17</v>
      </c>
      <c r="C55" s="1278">
        <v>1</v>
      </c>
      <c r="D55" s="1278">
        <v>1</v>
      </c>
      <c r="E55" s="709">
        <v>1</v>
      </c>
      <c r="F55" s="709"/>
      <c r="G55" s="1453" t="s">
        <v>5635</v>
      </c>
    </row>
    <row r="56" spans="1:7" ht="18" customHeight="1" thickBot="1" x14ac:dyDescent="0.3">
      <c r="A56" s="1437"/>
      <c r="B56" s="453" t="s">
        <v>102</v>
      </c>
      <c r="C56" s="1279">
        <f>24-C57-C58</f>
        <v>0</v>
      </c>
      <c r="D56" s="1279">
        <f>24-D57-D58</f>
        <v>12.88</v>
      </c>
      <c r="E56" s="733">
        <f>24-E57-E58</f>
        <v>24</v>
      </c>
      <c r="F56" s="733"/>
      <c r="G56" s="1418"/>
    </row>
    <row r="57" spans="1:7" ht="18" customHeight="1" thickBot="1" x14ac:dyDescent="0.3">
      <c r="A57" s="1437"/>
      <c r="B57" s="448" t="s">
        <v>103</v>
      </c>
      <c r="C57" s="1077">
        <v>24</v>
      </c>
      <c r="D57" s="1077">
        <v>11.12</v>
      </c>
      <c r="E57" s="1077">
        <v>0</v>
      </c>
      <c r="F57" s="731"/>
      <c r="G57" s="1418"/>
    </row>
    <row r="58" spans="1:7" ht="18" customHeight="1" thickBot="1" x14ac:dyDescent="0.3">
      <c r="A58" s="1438"/>
      <c r="B58" s="457" t="s">
        <v>104</v>
      </c>
      <c r="C58" s="1280">
        <v>0</v>
      </c>
      <c r="D58" s="1280">
        <v>0</v>
      </c>
      <c r="E58" s="734">
        <v>0</v>
      </c>
      <c r="F58" s="734"/>
      <c r="G58" s="1423"/>
    </row>
    <row r="59" spans="1:7" ht="18" customHeight="1" thickBot="1" x14ac:dyDescent="0.3">
      <c r="A59" s="1436">
        <v>45061</v>
      </c>
      <c r="B59" s="453" t="s">
        <v>17</v>
      </c>
      <c r="C59" s="1278">
        <v>1</v>
      </c>
      <c r="D59" s="1278">
        <v>1</v>
      </c>
      <c r="E59" s="709">
        <v>1</v>
      </c>
      <c r="F59" s="709"/>
      <c r="G59" s="1464" t="s">
        <v>5644</v>
      </c>
    </row>
    <row r="60" spans="1:7" ht="18" customHeight="1" thickBot="1" x14ac:dyDescent="0.3">
      <c r="A60" s="1437"/>
      <c r="B60" s="453" t="s">
        <v>102</v>
      </c>
      <c r="C60" s="1279">
        <f>24-C61-C62</f>
        <v>0</v>
      </c>
      <c r="D60" s="1279">
        <f>24-D61-D62</f>
        <v>18.64</v>
      </c>
      <c r="E60" s="733">
        <f>24-E61-E62</f>
        <v>24</v>
      </c>
      <c r="F60" s="733"/>
      <c r="G60" s="1465"/>
    </row>
    <row r="61" spans="1:7" ht="18" customHeight="1" thickBot="1" x14ac:dyDescent="0.3">
      <c r="A61" s="1437"/>
      <c r="B61" s="448" t="s">
        <v>103</v>
      </c>
      <c r="C61" s="1077">
        <v>24</v>
      </c>
      <c r="D61" s="1077">
        <v>5.36</v>
      </c>
      <c r="E61" s="1077">
        <v>0</v>
      </c>
      <c r="F61" s="731"/>
      <c r="G61" s="1465"/>
    </row>
    <row r="62" spans="1:7" ht="18" customHeight="1" thickBot="1" x14ac:dyDescent="0.3">
      <c r="A62" s="1438"/>
      <c r="B62" s="457" t="s">
        <v>104</v>
      </c>
      <c r="C62" s="1280">
        <v>0</v>
      </c>
      <c r="D62" s="1280">
        <v>0</v>
      </c>
      <c r="E62" s="734">
        <v>0</v>
      </c>
      <c r="F62" s="734"/>
      <c r="G62" s="1465"/>
    </row>
    <row r="63" spans="1:7" ht="18" customHeight="1" thickBot="1" x14ac:dyDescent="0.3">
      <c r="A63" s="1436">
        <v>45062</v>
      </c>
      <c r="B63" s="453" t="s">
        <v>17</v>
      </c>
      <c r="C63" s="1278">
        <v>1</v>
      </c>
      <c r="D63" s="709">
        <v>1</v>
      </c>
      <c r="E63" s="709">
        <v>1</v>
      </c>
      <c r="F63" s="709"/>
      <c r="G63" s="1453"/>
    </row>
    <row r="64" spans="1:7" ht="18" customHeight="1" thickBot="1" x14ac:dyDescent="0.3">
      <c r="A64" s="1437"/>
      <c r="B64" s="453" t="s">
        <v>102</v>
      </c>
      <c r="C64" s="1279">
        <f>24-C65-C66</f>
        <v>0</v>
      </c>
      <c r="D64" s="733">
        <f>24-D65-D66</f>
        <v>10.27</v>
      </c>
      <c r="E64" s="733">
        <f>24-E65-E66</f>
        <v>24</v>
      </c>
      <c r="F64" s="733"/>
      <c r="G64" s="1418"/>
    </row>
    <row r="65" spans="1:7" ht="18" customHeight="1" thickBot="1" x14ac:dyDescent="0.3">
      <c r="A65" s="1437"/>
      <c r="B65" s="448" t="s">
        <v>103</v>
      </c>
      <c r="C65" s="1077">
        <v>24</v>
      </c>
      <c r="D65" s="1077">
        <v>13.73</v>
      </c>
      <c r="E65" s="1077">
        <v>0</v>
      </c>
      <c r="F65" s="731"/>
      <c r="G65" s="1418"/>
    </row>
    <row r="66" spans="1:7" ht="18" customHeight="1" thickBot="1" x14ac:dyDescent="0.3">
      <c r="A66" s="1438"/>
      <c r="B66" s="457" t="s">
        <v>104</v>
      </c>
      <c r="C66" s="1280">
        <v>0</v>
      </c>
      <c r="D66" s="734">
        <v>0</v>
      </c>
      <c r="E66" s="734">
        <v>0</v>
      </c>
      <c r="F66" s="734"/>
      <c r="G66" s="1423"/>
    </row>
    <row r="67" spans="1:7" ht="18" customHeight="1" thickBot="1" x14ac:dyDescent="0.3">
      <c r="A67" s="1436">
        <v>45063</v>
      </c>
      <c r="B67" s="453" t="s">
        <v>17</v>
      </c>
      <c r="C67" s="1278">
        <v>1</v>
      </c>
      <c r="D67" s="1278">
        <v>1</v>
      </c>
      <c r="E67" s="709">
        <v>1</v>
      </c>
      <c r="F67" s="709"/>
      <c r="G67" s="1453" t="s">
        <v>5648</v>
      </c>
    </row>
    <row r="68" spans="1:7" ht="18" customHeight="1" thickBot="1" x14ac:dyDescent="0.3">
      <c r="A68" s="1437"/>
      <c r="B68" s="453" t="s">
        <v>102</v>
      </c>
      <c r="C68" s="1279">
        <f>24-C69-C70</f>
        <v>0</v>
      </c>
      <c r="D68" s="1279">
        <f>24-D69-D70</f>
        <v>11.15</v>
      </c>
      <c r="E68" s="733">
        <f>24-E69-E70</f>
        <v>24</v>
      </c>
      <c r="F68" s="733"/>
      <c r="G68" s="1418"/>
    </row>
    <row r="69" spans="1:7" ht="18" customHeight="1" thickBot="1" x14ac:dyDescent="0.3">
      <c r="A69" s="1437"/>
      <c r="B69" s="448" t="s">
        <v>103</v>
      </c>
      <c r="C69" s="1077">
        <v>24</v>
      </c>
      <c r="D69" s="1077">
        <v>12.85</v>
      </c>
      <c r="E69" s="1077">
        <v>0</v>
      </c>
      <c r="F69" s="731"/>
      <c r="G69" s="1418"/>
    </row>
    <row r="70" spans="1:7" ht="18" customHeight="1" thickBot="1" x14ac:dyDescent="0.3">
      <c r="A70" s="1438"/>
      <c r="B70" s="457" t="s">
        <v>104</v>
      </c>
      <c r="C70" s="1280">
        <v>0</v>
      </c>
      <c r="D70" s="1280">
        <v>0</v>
      </c>
      <c r="E70" s="734">
        <v>0</v>
      </c>
      <c r="F70" s="734"/>
      <c r="G70" s="1423"/>
    </row>
    <row r="71" spans="1:7" ht="18" customHeight="1" thickBot="1" x14ac:dyDescent="0.3">
      <c r="A71" s="1436">
        <v>45064</v>
      </c>
      <c r="B71" s="453" t="s">
        <v>17</v>
      </c>
      <c r="C71" s="1278">
        <v>1</v>
      </c>
      <c r="D71" s="1278">
        <v>1</v>
      </c>
      <c r="E71" s="709">
        <v>1</v>
      </c>
      <c r="F71" s="709"/>
      <c r="G71" s="1447" t="s">
        <v>5651</v>
      </c>
    </row>
    <row r="72" spans="1:7" ht="18" customHeight="1" thickBot="1" x14ac:dyDescent="0.3">
      <c r="A72" s="1437"/>
      <c r="B72" s="453" t="s">
        <v>102</v>
      </c>
      <c r="C72" s="1279">
        <f>24-C73-C74</f>
        <v>19.600000000000001</v>
      </c>
      <c r="D72" s="1279">
        <f>24-D73-D74</f>
        <v>20.77</v>
      </c>
      <c r="E72" s="733">
        <f>24-E73-E74</f>
        <v>24</v>
      </c>
      <c r="F72" s="733"/>
      <c r="G72" s="1454"/>
    </row>
    <row r="73" spans="1:7" ht="18" customHeight="1" thickBot="1" x14ac:dyDescent="0.3">
      <c r="A73" s="1437"/>
      <c r="B73" s="448" t="s">
        <v>103</v>
      </c>
      <c r="C73" s="1077">
        <v>4.4000000000000004</v>
      </c>
      <c r="D73" s="1077">
        <v>3.23</v>
      </c>
      <c r="E73" s="1077">
        <v>0</v>
      </c>
      <c r="F73" s="731"/>
      <c r="G73" s="1454"/>
    </row>
    <row r="74" spans="1:7" ht="18" customHeight="1" thickBot="1" x14ac:dyDescent="0.3">
      <c r="A74" s="1438"/>
      <c r="B74" s="457" t="s">
        <v>104</v>
      </c>
      <c r="C74" s="1280">
        <v>0</v>
      </c>
      <c r="D74" s="1280">
        <v>0</v>
      </c>
      <c r="E74" s="734">
        <v>0</v>
      </c>
      <c r="F74" s="734"/>
      <c r="G74" s="1455"/>
    </row>
    <row r="75" spans="1:7" ht="18" customHeight="1" thickBot="1" x14ac:dyDescent="0.3">
      <c r="A75" s="1436">
        <v>45065</v>
      </c>
      <c r="B75" s="453" t="s">
        <v>17</v>
      </c>
      <c r="C75" s="1278">
        <v>1</v>
      </c>
      <c r="D75" s="1278">
        <v>1</v>
      </c>
      <c r="E75" s="709">
        <v>1</v>
      </c>
      <c r="F75" s="709"/>
      <c r="G75" s="1447" t="s">
        <v>5661</v>
      </c>
    </row>
    <row r="76" spans="1:7" ht="18" customHeight="1" thickBot="1" x14ac:dyDescent="0.3">
      <c r="A76" s="1437"/>
      <c r="B76" s="453" t="s">
        <v>102</v>
      </c>
      <c r="C76" s="1279">
        <f>24-C77-C78</f>
        <v>17.399999999999999</v>
      </c>
      <c r="D76" s="1279">
        <f>24-D77-D78</f>
        <v>2.129999999999999</v>
      </c>
      <c r="E76" s="733">
        <f>24-E77-E78</f>
        <v>24</v>
      </c>
      <c r="F76" s="733"/>
      <c r="G76" s="1448"/>
    </row>
    <row r="77" spans="1:7" ht="18" customHeight="1" thickBot="1" x14ac:dyDescent="0.3">
      <c r="A77" s="1437"/>
      <c r="B77" s="448" t="s">
        <v>103</v>
      </c>
      <c r="C77" s="1077">
        <v>6.6</v>
      </c>
      <c r="D77" s="1077">
        <v>21.87</v>
      </c>
      <c r="E77" s="1077">
        <v>0</v>
      </c>
      <c r="F77" s="731"/>
      <c r="G77" s="1448"/>
    </row>
    <row r="78" spans="1:7" ht="18" customHeight="1" thickBot="1" x14ac:dyDescent="0.3">
      <c r="A78" s="1438"/>
      <c r="B78" s="457" t="s">
        <v>104</v>
      </c>
      <c r="C78" s="1280">
        <v>0</v>
      </c>
      <c r="D78" s="1280">
        <v>0</v>
      </c>
      <c r="E78" s="734">
        <v>0</v>
      </c>
      <c r="F78" s="734"/>
      <c r="G78" s="1449"/>
    </row>
    <row r="79" spans="1:7" ht="18" customHeight="1" thickBot="1" x14ac:dyDescent="0.3">
      <c r="A79" s="1436">
        <v>45066</v>
      </c>
      <c r="B79" s="453" t="s">
        <v>17</v>
      </c>
      <c r="C79" s="1278">
        <v>1</v>
      </c>
      <c r="D79" s="1278">
        <v>1</v>
      </c>
      <c r="E79" s="709">
        <v>1</v>
      </c>
      <c r="F79" s="709"/>
      <c r="G79" s="1447"/>
    </row>
    <row r="80" spans="1:7" ht="18" customHeight="1" thickBot="1" x14ac:dyDescent="0.3">
      <c r="A80" s="1437"/>
      <c r="B80" s="453" t="s">
        <v>102</v>
      </c>
      <c r="C80" s="1279">
        <f>24-C81-C82</f>
        <v>0</v>
      </c>
      <c r="D80" s="1279">
        <f>24-D81-D82</f>
        <v>23.72</v>
      </c>
      <c r="E80" s="733">
        <f>24-E81-E82</f>
        <v>24</v>
      </c>
      <c r="F80" s="733"/>
      <c r="G80" s="1448"/>
    </row>
    <row r="81" spans="1:7" ht="18" customHeight="1" thickBot="1" x14ac:dyDescent="0.3">
      <c r="A81" s="1437"/>
      <c r="B81" s="448" t="s">
        <v>103</v>
      </c>
      <c r="C81" s="1077">
        <v>24</v>
      </c>
      <c r="D81" s="1077">
        <v>0.28000000000000003</v>
      </c>
      <c r="E81" s="1077">
        <v>0</v>
      </c>
      <c r="F81" s="731"/>
      <c r="G81" s="1448"/>
    </row>
    <row r="82" spans="1:7" ht="18" customHeight="1" thickBot="1" x14ac:dyDescent="0.3">
      <c r="A82" s="1438"/>
      <c r="B82" s="457" t="s">
        <v>104</v>
      </c>
      <c r="C82" s="1280">
        <v>0</v>
      </c>
      <c r="D82" s="1280">
        <v>0</v>
      </c>
      <c r="E82" s="734">
        <v>0</v>
      </c>
      <c r="F82" s="734"/>
      <c r="G82" s="1448"/>
    </row>
    <row r="83" spans="1:7" ht="18" customHeight="1" thickBot="1" x14ac:dyDescent="0.3">
      <c r="A83" s="1436">
        <v>45067</v>
      </c>
      <c r="B83" s="453" t="s">
        <v>17</v>
      </c>
      <c r="C83" s="1278">
        <v>1</v>
      </c>
      <c r="D83" s="1278">
        <v>1</v>
      </c>
      <c r="E83" s="709">
        <v>1</v>
      </c>
      <c r="F83" s="709"/>
      <c r="G83" s="1462" t="s">
        <v>5668</v>
      </c>
    </row>
    <row r="84" spans="1:7" ht="18" customHeight="1" thickBot="1" x14ac:dyDescent="0.3">
      <c r="A84" s="1437"/>
      <c r="B84" s="453" t="s">
        <v>102</v>
      </c>
      <c r="C84" s="1279">
        <f>24-C85-C86</f>
        <v>0</v>
      </c>
      <c r="D84" s="1279">
        <f>24-D85-D86</f>
        <v>4.0500000000000007</v>
      </c>
      <c r="E84" s="733">
        <f>24-E85-E86</f>
        <v>24</v>
      </c>
      <c r="F84" s="733"/>
      <c r="G84" s="1454"/>
    </row>
    <row r="85" spans="1:7" ht="18" customHeight="1" thickBot="1" x14ac:dyDescent="0.3">
      <c r="A85" s="1437"/>
      <c r="B85" s="448" t="s">
        <v>103</v>
      </c>
      <c r="C85" s="1077">
        <v>24</v>
      </c>
      <c r="D85" s="1077">
        <v>19.95</v>
      </c>
      <c r="E85" s="1077">
        <v>0</v>
      </c>
      <c r="F85" s="731"/>
      <c r="G85" s="1454"/>
    </row>
    <row r="86" spans="1:7" ht="18" customHeight="1" thickBot="1" x14ac:dyDescent="0.3">
      <c r="A86" s="1438"/>
      <c r="B86" s="457" t="s">
        <v>104</v>
      </c>
      <c r="C86" s="1280">
        <v>0</v>
      </c>
      <c r="D86" s="1280">
        <v>0</v>
      </c>
      <c r="E86" s="734">
        <v>0</v>
      </c>
      <c r="F86" s="734"/>
      <c r="G86" s="1455"/>
    </row>
    <row r="87" spans="1:7" ht="18" customHeight="1" thickBot="1" x14ac:dyDescent="0.3">
      <c r="A87" s="1436">
        <v>45068</v>
      </c>
      <c r="B87" s="453" t="s">
        <v>17</v>
      </c>
      <c r="C87" s="1278">
        <v>1</v>
      </c>
      <c r="D87" s="1278">
        <v>1</v>
      </c>
      <c r="E87" s="709">
        <v>1</v>
      </c>
      <c r="F87" s="709"/>
      <c r="G87" s="1447"/>
    </row>
    <row r="88" spans="1:7" ht="18" customHeight="1" thickBot="1" x14ac:dyDescent="0.3">
      <c r="A88" s="1437"/>
      <c r="B88" s="453" t="s">
        <v>102</v>
      </c>
      <c r="C88" s="1279">
        <f>24-C89-C90</f>
        <v>0</v>
      </c>
      <c r="D88" s="1279">
        <f>24-D89-D90</f>
        <v>22</v>
      </c>
      <c r="E88" s="733">
        <f>24-E89-E90</f>
        <v>24</v>
      </c>
      <c r="F88" s="733"/>
      <c r="G88" s="1454"/>
    </row>
    <row r="89" spans="1:7" ht="18" customHeight="1" thickBot="1" x14ac:dyDescent="0.3">
      <c r="A89" s="1437"/>
      <c r="B89" s="448" t="s">
        <v>103</v>
      </c>
      <c r="C89" s="1077">
        <v>24</v>
      </c>
      <c r="D89" s="1077">
        <v>2</v>
      </c>
      <c r="E89" s="1077">
        <v>0</v>
      </c>
      <c r="F89" s="731"/>
      <c r="G89" s="1454"/>
    </row>
    <row r="90" spans="1:7" ht="18" customHeight="1" thickBot="1" x14ac:dyDescent="0.3">
      <c r="A90" s="1438"/>
      <c r="B90" s="457" t="s">
        <v>104</v>
      </c>
      <c r="C90" s="1280">
        <v>0</v>
      </c>
      <c r="D90" s="1280">
        <v>0</v>
      </c>
      <c r="E90" s="734">
        <v>0</v>
      </c>
      <c r="F90" s="734"/>
      <c r="G90" s="1455"/>
    </row>
    <row r="91" spans="1:7" ht="18" customHeight="1" thickBot="1" x14ac:dyDescent="0.3">
      <c r="A91" s="1436">
        <v>45069</v>
      </c>
      <c r="B91" s="453" t="s">
        <v>17</v>
      </c>
      <c r="C91" s="1278">
        <v>1</v>
      </c>
      <c r="D91" s="1278">
        <v>1</v>
      </c>
      <c r="E91" s="709">
        <v>1</v>
      </c>
      <c r="F91" s="709"/>
      <c r="G91" s="1447" t="s">
        <v>5678</v>
      </c>
    </row>
    <row r="92" spans="1:7" ht="18" customHeight="1" thickBot="1" x14ac:dyDescent="0.3">
      <c r="A92" s="1437"/>
      <c r="B92" s="453" t="s">
        <v>102</v>
      </c>
      <c r="C92" s="1279">
        <f>24-C93-C94</f>
        <v>0</v>
      </c>
      <c r="D92" s="1279">
        <f>24-D93-D94</f>
        <v>11.95</v>
      </c>
      <c r="E92" s="733">
        <f>24-E93-E94</f>
        <v>24</v>
      </c>
      <c r="F92" s="733"/>
      <c r="G92" s="1448"/>
    </row>
    <row r="93" spans="1:7" ht="18" customHeight="1" thickBot="1" x14ac:dyDescent="0.3">
      <c r="A93" s="1437"/>
      <c r="B93" s="448" t="s">
        <v>103</v>
      </c>
      <c r="C93" s="1077">
        <v>24</v>
      </c>
      <c r="D93" s="1077">
        <v>12.05</v>
      </c>
      <c r="E93" s="1077">
        <v>0</v>
      </c>
      <c r="F93" s="731"/>
      <c r="G93" s="1448"/>
    </row>
    <row r="94" spans="1:7" ht="18" customHeight="1" thickBot="1" x14ac:dyDescent="0.3">
      <c r="A94" s="1438"/>
      <c r="B94" s="457" t="s">
        <v>104</v>
      </c>
      <c r="C94" s="1280">
        <v>0</v>
      </c>
      <c r="D94" s="1280">
        <v>0</v>
      </c>
      <c r="E94" s="734">
        <v>0</v>
      </c>
      <c r="F94" s="734"/>
      <c r="G94" s="1449"/>
    </row>
    <row r="95" spans="1:7" ht="18" customHeight="1" thickBot="1" x14ac:dyDescent="0.3">
      <c r="A95" s="1436">
        <v>45070</v>
      </c>
      <c r="B95" s="453" t="s">
        <v>17</v>
      </c>
      <c r="C95" s="1278">
        <v>1</v>
      </c>
      <c r="D95" s="1278">
        <v>1</v>
      </c>
      <c r="E95" s="709">
        <v>1</v>
      </c>
      <c r="F95" s="709"/>
      <c r="G95" s="1447" t="s">
        <v>5683</v>
      </c>
    </row>
    <row r="96" spans="1:7" ht="18" customHeight="1" thickBot="1" x14ac:dyDescent="0.3">
      <c r="A96" s="1437"/>
      <c r="B96" s="453" t="s">
        <v>102</v>
      </c>
      <c r="C96" s="1279">
        <f>24-C97-C98</f>
        <v>0</v>
      </c>
      <c r="D96" s="1279">
        <f>24-D97-D98</f>
        <v>10.029999999999999</v>
      </c>
      <c r="E96" s="733">
        <f>24-E97-E98</f>
        <v>24</v>
      </c>
      <c r="F96" s="733"/>
      <c r="G96" s="1448"/>
    </row>
    <row r="97" spans="1:7" ht="18" customHeight="1" thickBot="1" x14ac:dyDescent="0.3">
      <c r="A97" s="1437"/>
      <c r="B97" s="448" t="s">
        <v>103</v>
      </c>
      <c r="C97" s="1077">
        <v>24</v>
      </c>
      <c r="D97" s="1077">
        <v>13.97</v>
      </c>
      <c r="E97" s="1077">
        <v>0</v>
      </c>
      <c r="F97" s="731"/>
      <c r="G97" s="1448"/>
    </row>
    <row r="98" spans="1:7" ht="18" customHeight="1" thickBot="1" x14ac:dyDescent="0.3">
      <c r="A98" s="1438"/>
      <c r="B98" s="457" t="s">
        <v>104</v>
      </c>
      <c r="C98" s="1280">
        <v>0</v>
      </c>
      <c r="D98" s="1280">
        <v>0</v>
      </c>
      <c r="E98" s="734">
        <v>0</v>
      </c>
      <c r="F98" s="734"/>
      <c r="G98" s="1449"/>
    </row>
    <row r="99" spans="1:7" ht="18" customHeight="1" thickBot="1" x14ac:dyDescent="0.3">
      <c r="A99" s="1436">
        <v>45071</v>
      </c>
      <c r="B99" s="453" t="s">
        <v>17</v>
      </c>
      <c r="C99" s="1278">
        <v>1</v>
      </c>
      <c r="D99" s="1278">
        <v>1</v>
      </c>
      <c r="E99" s="709">
        <v>1</v>
      </c>
      <c r="F99" s="709"/>
      <c r="G99" s="1447"/>
    </row>
    <row r="100" spans="1:7" ht="18" customHeight="1" thickBot="1" x14ac:dyDescent="0.3">
      <c r="A100" s="1437"/>
      <c r="B100" s="453" t="s">
        <v>102</v>
      </c>
      <c r="C100" s="1279">
        <f>24-C101-C102</f>
        <v>0</v>
      </c>
      <c r="D100" s="1279">
        <f>24-D101-D102</f>
        <v>0</v>
      </c>
      <c r="E100" s="733">
        <f>24-E101-E102</f>
        <v>24</v>
      </c>
      <c r="F100" s="733"/>
      <c r="G100" s="1448"/>
    </row>
    <row r="101" spans="1:7" ht="18" customHeight="1" thickBot="1" x14ac:dyDescent="0.3">
      <c r="A101" s="1437"/>
      <c r="B101" s="448" t="s">
        <v>103</v>
      </c>
      <c r="C101" s="1077">
        <v>24</v>
      </c>
      <c r="D101" s="1077">
        <v>24</v>
      </c>
      <c r="E101" s="1077">
        <v>0</v>
      </c>
      <c r="F101" s="731"/>
      <c r="G101" s="1448"/>
    </row>
    <row r="102" spans="1:7" ht="18" customHeight="1" thickBot="1" x14ac:dyDescent="0.3">
      <c r="A102" s="1438"/>
      <c r="B102" s="457" t="s">
        <v>104</v>
      </c>
      <c r="C102" s="1280">
        <v>0</v>
      </c>
      <c r="D102" s="1280">
        <v>0</v>
      </c>
      <c r="E102" s="734">
        <v>0</v>
      </c>
      <c r="F102" s="734"/>
      <c r="G102" s="1449"/>
    </row>
    <row r="103" spans="1:7" ht="18" customHeight="1" thickBot="1" x14ac:dyDescent="0.3">
      <c r="A103" s="1436">
        <v>45072</v>
      </c>
      <c r="B103" s="453" t="s">
        <v>17</v>
      </c>
      <c r="C103" s="1278">
        <v>1</v>
      </c>
      <c r="D103" s="1278">
        <v>1</v>
      </c>
      <c r="E103" s="709">
        <v>1</v>
      </c>
      <c r="F103" s="709"/>
      <c r="G103" s="1447" t="s">
        <v>5693</v>
      </c>
    </row>
    <row r="104" spans="1:7" ht="18" customHeight="1" thickBot="1" x14ac:dyDescent="0.3">
      <c r="A104" s="1437"/>
      <c r="B104" s="453" t="s">
        <v>102</v>
      </c>
      <c r="C104" s="1279">
        <f>24-C105-C106</f>
        <v>0</v>
      </c>
      <c r="D104" s="1279">
        <f>24-D105-D106</f>
        <v>10.58</v>
      </c>
      <c r="E104" s="733">
        <f>24-E105-E106</f>
        <v>24</v>
      </c>
      <c r="F104" s="733"/>
      <c r="G104" s="1448"/>
    </row>
    <row r="105" spans="1:7" ht="18" customHeight="1" thickBot="1" x14ac:dyDescent="0.3">
      <c r="A105" s="1437"/>
      <c r="B105" s="448" t="s">
        <v>103</v>
      </c>
      <c r="C105" s="1077">
        <v>24</v>
      </c>
      <c r="D105" s="1077">
        <v>13.42</v>
      </c>
      <c r="E105" s="1077">
        <v>0</v>
      </c>
      <c r="F105" s="731"/>
      <c r="G105" s="1448"/>
    </row>
    <row r="106" spans="1:7" ht="18" customHeight="1" thickBot="1" x14ac:dyDescent="0.3">
      <c r="A106" s="1438"/>
      <c r="B106" s="457" t="s">
        <v>104</v>
      </c>
      <c r="C106" s="1280">
        <v>0</v>
      </c>
      <c r="D106" s="1280">
        <v>0</v>
      </c>
      <c r="E106" s="734">
        <v>0</v>
      </c>
      <c r="F106" s="734"/>
      <c r="G106" s="1449"/>
    </row>
    <row r="107" spans="1:7" ht="18" customHeight="1" thickBot="1" x14ac:dyDescent="0.3">
      <c r="A107" s="1436">
        <v>45073</v>
      </c>
      <c r="B107" s="453" t="s">
        <v>17</v>
      </c>
      <c r="C107" s="1278">
        <v>1</v>
      </c>
      <c r="D107" s="1278">
        <v>1</v>
      </c>
      <c r="E107" s="709">
        <v>1</v>
      </c>
      <c r="F107" s="709"/>
      <c r="G107" s="1447" t="s">
        <v>5697</v>
      </c>
    </row>
    <row r="108" spans="1:7" ht="18" customHeight="1" thickBot="1" x14ac:dyDescent="0.3">
      <c r="A108" s="1437"/>
      <c r="B108" s="453" t="s">
        <v>102</v>
      </c>
      <c r="C108" s="1279">
        <f>24-C109-C110</f>
        <v>0</v>
      </c>
      <c r="D108" s="1279">
        <f>24-D109-D110</f>
        <v>14.27</v>
      </c>
      <c r="E108" s="733">
        <f>24-E109-E110</f>
        <v>24</v>
      </c>
      <c r="F108" s="733"/>
      <c r="G108" s="1448"/>
    </row>
    <row r="109" spans="1:7" ht="18" customHeight="1" thickBot="1" x14ac:dyDescent="0.3">
      <c r="A109" s="1437"/>
      <c r="B109" s="448" t="s">
        <v>103</v>
      </c>
      <c r="C109" s="1077">
        <v>24</v>
      </c>
      <c r="D109" s="1077">
        <v>9.73</v>
      </c>
      <c r="E109" s="1077">
        <v>0</v>
      </c>
      <c r="F109" s="731"/>
      <c r="G109" s="1448"/>
    </row>
    <row r="110" spans="1:7" ht="18" customHeight="1" thickBot="1" x14ac:dyDescent="0.3">
      <c r="A110" s="1438"/>
      <c r="B110" s="457" t="s">
        <v>104</v>
      </c>
      <c r="C110" s="1280">
        <v>0</v>
      </c>
      <c r="D110" s="1280">
        <v>0</v>
      </c>
      <c r="E110" s="734">
        <v>0</v>
      </c>
      <c r="F110" s="734"/>
      <c r="G110" s="1449"/>
    </row>
    <row r="111" spans="1:7" ht="18" customHeight="1" thickBot="1" x14ac:dyDescent="0.3">
      <c r="A111" s="1436">
        <v>45074</v>
      </c>
      <c r="B111" s="453" t="s">
        <v>17</v>
      </c>
      <c r="C111" s="1278">
        <v>1</v>
      </c>
      <c r="D111" s="1278">
        <v>1</v>
      </c>
      <c r="E111" s="709">
        <v>1</v>
      </c>
      <c r="F111" s="709"/>
      <c r="G111" s="1447" t="s">
        <v>5707</v>
      </c>
    </row>
    <row r="112" spans="1:7" ht="18" customHeight="1" thickBot="1" x14ac:dyDescent="0.3">
      <c r="A112" s="1437"/>
      <c r="B112" s="453" t="s">
        <v>102</v>
      </c>
      <c r="C112" s="1279">
        <f>24-C113-C114</f>
        <v>15.83</v>
      </c>
      <c r="D112" s="1279">
        <f>24-D113-D114</f>
        <v>15.83</v>
      </c>
      <c r="E112" s="733">
        <f>24-E113-E114</f>
        <v>24</v>
      </c>
      <c r="F112" s="733"/>
      <c r="G112" s="1448"/>
    </row>
    <row r="113" spans="1:7" ht="18" customHeight="1" thickBot="1" x14ac:dyDescent="0.3">
      <c r="A113" s="1437"/>
      <c r="B113" s="448" t="s">
        <v>103</v>
      </c>
      <c r="C113" s="1077">
        <v>8.17</v>
      </c>
      <c r="D113" s="1077">
        <v>8.17</v>
      </c>
      <c r="E113" s="1077">
        <v>0</v>
      </c>
      <c r="F113" s="731"/>
      <c r="G113" s="1448"/>
    </row>
    <row r="114" spans="1:7" ht="18" customHeight="1" thickBot="1" x14ac:dyDescent="0.3">
      <c r="A114" s="1438"/>
      <c r="B114" s="457" t="s">
        <v>104</v>
      </c>
      <c r="C114" s="1280">
        <v>0</v>
      </c>
      <c r="D114" s="1280">
        <v>0</v>
      </c>
      <c r="E114" s="734">
        <v>0</v>
      </c>
      <c r="F114" s="734"/>
      <c r="G114" s="1449"/>
    </row>
    <row r="115" spans="1:7" ht="18" customHeight="1" thickBot="1" x14ac:dyDescent="0.3">
      <c r="A115" s="1436">
        <v>45075</v>
      </c>
      <c r="B115" s="453" t="s">
        <v>17</v>
      </c>
      <c r="C115" s="1278">
        <v>1</v>
      </c>
      <c r="D115" s="1278">
        <v>1</v>
      </c>
      <c r="E115" s="709">
        <v>1</v>
      </c>
      <c r="F115" s="709"/>
      <c r="G115" s="1447" t="s">
        <v>5712</v>
      </c>
    </row>
    <row r="116" spans="1:7" ht="18" customHeight="1" thickBot="1" x14ac:dyDescent="0.3">
      <c r="A116" s="1437"/>
      <c r="B116" s="453" t="s">
        <v>102</v>
      </c>
      <c r="C116" s="1279">
        <f>24-C117-C118</f>
        <v>24</v>
      </c>
      <c r="D116" s="1279">
        <f>24-D117-D118</f>
        <v>10.17</v>
      </c>
      <c r="E116" s="733">
        <f>24-E117-E118</f>
        <v>24</v>
      </c>
      <c r="F116" s="733"/>
      <c r="G116" s="1448"/>
    </row>
    <row r="117" spans="1:7" ht="18" customHeight="1" thickBot="1" x14ac:dyDescent="0.3">
      <c r="A117" s="1437"/>
      <c r="B117" s="448" t="s">
        <v>103</v>
      </c>
      <c r="C117" s="1077">
        <v>0</v>
      </c>
      <c r="D117" s="1077">
        <v>13.83</v>
      </c>
      <c r="E117" s="1077">
        <v>0</v>
      </c>
      <c r="F117" s="731"/>
      <c r="G117" s="1448"/>
    </row>
    <row r="118" spans="1:7" ht="18" customHeight="1" thickBot="1" x14ac:dyDescent="0.3">
      <c r="A118" s="1438"/>
      <c r="B118" s="457" t="s">
        <v>104</v>
      </c>
      <c r="C118" s="1280">
        <v>0</v>
      </c>
      <c r="D118" s="1280">
        <v>0</v>
      </c>
      <c r="E118" s="734">
        <v>0</v>
      </c>
      <c r="F118" s="734"/>
      <c r="G118" s="1449"/>
    </row>
    <row r="119" spans="1:7" ht="18" customHeight="1" thickBot="1" x14ac:dyDescent="0.3">
      <c r="A119" s="1436">
        <v>45076</v>
      </c>
      <c r="B119" s="453" t="s">
        <v>17</v>
      </c>
      <c r="C119" s="1278">
        <v>1</v>
      </c>
      <c r="D119" s="1278">
        <v>1</v>
      </c>
      <c r="E119" s="709">
        <v>1</v>
      </c>
      <c r="F119" s="709"/>
      <c r="G119" s="1447" t="s">
        <v>5718</v>
      </c>
    </row>
    <row r="120" spans="1:7" ht="18" customHeight="1" thickBot="1" x14ac:dyDescent="0.3">
      <c r="A120" s="1437"/>
      <c r="B120" s="453" t="s">
        <v>102</v>
      </c>
      <c r="C120" s="1279">
        <f>24-C121-C122</f>
        <v>6.8999999999999986</v>
      </c>
      <c r="D120" s="1279">
        <f>24-D121-D122</f>
        <v>20.48</v>
      </c>
      <c r="E120" s="733">
        <f>24-E121-E122</f>
        <v>24</v>
      </c>
      <c r="F120" s="733"/>
      <c r="G120" s="1448"/>
    </row>
    <row r="121" spans="1:7" ht="18" customHeight="1" thickBot="1" x14ac:dyDescent="0.3">
      <c r="A121" s="1437"/>
      <c r="B121" s="448" t="s">
        <v>103</v>
      </c>
      <c r="C121" s="1077">
        <v>17.100000000000001</v>
      </c>
      <c r="D121" s="1077">
        <v>3.52</v>
      </c>
      <c r="E121" s="1077">
        <v>0</v>
      </c>
      <c r="F121" s="731"/>
      <c r="G121" s="1448"/>
    </row>
    <row r="122" spans="1:7" ht="18" customHeight="1" thickBot="1" x14ac:dyDescent="0.3">
      <c r="A122" s="1438"/>
      <c r="B122" s="457" t="s">
        <v>104</v>
      </c>
      <c r="C122" s="1280">
        <v>0</v>
      </c>
      <c r="D122" s="1280">
        <v>0</v>
      </c>
      <c r="E122" s="734">
        <v>0</v>
      </c>
      <c r="F122" s="734"/>
      <c r="G122" s="1449"/>
    </row>
    <row r="123" spans="1:7" ht="18" customHeight="1" thickBot="1" x14ac:dyDescent="0.3">
      <c r="A123" s="1436">
        <v>45077</v>
      </c>
      <c r="B123" s="453" t="s">
        <v>17</v>
      </c>
      <c r="C123" s="709">
        <v>1</v>
      </c>
      <c r="D123" s="709">
        <v>1</v>
      </c>
      <c r="E123" s="709">
        <v>1</v>
      </c>
      <c r="F123" s="709"/>
      <c r="G123" s="1453" t="s">
        <v>5724</v>
      </c>
    </row>
    <row r="124" spans="1:7" ht="18" customHeight="1" thickBot="1" x14ac:dyDescent="0.3">
      <c r="A124" s="1437"/>
      <c r="B124" s="453" t="s">
        <v>102</v>
      </c>
      <c r="C124" s="733">
        <f>24-C125-C126</f>
        <v>0</v>
      </c>
      <c r="D124" s="733">
        <f>24-D125-D126</f>
        <v>10.85</v>
      </c>
      <c r="E124" s="733">
        <f>24-E125-E126</f>
        <v>24</v>
      </c>
      <c r="F124" s="733"/>
      <c r="G124" s="1418"/>
    </row>
    <row r="125" spans="1:7" ht="18" customHeight="1" thickBot="1" x14ac:dyDescent="0.3">
      <c r="A125" s="1437"/>
      <c r="B125" s="448" t="s">
        <v>103</v>
      </c>
      <c r="C125" s="1077">
        <v>24</v>
      </c>
      <c r="D125" s="1077">
        <v>13.15</v>
      </c>
      <c r="E125" s="1077">
        <v>0</v>
      </c>
      <c r="F125" s="731"/>
      <c r="G125" s="1418"/>
    </row>
    <row r="126" spans="1:7" ht="18" customHeight="1" thickBot="1" x14ac:dyDescent="0.3">
      <c r="A126" s="1438"/>
      <c r="B126" s="457" t="s">
        <v>104</v>
      </c>
      <c r="C126" s="734">
        <v>0</v>
      </c>
      <c r="D126" s="734">
        <v>0</v>
      </c>
      <c r="E126" s="734">
        <v>0</v>
      </c>
      <c r="F126" s="734"/>
      <c r="G126" s="1423"/>
    </row>
    <row r="127" spans="1:7" x14ac:dyDescent="0.25">
      <c r="A127" s="464" t="s">
        <v>5548</v>
      </c>
      <c r="B127" s="465"/>
      <c r="C127" s="466">
        <f>SUM(C112,C108,C104,C100,C96,C92,C88,C84,C80,C76,C72,C68,C64,C60,C56,C52,C48,C44,C40,C36,C32,C28,C24,C20,C16,C12,C8,C4,C116,C120,C124)</f>
        <v>221.45</v>
      </c>
      <c r="D127" s="466">
        <f>SUM(D112,D108,D104,D100,D96,D92,D88,D84,D80,D76,D72,D68,D64,D60,D56,D52,D48,D44,D40,D36,D32,D28,D24,D20,D16,D12,D8,D4,D116,D120,D124)</f>
        <v>401.77000000000004</v>
      </c>
      <c r="E127" s="466">
        <f t="shared" ref="E127:F128" si="0">SUM(E112,E108,E104,E100,E96,E92,E88,E84,E80,E76,E72,E68,E64,E60,E56,E52,E48,E44,E40,E36,E32,E28,E24,E20,E16,E12,E8,E4,E116,E120,E124)</f>
        <v>700.21999999999991</v>
      </c>
      <c r="F127" s="466">
        <f t="shared" si="0"/>
        <v>0</v>
      </c>
      <c r="G127" s="468"/>
    </row>
    <row r="128" spans="1:7" x14ac:dyDescent="0.25">
      <c r="A128" s="1281" t="s">
        <v>5549</v>
      </c>
      <c r="B128" s="134"/>
      <c r="C128" s="469">
        <f>SUM(C113,C109,C105,C101,C97,C93,C89,C85,C81,C77,C73,C69,C65,C61,C57,C53,C49,C45,C41,C37,C33,C29,C25,C21,C17,C13,C9,C5,C117,C121,C125)</f>
        <v>522.55000000000007</v>
      </c>
      <c r="D128" s="469">
        <f>SUM(D113,D109,D105,D101,D97,D93,D89,D85,D81,D77,D73,D69,D65,D61,D57,D53,D49,D45,D41,D37,D33,D29,D25,D21,D17,D13,D9,D5,D117,D121,D125)</f>
        <v>342.2299999999999</v>
      </c>
      <c r="E128" s="469">
        <f t="shared" si="0"/>
        <v>43.78</v>
      </c>
      <c r="F128" s="469">
        <f t="shared" si="0"/>
        <v>0</v>
      </c>
      <c r="G128" s="471"/>
    </row>
    <row r="129" spans="1:7" ht="15.75" thickBot="1" x14ac:dyDescent="0.3">
      <c r="A129" s="1282" t="s">
        <v>5550</v>
      </c>
      <c r="B129" s="472"/>
      <c r="C129" s="473">
        <f>SUM(C114,C110,C106,C102,C98,C94,C90,C86,C82,C78,C74,C70,C66,C62,C58,C54,C50,C46,C42,C38,C34,C30,C26,C22,C18,C14,C10,C6,C118,C122,C126)</f>
        <v>0</v>
      </c>
      <c r="D129" s="473">
        <f t="shared" ref="D129:F129" si="1">SUM(D114,D110,D106,D102,D98,D94,D90,D86,D82,D78,D74,D70,D66,D62,D58,D54,D50,D46,D42,D38,D34,D30,D26,D22,D18,D14,D10,D6,D118,D122,D126)</f>
        <v>0</v>
      </c>
      <c r="E129" s="473">
        <f t="shared" si="1"/>
        <v>0</v>
      </c>
      <c r="F129" s="473">
        <f t="shared" si="1"/>
        <v>0</v>
      </c>
      <c r="G129" s="475"/>
    </row>
    <row r="130" spans="1:7" ht="15.75" thickBot="1" x14ac:dyDescent="0.3">
      <c r="A130" s="1450" t="s">
        <v>108</v>
      </c>
      <c r="B130" s="1451"/>
      <c r="C130" s="1451"/>
      <c r="D130" s="1451"/>
      <c r="E130" s="1451"/>
      <c r="F130" s="1451"/>
      <c r="G130" s="1452"/>
    </row>
  </sheetData>
  <mergeCells count="64">
    <mergeCell ref="A11:A14"/>
    <mergeCell ref="G11:G14"/>
    <mergeCell ref="A1:G1"/>
    <mergeCell ref="A3:A6"/>
    <mergeCell ref="G3:G6"/>
    <mergeCell ref="A7:A10"/>
    <mergeCell ref="G7:G10"/>
    <mergeCell ref="A15:A18"/>
    <mergeCell ref="G15:G18"/>
    <mergeCell ref="A19:A22"/>
    <mergeCell ref="G19:G22"/>
    <mergeCell ref="A23:A26"/>
    <mergeCell ref="G23:G26"/>
    <mergeCell ref="A27:A30"/>
    <mergeCell ref="G27:G30"/>
    <mergeCell ref="A31:A34"/>
    <mergeCell ref="G31:G34"/>
    <mergeCell ref="A35:A38"/>
    <mergeCell ref="G35:G38"/>
    <mergeCell ref="A39:A42"/>
    <mergeCell ref="G39:G42"/>
    <mergeCell ref="A43:A46"/>
    <mergeCell ref="G43:G46"/>
    <mergeCell ref="A47:A50"/>
    <mergeCell ref="G47:G50"/>
    <mergeCell ref="A51:A54"/>
    <mergeCell ref="G51:G54"/>
    <mergeCell ref="A55:A58"/>
    <mergeCell ref="G55:G58"/>
    <mergeCell ref="A59:A62"/>
    <mergeCell ref="G59:G62"/>
    <mergeCell ref="A63:A66"/>
    <mergeCell ref="G63:G66"/>
    <mergeCell ref="A67:A70"/>
    <mergeCell ref="G67:G70"/>
    <mergeCell ref="A71:A74"/>
    <mergeCell ref="G71:G74"/>
    <mergeCell ref="A75:A78"/>
    <mergeCell ref="G75:G78"/>
    <mergeCell ref="A79:A82"/>
    <mergeCell ref="G79:G82"/>
    <mergeCell ref="A83:A86"/>
    <mergeCell ref="G83:G86"/>
    <mergeCell ref="A87:A90"/>
    <mergeCell ref="G87:G90"/>
    <mergeCell ref="A91:A94"/>
    <mergeCell ref="G91:G94"/>
    <mergeCell ref="A95:A98"/>
    <mergeCell ref="G95:G98"/>
    <mergeCell ref="A99:A102"/>
    <mergeCell ref="G99:G102"/>
    <mergeCell ref="A103:A106"/>
    <mergeCell ref="G103:G106"/>
    <mergeCell ref="A107:A110"/>
    <mergeCell ref="G107:G110"/>
    <mergeCell ref="A123:A126"/>
    <mergeCell ref="G123:G126"/>
    <mergeCell ref="A130:G130"/>
    <mergeCell ref="A111:A114"/>
    <mergeCell ref="G111:G114"/>
    <mergeCell ref="A115:A118"/>
    <mergeCell ref="G115:G118"/>
    <mergeCell ref="A119:A122"/>
    <mergeCell ref="G119:G122"/>
  </mergeCells>
  <pageMargins left="0.7" right="0.7" top="0.75" bottom="0.75" header="0.3" footer="0.3"/>
  <pageSetup orientation="portrait" horizontalDpi="200" verticalDpi="2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F130"/>
  <sheetViews>
    <sheetView workbookViewId="0">
      <pane xSplit="1" ySplit="2" topLeftCell="B113" activePane="bottomRight" state="frozen"/>
      <selection pane="topRight" activeCell="B1" sqref="B1"/>
      <selection pane="bottomLeft" activeCell="A3" sqref="A3"/>
      <selection pane="bottomRight" activeCell="E126" sqref="E126"/>
    </sheetView>
  </sheetViews>
  <sheetFormatPr defaultRowHeight="15" x14ac:dyDescent="0.25"/>
  <cols>
    <col min="1" max="1" width="16.42578125" customWidth="1"/>
    <col min="2" max="2" width="27.85546875" customWidth="1"/>
    <col min="6" max="6" width="69" customWidth="1"/>
  </cols>
  <sheetData>
    <row r="1" spans="1:6" ht="21.75" thickBot="1" x14ac:dyDescent="0.4">
      <c r="A1" s="1443" t="s">
        <v>73</v>
      </c>
      <c r="B1" s="1443"/>
      <c r="C1" s="1443"/>
      <c r="D1" s="1443"/>
      <c r="E1" s="1443"/>
      <c r="F1" s="1443"/>
    </row>
    <row r="2" spans="1:6" ht="16.5" thickBot="1" x14ac:dyDescent="0.3">
      <c r="A2" s="108" t="s">
        <v>98</v>
      </c>
      <c r="B2" s="608"/>
      <c r="C2" s="607" t="s">
        <v>310</v>
      </c>
      <c r="D2" s="607" t="s">
        <v>239</v>
      </c>
      <c r="E2" s="447" t="s">
        <v>100</v>
      </c>
      <c r="F2" s="111" t="s">
        <v>101</v>
      </c>
    </row>
    <row r="3" spans="1:6" ht="15.75" thickBot="1" x14ac:dyDescent="0.3">
      <c r="A3" s="1436">
        <v>45078</v>
      </c>
      <c r="B3" s="453" t="s">
        <v>17</v>
      </c>
      <c r="C3" s="709">
        <v>1</v>
      </c>
      <c r="D3" s="709">
        <v>1</v>
      </c>
      <c r="E3" s="709">
        <v>1</v>
      </c>
      <c r="F3" s="1453" t="s">
        <v>5724</v>
      </c>
    </row>
    <row r="4" spans="1:6" ht="15.75" thickBot="1" x14ac:dyDescent="0.3">
      <c r="A4" s="1437"/>
      <c r="B4" s="453" t="s">
        <v>102</v>
      </c>
      <c r="C4" s="733">
        <f>24-C5-C6</f>
        <v>0</v>
      </c>
      <c r="D4" s="733">
        <f>24-D5-D6</f>
        <v>21.33</v>
      </c>
      <c r="E4" s="733">
        <f>24-E5-E6</f>
        <v>24</v>
      </c>
      <c r="F4" s="1418"/>
    </row>
    <row r="5" spans="1:6" ht="15.75" thickBot="1" x14ac:dyDescent="0.3">
      <c r="A5" s="1437"/>
      <c r="B5" s="448" t="s">
        <v>103</v>
      </c>
      <c r="C5" s="1077">
        <v>24</v>
      </c>
      <c r="D5" s="1077">
        <v>2.67</v>
      </c>
      <c r="E5" s="1077">
        <v>0</v>
      </c>
      <c r="F5" s="1418"/>
    </row>
    <row r="6" spans="1:6" ht="15.75" thickBot="1" x14ac:dyDescent="0.3">
      <c r="A6" s="1438"/>
      <c r="B6" s="457" t="s">
        <v>104</v>
      </c>
      <c r="C6" s="734">
        <v>0</v>
      </c>
      <c r="D6" s="734">
        <v>0</v>
      </c>
      <c r="E6" s="734">
        <v>0</v>
      </c>
      <c r="F6" s="1423"/>
    </row>
    <row r="7" spans="1:6" ht="15.75" thickBot="1" x14ac:dyDescent="0.3">
      <c r="A7" s="1436">
        <v>45079</v>
      </c>
      <c r="B7" s="453" t="s">
        <v>17</v>
      </c>
      <c r="C7" s="709">
        <v>1</v>
      </c>
      <c r="D7" s="709">
        <v>1</v>
      </c>
      <c r="E7" s="709">
        <v>1</v>
      </c>
      <c r="F7" s="1453" t="s">
        <v>5737</v>
      </c>
    </row>
    <row r="8" spans="1:6" ht="15.75" thickBot="1" x14ac:dyDescent="0.3">
      <c r="A8" s="1437"/>
      <c r="B8" s="453" t="s">
        <v>102</v>
      </c>
      <c r="C8" s="733">
        <f>24-C9-C10</f>
        <v>0</v>
      </c>
      <c r="D8" s="733">
        <f>24-D9-D10</f>
        <v>8.06</v>
      </c>
      <c r="E8" s="733">
        <f>24-E9-E10</f>
        <v>24</v>
      </c>
      <c r="F8" s="1418"/>
    </row>
    <row r="9" spans="1:6" ht="15.75" thickBot="1" x14ac:dyDescent="0.3">
      <c r="A9" s="1437"/>
      <c r="B9" s="448" t="s">
        <v>103</v>
      </c>
      <c r="C9" s="1077">
        <v>24</v>
      </c>
      <c r="D9" s="1077">
        <v>15.94</v>
      </c>
      <c r="E9" s="1077">
        <v>0</v>
      </c>
      <c r="F9" s="1418"/>
    </row>
    <row r="10" spans="1:6" ht="15.75" thickBot="1" x14ac:dyDescent="0.3">
      <c r="A10" s="1438"/>
      <c r="B10" s="457" t="s">
        <v>104</v>
      </c>
      <c r="C10" s="734">
        <v>0</v>
      </c>
      <c r="D10" s="734">
        <v>0</v>
      </c>
      <c r="E10" s="734">
        <v>0</v>
      </c>
      <c r="F10" s="1423"/>
    </row>
    <row r="11" spans="1:6" ht="44.25" customHeight="1" thickBot="1" x14ac:dyDescent="0.3">
      <c r="A11" s="1436">
        <v>45080</v>
      </c>
      <c r="B11" s="453" t="s">
        <v>17</v>
      </c>
      <c r="C11" s="709">
        <v>1</v>
      </c>
      <c r="D11" s="709">
        <v>1</v>
      </c>
      <c r="E11" s="709">
        <v>1</v>
      </c>
      <c r="F11" s="1453" t="s">
        <v>5760</v>
      </c>
    </row>
    <row r="12" spans="1:6" ht="44.25" customHeight="1" thickBot="1" x14ac:dyDescent="0.3">
      <c r="A12" s="1437"/>
      <c r="B12" s="453" t="s">
        <v>102</v>
      </c>
      <c r="C12" s="733">
        <f>24-C13-C14</f>
        <v>0</v>
      </c>
      <c r="D12" s="733">
        <f>24-D13-D14</f>
        <v>19.03</v>
      </c>
      <c r="E12" s="733">
        <f>24-E13-E14</f>
        <v>20.100000000000001</v>
      </c>
      <c r="F12" s="1418"/>
    </row>
    <row r="13" spans="1:6" ht="44.25" customHeight="1" thickBot="1" x14ac:dyDescent="0.3">
      <c r="A13" s="1437"/>
      <c r="B13" s="448" t="s">
        <v>103</v>
      </c>
      <c r="C13" s="1077">
        <v>24</v>
      </c>
      <c r="D13" s="1077">
        <v>4.97</v>
      </c>
      <c r="E13" s="1077">
        <v>3.9</v>
      </c>
      <c r="F13" s="1418"/>
    </row>
    <row r="14" spans="1:6" ht="44.25" customHeight="1" thickBot="1" x14ac:dyDescent="0.3">
      <c r="A14" s="1438"/>
      <c r="B14" s="457" t="s">
        <v>104</v>
      </c>
      <c r="C14" s="734">
        <v>0</v>
      </c>
      <c r="D14" s="734">
        <v>0</v>
      </c>
      <c r="E14" s="734">
        <v>0</v>
      </c>
      <c r="F14" s="1423"/>
    </row>
    <row r="15" spans="1:6" ht="18" customHeight="1" thickBot="1" x14ac:dyDescent="0.3">
      <c r="A15" s="1436">
        <v>45081</v>
      </c>
      <c r="B15" s="453" t="s">
        <v>17</v>
      </c>
      <c r="C15" s="709">
        <v>1</v>
      </c>
      <c r="D15" s="709">
        <v>1</v>
      </c>
      <c r="E15" s="709">
        <v>1</v>
      </c>
      <c r="F15" s="1453" t="s">
        <v>5753</v>
      </c>
    </row>
    <row r="16" spans="1:6" ht="18" customHeight="1" thickBot="1" x14ac:dyDescent="0.3">
      <c r="A16" s="1437"/>
      <c r="B16" s="453" t="s">
        <v>102</v>
      </c>
      <c r="C16" s="733">
        <f>24-C17-C18</f>
        <v>0</v>
      </c>
      <c r="D16" s="733">
        <f>24-D17-D18</f>
        <v>9.52</v>
      </c>
      <c r="E16" s="733">
        <f>24-E17-E18</f>
        <v>24</v>
      </c>
      <c r="F16" s="1418"/>
    </row>
    <row r="17" spans="1:6" ht="18" customHeight="1" thickBot="1" x14ac:dyDescent="0.3">
      <c r="A17" s="1437"/>
      <c r="B17" s="448" t="s">
        <v>103</v>
      </c>
      <c r="C17" s="1077">
        <v>24</v>
      </c>
      <c r="D17" s="1077">
        <v>14.48</v>
      </c>
      <c r="E17" s="1077">
        <v>0</v>
      </c>
      <c r="F17" s="1418"/>
    </row>
    <row r="18" spans="1:6" ht="18" customHeight="1" thickBot="1" x14ac:dyDescent="0.3">
      <c r="A18" s="1438"/>
      <c r="B18" s="457" t="s">
        <v>104</v>
      </c>
      <c r="C18" s="734">
        <v>0</v>
      </c>
      <c r="D18" s="734">
        <v>0</v>
      </c>
      <c r="E18" s="734">
        <v>0</v>
      </c>
      <c r="F18" s="1423"/>
    </row>
    <row r="19" spans="1:6" ht="18" customHeight="1" thickBot="1" x14ac:dyDescent="0.3">
      <c r="A19" s="1436">
        <v>45082</v>
      </c>
      <c r="B19" s="453" t="s">
        <v>17</v>
      </c>
      <c r="C19" s="709">
        <v>1</v>
      </c>
      <c r="D19" s="709">
        <v>1</v>
      </c>
      <c r="E19" s="709">
        <v>1</v>
      </c>
      <c r="F19" s="1453" t="s">
        <v>5767</v>
      </c>
    </row>
    <row r="20" spans="1:6" ht="18" customHeight="1" thickBot="1" x14ac:dyDescent="0.3">
      <c r="A20" s="1437"/>
      <c r="B20" s="453" t="s">
        <v>102</v>
      </c>
      <c r="C20" s="733">
        <f>24-C21-C22</f>
        <v>13.27</v>
      </c>
      <c r="D20" s="733">
        <f>24-D21-D22</f>
        <v>15.85</v>
      </c>
      <c r="E20" s="733">
        <f>24-E21-E22</f>
        <v>24</v>
      </c>
      <c r="F20" s="1418"/>
    </row>
    <row r="21" spans="1:6" ht="18" customHeight="1" thickBot="1" x14ac:dyDescent="0.3">
      <c r="A21" s="1437"/>
      <c r="B21" s="448" t="s">
        <v>103</v>
      </c>
      <c r="C21" s="1077">
        <v>10.73</v>
      </c>
      <c r="D21" s="1077">
        <v>8.15</v>
      </c>
      <c r="E21" s="1077">
        <v>0</v>
      </c>
      <c r="F21" s="1418"/>
    </row>
    <row r="22" spans="1:6" ht="18" customHeight="1" thickBot="1" x14ac:dyDescent="0.3">
      <c r="A22" s="1438"/>
      <c r="B22" s="457" t="s">
        <v>104</v>
      </c>
      <c r="C22" s="734">
        <v>0</v>
      </c>
      <c r="D22" s="734">
        <v>0</v>
      </c>
      <c r="E22" s="734">
        <v>0</v>
      </c>
      <c r="F22" s="1418"/>
    </row>
    <row r="23" spans="1:6" ht="18" customHeight="1" thickBot="1" x14ac:dyDescent="0.3">
      <c r="A23" s="1436">
        <v>45083</v>
      </c>
      <c r="B23" s="453" t="s">
        <v>17</v>
      </c>
      <c r="C23" s="709">
        <v>1</v>
      </c>
      <c r="D23" s="709">
        <v>1</v>
      </c>
      <c r="E23" s="709">
        <v>1</v>
      </c>
      <c r="F23" s="1453" t="s">
        <v>5770</v>
      </c>
    </row>
    <row r="24" spans="1:6" ht="18" customHeight="1" thickBot="1" x14ac:dyDescent="0.3">
      <c r="A24" s="1437"/>
      <c r="B24" s="453" t="s">
        <v>102</v>
      </c>
      <c r="C24" s="733">
        <f>24-C25-C26</f>
        <v>24</v>
      </c>
      <c r="D24" s="733">
        <f>24-D25-D26</f>
        <v>13.5</v>
      </c>
      <c r="E24" s="733">
        <f>24-E25-E26</f>
        <v>24</v>
      </c>
      <c r="F24" s="1418"/>
    </row>
    <row r="25" spans="1:6" ht="18" customHeight="1" thickBot="1" x14ac:dyDescent="0.3">
      <c r="A25" s="1437"/>
      <c r="B25" s="448" t="s">
        <v>103</v>
      </c>
      <c r="C25" s="1077">
        <v>0</v>
      </c>
      <c r="D25" s="1077">
        <v>10.5</v>
      </c>
      <c r="E25" s="1077">
        <v>0</v>
      </c>
      <c r="F25" s="1418"/>
    </row>
    <row r="26" spans="1:6" ht="18" customHeight="1" thickBot="1" x14ac:dyDescent="0.3">
      <c r="A26" s="1438"/>
      <c r="B26" s="457" t="s">
        <v>104</v>
      </c>
      <c r="C26" s="734">
        <v>0</v>
      </c>
      <c r="D26" s="734">
        <v>0</v>
      </c>
      <c r="E26" s="734">
        <v>0</v>
      </c>
      <c r="F26" s="1418"/>
    </row>
    <row r="27" spans="1:6" ht="18" customHeight="1" thickBot="1" x14ac:dyDescent="0.3">
      <c r="A27" s="1436">
        <v>45084</v>
      </c>
      <c r="B27" s="453" t="s">
        <v>17</v>
      </c>
      <c r="C27" s="709">
        <v>1</v>
      </c>
      <c r="D27" s="709">
        <v>1</v>
      </c>
      <c r="E27" s="709">
        <v>1</v>
      </c>
      <c r="F27" s="1453" t="s">
        <v>5784</v>
      </c>
    </row>
    <row r="28" spans="1:6" ht="18" customHeight="1" thickBot="1" x14ac:dyDescent="0.3">
      <c r="A28" s="1437"/>
      <c r="B28" s="453" t="s">
        <v>102</v>
      </c>
      <c r="C28" s="733">
        <f>24-C29-C30</f>
        <v>19.95</v>
      </c>
      <c r="D28" s="733">
        <f>24-D29-D30</f>
        <v>11.85</v>
      </c>
      <c r="E28" s="733">
        <f>24-E29-E30</f>
        <v>24</v>
      </c>
      <c r="F28" s="1418"/>
    </row>
    <row r="29" spans="1:6" ht="18" customHeight="1" thickBot="1" x14ac:dyDescent="0.3">
      <c r="A29" s="1437"/>
      <c r="B29" s="448" t="s">
        <v>103</v>
      </c>
      <c r="C29" s="1077">
        <v>4.05</v>
      </c>
      <c r="D29" s="1077">
        <v>12.15</v>
      </c>
      <c r="E29" s="1077">
        <v>0</v>
      </c>
      <c r="F29" s="1418"/>
    </row>
    <row r="30" spans="1:6" ht="18" customHeight="1" thickBot="1" x14ac:dyDescent="0.3">
      <c r="A30" s="1438"/>
      <c r="B30" s="457" t="s">
        <v>104</v>
      </c>
      <c r="C30" s="734">
        <v>0</v>
      </c>
      <c r="D30" s="734">
        <v>0</v>
      </c>
      <c r="E30" s="734">
        <v>0</v>
      </c>
      <c r="F30" s="1418"/>
    </row>
    <row r="31" spans="1:6" ht="18" customHeight="1" thickBot="1" x14ac:dyDescent="0.3">
      <c r="A31" s="1436">
        <v>45085</v>
      </c>
      <c r="B31" s="453" t="s">
        <v>17</v>
      </c>
      <c r="C31" s="709">
        <v>1</v>
      </c>
      <c r="D31" s="709">
        <v>1</v>
      </c>
      <c r="E31" s="709">
        <v>1</v>
      </c>
      <c r="F31" s="1453" t="s">
        <v>5777</v>
      </c>
    </row>
    <row r="32" spans="1:6" ht="18" customHeight="1" thickBot="1" x14ac:dyDescent="0.3">
      <c r="A32" s="1437"/>
      <c r="B32" s="453" t="s">
        <v>102</v>
      </c>
      <c r="C32" s="733">
        <f>24-C33-C34</f>
        <v>0</v>
      </c>
      <c r="D32" s="733">
        <f>24-D33-D34</f>
        <v>18.73</v>
      </c>
      <c r="E32" s="733">
        <f>24-E33-E34</f>
        <v>24</v>
      </c>
      <c r="F32" s="1418"/>
    </row>
    <row r="33" spans="1:6" ht="18" customHeight="1" thickBot="1" x14ac:dyDescent="0.3">
      <c r="A33" s="1437"/>
      <c r="B33" s="448" t="s">
        <v>103</v>
      </c>
      <c r="C33" s="1077">
        <v>24</v>
      </c>
      <c r="D33" s="1077">
        <v>5.27</v>
      </c>
      <c r="E33" s="1077">
        <v>0</v>
      </c>
      <c r="F33" s="1418"/>
    </row>
    <row r="34" spans="1:6" ht="18" customHeight="1" thickBot="1" x14ac:dyDescent="0.3">
      <c r="A34" s="1438"/>
      <c r="B34" s="457" t="s">
        <v>104</v>
      </c>
      <c r="C34" s="734">
        <v>0</v>
      </c>
      <c r="D34" s="734">
        <v>0</v>
      </c>
      <c r="E34" s="734">
        <v>0</v>
      </c>
      <c r="F34" s="1418"/>
    </row>
    <row r="35" spans="1:6" ht="18" customHeight="1" thickBot="1" x14ac:dyDescent="0.3">
      <c r="A35" s="1436">
        <v>45086</v>
      </c>
      <c r="B35" s="453" t="s">
        <v>17</v>
      </c>
      <c r="C35" s="709">
        <v>1</v>
      </c>
      <c r="D35" s="709">
        <v>1</v>
      </c>
      <c r="E35" s="709">
        <v>1</v>
      </c>
      <c r="F35" s="1453" t="s">
        <v>5790</v>
      </c>
    </row>
    <row r="36" spans="1:6" ht="18" customHeight="1" thickBot="1" x14ac:dyDescent="0.3">
      <c r="A36" s="1437"/>
      <c r="B36" s="453" t="s">
        <v>102</v>
      </c>
      <c r="C36" s="733">
        <f>24-C37-C38</f>
        <v>0</v>
      </c>
      <c r="D36" s="733">
        <f>24-D37-D38</f>
        <v>5.5799999999999983</v>
      </c>
      <c r="E36" s="733">
        <f>24-E37-E38</f>
        <v>24</v>
      </c>
      <c r="F36" s="1418"/>
    </row>
    <row r="37" spans="1:6" ht="18" customHeight="1" thickBot="1" x14ac:dyDescent="0.3">
      <c r="A37" s="1437"/>
      <c r="B37" s="448" t="s">
        <v>103</v>
      </c>
      <c r="C37" s="1077">
        <v>24</v>
      </c>
      <c r="D37" s="1077">
        <v>18.420000000000002</v>
      </c>
      <c r="E37" s="1077">
        <v>0</v>
      </c>
      <c r="F37" s="1418"/>
    </row>
    <row r="38" spans="1:6" ht="18" customHeight="1" thickBot="1" x14ac:dyDescent="0.3">
      <c r="A38" s="1438"/>
      <c r="B38" s="457" t="s">
        <v>104</v>
      </c>
      <c r="C38" s="734">
        <v>0</v>
      </c>
      <c r="D38" s="734">
        <v>0</v>
      </c>
      <c r="E38" s="734">
        <v>0</v>
      </c>
      <c r="F38" s="1418"/>
    </row>
    <row r="39" spans="1:6" ht="18" customHeight="1" thickBot="1" x14ac:dyDescent="0.3">
      <c r="A39" s="1436">
        <v>45087</v>
      </c>
      <c r="B39" s="453" t="s">
        <v>17</v>
      </c>
      <c r="C39" s="709">
        <v>1</v>
      </c>
      <c r="D39" s="709">
        <v>1</v>
      </c>
      <c r="E39" s="709">
        <v>1</v>
      </c>
      <c r="F39" s="1453" t="s">
        <v>5794</v>
      </c>
    </row>
    <row r="40" spans="1:6" ht="18" customHeight="1" thickBot="1" x14ac:dyDescent="0.3">
      <c r="A40" s="1437"/>
      <c r="B40" s="453" t="s">
        <v>102</v>
      </c>
      <c r="C40" s="733">
        <f>24-C41-C42</f>
        <v>0</v>
      </c>
      <c r="D40" s="733">
        <f>24-D41-D42</f>
        <v>20.94</v>
      </c>
      <c r="E40" s="733">
        <f>24-E41-E42</f>
        <v>24</v>
      </c>
      <c r="F40" s="1418"/>
    </row>
    <row r="41" spans="1:6" ht="18" customHeight="1" thickBot="1" x14ac:dyDescent="0.3">
      <c r="A41" s="1437"/>
      <c r="B41" s="448" t="s">
        <v>103</v>
      </c>
      <c r="C41" s="1077">
        <v>24</v>
      </c>
      <c r="D41" s="1077">
        <v>3.06</v>
      </c>
      <c r="E41" s="1077">
        <v>0</v>
      </c>
      <c r="F41" s="1418"/>
    </row>
    <row r="42" spans="1:6" ht="18" customHeight="1" thickBot="1" x14ac:dyDescent="0.3">
      <c r="A42" s="1438"/>
      <c r="B42" s="457" t="s">
        <v>104</v>
      </c>
      <c r="C42" s="734">
        <v>0</v>
      </c>
      <c r="D42" s="734">
        <v>0</v>
      </c>
      <c r="E42" s="734">
        <v>0</v>
      </c>
      <c r="F42" s="1423"/>
    </row>
    <row r="43" spans="1:6" ht="18" customHeight="1" thickBot="1" x14ac:dyDescent="0.3">
      <c r="A43" s="1436">
        <v>45088</v>
      </c>
      <c r="B43" s="453" t="s">
        <v>17</v>
      </c>
      <c r="C43" s="709">
        <v>1</v>
      </c>
      <c r="D43" s="709">
        <v>1</v>
      </c>
      <c r="E43" s="709">
        <v>1</v>
      </c>
      <c r="F43" s="1453"/>
    </row>
    <row r="44" spans="1:6" ht="18" customHeight="1" thickBot="1" x14ac:dyDescent="0.3">
      <c r="A44" s="1437"/>
      <c r="B44" s="453" t="s">
        <v>102</v>
      </c>
      <c r="C44" s="733">
        <f>24-C45-C46</f>
        <v>0</v>
      </c>
      <c r="D44" s="733">
        <f>24-D45-D46</f>
        <v>8.57</v>
      </c>
      <c r="E44" s="733">
        <f>24-E45-E46</f>
        <v>24</v>
      </c>
      <c r="F44" s="1418"/>
    </row>
    <row r="45" spans="1:6" ht="18" customHeight="1" thickBot="1" x14ac:dyDescent="0.3">
      <c r="A45" s="1437"/>
      <c r="B45" s="448" t="s">
        <v>103</v>
      </c>
      <c r="C45" s="1077">
        <v>24</v>
      </c>
      <c r="D45" s="1077">
        <v>15.43</v>
      </c>
      <c r="E45" s="1077">
        <v>0</v>
      </c>
      <c r="F45" s="1418"/>
    </row>
    <row r="46" spans="1:6" ht="18" customHeight="1" thickBot="1" x14ac:dyDescent="0.3">
      <c r="A46" s="1438"/>
      <c r="B46" s="457" t="s">
        <v>104</v>
      </c>
      <c r="C46" s="734">
        <v>0</v>
      </c>
      <c r="D46" s="734">
        <v>0</v>
      </c>
      <c r="E46" s="734">
        <v>0</v>
      </c>
      <c r="F46" s="1423"/>
    </row>
    <row r="47" spans="1:6" ht="18" customHeight="1" thickBot="1" x14ac:dyDescent="0.3">
      <c r="A47" s="1436">
        <v>45089</v>
      </c>
      <c r="B47" s="453" t="s">
        <v>17</v>
      </c>
      <c r="C47" s="709">
        <v>1</v>
      </c>
      <c r="D47" s="709">
        <v>1</v>
      </c>
      <c r="E47" s="709">
        <v>1</v>
      </c>
      <c r="F47" s="1453" t="s">
        <v>5806</v>
      </c>
    </row>
    <row r="48" spans="1:6" ht="18" customHeight="1" thickBot="1" x14ac:dyDescent="0.3">
      <c r="A48" s="1437"/>
      <c r="B48" s="453" t="s">
        <v>102</v>
      </c>
      <c r="C48" s="733">
        <f>24-C49-C50</f>
        <v>0</v>
      </c>
      <c r="D48" s="733">
        <f>24-D49-D50</f>
        <v>14.77</v>
      </c>
      <c r="E48" s="733">
        <f>24-E49-E50</f>
        <v>24</v>
      </c>
      <c r="F48" s="1418"/>
    </row>
    <row r="49" spans="1:6" ht="18" customHeight="1" thickBot="1" x14ac:dyDescent="0.3">
      <c r="A49" s="1437"/>
      <c r="B49" s="448" t="s">
        <v>103</v>
      </c>
      <c r="C49" s="1077">
        <v>24</v>
      </c>
      <c r="D49" s="1077">
        <v>9.23</v>
      </c>
      <c r="E49" s="1077">
        <v>0</v>
      </c>
      <c r="F49" s="1418"/>
    </row>
    <row r="50" spans="1:6" ht="18" customHeight="1" thickBot="1" x14ac:dyDescent="0.3">
      <c r="A50" s="1438"/>
      <c r="B50" s="457" t="s">
        <v>104</v>
      </c>
      <c r="C50" s="734">
        <v>0</v>
      </c>
      <c r="D50" s="734">
        <v>0</v>
      </c>
      <c r="E50" s="734">
        <v>0</v>
      </c>
      <c r="F50" s="1418"/>
    </row>
    <row r="51" spans="1:6" ht="18" customHeight="1" thickBot="1" x14ac:dyDescent="0.3">
      <c r="A51" s="1436">
        <v>45090</v>
      </c>
      <c r="B51" s="453" t="s">
        <v>17</v>
      </c>
      <c r="C51" s="709">
        <v>1</v>
      </c>
      <c r="D51" s="709">
        <v>1</v>
      </c>
      <c r="E51" s="709">
        <v>1</v>
      </c>
      <c r="F51" s="1453"/>
    </row>
    <row r="52" spans="1:6" ht="18" customHeight="1" thickBot="1" x14ac:dyDescent="0.3">
      <c r="A52" s="1437"/>
      <c r="B52" s="453" t="s">
        <v>102</v>
      </c>
      <c r="C52" s="733">
        <f>24-C53-C54</f>
        <v>0</v>
      </c>
      <c r="D52" s="733">
        <f>24-D53-D54</f>
        <v>15.7</v>
      </c>
      <c r="E52" s="733">
        <f>24-E53-E54</f>
        <v>24</v>
      </c>
      <c r="F52" s="1418"/>
    </row>
    <row r="53" spans="1:6" ht="18" customHeight="1" thickBot="1" x14ac:dyDescent="0.3">
      <c r="A53" s="1437"/>
      <c r="B53" s="448" t="s">
        <v>103</v>
      </c>
      <c r="C53" s="1077">
        <v>24</v>
      </c>
      <c r="D53" s="1077">
        <v>8.3000000000000007</v>
      </c>
      <c r="E53" s="1077">
        <v>0</v>
      </c>
      <c r="F53" s="1418"/>
    </row>
    <row r="54" spans="1:6" ht="18" customHeight="1" thickBot="1" x14ac:dyDescent="0.3">
      <c r="A54" s="1438"/>
      <c r="B54" s="457" t="s">
        <v>104</v>
      </c>
      <c r="C54" s="734">
        <v>0</v>
      </c>
      <c r="D54" s="734">
        <v>0</v>
      </c>
      <c r="E54" s="734">
        <v>0</v>
      </c>
      <c r="F54" s="1418"/>
    </row>
    <row r="55" spans="1:6" ht="18" customHeight="1" thickBot="1" x14ac:dyDescent="0.3">
      <c r="A55" s="1436">
        <v>45091</v>
      </c>
      <c r="B55" s="453" t="s">
        <v>17</v>
      </c>
      <c r="C55" s="709">
        <v>1</v>
      </c>
      <c r="D55" s="709">
        <v>1</v>
      </c>
      <c r="E55" s="709">
        <v>1</v>
      </c>
      <c r="F55" s="1453" t="s">
        <v>5816</v>
      </c>
    </row>
    <row r="56" spans="1:6" ht="18" customHeight="1" thickBot="1" x14ac:dyDescent="0.3">
      <c r="A56" s="1437"/>
      <c r="B56" s="453" t="s">
        <v>102</v>
      </c>
      <c r="C56" s="733">
        <f>24-C57-C58</f>
        <v>21.62</v>
      </c>
      <c r="D56" s="733">
        <f>24-D57-D58</f>
        <v>21.2</v>
      </c>
      <c r="E56" s="733">
        <f>24-E57-E58</f>
        <v>24</v>
      </c>
      <c r="F56" s="1418"/>
    </row>
    <row r="57" spans="1:6" ht="18" customHeight="1" thickBot="1" x14ac:dyDescent="0.3">
      <c r="A57" s="1437"/>
      <c r="B57" s="448" t="s">
        <v>103</v>
      </c>
      <c r="C57" s="1077">
        <v>2.38</v>
      </c>
      <c r="D57" s="1077">
        <v>2.8</v>
      </c>
      <c r="E57" s="1077">
        <v>0</v>
      </c>
      <c r="F57" s="1418"/>
    </row>
    <row r="58" spans="1:6" ht="18" customHeight="1" thickBot="1" x14ac:dyDescent="0.3">
      <c r="A58" s="1438"/>
      <c r="B58" s="457" t="s">
        <v>104</v>
      </c>
      <c r="C58" s="734">
        <v>0</v>
      </c>
      <c r="D58" s="734">
        <v>0</v>
      </c>
      <c r="E58" s="734">
        <v>0</v>
      </c>
      <c r="F58" s="1423"/>
    </row>
    <row r="59" spans="1:6" ht="18" customHeight="1" thickBot="1" x14ac:dyDescent="0.3">
      <c r="A59" s="1436">
        <v>45092</v>
      </c>
      <c r="B59" s="453" t="s">
        <v>17</v>
      </c>
      <c r="C59" s="709">
        <v>1</v>
      </c>
      <c r="D59" s="709">
        <v>1</v>
      </c>
      <c r="E59" s="709">
        <v>1</v>
      </c>
      <c r="F59" s="1464" t="s">
        <v>5826</v>
      </c>
    </row>
    <row r="60" spans="1:6" ht="18" customHeight="1" thickBot="1" x14ac:dyDescent="0.3">
      <c r="A60" s="1437"/>
      <c r="B60" s="453" t="s">
        <v>102</v>
      </c>
      <c r="C60" s="733">
        <f>24-C61-C62</f>
        <v>24</v>
      </c>
      <c r="D60" s="733">
        <f>24-D61-D62</f>
        <v>0.87999999999999901</v>
      </c>
      <c r="E60" s="733">
        <f>24-E61-E62</f>
        <v>24</v>
      </c>
      <c r="F60" s="1465"/>
    </row>
    <row r="61" spans="1:6" ht="18" customHeight="1" thickBot="1" x14ac:dyDescent="0.3">
      <c r="A61" s="1437"/>
      <c r="B61" s="448" t="s">
        <v>103</v>
      </c>
      <c r="C61" s="1077">
        <v>0</v>
      </c>
      <c r="D61" s="1077">
        <v>23.12</v>
      </c>
      <c r="E61" s="1077">
        <v>0</v>
      </c>
      <c r="F61" s="1465"/>
    </row>
    <row r="62" spans="1:6" ht="18" customHeight="1" thickBot="1" x14ac:dyDescent="0.3">
      <c r="A62" s="1438"/>
      <c r="B62" s="457" t="s">
        <v>104</v>
      </c>
      <c r="C62" s="734">
        <v>0</v>
      </c>
      <c r="D62" s="734">
        <v>0</v>
      </c>
      <c r="E62" s="734">
        <v>0</v>
      </c>
      <c r="F62" s="1465"/>
    </row>
    <row r="63" spans="1:6" ht="19.5" customHeight="1" thickBot="1" x14ac:dyDescent="0.3">
      <c r="A63" s="1436">
        <v>45093</v>
      </c>
      <c r="B63" s="453" t="s">
        <v>17</v>
      </c>
      <c r="C63" s="709">
        <v>1</v>
      </c>
      <c r="D63" s="709">
        <v>1</v>
      </c>
      <c r="E63" s="709">
        <v>1</v>
      </c>
      <c r="F63" s="1453" t="s">
        <v>5832</v>
      </c>
    </row>
    <row r="64" spans="1:6" ht="19.5" customHeight="1" thickBot="1" x14ac:dyDescent="0.3">
      <c r="A64" s="1437"/>
      <c r="B64" s="453" t="s">
        <v>102</v>
      </c>
      <c r="C64" s="733">
        <f>24-C65-C66</f>
        <v>0.32000000000000028</v>
      </c>
      <c r="D64" s="733">
        <f>24-D65-D66</f>
        <v>24</v>
      </c>
      <c r="E64" s="733">
        <f>24-E65-E66</f>
        <v>24</v>
      </c>
      <c r="F64" s="1418"/>
    </row>
    <row r="65" spans="1:6" ht="19.5" customHeight="1" thickBot="1" x14ac:dyDescent="0.3">
      <c r="A65" s="1437"/>
      <c r="B65" s="448" t="s">
        <v>103</v>
      </c>
      <c r="C65" s="1077">
        <v>23.68</v>
      </c>
      <c r="D65" s="1077">
        <v>0</v>
      </c>
      <c r="E65" s="1077">
        <v>0</v>
      </c>
      <c r="F65" s="1418"/>
    </row>
    <row r="66" spans="1:6" ht="19.5" customHeight="1" thickBot="1" x14ac:dyDescent="0.3">
      <c r="A66" s="1438"/>
      <c r="B66" s="457" t="s">
        <v>104</v>
      </c>
      <c r="C66" s="734">
        <v>0</v>
      </c>
      <c r="D66" s="734">
        <v>0</v>
      </c>
      <c r="E66" s="734">
        <v>0</v>
      </c>
      <c r="F66" s="1423"/>
    </row>
    <row r="67" spans="1:6" ht="19.5" customHeight="1" thickBot="1" x14ac:dyDescent="0.3">
      <c r="A67" s="1436">
        <v>45094</v>
      </c>
      <c r="B67" s="453" t="s">
        <v>17</v>
      </c>
      <c r="C67" s="709">
        <v>1</v>
      </c>
      <c r="D67" s="709">
        <v>1</v>
      </c>
      <c r="E67" s="709">
        <v>1</v>
      </c>
      <c r="F67" s="1453" t="s">
        <v>5830</v>
      </c>
    </row>
    <row r="68" spans="1:6" ht="19.5" customHeight="1" thickBot="1" x14ac:dyDescent="0.3">
      <c r="A68" s="1437"/>
      <c r="B68" s="453" t="s">
        <v>102</v>
      </c>
      <c r="C68" s="733">
        <f>24-C69-C70</f>
        <v>0</v>
      </c>
      <c r="D68" s="733">
        <f>24-D69-D70</f>
        <v>7.9499999999999993</v>
      </c>
      <c r="E68" s="733">
        <f>24-E69-E70</f>
        <v>24</v>
      </c>
      <c r="F68" s="1418"/>
    </row>
    <row r="69" spans="1:6" ht="18" customHeight="1" thickBot="1" x14ac:dyDescent="0.3">
      <c r="A69" s="1437"/>
      <c r="B69" s="448" t="s">
        <v>103</v>
      </c>
      <c r="C69" s="1077">
        <v>24</v>
      </c>
      <c r="D69" s="1077">
        <v>16.05</v>
      </c>
      <c r="E69" s="1077">
        <v>0</v>
      </c>
      <c r="F69" s="1418"/>
    </row>
    <row r="70" spans="1:6" ht="18" customHeight="1" thickBot="1" x14ac:dyDescent="0.3">
      <c r="A70" s="1438"/>
      <c r="B70" s="457" t="s">
        <v>104</v>
      </c>
      <c r="C70" s="734">
        <v>0</v>
      </c>
      <c r="D70" s="734">
        <v>0</v>
      </c>
      <c r="E70" s="734">
        <v>0</v>
      </c>
      <c r="F70" s="1423"/>
    </row>
    <row r="71" spans="1:6" ht="18" customHeight="1" thickBot="1" x14ac:dyDescent="0.3">
      <c r="A71" s="1436">
        <v>45095</v>
      </c>
      <c r="B71" s="453" t="s">
        <v>17</v>
      </c>
      <c r="C71" s="709">
        <v>1</v>
      </c>
      <c r="D71" s="709">
        <v>1</v>
      </c>
      <c r="E71" s="709">
        <v>1</v>
      </c>
      <c r="F71" s="1447" t="s">
        <v>5839</v>
      </c>
    </row>
    <row r="72" spans="1:6" ht="18" customHeight="1" thickBot="1" x14ac:dyDescent="0.3">
      <c r="A72" s="1437"/>
      <c r="B72" s="453" t="s">
        <v>102</v>
      </c>
      <c r="C72" s="733">
        <f>24-C73-C74</f>
        <v>0</v>
      </c>
      <c r="D72" s="733">
        <f>24-D73-D74</f>
        <v>17.77</v>
      </c>
      <c r="E72" s="733">
        <f>24-E73-E74</f>
        <v>24</v>
      </c>
      <c r="F72" s="1454"/>
    </row>
    <row r="73" spans="1:6" ht="18" customHeight="1" thickBot="1" x14ac:dyDescent="0.3">
      <c r="A73" s="1437"/>
      <c r="B73" s="448" t="s">
        <v>103</v>
      </c>
      <c r="C73" s="1077">
        <v>24</v>
      </c>
      <c r="D73" s="1077">
        <v>6.23</v>
      </c>
      <c r="E73" s="1077">
        <v>0</v>
      </c>
      <c r="F73" s="1454"/>
    </row>
    <row r="74" spans="1:6" ht="18" customHeight="1" thickBot="1" x14ac:dyDescent="0.3">
      <c r="A74" s="1438"/>
      <c r="B74" s="457" t="s">
        <v>104</v>
      </c>
      <c r="C74" s="734">
        <v>0</v>
      </c>
      <c r="D74" s="734">
        <v>0</v>
      </c>
      <c r="E74" s="734">
        <v>0</v>
      </c>
      <c r="F74" s="1455"/>
    </row>
    <row r="75" spans="1:6" ht="18" customHeight="1" thickBot="1" x14ac:dyDescent="0.3">
      <c r="A75" s="1436">
        <v>45096</v>
      </c>
      <c r="B75" s="453" t="s">
        <v>17</v>
      </c>
      <c r="C75" s="709">
        <v>1</v>
      </c>
      <c r="D75" s="709">
        <v>1</v>
      </c>
      <c r="E75" s="709">
        <v>1</v>
      </c>
      <c r="F75" s="1447"/>
    </row>
    <row r="76" spans="1:6" ht="18" customHeight="1" thickBot="1" x14ac:dyDescent="0.3">
      <c r="A76" s="1437"/>
      <c r="B76" s="453" t="s">
        <v>102</v>
      </c>
      <c r="C76" s="733">
        <f>24-C77-C78</f>
        <v>0</v>
      </c>
      <c r="D76" s="733">
        <f>24-D77-D78</f>
        <v>15.83</v>
      </c>
      <c r="E76" s="733">
        <f>24-E77-E78</f>
        <v>24</v>
      </c>
      <c r="F76" s="1448"/>
    </row>
    <row r="77" spans="1:6" ht="18" customHeight="1" thickBot="1" x14ac:dyDescent="0.3">
      <c r="A77" s="1437"/>
      <c r="B77" s="448" t="s">
        <v>103</v>
      </c>
      <c r="C77" s="1077">
        <v>24</v>
      </c>
      <c r="D77" s="1077">
        <v>8.17</v>
      </c>
      <c r="E77" s="1077">
        <v>0</v>
      </c>
      <c r="F77" s="1448"/>
    </row>
    <row r="78" spans="1:6" ht="18" customHeight="1" thickBot="1" x14ac:dyDescent="0.3">
      <c r="A78" s="1438"/>
      <c r="B78" s="457" t="s">
        <v>104</v>
      </c>
      <c r="C78" s="734">
        <v>0</v>
      </c>
      <c r="D78" s="734">
        <v>0</v>
      </c>
      <c r="E78" s="734">
        <v>0</v>
      </c>
      <c r="F78" s="1449"/>
    </row>
    <row r="79" spans="1:6" ht="18" customHeight="1" thickBot="1" x14ac:dyDescent="0.3">
      <c r="A79" s="1436">
        <v>45097</v>
      </c>
      <c r="B79" s="453" t="s">
        <v>17</v>
      </c>
      <c r="C79" s="709">
        <v>1</v>
      </c>
      <c r="D79" s="709">
        <v>1</v>
      </c>
      <c r="E79" s="709">
        <v>1</v>
      </c>
      <c r="F79" s="1447" t="s">
        <v>5843</v>
      </c>
    </row>
    <row r="80" spans="1:6" ht="18" customHeight="1" thickBot="1" x14ac:dyDescent="0.3">
      <c r="A80" s="1437"/>
      <c r="B80" s="453" t="s">
        <v>102</v>
      </c>
      <c r="C80" s="733">
        <f>24-C81-C82</f>
        <v>0</v>
      </c>
      <c r="D80" s="733">
        <f>24-D81-D82</f>
        <v>8.9</v>
      </c>
      <c r="E80" s="733">
        <f>24-E81-E82</f>
        <v>24</v>
      </c>
      <c r="F80" s="1448"/>
    </row>
    <row r="81" spans="1:6" ht="18" customHeight="1" thickBot="1" x14ac:dyDescent="0.3">
      <c r="A81" s="1437"/>
      <c r="B81" s="448" t="s">
        <v>103</v>
      </c>
      <c r="C81" s="1077">
        <v>24</v>
      </c>
      <c r="D81" s="1077">
        <v>15.1</v>
      </c>
      <c r="E81" s="1077">
        <v>0</v>
      </c>
      <c r="F81" s="1448"/>
    </row>
    <row r="82" spans="1:6" ht="18" customHeight="1" thickBot="1" x14ac:dyDescent="0.3">
      <c r="A82" s="1438"/>
      <c r="B82" s="457" t="s">
        <v>104</v>
      </c>
      <c r="C82" s="734">
        <v>0</v>
      </c>
      <c r="D82" s="734">
        <v>0</v>
      </c>
      <c r="E82" s="734">
        <v>0</v>
      </c>
      <c r="F82" s="1448"/>
    </row>
    <row r="83" spans="1:6" ht="18" customHeight="1" thickBot="1" x14ac:dyDescent="0.3">
      <c r="A83" s="1436">
        <v>45098</v>
      </c>
      <c r="B83" s="453" t="s">
        <v>17</v>
      </c>
      <c r="C83" s="709">
        <v>1</v>
      </c>
      <c r="D83" s="709">
        <v>1</v>
      </c>
      <c r="E83" s="709">
        <v>1</v>
      </c>
      <c r="F83" s="1462" t="s">
        <v>5857</v>
      </c>
    </row>
    <row r="84" spans="1:6" ht="18" customHeight="1" thickBot="1" x14ac:dyDescent="0.3">
      <c r="A84" s="1437"/>
      <c r="B84" s="453" t="s">
        <v>102</v>
      </c>
      <c r="C84" s="733">
        <f>24-C85-C86</f>
        <v>16.329999999999998</v>
      </c>
      <c r="D84" s="733">
        <f>24-D85-D86</f>
        <v>16.53</v>
      </c>
      <c r="E84" s="733">
        <f>24-E85-E86</f>
        <v>24</v>
      </c>
      <c r="F84" s="1454"/>
    </row>
    <row r="85" spans="1:6" ht="18" customHeight="1" thickBot="1" x14ac:dyDescent="0.3">
      <c r="A85" s="1437"/>
      <c r="B85" s="448" t="s">
        <v>103</v>
      </c>
      <c r="C85" s="1077">
        <v>7.67</v>
      </c>
      <c r="D85" s="1077">
        <v>7.47</v>
      </c>
      <c r="E85" s="1077">
        <v>0</v>
      </c>
      <c r="F85" s="1454"/>
    </row>
    <row r="86" spans="1:6" ht="18" customHeight="1" thickBot="1" x14ac:dyDescent="0.3">
      <c r="A86" s="1438"/>
      <c r="B86" s="457" t="s">
        <v>104</v>
      </c>
      <c r="C86" s="734">
        <v>0</v>
      </c>
      <c r="D86" s="734">
        <v>0</v>
      </c>
      <c r="E86" s="734">
        <v>0</v>
      </c>
      <c r="F86" s="1455"/>
    </row>
    <row r="87" spans="1:6" ht="18" customHeight="1" thickBot="1" x14ac:dyDescent="0.3">
      <c r="A87" s="1436">
        <v>45099</v>
      </c>
      <c r="B87" s="453" t="s">
        <v>17</v>
      </c>
      <c r="C87" s="709">
        <v>1</v>
      </c>
      <c r="D87" s="709">
        <v>1</v>
      </c>
      <c r="E87" s="709">
        <v>1</v>
      </c>
      <c r="F87" s="1447"/>
    </row>
    <row r="88" spans="1:6" ht="18" customHeight="1" thickBot="1" x14ac:dyDescent="0.3">
      <c r="A88" s="1437"/>
      <c r="B88" s="453" t="s">
        <v>102</v>
      </c>
      <c r="C88" s="733">
        <f>24-C89-C90</f>
        <v>24</v>
      </c>
      <c r="D88" s="733">
        <f>24-D89-D90</f>
        <v>12.27</v>
      </c>
      <c r="E88" s="733">
        <f>24-E89-E90</f>
        <v>24</v>
      </c>
      <c r="F88" s="1454"/>
    </row>
    <row r="89" spans="1:6" ht="18" customHeight="1" thickBot="1" x14ac:dyDescent="0.3">
      <c r="A89" s="1437"/>
      <c r="B89" s="448" t="s">
        <v>103</v>
      </c>
      <c r="C89" s="1077">
        <v>0</v>
      </c>
      <c r="D89" s="1077">
        <v>11.73</v>
      </c>
      <c r="E89" s="1077">
        <v>0</v>
      </c>
      <c r="F89" s="1454"/>
    </row>
    <row r="90" spans="1:6" ht="18" customHeight="1" thickBot="1" x14ac:dyDescent="0.3">
      <c r="A90" s="1438"/>
      <c r="B90" s="457" t="s">
        <v>104</v>
      </c>
      <c r="C90" s="734">
        <v>0</v>
      </c>
      <c r="D90" s="734">
        <v>0</v>
      </c>
      <c r="E90" s="734">
        <v>0</v>
      </c>
      <c r="F90" s="1455"/>
    </row>
    <row r="91" spans="1:6" ht="18" customHeight="1" thickBot="1" x14ac:dyDescent="0.3">
      <c r="A91" s="1436">
        <v>45100</v>
      </c>
      <c r="B91" s="453" t="s">
        <v>17</v>
      </c>
      <c r="C91" s="709">
        <v>1</v>
      </c>
      <c r="D91" s="709">
        <v>1</v>
      </c>
      <c r="E91" s="709">
        <v>1</v>
      </c>
      <c r="F91" s="1447" t="s">
        <v>5900</v>
      </c>
    </row>
    <row r="92" spans="1:6" ht="18" customHeight="1" thickBot="1" x14ac:dyDescent="0.3">
      <c r="A92" s="1437"/>
      <c r="B92" s="453" t="s">
        <v>102</v>
      </c>
      <c r="C92" s="733">
        <f>24-C93-C94</f>
        <v>7.5300000000000011</v>
      </c>
      <c r="D92" s="733">
        <f>24-D93-D94</f>
        <v>6.8000000000000007</v>
      </c>
      <c r="E92" s="733">
        <f>24-E93-E94</f>
        <v>24</v>
      </c>
      <c r="F92" s="1448"/>
    </row>
    <row r="93" spans="1:6" ht="18" customHeight="1" thickBot="1" x14ac:dyDescent="0.3">
      <c r="A93" s="1437"/>
      <c r="B93" s="448" t="s">
        <v>103</v>
      </c>
      <c r="C93" s="1077">
        <v>16.47</v>
      </c>
      <c r="D93" s="1077">
        <v>17.2</v>
      </c>
      <c r="E93" s="1077">
        <v>0</v>
      </c>
      <c r="F93" s="1448"/>
    </row>
    <row r="94" spans="1:6" ht="18" customHeight="1" thickBot="1" x14ac:dyDescent="0.3">
      <c r="A94" s="1438"/>
      <c r="B94" s="457" t="s">
        <v>104</v>
      </c>
      <c r="C94" s="734">
        <v>0</v>
      </c>
      <c r="D94" s="734">
        <v>0</v>
      </c>
      <c r="E94" s="734">
        <v>0</v>
      </c>
      <c r="F94" s="1449"/>
    </row>
    <row r="95" spans="1:6" ht="18" customHeight="1" thickBot="1" x14ac:dyDescent="0.3">
      <c r="A95" s="1436">
        <v>45101</v>
      </c>
      <c r="B95" s="453" t="s">
        <v>17</v>
      </c>
      <c r="C95" s="709">
        <v>1</v>
      </c>
      <c r="D95" s="709">
        <v>1</v>
      </c>
      <c r="E95" s="709">
        <v>1</v>
      </c>
      <c r="F95" s="1447"/>
    </row>
    <row r="96" spans="1:6" ht="18" customHeight="1" thickBot="1" x14ac:dyDescent="0.3">
      <c r="A96" s="1437"/>
      <c r="B96" s="453" t="s">
        <v>102</v>
      </c>
      <c r="C96" s="733">
        <f>24-C97-C98</f>
        <v>0</v>
      </c>
      <c r="D96" s="733">
        <f>24-D97-D98</f>
        <v>19.329999999999998</v>
      </c>
      <c r="E96" s="733">
        <f>24-E97-E98</f>
        <v>24</v>
      </c>
      <c r="F96" s="1448"/>
    </row>
    <row r="97" spans="1:6" ht="18" customHeight="1" thickBot="1" x14ac:dyDescent="0.3">
      <c r="A97" s="1437"/>
      <c r="B97" s="448" t="s">
        <v>103</v>
      </c>
      <c r="C97" s="1077">
        <v>24</v>
      </c>
      <c r="D97" s="1077">
        <v>4.67</v>
      </c>
      <c r="E97" s="1077">
        <v>0</v>
      </c>
      <c r="F97" s="1448"/>
    </row>
    <row r="98" spans="1:6" ht="18" customHeight="1" thickBot="1" x14ac:dyDescent="0.3">
      <c r="A98" s="1438"/>
      <c r="B98" s="457" t="s">
        <v>104</v>
      </c>
      <c r="C98" s="734">
        <v>0</v>
      </c>
      <c r="D98" s="734">
        <v>0</v>
      </c>
      <c r="E98" s="734">
        <v>0</v>
      </c>
      <c r="F98" s="1449"/>
    </row>
    <row r="99" spans="1:6" ht="18" customHeight="1" thickBot="1" x14ac:dyDescent="0.3">
      <c r="A99" s="1436">
        <v>45102</v>
      </c>
      <c r="B99" s="453" t="s">
        <v>17</v>
      </c>
      <c r="C99" s="709">
        <v>1</v>
      </c>
      <c r="D99" s="709">
        <v>1</v>
      </c>
      <c r="E99" s="709">
        <v>1</v>
      </c>
      <c r="F99" s="1447" t="s">
        <v>5885</v>
      </c>
    </row>
    <row r="100" spans="1:6" ht="18" customHeight="1" thickBot="1" x14ac:dyDescent="0.3">
      <c r="A100" s="1437"/>
      <c r="B100" s="453" t="s">
        <v>102</v>
      </c>
      <c r="C100" s="733">
        <f>24-C101-C102</f>
        <v>0</v>
      </c>
      <c r="D100" s="733">
        <f>24-D101-D102</f>
        <v>4.0399999999999991</v>
      </c>
      <c r="E100" s="733">
        <f>24-E101-E102</f>
        <v>24</v>
      </c>
      <c r="F100" s="1448"/>
    </row>
    <row r="101" spans="1:6" ht="18" customHeight="1" thickBot="1" x14ac:dyDescent="0.3">
      <c r="A101" s="1437"/>
      <c r="B101" s="448" t="s">
        <v>103</v>
      </c>
      <c r="C101" s="1077">
        <v>24</v>
      </c>
      <c r="D101" s="1077">
        <v>19.96</v>
      </c>
      <c r="E101" s="1077">
        <v>0</v>
      </c>
      <c r="F101" s="1448"/>
    </row>
    <row r="102" spans="1:6" ht="18" customHeight="1" thickBot="1" x14ac:dyDescent="0.3">
      <c r="A102" s="1438"/>
      <c r="B102" s="457" t="s">
        <v>104</v>
      </c>
      <c r="C102" s="734">
        <v>0</v>
      </c>
      <c r="D102" s="734">
        <v>0</v>
      </c>
      <c r="E102" s="734">
        <v>0</v>
      </c>
      <c r="F102" s="1449"/>
    </row>
    <row r="103" spans="1:6" ht="18" customHeight="1" thickBot="1" x14ac:dyDescent="0.3">
      <c r="A103" s="1436">
        <v>45103</v>
      </c>
      <c r="B103" s="453" t="s">
        <v>17</v>
      </c>
      <c r="C103" s="709">
        <v>1</v>
      </c>
      <c r="D103" s="709">
        <v>1</v>
      </c>
      <c r="E103" s="709">
        <v>1</v>
      </c>
      <c r="F103" s="1447"/>
    </row>
    <row r="104" spans="1:6" ht="18" customHeight="1" thickBot="1" x14ac:dyDescent="0.3">
      <c r="A104" s="1437"/>
      <c r="B104" s="453" t="s">
        <v>102</v>
      </c>
      <c r="C104" s="733">
        <f>24-C105-C106</f>
        <v>0</v>
      </c>
      <c r="D104" s="733">
        <f>24-D105-D106</f>
        <v>19.53</v>
      </c>
      <c r="E104" s="733">
        <f>24-E105-E106</f>
        <v>24</v>
      </c>
      <c r="F104" s="1448"/>
    </row>
    <row r="105" spans="1:6" ht="18" customHeight="1" thickBot="1" x14ac:dyDescent="0.3">
      <c r="A105" s="1437"/>
      <c r="B105" s="448" t="s">
        <v>103</v>
      </c>
      <c r="C105" s="1077">
        <v>24</v>
      </c>
      <c r="D105" s="1077">
        <v>4.47</v>
      </c>
      <c r="E105" s="1077">
        <v>0</v>
      </c>
      <c r="F105" s="1448"/>
    </row>
    <row r="106" spans="1:6" ht="18" customHeight="1" thickBot="1" x14ac:dyDescent="0.3">
      <c r="A106" s="1438"/>
      <c r="B106" s="457" t="s">
        <v>104</v>
      </c>
      <c r="C106" s="734">
        <v>0</v>
      </c>
      <c r="D106" s="734">
        <v>0</v>
      </c>
      <c r="E106" s="734">
        <v>0</v>
      </c>
      <c r="F106" s="1449"/>
    </row>
    <row r="107" spans="1:6" ht="18" customHeight="1" thickBot="1" x14ac:dyDescent="0.3">
      <c r="A107" s="1436">
        <v>45104</v>
      </c>
      <c r="B107" s="453" t="s">
        <v>17</v>
      </c>
      <c r="C107" s="709">
        <v>1</v>
      </c>
      <c r="D107" s="709">
        <v>1</v>
      </c>
      <c r="E107" s="709">
        <v>1</v>
      </c>
      <c r="F107" s="1447" t="s">
        <v>5886</v>
      </c>
    </row>
    <row r="108" spans="1:6" ht="18" customHeight="1" thickBot="1" x14ac:dyDescent="0.3">
      <c r="A108" s="1437"/>
      <c r="B108" s="453" t="s">
        <v>102</v>
      </c>
      <c r="C108" s="733">
        <f>24-C109-C110</f>
        <v>0</v>
      </c>
      <c r="D108" s="733">
        <f>24-D109-D110</f>
        <v>3.0700000000000003</v>
      </c>
      <c r="E108" s="733">
        <f>24-E109-E110</f>
        <v>24</v>
      </c>
      <c r="F108" s="1448"/>
    </row>
    <row r="109" spans="1:6" ht="18" customHeight="1" thickBot="1" x14ac:dyDescent="0.3">
      <c r="A109" s="1437"/>
      <c r="B109" s="448" t="s">
        <v>103</v>
      </c>
      <c r="C109" s="1077">
        <v>24</v>
      </c>
      <c r="D109" s="1077">
        <v>20.93</v>
      </c>
      <c r="E109" s="1077">
        <v>0</v>
      </c>
      <c r="F109" s="1448"/>
    </row>
    <row r="110" spans="1:6" ht="18" customHeight="1" thickBot="1" x14ac:dyDescent="0.3">
      <c r="A110" s="1438"/>
      <c r="B110" s="457" t="s">
        <v>104</v>
      </c>
      <c r="C110" s="734">
        <v>0</v>
      </c>
      <c r="D110" s="734">
        <v>0</v>
      </c>
      <c r="E110" s="734">
        <v>0</v>
      </c>
      <c r="F110" s="1449"/>
    </row>
    <row r="111" spans="1:6" ht="18" customHeight="1" thickBot="1" x14ac:dyDescent="0.3">
      <c r="A111" s="1436">
        <v>45105</v>
      </c>
      <c r="B111" s="453" t="s">
        <v>17</v>
      </c>
      <c r="C111" s="709">
        <v>1</v>
      </c>
      <c r="D111" s="709">
        <v>1</v>
      </c>
      <c r="E111" s="709">
        <v>1</v>
      </c>
      <c r="F111" s="1447"/>
    </row>
    <row r="112" spans="1:6" ht="18" customHeight="1" thickBot="1" x14ac:dyDescent="0.3">
      <c r="A112" s="1437"/>
      <c r="B112" s="453" t="s">
        <v>102</v>
      </c>
      <c r="C112" s="733">
        <f>24-C113-C114</f>
        <v>0</v>
      </c>
      <c r="D112" s="733">
        <f>24-D113-D114</f>
        <v>19.420000000000002</v>
      </c>
      <c r="E112" s="733">
        <f>24-E113-E114</f>
        <v>24</v>
      </c>
      <c r="F112" s="1448"/>
    </row>
    <row r="113" spans="1:6" ht="18" customHeight="1" thickBot="1" x14ac:dyDescent="0.3">
      <c r="A113" s="1437"/>
      <c r="B113" s="448" t="s">
        <v>103</v>
      </c>
      <c r="C113" s="1077">
        <v>24</v>
      </c>
      <c r="D113" s="1077">
        <v>4.58</v>
      </c>
      <c r="E113" s="1077">
        <v>0</v>
      </c>
      <c r="F113" s="1448"/>
    </row>
    <row r="114" spans="1:6" ht="18" customHeight="1" thickBot="1" x14ac:dyDescent="0.3">
      <c r="A114" s="1438"/>
      <c r="B114" s="457" t="s">
        <v>104</v>
      </c>
      <c r="C114" s="734">
        <v>0</v>
      </c>
      <c r="D114" s="734">
        <v>0</v>
      </c>
      <c r="E114" s="734">
        <v>0</v>
      </c>
      <c r="F114" s="1449"/>
    </row>
    <row r="115" spans="1:6" ht="18" customHeight="1" thickBot="1" x14ac:dyDescent="0.3">
      <c r="A115" s="1436">
        <v>45106</v>
      </c>
      <c r="B115" s="453" t="s">
        <v>17</v>
      </c>
      <c r="C115" s="709">
        <v>1</v>
      </c>
      <c r="D115" s="709">
        <v>1</v>
      </c>
      <c r="E115" s="709">
        <v>1</v>
      </c>
      <c r="F115" s="1447" t="s">
        <v>5888</v>
      </c>
    </row>
    <row r="116" spans="1:6" ht="18" customHeight="1" thickBot="1" x14ac:dyDescent="0.3">
      <c r="A116" s="1437"/>
      <c r="B116" s="453" t="s">
        <v>102</v>
      </c>
      <c r="C116" s="733">
        <f>24-C117-C118</f>
        <v>0</v>
      </c>
      <c r="D116" s="733">
        <f>24-D117-D118</f>
        <v>7.2800000000000011</v>
      </c>
      <c r="E116" s="733">
        <f>24-E117-E118</f>
        <v>24</v>
      </c>
      <c r="F116" s="1448"/>
    </row>
    <row r="117" spans="1:6" ht="18" customHeight="1" thickBot="1" x14ac:dyDescent="0.3">
      <c r="A117" s="1437"/>
      <c r="B117" s="448" t="s">
        <v>103</v>
      </c>
      <c r="C117" s="1077">
        <v>24</v>
      </c>
      <c r="D117" s="1077">
        <v>16.72</v>
      </c>
      <c r="E117" s="1077">
        <v>0</v>
      </c>
      <c r="F117" s="1448"/>
    </row>
    <row r="118" spans="1:6" ht="18" customHeight="1" thickBot="1" x14ac:dyDescent="0.3">
      <c r="A118" s="1438"/>
      <c r="B118" s="457" t="s">
        <v>104</v>
      </c>
      <c r="C118" s="734">
        <v>0</v>
      </c>
      <c r="D118" s="734">
        <v>0</v>
      </c>
      <c r="E118" s="734">
        <v>0</v>
      </c>
      <c r="F118" s="1449"/>
    </row>
    <row r="119" spans="1:6" ht="18" customHeight="1" thickBot="1" x14ac:dyDescent="0.3">
      <c r="A119" s="1436">
        <v>45107</v>
      </c>
      <c r="B119" s="453" t="s">
        <v>17</v>
      </c>
      <c r="C119" s="709">
        <v>1</v>
      </c>
      <c r="D119" s="709">
        <v>1</v>
      </c>
      <c r="E119" s="709">
        <v>1</v>
      </c>
      <c r="F119" s="1447" t="s">
        <v>5887</v>
      </c>
    </row>
    <row r="120" spans="1:6" ht="18" customHeight="1" thickBot="1" x14ac:dyDescent="0.3">
      <c r="A120" s="1437"/>
      <c r="B120" s="453" t="s">
        <v>102</v>
      </c>
      <c r="C120" s="733">
        <f>24-C121-C122</f>
        <v>16.740000000000002</v>
      </c>
      <c r="D120" s="733">
        <f>24-D121-D122</f>
        <v>16.5</v>
      </c>
      <c r="E120" s="733">
        <f>24-E121-E122</f>
        <v>24</v>
      </c>
      <c r="F120" s="1448"/>
    </row>
    <row r="121" spans="1:6" ht="18" customHeight="1" thickBot="1" x14ac:dyDescent="0.3">
      <c r="A121" s="1437"/>
      <c r="B121" s="448" t="s">
        <v>103</v>
      </c>
      <c r="C121" s="1077">
        <v>7.26</v>
      </c>
      <c r="D121" s="1077">
        <v>7.5</v>
      </c>
      <c r="E121" s="1077">
        <v>0</v>
      </c>
      <c r="F121" s="1448"/>
    </row>
    <row r="122" spans="1:6" ht="18" customHeight="1" thickBot="1" x14ac:dyDescent="0.3">
      <c r="A122" s="1438"/>
      <c r="B122" s="457" t="s">
        <v>104</v>
      </c>
      <c r="C122" s="734">
        <v>0</v>
      </c>
      <c r="D122" s="734">
        <v>0</v>
      </c>
      <c r="E122" s="734">
        <v>0</v>
      </c>
      <c r="F122" s="1449"/>
    </row>
    <row r="123" spans="1:6" ht="18" customHeight="1" thickBot="1" x14ac:dyDescent="0.3">
      <c r="A123" s="1436"/>
      <c r="B123" s="453" t="s">
        <v>17</v>
      </c>
      <c r="C123" s="709"/>
      <c r="D123" s="709"/>
      <c r="E123" s="709"/>
      <c r="F123" s="1453"/>
    </row>
    <row r="124" spans="1:6" ht="18" customHeight="1" thickBot="1" x14ac:dyDescent="0.3">
      <c r="A124" s="1437"/>
      <c r="B124" s="453" t="s">
        <v>102</v>
      </c>
      <c r="C124" s="733"/>
      <c r="D124" s="733"/>
      <c r="E124" s="733"/>
      <c r="F124" s="1418"/>
    </row>
    <row r="125" spans="1:6" ht="18" customHeight="1" thickBot="1" x14ac:dyDescent="0.3">
      <c r="A125" s="1437"/>
      <c r="B125" s="448" t="s">
        <v>103</v>
      </c>
      <c r="C125" s="1077"/>
      <c r="D125" s="1077"/>
      <c r="E125" s="1077"/>
      <c r="F125" s="1418"/>
    </row>
    <row r="126" spans="1:6" ht="18" customHeight="1" thickBot="1" x14ac:dyDescent="0.3">
      <c r="A126" s="1438"/>
      <c r="B126" s="457" t="s">
        <v>104</v>
      </c>
      <c r="C126" s="734"/>
      <c r="D126" s="734"/>
      <c r="E126" s="734"/>
      <c r="F126" s="1423"/>
    </row>
    <row r="127" spans="1:6" x14ac:dyDescent="0.25">
      <c r="A127" s="464" t="s">
        <v>5727</v>
      </c>
      <c r="B127" s="465"/>
      <c r="C127" s="466">
        <f>SUM(C112,C108,C104,C100,C96,C92,C88,C84,C80,C76,C72,C68,C64,C60,C56,C52,C48,C44,C40,C36,C32,C28,C24,C20,C16,C12,C8,C4,C116,C120,C124)</f>
        <v>167.76000000000002</v>
      </c>
      <c r="D127" s="466">
        <f>SUM(D112,D108,D104,D100,D96,D92,D88,D84,D80,D76,D72,D68,D64,D60,D56,D52,D48,D44,D40,D36,D32,D28,D24,D20,D16,D12,D8,D4,D116,D120,D124)</f>
        <v>404.73</v>
      </c>
      <c r="E127" s="466">
        <f t="shared" ref="E127:E128" si="0">SUM(E112,E108,E104,E100,E96,E92,E88,E84,E80,E76,E72,E68,E64,E60,E56,E52,E48,E44,E40,E36,E32,E28,E24,E20,E16,E12,E8,E4,E116,E120,E124)</f>
        <v>716.1</v>
      </c>
      <c r="F127" s="468"/>
    </row>
    <row r="128" spans="1:6" x14ac:dyDescent="0.25">
      <c r="A128" s="1328" t="s">
        <v>5728</v>
      </c>
      <c r="B128" s="134"/>
      <c r="C128" s="469">
        <f>SUM(C113,C109,C105,C101,C97,C93,C89,C85,C81,C77,C73,C69,C65,C61,C57,C53,C49,C45,C41,C37,C33,C29,C25,C21,C17,C13,C9,C5,C117,C121,C125)</f>
        <v>552.24</v>
      </c>
      <c r="D128" s="469">
        <f>SUM(D113,D109,D105,D101,D97,D93,D89,D85,D81,D77,D73,D69,D65,D61,D57,D53,D49,D45,D41,D37,D33,D29,D25,D21,D17,D13,D9,D5,D117,D121,D125)</f>
        <v>315.2700000000001</v>
      </c>
      <c r="E128" s="469">
        <f t="shared" si="0"/>
        <v>3.9</v>
      </c>
      <c r="F128" s="471"/>
    </row>
    <row r="129" spans="1:6" ht="15.75" thickBot="1" x14ac:dyDescent="0.3">
      <c r="A129" s="1329" t="s">
        <v>5729</v>
      </c>
      <c r="B129" s="472"/>
      <c r="C129" s="473">
        <f>SUM(C114,C110,C106,C102,C98,C94,C90,C86,C82,C78,C74,C70,C66,C62,C58,C54,C50,C46,C42,C38,C34,C30,C26,C22,C18,C14,C10,C6,C118,C122,C126)</f>
        <v>0</v>
      </c>
      <c r="D129" s="473">
        <f t="shared" ref="D129:E129" si="1">SUM(D114,D110,D106,D102,D98,D94,D90,D86,D82,D78,D74,D70,D66,D62,D58,D54,D50,D46,D42,D38,D34,D30,D26,D22,D18,D14,D10,D6,D118,D122,D126)</f>
        <v>0</v>
      </c>
      <c r="E129" s="473">
        <f t="shared" si="1"/>
        <v>0</v>
      </c>
      <c r="F129" s="475"/>
    </row>
    <row r="130" spans="1:6" ht="15.75" thickBot="1" x14ac:dyDescent="0.3">
      <c r="A130" s="1450" t="s">
        <v>108</v>
      </c>
      <c r="B130" s="1451"/>
      <c r="C130" s="1451"/>
      <c r="D130" s="1451"/>
      <c r="E130" s="1451"/>
      <c r="F130" s="1452"/>
    </row>
  </sheetData>
  <mergeCells count="64">
    <mergeCell ref="A11:A14"/>
    <mergeCell ref="F11:F14"/>
    <mergeCell ref="A1:F1"/>
    <mergeCell ref="A3:A6"/>
    <mergeCell ref="F3:F6"/>
    <mergeCell ref="A7:A10"/>
    <mergeCell ref="F7:F10"/>
    <mergeCell ref="A15:A18"/>
    <mergeCell ref="F15:F18"/>
    <mergeCell ref="A19:A22"/>
    <mergeCell ref="F19:F22"/>
    <mergeCell ref="A23:A26"/>
    <mergeCell ref="F23:F26"/>
    <mergeCell ref="A27:A30"/>
    <mergeCell ref="F27:F30"/>
    <mergeCell ref="A31:A34"/>
    <mergeCell ref="F31:F34"/>
    <mergeCell ref="A35:A38"/>
    <mergeCell ref="F35:F38"/>
    <mergeCell ref="A39:A42"/>
    <mergeCell ref="F39:F42"/>
    <mergeCell ref="A43:A46"/>
    <mergeCell ref="F43:F46"/>
    <mergeCell ref="A47:A50"/>
    <mergeCell ref="F47:F50"/>
    <mergeCell ref="A51:A54"/>
    <mergeCell ref="F51:F54"/>
    <mergeCell ref="A55:A58"/>
    <mergeCell ref="F55:F58"/>
    <mergeCell ref="A59:A62"/>
    <mergeCell ref="F59:F62"/>
    <mergeCell ref="A63:A66"/>
    <mergeCell ref="F63:F66"/>
    <mergeCell ref="A67:A70"/>
    <mergeCell ref="F67:F70"/>
    <mergeCell ref="A71:A74"/>
    <mergeCell ref="F71:F74"/>
    <mergeCell ref="A75:A78"/>
    <mergeCell ref="F75:F78"/>
    <mergeCell ref="A79:A82"/>
    <mergeCell ref="F79:F82"/>
    <mergeCell ref="A83:A86"/>
    <mergeCell ref="F83:F86"/>
    <mergeCell ref="A87:A90"/>
    <mergeCell ref="F87:F90"/>
    <mergeCell ref="A91:A94"/>
    <mergeCell ref="F91:F94"/>
    <mergeCell ref="A95:A98"/>
    <mergeCell ref="F95:F98"/>
    <mergeCell ref="A99:A102"/>
    <mergeCell ref="F99:F102"/>
    <mergeCell ref="A103:A106"/>
    <mergeCell ref="F103:F106"/>
    <mergeCell ref="A107:A110"/>
    <mergeCell ref="F107:F110"/>
    <mergeCell ref="A123:A126"/>
    <mergeCell ref="F123:F126"/>
    <mergeCell ref="A130:F130"/>
    <mergeCell ref="A111:A114"/>
    <mergeCell ref="F111:F114"/>
    <mergeCell ref="A115:A118"/>
    <mergeCell ref="F115:F118"/>
    <mergeCell ref="A119:A122"/>
    <mergeCell ref="F119:F122"/>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130"/>
  <sheetViews>
    <sheetView tabSelected="1" topLeftCell="A99" workbookViewId="0">
      <selection activeCell="F107" sqref="F107:F110"/>
    </sheetView>
  </sheetViews>
  <sheetFormatPr defaultRowHeight="15" x14ac:dyDescent="0.25"/>
  <cols>
    <col min="1" max="1" width="13.42578125" customWidth="1"/>
    <col min="2" max="2" width="31.85546875" customWidth="1"/>
    <col min="6" max="6" width="63.42578125" customWidth="1"/>
  </cols>
  <sheetData>
    <row r="1" spans="1:6" ht="21.75" thickBot="1" x14ac:dyDescent="0.4">
      <c r="A1" s="1443" t="s">
        <v>73</v>
      </c>
      <c r="B1" s="1443"/>
      <c r="C1" s="1443"/>
      <c r="D1" s="1443"/>
      <c r="E1" s="1443"/>
      <c r="F1" s="1443"/>
    </row>
    <row r="2" spans="1:6" ht="16.5" thickBot="1" x14ac:dyDescent="0.3">
      <c r="A2" s="108" t="s">
        <v>98</v>
      </c>
      <c r="B2" s="608"/>
      <c r="C2" s="607" t="s">
        <v>310</v>
      </c>
      <c r="D2" s="607" t="s">
        <v>239</v>
      </c>
      <c r="E2" s="447" t="s">
        <v>100</v>
      </c>
      <c r="F2" s="111" t="s">
        <v>101</v>
      </c>
    </row>
    <row r="3" spans="1:6" ht="15.75" thickBot="1" x14ac:dyDescent="0.3">
      <c r="A3" s="1436">
        <v>45108</v>
      </c>
      <c r="B3" s="453" t="s">
        <v>17</v>
      </c>
      <c r="C3" s="709">
        <v>1</v>
      </c>
      <c r="D3" s="709">
        <v>1</v>
      </c>
      <c r="E3" s="709">
        <v>1</v>
      </c>
      <c r="F3" s="1453" t="s">
        <v>5904</v>
      </c>
    </row>
    <row r="4" spans="1:6" ht="15.75" thickBot="1" x14ac:dyDescent="0.3">
      <c r="A4" s="1437"/>
      <c r="B4" s="453" t="s">
        <v>102</v>
      </c>
      <c r="C4" s="733">
        <f>24-C5-C6</f>
        <v>24</v>
      </c>
      <c r="D4" s="733">
        <f>24-D5-D6</f>
        <v>7.73</v>
      </c>
      <c r="E4" s="733">
        <f>24-E5-E6</f>
        <v>24</v>
      </c>
      <c r="F4" s="1418"/>
    </row>
    <row r="5" spans="1:6" ht="15.75" thickBot="1" x14ac:dyDescent="0.3">
      <c r="A5" s="1437"/>
      <c r="B5" s="448" t="s">
        <v>103</v>
      </c>
      <c r="C5" s="1077">
        <v>0</v>
      </c>
      <c r="D5" s="1077">
        <v>16.27</v>
      </c>
      <c r="E5" s="1077">
        <v>0</v>
      </c>
      <c r="F5" s="1418"/>
    </row>
    <row r="6" spans="1:6" ht="15.75" thickBot="1" x14ac:dyDescent="0.3">
      <c r="A6" s="1438"/>
      <c r="B6" s="457" t="s">
        <v>104</v>
      </c>
      <c r="C6" s="734">
        <v>0</v>
      </c>
      <c r="D6" s="734">
        <v>0</v>
      </c>
      <c r="E6" s="734">
        <v>0</v>
      </c>
      <c r="F6" s="1423"/>
    </row>
    <row r="7" spans="1:6" ht="15.75" thickBot="1" x14ac:dyDescent="0.3">
      <c r="A7" s="1436">
        <v>45109</v>
      </c>
      <c r="B7" s="453" t="s">
        <v>17</v>
      </c>
      <c r="C7" s="709">
        <v>1</v>
      </c>
      <c r="D7" s="709">
        <v>1</v>
      </c>
      <c r="E7" s="709">
        <v>1</v>
      </c>
      <c r="F7" s="1453" t="s">
        <v>5912</v>
      </c>
    </row>
    <row r="8" spans="1:6" ht="15.75" thickBot="1" x14ac:dyDescent="0.3">
      <c r="A8" s="1437"/>
      <c r="B8" s="453" t="s">
        <v>102</v>
      </c>
      <c r="C8" s="733">
        <f>24-C9-C10</f>
        <v>8.43</v>
      </c>
      <c r="D8" s="733">
        <f>24-D9-D10</f>
        <v>16.100000000000001</v>
      </c>
      <c r="E8" s="733">
        <f>24-E9-E10</f>
        <v>24</v>
      </c>
      <c r="F8" s="1418"/>
    </row>
    <row r="9" spans="1:6" ht="15.75" thickBot="1" x14ac:dyDescent="0.3">
      <c r="A9" s="1437"/>
      <c r="B9" s="448" t="s">
        <v>103</v>
      </c>
      <c r="C9" s="1077">
        <v>15.57</v>
      </c>
      <c r="D9" s="1077">
        <v>7.9</v>
      </c>
      <c r="E9" s="1077">
        <v>0</v>
      </c>
      <c r="F9" s="1418"/>
    </row>
    <row r="10" spans="1:6" ht="15.75" thickBot="1" x14ac:dyDescent="0.3">
      <c r="A10" s="1438"/>
      <c r="B10" s="457" t="s">
        <v>104</v>
      </c>
      <c r="C10" s="734">
        <v>0</v>
      </c>
      <c r="D10" s="734">
        <v>0</v>
      </c>
      <c r="E10" s="734">
        <v>0</v>
      </c>
      <c r="F10" s="1423"/>
    </row>
    <row r="11" spans="1:6" ht="15.75" thickBot="1" x14ac:dyDescent="0.3">
      <c r="A11" s="1436">
        <v>45110</v>
      </c>
      <c r="B11" s="453" t="s">
        <v>17</v>
      </c>
      <c r="C11" s="709">
        <v>1</v>
      </c>
      <c r="D11" s="709">
        <v>1</v>
      </c>
      <c r="E11" s="709">
        <v>1</v>
      </c>
      <c r="F11" s="1453" t="s">
        <v>5915</v>
      </c>
    </row>
    <row r="12" spans="1:6" ht="15.75" thickBot="1" x14ac:dyDescent="0.3">
      <c r="A12" s="1437"/>
      <c r="B12" s="453" t="s">
        <v>102</v>
      </c>
      <c r="C12" s="733">
        <f>24-C13-C14</f>
        <v>0</v>
      </c>
      <c r="D12" s="733">
        <f>24-D13-D14</f>
        <v>12.45</v>
      </c>
      <c r="E12" s="733">
        <f>24-E13-E14</f>
        <v>24</v>
      </c>
      <c r="F12" s="1418"/>
    </row>
    <row r="13" spans="1:6" ht="15.75" thickBot="1" x14ac:dyDescent="0.3">
      <c r="A13" s="1437"/>
      <c r="B13" s="448" t="s">
        <v>103</v>
      </c>
      <c r="C13" s="1077">
        <v>24</v>
      </c>
      <c r="D13" s="1077">
        <v>11.55</v>
      </c>
      <c r="E13" s="1077">
        <v>0</v>
      </c>
      <c r="F13" s="1418"/>
    </row>
    <row r="14" spans="1:6" ht="15.75" thickBot="1" x14ac:dyDescent="0.3">
      <c r="A14" s="1438"/>
      <c r="B14" s="457" t="s">
        <v>104</v>
      </c>
      <c r="C14" s="734">
        <v>0</v>
      </c>
      <c r="D14" s="734">
        <v>0</v>
      </c>
      <c r="E14" s="734">
        <v>0</v>
      </c>
      <c r="F14" s="1423"/>
    </row>
    <row r="15" spans="1:6" ht="15.75" thickBot="1" x14ac:dyDescent="0.3">
      <c r="A15" s="1436">
        <v>45111</v>
      </c>
      <c r="B15" s="453" t="s">
        <v>17</v>
      </c>
      <c r="C15" s="709">
        <v>1</v>
      </c>
      <c r="D15" s="709">
        <v>1</v>
      </c>
      <c r="E15" s="709">
        <v>1</v>
      </c>
      <c r="F15" s="1453" t="s">
        <v>5918</v>
      </c>
    </row>
    <row r="16" spans="1:6" ht="15.75" thickBot="1" x14ac:dyDescent="0.3">
      <c r="A16" s="1437"/>
      <c r="B16" s="453" t="s">
        <v>102</v>
      </c>
      <c r="C16" s="733">
        <f>24-C17-C18</f>
        <v>0</v>
      </c>
      <c r="D16" s="733">
        <f>24-D17-D18</f>
        <v>20.65</v>
      </c>
      <c r="E16" s="733">
        <f>24-E17-E18</f>
        <v>24</v>
      </c>
      <c r="F16" s="1418"/>
    </row>
    <row r="17" spans="1:6" ht="15.75" thickBot="1" x14ac:dyDescent="0.3">
      <c r="A17" s="1437"/>
      <c r="B17" s="448" t="s">
        <v>103</v>
      </c>
      <c r="C17" s="1077">
        <v>24</v>
      </c>
      <c r="D17" s="1077">
        <v>3.35</v>
      </c>
      <c r="E17" s="1077">
        <v>0</v>
      </c>
      <c r="F17" s="1418"/>
    </row>
    <row r="18" spans="1:6" ht="15.75" thickBot="1" x14ac:dyDescent="0.3">
      <c r="A18" s="1438"/>
      <c r="B18" s="457" t="s">
        <v>104</v>
      </c>
      <c r="C18" s="734">
        <v>0</v>
      </c>
      <c r="D18" s="734">
        <v>0</v>
      </c>
      <c r="E18" s="734">
        <v>0</v>
      </c>
      <c r="F18" s="1423"/>
    </row>
    <row r="19" spans="1:6" ht="15.75" thickBot="1" x14ac:dyDescent="0.3">
      <c r="A19" s="1436">
        <v>45112</v>
      </c>
      <c r="B19" s="453" t="s">
        <v>17</v>
      </c>
      <c r="C19" s="709">
        <v>1</v>
      </c>
      <c r="D19" s="709">
        <v>1</v>
      </c>
      <c r="E19" s="709">
        <v>1</v>
      </c>
      <c r="F19" s="1453" t="s">
        <v>5926</v>
      </c>
    </row>
    <row r="20" spans="1:6" ht="15.75" thickBot="1" x14ac:dyDescent="0.3">
      <c r="A20" s="1437"/>
      <c r="B20" s="453" t="s">
        <v>102</v>
      </c>
      <c r="C20" s="733">
        <f>24-C21-C22</f>
        <v>0</v>
      </c>
      <c r="D20" s="733">
        <f>24-D21-D22</f>
        <v>2.7100000000000009</v>
      </c>
      <c r="E20" s="733">
        <f>24-E21-E22</f>
        <v>24</v>
      </c>
      <c r="F20" s="1418"/>
    </row>
    <row r="21" spans="1:6" ht="15.75" thickBot="1" x14ac:dyDescent="0.3">
      <c r="A21" s="1437"/>
      <c r="B21" s="448" t="s">
        <v>103</v>
      </c>
      <c r="C21" s="1077">
        <v>24</v>
      </c>
      <c r="D21" s="1077">
        <v>21.29</v>
      </c>
      <c r="E21" s="1077">
        <v>0</v>
      </c>
      <c r="F21" s="1418"/>
    </row>
    <row r="22" spans="1:6" ht="15.75" thickBot="1" x14ac:dyDescent="0.3">
      <c r="A22" s="1438"/>
      <c r="B22" s="457" t="s">
        <v>104</v>
      </c>
      <c r="C22" s="734">
        <v>0</v>
      </c>
      <c r="D22" s="734">
        <v>0</v>
      </c>
      <c r="E22" s="734">
        <v>0</v>
      </c>
      <c r="F22" s="1418"/>
    </row>
    <row r="23" spans="1:6" ht="15.75" thickBot="1" x14ac:dyDescent="0.3">
      <c r="A23" s="1436">
        <v>45113</v>
      </c>
      <c r="B23" s="453" t="s">
        <v>17</v>
      </c>
      <c r="C23" s="709">
        <v>1</v>
      </c>
      <c r="D23" s="709">
        <v>1</v>
      </c>
      <c r="E23" s="709">
        <v>1</v>
      </c>
      <c r="F23" s="1453" t="s">
        <v>5942</v>
      </c>
    </row>
    <row r="24" spans="1:6" ht="15.75" thickBot="1" x14ac:dyDescent="0.3">
      <c r="A24" s="1437"/>
      <c r="B24" s="453" t="s">
        <v>102</v>
      </c>
      <c r="C24" s="733">
        <f>24-C25-C26</f>
        <v>0</v>
      </c>
      <c r="D24" s="733">
        <f>24-D25-D26</f>
        <v>21.09</v>
      </c>
      <c r="E24" s="733">
        <f>24-E25-E26</f>
        <v>24</v>
      </c>
      <c r="F24" s="1418"/>
    </row>
    <row r="25" spans="1:6" ht="15.75" thickBot="1" x14ac:dyDescent="0.3">
      <c r="A25" s="1437"/>
      <c r="B25" s="448" t="s">
        <v>103</v>
      </c>
      <c r="C25" s="1077">
        <v>24</v>
      </c>
      <c r="D25" s="1077">
        <v>2.91</v>
      </c>
      <c r="E25" s="1077">
        <v>0</v>
      </c>
      <c r="F25" s="1418"/>
    </row>
    <row r="26" spans="1:6" ht="15.75" thickBot="1" x14ac:dyDescent="0.3">
      <c r="A26" s="1438"/>
      <c r="B26" s="457" t="s">
        <v>104</v>
      </c>
      <c r="C26" s="734">
        <v>0</v>
      </c>
      <c r="D26" s="734">
        <v>0</v>
      </c>
      <c r="E26" s="734">
        <v>0</v>
      </c>
      <c r="F26" s="1418"/>
    </row>
    <row r="27" spans="1:6" ht="15.75" thickBot="1" x14ac:dyDescent="0.3">
      <c r="A27" s="1436">
        <v>45114</v>
      </c>
      <c r="B27" s="453" t="s">
        <v>17</v>
      </c>
      <c r="C27" s="709">
        <v>1</v>
      </c>
      <c r="D27" s="709">
        <v>1</v>
      </c>
      <c r="E27" s="709">
        <v>1</v>
      </c>
      <c r="F27" s="1453" t="s">
        <v>5933</v>
      </c>
    </row>
    <row r="28" spans="1:6" ht="15.75" thickBot="1" x14ac:dyDescent="0.3">
      <c r="A28" s="1437"/>
      <c r="B28" s="453" t="s">
        <v>102</v>
      </c>
      <c r="C28" s="733">
        <f>24-C29-C30</f>
        <v>0</v>
      </c>
      <c r="D28" s="733">
        <f>24-D29-D30</f>
        <v>3.3500000000000014</v>
      </c>
      <c r="E28" s="733">
        <f>24-E29-E30</f>
        <v>24</v>
      </c>
      <c r="F28" s="1418"/>
    </row>
    <row r="29" spans="1:6" ht="15.75" thickBot="1" x14ac:dyDescent="0.3">
      <c r="A29" s="1437"/>
      <c r="B29" s="448" t="s">
        <v>103</v>
      </c>
      <c r="C29" s="1077">
        <v>24</v>
      </c>
      <c r="D29" s="1077">
        <v>20.65</v>
      </c>
      <c r="E29" s="1077">
        <v>0</v>
      </c>
      <c r="F29" s="1418"/>
    </row>
    <row r="30" spans="1:6" ht="15.75" thickBot="1" x14ac:dyDescent="0.3">
      <c r="A30" s="1438"/>
      <c r="B30" s="457" t="s">
        <v>104</v>
      </c>
      <c r="C30" s="734">
        <v>0</v>
      </c>
      <c r="D30" s="734">
        <v>0</v>
      </c>
      <c r="E30" s="734">
        <v>0</v>
      </c>
      <c r="F30" s="1418"/>
    </row>
    <row r="31" spans="1:6" ht="15.75" thickBot="1" x14ac:dyDescent="0.3">
      <c r="A31" s="1436">
        <v>45115</v>
      </c>
      <c r="B31" s="453" t="s">
        <v>17</v>
      </c>
      <c r="C31" s="709">
        <v>1</v>
      </c>
      <c r="D31" s="709">
        <v>1</v>
      </c>
      <c r="E31" s="709">
        <v>1</v>
      </c>
      <c r="F31" s="1453" t="s">
        <v>5935</v>
      </c>
    </row>
    <row r="32" spans="1:6" ht="15.75" thickBot="1" x14ac:dyDescent="0.3">
      <c r="A32" s="1437"/>
      <c r="B32" s="453" t="s">
        <v>102</v>
      </c>
      <c r="C32" s="733">
        <f>24-C33-C34</f>
        <v>0</v>
      </c>
      <c r="D32" s="733">
        <f>24-D33-D34</f>
        <v>20.399999999999999</v>
      </c>
      <c r="E32" s="733">
        <f>24-E33-E34</f>
        <v>24</v>
      </c>
      <c r="F32" s="1418"/>
    </row>
    <row r="33" spans="1:6" ht="15.75" thickBot="1" x14ac:dyDescent="0.3">
      <c r="A33" s="1437"/>
      <c r="B33" s="448" t="s">
        <v>103</v>
      </c>
      <c r="C33" s="1077">
        <v>24</v>
      </c>
      <c r="D33" s="1077">
        <v>3.6</v>
      </c>
      <c r="E33" s="1077">
        <v>0</v>
      </c>
      <c r="F33" s="1418"/>
    </row>
    <row r="34" spans="1:6" ht="15.75" thickBot="1" x14ac:dyDescent="0.3">
      <c r="A34" s="1438"/>
      <c r="B34" s="457" t="s">
        <v>104</v>
      </c>
      <c r="C34" s="734">
        <v>0</v>
      </c>
      <c r="D34" s="734">
        <v>0</v>
      </c>
      <c r="E34" s="734">
        <v>0</v>
      </c>
      <c r="F34" s="1418"/>
    </row>
    <row r="35" spans="1:6" ht="15.75" thickBot="1" x14ac:dyDescent="0.3">
      <c r="A35" s="1436">
        <v>45116</v>
      </c>
      <c r="B35" s="453" t="s">
        <v>17</v>
      </c>
      <c r="C35" s="709">
        <v>1</v>
      </c>
      <c r="D35" s="709">
        <v>1</v>
      </c>
      <c r="E35" s="709">
        <v>1</v>
      </c>
      <c r="F35" s="1453" t="s">
        <v>5946</v>
      </c>
    </row>
    <row r="36" spans="1:6" ht="15.75" thickBot="1" x14ac:dyDescent="0.3">
      <c r="A36" s="1437"/>
      <c r="B36" s="453" t="s">
        <v>102</v>
      </c>
      <c r="C36" s="733">
        <f>24-C37-C38</f>
        <v>21.54</v>
      </c>
      <c r="D36" s="733">
        <f>24-D37-D38</f>
        <v>4.0300000000000011</v>
      </c>
      <c r="E36" s="733">
        <f>24-E37-E38</f>
        <v>24</v>
      </c>
      <c r="F36" s="1418"/>
    </row>
    <row r="37" spans="1:6" ht="15.75" thickBot="1" x14ac:dyDescent="0.3">
      <c r="A37" s="1437"/>
      <c r="B37" s="448" t="s">
        <v>103</v>
      </c>
      <c r="C37" s="1077">
        <v>2.46</v>
      </c>
      <c r="D37" s="1077">
        <v>19.97</v>
      </c>
      <c r="E37" s="1077">
        <v>0</v>
      </c>
      <c r="F37" s="1418"/>
    </row>
    <row r="38" spans="1:6" ht="15.75" thickBot="1" x14ac:dyDescent="0.3">
      <c r="A38" s="1438"/>
      <c r="B38" s="457" t="s">
        <v>104</v>
      </c>
      <c r="C38" s="734">
        <v>0</v>
      </c>
      <c r="D38" s="734">
        <v>0</v>
      </c>
      <c r="E38" s="734">
        <v>0</v>
      </c>
      <c r="F38" s="1418"/>
    </row>
    <row r="39" spans="1:6" ht="15.75" thickBot="1" x14ac:dyDescent="0.3">
      <c r="A39" s="1436">
        <v>45117</v>
      </c>
      <c r="B39" s="453" t="s">
        <v>17</v>
      </c>
      <c r="C39" s="709">
        <v>1</v>
      </c>
      <c r="D39" s="709">
        <v>1</v>
      </c>
      <c r="E39" s="709">
        <v>1</v>
      </c>
      <c r="F39" s="1453" t="s">
        <v>5952</v>
      </c>
    </row>
    <row r="40" spans="1:6" ht="15.75" thickBot="1" x14ac:dyDescent="0.3">
      <c r="A40" s="1437"/>
      <c r="B40" s="453" t="s">
        <v>102</v>
      </c>
      <c r="C40" s="733">
        <f>24-C41-C42</f>
        <v>24</v>
      </c>
      <c r="D40" s="733">
        <f>24-D41-D42</f>
        <v>19.77</v>
      </c>
      <c r="E40" s="733">
        <f>24-E41-E42</f>
        <v>24</v>
      </c>
      <c r="F40" s="1418"/>
    </row>
    <row r="41" spans="1:6" ht="15.75" thickBot="1" x14ac:dyDescent="0.3">
      <c r="A41" s="1437"/>
      <c r="B41" s="448" t="s">
        <v>103</v>
      </c>
      <c r="C41" s="1077">
        <v>0</v>
      </c>
      <c r="D41" s="1077">
        <v>4.2300000000000004</v>
      </c>
      <c r="E41" s="1077">
        <v>0</v>
      </c>
      <c r="F41" s="1418"/>
    </row>
    <row r="42" spans="1:6" ht="15.75" thickBot="1" x14ac:dyDescent="0.3">
      <c r="A42" s="1438"/>
      <c r="B42" s="457" t="s">
        <v>104</v>
      </c>
      <c r="C42" s="734">
        <v>0</v>
      </c>
      <c r="D42" s="734">
        <v>0</v>
      </c>
      <c r="E42" s="734">
        <v>0</v>
      </c>
      <c r="F42" s="1423"/>
    </row>
    <row r="43" spans="1:6" ht="15.75" thickBot="1" x14ac:dyDescent="0.3">
      <c r="A43" s="1436">
        <v>45118</v>
      </c>
      <c r="B43" s="453" t="s">
        <v>17</v>
      </c>
      <c r="C43" s="709">
        <v>1</v>
      </c>
      <c r="D43" s="709">
        <v>1</v>
      </c>
      <c r="E43" s="1395">
        <v>1</v>
      </c>
      <c r="F43" s="1453" t="s">
        <v>5959</v>
      </c>
    </row>
    <row r="44" spans="1:6" ht="15.75" thickBot="1" x14ac:dyDescent="0.3">
      <c r="A44" s="1437"/>
      <c r="B44" s="453" t="s">
        <v>102</v>
      </c>
      <c r="C44" s="733">
        <f>24-C45-C46</f>
        <v>1.3299999999999983</v>
      </c>
      <c r="D44" s="1393">
        <f>24-D45-D46</f>
        <v>3.0599999999999987</v>
      </c>
      <c r="E44" s="731">
        <f>24-E45-E46</f>
        <v>24</v>
      </c>
      <c r="F44" s="1440"/>
    </row>
    <row r="45" spans="1:6" ht="15.75" thickBot="1" x14ac:dyDescent="0.3">
      <c r="A45" s="1437"/>
      <c r="B45" s="448" t="s">
        <v>103</v>
      </c>
      <c r="C45" s="1077">
        <v>22.67</v>
      </c>
      <c r="D45" s="1394">
        <v>20.94</v>
      </c>
      <c r="E45" s="1396">
        <v>0</v>
      </c>
      <c r="F45" s="1440"/>
    </row>
    <row r="46" spans="1:6" ht="15.75" thickBot="1" x14ac:dyDescent="0.3">
      <c r="A46" s="1438"/>
      <c r="B46" s="457" t="s">
        <v>104</v>
      </c>
      <c r="C46" s="734">
        <v>0</v>
      </c>
      <c r="D46" s="734">
        <v>0</v>
      </c>
      <c r="E46" s="732">
        <v>0</v>
      </c>
      <c r="F46" s="1423"/>
    </row>
    <row r="47" spans="1:6" ht="15.75" thickBot="1" x14ac:dyDescent="0.3">
      <c r="A47" s="1436">
        <v>45119</v>
      </c>
      <c r="B47" s="453" t="s">
        <v>17</v>
      </c>
      <c r="C47" s="709">
        <v>1</v>
      </c>
      <c r="D47" s="709">
        <v>1</v>
      </c>
      <c r="E47" s="1395">
        <v>1</v>
      </c>
      <c r="F47" s="1453" t="s">
        <v>5966</v>
      </c>
    </row>
    <row r="48" spans="1:6" ht="15.75" thickBot="1" x14ac:dyDescent="0.3">
      <c r="A48" s="1437"/>
      <c r="B48" s="453" t="s">
        <v>102</v>
      </c>
      <c r="C48" s="733">
        <f>24-C49-C50</f>
        <v>0</v>
      </c>
      <c r="D48" s="1393">
        <f>24-D49-D50</f>
        <v>20.97</v>
      </c>
      <c r="E48" s="731">
        <f>24-E49-E50</f>
        <v>24</v>
      </c>
      <c r="F48" s="1418"/>
    </row>
    <row r="49" spans="1:6" ht="15.75" thickBot="1" x14ac:dyDescent="0.3">
      <c r="A49" s="1437"/>
      <c r="B49" s="448" t="s">
        <v>103</v>
      </c>
      <c r="C49" s="1077">
        <v>24</v>
      </c>
      <c r="D49" s="1394">
        <v>3.03</v>
      </c>
      <c r="E49" s="1396">
        <v>0</v>
      </c>
      <c r="F49" s="1418"/>
    </row>
    <row r="50" spans="1:6" ht="15.75" thickBot="1" x14ac:dyDescent="0.3">
      <c r="A50" s="1438"/>
      <c r="B50" s="457" t="s">
        <v>104</v>
      </c>
      <c r="C50" s="734">
        <v>0</v>
      </c>
      <c r="D50" s="734">
        <v>0</v>
      </c>
      <c r="E50" s="732">
        <v>0</v>
      </c>
      <c r="F50" s="1418"/>
    </row>
    <row r="51" spans="1:6" ht="15.75" thickBot="1" x14ac:dyDescent="0.3">
      <c r="A51" s="1436">
        <v>45120</v>
      </c>
      <c r="B51" s="453" t="s">
        <v>17</v>
      </c>
      <c r="C51" s="709">
        <v>1</v>
      </c>
      <c r="D51" s="709">
        <v>1</v>
      </c>
      <c r="E51" s="1395">
        <v>1</v>
      </c>
      <c r="F51" s="1453" t="s">
        <v>5971</v>
      </c>
    </row>
    <row r="52" spans="1:6" ht="15.75" thickBot="1" x14ac:dyDescent="0.3">
      <c r="A52" s="1437"/>
      <c r="B52" s="453" t="s">
        <v>102</v>
      </c>
      <c r="C52" s="733">
        <f>24-C53-C54</f>
        <v>0</v>
      </c>
      <c r="D52" s="1393">
        <f>24-D53-D54</f>
        <v>2.0100000000000016</v>
      </c>
      <c r="E52" s="731">
        <f>24-E53-E54</f>
        <v>24</v>
      </c>
      <c r="F52" s="1418"/>
    </row>
    <row r="53" spans="1:6" ht="15.75" thickBot="1" x14ac:dyDescent="0.3">
      <c r="A53" s="1437"/>
      <c r="B53" s="448" t="s">
        <v>103</v>
      </c>
      <c r="C53" s="1077">
        <v>24</v>
      </c>
      <c r="D53" s="1394">
        <v>21.99</v>
      </c>
      <c r="E53" s="1396">
        <v>0</v>
      </c>
      <c r="F53" s="1418"/>
    </row>
    <row r="54" spans="1:6" ht="15.75" thickBot="1" x14ac:dyDescent="0.3">
      <c r="A54" s="1438"/>
      <c r="B54" s="457" t="s">
        <v>104</v>
      </c>
      <c r="C54" s="734">
        <v>0</v>
      </c>
      <c r="D54" s="734">
        <v>0</v>
      </c>
      <c r="E54" s="732">
        <v>0</v>
      </c>
      <c r="F54" s="1418"/>
    </row>
    <row r="55" spans="1:6" ht="15.75" thickBot="1" x14ac:dyDescent="0.3">
      <c r="A55" s="1436">
        <v>45121</v>
      </c>
      <c r="B55" s="453" t="s">
        <v>17</v>
      </c>
      <c r="C55" s="709">
        <v>1</v>
      </c>
      <c r="D55" s="709">
        <v>1</v>
      </c>
      <c r="E55" s="1395">
        <v>1</v>
      </c>
      <c r="F55" s="1453" t="s">
        <v>5975</v>
      </c>
    </row>
    <row r="56" spans="1:6" ht="15.75" thickBot="1" x14ac:dyDescent="0.3">
      <c r="A56" s="1437"/>
      <c r="B56" s="453" t="s">
        <v>102</v>
      </c>
      <c r="C56" s="733">
        <f>24-C57-C58</f>
        <v>0</v>
      </c>
      <c r="D56" s="1393">
        <f>24-D57-D58</f>
        <v>20.170000000000002</v>
      </c>
      <c r="E56" s="731">
        <f>24-E57-E58</f>
        <v>24</v>
      </c>
      <c r="F56" s="1418"/>
    </row>
    <row r="57" spans="1:6" ht="15.75" thickBot="1" x14ac:dyDescent="0.3">
      <c r="A57" s="1437"/>
      <c r="B57" s="448" t="s">
        <v>103</v>
      </c>
      <c r="C57" s="1077">
        <v>24</v>
      </c>
      <c r="D57" s="1394">
        <v>3.83</v>
      </c>
      <c r="E57" s="1396">
        <v>0</v>
      </c>
      <c r="F57" s="1418"/>
    </row>
    <row r="58" spans="1:6" ht="15.75" thickBot="1" x14ac:dyDescent="0.3">
      <c r="A58" s="1438"/>
      <c r="B58" s="457" t="s">
        <v>104</v>
      </c>
      <c r="C58" s="734">
        <v>0</v>
      </c>
      <c r="D58" s="734">
        <v>0</v>
      </c>
      <c r="E58" s="732">
        <v>0</v>
      </c>
      <c r="F58" s="1423"/>
    </row>
    <row r="59" spans="1:6" ht="15.75" thickBot="1" x14ac:dyDescent="0.3">
      <c r="A59" s="1436">
        <v>45122</v>
      </c>
      <c r="B59" s="453" t="s">
        <v>17</v>
      </c>
      <c r="C59" s="709">
        <v>1</v>
      </c>
      <c r="D59" s="709">
        <v>1</v>
      </c>
      <c r="E59" s="1395">
        <v>1</v>
      </c>
      <c r="F59" s="1464" t="s">
        <v>5983</v>
      </c>
    </row>
    <row r="60" spans="1:6" ht="15.75" thickBot="1" x14ac:dyDescent="0.3">
      <c r="A60" s="1437"/>
      <c r="B60" s="453" t="s">
        <v>102</v>
      </c>
      <c r="C60" s="733">
        <f>24-C61-C62</f>
        <v>0</v>
      </c>
      <c r="D60" s="1393">
        <f>24-D61-D62</f>
        <v>1.7800000000000011</v>
      </c>
      <c r="E60" s="731">
        <f>24-E61-E62</f>
        <v>24</v>
      </c>
      <c r="F60" s="1465"/>
    </row>
    <row r="61" spans="1:6" ht="15.75" thickBot="1" x14ac:dyDescent="0.3">
      <c r="A61" s="1437"/>
      <c r="B61" s="448" t="s">
        <v>103</v>
      </c>
      <c r="C61" s="1077">
        <v>24</v>
      </c>
      <c r="D61" s="1394">
        <v>22.22</v>
      </c>
      <c r="E61" s="1396">
        <v>0</v>
      </c>
      <c r="F61" s="1465"/>
    </row>
    <row r="62" spans="1:6" ht="15.75" thickBot="1" x14ac:dyDescent="0.3">
      <c r="A62" s="1438"/>
      <c r="B62" s="457" t="s">
        <v>104</v>
      </c>
      <c r="C62" s="734">
        <v>0</v>
      </c>
      <c r="D62" s="734">
        <v>0</v>
      </c>
      <c r="E62" s="732">
        <v>0</v>
      </c>
      <c r="F62" s="1465"/>
    </row>
    <row r="63" spans="1:6" ht="15.75" thickBot="1" x14ac:dyDescent="0.3">
      <c r="A63" s="1436">
        <v>45123</v>
      </c>
      <c r="B63" s="453" t="s">
        <v>17</v>
      </c>
      <c r="C63" s="709">
        <v>1</v>
      </c>
      <c r="D63" s="709">
        <v>1</v>
      </c>
      <c r="E63" s="1395">
        <v>1</v>
      </c>
      <c r="F63" s="1453" t="s">
        <v>5987</v>
      </c>
    </row>
    <row r="64" spans="1:6" ht="15.75" thickBot="1" x14ac:dyDescent="0.3">
      <c r="A64" s="1437"/>
      <c r="B64" s="453" t="s">
        <v>102</v>
      </c>
      <c r="C64" s="733">
        <f>24-C65-C66</f>
        <v>20.37</v>
      </c>
      <c r="D64" s="1393">
        <f>24-D65-D66</f>
        <v>18.350000000000001</v>
      </c>
      <c r="E64" s="731">
        <f>24-E65-E66</f>
        <v>24</v>
      </c>
      <c r="F64" s="1418"/>
    </row>
    <row r="65" spans="1:6" ht="15.75" thickBot="1" x14ac:dyDescent="0.3">
      <c r="A65" s="1437"/>
      <c r="B65" s="448" t="s">
        <v>103</v>
      </c>
      <c r="C65" s="1077">
        <v>3.63</v>
      </c>
      <c r="D65" s="1394">
        <v>5.65</v>
      </c>
      <c r="E65" s="1396">
        <v>0</v>
      </c>
      <c r="F65" s="1418"/>
    </row>
    <row r="66" spans="1:6" ht="15.75" thickBot="1" x14ac:dyDescent="0.3">
      <c r="A66" s="1438"/>
      <c r="B66" s="457" t="s">
        <v>104</v>
      </c>
      <c r="C66" s="734">
        <v>0</v>
      </c>
      <c r="D66" s="734">
        <v>0</v>
      </c>
      <c r="E66" s="732">
        <v>0</v>
      </c>
      <c r="F66" s="1423"/>
    </row>
    <row r="67" spans="1:6" ht="33" customHeight="1" thickBot="1" x14ac:dyDescent="0.3">
      <c r="A67" s="1436">
        <v>45124</v>
      </c>
      <c r="B67" s="453" t="s">
        <v>17</v>
      </c>
      <c r="C67" s="709">
        <v>1</v>
      </c>
      <c r="D67" s="709">
        <v>1</v>
      </c>
      <c r="E67" s="1395">
        <v>1</v>
      </c>
      <c r="F67" s="1453" t="s">
        <v>6008</v>
      </c>
    </row>
    <row r="68" spans="1:6" ht="33" customHeight="1" thickBot="1" x14ac:dyDescent="0.3">
      <c r="A68" s="1437"/>
      <c r="B68" s="453" t="s">
        <v>102</v>
      </c>
      <c r="C68" s="733">
        <f>24-C69-C70</f>
        <v>20.95</v>
      </c>
      <c r="D68" s="1393">
        <f>24-D69-D70</f>
        <v>6.8299999999999983</v>
      </c>
      <c r="E68" s="731">
        <f>24-E69-E70</f>
        <v>23.1</v>
      </c>
      <c r="F68" s="1418"/>
    </row>
    <row r="69" spans="1:6" ht="33" customHeight="1" thickBot="1" x14ac:dyDescent="0.3">
      <c r="A69" s="1437"/>
      <c r="B69" s="448" t="s">
        <v>103</v>
      </c>
      <c r="C69" s="1077">
        <v>3.05</v>
      </c>
      <c r="D69" s="1394">
        <v>17.170000000000002</v>
      </c>
      <c r="E69" s="1396">
        <v>0.9</v>
      </c>
      <c r="F69" s="1418"/>
    </row>
    <row r="70" spans="1:6" ht="33" customHeight="1" thickBot="1" x14ac:dyDescent="0.3">
      <c r="A70" s="1438"/>
      <c r="B70" s="457" t="s">
        <v>104</v>
      </c>
      <c r="C70" s="734">
        <v>0</v>
      </c>
      <c r="D70" s="734">
        <v>0</v>
      </c>
      <c r="E70" s="732">
        <v>0</v>
      </c>
      <c r="F70" s="1423"/>
    </row>
    <row r="71" spans="1:6" ht="21" customHeight="1" thickBot="1" x14ac:dyDescent="0.3">
      <c r="A71" s="1436">
        <v>45125</v>
      </c>
      <c r="B71" s="453" t="s">
        <v>17</v>
      </c>
      <c r="C71" s="709">
        <v>1</v>
      </c>
      <c r="D71" s="709">
        <v>1</v>
      </c>
      <c r="E71" s="1395">
        <v>1</v>
      </c>
      <c r="F71" s="1447" t="s">
        <v>6017</v>
      </c>
    </row>
    <row r="72" spans="1:6" ht="21" customHeight="1" thickBot="1" x14ac:dyDescent="0.3">
      <c r="A72" s="1437"/>
      <c r="B72" s="453" t="s">
        <v>102</v>
      </c>
      <c r="C72" s="733">
        <f>24-C73-C74</f>
        <v>1.9100000000000001</v>
      </c>
      <c r="D72" s="1393">
        <f>24-D73-D74</f>
        <v>19.09</v>
      </c>
      <c r="E72" s="731">
        <f>24-E73-E74</f>
        <v>24</v>
      </c>
      <c r="F72" s="1454"/>
    </row>
    <row r="73" spans="1:6" ht="21" customHeight="1" thickBot="1" x14ac:dyDescent="0.3">
      <c r="A73" s="1437"/>
      <c r="B73" s="448" t="s">
        <v>103</v>
      </c>
      <c r="C73" s="1077">
        <v>22.09</v>
      </c>
      <c r="D73" s="1394">
        <v>4.91</v>
      </c>
      <c r="E73" s="1396">
        <v>0</v>
      </c>
      <c r="F73" s="1454"/>
    </row>
    <row r="74" spans="1:6" ht="21" customHeight="1" thickBot="1" x14ac:dyDescent="0.3">
      <c r="A74" s="1438"/>
      <c r="B74" s="457" t="s">
        <v>104</v>
      </c>
      <c r="C74" s="734">
        <v>0</v>
      </c>
      <c r="D74" s="734">
        <v>0</v>
      </c>
      <c r="E74" s="732">
        <v>0</v>
      </c>
      <c r="F74" s="1455"/>
    </row>
    <row r="75" spans="1:6" ht="15.75" thickBot="1" x14ac:dyDescent="0.3">
      <c r="A75" s="1436">
        <v>45126</v>
      </c>
      <c r="B75" s="453" t="s">
        <v>17</v>
      </c>
      <c r="C75" s="709">
        <v>1</v>
      </c>
      <c r="D75" s="709">
        <v>1</v>
      </c>
      <c r="E75" s="1395">
        <v>1</v>
      </c>
      <c r="F75" s="1447" t="s">
        <v>6024</v>
      </c>
    </row>
    <row r="76" spans="1:6" ht="15.75" thickBot="1" x14ac:dyDescent="0.3">
      <c r="A76" s="1437"/>
      <c r="B76" s="453" t="s">
        <v>102</v>
      </c>
      <c r="C76" s="733">
        <f>24-C77-C78</f>
        <v>9.14</v>
      </c>
      <c r="D76" s="1393">
        <f>24-D77-D78</f>
        <v>1.7800000000000011</v>
      </c>
      <c r="E76" s="731">
        <f>24-E77-E78</f>
        <v>24</v>
      </c>
      <c r="F76" s="1448"/>
    </row>
    <row r="77" spans="1:6" ht="15.75" thickBot="1" x14ac:dyDescent="0.3">
      <c r="A77" s="1437"/>
      <c r="B77" s="448" t="s">
        <v>103</v>
      </c>
      <c r="C77" s="1077">
        <v>14.86</v>
      </c>
      <c r="D77" s="1394">
        <v>22.22</v>
      </c>
      <c r="E77" s="1396">
        <v>0</v>
      </c>
      <c r="F77" s="1448"/>
    </row>
    <row r="78" spans="1:6" ht="15.75" thickBot="1" x14ac:dyDescent="0.3">
      <c r="A78" s="1438"/>
      <c r="B78" s="457" t="s">
        <v>104</v>
      </c>
      <c r="C78" s="734">
        <v>0</v>
      </c>
      <c r="D78" s="734">
        <v>0</v>
      </c>
      <c r="E78" s="732">
        <v>0</v>
      </c>
      <c r="F78" s="1449"/>
    </row>
    <row r="79" spans="1:6" ht="15.75" thickBot="1" x14ac:dyDescent="0.3">
      <c r="A79" s="1436">
        <v>45127</v>
      </c>
      <c r="B79" s="453" t="s">
        <v>17</v>
      </c>
      <c r="C79" s="709">
        <v>1</v>
      </c>
      <c r="D79" s="709">
        <v>1</v>
      </c>
      <c r="E79" s="1395">
        <v>1</v>
      </c>
      <c r="F79" s="1447" t="s">
        <v>6030</v>
      </c>
    </row>
    <row r="80" spans="1:6" ht="15.75" thickBot="1" x14ac:dyDescent="0.3">
      <c r="A80" s="1437"/>
      <c r="B80" s="453" t="s">
        <v>102</v>
      </c>
      <c r="C80" s="733">
        <f>24-C81-C82</f>
        <v>24</v>
      </c>
      <c r="D80" s="1393">
        <f>24-D81-D82</f>
        <v>19.440000000000001</v>
      </c>
      <c r="E80" s="731">
        <f>24-E81-E82</f>
        <v>24</v>
      </c>
      <c r="F80" s="1448"/>
    </row>
    <row r="81" spans="1:6" ht="15.75" thickBot="1" x14ac:dyDescent="0.3">
      <c r="A81" s="1437"/>
      <c r="B81" s="448" t="s">
        <v>103</v>
      </c>
      <c r="C81" s="1077">
        <v>0</v>
      </c>
      <c r="D81" s="1394">
        <v>4.5599999999999996</v>
      </c>
      <c r="E81" s="1396">
        <v>0</v>
      </c>
      <c r="F81" s="1448"/>
    </row>
    <row r="82" spans="1:6" ht="15.75" thickBot="1" x14ac:dyDescent="0.3">
      <c r="A82" s="1438"/>
      <c r="B82" s="457" t="s">
        <v>104</v>
      </c>
      <c r="C82" s="734">
        <v>0</v>
      </c>
      <c r="D82" s="734">
        <v>0</v>
      </c>
      <c r="E82" s="732">
        <v>0</v>
      </c>
      <c r="F82" s="1448"/>
    </row>
    <row r="83" spans="1:6" ht="15.75" thickBot="1" x14ac:dyDescent="0.3">
      <c r="A83" s="1436">
        <v>45128</v>
      </c>
      <c r="B83" s="453" t="s">
        <v>17</v>
      </c>
      <c r="C83" s="709">
        <v>1</v>
      </c>
      <c r="D83" s="709">
        <v>1</v>
      </c>
      <c r="E83" s="1395">
        <v>1</v>
      </c>
      <c r="F83" s="1462" t="s">
        <v>6034</v>
      </c>
    </row>
    <row r="84" spans="1:6" ht="15.75" thickBot="1" x14ac:dyDescent="0.3">
      <c r="A84" s="1437"/>
      <c r="B84" s="453" t="s">
        <v>102</v>
      </c>
      <c r="C84" s="733">
        <f>24-C85-C86</f>
        <v>9</v>
      </c>
      <c r="D84" s="1393">
        <f>24-D85-D86</f>
        <v>4.3299999999999983</v>
      </c>
      <c r="E84" s="731">
        <f>24-E85-E86</f>
        <v>24</v>
      </c>
      <c r="F84" s="1454"/>
    </row>
    <row r="85" spans="1:6" ht="15.75" thickBot="1" x14ac:dyDescent="0.3">
      <c r="A85" s="1437"/>
      <c r="B85" s="448" t="s">
        <v>103</v>
      </c>
      <c r="C85" s="1077">
        <v>15</v>
      </c>
      <c r="D85" s="1394">
        <v>19.670000000000002</v>
      </c>
      <c r="E85" s="1396">
        <v>0</v>
      </c>
      <c r="F85" s="1454"/>
    </row>
    <row r="86" spans="1:6" ht="15.75" thickBot="1" x14ac:dyDescent="0.3">
      <c r="A86" s="1438"/>
      <c r="B86" s="457" t="s">
        <v>104</v>
      </c>
      <c r="C86" s="734">
        <v>0</v>
      </c>
      <c r="D86" s="734">
        <v>0</v>
      </c>
      <c r="E86" s="732">
        <v>0</v>
      </c>
      <c r="F86" s="1455"/>
    </row>
    <row r="87" spans="1:6" ht="22.5" customHeight="1" thickBot="1" x14ac:dyDescent="0.3">
      <c r="A87" s="1436">
        <v>45129</v>
      </c>
      <c r="B87" s="453" t="s">
        <v>17</v>
      </c>
      <c r="C87" s="709">
        <v>1</v>
      </c>
      <c r="D87" s="709">
        <v>1</v>
      </c>
      <c r="E87" s="1395">
        <v>1</v>
      </c>
      <c r="F87" s="1447" t="s">
        <v>6047</v>
      </c>
    </row>
    <row r="88" spans="1:6" ht="22.5" customHeight="1" thickBot="1" x14ac:dyDescent="0.3">
      <c r="A88" s="1437"/>
      <c r="B88" s="453" t="s">
        <v>102</v>
      </c>
      <c r="C88" s="733">
        <f>24-C89-C90</f>
        <v>0</v>
      </c>
      <c r="D88" s="1393">
        <f>24-D89-D90</f>
        <v>21.35</v>
      </c>
      <c r="E88" s="731">
        <f>24-E89-E90</f>
        <v>24</v>
      </c>
      <c r="F88" s="1454"/>
    </row>
    <row r="89" spans="1:6" ht="22.5" customHeight="1" thickBot="1" x14ac:dyDescent="0.3">
      <c r="A89" s="1437"/>
      <c r="B89" s="448" t="s">
        <v>103</v>
      </c>
      <c r="C89" s="1077">
        <v>24</v>
      </c>
      <c r="D89" s="1394">
        <v>2.65</v>
      </c>
      <c r="E89" s="1396">
        <v>0</v>
      </c>
      <c r="F89" s="1454"/>
    </row>
    <row r="90" spans="1:6" ht="22.5" customHeight="1" thickBot="1" x14ac:dyDescent="0.3">
      <c r="A90" s="1438"/>
      <c r="B90" s="457" t="s">
        <v>104</v>
      </c>
      <c r="C90" s="734">
        <v>0</v>
      </c>
      <c r="D90" s="734">
        <v>0</v>
      </c>
      <c r="E90" s="732">
        <v>0</v>
      </c>
      <c r="F90" s="1455"/>
    </row>
    <row r="91" spans="1:6" ht="27" customHeight="1" thickBot="1" x14ac:dyDescent="0.3">
      <c r="A91" s="1436">
        <v>45130</v>
      </c>
      <c r="B91" s="453" t="s">
        <v>17</v>
      </c>
      <c r="C91" s="709">
        <v>1</v>
      </c>
      <c r="D91" s="709">
        <v>1</v>
      </c>
      <c r="E91" s="1395">
        <v>1</v>
      </c>
      <c r="F91" s="1447" t="s">
        <v>6050</v>
      </c>
    </row>
    <row r="92" spans="1:6" ht="27" customHeight="1" thickBot="1" x14ac:dyDescent="0.3">
      <c r="A92" s="1437"/>
      <c r="B92" s="453" t="s">
        <v>102</v>
      </c>
      <c r="C92" s="733">
        <f>24-C93-C94</f>
        <v>20.07</v>
      </c>
      <c r="D92" s="1393">
        <f>24-D93-D94</f>
        <v>12.68</v>
      </c>
      <c r="E92" s="731">
        <f>24-E93-E94</f>
        <v>24</v>
      </c>
      <c r="F92" s="1448"/>
    </row>
    <row r="93" spans="1:6" ht="27" customHeight="1" thickBot="1" x14ac:dyDescent="0.3">
      <c r="A93" s="1437"/>
      <c r="B93" s="448" t="s">
        <v>103</v>
      </c>
      <c r="C93" s="1077">
        <v>3.93</v>
      </c>
      <c r="D93" s="1394">
        <v>11.32</v>
      </c>
      <c r="E93" s="1396">
        <v>0</v>
      </c>
      <c r="F93" s="1448"/>
    </row>
    <row r="94" spans="1:6" ht="27" customHeight="1" thickBot="1" x14ac:dyDescent="0.3">
      <c r="A94" s="1438"/>
      <c r="B94" s="457" t="s">
        <v>104</v>
      </c>
      <c r="C94" s="734">
        <v>0</v>
      </c>
      <c r="D94" s="734">
        <v>0</v>
      </c>
      <c r="E94" s="732">
        <v>0</v>
      </c>
      <c r="F94" s="1449"/>
    </row>
    <row r="95" spans="1:6" ht="15.75" thickBot="1" x14ac:dyDescent="0.3">
      <c r="A95" s="1436">
        <v>45131</v>
      </c>
      <c r="B95" s="453" t="s">
        <v>17</v>
      </c>
      <c r="C95" s="709">
        <v>1</v>
      </c>
      <c r="D95" s="709">
        <v>1</v>
      </c>
      <c r="E95" s="1395">
        <v>1</v>
      </c>
      <c r="F95" s="1447" t="s">
        <v>6051</v>
      </c>
    </row>
    <row r="96" spans="1:6" ht="15.75" thickBot="1" x14ac:dyDescent="0.3">
      <c r="A96" s="1437"/>
      <c r="B96" s="453" t="s">
        <v>102</v>
      </c>
      <c r="C96" s="733">
        <f>24-C97-C98</f>
        <v>19.59</v>
      </c>
      <c r="D96" s="1393">
        <f>24-D97-D98</f>
        <v>12.55</v>
      </c>
      <c r="E96" s="731">
        <f>24-E97-E98</f>
        <v>24</v>
      </c>
      <c r="F96" s="1448"/>
    </row>
    <row r="97" spans="1:6" ht="15.75" thickBot="1" x14ac:dyDescent="0.3">
      <c r="A97" s="1437"/>
      <c r="B97" s="448" t="s">
        <v>103</v>
      </c>
      <c r="C97" s="1077">
        <v>4.41</v>
      </c>
      <c r="D97" s="1394">
        <v>11.45</v>
      </c>
      <c r="E97" s="1396">
        <v>0</v>
      </c>
      <c r="F97" s="1448"/>
    </row>
    <row r="98" spans="1:6" ht="15.75" thickBot="1" x14ac:dyDescent="0.3">
      <c r="A98" s="1438"/>
      <c r="B98" s="457" t="s">
        <v>104</v>
      </c>
      <c r="C98" s="734">
        <v>0</v>
      </c>
      <c r="D98" s="734">
        <v>0</v>
      </c>
      <c r="E98" s="732">
        <v>0</v>
      </c>
      <c r="F98" s="1449"/>
    </row>
    <row r="99" spans="1:6" ht="15.75" thickBot="1" x14ac:dyDescent="0.3">
      <c r="A99" s="1436">
        <v>45132</v>
      </c>
      <c r="B99" s="453" t="s">
        <v>17</v>
      </c>
      <c r="C99" s="709">
        <v>1</v>
      </c>
      <c r="D99" s="709">
        <v>1</v>
      </c>
      <c r="E99" s="1395">
        <v>1</v>
      </c>
      <c r="F99" s="1447" t="s">
        <v>6062</v>
      </c>
    </row>
    <row r="100" spans="1:6" ht="15.75" thickBot="1" x14ac:dyDescent="0.3">
      <c r="A100" s="1437"/>
      <c r="B100" s="453" t="s">
        <v>102</v>
      </c>
      <c r="C100" s="733">
        <f>24-C101-C102</f>
        <v>0</v>
      </c>
      <c r="D100" s="1393">
        <f>24-D101-D102</f>
        <v>6.75</v>
      </c>
      <c r="E100" s="731">
        <f>24-E101-E102</f>
        <v>24</v>
      </c>
      <c r="F100" s="1448"/>
    </row>
    <row r="101" spans="1:6" ht="15.75" thickBot="1" x14ac:dyDescent="0.3">
      <c r="A101" s="1437"/>
      <c r="B101" s="448" t="s">
        <v>103</v>
      </c>
      <c r="C101" s="1077">
        <v>24</v>
      </c>
      <c r="D101" s="1394">
        <v>17.25</v>
      </c>
      <c r="E101" s="1396">
        <v>0</v>
      </c>
      <c r="F101" s="1448"/>
    </row>
    <row r="102" spans="1:6" ht="15.75" thickBot="1" x14ac:dyDescent="0.3">
      <c r="A102" s="1438"/>
      <c r="B102" s="457" t="s">
        <v>104</v>
      </c>
      <c r="C102" s="734">
        <v>0</v>
      </c>
      <c r="D102" s="734">
        <v>0</v>
      </c>
      <c r="E102" s="732">
        <v>0</v>
      </c>
      <c r="F102" s="1449"/>
    </row>
    <row r="103" spans="1:6" ht="15.75" thickBot="1" x14ac:dyDescent="0.3">
      <c r="A103" s="1436">
        <v>45133</v>
      </c>
      <c r="B103" s="453" t="s">
        <v>17</v>
      </c>
      <c r="C103" s="709">
        <v>1</v>
      </c>
      <c r="D103" s="709">
        <v>1</v>
      </c>
      <c r="E103" s="1395">
        <v>1</v>
      </c>
      <c r="F103" s="1447" t="s">
        <v>6063</v>
      </c>
    </row>
    <row r="104" spans="1:6" ht="15.75" thickBot="1" x14ac:dyDescent="0.3">
      <c r="A104" s="1437"/>
      <c r="B104" s="453" t="s">
        <v>102</v>
      </c>
      <c r="C104" s="733">
        <f>24-C105-C106</f>
        <v>0</v>
      </c>
      <c r="D104" s="1393">
        <f>24-D105-D106</f>
        <v>12.65</v>
      </c>
      <c r="E104" s="731">
        <f>24-E105-E106</f>
        <v>24</v>
      </c>
      <c r="F104" s="1448"/>
    </row>
    <row r="105" spans="1:6" ht="15.75" thickBot="1" x14ac:dyDescent="0.3">
      <c r="A105" s="1437"/>
      <c r="B105" s="448" t="s">
        <v>103</v>
      </c>
      <c r="C105" s="1077">
        <v>24</v>
      </c>
      <c r="D105" s="1394">
        <v>11.35</v>
      </c>
      <c r="E105" s="1396">
        <v>0</v>
      </c>
      <c r="F105" s="1448"/>
    </row>
    <row r="106" spans="1:6" ht="15.75" thickBot="1" x14ac:dyDescent="0.3">
      <c r="A106" s="1438"/>
      <c r="B106" s="457" t="s">
        <v>104</v>
      </c>
      <c r="C106" s="734">
        <v>0</v>
      </c>
      <c r="D106" s="734">
        <v>0</v>
      </c>
      <c r="E106" s="732">
        <v>0</v>
      </c>
      <c r="F106" s="1449"/>
    </row>
    <row r="107" spans="1:6" ht="15.75" thickBot="1" x14ac:dyDescent="0.3">
      <c r="A107" s="1436">
        <v>45134</v>
      </c>
      <c r="B107" s="453" t="s">
        <v>17</v>
      </c>
      <c r="C107" s="709">
        <v>1</v>
      </c>
      <c r="D107" s="709">
        <v>1</v>
      </c>
      <c r="E107" s="1395">
        <v>1</v>
      </c>
      <c r="F107" s="1447"/>
    </row>
    <row r="108" spans="1:6" ht="15.75" thickBot="1" x14ac:dyDescent="0.3">
      <c r="A108" s="1437"/>
      <c r="B108" s="453" t="s">
        <v>102</v>
      </c>
      <c r="C108" s="733">
        <f>24-C109-C110</f>
        <v>0</v>
      </c>
      <c r="D108" s="1393">
        <f>24-D109-D110</f>
        <v>24</v>
      </c>
      <c r="E108" s="731">
        <f>24-E109-E110</f>
        <v>24</v>
      </c>
      <c r="F108" s="1448"/>
    </row>
    <row r="109" spans="1:6" ht="15.75" thickBot="1" x14ac:dyDescent="0.3">
      <c r="A109" s="1437"/>
      <c r="B109" s="448" t="s">
        <v>103</v>
      </c>
      <c r="C109" s="1077">
        <v>24</v>
      </c>
      <c r="D109" s="1394">
        <v>0</v>
      </c>
      <c r="E109" s="1396">
        <v>0</v>
      </c>
      <c r="F109" s="1448"/>
    </row>
    <row r="110" spans="1:6" ht="15.75" thickBot="1" x14ac:dyDescent="0.3">
      <c r="A110" s="1438"/>
      <c r="B110" s="457" t="s">
        <v>104</v>
      </c>
      <c r="C110" s="734">
        <v>0</v>
      </c>
      <c r="D110" s="734">
        <v>0</v>
      </c>
      <c r="E110" s="732">
        <v>0</v>
      </c>
      <c r="F110" s="1449"/>
    </row>
    <row r="111" spans="1:6" ht="15.75" thickBot="1" x14ac:dyDescent="0.3">
      <c r="A111" s="1436">
        <v>45135</v>
      </c>
      <c r="B111" s="453" t="s">
        <v>17</v>
      </c>
      <c r="C111" s="709"/>
      <c r="D111" s="709"/>
      <c r="E111" s="709"/>
      <c r="F111" s="1447"/>
    </row>
    <row r="112" spans="1:6" ht="15.75" thickBot="1" x14ac:dyDescent="0.3">
      <c r="A112" s="1437"/>
      <c r="B112" s="453" t="s">
        <v>102</v>
      </c>
      <c r="C112" s="733"/>
      <c r="D112" s="733"/>
      <c r="E112" s="733"/>
      <c r="F112" s="1448"/>
    </row>
    <row r="113" spans="1:6" ht="15.75" thickBot="1" x14ac:dyDescent="0.3">
      <c r="A113" s="1437"/>
      <c r="B113" s="448" t="s">
        <v>103</v>
      </c>
      <c r="C113" s="1077"/>
      <c r="D113" s="1077"/>
      <c r="E113" s="1077"/>
      <c r="F113" s="1448"/>
    </row>
    <row r="114" spans="1:6" ht="15.75" thickBot="1" x14ac:dyDescent="0.3">
      <c r="A114" s="1438"/>
      <c r="B114" s="457" t="s">
        <v>104</v>
      </c>
      <c r="C114" s="734"/>
      <c r="D114" s="734"/>
      <c r="E114" s="734"/>
      <c r="F114" s="1449"/>
    </row>
    <row r="115" spans="1:6" ht="15.75" thickBot="1" x14ac:dyDescent="0.3">
      <c r="A115" s="1436">
        <v>45136</v>
      </c>
      <c r="B115" s="453" t="s">
        <v>17</v>
      </c>
      <c r="C115" s="709"/>
      <c r="D115" s="709"/>
      <c r="E115" s="709"/>
      <c r="F115" s="1447"/>
    </row>
    <row r="116" spans="1:6" ht="15.75" thickBot="1" x14ac:dyDescent="0.3">
      <c r="A116" s="1437"/>
      <c r="B116" s="453" t="s">
        <v>102</v>
      </c>
      <c r="C116" s="733"/>
      <c r="D116" s="733"/>
      <c r="E116" s="733"/>
      <c r="F116" s="1448"/>
    </row>
    <row r="117" spans="1:6" ht="15.75" thickBot="1" x14ac:dyDescent="0.3">
      <c r="A117" s="1437"/>
      <c r="B117" s="448" t="s">
        <v>103</v>
      </c>
      <c r="C117" s="1077"/>
      <c r="D117" s="1077"/>
      <c r="E117" s="1077"/>
      <c r="F117" s="1448"/>
    </row>
    <row r="118" spans="1:6" ht="15.75" thickBot="1" x14ac:dyDescent="0.3">
      <c r="A118" s="1438"/>
      <c r="B118" s="457" t="s">
        <v>104</v>
      </c>
      <c r="C118" s="734"/>
      <c r="D118" s="734"/>
      <c r="E118" s="734"/>
      <c r="F118" s="1449"/>
    </row>
    <row r="119" spans="1:6" ht="15.75" thickBot="1" x14ac:dyDescent="0.3">
      <c r="A119" s="1436">
        <v>45137</v>
      </c>
      <c r="B119" s="453" t="s">
        <v>17</v>
      </c>
      <c r="C119" s="709"/>
      <c r="D119" s="709"/>
      <c r="E119" s="709"/>
      <c r="F119" s="1447"/>
    </row>
    <row r="120" spans="1:6" ht="15.75" thickBot="1" x14ac:dyDescent="0.3">
      <c r="A120" s="1437"/>
      <c r="B120" s="453" t="s">
        <v>102</v>
      </c>
      <c r="C120" s="733"/>
      <c r="D120" s="733"/>
      <c r="E120" s="733"/>
      <c r="F120" s="1448"/>
    </row>
    <row r="121" spans="1:6" ht="15.75" thickBot="1" x14ac:dyDescent="0.3">
      <c r="A121" s="1437"/>
      <c r="B121" s="448" t="s">
        <v>103</v>
      </c>
      <c r="C121" s="1077"/>
      <c r="D121" s="1077"/>
      <c r="E121" s="1077"/>
      <c r="F121" s="1448"/>
    </row>
    <row r="122" spans="1:6" ht="15.75" thickBot="1" x14ac:dyDescent="0.3">
      <c r="A122" s="1438"/>
      <c r="B122" s="457" t="s">
        <v>104</v>
      </c>
      <c r="C122" s="734"/>
      <c r="D122" s="734"/>
      <c r="E122" s="734"/>
      <c r="F122" s="1449"/>
    </row>
    <row r="123" spans="1:6" ht="15.75" thickBot="1" x14ac:dyDescent="0.3">
      <c r="A123" s="1436">
        <v>45138</v>
      </c>
      <c r="B123" s="453" t="s">
        <v>17</v>
      </c>
      <c r="C123" s="709"/>
      <c r="D123" s="709"/>
      <c r="E123" s="709"/>
      <c r="F123" s="1453"/>
    </row>
    <row r="124" spans="1:6" ht="15.75" thickBot="1" x14ac:dyDescent="0.3">
      <c r="A124" s="1437"/>
      <c r="B124" s="453" t="s">
        <v>102</v>
      </c>
      <c r="C124" s="733"/>
      <c r="D124" s="733"/>
      <c r="E124" s="733"/>
      <c r="F124" s="1418"/>
    </row>
    <row r="125" spans="1:6" ht="15.75" thickBot="1" x14ac:dyDescent="0.3">
      <c r="A125" s="1437"/>
      <c r="B125" s="448" t="s">
        <v>103</v>
      </c>
      <c r="C125" s="1077"/>
      <c r="D125" s="1077"/>
      <c r="E125" s="1077"/>
      <c r="F125" s="1418"/>
    </row>
    <row r="126" spans="1:6" ht="15.75" thickBot="1" x14ac:dyDescent="0.3">
      <c r="A126" s="1438"/>
      <c r="B126" s="457" t="s">
        <v>104</v>
      </c>
      <c r="C126" s="734"/>
      <c r="D126" s="734"/>
      <c r="E126" s="734"/>
      <c r="F126" s="1423"/>
    </row>
    <row r="127" spans="1:6" x14ac:dyDescent="0.25">
      <c r="A127" s="464" t="s">
        <v>5901</v>
      </c>
      <c r="B127" s="465"/>
      <c r="C127" s="466">
        <f>SUM(C112,C108,C104,C100,C96,C92,C88,C84,C80,C76,C72,C68,C64,C60,C56,C52,C48,C44,C40,C36,C32,C28,C24,C20,C16,C12,C8,C4,C116,C120,C124)</f>
        <v>204.33</v>
      </c>
      <c r="D127" s="466">
        <f>SUM(D112,D108,D104,D100,D96,D92,D88,D84,D80,D76,D72,D68,D64,D60,D56,D52,D48,D44,D40,D36,D32,D28,D24,D20,D16,D12,D8,D4,D116,D120,D124)</f>
        <v>336.07</v>
      </c>
      <c r="E127" s="466">
        <f t="shared" ref="E127:E128" si="0">SUM(E112,E108,E104,E100,E96,E92,E88,E84,E80,E76,E72,E68,E64,E60,E56,E52,E48,E44,E40,E36,E32,E28,E24,E20,E16,E12,E8,E4,E116,E120,E124)</f>
        <v>647.1</v>
      </c>
      <c r="F127" s="468"/>
    </row>
    <row r="128" spans="1:6" x14ac:dyDescent="0.25">
      <c r="A128" s="1379" t="s">
        <v>5902</v>
      </c>
      <c r="B128" s="134"/>
      <c r="C128" s="469">
        <f>SUM(C113,C109,C105,C101,C97,C93,C89,C85,C81,C77,C73,C69,C65,C61,C57,C53,C49,C45,C41,C37,C33,C29,C25,C21,C17,C13,C9,C5,C117,C121,C125)</f>
        <v>443.67</v>
      </c>
      <c r="D128" s="469">
        <f>SUM(D113,D109,D105,D101,D97,D93,D89,D85,D81,D77,D73,D69,D65,D61,D57,D53,D49,D45,D41,D37,D33,D29,D25,D21,D17,D13,D9,D5,D117,D121,D125)</f>
        <v>311.93</v>
      </c>
      <c r="E128" s="469">
        <f t="shared" si="0"/>
        <v>0.9</v>
      </c>
      <c r="F128" s="471"/>
    </row>
    <row r="129" spans="1:6" ht="15.75" thickBot="1" x14ac:dyDescent="0.3">
      <c r="A129" s="1380" t="s">
        <v>5903</v>
      </c>
      <c r="B129" s="472"/>
      <c r="C129" s="473">
        <f>SUM(C114,C110,C106,C102,C98,C94,C90,C86,C82,C78,C74,C70,C66,C62,C58,C54,C50,C46,C42,C38,C34,C30,C26,C22,C18,C14,C10,C6,C118,C122,C126)</f>
        <v>0</v>
      </c>
      <c r="D129" s="473">
        <f t="shared" ref="D129:E129" si="1">SUM(D114,D110,D106,D102,D98,D94,D90,D86,D82,D78,D74,D70,D66,D62,D58,D54,D50,D46,D42,D38,D34,D30,D26,D22,D18,D14,D10,D6,D118,D122,D126)</f>
        <v>0</v>
      </c>
      <c r="E129" s="473">
        <f t="shared" si="1"/>
        <v>0</v>
      </c>
      <c r="F129" s="475"/>
    </row>
    <row r="130" spans="1:6" ht="15.75" thickBot="1" x14ac:dyDescent="0.3">
      <c r="A130" s="1450" t="s">
        <v>108</v>
      </c>
      <c r="B130" s="1451"/>
      <c r="C130" s="1451"/>
      <c r="D130" s="1451"/>
      <c r="E130" s="1451"/>
      <c r="F130" s="1452"/>
    </row>
  </sheetData>
  <mergeCells count="64">
    <mergeCell ref="A123:A126"/>
    <mergeCell ref="F123:F126"/>
    <mergeCell ref="A130:F130"/>
    <mergeCell ref="A111:A114"/>
    <mergeCell ref="F111:F114"/>
    <mergeCell ref="A115:A118"/>
    <mergeCell ref="F115:F118"/>
    <mergeCell ref="A119:A122"/>
    <mergeCell ref="F119:F122"/>
    <mergeCell ref="A99:A102"/>
    <mergeCell ref="F99:F102"/>
    <mergeCell ref="A103:A106"/>
    <mergeCell ref="F103:F106"/>
    <mergeCell ref="A107:A110"/>
    <mergeCell ref="F107:F110"/>
    <mergeCell ref="A87:A90"/>
    <mergeCell ref="F87:F90"/>
    <mergeCell ref="A91:A94"/>
    <mergeCell ref="F91:F94"/>
    <mergeCell ref="A95:A98"/>
    <mergeCell ref="F95:F98"/>
    <mergeCell ref="A75:A78"/>
    <mergeCell ref="F75:F78"/>
    <mergeCell ref="A79:A82"/>
    <mergeCell ref="F79:F82"/>
    <mergeCell ref="A83:A86"/>
    <mergeCell ref="F83:F86"/>
    <mergeCell ref="A63:A66"/>
    <mergeCell ref="F63:F66"/>
    <mergeCell ref="A67:A70"/>
    <mergeCell ref="F67:F70"/>
    <mergeCell ref="A71:A74"/>
    <mergeCell ref="F71:F74"/>
    <mergeCell ref="A51:A54"/>
    <mergeCell ref="F51:F54"/>
    <mergeCell ref="A55:A58"/>
    <mergeCell ref="F55:F58"/>
    <mergeCell ref="A59:A62"/>
    <mergeCell ref="F59:F62"/>
    <mergeCell ref="A39:A42"/>
    <mergeCell ref="F39:F42"/>
    <mergeCell ref="A43:A46"/>
    <mergeCell ref="F43:F46"/>
    <mergeCell ref="A47:A50"/>
    <mergeCell ref="F47:F50"/>
    <mergeCell ref="A27:A30"/>
    <mergeCell ref="F27:F30"/>
    <mergeCell ref="A31:A34"/>
    <mergeCell ref="F31:F34"/>
    <mergeCell ref="A35:A38"/>
    <mergeCell ref="F35:F38"/>
    <mergeCell ref="A15:A18"/>
    <mergeCell ref="F15:F18"/>
    <mergeCell ref="A19:A22"/>
    <mergeCell ref="F19:F22"/>
    <mergeCell ref="A23:A26"/>
    <mergeCell ref="F23:F26"/>
    <mergeCell ref="A11:A14"/>
    <mergeCell ref="F11:F14"/>
    <mergeCell ref="A1:F1"/>
    <mergeCell ref="A3:A6"/>
    <mergeCell ref="F3:F6"/>
    <mergeCell ref="A7:A10"/>
    <mergeCell ref="F7:F10"/>
  </mergeCells>
  <pageMargins left="0.7" right="0.7" top="0.75" bottom="0.75" header="0.3" footer="0.3"/>
  <pageSetup orientation="portrait" horizontalDpi="200" verticalDpi="20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CX863"/>
  <sheetViews>
    <sheetView zoomScale="73" zoomScaleNormal="73" workbookViewId="0">
      <pane xSplit="1" ySplit="11" topLeftCell="B859" activePane="bottomRight" state="frozen"/>
      <selection pane="topRight" activeCell="B1" sqref="B1"/>
      <selection pane="bottomLeft" activeCell="A15" sqref="A15"/>
      <selection pane="bottomRight" activeCell="C863" sqref="C863:R863"/>
    </sheetView>
  </sheetViews>
  <sheetFormatPr defaultRowHeight="15" x14ac:dyDescent="0.25"/>
  <cols>
    <col min="1" max="1" width="16.42578125" customWidth="1"/>
    <col min="2" max="2" width="13" customWidth="1"/>
    <col min="3" max="3" width="11" customWidth="1"/>
    <col min="4" max="4" width="11.85546875" customWidth="1"/>
    <col min="5" max="5" width="10.42578125" customWidth="1"/>
    <col min="6" max="6" width="10" customWidth="1"/>
    <col min="7" max="7" width="10.140625" customWidth="1"/>
    <col min="8" max="8" width="17" customWidth="1"/>
    <col min="9" max="9" width="10" customWidth="1"/>
    <col min="10" max="10" width="19" customWidth="1"/>
    <col min="11" max="13" width="10.42578125" customWidth="1"/>
    <col min="17" max="17" width="15.140625" customWidth="1"/>
    <col min="18" max="18" width="15.42578125" customWidth="1"/>
    <col min="19" max="19" width="11.42578125" customWidth="1"/>
    <col min="20" max="20" width="16.7109375" customWidth="1"/>
    <col min="21" max="21" width="79.85546875" customWidth="1"/>
  </cols>
  <sheetData>
    <row r="1" spans="1:102" s="190" customFormat="1" ht="18" customHeight="1" x14ac:dyDescent="0.2">
      <c r="A1" s="1484"/>
      <c r="B1" s="1485"/>
      <c r="C1" s="1485"/>
      <c r="D1" s="1485"/>
      <c r="E1" s="1485"/>
      <c r="F1" s="1485"/>
      <c r="G1" s="1485"/>
      <c r="H1" s="1485"/>
      <c r="I1" s="1485"/>
      <c r="J1" s="1485"/>
      <c r="K1" s="1485"/>
      <c r="L1" s="1485"/>
      <c r="M1" s="1485"/>
      <c r="N1" s="1485"/>
      <c r="O1" s="1485"/>
      <c r="P1" s="1485"/>
      <c r="Q1" s="1485"/>
      <c r="R1" s="1485"/>
      <c r="S1" s="1485"/>
      <c r="T1" s="1485"/>
      <c r="U1" s="1486"/>
      <c r="V1" s="191"/>
      <c r="W1" s="191"/>
      <c r="X1" s="191"/>
      <c r="Y1" s="191"/>
      <c r="Z1" s="191"/>
      <c r="AA1" s="191"/>
      <c r="AB1" s="191"/>
      <c r="AC1" s="191"/>
      <c r="AD1" s="191"/>
      <c r="AE1" s="191"/>
      <c r="AF1" s="191"/>
      <c r="AG1" s="191"/>
      <c r="AH1" s="191"/>
      <c r="AI1" s="191"/>
      <c r="AJ1" s="191"/>
      <c r="AK1" s="191"/>
      <c r="AL1" s="191"/>
      <c r="AM1" s="191"/>
      <c r="AN1" s="191"/>
      <c r="AO1" s="191"/>
      <c r="AP1" s="191"/>
      <c r="AQ1" s="191"/>
      <c r="AR1" s="191"/>
      <c r="AS1" s="191"/>
      <c r="AT1" s="191"/>
      <c r="AU1" s="191"/>
      <c r="AV1" s="191"/>
      <c r="AW1" s="191"/>
      <c r="AX1" s="191"/>
      <c r="AY1" s="191"/>
      <c r="AZ1" s="191"/>
      <c r="BA1" s="191"/>
      <c r="BB1" s="191"/>
      <c r="BC1" s="191"/>
      <c r="BD1" s="191"/>
      <c r="BE1" s="191"/>
      <c r="BF1" s="191"/>
      <c r="BG1" s="191"/>
      <c r="BH1" s="191"/>
      <c r="BI1" s="191"/>
      <c r="BJ1" s="191"/>
      <c r="BK1" s="191"/>
      <c r="BL1" s="191"/>
      <c r="BM1" s="191"/>
      <c r="BN1" s="191"/>
      <c r="BO1" s="191"/>
      <c r="BP1" s="191"/>
      <c r="BQ1" s="191"/>
      <c r="BR1" s="191"/>
      <c r="BS1" s="191"/>
      <c r="BT1" s="191"/>
      <c r="BU1" s="191"/>
      <c r="BV1" s="191"/>
      <c r="BW1" s="191"/>
      <c r="BX1" s="191"/>
      <c r="BY1" s="191"/>
      <c r="BZ1" s="191"/>
      <c r="CA1" s="191"/>
      <c r="CB1" s="191"/>
      <c r="CC1" s="191"/>
      <c r="CD1" s="191"/>
      <c r="CE1" s="191"/>
      <c r="CF1" s="191"/>
      <c r="CG1" s="191"/>
      <c r="CH1" s="191"/>
      <c r="CI1" s="191"/>
      <c r="CJ1" s="191"/>
      <c r="CK1" s="191"/>
    </row>
    <row r="2" spans="1:102" s="190" customFormat="1" ht="9.75" customHeight="1" x14ac:dyDescent="0.2">
      <c r="A2" s="1484"/>
      <c r="B2" s="1485"/>
      <c r="C2" s="1485"/>
      <c r="D2" s="1485"/>
      <c r="E2" s="1485"/>
      <c r="F2" s="1485"/>
      <c r="G2" s="1485"/>
      <c r="H2" s="1485"/>
      <c r="I2" s="1485"/>
      <c r="J2" s="1485"/>
      <c r="K2" s="1485"/>
      <c r="L2" s="1485"/>
      <c r="M2" s="1485"/>
      <c r="N2" s="1485"/>
      <c r="O2" s="1485"/>
      <c r="P2" s="1485"/>
      <c r="Q2" s="1485"/>
      <c r="R2" s="1485"/>
      <c r="S2" s="1485"/>
      <c r="T2" s="1485"/>
      <c r="U2" s="1486"/>
      <c r="V2" s="191"/>
      <c r="W2" s="191"/>
      <c r="X2" s="191"/>
      <c r="Y2" s="191"/>
      <c r="Z2" s="191"/>
      <c r="AA2" s="191"/>
      <c r="AB2" s="191"/>
      <c r="AC2" s="191"/>
      <c r="AD2" s="191"/>
      <c r="AE2" s="191"/>
      <c r="AF2" s="191"/>
      <c r="AG2" s="191"/>
      <c r="AH2" s="191"/>
      <c r="AI2" s="191"/>
      <c r="AJ2" s="191"/>
      <c r="AK2" s="191"/>
      <c r="AL2" s="191"/>
      <c r="AM2" s="191"/>
      <c r="AN2" s="191"/>
      <c r="AO2" s="191"/>
      <c r="AP2" s="191"/>
      <c r="AQ2" s="191"/>
      <c r="AR2" s="191"/>
      <c r="AS2" s="191"/>
      <c r="AT2" s="191"/>
      <c r="AU2" s="191"/>
      <c r="AV2" s="191"/>
      <c r="AW2" s="191"/>
      <c r="AX2" s="191"/>
      <c r="AY2" s="191"/>
      <c r="AZ2" s="191"/>
      <c r="BA2" s="191"/>
      <c r="BB2" s="191"/>
      <c r="BC2" s="191"/>
      <c r="BD2" s="191"/>
      <c r="BE2" s="191"/>
      <c r="BF2" s="191"/>
      <c r="BG2" s="191"/>
      <c r="BH2" s="191"/>
      <c r="BI2" s="191"/>
      <c r="BJ2" s="191"/>
      <c r="BK2" s="191"/>
      <c r="BL2" s="191"/>
      <c r="BM2" s="191"/>
      <c r="BN2" s="191"/>
      <c r="BO2" s="191"/>
      <c r="BP2" s="191"/>
      <c r="BQ2" s="191"/>
      <c r="BR2" s="191"/>
      <c r="BS2" s="191"/>
      <c r="BT2" s="191"/>
      <c r="BU2" s="191"/>
      <c r="BV2" s="191"/>
      <c r="BW2" s="191"/>
      <c r="BX2" s="191"/>
      <c r="BY2" s="191"/>
      <c r="BZ2" s="191"/>
      <c r="CA2" s="191"/>
      <c r="CB2" s="191"/>
      <c r="CC2" s="191"/>
      <c r="CD2" s="191"/>
      <c r="CE2" s="191"/>
      <c r="CF2" s="191"/>
      <c r="CG2" s="191"/>
      <c r="CH2" s="191"/>
      <c r="CI2" s="191"/>
      <c r="CJ2" s="191"/>
      <c r="CK2" s="191"/>
    </row>
    <row r="3" spans="1:102" s="5" customFormat="1" ht="41.25" customHeight="1" x14ac:dyDescent="0.25">
      <c r="A3" s="2"/>
      <c r="B3" s="192" t="s">
        <v>0</v>
      </c>
      <c r="C3" s="193" t="s">
        <v>1</v>
      </c>
      <c r="D3" s="194"/>
      <c r="E3" s="194"/>
      <c r="F3" s="231" t="s">
        <v>2</v>
      </c>
      <c r="G3" s="195">
        <v>135</v>
      </c>
      <c r="H3" s="1487" t="s">
        <v>3</v>
      </c>
      <c r="I3" s="1487"/>
      <c r="J3" s="1487"/>
      <c r="K3" s="196">
        <v>23.4</v>
      </c>
      <c r="L3" s="1488" t="s">
        <v>4</v>
      </c>
      <c r="M3" s="1488"/>
      <c r="N3" s="197"/>
      <c r="O3" s="226" t="s">
        <v>5</v>
      </c>
      <c r="P3" s="227">
        <v>1746</v>
      </c>
      <c r="Q3" s="1503" t="s">
        <v>4616</v>
      </c>
      <c r="R3" s="1504"/>
      <c r="S3" s="199"/>
      <c r="T3" s="200" t="s">
        <v>6</v>
      </c>
      <c r="U3" s="201" t="s">
        <v>156</v>
      </c>
      <c r="V3" s="3"/>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row>
    <row r="4" spans="1:102" s="5" customFormat="1" ht="23.25" customHeight="1" x14ac:dyDescent="0.25">
      <c r="A4" s="2"/>
      <c r="B4" s="202"/>
      <c r="C4" s="202"/>
      <c r="D4" s="194"/>
      <c r="E4" s="194"/>
      <c r="F4" s="202"/>
      <c r="G4" s="203"/>
      <c r="H4" s="1489"/>
      <c r="I4" s="1489"/>
      <c r="J4" s="1489"/>
      <c r="K4" s="1489"/>
      <c r="L4" s="1489"/>
      <c r="M4" s="1489"/>
      <c r="N4" s="1489"/>
      <c r="O4" s="1489"/>
      <c r="P4" s="1489"/>
      <c r="Q4" s="1086"/>
      <c r="R4" s="204"/>
      <c r="S4" s="4"/>
      <c r="T4" s="4"/>
      <c r="U4" s="205"/>
      <c r="V4" s="6"/>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row>
    <row r="5" spans="1:102" s="5" customFormat="1" ht="26.25" customHeight="1" x14ac:dyDescent="0.25">
      <c r="A5" s="2"/>
      <c r="B5" s="206" t="s">
        <v>8</v>
      </c>
      <c r="C5" s="193" t="s">
        <v>73</v>
      </c>
      <c r="D5" s="194"/>
      <c r="E5" s="194"/>
      <c r="F5" s="231" t="s">
        <v>9</v>
      </c>
      <c r="G5" s="195">
        <v>4000</v>
      </c>
      <c r="H5" s="1490" t="s">
        <v>11</v>
      </c>
      <c r="I5" s="1490"/>
      <c r="J5" s="1490"/>
      <c r="K5" s="193">
        <v>1</v>
      </c>
      <c r="L5" s="1491" t="s">
        <v>12</v>
      </c>
      <c r="M5" s="1491"/>
      <c r="N5" s="207" t="s">
        <v>13</v>
      </c>
      <c r="O5" s="226" t="s">
        <v>14</v>
      </c>
      <c r="P5" s="227" t="s">
        <v>13</v>
      </c>
      <c r="Q5" s="1503" t="s">
        <v>4617</v>
      </c>
      <c r="R5" s="1504"/>
      <c r="S5" s="199"/>
      <c r="T5" s="200" t="s">
        <v>15</v>
      </c>
      <c r="U5" s="208" t="s">
        <v>16</v>
      </c>
      <c r="V5" s="7"/>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row>
    <row r="6" spans="1:102" s="5" customFormat="1" ht="23.25" customHeight="1" x14ac:dyDescent="0.25">
      <c r="A6" s="2"/>
      <c r="B6" s="209"/>
      <c r="C6" s="209"/>
      <c r="D6" s="210"/>
      <c r="E6" s="210"/>
      <c r="F6" s="209"/>
      <c r="G6" s="209"/>
      <c r="H6" s="211" t="s">
        <v>17</v>
      </c>
      <c r="I6" s="6">
        <v>1</v>
      </c>
      <c r="J6" s="209"/>
      <c r="K6" s="209"/>
      <c r="L6" s="212"/>
      <c r="M6" s="213"/>
      <c r="N6" s="4"/>
      <c r="O6" s="4"/>
      <c r="P6" s="4"/>
      <c r="Q6" s="4"/>
      <c r="R6" s="4"/>
      <c r="S6" s="4"/>
      <c r="T6" s="200" t="s">
        <v>26</v>
      </c>
      <c r="U6" s="216">
        <v>44280</v>
      </c>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row>
    <row r="7" spans="1:102" s="5" customFormat="1" ht="33.75" customHeight="1" x14ac:dyDescent="0.25">
      <c r="A7" s="2"/>
      <c r="B7" s="228" t="s">
        <v>18</v>
      </c>
      <c r="C7" s="1498" t="s">
        <v>242</v>
      </c>
      <c r="D7" s="1499"/>
      <c r="E7" s="214"/>
      <c r="F7" s="226" t="s">
        <v>20</v>
      </c>
      <c r="G7" s="227">
        <v>3.63</v>
      </c>
      <c r="H7" s="1491" t="s">
        <v>21</v>
      </c>
      <c r="I7" s="1496" t="s">
        <v>980</v>
      </c>
      <c r="J7" s="1496"/>
      <c r="K7" s="1496"/>
      <c r="L7" s="1497" t="s">
        <v>22</v>
      </c>
      <c r="M7" s="1491"/>
      <c r="N7" s="227" t="s">
        <v>451</v>
      </c>
      <c r="O7" s="230" t="s">
        <v>24</v>
      </c>
      <c r="P7" s="227" t="s">
        <v>25</v>
      </c>
      <c r="Q7" s="198"/>
      <c r="R7" s="198"/>
      <c r="S7" s="215"/>
      <c r="T7" s="200" t="s">
        <v>31</v>
      </c>
      <c r="U7" s="216">
        <v>44283</v>
      </c>
      <c r="V7" s="8"/>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row>
    <row r="8" spans="1:102" s="5" customFormat="1" ht="27" customHeight="1" x14ac:dyDescent="0.25">
      <c r="A8" s="2"/>
      <c r="B8" s="217" t="s">
        <v>27</v>
      </c>
      <c r="C8" s="1498" t="s">
        <v>243</v>
      </c>
      <c r="D8" s="1499"/>
      <c r="E8" s="214"/>
      <c r="F8" s="218"/>
      <c r="G8" s="219"/>
      <c r="H8" s="1491"/>
      <c r="I8" s="1496"/>
      <c r="J8" s="1496"/>
      <c r="K8" s="1496"/>
      <c r="L8" s="1500" t="s">
        <v>29</v>
      </c>
      <c r="M8" s="1501"/>
      <c r="N8" s="195">
        <v>1747</v>
      </c>
      <c r="O8" s="230" t="s">
        <v>30</v>
      </c>
      <c r="P8" s="227" t="s">
        <v>306</v>
      </c>
      <c r="Q8" s="198"/>
      <c r="R8" s="198"/>
      <c r="S8" s="6"/>
      <c r="T8" s="200" t="s">
        <v>38</v>
      </c>
      <c r="U8" s="216" t="s">
        <v>573</v>
      </c>
      <c r="V8" s="8"/>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row>
    <row r="9" spans="1:102" s="5" customFormat="1" ht="37.5" customHeight="1" x14ac:dyDescent="0.25">
      <c r="A9" s="2"/>
      <c r="B9" s="192" t="s">
        <v>32</v>
      </c>
      <c r="C9" s="1498" t="s">
        <v>245</v>
      </c>
      <c r="D9" s="1499"/>
      <c r="E9" s="220"/>
      <c r="F9" s="221"/>
      <c r="H9" s="200" t="s">
        <v>34</v>
      </c>
      <c r="I9" s="1502" t="s">
        <v>246</v>
      </c>
      <c r="J9" s="1502"/>
      <c r="K9" s="1502"/>
      <c r="L9" s="1500" t="s">
        <v>36</v>
      </c>
      <c r="M9" s="1501"/>
      <c r="N9" s="229" t="s">
        <v>37</v>
      </c>
      <c r="O9" s="1508" t="s">
        <v>4618</v>
      </c>
      <c r="P9" s="1509"/>
      <c r="Q9" s="1088"/>
      <c r="R9" s="1089"/>
      <c r="S9" s="1090"/>
      <c r="T9" s="200" t="s">
        <v>40</v>
      </c>
      <c r="U9" s="442" t="s">
        <v>595</v>
      </c>
      <c r="V9" s="9"/>
      <c r="W9" s="4"/>
      <c r="X9" s="4"/>
      <c r="Y9" s="4"/>
      <c r="Z9" s="4"/>
      <c r="AA9" s="4"/>
      <c r="AB9" s="4"/>
      <c r="AC9" s="4"/>
      <c r="AD9" s="4"/>
      <c r="AE9" s="4"/>
      <c r="AF9" s="4"/>
      <c r="AG9" s="4"/>
      <c r="AH9" s="4"/>
      <c r="AI9" s="4"/>
      <c r="AJ9" s="4"/>
      <c r="AK9" s="4"/>
      <c r="AL9" s="4"/>
      <c r="AM9" s="4"/>
      <c r="AN9" s="4"/>
      <c r="AO9" s="4"/>
      <c r="AP9" s="4"/>
      <c r="AQ9" s="4"/>
      <c r="AR9" s="4"/>
      <c r="AS9" s="4"/>
      <c r="AT9" s="4"/>
    </row>
    <row r="10" spans="1:102" s="222" customFormat="1" ht="42" customHeight="1" x14ac:dyDescent="0.25">
      <c r="A10" s="1495" t="s">
        <v>41</v>
      </c>
      <c r="B10" s="234" t="s">
        <v>42</v>
      </c>
      <c r="C10" s="235" t="s">
        <v>43</v>
      </c>
      <c r="D10" s="236" t="s">
        <v>44</v>
      </c>
      <c r="E10" s="236" t="s">
        <v>45</v>
      </c>
      <c r="F10" s="237" t="s">
        <v>46</v>
      </c>
      <c r="G10" s="237" t="s">
        <v>47</v>
      </c>
      <c r="H10" s="237" t="s">
        <v>48</v>
      </c>
      <c r="I10" s="237" t="s">
        <v>49</v>
      </c>
      <c r="J10" s="238" t="s">
        <v>50</v>
      </c>
      <c r="K10" s="238" t="s">
        <v>51</v>
      </c>
      <c r="L10" s="238" t="s">
        <v>52</v>
      </c>
      <c r="M10" s="238" t="s">
        <v>53</v>
      </c>
      <c r="N10" s="1494" t="s">
        <v>54</v>
      </c>
      <c r="O10" s="1494" t="s">
        <v>55</v>
      </c>
      <c r="P10" s="1494" t="s">
        <v>56</v>
      </c>
      <c r="Q10" s="239" t="s">
        <v>138</v>
      </c>
      <c r="R10" s="262" t="s">
        <v>136</v>
      </c>
      <c r="S10" s="1494" t="s">
        <v>57</v>
      </c>
      <c r="T10" s="1493" t="s">
        <v>58</v>
      </c>
      <c r="U10" s="1492" t="s">
        <v>935</v>
      </c>
      <c r="V10" s="223"/>
      <c r="W10" s="223"/>
      <c r="X10" s="223"/>
      <c r="Y10" s="223"/>
      <c r="Z10" s="223"/>
      <c r="AA10" s="223"/>
      <c r="AB10" s="223"/>
      <c r="AC10" s="223"/>
      <c r="AD10" s="223"/>
      <c r="AE10" s="223"/>
      <c r="AF10" s="223"/>
      <c r="AG10" s="223"/>
      <c r="AH10" s="223"/>
      <c r="AI10" s="223"/>
      <c r="AJ10" s="223"/>
      <c r="AK10" s="223"/>
      <c r="AL10" s="223"/>
      <c r="AM10" s="223"/>
      <c r="AN10" s="223"/>
      <c r="AO10" s="223"/>
      <c r="AP10" s="223"/>
      <c r="AQ10" s="223"/>
      <c r="AR10" s="223"/>
      <c r="AS10" s="223"/>
      <c r="AT10" s="223"/>
      <c r="AU10" s="223"/>
      <c r="AV10" s="223"/>
      <c r="AW10" s="223"/>
      <c r="AX10" s="223"/>
      <c r="AY10" s="223"/>
      <c r="AZ10" s="223"/>
      <c r="BA10" s="223"/>
      <c r="BB10" s="223"/>
      <c r="BC10" s="223"/>
      <c r="BD10" s="223"/>
      <c r="BE10" s="223"/>
      <c r="BF10" s="223"/>
      <c r="BG10" s="223"/>
      <c r="BH10" s="223"/>
      <c r="BI10" s="223"/>
      <c r="BJ10" s="223"/>
      <c r="BK10" s="223"/>
      <c r="BL10" s="223"/>
      <c r="BM10" s="223"/>
      <c r="BN10" s="223"/>
      <c r="BO10" s="223"/>
      <c r="BP10" s="223"/>
      <c r="BQ10" s="223"/>
      <c r="BR10" s="223"/>
      <c r="BS10" s="223"/>
      <c r="BT10" s="223"/>
      <c r="BU10" s="223"/>
      <c r="BV10" s="223"/>
      <c r="BW10" s="223"/>
      <c r="BX10" s="223"/>
      <c r="BY10" s="223"/>
      <c r="BZ10" s="223"/>
      <c r="CA10" s="223"/>
      <c r="CB10" s="223"/>
      <c r="CC10" s="223"/>
      <c r="CD10" s="223"/>
      <c r="CE10" s="223"/>
      <c r="CF10" s="223"/>
      <c r="CG10" s="223"/>
      <c r="CH10" s="223"/>
      <c r="CI10" s="223"/>
      <c r="CJ10" s="223"/>
      <c r="CK10" s="223"/>
    </row>
    <row r="11" spans="1:102" s="224" customFormat="1" ht="21" customHeight="1" x14ac:dyDescent="0.2">
      <c r="A11" s="1495"/>
      <c r="B11" s="240" t="s">
        <v>59</v>
      </c>
      <c r="C11" s="241" t="s">
        <v>60</v>
      </c>
      <c r="D11" s="242" t="s">
        <v>61</v>
      </c>
      <c r="E11" s="242" t="s">
        <v>61</v>
      </c>
      <c r="F11" s="243" t="s">
        <v>62</v>
      </c>
      <c r="G11" s="244" t="s">
        <v>62</v>
      </c>
      <c r="H11" s="241" t="s">
        <v>63</v>
      </c>
      <c r="I11" s="241" t="s">
        <v>63</v>
      </c>
      <c r="J11" s="241" t="s">
        <v>939</v>
      </c>
      <c r="K11" s="241" t="s">
        <v>64</v>
      </c>
      <c r="L11" s="245" t="s">
        <v>291</v>
      </c>
      <c r="M11" s="241" t="s">
        <v>63</v>
      </c>
      <c r="N11" s="1494"/>
      <c r="O11" s="1494"/>
      <c r="P11" s="1494"/>
      <c r="Q11" s="242" t="s">
        <v>61</v>
      </c>
      <c r="R11" s="262" t="s">
        <v>137</v>
      </c>
      <c r="S11" s="1494"/>
      <c r="T11" s="1493"/>
      <c r="U11" s="1492"/>
      <c r="V11" s="191"/>
      <c r="W11" s="225"/>
      <c r="X11" s="225"/>
      <c r="Y11" s="225"/>
      <c r="Z11" s="225"/>
      <c r="AA11" s="225"/>
      <c r="AB11" s="225"/>
      <c r="AC11" s="225"/>
      <c r="AD11" s="225"/>
      <c r="AE11" s="225"/>
      <c r="AF11" s="225"/>
      <c r="AG11" s="225"/>
      <c r="AH11" s="225"/>
      <c r="AI11" s="225"/>
      <c r="AJ11" s="225"/>
      <c r="AK11" s="225"/>
      <c r="AL11" s="225"/>
      <c r="AM11" s="225"/>
      <c r="AN11" s="225"/>
      <c r="AO11" s="225"/>
      <c r="AP11" s="225"/>
      <c r="AQ11" s="225"/>
      <c r="AR11" s="225"/>
      <c r="AS11" s="225"/>
      <c r="AT11" s="225"/>
      <c r="AU11" s="225"/>
      <c r="AV11" s="225"/>
      <c r="AW11" s="225"/>
      <c r="AX11" s="225"/>
      <c r="AY11" s="225"/>
      <c r="AZ11" s="225"/>
      <c r="BA11" s="225"/>
      <c r="BB11" s="225"/>
      <c r="BC11" s="225"/>
      <c r="BD11" s="225"/>
      <c r="BE11" s="225"/>
      <c r="BF11" s="225"/>
      <c r="BG11" s="225"/>
      <c r="BH11" s="225"/>
      <c r="BI11" s="225"/>
      <c r="BJ11" s="225"/>
      <c r="BK11" s="225"/>
      <c r="BL11" s="225"/>
      <c r="BM11" s="225"/>
      <c r="BN11" s="225"/>
      <c r="BO11" s="225"/>
      <c r="BP11" s="225"/>
      <c r="BQ11" s="225"/>
      <c r="BR11" s="225"/>
      <c r="BS11" s="225"/>
      <c r="BT11" s="225"/>
      <c r="BU11" s="225"/>
      <c r="BV11" s="225"/>
      <c r="BW11" s="225"/>
      <c r="BX11" s="225"/>
      <c r="BY11" s="225"/>
      <c r="BZ11" s="225"/>
      <c r="CA11" s="225"/>
      <c r="CB11" s="225"/>
      <c r="CC11" s="225"/>
      <c r="CD11" s="225"/>
      <c r="CE11" s="225"/>
      <c r="CF11" s="225"/>
      <c r="CG11" s="225"/>
      <c r="CH11" s="225"/>
      <c r="CI11" s="225"/>
      <c r="CJ11" s="225"/>
      <c r="CK11" s="225"/>
    </row>
    <row r="12" spans="1:102" s="1" customFormat="1" ht="24.95" customHeight="1" x14ac:dyDescent="0.25">
      <c r="A12" s="25">
        <v>44284</v>
      </c>
      <c r="B12" s="58">
        <v>0.25</v>
      </c>
      <c r="C12" s="246">
        <v>46</v>
      </c>
      <c r="D12" s="60">
        <v>10.6</v>
      </c>
      <c r="E12" s="247">
        <v>18.5</v>
      </c>
      <c r="F12" s="57">
        <v>1049</v>
      </c>
      <c r="G12" s="57">
        <v>2089</v>
      </c>
      <c r="H12" s="57">
        <v>102.3</v>
      </c>
      <c r="I12" s="57">
        <v>103.6</v>
      </c>
      <c r="J12" s="57" t="s">
        <v>304</v>
      </c>
      <c r="K12" s="60">
        <v>29.93</v>
      </c>
      <c r="L12" s="60">
        <v>31</v>
      </c>
      <c r="M12" s="60">
        <v>49.69</v>
      </c>
      <c r="N12" s="57" t="s">
        <v>142</v>
      </c>
      <c r="O12" s="57" t="s">
        <v>142</v>
      </c>
      <c r="P12" s="57" t="s">
        <v>142</v>
      </c>
      <c r="Q12" s="57" t="s">
        <v>305</v>
      </c>
      <c r="R12" s="57">
        <v>53.2</v>
      </c>
      <c r="S12" s="26" t="s">
        <v>23</v>
      </c>
      <c r="T12" s="20" t="s">
        <v>236</v>
      </c>
      <c r="U12" s="248"/>
      <c r="V12" s="18"/>
      <c r="CL12"/>
      <c r="CM12"/>
      <c r="CN12"/>
      <c r="CO12"/>
      <c r="CP12"/>
      <c r="CQ12"/>
      <c r="CR12"/>
      <c r="CS12"/>
      <c r="CT12"/>
      <c r="CU12"/>
      <c r="CV12"/>
      <c r="CW12"/>
      <c r="CX12"/>
    </row>
    <row r="13" spans="1:102" s="1" customFormat="1" ht="24.95" customHeight="1" x14ac:dyDescent="0.25">
      <c r="A13" s="25">
        <v>44285</v>
      </c>
      <c r="B13" s="58">
        <v>0.25</v>
      </c>
      <c r="C13" s="246">
        <v>46</v>
      </c>
      <c r="D13" s="60">
        <v>10.4</v>
      </c>
      <c r="E13" s="247">
        <v>18.399999999999999</v>
      </c>
      <c r="F13" s="57">
        <v>1007</v>
      </c>
      <c r="G13" s="57">
        <v>2121.1</v>
      </c>
      <c r="H13" s="57">
        <v>102.5</v>
      </c>
      <c r="I13" s="57">
        <v>103.6</v>
      </c>
      <c r="J13" s="57" t="s">
        <v>307</v>
      </c>
      <c r="K13" s="60">
        <v>29.99</v>
      </c>
      <c r="L13" s="60">
        <v>31</v>
      </c>
      <c r="M13" s="60">
        <v>48</v>
      </c>
      <c r="N13" s="57" t="s">
        <v>142</v>
      </c>
      <c r="O13" s="57" t="s">
        <v>142</v>
      </c>
      <c r="P13" s="57" t="s">
        <v>142</v>
      </c>
      <c r="Q13" s="57" t="s">
        <v>305</v>
      </c>
      <c r="R13" s="57">
        <v>52.52</v>
      </c>
      <c r="S13" s="26" t="s">
        <v>23</v>
      </c>
      <c r="T13" s="20" t="s">
        <v>236</v>
      </c>
      <c r="U13" s="248"/>
      <c r="V13" s="18"/>
      <c r="CL13"/>
      <c r="CM13"/>
      <c r="CN13"/>
      <c r="CO13"/>
      <c r="CP13"/>
      <c r="CQ13"/>
      <c r="CR13"/>
      <c r="CS13"/>
      <c r="CT13"/>
      <c r="CU13"/>
      <c r="CV13"/>
      <c r="CW13"/>
      <c r="CX13"/>
    </row>
    <row r="14" spans="1:102" s="1" customFormat="1" ht="24.95" customHeight="1" x14ac:dyDescent="0.25">
      <c r="A14" s="25">
        <v>44286</v>
      </c>
      <c r="B14" s="58">
        <v>0.25</v>
      </c>
      <c r="C14" s="246">
        <v>46</v>
      </c>
      <c r="D14" s="60">
        <v>10.3</v>
      </c>
      <c r="E14" s="247">
        <v>18.399999999999999</v>
      </c>
      <c r="F14" s="57">
        <v>1004.9</v>
      </c>
      <c r="G14" s="57">
        <v>2120.6</v>
      </c>
      <c r="H14" s="57">
        <v>102.5</v>
      </c>
      <c r="I14" s="57">
        <v>103.6</v>
      </c>
      <c r="J14" s="57" t="s">
        <v>311</v>
      </c>
      <c r="K14" s="60">
        <v>28.27</v>
      </c>
      <c r="L14" s="60">
        <v>31</v>
      </c>
      <c r="M14" s="60">
        <v>48</v>
      </c>
      <c r="N14" s="57" t="s">
        <v>142</v>
      </c>
      <c r="O14" s="57" t="s">
        <v>142</v>
      </c>
      <c r="P14" s="57" t="s">
        <v>142</v>
      </c>
      <c r="Q14" s="57" t="s">
        <v>305</v>
      </c>
      <c r="R14" s="57">
        <v>52.5</v>
      </c>
      <c r="S14" s="26" t="s">
        <v>23</v>
      </c>
      <c r="T14" s="20" t="s">
        <v>236</v>
      </c>
      <c r="U14" s="248"/>
      <c r="V14" s="18"/>
      <c r="CL14"/>
      <c r="CM14"/>
      <c r="CN14"/>
      <c r="CO14"/>
      <c r="CP14"/>
      <c r="CQ14"/>
      <c r="CR14"/>
      <c r="CS14"/>
      <c r="CT14"/>
      <c r="CU14"/>
      <c r="CV14"/>
      <c r="CW14"/>
      <c r="CX14"/>
    </row>
    <row r="15" spans="1:102" s="1" customFormat="1" ht="24.95" customHeight="1" x14ac:dyDescent="0.25">
      <c r="A15" s="25">
        <v>44287</v>
      </c>
      <c r="B15" s="58">
        <v>0.25</v>
      </c>
      <c r="C15" s="246">
        <v>46</v>
      </c>
      <c r="D15" s="60">
        <v>10.199999999999999</v>
      </c>
      <c r="E15" s="247">
        <v>18.600000000000001</v>
      </c>
      <c r="F15" s="57">
        <v>980</v>
      </c>
      <c r="G15" s="57">
        <v>2125</v>
      </c>
      <c r="H15" s="57">
        <v>102.5</v>
      </c>
      <c r="I15" s="57">
        <v>103.8</v>
      </c>
      <c r="J15" s="57" t="s">
        <v>315</v>
      </c>
      <c r="K15" s="60">
        <v>29</v>
      </c>
      <c r="L15" s="60">
        <v>31</v>
      </c>
      <c r="M15" s="60">
        <v>48</v>
      </c>
      <c r="N15" s="57" t="s">
        <v>142</v>
      </c>
      <c r="O15" s="57" t="s">
        <v>142</v>
      </c>
      <c r="P15" s="57" t="s">
        <v>142</v>
      </c>
      <c r="Q15" s="57" t="s">
        <v>305</v>
      </c>
      <c r="R15" s="57">
        <v>51.2</v>
      </c>
      <c r="S15" s="26" t="s">
        <v>23</v>
      </c>
      <c r="T15" s="20" t="s">
        <v>236</v>
      </c>
      <c r="U15" s="248"/>
      <c r="V15" s="18"/>
      <c r="CL15"/>
      <c r="CM15"/>
      <c r="CN15"/>
      <c r="CO15"/>
      <c r="CP15"/>
      <c r="CQ15"/>
      <c r="CR15"/>
      <c r="CS15"/>
      <c r="CT15"/>
      <c r="CU15"/>
      <c r="CV15"/>
      <c r="CW15"/>
      <c r="CX15"/>
    </row>
    <row r="16" spans="1:102" s="1" customFormat="1" ht="72.75" customHeight="1" x14ac:dyDescent="0.25">
      <c r="A16" s="25">
        <v>44288</v>
      </c>
      <c r="B16" s="58">
        <v>0.75</v>
      </c>
      <c r="C16" s="246">
        <v>46</v>
      </c>
      <c r="D16" s="60">
        <v>10.6</v>
      </c>
      <c r="E16" s="247">
        <v>18.7</v>
      </c>
      <c r="F16" s="57">
        <v>1008</v>
      </c>
      <c r="G16" s="57">
        <v>2106</v>
      </c>
      <c r="H16" s="57">
        <v>102.3</v>
      </c>
      <c r="I16" s="57">
        <v>103.6</v>
      </c>
      <c r="J16" s="57" t="s">
        <v>318</v>
      </c>
      <c r="K16" s="60">
        <v>28.2</v>
      </c>
      <c r="L16" s="60">
        <v>29.5</v>
      </c>
      <c r="M16" s="60">
        <v>44.5</v>
      </c>
      <c r="N16" s="57" t="s">
        <v>142</v>
      </c>
      <c r="O16" s="57" t="s">
        <v>142</v>
      </c>
      <c r="P16" s="57" t="s">
        <v>142</v>
      </c>
      <c r="Q16" s="57" t="s">
        <v>305</v>
      </c>
      <c r="R16" s="57">
        <v>53.2</v>
      </c>
      <c r="S16" s="26" t="s">
        <v>23</v>
      </c>
      <c r="T16" s="20" t="s">
        <v>236</v>
      </c>
      <c r="U16" s="248" t="s">
        <v>319</v>
      </c>
      <c r="V16" s="18"/>
      <c r="CL16"/>
      <c r="CM16"/>
      <c r="CN16"/>
      <c r="CO16"/>
      <c r="CP16"/>
      <c r="CQ16"/>
      <c r="CR16"/>
      <c r="CS16"/>
      <c r="CT16"/>
      <c r="CU16"/>
      <c r="CV16"/>
      <c r="CW16"/>
      <c r="CX16"/>
    </row>
    <row r="17" spans="1:102" s="1" customFormat="1" ht="28.5" customHeight="1" x14ac:dyDescent="0.25">
      <c r="A17" s="25">
        <v>44289</v>
      </c>
      <c r="B17" s="58">
        <v>0.25</v>
      </c>
      <c r="C17" s="246">
        <v>46</v>
      </c>
      <c r="D17" s="60">
        <v>10.199999999999999</v>
      </c>
      <c r="E17" s="247">
        <v>18.5</v>
      </c>
      <c r="F17" s="57">
        <v>994</v>
      </c>
      <c r="G17" s="57">
        <v>2148.8000000000002</v>
      </c>
      <c r="H17" s="57">
        <v>102.9</v>
      </c>
      <c r="I17" s="57">
        <v>104.1</v>
      </c>
      <c r="J17" s="57" t="s">
        <v>328</v>
      </c>
      <c r="K17" s="60">
        <v>28.75</v>
      </c>
      <c r="L17" s="60">
        <v>30</v>
      </c>
      <c r="M17" s="60">
        <v>44</v>
      </c>
      <c r="N17" s="57" t="s">
        <v>142</v>
      </c>
      <c r="O17" s="57" t="s">
        <v>142</v>
      </c>
      <c r="P17" s="57" t="s">
        <v>142</v>
      </c>
      <c r="Q17" s="57" t="s">
        <v>305</v>
      </c>
      <c r="R17" s="57">
        <v>50.7</v>
      </c>
      <c r="S17" s="26" t="s">
        <v>23</v>
      </c>
      <c r="T17" s="20" t="s">
        <v>236</v>
      </c>
      <c r="U17" s="248"/>
      <c r="V17" s="18"/>
      <c r="CL17"/>
      <c r="CM17"/>
      <c r="CN17"/>
      <c r="CO17"/>
      <c r="CP17"/>
      <c r="CQ17"/>
      <c r="CR17"/>
      <c r="CS17"/>
      <c r="CT17"/>
      <c r="CU17"/>
      <c r="CV17"/>
      <c r="CW17"/>
      <c r="CX17"/>
    </row>
    <row r="18" spans="1:102" s="1" customFormat="1" ht="44.25" customHeight="1" x14ac:dyDescent="0.25">
      <c r="A18" s="25">
        <v>44290</v>
      </c>
      <c r="B18" s="58">
        <v>0.25</v>
      </c>
      <c r="C18" s="246">
        <v>48</v>
      </c>
      <c r="D18" s="60">
        <v>10.8</v>
      </c>
      <c r="E18" s="247">
        <v>18.7</v>
      </c>
      <c r="F18" s="57">
        <v>879</v>
      </c>
      <c r="G18" s="57">
        <v>2101</v>
      </c>
      <c r="H18" s="57">
        <v>102.9</v>
      </c>
      <c r="I18" s="57">
        <v>104.1</v>
      </c>
      <c r="J18" s="57" t="s">
        <v>331</v>
      </c>
      <c r="K18" s="60">
        <v>28.3</v>
      </c>
      <c r="L18" s="60">
        <v>30</v>
      </c>
      <c r="M18" s="60">
        <v>47</v>
      </c>
      <c r="N18" s="57" t="s">
        <v>142</v>
      </c>
      <c r="O18" s="57" t="s">
        <v>142</v>
      </c>
      <c r="P18" s="57" t="s">
        <v>142</v>
      </c>
      <c r="Q18" s="57" t="s">
        <v>305</v>
      </c>
      <c r="R18" s="57">
        <v>53.2</v>
      </c>
      <c r="S18" s="26" t="s">
        <v>23</v>
      </c>
      <c r="T18" s="20" t="s">
        <v>236</v>
      </c>
      <c r="U18" s="248" t="s">
        <v>332</v>
      </c>
      <c r="V18" s="18"/>
      <c r="CL18"/>
      <c r="CM18"/>
      <c r="CN18"/>
      <c r="CO18"/>
      <c r="CP18"/>
      <c r="CQ18"/>
      <c r="CR18"/>
      <c r="CS18"/>
      <c r="CT18"/>
      <c r="CU18"/>
      <c r="CV18"/>
      <c r="CW18"/>
      <c r="CX18"/>
    </row>
    <row r="19" spans="1:102" s="1" customFormat="1" ht="44.25" customHeight="1" x14ac:dyDescent="0.25">
      <c r="A19" s="25">
        <v>44291</v>
      </c>
      <c r="B19" s="58">
        <v>0.25</v>
      </c>
      <c r="C19" s="246">
        <v>48</v>
      </c>
      <c r="D19" s="60">
        <v>10.7</v>
      </c>
      <c r="E19" s="247">
        <v>18.5</v>
      </c>
      <c r="F19" s="57">
        <v>877</v>
      </c>
      <c r="G19" s="57">
        <v>2121</v>
      </c>
      <c r="H19" s="57">
        <v>102.8</v>
      </c>
      <c r="I19" s="57">
        <v>104</v>
      </c>
      <c r="J19" s="57" t="s">
        <v>331</v>
      </c>
      <c r="K19" s="60">
        <v>27.4</v>
      </c>
      <c r="L19" s="60">
        <v>29</v>
      </c>
      <c r="M19" s="60">
        <v>47</v>
      </c>
      <c r="N19" s="57" t="s">
        <v>142</v>
      </c>
      <c r="O19" s="57" t="s">
        <v>142</v>
      </c>
      <c r="P19" s="57" t="s">
        <v>142</v>
      </c>
      <c r="Q19" s="57" t="s">
        <v>305</v>
      </c>
      <c r="R19" s="57">
        <v>53.4</v>
      </c>
      <c r="S19" s="26" t="s">
        <v>23</v>
      </c>
      <c r="T19" s="20" t="s">
        <v>236</v>
      </c>
      <c r="U19" s="248"/>
      <c r="V19" s="18"/>
      <c r="CL19"/>
      <c r="CM19"/>
      <c r="CN19"/>
      <c r="CO19"/>
      <c r="CP19"/>
      <c r="CQ19"/>
      <c r="CR19"/>
      <c r="CS19"/>
      <c r="CT19"/>
      <c r="CU19"/>
      <c r="CV19"/>
      <c r="CW19"/>
      <c r="CX19"/>
    </row>
    <row r="20" spans="1:102" s="1" customFormat="1" ht="44.25" customHeight="1" x14ac:dyDescent="0.25">
      <c r="A20" s="25">
        <v>44292</v>
      </c>
      <c r="B20" s="58">
        <v>0.25</v>
      </c>
      <c r="C20" s="246">
        <v>48</v>
      </c>
      <c r="D20" s="60">
        <v>10.9</v>
      </c>
      <c r="E20" s="247">
        <v>18.600000000000001</v>
      </c>
      <c r="F20" s="57">
        <v>951</v>
      </c>
      <c r="G20" s="57">
        <v>2225</v>
      </c>
      <c r="H20" s="57">
        <v>102.8</v>
      </c>
      <c r="I20" s="57">
        <v>104.2</v>
      </c>
      <c r="J20" s="57" t="s">
        <v>335</v>
      </c>
      <c r="K20" s="60">
        <v>29</v>
      </c>
      <c r="L20" s="60">
        <v>30</v>
      </c>
      <c r="M20" s="60">
        <v>47</v>
      </c>
      <c r="N20" s="57" t="s">
        <v>142</v>
      </c>
      <c r="O20" s="57" t="s">
        <v>142</v>
      </c>
      <c r="P20" s="57" t="s">
        <v>142</v>
      </c>
      <c r="Q20" s="57" t="s">
        <v>305</v>
      </c>
      <c r="R20" s="57">
        <v>53.2</v>
      </c>
      <c r="S20" s="26" t="s">
        <v>23</v>
      </c>
      <c r="T20" s="20" t="s">
        <v>236</v>
      </c>
      <c r="U20" s="248"/>
      <c r="V20" s="18"/>
      <c r="CL20"/>
      <c r="CM20"/>
      <c r="CN20"/>
      <c r="CO20"/>
      <c r="CP20"/>
      <c r="CQ20"/>
      <c r="CR20"/>
      <c r="CS20"/>
      <c r="CT20"/>
      <c r="CU20"/>
      <c r="CV20"/>
      <c r="CW20"/>
      <c r="CX20"/>
    </row>
    <row r="21" spans="1:102" s="1" customFormat="1" ht="44.25" customHeight="1" x14ac:dyDescent="0.25">
      <c r="A21" s="25">
        <v>44293</v>
      </c>
      <c r="B21" s="58">
        <v>0.25</v>
      </c>
      <c r="C21" s="246">
        <v>48</v>
      </c>
      <c r="D21" s="60">
        <v>10.7</v>
      </c>
      <c r="E21" s="247">
        <v>18.5</v>
      </c>
      <c r="F21" s="57">
        <v>940</v>
      </c>
      <c r="G21" s="57">
        <v>2159</v>
      </c>
      <c r="H21" s="57">
        <v>102.9</v>
      </c>
      <c r="I21" s="57">
        <v>104.3</v>
      </c>
      <c r="J21" s="57" t="s">
        <v>338</v>
      </c>
      <c r="K21" s="60">
        <v>28.6</v>
      </c>
      <c r="L21" s="60">
        <v>29</v>
      </c>
      <c r="M21" s="60">
        <v>40</v>
      </c>
      <c r="N21" s="57" t="s">
        <v>142</v>
      </c>
      <c r="O21" s="57" t="s">
        <v>142</v>
      </c>
      <c r="P21" s="57" t="s">
        <v>142</v>
      </c>
      <c r="Q21" s="57" t="s">
        <v>339</v>
      </c>
      <c r="R21" s="57">
        <v>53.2</v>
      </c>
      <c r="S21" s="26" t="s">
        <v>23</v>
      </c>
      <c r="T21" s="20" t="s">
        <v>236</v>
      </c>
      <c r="U21" s="248"/>
      <c r="V21" s="18"/>
      <c r="CL21"/>
      <c r="CM21"/>
      <c r="CN21"/>
      <c r="CO21"/>
      <c r="CP21"/>
      <c r="CQ21"/>
      <c r="CR21"/>
      <c r="CS21"/>
      <c r="CT21"/>
      <c r="CU21"/>
      <c r="CV21"/>
      <c r="CW21"/>
      <c r="CX21"/>
    </row>
    <row r="22" spans="1:102" s="1" customFormat="1" ht="64.5" customHeight="1" x14ac:dyDescent="0.25">
      <c r="A22" s="25">
        <v>44294</v>
      </c>
      <c r="B22" s="58">
        <v>0.25</v>
      </c>
      <c r="C22" s="246">
        <v>48</v>
      </c>
      <c r="D22" s="60">
        <v>11.9</v>
      </c>
      <c r="E22" s="247">
        <v>18.600000000000001</v>
      </c>
      <c r="F22" s="57">
        <v>1009</v>
      </c>
      <c r="G22" s="57">
        <v>2069</v>
      </c>
      <c r="H22" s="57">
        <v>103</v>
      </c>
      <c r="I22" s="57">
        <v>104</v>
      </c>
      <c r="J22" s="57" t="s">
        <v>345</v>
      </c>
      <c r="K22" s="60">
        <v>29</v>
      </c>
      <c r="L22" s="60">
        <v>30</v>
      </c>
      <c r="M22" s="60">
        <v>44</v>
      </c>
      <c r="N22" s="57" t="s">
        <v>142</v>
      </c>
      <c r="O22" s="57" t="s">
        <v>142</v>
      </c>
      <c r="P22" s="57" t="s">
        <v>142</v>
      </c>
      <c r="Q22" s="57" t="s">
        <v>339</v>
      </c>
      <c r="R22" s="57">
        <v>59.2</v>
      </c>
      <c r="S22" s="26" t="s">
        <v>23</v>
      </c>
      <c r="T22" s="20" t="s">
        <v>236</v>
      </c>
      <c r="U22" s="248" t="s">
        <v>348</v>
      </c>
      <c r="V22" s="18"/>
      <c r="CL22"/>
      <c r="CM22"/>
      <c r="CN22"/>
      <c r="CO22"/>
      <c r="CP22"/>
      <c r="CQ22"/>
      <c r="CR22"/>
      <c r="CS22"/>
      <c r="CT22"/>
      <c r="CU22"/>
      <c r="CV22"/>
      <c r="CW22"/>
      <c r="CX22"/>
    </row>
    <row r="23" spans="1:102" s="1" customFormat="1" ht="27" customHeight="1" x14ac:dyDescent="0.25">
      <c r="A23" s="25">
        <v>44295</v>
      </c>
      <c r="B23" s="58">
        <v>0.25</v>
      </c>
      <c r="C23" s="246">
        <v>50</v>
      </c>
      <c r="D23" s="60">
        <v>11.3</v>
      </c>
      <c r="E23" s="247">
        <v>17.5</v>
      </c>
      <c r="F23" s="57">
        <v>820</v>
      </c>
      <c r="G23" s="57">
        <v>2139</v>
      </c>
      <c r="H23" s="57">
        <v>103</v>
      </c>
      <c r="I23" s="57">
        <v>104</v>
      </c>
      <c r="J23" s="57" t="s">
        <v>349</v>
      </c>
      <c r="K23" s="60">
        <v>29.5</v>
      </c>
      <c r="L23" s="60">
        <v>30.5</v>
      </c>
      <c r="M23" s="60">
        <v>45.5</v>
      </c>
      <c r="N23" s="57" t="s">
        <v>142</v>
      </c>
      <c r="O23" s="57" t="s">
        <v>142</v>
      </c>
      <c r="P23" s="57" t="s">
        <v>142</v>
      </c>
      <c r="Q23" s="57" t="s">
        <v>339</v>
      </c>
      <c r="R23" s="57">
        <v>56.7</v>
      </c>
      <c r="S23" s="26" t="s">
        <v>352</v>
      </c>
      <c r="T23" s="20" t="s">
        <v>236</v>
      </c>
      <c r="U23" s="248"/>
      <c r="V23" s="18"/>
      <c r="CL23"/>
      <c r="CM23"/>
      <c r="CN23"/>
      <c r="CO23"/>
      <c r="CP23"/>
      <c r="CQ23"/>
      <c r="CR23"/>
      <c r="CS23"/>
      <c r="CT23"/>
      <c r="CU23"/>
      <c r="CV23"/>
      <c r="CW23"/>
      <c r="CX23"/>
    </row>
    <row r="24" spans="1:102" s="1" customFormat="1" ht="27" customHeight="1" x14ac:dyDescent="0.25">
      <c r="A24" s="25">
        <v>44296</v>
      </c>
      <c r="B24" s="58">
        <v>0.25</v>
      </c>
      <c r="C24" s="246">
        <v>50</v>
      </c>
      <c r="D24" s="60">
        <v>10.8</v>
      </c>
      <c r="E24" s="247">
        <v>17.600000000000001</v>
      </c>
      <c r="F24" s="57">
        <v>806</v>
      </c>
      <c r="G24" s="57">
        <v>2131.6999999999998</v>
      </c>
      <c r="H24" s="57">
        <v>104</v>
      </c>
      <c r="I24" s="57">
        <v>106.4</v>
      </c>
      <c r="J24" s="57" t="s">
        <v>350</v>
      </c>
      <c r="K24" s="60">
        <v>29</v>
      </c>
      <c r="L24" s="60">
        <v>30</v>
      </c>
      <c r="M24" s="60">
        <v>42</v>
      </c>
      <c r="N24" s="57" t="s">
        <v>142</v>
      </c>
      <c r="O24" s="57" t="s">
        <v>142</v>
      </c>
      <c r="P24" s="57" t="s">
        <v>142</v>
      </c>
      <c r="Q24" s="57" t="s">
        <v>339</v>
      </c>
      <c r="R24" s="57">
        <v>54.2</v>
      </c>
      <c r="S24" s="26" t="s">
        <v>352</v>
      </c>
      <c r="T24" s="20" t="s">
        <v>236</v>
      </c>
      <c r="U24" s="248"/>
      <c r="V24" s="18"/>
      <c r="CL24"/>
      <c r="CM24"/>
      <c r="CN24"/>
      <c r="CO24"/>
      <c r="CP24"/>
      <c r="CQ24"/>
      <c r="CR24"/>
      <c r="CS24"/>
      <c r="CT24"/>
      <c r="CU24"/>
      <c r="CV24"/>
      <c r="CW24"/>
      <c r="CX24"/>
    </row>
    <row r="25" spans="1:102" s="1" customFormat="1" ht="27" customHeight="1" x14ac:dyDescent="0.25">
      <c r="A25" s="25">
        <v>44297</v>
      </c>
      <c r="B25" s="58">
        <v>0.25</v>
      </c>
      <c r="C25" s="246">
        <v>50</v>
      </c>
      <c r="D25" s="60">
        <v>10.6</v>
      </c>
      <c r="E25" s="247">
        <v>17.399999999999999</v>
      </c>
      <c r="F25" s="57">
        <v>804.5</v>
      </c>
      <c r="G25" s="57">
        <v>2128</v>
      </c>
      <c r="H25" s="57">
        <v>104.2</v>
      </c>
      <c r="I25" s="57">
        <v>106.7</v>
      </c>
      <c r="J25" s="57" t="s">
        <v>354</v>
      </c>
      <c r="K25" s="60">
        <v>28.96</v>
      </c>
      <c r="L25" s="60">
        <v>30</v>
      </c>
      <c r="M25" s="60">
        <v>42.98</v>
      </c>
      <c r="N25" s="57" t="s">
        <v>142</v>
      </c>
      <c r="O25" s="57" t="s">
        <v>142</v>
      </c>
      <c r="P25" s="57" t="s">
        <v>142</v>
      </c>
      <c r="Q25" s="57" t="s">
        <v>339</v>
      </c>
      <c r="R25" s="57">
        <v>54.6</v>
      </c>
      <c r="S25" s="26" t="s">
        <v>352</v>
      </c>
      <c r="T25" s="20" t="s">
        <v>236</v>
      </c>
      <c r="U25" s="248"/>
      <c r="V25" s="18"/>
      <c r="CL25"/>
      <c r="CM25"/>
      <c r="CN25"/>
      <c r="CO25"/>
      <c r="CP25"/>
      <c r="CQ25"/>
      <c r="CR25"/>
      <c r="CS25"/>
      <c r="CT25"/>
      <c r="CU25"/>
      <c r="CV25"/>
      <c r="CW25"/>
      <c r="CX25"/>
    </row>
    <row r="26" spans="1:102" s="1" customFormat="1" ht="27" customHeight="1" x14ac:dyDescent="0.25">
      <c r="A26" s="25">
        <v>44298</v>
      </c>
      <c r="B26" s="58">
        <v>0.25</v>
      </c>
      <c r="C26" s="246">
        <v>50</v>
      </c>
      <c r="D26" s="60">
        <v>10.4</v>
      </c>
      <c r="E26" s="247">
        <v>17.5</v>
      </c>
      <c r="F26" s="57">
        <v>798</v>
      </c>
      <c r="G26" s="57">
        <v>2135</v>
      </c>
      <c r="H26" s="57">
        <v>104.2</v>
      </c>
      <c r="I26" s="57">
        <v>106.7</v>
      </c>
      <c r="J26" s="57" t="s">
        <v>357</v>
      </c>
      <c r="K26" s="60">
        <v>29</v>
      </c>
      <c r="L26" s="60">
        <v>30</v>
      </c>
      <c r="M26" s="60">
        <v>41</v>
      </c>
      <c r="N26" s="57" t="s">
        <v>142</v>
      </c>
      <c r="O26" s="57" t="s">
        <v>142</v>
      </c>
      <c r="P26" s="57" t="s">
        <v>142</v>
      </c>
      <c r="Q26" s="57" t="s">
        <v>339</v>
      </c>
      <c r="R26" s="57">
        <v>68</v>
      </c>
      <c r="S26" s="26" t="s">
        <v>352</v>
      </c>
      <c r="T26" s="20" t="s">
        <v>236</v>
      </c>
      <c r="U26" s="248"/>
      <c r="V26" s="18"/>
      <c r="CL26"/>
      <c r="CM26"/>
      <c r="CN26"/>
      <c r="CO26"/>
      <c r="CP26"/>
      <c r="CQ26"/>
      <c r="CR26"/>
      <c r="CS26"/>
      <c r="CT26"/>
      <c r="CU26"/>
      <c r="CV26"/>
      <c r="CW26"/>
      <c r="CX26"/>
    </row>
    <row r="27" spans="1:102" s="1" customFormat="1" ht="27" customHeight="1" x14ac:dyDescent="0.25">
      <c r="A27" s="25">
        <v>44299</v>
      </c>
      <c r="B27" s="58">
        <v>0.25</v>
      </c>
      <c r="C27" s="246">
        <v>50</v>
      </c>
      <c r="D27" s="60">
        <v>10.6</v>
      </c>
      <c r="E27" s="247">
        <v>17.3</v>
      </c>
      <c r="F27" s="57">
        <v>834</v>
      </c>
      <c r="G27" s="57">
        <v>2165</v>
      </c>
      <c r="H27" s="57">
        <v>102</v>
      </c>
      <c r="I27" s="57">
        <v>103</v>
      </c>
      <c r="J27" s="57" t="s">
        <v>364</v>
      </c>
      <c r="K27" s="60">
        <v>29.8</v>
      </c>
      <c r="L27" s="60">
        <v>30.5</v>
      </c>
      <c r="M27" s="60">
        <v>39</v>
      </c>
      <c r="N27" s="57" t="s">
        <v>142</v>
      </c>
      <c r="O27" s="57" t="s">
        <v>142</v>
      </c>
      <c r="P27" s="57" t="s">
        <v>142</v>
      </c>
      <c r="Q27" s="57" t="s">
        <v>339</v>
      </c>
      <c r="R27" s="57">
        <v>74.900000000000006</v>
      </c>
      <c r="S27" s="26" t="s">
        <v>352</v>
      </c>
      <c r="T27" s="20" t="s">
        <v>236</v>
      </c>
      <c r="U27" s="248" t="s">
        <v>378</v>
      </c>
      <c r="V27" s="18"/>
      <c r="CL27"/>
      <c r="CM27"/>
      <c r="CN27"/>
      <c r="CO27"/>
      <c r="CP27"/>
      <c r="CQ27"/>
      <c r="CR27"/>
      <c r="CS27"/>
      <c r="CT27"/>
      <c r="CU27"/>
      <c r="CV27"/>
      <c r="CW27"/>
      <c r="CX27"/>
    </row>
    <row r="28" spans="1:102" s="1" customFormat="1" ht="27" customHeight="1" x14ac:dyDescent="0.25">
      <c r="A28" s="25">
        <v>44300</v>
      </c>
      <c r="B28" s="58">
        <v>0.75</v>
      </c>
      <c r="C28" s="246">
        <v>51</v>
      </c>
      <c r="D28" s="60">
        <v>11.5</v>
      </c>
      <c r="E28" s="247">
        <v>17.3</v>
      </c>
      <c r="F28" s="57">
        <v>749</v>
      </c>
      <c r="G28" s="57">
        <v>2136</v>
      </c>
      <c r="H28" s="57">
        <v>103.4</v>
      </c>
      <c r="I28" s="57">
        <v>104.6</v>
      </c>
      <c r="J28" s="57" t="s">
        <v>366</v>
      </c>
      <c r="K28" s="60">
        <v>30.52</v>
      </c>
      <c r="L28" s="60">
        <v>32</v>
      </c>
      <c r="M28" s="60">
        <v>44.53</v>
      </c>
      <c r="N28" s="57" t="s">
        <v>142</v>
      </c>
      <c r="O28" s="57" t="s">
        <v>142</v>
      </c>
      <c r="P28" s="57" t="s">
        <v>142</v>
      </c>
      <c r="Q28" s="57" t="s">
        <v>367</v>
      </c>
      <c r="R28" s="57">
        <v>73</v>
      </c>
      <c r="S28" s="26" t="s">
        <v>352</v>
      </c>
      <c r="T28" s="20" t="s">
        <v>236</v>
      </c>
      <c r="U28" s="248"/>
      <c r="V28" s="18"/>
      <c r="CL28"/>
      <c r="CM28"/>
      <c r="CN28"/>
      <c r="CO28"/>
      <c r="CP28"/>
      <c r="CQ28"/>
      <c r="CR28"/>
      <c r="CS28"/>
      <c r="CT28"/>
      <c r="CU28"/>
      <c r="CV28"/>
      <c r="CW28"/>
      <c r="CX28"/>
    </row>
    <row r="29" spans="1:102" s="1" customFormat="1" ht="27" customHeight="1" x14ac:dyDescent="0.25">
      <c r="A29" s="25">
        <v>44301</v>
      </c>
      <c r="B29" s="58">
        <v>0.25</v>
      </c>
      <c r="C29" s="246">
        <v>51</v>
      </c>
      <c r="D29" s="60">
        <v>10.8</v>
      </c>
      <c r="E29" s="247">
        <v>16.899999999999999</v>
      </c>
      <c r="F29" s="57">
        <v>783.8</v>
      </c>
      <c r="G29" s="57">
        <v>2168.4</v>
      </c>
      <c r="H29" s="57">
        <v>102.3</v>
      </c>
      <c r="I29" s="57">
        <v>104.4</v>
      </c>
      <c r="J29" s="57" t="s">
        <v>374</v>
      </c>
      <c r="K29" s="60">
        <v>30.27</v>
      </c>
      <c r="L29" s="60">
        <v>31</v>
      </c>
      <c r="M29" s="60">
        <v>40.43</v>
      </c>
      <c r="N29" s="57" t="s">
        <v>142</v>
      </c>
      <c r="O29" s="57" t="s">
        <v>142</v>
      </c>
      <c r="P29" s="57" t="s">
        <v>142</v>
      </c>
      <c r="Q29" s="57" t="s">
        <v>367</v>
      </c>
      <c r="R29" s="57">
        <v>72.2</v>
      </c>
      <c r="S29" s="26" t="s">
        <v>352</v>
      </c>
      <c r="T29" s="20" t="s">
        <v>236</v>
      </c>
      <c r="U29" s="248"/>
      <c r="V29" s="18"/>
      <c r="CL29"/>
      <c r="CM29"/>
      <c r="CN29"/>
      <c r="CO29"/>
      <c r="CP29"/>
      <c r="CQ29"/>
      <c r="CR29"/>
      <c r="CS29"/>
      <c r="CT29"/>
      <c r="CU29"/>
      <c r="CV29"/>
      <c r="CW29"/>
      <c r="CX29"/>
    </row>
    <row r="30" spans="1:102" s="1" customFormat="1" ht="27" customHeight="1" x14ac:dyDescent="0.25">
      <c r="A30" s="25">
        <v>44302</v>
      </c>
      <c r="B30" s="58">
        <v>0.25</v>
      </c>
      <c r="C30" s="246">
        <v>53</v>
      </c>
      <c r="D30" s="60">
        <v>11.9</v>
      </c>
      <c r="E30" s="247">
        <v>16.8</v>
      </c>
      <c r="F30" s="57">
        <v>718</v>
      </c>
      <c r="G30" s="57">
        <v>2100</v>
      </c>
      <c r="H30" s="57">
        <v>103.1</v>
      </c>
      <c r="I30" s="57">
        <v>104.3</v>
      </c>
      <c r="J30" s="57" t="s">
        <v>379</v>
      </c>
      <c r="K30" s="60">
        <v>29.59</v>
      </c>
      <c r="L30" s="60">
        <v>31</v>
      </c>
      <c r="M30" s="60">
        <v>47.66</v>
      </c>
      <c r="N30" s="57" t="s">
        <v>142</v>
      </c>
      <c r="O30" s="57" t="s">
        <v>142</v>
      </c>
      <c r="P30" s="57" t="s">
        <v>142</v>
      </c>
      <c r="Q30" s="57" t="s">
        <v>367</v>
      </c>
      <c r="R30" s="57">
        <v>71.7</v>
      </c>
      <c r="S30" s="26" t="s">
        <v>352</v>
      </c>
      <c r="T30" s="20" t="s">
        <v>236</v>
      </c>
      <c r="U30" s="248" t="s">
        <v>380</v>
      </c>
      <c r="V30" s="18"/>
      <c r="CL30"/>
      <c r="CM30"/>
      <c r="CN30"/>
      <c r="CO30"/>
      <c r="CP30"/>
      <c r="CQ30"/>
      <c r="CR30"/>
      <c r="CS30"/>
      <c r="CT30"/>
      <c r="CU30"/>
      <c r="CV30"/>
      <c r="CW30"/>
      <c r="CX30"/>
    </row>
    <row r="31" spans="1:102" s="1" customFormat="1" ht="27" customHeight="1" x14ac:dyDescent="0.25">
      <c r="A31" s="25">
        <v>44303</v>
      </c>
      <c r="B31" s="58">
        <v>0.25</v>
      </c>
      <c r="C31" s="246">
        <v>53</v>
      </c>
      <c r="D31" s="60">
        <v>11.8</v>
      </c>
      <c r="E31" s="247">
        <v>16.600000000000001</v>
      </c>
      <c r="F31" s="57">
        <v>688</v>
      </c>
      <c r="G31" s="57">
        <v>2097</v>
      </c>
      <c r="H31" s="57">
        <v>103.3</v>
      </c>
      <c r="I31" s="57">
        <v>104.7</v>
      </c>
      <c r="J31" s="57" t="s">
        <v>385</v>
      </c>
      <c r="K31" s="60">
        <v>29.68</v>
      </c>
      <c r="L31" s="60">
        <v>31</v>
      </c>
      <c r="M31" s="60">
        <v>47.9</v>
      </c>
      <c r="N31" s="57" t="s">
        <v>142</v>
      </c>
      <c r="O31" s="57" t="s">
        <v>142</v>
      </c>
      <c r="P31" s="57" t="s">
        <v>142</v>
      </c>
      <c r="Q31" s="57" t="s">
        <v>367</v>
      </c>
      <c r="R31" s="57">
        <v>70.900000000000006</v>
      </c>
      <c r="S31" s="26" t="s">
        <v>352</v>
      </c>
      <c r="T31" s="20" t="s">
        <v>236</v>
      </c>
      <c r="U31" s="248" t="s">
        <v>386</v>
      </c>
      <c r="V31" s="18"/>
      <c r="CL31"/>
      <c r="CM31"/>
      <c r="CN31"/>
      <c r="CO31"/>
      <c r="CP31"/>
      <c r="CQ31"/>
      <c r="CR31"/>
      <c r="CS31"/>
      <c r="CT31"/>
      <c r="CU31"/>
      <c r="CV31"/>
      <c r="CW31"/>
      <c r="CX31"/>
    </row>
    <row r="32" spans="1:102" s="1" customFormat="1" ht="27" customHeight="1" x14ac:dyDescent="0.25">
      <c r="A32" s="25">
        <v>44304</v>
      </c>
      <c r="B32" s="58">
        <v>0.25</v>
      </c>
      <c r="C32" s="246">
        <v>53</v>
      </c>
      <c r="D32" s="60">
        <v>11.9</v>
      </c>
      <c r="E32" s="247">
        <v>16.8</v>
      </c>
      <c r="F32" s="57">
        <v>672</v>
      </c>
      <c r="G32" s="57">
        <v>2127</v>
      </c>
      <c r="H32" s="57">
        <v>103.5</v>
      </c>
      <c r="I32" s="57">
        <v>105</v>
      </c>
      <c r="J32" s="57" t="s">
        <v>390</v>
      </c>
      <c r="K32" s="60">
        <v>28.84</v>
      </c>
      <c r="L32" s="60">
        <v>31</v>
      </c>
      <c r="M32" s="60">
        <v>47.44</v>
      </c>
      <c r="N32" s="57" t="s">
        <v>142</v>
      </c>
      <c r="O32" s="57" t="s">
        <v>142</v>
      </c>
      <c r="P32" s="57" t="s">
        <v>142</v>
      </c>
      <c r="Q32" s="57" t="s">
        <v>367</v>
      </c>
      <c r="R32" s="57">
        <v>71.7</v>
      </c>
      <c r="S32" s="26" t="s">
        <v>352</v>
      </c>
      <c r="T32" s="20" t="s">
        <v>236</v>
      </c>
      <c r="U32" s="248" t="s">
        <v>389</v>
      </c>
      <c r="V32" s="18"/>
      <c r="CL32"/>
      <c r="CM32"/>
      <c r="CN32"/>
      <c r="CO32"/>
      <c r="CP32"/>
      <c r="CQ32"/>
      <c r="CR32"/>
      <c r="CS32"/>
      <c r="CT32"/>
      <c r="CU32"/>
      <c r="CV32"/>
      <c r="CW32"/>
      <c r="CX32"/>
    </row>
    <row r="33" spans="1:102" s="1" customFormat="1" ht="27" customHeight="1" x14ac:dyDescent="0.25">
      <c r="A33" s="25">
        <v>44305</v>
      </c>
      <c r="B33" s="58">
        <v>0.25</v>
      </c>
      <c r="C33" s="246">
        <v>53</v>
      </c>
      <c r="D33" s="60">
        <v>11.6</v>
      </c>
      <c r="E33" s="247">
        <v>16.399999999999999</v>
      </c>
      <c r="F33" s="57">
        <v>667.8</v>
      </c>
      <c r="G33" s="57">
        <v>2108</v>
      </c>
      <c r="H33" s="57">
        <v>103.8</v>
      </c>
      <c r="I33" s="57">
        <v>104.8</v>
      </c>
      <c r="J33" s="57" t="s">
        <v>393</v>
      </c>
      <c r="K33" s="60">
        <v>30.01</v>
      </c>
      <c r="L33" s="60">
        <v>31</v>
      </c>
      <c r="M33" s="60">
        <v>47.01</v>
      </c>
      <c r="N33" s="57" t="s">
        <v>142</v>
      </c>
      <c r="O33" s="57" t="s">
        <v>142</v>
      </c>
      <c r="P33" s="57" t="s">
        <v>142</v>
      </c>
      <c r="Q33" s="57" t="s">
        <v>367</v>
      </c>
      <c r="R33" s="57">
        <v>70.58</v>
      </c>
      <c r="S33" s="26" t="s">
        <v>352</v>
      </c>
      <c r="T33" s="20" t="s">
        <v>236</v>
      </c>
      <c r="U33" s="248" t="s">
        <v>389</v>
      </c>
      <c r="V33" s="18"/>
      <c r="CL33"/>
      <c r="CM33"/>
      <c r="CN33"/>
      <c r="CO33"/>
      <c r="CP33"/>
      <c r="CQ33"/>
      <c r="CR33"/>
      <c r="CS33"/>
      <c r="CT33"/>
      <c r="CU33"/>
      <c r="CV33"/>
      <c r="CW33"/>
      <c r="CX33"/>
    </row>
    <row r="34" spans="1:102" s="1" customFormat="1" ht="27" customHeight="1" x14ac:dyDescent="0.25">
      <c r="A34" s="25">
        <v>44306</v>
      </c>
      <c r="B34" s="58">
        <v>0.25</v>
      </c>
      <c r="C34" s="246">
        <v>53</v>
      </c>
      <c r="D34" s="60">
        <v>11.7</v>
      </c>
      <c r="E34" s="247">
        <v>16.7</v>
      </c>
      <c r="F34" s="57">
        <v>676.6</v>
      </c>
      <c r="G34" s="57">
        <v>2140</v>
      </c>
      <c r="H34" s="57">
        <v>104</v>
      </c>
      <c r="I34" s="57">
        <v>105.5</v>
      </c>
      <c r="J34" s="57" t="s">
        <v>396</v>
      </c>
      <c r="K34" s="60">
        <v>29.97</v>
      </c>
      <c r="L34" s="60">
        <v>31</v>
      </c>
      <c r="M34" s="60">
        <v>44.8</v>
      </c>
      <c r="N34" s="57" t="s">
        <v>142</v>
      </c>
      <c r="O34" s="57" t="s">
        <v>142</v>
      </c>
      <c r="P34" s="57" t="s">
        <v>142</v>
      </c>
      <c r="Q34" s="57" t="s">
        <v>367</v>
      </c>
      <c r="R34" s="57">
        <v>70.8</v>
      </c>
      <c r="S34" s="26" t="s">
        <v>352</v>
      </c>
      <c r="T34" s="20" t="s">
        <v>236</v>
      </c>
      <c r="U34" s="248" t="s">
        <v>389</v>
      </c>
      <c r="V34" s="18"/>
      <c r="CL34"/>
      <c r="CM34"/>
      <c r="CN34"/>
      <c r="CO34"/>
      <c r="CP34"/>
      <c r="CQ34"/>
      <c r="CR34"/>
      <c r="CS34"/>
      <c r="CT34"/>
      <c r="CU34"/>
      <c r="CV34"/>
      <c r="CW34"/>
      <c r="CX34"/>
    </row>
    <row r="35" spans="1:102" s="1" customFormat="1" ht="27" customHeight="1" x14ac:dyDescent="0.25">
      <c r="A35" s="25">
        <v>44307</v>
      </c>
      <c r="B35" s="58">
        <v>0.25</v>
      </c>
      <c r="C35" s="246">
        <v>54</v>
      </c>
      <c r="D35" s="60">
        <v>11.5</v>
      </c>
      <c r="E35" s="247">
        <v>16.7</v>
      </c>
      <c r="F35" s="57">
        <v>685</v>
      </c>
      <c r="G35" s="57">
        <v>2135</v>
      </c>
      <c r="H35" s="57">
        <v>104.5</v>
      </c>
      <c r="I35" s="57">
        <v>106</v>
      </c>
      <c r="J35" s="57" t="s">
        <v>399</v>
      </c>
      <c r="K35" s="60">
        <v>29.2</v>
      </c>
      <c r="L35" s="60">
        <v>30</v>
      </c>
      <c r="M35" s="60">
        <v>42</v>
      </c>
      <c r="N35" s="57" t="s">
        <v>142</v>
      </c>
      <c r="O35" s="57" t="s">
        <v>142</v>
      </c>
      <c r="P35" s="57" t="s">
        <v>142</v>
      </c>
      <c r="Q35" s="57" t="s">
        <v>367</v>
      </c>
      <c r="R35" s="57">
        <v>71.3</v>
      </c>
      <c r="S35" s="26" t="s">
        <v>352</v>
      </c>
      <c r="T35" s="20" t="s">
        <v>236</v>
      </c>
      <c r="U35" s="248" t="s">
        <v>389</v>
      </c>
      <c r="V35" s="18"/>
      <c r="CL35"/>
      <c r="CM35"/>
      <c r="CN35"/>
      <c r="CO35"/>
      <c r="CP35"/>
      <c r="CQ35"/>
      <c r="CR35"/>
      <c r="CS35"/>
      <c r="CT35"/>
      <c r="CU35"/>
      <c r="CV35"/>
      <c r="CW35"/>
      <c r="CX35"/>
    </row>
    <row r="36" spans="1:102" s="1" customFormat="1" ht="27" customHeight="1" x14ac:dyDescent="0.25">
      <c r="A36" s="25">
        <v>44308</v>
      </c>
      <c r="B36" s="58">
        <v>0.25</v>
      </c>
      <c r="C36" s="246">
        <v>54</v>
      </c>
      <c r="D36" s="60">
        <v>12.2</v>
      </c>
      <c r="E36" s="247">
        <v>16.5</v>
      </c>
      <c r="F36" s="57">
        <v>631</v>
      </c>
      <c r="G36" s="57">
        <v>2091</v>
      </c>
      <c r="H36" s="57">
        <v>103.4</v>
      </c>
      <c r="I36" s="57">
        <v>105</v>
      </c>
      <c r="J36" s="57" t="s">
        <v>404</v>
      </c>
      <c r="K36" s="60">
        <v>28.6</v>
      </c>
      <c r="L36" s="60">
        <v>30</v>
      </c>
      <c r="M36" s="60">
        <v>48</v>
      </c>
      <c r="N36" s="57" t="s">
        <v>142</v>
      </c>
      <c r="O36" s="57" t="s">
        <v>142</v>
      </c>
      <c r="P36" s="57" t="s">
        <v>142</v>
      </c>
      <c r="Q36" s="57" t="s">
        <v>367</v>
      </c>
      <c r="R36" s="57">
        <v>70.900000000000006</v>
      </c>
      <c r="S36" s="26" t="s">
        <v>352</v>
      </c>
      <c r="T36" s="20" t="s">
        <v>236</v>
      </c>
      <c r="U36" s="248" t="s">
        <v>389</v>
      </c>
      <c r="V36" s="18"/>
      <c r="CL36"/>
      <c r="CM36"/>
      <c r="CN36"/>
      <c r="CO36"/>
      <c r="CP36"/>
      <c r="CQ36"/>
      <c r="CR36"/>
      <c r="CS36"/>
      <c r="CT36"/>
      <c r="CU36"/>
      <c r="CV36"/>
      <c r="CW36"/>
      <c r="CX36"/>
    </row>
    <row r="37" spans="1:102" s="1" customFormat="1" ht="27" customHeight="1" x14ac:dyDescent="0.25">
      <c r="A37" s="25">
        <v>44309</v>
      </c>
      <c r="B37" s="58">
        <v>0.25</v>
      </c>
      <c r="C37" s="246">
        <v>55</v>
      </c>
      <c r="D37" s="60">
        <v>12.5</v>
      </c>
      <c r="E37" s="247">
        <v>16.899999999999999</v>
      </c>
      <c r="F37" s="57">
        <v>638.20000000000005</v>
      </c>
      <c r="G37" s="57">
        <v>2200</v>
      </c>
      <c r="H37" s="57">
        <v>104.2</v>
      </c>
      <c r="I37" s="57">
        <v>106</v>
      </c>
      <c r="J37" s="57" t="s">
        <v>407</v>
      </c>
      <c r="K37" s="60">
        <v>33.56</v>
      </c>
      <c r="L37" s="60">
        <v>35</v>
      </c>
      <c r="M37" s="60">
        <v>45.72</v>
      </c>
      <c r="N37" s="57" t="s">
        <v>142</v>
      </c>
      <c r="O37" s="57" t="s">
        <v>142</v>
      </c>
      <c r="P37" s="57" t="s">
        <v>142</v>
      </c>
      <c r="Q37" s="57" t="s">
        <v>367</v>
      </c>
      <c r="R37" s="57">
        <v>72.2</v>
      </c>
      <c r="S37" s="26" t="s">
        <v>352</v>
      </c>
      <c r="T37" s="20" t="s">
        <v>236</v>
      </c>
      <c r="U37" s="248" t="s">
        <v>410</v>
      </c>
      <c r="V37" s="18"/>
      <c r="CL37"/>
      <c r="CM37"/>
      <c r="CN37"/>
      <c r="CO37"/>
      <c r="CP37"/>
      <c r="CQ37"/>
      <c r="CR37"/>
      <c r="CS37"/>
      <c r="CT37"/>
      <c r="CU37"/>
      <c r="CV37"/>
      <c r="CW37"/>
      <c r="CX37"/>
    </row>
    <row r="38" spans="1:102" s="1" customFormat="1" ht="27" customHeight="1" x14ac:dyDescent="0.25">
      <c r="A38" s="25">
        <v>44310</v>
      </c>
      <c r="B38" s="58">
        <v>0.375</v>
      </c>
      <c r="C38" s="246">
        <v>55</v>
      </c>
      <c r="D38" s="60">
        <v>12.6</v>
      </c>
      <c r="E38" s="247">
        <v>16.8</v>
      </c>
      <c r="F38" s="57">
        <v>639.79999999999995</v>
      </c>
      <c r="G38" s="57">
        <v>2122</v>
      </c>
      <c r="H38" s="57">
        <v>103.3</v>
      </c>
      <c r="I38" s="57">
        <v>104.4</v>
      </c>
      <c r="J38" s="57" t="s">
        <v>413</v>
      </c>
      <c r="K38" s="60">
        <v>34.200000000000003</v>
      </c>
      <c r="L38" s="60">
        <v>35</v>
      </c>
      <c r="M38" s="60">
        <v>46.78</v>
      </c>
      <c r="N38" s="57" t="s">
        <v>142</v>
      </c>
      <c r="O38" s="57" t="s">
        <v>142</v>
      </c>
      <c r="P38" s="57" t="s">
        <v>142</v>
      </c>
      <c r="Q38" s="57" t="s">
        <v>367</v>
      </c>
      <c r="R38" s="57">
        <v>71.39</v>
      </c>
      <c r="S38" s="26" t="s">
        <v>352</v>
      </c>
      <c r="T38" s="20" t="s">
        <v>236</v>
      </c>
      <c r="U38" s="248" t="s">
        <v>419</v>
      </c>
      <c r="V38" s="18"/>
      <c r="CL38"/>
      <c r="CM38"/>
      <c r="CN38"/>
      <c r="CO38"/>
      <c r="CP38"/>
      <c r="CQ38"/>
      <c r="CR38"/>
      <c r="CS38"/>
      <c r="CT38"/>
      <c r="CU38"/>
      <c r="CV38"/>
      <c r="CW38"/>
      <c r="CX38"/>
    </row>
    <row r="39" spans="1:102" s="1" customFormat="1" ht="27" customHeight="1" x14ac:dyDescent="0.25">
      <c r="A39" s="25">
        <v>44311</v>
      </c>
      <c r="B39" s="58">
        <v>0.25</v>
      </c>
      <c r="C39" s="246">
        <v>55</v>
      </c>
      <c r="D39" s="60">
        <v>12.3</v>
      </c>
      <c r="E39" s="247">
        <v>16.3</v>
      </c>
      <c r="F39" s="57">
        <v>644</v>
      </c>
      <c r="G39" s="57">
        <v>2228.6999999999998</v>
      </c>
      <c r="H39" s="57">
        <v>105.2</v>
      </c>
      <c r="I39" s="57">
        <v>106.8</v>
      </c>
      <c r="J39" s="57" t="s">
        <v>420</v>
      </c>
      <c r="K39" s="60">
        <v>34.65</v>
      </c>
      <c r="L39" s="60">
        <v>35.5</v>
      </c>
      <c r="M39" s="60">
        <v>42.15</v>
      </c>
      <c r="N39" s="57" t="s">
        <v>142</v>
      </c>
      <c r="O39" s="57" t="s">
        <v>142</v>
      </c>
      <c r="P39" s="57" t="s">
        <v>142</v>
      </c>
      <c r="Q39" s="57" t="s">
        <v>367</v>
      </c>
      <c r="R39" s="57">
        <v>70.5</v>
      </c>
      <c r="S39" s="26" t="s">
        <v>352</v>
      </c>
      <c r="T39" s="20" t="s">
        <v>236</v>
      </c>
      <c r="U39" s="248" t="s">
        <v>425</v>
      </c>
      <c r="V39" s="18"/>
      <c r="CL39"/>
      <c r="CM39"/>
      <c r="CN39"/>
      <c r="CO39"/>
      <c r="CP39"/>
      <c r="CQ39"/>
      <c r="CR39"/>
      <c r="CS39"/>
      <c r="CT39"/>
      <c r="CU39"/>
      <c r="CV39"/>
      <c r="CW39"/>
      <c r="CX39"/>
    </row>
    <row r="40" spans="1:102" s="1" customFormat="1" ht="44.25" customHeight="1" x14ac:dyDescent="0.25">
      <c r="A40" s="25">
        <v>44312</v>
      </c>
      <c r="B40" s="58">
        <v>0.625</v>
      </c>
      <c r="C40" s="246">
        <v>54</v>
      </c>
      <c r="D40" s="60">
        <v>12.7</v>
      </c>
      <c r="E40" s="247">
        <v>17.100000000000001</v>
      </c>
      <c r="F40" s="57">
        <v>655</v>
      </c>
      <c r="G40" s="57">
        <v>2207</v>
      </c>
      <c r="H40" s="57">
        <v>104</v>
      </c>
      <c r="I40" s="57">
        <v>106.8</v>
      </c>
      <c r="J40" s="57" t="s">
        <v>427</v>
      </c>
      <c r="K40" s="60">
        <v>34.19</v>
      </c>
      <c r="L40" s="60">
        <v>36</v>
      </c>
      <c r="M40" s="60">
        <v>43.15</v>
      </c>
      <c r="N40" s="57" t="s">
        <v>142</v>
      </c>
      <c r="O40" s="57" t="s">
        <v>142</v>
      </c>
      <c r="P40" s="57" t="s">
        <v>142</v>
      </c>
      <c r="Q40" s="57" t="s">
        <v>367</v>
      </c>
      <c r="R40" s="57">
        <v>73.5</v>
      </c>
      <c r="S40" s="26" t="s">
        <v>352</v>
      </c>
      <c r="T40" s="20" t="s">
        <v>236</v>
      </c>
      <c r="U40" s="248" t="s">
        <v>428</v>
      </c>
      <c r="V40" s="18"/>
      <c r="CL40"/>
      <c r="CM40"/>
      <c r="CN40"/>
      <c r="CO40"/>
      <c r="CP40"/>
      <c r="CQ40"/>
      <c r="CR40"/>
      <c r="CS40"/>
      <c r="CT40"/>
      <c r="CU40"/>
      <c r="CV40"/>
      <c r="CW40"/>
      <c r="CX40"/>
    </row>
    <row r="41" spans="1:102" s="1" customFormat="1" ht="44.25" customHeight="1" x14ac:dyDescent="0.25">
      <c r="A41" s="25">
        <v>44313</v>
      </c>
      <c r="B41" s="58">
        <v>0.75</v>
      </c>
      <c r="C41" s="246">
        <v>54</v>
      </c>
      <c r="D41" s="60">
        <v>11.8</v>
      </c>
      <c r="E41" s="247">
        <v>16.5</v>
      </c>
      <c r="F41" s="57">
        <v>673.6</v>
      </c>
      <c r="G41" s="57">
        <v>2231</v>
      </c>
      <c r="H41" s="57">
        <v>106.1</v>
      </c>
      <c r="I41" s="57">
        <v>107.8</v>
      </c>
      <c r="J41" s="57" t="s">
        <v>442</v>
      </c>
      <c r="K41" s="60">
        <v>33.89</v>
      </c>
      <c r="L41" s="60">
        <v>35</v>
      </c>
      <c r="M41" s="60">
        <v>41.4</v>
      </c>
      <c r="N41" s="57" t="s">
        <v>142</v>
      </c>
      <c r="O41" s="57" t="s">
        <v>142</v>
      </c>
      <c r="P41" s="57" t="s">
        <v>142</v>
      </c>
      <c r="Q41" s="57" t="s">
        <v>367</v>
      </c>
      <c r="R41" s="57">
        <v>70.900000000000006</v>
      </c>
      <c r="S41" s="26" t="s">
        <v>352</v>
      </c>
      <c r="T41" s="20" t="s">
        <v>236</v>
      </c>
      <c r="U41" s="248" t="s">
        <v>440</v>
      </c>
      <c r="V41" s="18"/>
      <c r="CL41"/>
      <c r="CM41"/>
      <c r="CN41"/>
      <c r="CO41"/>
      <c r="CP41"/>
      <c r="CQ41"/>
      <c r="CR41"/>
      <c r="CS41"/>
      <c r="CT41"/>
      <c r="CU41"/>
      <c r="CV41"/>
      <c r="CW41"/>
      <c r="CX41"/>
    </row>
    <row r="42" spans="1:102" s="1" customFormat="1" ht="60" customHeight="1" x14ac:dyDescent="0.25">
      <c r="A42" s="25">
        <v>44314</v>
      </c>
      <c r="B42" s="58">
        <v>0.25</v>
      </c>
      <c r="C42" s="246">
        <v>54</v>
      </c>
      <c r="D42" s="60">
        <v>10.7</v>
      </c>
      <c r="E42" s="247">
        <v>15.7</v>
      </c>
      <c r="F42" s="57">
        <v>695</v>
      </c>
      <c r="G42" s="57">
        <v>2031</v>
      </c>
      <c r="H42" s="57">
        <v>106.1</v>
      </c>
      <c r="I42" s="57">
        <v>107.8</v>
      </c>
      <c r="J42" s="57" t="s">
        <v>443</v>
      </c>
      <c r="K42" s="60">
        <v>33.950000000000003</v>
      </c>
      <c r="L42" s="60">
        <v>34.5</v>
      </c>
      <c r="M42" s="60">
        <v>39.799999999999997</v>
      </c>
      <c r="N42" s="57" t="s">
        <v>142</v>
      </c>
      <c r="O42" s="57" t="s">
        <v>142</v>
      </c>
      <c r="P42" s="57" t="s">
        <v>142</v>
      </c>
      <c r="Q42" s="57" t="s">
        <v>367</v>
      </c>
      <c r="R42" s="57">
        <v>70.900000000000006</v>
      </c>
      <c r="S42" s="26" t="s">
        <v>352</v>
      </c>
      <c r="T42" s="20" t="s">
        <v>236</v>
      </c>
      <c r="U42" s="248" t="s">
        <v>450</v>
      </c>
      <c r="V42" s="18"/>
      <c r="CL42"/>
      <c r="CM42"/>
      <c r="CN42"/>
      <c r="CO42"/>
      <c r="CP42"/>
      <c r="CQ42"/>
      <c r="CR42"/>
      <c r="CS42"/>
      <c r="CT42"/>
      <c r="CU42"/>
      <c r="CV42"/>
      <c r="CW42"/>
      <c r="CX42"/>
    </row>
    <row r="43" spans="1:102" s="1" customFormat="1" ht="52.5" customHeight="1" x14ac:dyDescent="0.25">
      <c r="A43" s="25">
        <v>44315</v>
      </c>
      <c r="B43" s="58">
        <v>0.25</v>
      </c>
      <c r="C43" s="246">
        <v>55</v>
      </c>
      <c r="D43" s="60">
        <v>12.6</v>
      </c>
      <c r="E43" s="247">
        <v>17.2</v>
      </c>
      <c r="F43" s="57">
        <v>706</v>
      </c>
      <c r="G43" s="57">
        <v>2177</v>
      </c>
      <c r="H43" s="57">
        <v>102.8</v>
      </c>
      <c r="I43" s="57">
        <v>104</v>
      </c>
      <c r="J43" s="57" t="s">
        <v>460</v>
      </c>
      <c r="K43" s="60">
        <v>32.74</v>
      </c>
      <c r="L43" s="60">
        <v>46</v>
      </c>
      <c r="M43" s="60">
        <v>41</v>
      </c>
      <c r="N43" s="57"/>
      <c r="O43" s="57"/>
      <c r="P43" s="57"/>
      <c r="Q43" s="57" t="s">
        <v>305</v>
      </c>
      <c r="R43" s="57">
        <v>73</v>
      </c>
      <c r="S43" s="26" t="s">
        <v>451</v>
      </c>
      <c r="T43" s="20" t="s">
        <v>236</v>
      </c>
      <c r="U43" s="248" t="s">
        <v>452</v>
      </c>
      <c r="V43" s="18"/>
      <c r="CL43"/>
      <c r="CM43"/>
      <c r="CN43"/>
      <c r="CO43"/>
      <c r="CP43"/>
      <c r="CQ43"/>
      <c r="CR43"/>
      <c r="CS43"/>
      <c r="CT43"/>
      <c r="CU43"/>
      <c r="CV43"/>
      <c r="CW43"/>
      <c r="CX43"/>
    </row>
    <row r="44" spans="1:102" s="1" customFormat="1" ht="63.75" customHeight="1" x14ac:dyDescent="0.25">
      <c r="A44" s="25">
        <v>44316</v>
      </c>
      <c r="B44" s="58">
        <v>0.25</v>
      </c>
      <c r="C44" s="246">
        <v>55</v>
      </c>
      <c r="D44" s="60">
        <v>12.7</v>
      </c>
      <c r="E44" s="247">
        <v>17.2</v>
      </c>
      <c r="F44" s="57">
        <v>684.6</v>
      </c>
      <c r="G44" s="57">
        <v>2275</v>
      </c>
      <c r="H44" s="57">
        <v>104.4</v>
      </c>
      <c r="I44" s="57">
        <v>105.8</v>
      </c>
      <c r="J44" s="57" t="s">
        <v>461</v>
      </c>
      <c r="K44" s="60">
        <v>34.58</v>
      </c>
      <c r="L44" s="60">
        <v>39</v>
      </c>
      <c r="M44" s="60">
        <v>43.65</v>
      </c>
      <c r="N44" s="57"/>
      <c r="O44" s="57"/>
      <c r="P44" s="57"/>
      <c r="Q44" s="57" t="s">
        <v>305</v>
      </c>
      <c r="R44" s="57">
        <v>74.3</v>
      </c>
      <c r="S44" s="26" t="s">
        <v>451</v>
      </c>
      <c r="T44" s="20" t="s">
        <v>236</v>
      </c>
      <c r="U44" s="248" t="s">
        <v>464</v>
      </c>
      <c r="V44" s="18"/>
      <c r="CL44"/>
      <c r="CM44"/>
      <c r="CN44"/>
      <c r="CO44"/>
      <c r="CP44"/>
      <c r="CQ44"/>
      <c r="CR44"/>
      <c r="CS44"/>
      <c r="CT44"/>
      <c r="CU44"/>
      <c r="CV44"/>
      <c r="CW44"/>
      <c r="CX44"/>
    </row>
    <row r="45" spans="1:102" s="1" customFormat="1" ht="25.5" customHeight="1" x14ac:dyDescent="0.25">
      <c r="A45" s="25">
        <v>44317</v>
      </c>
      <c r="B45" s="58">
        <v>0.25</v>
      </c>
      <c r="C45" s="246">
        <v>55</v>
      </c>
      <c r="D45" s="60">
        <v>11.3</v>
      </c>
      <c r="E45" s="247">
        <v>16.2</v>
      </c>
      <c r="F45" s="57">
        <v>692.8</v>
      </c>
      <c r="G45" s="57">
        <v>2243.5</v>
      </c>
      <c r="H45" s="57">
        <v>106.2</v>
      </c>
      <c r="I45" s="57">
        <v>107.9</v>
      </c>
      <c r="J45" s="57" t="s">
        <v>468</v>
      </c>
      <c r="K45" s="60">
        <v>34.200000000000003</v>
      </c>
      <c r="L45" s="60">
        <v>39</v>
      </c>
      <c r="M45" s="60">
        <v>39.5</v>
      </c>
      <c r="N45" s="57"/>
      <c r="O45" s="57"/>
      <c r="P45" s="57"/>
      <c r="Q45" s="57" t="s">
        <v>305</v>
      </c>
      <c r="R45" s="57">
        <v>73.900000000000006</v>
      </c>
      <c r="S45" s="26" t="s">
        <v>451</v>
      </c>
      <c r="T45" s="20" t="s">
        <v>466</v>
      </c>
      <c r="U45" s="248"/>
      <c r="V45" s="18"/>
      <c r="CL45"/>
      <c r="CM45"/>
      <c r="CN45"/>
      <c r="CO45"/>
      <c r="CP45"/>
      <c r="CQ45"/>
      <c r="CR45"/>
      <c r="CS45"/>
      <c r="CT45"/>
      <c r="CU45"/>
      <c r="CV45"/>
      <c r="CW45"/>
      <c r="CX45"/>
    </row>
    <row r="46" spans="1:102" s="1" customFormat="1" ht="114.75" customHeight="1" x14ac:dyDescent="0.25">
      <c r="A46" s="25">
        <v>44318</v>
      </c>
      <c r="B46" s="58">
        <v>0.25</v>
      </c>
      <c r="C46" s="246">
        <v>55</v>
      </c>
      <c r="D46" s="60">
        <v>7</v>
      </c>
      <c r="E46" s="247">
        <v>13.7</v>
      </c>
      <c r="F46" s="57">
        <v>765</v>
      </c>
      <c r="G46" s="57">
        <v>2265</v>
      </c>
      <c r="H46" s="57">
        <v>128</v>
      </c>
      <c r="I46" s="57">
        <v>129</v>
      </c>
      <c r="J46" s="57" t="s">
        <v>477</v>
      </c>
      <c r="K46" s="60">
        <v>33.200000000000003</v>
      </c>
      <c r="L46" s="60">
        <v>36</v>
      </c>
      <c r="M46" s="60">
        <v>33.68</v>
      </c>
      <c r="N46" s="57"/>
      <c r="O46" s="57"/>
      <c r="P46" s="57"/>
      <c r="Q46" s="57" t="s">
        <v>305</v>
      </c>
      <c r="R46" s="57">
        <v>59</v>
      </c>
      <c r="S46" s="26" t="s">
        <v>451</v>
      </c>
      <c r="T46" s="20" t="s">
        <v>466</v>
      </c>
      <c r="U46" s="248" t="s">
        <v>488</v>
      </c>
      <c r="V46" s="18"/>
      <c r="CL46"/>
      <c r="CM46"/>
      <c r="CN46"/>
      <c r="CO46"/>
      <c r="CP46"/>
      <c r="CQ46"/>
      <c r="CR46"/>
      <c r="CS46"/>
      <c r="CT46"/>
      <c r="CU46"/>
      <c r="CV46"/>
      <c r="CW46"/>
      <c r="CX46"/>
    </row>
    <row r="47" spans="1:102" s="1" customFormat="1" ht="25.5" customHeight="1" x14ac:dyDescent="0.25">
      <c r="A47" s="25">
        <v>44319</v>
      </c>
      <c r="B47" s="58">
        <v>0.25</v>
      </c>
      <c r="C47" s="246">
        <v>50</v>
      </c>
      <c r="D47" s="60">
        <v>7.8</v>
      </c>
      <c r="E47" s="247">
        <v>14.1</v>
      </c>
      <c r="F47" s="57">
        <v>788</v>
      </c>
      <c r="G47" s="57">
        <v>2018</v>
      </c>
      <c r="H47" s="57">
        <v>118</v>
      </c>
      <c r="I47" s="57">
        <v>120</v>
      </c>
      <c r="J47" s="57" t="s">
        <v>479</v>
      </c>
      <c r="K47" s="60">
        <v>33.4</v>
      </c>
      <c r="L47" s="60">
        <v>32.799999999999997</v>
      </c>
      <c r="M47" s="60">
        <v>34.200000000000003</v>
      </c>
      <c r="N47" s="57"/>
      <c r="O47" s="57"/>
      <c r="P47" s="57"/>
      <c r="Q47" s="57" t="s">
        <v>367</v>
      </c>
      <c r="R47" s="57">
        <v>60</v>
      </c>
      <c r="S47" s="26" t="s">
        <v>451</v>
      </c>
      <c r="T47" s="20" t="s">
        <v>466</v>
      </c>
      <c r="U47" s="248" t="s">
        <v>481</v>
      </c>
      <c r="V47" s="18"/>
      <c r="CL47"/>
      <c r="CM47"/>
      <c r="CN47"/>
      <c r="CO47"/>
      <c r="CP47"/>
      <c r="CQ47"/>
      <c r="CR47"/>
      <c r="CS47"/>
      <c r="CT47"/>
      <c r="CU47"/>
      <c r="CV47"/>
      <c r="CW47"/>
      <c r="CX47"/>
    </row>
    <row r="48" spans="1:102" s="1" customFormat="1" ht="25.5" customHeight="1" x14ac:dyDescent="0.25">
      <c r="A48" s="25">
        <v>44320</v>
      </c>
      <c r="B48" s="58">
        <v>0.25</v>
      </c>
      <c r="C48" s="246">
        <v>56</v>
      </c>
      <c r="D48" s="60">
        <v>13.4</v>
      </c>
      <c r="E48" s="247">
        <v>17.7</v>
      </c>
      <c r="F48" s="57">
        <v>664.6</v>
      </c>
      <c r="G48" s="57">
        <v>2289.1999999999998</v>
      </c>
      <c r="H48" s="57">
        <v>103.6</v>
      </c>
      <c r="I48" s="57">
        <v>105</v>
      </c>
      <c r="J48" s="57" t="s">
        <v>480</v>
      </c>
      <c r="K48" s="60">
        <v>34.21</v>
      </c>
      <c r="L48" s="60">
        <v>40</v>
      </c>
      <c r="M48" s="60">
        <v>47.2</v>
      </c>
      <c r="N48" s="57"/>
      <c r="O48" s="57"/>
      <c r="P48" s="57"/>
      <c r="Q48" s="57" t="s">
        <v>188</v>
      </c>
      <c r="R48" s="57">
        <v>76</v>
      </c>
      <c r="S48" s="26" t="s">
        <v>451</v>
      </c>
      <c r="T48" s="20" t="s">
        <v>466</v>
      </c>
      <c r="U48" s="248" t="s">
        <v>482</v>
      </c>
      <c r="V48" s="18"/>
      <c r="CL48"/>
      <c r="CM48"/>
      <c r="CN48"/>
      <c r="CO48"/>
      <c r="CP48"/>
      <c r="CQ48"/>
      <c r="CR48"/>
      <c r="CS48"/>
      <c r="CT48"/>
      <c r="CU48"/>
      <c r="CV48"/>
      <c r="CW48"/>
      <c r="CX48"/>
    </row>
    <row r="49" spans="1:102" s="1" customFormat="1" ht="25.5" customHeight="1" x14ac:dyDescent="0.25">
      <c r="A49" s="25">
        <v>44321</v>
      </c>
      <c r="B49" s="58">
        <v>0.25</v>
      </c>
      <c r="C49" s="246">
        <v>56</v>
      </c>
      <c r="D49" s="60">
        <v>13.2</v>
      </c>
      <c r="E49" s="247">
        <v>17.8</v>
      </c>
      <c r="F49" s="57">
        <v>645</v>
      </c>
      <c r="G49" s="57">
        <v>2268</v>
      </c>
      <c r="H49" s="57">
        <v>104.2</v>
      </c>
      <c r="I49" s="57">
        <v>105.2</v>
      </c>
      <c r="J49" s="57" t="s">
        <v>489</v>
      </c>
      <c r="K49" s="60">
        <v>32.840000000000003</v>
      </c>
      <c r="L49" s="60">
        <v>40</v>
      </c>
      <c r="M49" s="60">
        <v>45.91</v>
      </c>
      <c r="N49" s="57"/>
      <c r="O49" s="57"/>
      <c r="P49" s="57"/>
      <c r="Q49" s="57" t="s">
        <v>490</v>
      </c>
      <c r="R49" s="57">
        <v>75.2</v>
      </c>
      <c r="S49" s="26" t="s">
        <v>451</v>
      </c>
      <c r="T49" s="20" t="s">
        <v>466</v>
      </c>
      <c r="U49" s="248" t="s">
        <v>491</v>
      </c>
      <c r="V49" s="18"/>
      <c r="CL49"/>
      <c r="CM49"/>
      <c r="CN49"/>
      <c r="CO49"/>
      <c r="CP49"/>
      <c r="CQ49"/>
      <c r="CR49"/>
      <c r="CS49"/>
      <c r="CT49"/>
      <c r="CU49"/>
      <c r="CV49"/>
      <c r="CW49"/>
      <c r="CX49"/>
    </row>
    <row r="50" spans="1:102" s="1" customFormat="1" ht="25.5" customHeight="1" x14ac:dyDescent="0.25">
      <c r="A50" s="25">
        <v>44322</v>
      </c>
      <c r="B50" s="58">
        <v>0.25</v>
      </c>
      <c r="C50" s="246">
        <v>56</v>
      </c>
      <c r="D50" s="60">
        <v>7.4</v>
      </c>
      <c r="E50" s="247">
        <v>13.9</v>
      </c>
      <c r="F50" s="57">
        <v>675</v>
      </c>
      <c r="G50" s="57">
        <v>2209</v>
      </c>
      <c r="H50" s="57">
        <v>107</v>
      </c>
      <c r="I50" s="57">
        <v>109.5</v>
      </c>
      <c r="J50" s="57" t="s">
        <v>494</v>
      </c>
      <c r="K50" s="60">
        <v>34.18</v>
      </c>
      <c r="L50" s="60">
        <v>39</v>
      </c>
      <c r="M50" s="60">
        <v>40.78</v>
      </c>
      <c r="N50" s="57"/>
      <c r="O50" s="57"/>
      <c r="P50" s="57"/>
      <c r="Q50" s="57" t="s">
        <v>495</v>
      </c>
      <c r="R50" s="57">
        <v>58.9</v>
      </c>
      <c r="S50" s="26" t="s">
        <v>451</v>
      </c>
      <c r="T50" s="20" t="s">
        <v>466</v>
      </c>
      <c r="U50" s="248" t="s">
        <v>496</v>
      </c>
      <c r="V50" s="18"/>
      <c r="CL50"/>
      <c r="CM50"/>
      <c r="CN50"/>
      <c r="CO50"/>
      <c r="CP50"/>
      <c r="CQ50"/>
      <c r="CR50"/>
      <c r="CS50"/>
      <c r="CT50"/>
      <c r="CU50"/>
      <c r="CV50"/>
      <c r="CW50"/>
      <c r="CX50"/>
    </row>
    <row r="51" spans="1:102" s="1" customFormat="1" ht="37.5" customHeight="1" x14ac:dyDescent="0.25">
      <c r="A51" s="25">
        <v>44323</v>
      </c>
      <c r="B51" s="58">
        <v>0.25</v>
      </c>
      <c r="C51" s="246">
        <v>57</v>
      </c>
      <c r="D51" s="60">
        <v>13.7</v>
      </c>
      <c r="E51" s="247">
        <v>18</v>
      </c>
      <c r="F51" s="57">
        <v>655.5</v>
      </c>
      <c r="G51" s="57">
        <v>2320.3000000000002</v>
      </c>
      <c r="H51" s="57">
        <v>104</v>
      </c>
      <c r="I51" s="57">
        <v>105.3</v>
      </c>
      <c r="J51" s="57" t="s">
        <v>502</v>
      </c>
      <c r="K51" s="60">
        <v>34.130000000000003</v>
      </c>
      <c r="L51" s="60">
        <v>40</v>
      </c>
      <c r="M51" s="60">
        <v>46.25</v>
      </c>
      <c r="N51" s="57"/>
      <c r="O51" s="57"/>
      <c r="P51" s="57"/>
      <c r="Q51" s="57" t="s">
        <v>503</v>
      </c>
      <c r="R51" s="57">
        <v>76.400000000000006</v>
      </c>
      <c r="S51" s="26" t="s">
        <v>451</v>
      </c>
      <c r="T51" s="20" t="s">
        <v>466</v>
      </c>
      <c r="U51" s="248" t="s">
        <v>504</v>
      </c>
      <c r="V51" s="18"/>
      <c r="CL51"/>
      <c r="CM51"/>
      <c r="CN51"/>
      <c r="CO51"/>
      <c r="CP51"/>
      <c r="CQ51"/>
      <c r="CR51"/>
      <c r="CS51"/>
      <c r="CT51"/>
      <c r="CU51"/>
      <c r="CV51"/>
      <c r="CW51"/>
      <c r="CX51"/>
    </row>
    <row r="52" spans="1:102" s="1" customFormat="1" ht="37.5" customHeight="1" x14ac:dyDescent="0.25">
      <c r="A52" s="25">
        <v>44324</v>
      </c>
      <c r="B52" s="58">
        <v>0.25</v>
      </c>
      <c r="C52" s="246">
        <v>57</v>
      </c>
      <c r="D52" s="60">
        <v>12.8</v>
      </c>
      <c r="E52" s="247">
        <v>17.600000000000001</v>
      </c>
      <c r="F52" s="57">
        <v>619</v>
      </c>
      <c r="G52" s="57">
        <v>2261</v>
      </c>
      <c r="H52" s="57">
        <v>104.1</v>
      </c>
      <c r="I52" s="57">
        <v>105.6</v>
      </c>
      <c r="J52" s="57" t="s">
        <v>509</v>
      </c>
      <c r="K52" s="60">
        <v>34.130000000000003</v>
      </c>
      <c r="L52" s="60">
        <v>40</v>
      </c>
      <c r="M52" s="60">
        <v>47.32</v>
      </c>
      <c r="N52" s="57"/>
      <c r="O52" s="57"/>
      <c r="P52" s="57"/>
      <c r="Q52" s="57" t="s">
        <v>510</v>
      </c>
      <c r="R52" s="57">
        <v>74.3</v>
      </c>
      <c r="S52" s="26" t="s">
        <v>451</v>
      </c>
      <c r="T52" s="20" t="s">
        <v>466</v>
      </c>
      <c r="U52" s="248" t="s">
        <v>508</v>
      </c>
      <c r="V52" s="18"/>
      <c r="CL52"/>
      <c r="CM52"/>
      <c r="CN52"/>
      <c r="CO52"/>
      <c r="CP52"/>
      <c r="CQ52"/>
      <c r="CR52"/>
      <c r="CS52"/>
      <c r="CT52"/>
      <c r="CU52"/>
      <c r="CV52"/>
      <c r="CW52"/>
      <c r="CX52"/>
    </row>
    <row r="53" spans="1:102" s="1" customFormat="1" ht="37.5" customHeight="1" x14ac:dyDescent="0.25">
      <c r="A53" s="25">
        <v>44325</v>
      </c>
      <c r="B53" s="58">
        <v>0.25</v>
      </c>
      <c r="C53" s="246">
        <v>57</v>
      </c>
      <c r="D53" s="60">
        <v>7</v>
      </c>
      <c r="E53" s="247">
        <v>13.7</v>
      </c>
      <c r="F53" s="57">
        <v>689</v>
      </c>
      <c r="G53" s="57">
        <v>2231</v>
      </c>
      <c r="H53" s="57">
        <v>120.2</v>
      </c>
      <c r="I53" s="57">
        <v>122.6</v>
      </c>
      <c r="J53" s="57" t="s">
        <v>513</v>
      </c>
      <c r="K53" s="60">
        <v>35.299999999999997</v>
      </c>
      <c r="L53" s="60">
        <v>40</v>
      </c>
      <c r="M53" s="60">
        <v>37.340000000000003</v>
      </c>
      <c r="N53" s="57"/>
      <c r="O53" s="57"/>
      <c r="P53" s="57"/>
      <c r="Q53" s="57" t="s">
        <v>147</v>
      </c>
      <c r="R53" s="57">
        <v>58.5</v>
      </c>
      <c r="S53" s="26" t="s">
        <v>451</v>
      </c>
      <c r="T53" s="20" t="s">
        <v>466</v>
      </c>
      <c r="U53" s="248" t="s">
        <v>508</v>
      </c>
      <c r="V53" s="18"/>
      <c r="CL53"/>
      <c r="CM53"/>
      <c r="CN53"/>
      <c r="CO53"/>
      <c r="CP53"/>
      <c r="CQ53"/>
      <c r="CR53"/>
      <c r="CS53"/>
      <c r="CT53"/>
      <c r="CU53"/>
      <c r="CV53"/>
      <c r="CW53"/>
      <c r="CX53"/>
    </row>
    <row r="54" spans="1:102" s="1" customFormat="1" ht="37.5" customHeight="1" x14ac:dyDescent="0.25">
      <c r="A54" s="25">
        <v>44326</v>
      </c>
      <c r="B54" s="58">
        <v>0.25</v>
      </c>
      <c r="C54" s="246">
        <v>0</v>
      </c>
      <c r="D54" s="60">
        <v>0</v>
      </c>
      <c r="E54" s="247">
        <v>0</v>
      </c>
      <c r="F54" s="57">
        <v>754</v>
      </c>
      <c r="G54" s="57">
        <v>763</v>
      </c>
      <c r="H54" s="57">
        <v>104</v>
      </c>
      <c r="I54" s="57">
        <v>104</v>
      </c>
      <c r="J54" s="57">
        <v>0</v>
      </c>
      <c r="K54" s="60">
        <v>33.6</v>
      </c>
      <c r="L54" s="60">
        <v>0</v>
      </c>
      <c r="M54" s="60">
        <v>0</v>
      </c>
      <c r="N54" s="57"/>
      <c r="O54" s="57"/>
      <c r="P54" s="57"/>
      <c r="Q54" s="57">
        <v>0</v>
      </c>
      <c r="R54" s="57">
        <v>0</v>
      </c>
      <c r="S54" s="26" t="s">
        <v>451</v>
      </c>
      <c r="T54" s="20" t="s">
        <v>466</v>
      </c>
      <c r="U54" s="248" t="s">
        <v>516</v>
      </c>
      <c r="V54" s="18"/>
      <c r="CL54"/>
      <c r="CM54"/>
      <c r="CN54"/>
      <c r="CO54"/>
      <c r="CP54"/>
      <c r="CQ54"/>
      <c r="CR54"/>
      <c r="CS54"/>
      <c r="CT54"/>
      <c r="CU54"/>
      <c r="CV54"/>
      <c r="CW54"/>
      <c r="CX54"/>
    </row>
    <row r="55" spans="1:102" s="1" customFormat="1" ht="37.5" customHeight="1" x14ac:dyDescent="0.25">
      <c r="A55" s="25">
        <v>44327</v>
      </c>
      <c r="B55" s="58">
        <v>0.25</v>
      </c>
      <c r="C55" s="246">
        <v>0</v>
      </c>
      <c r="D55" s="60">
        <v>0</v>
      </c>
      <c r="E55" s="247">
        <v>0</v>
      </c>
      <c r="F55" s="57">
        <v>785</v>
      </c>
      <c r="G55" s="57">
        <v>794</v>
      </c>
      <c r="H55" s="57">
        <v>102</v>
      </c>
      <c r="I55" s="57">
        <v>102</v>
      </c>
      <c r="J55" s="57">
        <v>0</v>
      </c>
      <c r="K55" s="60">
        <v>36.35</v>
      </c>
      <c r="L55" s="60">
        <v>0</v>
      </c>
      <c r="M55" s="60">
        <v>0</v>
      </c>
      <c r="N55" s="57"/>
      <c r="O55" s="57"/>
      <c r="P55" s="57"/>
      <c r="Q55" s="57">
        <v>0</v>
      </c>
      <c r="R55" s="57">
        <v>0</v>
      </c>
      <c r="S55" s="26" t="s">
        <v>451</v>
      </c>
      <c r="T55" s="20" t="s">
        <v>466</v>
      </c>
      <c r="U55" s="248" t="s">
        <v>516</v>
      </c>
      <c r="V55" s="18"/>
      <c r="CL55"/>
      <c r="CM55"/>
      <c r="CN55"/>
      <c r="CO55"/>
      <c r="CP55"/>
      <c r="CQ55"/>
      <c r="CR55"/>
      <c r="CS55"/>
      <c r="CT55"/>
      <c r="CU55"/>
      <c r="CV55"/>
      <c r="CW55"/>
      <c r="CX55"/>
    </row>
    <row r="56" spans="1:102" s="1" customFormat="1" ht="37.5" customHeight="1" x14ac:dyDescent="0.25">
      <c r="A56" s="25">
        <v>44328</v>
      </c>
      <c r="B56" s="58">
        <v>0.25</v>
      </c>
      <c r="C56" s="246">
        <v>0</v>
      </c>
      <c r="D56" s="60">
        <v>0</v>
      </c>
      <c r="E56" s="247">
        <v>0</v>
      </c>
      <c r="F56" s="57">
        <v>806</v>
      </c>
      <c r="G56" s="57">
        <v>815</v>
      </c>
      <c r="H56" s="57">
        <v>102</v>
      </c>
      <c r="I56" s="57">
        <v>102</v>
      </c>
      <c r="J56" s="57">
        <v>0</v>
      </c>
      <c r="K56" s="60">
        <v>35.5</v>
      </c>
      <c r="L56" s="60">
        <v>0</v>
      </c>
      <c r="M56" s="60">
        <v>0</v>
      </c>
      <c r="N56" s="57"/>
      <c r="O56" s="57"/>
      <c r="P56" s="57"/>
      <c r="Q56" s="57">
        <v>0</v>
      </c>
      <c r="R56" s="57">
        <v>0</v>
      </c>
      <c r="S56" s="26" t="s">
        <v>451</v>
      </c>
      <c r="T56" s="20" t="s">
        <v>466</v>
      </c>
      <c r="U56" s="248" t="s">
        <v>516</v>
      </c>
      <c r="V56" s="18"/>
      <c r="CL56"/>
      <c r="CM56"/>
      <c r="CN56"/>
      <c r="CO56"/>
      <c r="CP56"/>
      <c r="CQ56"/>
      <c r="CR56"/>
      <c r="CS56"/>
      <c r="CT56"/>
      <c r="CU56"/>
      <c r="CV56"/>
      <c r="CW56"/>
      <c r="CX56"/>
    </row>
    <row r="57" spans="1:102" s="1" customFormat="1" ht="37.5" customHeight="1" x14ac:dyDescent="0.25">
      <c r="A57" s="25">
        <v>44329</v>
      </c>
      <c r="B57" s="58">
        <v>0.25</v>
      </c>
      <c r="C57" s="246">
        <v>0</v>
      </c>
      <c r="D57" s="60">
        <v>0</v>
      </c>
      <c r="E57" s="247">
        <v>0</v>
      </c>
      <c r="F57" s="57">
        <v>823</v>
      </c>
      <c r="G57" s="57">
        <v>832</v>
      </c>
      <c r="H57" s="57">
        <v>101</v>
      </c>
      <c r="I57" s="57">
        <v>102</v>
      </c>
      <c r="J57" s="57">
        <v>0</v>
      </c>
      <c r="K57" s="60">
        <v>35.6</v>
      </c>
      <c r="L57" s="60">
        <v>0</v>
      </c>
      <c r="M57" s="60">
        <v>0</v>
      </c>
      <c r="N57" s="57"/>
      <c r="O57" s="57"/>
      <c r="P57" s="57"/>
      <c r="Q57" s="57">
        <v>0</v>
      </c>
      <c r="R57" s="57">
        <v>0</v>
      </c>
      <c r="S57" s="26" t="s">
        <v>451</v>
      </c>
      <c r="T57" s="20" t="s">
        <v>466</v>
      </c>
      <c r="U57" s="248" t="s">
        <v>516</v>
      </c>
      <c r="V57" s="18"/>
      <c r="CL57"/>
      <c r="CM57"/>
      <c r="CN57"/>
      <c r="CO57"/>
      <c r="CP57"/>
      <c r="CQ57"/>
      <c r="CR57"/>
      <c r="CS57"/>
      <c r="CT57"/>
      <c r="CU57"/>
      <c r="CV57"/>
      <c r="CW57"/>
      <c r="CX57"/>
    </row>
    <row r="58" spans="1:102" s="1" customFormat="1" ht="37.5" customHeight="1" x14ac:dyDescent="0.25">
      <c r="A58" s="25">
        <v>44330</v>
      </c>
      <c r="B58" s="58">
        <v>0.25</v>
      </c>
      <c r="C58" s="246">
        <v>0</v>
      </c>
      <c r="D58" s="60">
        <v>0</v>
      </c>
      <c r="E58" s="247">
        <v>0</v>
      </c>
      <c r="F58" s="57">
        <v>846</v>
      </c>
      <c r="G58" s="57">
        <v>854</v>
      </c>
      <c r="H58" s="57">
        <v>101</v>
      </c>
      <c r="I58" s="57">
        <v>101</v>
      </c>
      <c r="J58" s="57">
        <v>0</v>
      </c>
      <c r="K58" s="60">
        <v>34.5</v>
      </c>
      <c r="L58" s="60">
        <v>0</v>
      </c>
      <c r="M58" s="60">
        <v>0</v>
      </c>
      <c r="N58" s="57"/>
      <c r="O58" s="57"/>
      <c r="P58" s="57"/>
      <c r="Q58" s="57">
        <v>0</v>
      </c>
      <c r="R58" s="57">
        <v>0</v>
      </c>
      <c r="S58" s="26" t="s">
        <v>451</v>
      </c>
      <c r="T58" s="20" t="s">
        <v>466</v>
      </c>
      <c r="U58" s="248" t="s">
        <v>516</v>
      </c>
      <c r="V58" s="18"/>
      <c r="CL58"/>
      <c r="CM58"/>
      <c r="CN58"/>
      <c r="CO58"/>
      <c r="CP58"/>
      <c r="CQ58"/>
      <c r="CR58"/>
      <c r="CS58"/>
      <c r="CT58"/>
      <c r="CU58"/>
      <c r="CV58"/>
      <c r="CW58"/>
      <c r="CX58"/>
    </row>
    <row r="59" spans="1:102" s="1" customFormat="1" ht="37.5" customHeight="1" x14ac:dyDescent="0.25">
      <c r="A59" s="25">
        <v>44331</v>
      </c>
      <c r="B59" s="58">
        <v>0.25</v>
      </c>
      <c r="C59" s="246">
        <v>0</v>
      </c>
      <c r="D59" s="60">
        <v>0</v>
      </c>
      <c r="E59" s="247">
        <v>0</v>
      </c>
      <c r="F59" s="57">
        <v>866</v>
      </c>
      <c r="G59" s="57">
        <v>874</v>
      </c>
      <c r="H59" s="57">
        <v>101</v>
      </c>
      <c r="I59" s="57">
        <v>101</v>
      </c>
      <c r="J59" s="57">
        <v>0</v>
      </c>
      <c r="K59" s="60">
        <v>33.799999999999997</v>
      </c>
      <c r="L59" s="60">
        <v>0</v>
      </c>
      <c r="M59" s="60">
        <v>0</v>
      </c>
      <c r="N59" s="57"/>
      <c r="O59" s="57"/>
      <c r="P59" s="57"/>
      <c r="Q59" s="57">
        <v>0</v>
      </c>
      <c r="R59" s="57">
        <v>0</v>
      </c>
      <c r="S59" s="26" t="s">
        <v>451</v>
      </c>
      <c r="T59" s="20" t="s">
        <v>466</v>
      </c>
      <c r="U59" s="248" t="s">
        <v>516</v>
      </c>
      <c r="V59" s="18"/>
      <c r="CL59"/>
      <c r="CM59"/>
      <c r="CN59"/>
      <c r="CO59"/>
      <c r="CP59"/>
      <c r="CQ59"/>
      <c r="CR59"/>
      <c r="CS59"/>
      <c r="CT59"/>
      <c r="CU59"/>
      <c r="CV59"/>
      <c r="CW59"/>
      <c r="CX59"/>
    </row>
    <row r="60" spans="1:102" s="1" customFormat="1" ht="37.5" customHeight="1" x14ac:dyDescent="0.25">
      <c r="A60" s="25">
        <v>44332</v>
      </c>
      <c r="B60" s="58">
        <v>0.25</v>
      </c>
      <c r="C60" s="246">
        <v>0</v>
      </c>
      <c r="D60" s="60">
        <v>0</v>
      </c>
      <c r="E60" s="247">
        <v>0</v>
      </c>
      <c r="F60" s="57">
        <v>885</v>
      </c>
      <c r="G60" s="57">
        <v>894</v>
      </c>
      <c r="H60" s="57">
        <v>101</v>
      </c>
      <c r="I60" s="57">
        <v>101</v>
      </c>
      <c r="J60" s="57">
        <v>0</v>
      </c>
      <c r="K60" s="60">
        <v>33.4</v>
      </c>
      <c r="L60" s="60">
        <v>0</v>
      </c>
      <c r="M60" s="60">
        <v>0</v>
      </c>
      <c r="N60" s="57"/>
      <c r="O60" s="57"/>
      <c r="P60" s="57"/>
      <c r="Q60" s="57">
        <v>0</v>
      </c>
      <c r="R60" s="57">
        <v>0</v>
      </c>
      <c r="S60" s="26" t="s">
        <v>451</v>
      </c>
      <c r="T60" s="20" t="s">
        <v>466</v>
      </c>
      <c r="U60" s="248" t="s">
        <v>516</v>
      </c>
      <c r="V60" s="18"/>
      <c r="CL60"/>
      <c r="CM60"/>
      <c r="CN60"/>
      <c r="CO60"/>
      <c r="CP60"/>
      <c r="CQ60"/>
      <c r="CR60"/>
      <c r="CS60"/>
      <c r="CT60"/>
      <c r="CU60"/>
      <c r="CV60"/>
      <c r="CW60"/>
      <c r="CX60"/>
    </row>
    <row r="61" spans="1:102" s="1" customFormat="1" ht="37.5" customHeight="1" x14ac:dyDescent="0.25">
      <c r="A61" s="25">
        <v>44333</v>
      </c>
      <c r="B61" s="58">
        <v>0.25</v>
      </c>
      <c r="C61" s="246">
        <v>0</v>
      </c>
      <c r="D61" s="60">
        <v>0</v>
      </c>
      <c r="E61" s="247">
        <v>0</v>
      </c>
      <c r="F61" s="57">
        <v>895</v>
      </c>
      <c r="G61" s="57">
        <v>904</v>
      </c>
      <c r="H61" s="57">
        <v>101</v>
      </c>
      <c r="I61" s="57">
        <v>101</v>
      </c>
      <c r="J61" s="57">
        <v>0</v>
      </c>
      <c r="K61" s="60">
        <v>35.4</v>
      </c>
      <c r="L61" s="60">
        <v>0</v>
      </c>
      <c r="M61" s="60">
        <v>0</v>
      </c>
      <c r="N61" s="57"/>
      <c r="O61" s="57"/>
      <c r="P61" s="57"/>
      <c r="Q61" s="57">
        <v>0</v>
      </c>
      <c r="R61" s="57">
        <v>0</v>
      </c>
      <c r="S61" s="26" t="s">
        <v>451</v>
      </c>
      <c r="T61" s="20" t="s">
        <v>466</v>
      </c>
      <c r="U61" s="248" t="s">
        <v>516</v>
      </c>
      <c r="V61" s="18"/>
      <c r="CL61"/>
      <c r="CM61"/>
      <c r="CN61"/>
      <c r="CO61"/>
      <c r="CP61"/>
      <c r="CQ61"/>
      <c r="CR61"/>
      <c r="CS61"/>
      <c r="CT61"/>
      <c r="CU61"/>
      <c r="CV61"/>
      <c r="CW61"/>
      <c r="CX61"/>
    </row>
    <row r="62" spans="1:102" s="1" customFormat="1" ht="37.5" customHeight="1" x14ac:dyDescent="0.25">
      <c r="A62" s="25">
        <v>44334</v>
      </c>
      <c r="B62" s="58">
        <v>0.25</v>
      </c>
      <c r="C62" s="246">
        <v>0</v>
      </c>
      <c r="D62" s="60">
        <v>0</v>
      </c>
      <c r="E62" s="247">
        <v>0</v>
      </c>
      <c r="F62" s="57">
        <v>885</v>
      </c>
      <c r="G62" s="57">
        <v>894</v>
      </c>
      <c r="H62" s="57">
        <v>101</v>
      </c>
      <c r="I62" s="57">
        <v>101</v>
      </c>
      <c r="J62" s="57">
        <v>0</v>
      </c>
      <c r="K62" s="60">
        <v>33.4</v>
      </c>
      <c r="L62" s="60">
        <v>0</v>
      </c>
      <c r="M62" s="60">
        <v>0</v>
      </c>
      <c r="N62" s="57"/>
      <c r="O62" s="57"/>
      <c r="P62" s="57"/>
      <c r="Q62" s="57">
        <v>0</v>
      </c>
      <c r="R62" s="57">
        <v>0</v>
      </c>
      <c r="S62" s="26" t="s">
        <v>451</v>
      </c>
      <c r="T62" s="20" t="s">
        <v>466</v>
      </c>
      <c r="U62" s="248" t="s">
        <v>516</v>
      </c>
      <c r="V62" s="18"/>
      <c r="CL62"/>
      <c r="CM62"/>
      <c r="CN62"/>
      <c r="CO62"/>
      <c r="CP62"/>
      <c r="CQ62"/>
      <c r="CR62"/>
      <c r="CS62"/>
      <c r="CT62"/>
      <c r="CU62"/>
      <c r="CV62"/>
      <c r="CW62"/>
      <c r="CX62"/>
    </row>
    <row r="63" spans="1:102" s="1" customFormat="1" ht="37.5" customHeight="1" x14ac:dyDescent="0.25">
      <c r="A63" s="25">
        <v>44335</v>
      </c>
      <c r="B63" s="58">
        <v>0.25</v>
      </c>
      <c r="C63" s="246">
        <v>0</v>
      </c>
      <c r="D63" s="60">
        <v>0</v>
      </c>
      <c r="E63" s="247">
        <v>0</v>
      </c>
      <c r="F63" s="57">
        <v>895</v>
      </c>
      <c r="G63" s="57">
        <v>904</v>
      </c>
      <c r="H63" s="57">
        <v>101</v>
      </c>
      <c r="I63" s="57">
        <v>101</v>
      </c>
      <c r="J63" s="57">
        <v>0</v>
      </c>
      <c r="K63" s="60">
        <v>35.4</v>
      </c>
      <c r="L63" s="60">
        <v>0</v>
      </c>
      <c r="M63" s="60">
        <v>0</v>
      </c>
      <c r="N63" s="57"/>
      <c r="O63" s="57"/>
      <c r="P63" s="57"/>
      <c r="Q63" s="57">
        <v>0</v>
      </c>
      <c r="R63" s="57">
        <v>0</v>
      </c>
      <c r="S63" s="26" t="s">
        <v>451</v>
      </c>
      <c r="T63" s="20" t="s">
        <v>466</v>
      </c>
      <c r="U63" s="248" t="s">
        <v>516</v>
      </c>
      <c r="V63" s="18"/>
      <c r="CL63"/>
      <c r="CM63"/>
      <c r="CN63"/>
      <c r="CO63"/>
      <c r="CP63"/>
      <c r="CQ63"/>
      <c r="CR63"/>
      <c r="CS63"/>
      <c r="CT63"/>
      <c r="CU63"/>
      <c r="CV63"/>
      <c r="CW63"/>
      <c r="CX63"/>
    </row>
    <row r="64" spans="1:102" s="1" customFormat="1" ht="37.5" customHeight="1" x14ac:dyDescent="0.25">
      <c r="A64" s="25">
        <v>44336</v>
      </c>
      <c r="B64" s="58">
        <v>0.25</v>
      </c>
      <c r="C64" s="246">
        <v>0</v>
      </c>
      <c r="D64" s="60">
        <v>0</v>
      </c>
      <c r="E64" s="247">
        <v>0</v>
      </c>
      <c r="F64" s="57">
        <v>982</v>
      </c>
      <c r="G64" s="57">
        <v>991</v>
      </c>
      <c r="H64" s="57">
        <v>100.6</v>
      </c>
      <c r="I64" s="57">
        <v>100.8</v>
      </c>
      <c r="J64" s="57">
        <v>0</v>
      </c>
      <c r="K64" s="60">
        <v>35.299999999999997</v>
      </c>
      <c r="L64" s="60">
        <v>0</v>
      </c>
      <c r="M64" s="60">
        <v>0</v>
      </c>
      <c r="N64" s="57"/>
      <c r="O64" s="57"/>
      <c r="P64" s="57"/>
      <c r="Q64" s="57">
        <v>0</v>
      </c>
      <c r="R64" s="57">
        <v>0</v>
      </c>
      <c r="S64" s="26" t="s">
        <v>451</v>
      </c>
      <c r="T64" s="20" t="s">
        <v>466</v>
      </c>
      <c r="U64" s="248" t="s">
        <v>516</v>
      </c>
      <c r="V64" s="18"/>
      <c r="CL64"/>
      <c r="CM64"/>
      <c r="CN64"/>
      <c r="CO64"/>
      <c r="CP64"/>
      <c r="CQ64"/>
      <c r="CR64"/>
      <c r="CS64"/>
      <c r="CT64"/>
      <c r="CU64"/>
      <c r="CV64"/>
      <c r="CW64"/>
      <c r="CX64"/>
    </row>
    <row r="65" spans="1:102" s="1" customFormat="1" ht="37.5" customHeight="1" x14ac:dyDescent="0.25">
      <c r="A65" s="25">
        <v>44337</v>
      </c>
      <c r="B65" s="58">
        <v>0.25</v>
      </c>
      <c r="C65" s="246">
        <v>0</v>
      </c>
      <c r="D65" s="60">
        <v>0</v>
      </c>
      <c r="E65" s="247">
        <v>0</v>
      </c>
      <c r="F65" s="57">
        <v>1038</v>
      </c>
      <c r="G65" s="57">
        <v>1048</v>
      </c>
      <c r="H65" s="57">
        <v>100.5</v>
      </c>
      <c r="I65" s="57">
        <v>100.5</v>
      </c>
      <c r="J65" s="57">
        <v>0</v>
      </c>
      <c r="K65" s="60">
        <v>36</v>
      </c>
      <c r="L65" s="60">
        <v>0</v>
      </c>
      <c r="M65" s="60">
        <v>0</v>
      </c>
      <c r="N65" s="57"/>
      <c r="O65" s="57"/>
      <c r="P65" s="57"/>
      <c r="Q65" s="57">
        <v>0</v>
      </c>
      <c r="R65" s="57">
        <v>0</v>
      </c>
      <c r="S65" s="26" t="s">
        <v>451</v>
      </c>
      <c r="T65" s="20" t="s">
        <v>466</v>
      </c>
      <c r="U65" s="248" t="s">
        <v>516</v>
      </c>
      <c r="V65" s="18"/>
      <c r="CL65"/>
      <c r="CM65"/>
      <c r="CN65"/>
      <c r="CO65"/>
      <c r="CP65"/>
      <c r="CQ65"/>
      <c r="CR65"/>
      <c r="CS65"/>
      <c r="CT65"/>
      <c r="CU65"/>
      <c r="CV65"/>
      <c r="CW65"/>
      <c r="CX65"/>
    </row>
    <row r="66" spans="1:102" s="1" customFormat="1" ht="37.5" customHeight="1" x14ac:dyDescent="0.25">
      <c r="A66" s="25">
        <v>44338</v>
      </c>
      <c r="B66" s="58">
        <v>0.25</v>
      </c>
      <c r="C66" s="246">
        <v>0</v>
      </c>
      <c r="D66" s="60">
        <v>0</v>
      </c>
      <c r="E66" s="247">
        <v>0</v>
      </c>
      <c r="F66" s="57">
        <v>1165</v>
      </c>
      <c r="G66" s="57">
        <v>1174</v>
      </c>
      <c r="H66" s="57">
        <v>101</v>
      </c>
      <c r="I66" s="57">
        <v>101</v>
      </c>
      <c r="J66" s="57">
        <v>0</v>
      </c>
      <c r="K66" s="60">
        <v>36.6</v>
      </c>
      <c r="L66" s="60">
        <v>0</v>
      </c>
      <c r="M66" s="60">
        <v>0</v>
      </c>
      <c r="N66" s="57"/>
      <c r="O66" s="57"/>
      <c r="P66" s="57"/>
      <c r="Q66" s="57">
        <v>0</v>
      </c>
      <c r="R66" s="57">
        <v>0</v>
      </c>
      <c r="S66" s="26" t="s">
        <v>451</v>
      </c>
      <c r="T66" s="20" t="s">
        <v>466</v>
      </c>
      <c r="U66" s="248" t="s">
        <v>516</v>
      </c>
      <c r="V66" s="18"/>
      <c r="CL66"/>
      <c r="CM66"/>
      <c r="CN66"/>
      <c r="CO66"/>
      <c r="CP66"/>
      <c r="CQ66"/>
      <c r="CR66"/>
      <c r="CS66"/>
      <c r="CT66"/>
      <c r="CU66"/>
      <c r="CV66"/>
      <c r="CW66"/>
      <c r="CX66"/>
    </row>
    <row r="67" spans="1:102" s="1" customFormat="1" ht="37.5" customHeight="1" x14ac:dyDescent="0.25">
      <c r="A67" s="25">
        <v>44339</v>
      </c>
      <c r="B67" s="58">
        <v>0.25</v>
      </c>
      <c r="C67" s="246">
        <v>0</v>
      </c>
      <c r="D67" s="60">
        <v>0</v>
      </c>
      <c r="E67" s="247">
        <v>0</v>
      </c>
      <c r="F67" s="57">
        <v>1189</v>
      </c>
      <c r="G67" s="57">
        <v>1198</v>
      </c>
      <c r="H67" s="57">
        <v>101</v>
      </c>
      <c r="I67" s="57">
        <v>101</v>
      </c>
      <c r="J67" s="57">
        <v>0</v>
      </c>
      <c r="K67" s="60">
        <v>36</v>
      </c>
      <c r="L67" s="60">
        <v>0</v>
      </c>
      <c r="M67" s="60">
        <v>0</v>
      </c>
      <c r="N67" s="57"/>
      <c r="O67" s="57"/>
      <c r="P67" s="57"/>
      <c r="Q67" s="57">
        <v>0</v>
      </c>
      <c r="R67" s="57">
        <v>0</v>
      </c>
      <c r="S67" s="26" t="s">
        <v>451</v>
      </c>
      <c r="T67" s="20" t="s">
        <v>466</v>
      </c>
      <c r="U67" s="248" t="s">
        <v>516</v>
      </c>
      <c r="V67" s="18"/>
      <c r="CL67"/>
      <c r="CM67"/>
      <c r="CN67"/>
      <c r="CO67"/>
      <c r="CP67"/>
      <c r="CQ67"/>
      <c r="CR67"/>
      <c r="CS67"/>
      <c r="CT67"/>
      <c r="CU67"/>
      <c r="CV67"/>
      <c r="CW67"/>
      <c r="CX67"/>
    </row>
    <row r="68" spans="1:102" s="1" customFormat="1" ht="37.5" customHeight="1" x14ac:dyDescent="0.25">
      <c r="A68" s="25">
        <v>44340</v>
      </c>
      <c r="B68" s="58">
        <v>0.25</v>
      </c>
      <c r="C68" s="246">
        <v>0</v>
      </c>
      <c r="D68" s="60">
        <v>0</v>
      </c>
      <c r="E68" s="247">
        <v>0</v>
      </c>
      <c r="F68" s="57">
        <v>1238</v>
      </c>
      <c r="G68" s="57">
        <v>1249</v>
      </c>
      <c r="H68" s="57">
        <v>100.4</v>
      </c>
      <c r="I68" s="57">
        <v>100.6</v>
      </c>
      <c r="J68" s="57">
        <v>0</v>
      </c>
      <c r="K68" s="60">
        <v>37.299999999999997</v>
      </c>
      <c r="L68" s="60">
        <v>0</v>
      </c>
      <c r="M68" s="60">
        <v>0</v>
      </c>
      <c r="N68" s="57"/>
      <c r="O68" s="57"/>
      <c r="P68" s="57"/>
      <c r="Q68" s="57">
        <v>0</v>
      </c>
      <c r="R68" s="57">
        <v>0</v>
      </c>
      <c r="S68" s="26" t="s">
        <v>451</v>
      </c>
      <c r="T68" s="20" t="s">
        <v>466</v>
      </c>
      <c r="U68" s="248" t="s">
        <v>516</v>
      </c>
      <c r="V68" s="18"/>
      <c r="CL68"/>
      <c r="CM68"/>
      <c r="CN68"/>
      <c r="CO68"/>
      <c r="CP68"/>
      <c r="CQ68"/>
      <c r="CR68"/>
      <c r="CS68"/>
      <c r="CT68"/>
      <c r="CU68"/>
      <c r="CV68"/>
      <c r="CW68"/>
      <c r="CX68"/>
    </row>
    <row r="69" spans="1:102" s="1" customFormat="1" ht="37.5" customHeight="1" x14ac:dyDescent="0.25">
      <c r="A69" s="25">
        <v>44341</v>
      </c>
      <c r="B69" s="58">
        <v>0.25</v>
      </c>
      <c r="C69" s="246">
        <v>0</v>
      </c>
      <c r="D69" s="60">
        <v>0</v>
      </c>
      <c r="E69" s="247">
        <v>0</v>
      </c>
      <c r="F69" s="57">
        <v>1308</v>
      </c>
      <c r="G69" s="57">
        <v>1317</v>
      </c>
      <c r="H69" s="57">
        <v>100.3</v>
      </c>
      <c r="I69" s="57">
        <v>100.5</v>
      </c>
      <c r="J69" s="57">
        <v>0</v>
      </c>
      <c r="K69" s="60">
        <v>38.1</v>
      </c>
      <c r="L69" s="60">
        <v>0</v>
      </c>
      <c r="M69" s="60">
        <v>0</v>
      </c>
      <c r="N69" s="57"/>
      <c r="O69" s="57"/>
      <c r="P69" s="57"/>
      <c r="Q69" s="57">
        <v>0</v>
      </c>
      <c r="R69" s="57">
        <v>0</v>
      </c>
      <c r="S69" s="26" t="s">
        <v>451</v>
      </c>
      <c r="T69" s="20" t="s">
        <v>466</v>
      </c>
      <c r="U69" s="248" t="s">
        <v>516</v>
      </c>
      <c r="V69" s="18"/>
      <c r="CL69"/>
      <c r="CM69"/>
      <c r="CN69"/>
      <c r="CO69"/>
      <c r="CP69"/>
      <c r="CQ69"/>
      <c r="CR69"/>
      <c r="CS69"/>
      <c r="CT69"/>
      <c r="CU69"/>
      <c r="CV69"/>
      <c r="CW69"/>
      <c r="CX69"/>
    </row>
    <row r="70" spans="1:102" s="1" customFormat="1" ht="37.5" customHeight="1" x14ac:dyDescent="0.25">
      <c r="A70" s="25">
        <v>44342</v>
      </c>
      <c r="B70" s="58">
        <v>0.25</v>
      </c>
      <c r="C70" s="246">
        <v>0</v>
      </c>
      <c r="D70" s="60">
        <v>0</v>
      </c>
      <c r="E70" s="247">
        <v>0</v>
      </c>
      <c r="F70" s="57">
        <v>1355</v>
      </c>
      <c r="G70" s="57">
        <v>1364</v>
      </c>
      <c r="H70" s="57">
        <v>100.3</v>
      </c>
      <c r="I70" s="57">
        <v>100.5</v>
      </c>
      <c r="J70" s="57">
        <v>0</v>
      </c>
      <c r="K70" s="60">
        <v>33.5</v>
      </c>
      <c r="L70" s="60">
        <v>0</v>
      </c>
      <c r="M70" s="60">
        <v>0</v>
      </c>
      <c r="N70" s="57"/>
      <c r="O70" s="57"/>
      <c r="P70" s="57"/>
      <c r="Q70" s="57">
        <v>0</v>
      </c>
      <c r="R70" s="57">
        <v>0</v>
      </c>
      <c r="S70" s="26" t="s">
        <v>451</v>
      </c>
      <c r="T70" s="20" t="s">
        <v>466</v>
      </c>
      <c r="U70" s="248" t="s">
        <v>516</v>
      </c>
      <c r="V70" s="18"/>
      <c r="CL70"/>
      <c r="CM70"/>
      <c r="CN70"/>
      <c r="CO70"/>
      <c r="CP70"/>
      <c r="CQ70"/>
      <c r="CR70"/>
      <c r="CS70"/>
      <c r="CT70"/>
      <c r="CU70"/>
      <c r="CV70"/>
      <c r="CW70"/>
      <c r="CX70"/>
    </row>
    <row r="71" spans="1:102" s="1" customFormat="1" ht="37.5" customHeight="1" x14ac:dyDescent="0.25">
      <c r="A71" s="25">
        <v>44343</v>
      </c>
      <c r="B71" s="58">
        <v>0.25</v>
      </c>
      <c r="C71" s="246">
        <v>0</v>
      </c>
      <c r="D71" s="60">
        <v>0</v>
      </c>
      <c r="E71" s="247">
        <v>0</v>
      </c>
      <c r="F71" s="57">
        <v>1399</v>
      </c>
      <c r="G71" s="57">
        <v>1408</v>
      </c>
      <c r="H71" s="57">
        <v>100.2</v>
      </c>
      <c r="I71" s="57">
        <v>100.4</v>
      </c>
      <c r="J71" s="57">
        <v>0</v>
      </c>
      <c r="K71" s="60">
        <v>35.1</v>
      </c>
      <c r="L71" s="60">
        <v>0</v>
      </c>
      <c r="M71" s="60">
        <v>0</v>
      </c>
      <c r="N71" s="57"/>
      <c r="O71" s="57"/>
      <c r="P71" s="57"/>
      <c r="Q71" s="57">
        <v>0</v>
      </c>
      <c r="R71" s="57">
        <v>0</v>
      </c>
      <c r="S71" s="26" t="s">
        <v>451</v>
      </c>
      <c r="T71" s="20" t="s">
        <v>466</v>
      </c>
      <c r="U71" s="248" t="s">
        <v>516</v>
      </c>
      <c r="V71" s="18"/>
      <c r="CL71"/>
      <c r="CM71"/>
      <c r="CN71"/>
      <c r="CO71"/>
      <c r="CP71"/>
      <c r="CQ71"/>
      <c r="CR71"/>
      <c r="CS71"/>
      <c r="CT71"/>
      <c r="CU71"/>
      <c r="CV71"/>
      <c r="CW71"/>
      <c r="CX71"/>
    </row>
    <row r="72" spans="1:102" s="1" customFormat="1" ht="37.5" customHeight="1" x14ac:dyDescent="0.25">
      <c r="A72" s="25">
        <v>44344</v>
      </c>
      <c r="B72" s="58">
        <v>0.25</v>
      </c>
      <c r="C72" s="246">
        <v>0</v>
      </c>
      <c r="D72" s="60">
        <v>0</v>
      </c>
      <c r="E72" s="247">
        <v>0</v>
      </c>
      <c r="F72" s="57">
        <v>1438</v>
      </c>
      <c r="G72" s="57">
        <v>1447</v>
      </c>
      <c r="H72" s="57">
        <v>100.2</v>
      </c>
      <c r="I72" s="57">
        <v>100.4</v>
      </c>
      <c r="J72" s="57">
        <v>0</v>
      </c>
      <c r="K72" s="60">
        <v>35.5</v>
      </c>
      <c r="L72" s="60">
        <v>0</v>
      </c>
      <c r="M72" s="60">
        <v>0</v>
      </c>
      <c r="N72" s="57"/>
      <c r="O72" s="57"/>
      <c r="P72" s="57"/>
      <c r="Q72" s="57">
        <v>0</v>
      </c>
      <c r="R72" s="57">
        <v>0</v>
      </c>
      <c r="S72" s="26" t="s">
        <v>451</v>
      </c>
      <c r="T72" s="20" t="s">
        <v>466</v>
      </c>
      <c r="U72" s="248" t="s">
        <v>516</v>
      </c>
      <c r="V72" s="18"/>
      <c r="CL72"/>
      <c r="CM72"/>
      <c r="CN72"/>
      <c r="CO72"/>
      <c r="CP72"/>
      <c r="CQ72"/>
      <c r="CR72"/>
      <c r="CS72"/>
      <c r="CT72"/>
      <c r="CU72"/>
      <c r="CV72"/>
      <c r="CW72"/>
      <c r="CX72"/>
    </row>
    <row r="73" spans="1:102" s="1" customFormat="1" ht="37.5" customHeight="1" x14ac:dyDescent="0.25">
      <c r="A73" s="25">
        <v>44345</v>
      </c>
      <c r="B73" s="58">
        <v>0.25</v>
      </c>
      <c r="C73" s="246">
        <v>0</v>
      </c>
      <c r="D73" s="60">
        <v>0</v>
      </c>
      <c r="E73" s="247">
        <v>0</v>
      </c>
      <c r="F73" s="57">
        <v>1474</v>
      </c>
      <c r="G73" s="57">
        <v>1483</v>
      </c>
      <c r="H73" s="57">
        <v>100.1</v>
      </c>
      <c r="I73" s="57">
        <v>100.3</v>
      </c>
      <c r="J73" s="57">
        <v>0</v>
      </c>
      <c r="K73" s="60">
        <v>34.4</v>
      </c>
      <c r="L73" s="60">
        <v>0</v>
      </c>
      <c r="M73" s="60">
        <v>0</v>
      </c>
      <c r="N73" s="57"/>
      <c r="O73" s="57"/>
      <c r="P73" s="57"/>
      <c r="Q73" s="57">
        <v>0</v>
      </c>
      <c r="R73" s="57">
        <v>0</v>
      </c>
      <c r="S73" s="26" t="s">
        <v>451</v>
      </c>
      <c r="T73" s="20" t="s">
        <v>466</v>
      </c>
      <c r="U73" s="248" t="s">
        <v>516</v>
      </c>
      <c r="V73" s="18"/>
      <c r="CL73"/>
      <c r="CM73"/>
      <c r="CN73"/>
      <c r="CO73"/>
      <c r="CP73"/>
      <c r="CQ73"/>
      <c r="CR73"/>
      <c r="CS73"/>
      <c r="CT73"/>
      <c r="CU73"/>
      <c r="CV73"/>
      <c r="CW73"/>
      <c r="CX73"/>
    </row>
    <row r="74" spans="1:102" s="1" customFormat="1" ht="37.5" customHeight="1" x14ac:dyDescent="0.25">
      <c r="A74" s="25">
        <v>44346</v>
      </c>
      <c r="B74" s="58">
        <v>0.25</v>
      </c>
      <c r="C74" s="246">
        <v>0</v>
      </c>
      <c r="D74" s="60">
        <v>0</v>
      </c>
      <c r="E74" s="247">
        <v>0</v>
      </c>
      <c r="F74" s="57">
        <v>1507</v>
      </c>
      <c r="G74" s="57">
        <v>1516</v>
      </c>
      <c r="H74" s="57">
        <v>100.1</v>
      </c>
      <c r="I74" s="57">
        <v>100.3</v>
      </c>
      <c r="J74" s="57">
        <v>0</v>
      </c>
      <c r="K74" s="60">
        <v>31.4</v>
      </c>
      <c r="L74" s="60">
        <v>0</v>
      </c>
      <c r="M74" s="60">
        <v>0</v>
      </c>
      <c r="N74" s="57"/>
      <c r="O74" s="57"/>
      <c r="P74" s="57"/>
      <c r="Q74" s="57">
        <v>0</v>
      </c>
      <c r="R74" s="57">
        <v>0</v>
      </c>
      <c r="S74" s="26" t="s">
        <v>451</v>
      </c>
      <c r="T74" s="20" t="s">
        <v>466</v>
      </c>
      <c r="U74" s="248" t="s">
        <v>516</v>
      </c>
      <c r="V74" s="18"/>
      <c r="CL74"/>
      <c r="CM74"/>
      <c r="CN74"/>
      <c r="CO74"/>
      <c r="CP74"/>
      <c r="CQ74"/>
      <c r="CR74"/>
      <c r="CS74"/>
      <c r="CT74"/>
      <c r="CU74"/>
      <c r="CV74"/>
      <c r="CW74"/>
      <c r="CX74"/>
    </row>
    <row r="75" spans="1:102" s="1" customFormat="1" ht="37.5" customHeight="1" x14ac:dyDescent="0.25">
      <c r="A75" s="25">
        <v>44347</v>
      </c>
      <c r="B75" s="58">
        <v>0.25</v>
      </c>
      <c r="C75" s="246">
        <v>0</v>
      </c>
      <c r="D75" s="60">
        <v>0</v>
      </c>
      <c r="E75" s="247">
        <v>0</v>
      </c>
      <c r="F75" s="57">
        <v>1538</v>
      </c>
      <c r="G75" s="57">
        <v>1547</v>
      </c>
      <c r="H75" s="57">
        <v>100.1</v>
      </c>
      <c r="I75" s="57">
        <v>100.2</v>
      </c>
      <c r="J75" s="57">
        <v>0</v>
      </c>
      <c r="K75" s="60">
        <v>30.5</v>
      </c>
      <c r="L75" s="60">
        <v>0</v>
      </c>
      <c r="M75" s="60">
        <v>0</v>
      </c>
      <c r="N75" s="57"/>
      <c r="O75" s="57"/>
      <c r="P75" s="57"/>
      <c r="Q75" s="57">
        <v>0</v>
      </c>
      <c r="R75" s="57">
        <v>0</v>
      </c>
      <c r="S75" s="26" t="s">
        <v>451</v>
      </c>
      <c r="T75" s="20" t="s">
        <v>466</v>
      </c>
      <c r="U75" s="248" t="s">
        <v>516</v>
      </c>
      <c r="V75" s="18"/>
      <c r="CL75"/>
      <c r="CM75"/>
      <c r="CN75"/>
      <c r="CO75"/>
      <c r="CP75"/>
      <c r="CQ75"/>
      <c r="CR75"/>
      <c r="CS75"/>
      <c r="CT75"/>
      <c r="CU75"/>
      <c r="CV75"/>
      <c r="CW75"/>
      <c r="CX75"/>
    </row>
    <row r="76" spans="1:102" s="1" customFormat="1" ht="37.5" customHeight="1" x14ac:dyDescent="0.25">
      <c r="A76" s="25">
        <v>44348</v>
      </c>
      <c r="B76" s="58">
        <v>0.25</v>
      </c>
      <c r="C76" s="246">
        <v>0</v>
      </c>
      <c r="D76" s="60">
        <v>0</v>
      </c>
      <c r="E76" s="247">
        <v>0</v>
      </c>
      <c r="F76" s="57">
        <v>1566</v>
      </c>
      <c r="G76" s="57">
        <v>1574</v>
      </c>
      <c r="H76" s="57">
        <v>100.1</v>
      </c>
      <c r="I76" s="57">
        <v>100.3</v>
      </c>
      <c r="J76" s="57">
        <v>0</v>
      </c>
      <c r="K76" s="60">
        <v>30.2</v>
      </c>
      <c r="L76" s="60">
        <v>0</v>
      </c>
      <c r="M76" s="60">
        <v>0</v>
      </c>
      <c r="N76" s="57"/>
      <c r="O76" s="57"/>
      <c r="P76" s="57"/>
      <c r="Q76" s="57">
        <v>0</v>
      </c>
      <c r="R76" s="57">
        <v>0</v>
      </c>
      <c r="S76" s="26" t="s">
        <v>451</v>
      </c>
      <c r="T76" s="20" t="s">
        <v>466</v>
      </c>
      <c r="U76" s="248" t="s">
        <v>585</v>
      </c>
      <c r="V76" s="18"/>
      <c r="CL76"/>
      <c r="CM76"/>
      <c r="CN76"/>
      <c r="CO76"/>
      <c r="CP76"/>
      <c r="CQ76"/>
      <c r="CR76"/>
      <c r="CS76"/>
      <c r="CT76"/>
      <c r="CU76"/>
      <c r="CV76"/>
      <c r="CW76"/>
      <c r="CX76"/>
    </row>
    <row r="77" spans="1:102" s="1" customFormat="1" ht="37.5" customHeight="1" x14ac:dyDescent="0.25">
      <c r="A77" s="25">
        <v>44349</v>
      </c>
      <c r="B77" s="58">
        <v>0.25</v>
      </c>
      <c r="C77" s="246">
        <v>50</v>
      </c>
      <c r="D77" s="60">
        <v>11.5</v>
      </c>
      <c r="E77" s="247">
        <v>16.100000000000001</v>
      </c>
      <c r="F77" s="57">
        <v>992</v>
      </c>
      <c r="G77" s="57">
        <v>2188</v>
      </c>
      <c r="H77" s="57">
        <v>103.1</v>
      </c>
      <c r="I77" s="57">
        <v>104</v>
      </c>
      <c r="J77" s="57">
        <v>0</v>
      </c>
      <c r="K77" s="60">
        <v>31.29</v>
      </c>
      <c r="L77" s="60">
        <v>31.34</v>
      </c>
      <c r="M77" s="60">
        <v>52.9</v>
      </c>
      <c r="N77" s="57"/>
      <c r="O77" s="57"/>
      <c r="P77" s="57"/>
      <c r="Q77" s="57" t="s">
        <v>584</v>
      </c>
      <c r="R77" s="57">
        <v>69.599999999999994</v>
      </c>
      <c r="S77" s="26" t="s">
        <v>451</v>
      </c>
      <c r="T77" s="20" t="s">
        <v>466</v>
      </c>
      <c r="U77" s="248"/>
      <c r="V77" s="18"/>
      <c r="CL77"/>
      <c r="CM77"/>
      <c r="CN77"/>
      <c r="CO77"/>
      <c r="CP77"/>
      <c r="CQ77"/>
      <c r="CR77"/>
      <c r="CS77"/>
      <c r="CT77"/>
      <c r="CU77"/>
      <c r="CV77"/>
      <c r="CW77"/>
      <c r="CX77"/>
    </row>
    <row r="78" spans="1:102" s="1" customFormat="1" ht="37.5" customHeight="1" x14ac:dyDescent="0.25">
      <c r="A78" s="25">
        <v>44350</v>
      </c>
      <c r="B78" s="58">
        <v>0.25</v>
      </c>
      <c r="C78" s="246">
        <v>50</v>
      </c>
      <c r="D78" s="60">
        <v>11.3</v>
      </c>
      <c r="E78" s="247">
        <v>16</v>
      </c>
      <c r="F78" s="57">
        <v>893</v>
      </c>
      <c r="G78" s="57">
        <v>2201</v>
      </c>
      <c r="H78" s="57">
        <v>103.5</v>
      </c>
      <c r="I78" s="57">
        <v>104.5</v>
      </c>
      <c r="J78" s="57">
        <v>0</v>
      </c>
      <c r="K78" s="60">
        <v>30.14</v>
      </c>
      <c r="L78" s="60">
        <v>30.56</v>
      </c>
      <c r="M78" s="60">
        <v>43.4</v>
      </c>
      <c r="N78" s="57"/>
      <c r="O78" s="57"/>
      <c r="P78" s="57"/>
      <c r="Q78" s="57" t="s">
        <v>532</v>
      </c>
      <c r="R78" s="57">
        <v>67.900000000000006</v>
      </c>
      <c r="S78" s="26" t="s">
        <v>451</v>
      </c>
      <c r="T78" s="20" t="s">
        <v>466</v>
      </c>
      <c r="U78" s="248"/>
      <c r="V78" s="18"/>
      <c r="CL78"/>
      <c r="CM78"/>
      <c r="CN78"/>
      <c r="CO78"/>
      <c r="CP78"/>
      <c r="CQ78"/>
      <c r="CR78"/>
      <c r="CS78"/>
      <c r="CT78"/>
      <c r="CU78"/>
      <c r="CV78"/>
      <c r="CW78"/>
      <c r="CX78"/>
    </row>
    <row r="79" spans="1:102" s="1" customFormat="1" ht="37.5" customHeight="1" x14ac:dyDescent="0.25">
      <c r="A79" s="25">
        <v>44351</v>
      </c>
      <c r="B79" s="58">
        <v>0.25</v>
      </c>
      <c r="C79" s="246">
        <v>50</v>
      </c>
      <c r="D79" s="60">
        <v>11.8</v>
      </c>
      <c r="E79" s="247">
        <v>16.100000000000001</v>
      </c>
      <c r="F79" s="57">
        <v>1016</v>
      </c>
      <c r="G79" s="57">
        <v>1892</v>
      </c>
      <c r="H79" s="57">
        <v>99.3</v>
      </c>
      <c r="I79" s="57">
        <v>108.1</v>
      </c>
      <c r="J79" s="57">
        <v>0</v>
      </c>
      <c r="K79" s="60">
        <v>31.15</v>
      </c>
      <c r="L79" s="60">
        <v>30.56</v>
      </c>
      <c r="M79" s="60">
        <v>40.9</v>
      </c>
      <c r="N79" s="57"/>
      <c r="O79" s="57"/>
      <c r="P79" s="57"/>
      <c r="Q79" s="57" t="s">
        <v>532</v>
      </c>
      <c r="R79" s="57">
        <v>61.3</v>
      </c>
      <c r="S79" s="26" t="s">
        <v>451</v>
      </c>
      <c r="T79" s="20" t="s">
        <v>466</v>
      </c>
      <c r="U79" s="248"/>
      <c r="V79" s="18"/>
      <c r="CL79"/>
      <c r="CM79"/>
      <c r="CN79"/>
      <c r="CO79"/>
      <c r="CP79"/>
      <c r="CQ79"/>
      <c r="CR79"/>
      <c r="CS79"/>
      <c r="CT79"/>
      <c r="CU79"/>
      <c r="CV79"/>
      <c r="CW79"/>
      <c r="CX79"/>
    </row>
    <row r="80" spans="1:102" s="1" customFormat="1" ht="37.5" customHeight="1" x14ac:dyDescent="0.25">
      <c r="A80" s="25">
        <v>44352</v>
      </c>
      <c r="B80" s="58">
        <v>0.25</v>
      </c>
      <c r="C80" s="246">
        <v>50</v>
      </c>
      <c r="D80" s="60">
        <v>10.8</v>
      </c>
      <c r="E80" s="247">
        <v>15.3</v>
      </c>
      <c r="F80" s="57">
        <v>924</v>
      </c>
      <c r="G80" s="57">
        <v>2265</v>
      </c>
      <c r="H80" s="57">
        <v>102.3</v>
      </c>
      <c r="I80" s="57">
        <v>103</v>
      </c>
      <c r="J80" s="57" t="s">
        <v>596</v>
      </c>
      <c r="K80" s="60">
        <v>30.5</v>
      </c>
      <c r="L80" s="60">
        <v>30.72</v>
      </c>
      <c r="M80" s="60">
        <v>36</v>
      </c>
      <c r="N80" s="57"/>
      <c r="O80" s="57"/>
      <c r="P80" s="57"/>
      <c r="Q80" s="57" t="s">
        <v>181</v>
      </c>
      <c r="R80" s="57">
        <v>65.3</v>
      </c>
      <c r="S80" s="26" t="s">
        <v>451</v>
      </c>
      <c r="T80" s="20" t="s">
        <v>466</v>
      </c>
      <c r="U80" s="248" t="s">
        <v>600</v>
      </c>
      <c r="V80" s="18"/>
      <c r="CL80"/>
      <c r="CM80"/>
      <c r="CN80"/>
      <c r="CO80"/>
      <c r="CP80"/>
      <c r="CQ80"/>
      <c r="CR80"/>
      <c r="CS80"/>
      <c r="CT80"/>
      <c r="CU80"/>
      <c r="CV80"/>
      <c r="CW80"/>
      <c r="CX80"/>
    </row>
    <row r="81" spans="1:102" s="1" customFormat="1" ht="37.5" customHeight="1" x14ac:dyDescent="0.25">
      <c r="A81" s="25">
        <v>44353</v>
      </c>
      <c r="B81" s="58">
        <v>0.25</v>
      </c>
      <c r="C81" s="246">
        <v>53</v>
      </c>
      <c r="D81" s="60">
        <v>12.3</v>
      </c>
      <c r="E81" s="247">
        <v>16.8</v>
      </c>
      <c r="F81" s="57">
        <v>777</v>
      </c>
      <c r="G81" s="57">
        <v>2252</v>
      </c>
      <c r="H81" s="57">
        <v>103.5</v>
      </c>
      <c r="I81" s="57">
        <v>104</v>
      </c>
      <c r="J81" s="57" t="s">
        <v>601</v>
      </c>
      <c r="K81" s="60">
        <v>31.8</v>
      </c>
      <c r="L81" s="60">
        <v>30.54</v>
      </c>
      <c r="M81" s="60">
        <v>44</v>
      </c>
      <c r="N81" s="57"/>
      <c r="O81" s="57"/>
      <c r="P81" s="57"/>
      <c r="Q81" s="57" t="s">
        <v>602</v>
      </c>
      <c r="R81" s="57">
        <v>70.400000000000006</v>
      </c>
      <c r="S81" s="26" t="s">
        <v>451</v>
      </c>
      <c r="T81" s="20" t="s">
        <v>466</v>
      </c>
      <c r="U81" s="248"/>
      <c r="V81" s="18"/>
      <c r="CL81"/>
      <c r="CM81"/>
      <c r="CN81"/>
      <c r="CO81"/>
      <c r="CP81"/>
      <c r="CQ81"/>
      <c r="CR81"/>
      <c r="CS81"/>
      <c r="CT81"/>
      <c r="CU81"/>
      <c r="CV81"/>
      <c r="CW81"/>
      <c r="CX81"/>
    </row>
    <row r="82" spans="1:102" s="1" customFormat="1" ht="37.5" customHeight="1" x14ac:dyDescent="0.25">
      <c r="A82" s="25">
        <v>44354</v>
      </c>
      <c r="B82" s="58">
        <v>0.25</v>
      </c>
      <c r="C82" s="246">
        <v>53</v>
      </c>
      <c r="D82" s="60">
        <v>12.1</v>
      </c>
      <c r="E82" s="247">
        <v>16.7</v>
      </c>
      <c r="F82" s="57">
        <v>757</v>
      </c>
      <c r="G82" s="57">
        <v>2238</v>
      </c>
      <c r="H82" s="57">
        <v>103</v>
      </c>
      <c r="I82" s="57">
        <v>104</v>
      </c>
      <c r="J82" s="57" t="s">
        <v>605</v>
      </c>
      <c r="K82" s="60">
        <v>32.5</v>
      </c>
      <c r="L82" s="60">
        <v>32.32</v>
      </c>
      <c r="M82" s="60">
        <v>43.38</v>
      </c>
      <c r="N82" s="57"/>
      <c r="O82" s="57"/>
      <c r="P82" s="57"/>
      <c r="Q82" s="57" t="s">
        <v>606</v>
      </c>
      <c r="R82" s="57">
        <v>70.900000000000006</v>
      </c>
      <c r="S82" s="26" t="s">
        <v>451</v>
      </c>
      <c r="T82" s="20" t="s">
        <v>466</v>
      </c>
      <c r="U82" s="248"/>
      <c r="V82" s="18"/>
      <c r="CL82"/>
      <c r="CM82"/>
      <c r="CN82"/>
      <c r="CO82"/>
      <c r="CP82"/>
      <c r="CQ82"/>
      <c r="CR82"/>
      <c r="CS82"/>
      <c r="CT82"/>
      <c r="CU82"/>
      <c r="CV82"/>
      <c r="CW82"/>
      <c r="CX82"/>
    </row>
    <row r="83" spans="1:102" s="1" customFormat="1" ht="37.5" customHeight="1" x14ac:dyDescent="0.25">
      <c r="A83" s="25">
        <v>44355</v>
      </c>
      <c r="B83" s="58">
        <v>0.25</v>
      </c>
      <c r="C83" s="246">
        <v>53</v>
      </c>
      <c r="D83" s="60">
        <v>11.8</v>
      </c>
      <c r="E83" s="247">
        <v>16.5</v>
      </c>
      <c r="F83" s="57">
        <v>756</v>
      </c>
      <c r="G83" s="57">
        <v>2244</v>
      </c>
      <c r="H83" s="57">
        <v>104</v>
      </c>
      <c r="I83" s="57">
        <v>105</v>
      </c>
      <c r="J83" s="57" t="s">
        <v>608</v>
      </c>
      <c r="K83" s="60">
        <v>31.95</v>
      </c>
      <c r="L83" s="60">
        <v>32</v>
      </c>
      <c r="M83" s="60">
        <v>43.42</v>
      </c>
      <c r="N83" s="57"/>
      <c r="O83" s="57"/>
      <c r="P83" s="57"/>
      <c r="Q83" s="57" t="s">
        <v>609</v>
      </c>
      <c r="R83" s="57">
        <v>70</v>
      </c>
      <c r="S83" s="26" t="s">
        <v>451</v>
      </c>
      <c r="T83" s="20" t="s">
        <v>466</v>
      </c>
      <c r="U83" s="248"/>
      <c r="V83" s="18"/>
      <c r="CL83"/>
      <c r="CM83"/>
      <c r="CN83"/>
      <c r="CO83"/>
      <c r="CP83"/>
      <c r="CQ83"/>
      <c r="CR83"/>
      <c r="CS83"/>
      <c r="CT83"/>
      <c r="CU83"/>
      <c r="CV83"/>
      <c r="CW83"/>
      <c r="CX83"/>
    </row>
    <row r="84" spans="1:102" s="1" customFormat="1" ht="37.5" customHeight="1" x14ac:dyDescent="0.25">
      <c r="A84" s="25">
        <v>44356</v>
      </c>
      <c r="B84" s="58">
        <v>0.25</v>
      </c>
      <c r="C84" s="246">
        <v>53</v>
      </c>
      <c r="D84" s="60">
        <v>11.5</v>
      </c>
      <c r="E84" s="247">
        <v>16.399999999999999</v>
      </c>
      <c r="F84" s="57">
        <v>764</v>
      </c>
      <c r="G84" s="57">
        <v>2258</v>
      </c>
      <c r="H84" s="57">
        <v>105</v>
      </c>
      <c r="I84" s="57">
        <v>105.9</v>
      </c>
      <c r="J84" s="57" t="s">
        <v>612</v>
      </c>
      <c r="K84" s="60">
        <v>32.880000000000003</v>
      </c>
      <c r="L84" s="60">
        <v>32.58</v>
      </c>
      <c r="M84" s="60">
        <v>41</v>
      </c>
      <c r="N84" s="57"/>
      <c r="O84" s="57"/>
      <c r="P84" s="57"/>
      <c r="Q84" s="57" t="s">
        <v>522</v>
      </c>
      <c r="R84" s="57">
        <v>69.599999999999994</v>
      </c>
      <c r="S84" s="26" t="s">
        <v>451</v>
      </c>
      <c r="T84" s="20" t="s">
        <v>466</v>
      </c>
      <c r="U84" s="248" t="s">
        <v>615</v>
      </c>
      <c r="V84" s="18"/>
      <c r="CL84"/>
      <c r="CM84"/>
      <c r="CN84"/>
      <c r="CO84"/>
      <c r="CP84"/>
      <c r="CQ84"/>
      <c r="CR84"/>
      <c r="CS84"/>
      <c r="CT84"/>
      <c r="CU84"/>
      <c r="CV84"/>
      <c r="CW84"/>
      <c r="CX84"/>
    </row>
    <row r="85" spans="1:102" s="1" customFormat="1" ht="37.5" customHeight="1" x14ac:dyDescent="0.25">
      <c r="A85" s="25">
        <v>44357</v>
      </c>
      <c r="B85" s="58">
        <v>0.25</v>
      </c>
      <c r="C85" s="1469" t="s">
        <v>614</v>
      </c>
      <c r="D85" s="1470"/>
      <c r="E85" s="1470"/>
      <c r="F85" s="1470"/>
      <c r="G85" s="1470"/>
      <c r="H85" s="1470"/>
      <c r="I85" s="1470"/>
      <c r="J85" s="1470"/>
      <c r="K85" s="1470"/>
      <c r="L85" s="1470"/>
      <c r="M85" s="1471"/>
      <c r="N85" s="57"/>
      <c r="O85" s="57"/>
      <c r="P85" s="57"/>
      <c r="Q85" s="57" t="s">
        <v>16</v>
      </c>
      <c r="R85" s="57" t="s">
        <v>16</v>
      </c>
      <c r="S85" s="26" t="s">
        <v>451</v>
      </c>
      <c r="T85" s="20" t="s">
        <v>466</v>
      </c>
      <c r="U85" s="248"/>
      <c r="V85" s="18"/>
      <c r="CL85"/>
      <c r="CM85"/>
      <c r="CN85"/>
      <c r="CO85"/>
      <c r="CP85"/>
      <c r="CQ85"/>
      <c r="CR85"/>
      <c r="CS85"/>
      <c r="CT85"/>
      <c r="CU85"/>
      <c r="CV85"/>
      <c r="CW85"/>
      <c r="CX85"/>
    </row>
    <row r="86" spans="1:102" s="1" customFormat="1" ht="37.5" customHeight="1" x14ac:dyDescent="0.25">
      <c r="A86" s="25">
        <v>44358</v>
      </c>
      <c r="B86" s="58">
        <v>0.25</v>
      </c>
      <c r="C86" s="1469" t="s">
        <v>614</v>
      </c>
      <c r="D86" s="1470"/>
      <c r="E86" s="1470"/>
      <c r="F86" s="1470"/>
      <c r="G86" s="1470"/>
      <c r="H86" s="1470"/>
      <c r="I86" s="1470"/>
      <c r="J86" s="1470"/>
      <c r="K86" s="1470"/>
      <c r="L86" s="1470"/>
      <c r="M86" s="1471"/>
      <c r="N86" s="57"/>
      <c r="O86" s="57"/>
      <c r="P86" s="57"/>
      <c r="Q86" s="57" t="s">
        <v>16</v>
      </c>
      <c r="R86" s="57" t="s">
        <v>16</v>
      </c>
      <c r="S86" s="26" t="s">
        <v>451</v>
      </c>
      <c r="T86" s="20" t="s">
        <v>466</v>
      </c>
      <c r="U86" s="248"/>
      <c r="V86" s="18"/>
      <c r="CL86"/>
      <c r="CM86"/>
      <c r="CN86"/>
      <c r="CO86"/>
      <c r="CP86"/>
      <c r="CQ86"/>
      <c r="CR86"/>
      <c r="CS86"/>
      <c r="CT86"/>
      <c r="CU86"/>
      <c r="CV86"/>
      <c r="CW86"/>
      <c r="CX86"/>
    </row>
    <row r="87" spans="1:102" s="1" customFormat="1" ht="37.5" customHeight="1" x14ac:dyDescent="0.25">
      <c r="A87" s="25">
        <v>44359</v>
      </c>
      <c r="B87" s="58">
        <v>0.25</v>
      </c>
      <c r="C87" s="1469" t="s">
        <v>614</v>
      </c>
      <c r="D87" s="1470"/>
      <c r="E87" s="1470"/>
      <c r="F87" s="1470"/>
      <c r="G87" s="1470"/>
      <c r="H87" s="1470"/>
      <c r="I87" s="1470"/>
      <c r="J87" s="1470"/>
      <c r="K87" s="1470"/>
      <c r="L87" s="1470"/>
      <c r="M87" s="1471"/>
      <c r="N87" s="57"/>
      <c r="O87" s="57"/>
      <c r="P87" s="57"/>
      <c r="Q87" s="57" t="s">
        <v>16</v>
      </c>
      <c r="R87" s="57" t="s">
        <v>16</v>
      </c>
      <c r="S87" s="26" t="s">
        <v>451</v>
      </c>
      <c r="T87" s="20" t="s">
        <v>466</v>
      </c>
      <c r="U87" s="248"/>
      <c r="V87" s="18"/>
      <c r="CL87"/>
      <c r="CM87"/>
      <c r="CN87"/>
      <c r="CO87"/>
      <c r="CP87"/>
      <c r="CQ87"/>
      <c r="CR87"/>
      <c r="CS87"/>
      <c r="CT87"/>
      <c r="CU87"/>
      <c r="CV87"/>
      <c r="CW87"/>
      <c r="CX87"/>
    </row>
    <row r="88" spans="1:102" s="1" customFormat="1" ht="37.5" customHeight="1" x14ac:dyDescent="0.25">
      <c r="A88" s="25">
        <v>44360</v>
      </c>
      <c r="B88" s="58">
        <v>0.25</v>
      </c>
      <c r="C88" s="1469" t="s">
        <v>614</v>
      </c>
      <c r="D88" s="1470"/>
      <c r="E88" s="1470"/>
      <c r="F88" s="1470"/>
      <c r="G88" s="1470"/>
      <c r="H88" s="1470"/>
      <c r="I88" s="1470"/>
      <c r="J88" s="1470"/>
      <c r="K88" s="1470"/>
      <c r="L88" s="1470"/>
      <c r="M88" s="1471"/>
      <c r="N88" s="57"/>
      <c r="O88" s="57"/>
      <c r="P88" s="57"/>
      <c r="Q88" s="57" t="s">
        <v>16</v>
      </c>
      <c r="R88" s="57" t="s">
        <v>16</v>
      </c>
      <c r="S88" s="26" t="s">
        <v>451</v>
      </c>
      <c r="T88" s="20" t="s">
        <v>466</v>
      </c>
      <c r="U88" s="248"/>
      <c r="V88" s="18"/>
      <c r="CL88"/>
      <c r="CM88"/>
      <c r="CN88"/>
      <c r="CO88"/>
      <c r="CP88"/>
      <c r="CQ88"/>
      <c r="CR88"/>
      <c r="CS88"/>
      <c r="CT88"/>
      <c r="CU88"/>
      <c r="CV88"/>
      <c r="CW88"/>
      <c r="CX88"/>
    </row>
    <row r="89" spans="1:102" s="1" customFormat="1" ht="37.5" customHeight="1" x14ac:dyDescent="0.25">
      <c r="A89" s="25">
        <v>44361</v>
      </c>
      <c r="B89" s="58">
        <v>0.25</v>
      </c>
      <c r="C89" s="1469" t="s">
        <v>614</v>
      </c>
      <c r="D89" s="1470"/>
      <c r="E89" s="1470"/>
      <c r="F89" s="1470"/>
      <c r="G89" s="1470"/>
      <c r="H89" s="1470"/>
      <c r="I89" s="1470"/>
      <c r="J89" s="1470"/>
      <c r="K89" s="1470"/>
      <c r="L89" s="1470"/>
      <c r="M89" s="1471"/>
      <c r="N89" s="57"/>
      <c r="O89" s="57"/>
      <c r="P89" s="57"/>
      <c r="Q89" s="57" t="s">
        <v>16</v>
      </c>
      <c r="R89" s="57" t="s">
        <v>16</v>
      </c>
      <c r="S89" s="26" t="s">
        <v>451</v>
      </c>
      <c r="T89" s="20" t="s">
        <v>466</v>
      </c>
      <c r="U89" s="248"/>
      <c r="V89" s="18"/>
      <c r="CL89"/>
      <c r="CM89"/>
      <c r="CN89"/>
      <c r="CO89"/>
      <c r="CP89"/>
      <c r="CQ89"/>
      <c r="CR89"/>
      <c r="CS89"/>
      <c r="CT89"/>
      <c r="CU89"/>
      <c r="CV89"/>
      <c r="CW89"/>
      <c r="CX89"/>
    </row>
    <row r="90" spans="1:102" s="1" customFormat="1" ht="37.5" customHeight="1" x14ac:dyDescent="0.25">
      <c r="A90" s="25">
        <v>44362</v>
      </c>
      <c r="B90" s="58">
        <v>0.25</v>
      </c>
      <c r="C90" s="1469" t="s">
        <v>614</v>
      </c>
      <c r="D90" s="1470"/>
      <c r="E90" s="1470"/>
      <c r="F90" s="1470"/>
      <c r="G90" s="1470"/>
      <c r="H90" s="1470"/>
      <c r="I90" s="1470"/>
      <c r="J90" s="1470"/>
      <c r="K90" s="1470"/>
      <c r="L90" s="1470"/>
      <c r="M90" s="1471"/>
      <c r="N90" s="57"/>
      <c r="O90" s="57"/>
      <c r="P90" s="57"/>
      <c r="Q90" s="57" t="s">
        <v>16</v>
      </c>
      <c r="R90" s="57" t="s">
        <v>16</v>
      </c>
      <c r="S90" s="26" t="s">
        <v>451</v>
      </c>
      <c r="T90" s="20" t="s">
        <v>466</v>
      </c>
      <c r="U90" s="248"/>
      <c r="V90" s="18"/>
      <c r="CL90"/>
      <c r="CM90"/>
      <c r="CN90"/>
      <c r="CO90"/>
      <c r="CP90"/>
      <c r="CQ90"/>
      <c r="CR90"/>
      <c r="CS90"/>
      <c r="CT90"/>
      <c r="CU90"/>
      <c r="CV90"/>
      <c r="CW90"/>
      <c r="CX90"/>
    </row>
    <row r="91" spans="1:102" s="1" customFormat="1" ht="37.5" customHeight="1" x14ac:dyDescent="0.25">
      <c r="A91" s="25">
        <v>44363</v>
      </c>
      <c r="B91" s="58">
        <v>0.25</v>
      </c>
      <c r="C91" s="1469" t="s">
        <v>614</v>
      </c>
      <c r="D91" s="1470"/>
      <c r="E91" s="1470"/>
      <c r="F91" s="1470"/>
      <c r="G91" s="1470"/>
      <c r="H91" s="1470"/>
      <c r="I91" s="1470"/>
      <c r="J91" s="1470"/>
      <c r="K91" s="1470"/>
      <c r="L91" s="1470"/>
      <c r="M91" s="1471"/>
      <c r="N91" s="57"/>
      <c r="O91" s="57"/>
      <c r="P91" s="57"/>
      <c r="Q91" s="57" t="s">
        <v>16</v>
      </c>
      <c r="R91" s="57" t="s">
        <v>16</v>
      </c>
      <c r="S91" s="26" t="s">
        <v>451</v>
      </c>
      <c r="T91" s="20" t="s">
        <v>466</v>
      </c>
      <c r="U91" s="248"/>
      <c r="V91" s="18"/>
      <c r="CL91"/>
      <c r="CM91"/>
      <c r="CN91"/>
      <c r="CO91"/>
      <c r="CP91"/>
      <c r="CQ91"/>
      <c r="CR91"/>
      <c r="CS91"/>
      <c r="CT91"/>
      <c r="CU91"/>
      <c r="CV91"/>
      <c r="CW91"/>
      <c r="CX91"/>
    </row>
    <row r="92" spans="1:102" s="1" customFormat="1" ht="37.5" customHeight="1" x14ac:dyDescent="0.25">
      <c r="A92" s="25">
        <v>44364</v>
      </c>
      <c r="B92" s="58">
        <v>0.25</v>
      </c>
      <c r="C92" s="1469" t="s">
        <v>614</v>
      </c>
      <c r="D92" s="1470"/>
      <c r="E92" s="1470"/>
      <c r="F92" s="1470"/>
      <c r="G92" s="1470"/>
      <c r="H92" s="1470"/>
      <c r="I92" s="1470"/>
      <c r="J92" s="1470"/>
      <c r="K92" s="1470"/>
      <c r="L92" s="1470"/>
      <c r="M92" s="1471"/>
      <c r="N92" s="57"/>
      <c r="O92" s="57"/>
      <c r="P92" s="57"/>
      <c r="Q92" s="57" t="s">
        <v>16</v>
      </c>
      <c r="R92" s="57" t="s">
        <v>16</v>
      </c>
      <c r="S92" s="26" t="s">
        <v>451</v>
      </c>
      <c r="T92" s="20" t="s">
        <v>635</v>
      </c>
      <c r="U92" s="248"/>
      <c r="V92" s="18"/>
      <c r="CL92"/>
      <c r="CM92"/>
      <c r="CN92"/>
      <c r="CO92"/>
      <c r="CP92"/>
      <c r="CQ92"/>
      <c r="CR92"/>
      <c r="CS92"/>
      <c r="CT92"/>
      <c r="CU92"/>
      <c r="CV92"/>
      <c r="CW92"/>
      <c r="CX92"/>
    </row>
    <row r="93" spans="1:102" s="1" customFormat="1" ht="37.5" customHeight="1" x14ac:dyDescent="0.25">
      <c r="A93" s="25">
        <v>44365</v>
      </c>
      <c r="B93" s="58">
        <v>0.25</v>
      </c>
      <c r="C93" s="1469" t="s">
        <v>614</v>
      </c>
      <c r="D93" s="1470"/>
      <c r="E93" s="1470"/>
      <c r="F93" s="1470"/>
      <c r="G93" s="1470"/>
      <c r="H93" s="1470"/>
      <c r="I93" s="1470"/>
      <c r="J93" s="1470"/>
      <c r="K93" s="1470"/>
      <c r="L93" s="1470"/>
      <c r="M93" s="1471"/>
      <c r="N93" s="57"/>
      <c r="O93" s="57"/>
      <c r="P93" s="57"/>
      <c r="Q93" s="57" t="s">
        <v>16</v>
      </c>
      <c r="R93" s="57" t="s">
        <v>16</v>
      </c>
      <c r="S93" s="26" t="s">
        <v>451</v>
      </c>
      <c r="T93" s="20" t="s">
        <v>635</v>
      </c>
      <c r="U93" s="248"/>
      <c r="V93" s="18"/>
      <c r="CL93"/>
      <c r="CM93"/>
      <c r="CN93"/>
      <c r="CO93"/>
      <c r="CP93"/>
      <c r="CQ93"/>
      <c r="CR93"/>
      <c r="CS93"/>
      <c r="CT93"/>
      <c r="CU93"/>
      <c r="CV93"/>
      <c r="CW93"/>
      <c r="CX93"/>
    </row>
    <row r="94" spans="1:102" s="1" customFormat="1" ht="37.5" customHeight="1" x14ac:dyDescent="0.25">
      <c r="A94" s="25">
        <v>44366</v>
      </c>
      <c r="B94" s="58">
        <v>0.25</v>
      </c>
      <c r="C94" s="1469" t="s">
        <v>614</v>
      </c>
      <c r="D94" s="1470"/>
      <c r="E94" s="1470"/>
      <c r="F94" s="1470"/>
      <c r="G94" s="1470"/>
      <c r="H94" s="1470"/>
      <c r="I94" s="1470"/>
      <c r="J94" s="1470"/>
      <c r="K94" s="1470"/>
      <c r="L94" s="1470"/>
      <c r="M94" s="1471"/>
      <c r="N94" s="57"/>
      <c r="O94" s="57"/>
      <c r="P94" s="57"/>
      <c r="Q94" s="57" t="s">
        <v>16</v>
      </c>
      <c r="R94" s="57" t="s">
        <v>16</v>
      </c>
      <c r="S94" s="26" t="s">
        <v>451</v>
      </c>
      <c r="T94" s="20" t="s">
        <v>635</v>
      </c>
      <c r="U94" s="248"/>
      <c r="V94" s="18"/>
      <c r="CL94"/>
      <c r="CM94"/>
      <c r="CN94"/>
      <c r="CO94"/>
      <c r="CP94"/>
      <c r="CQ94"/>
      <c r="CR94"/>
      <c r="CS94"/>
      <c r="CT94"/>
      <c r="CU94"/>
      <c r="CV94"/>
      <c r="CW94"/>
      <c r="CX94"/>
    </row>
    <row r="95" spans="1:102" s="1" customFormat="1" ht="37.5" customHeight="1" x14ac:dyDescent="0.25">
      <c r="A95" s="25">
        <v>44367</v>
      </c>
      <c r="B95" s="58">
        <v>0.25</v>
      </c>
      <c r="C95" s="1469" t="s">
        <v>614</v>
      </c>
      <c r="D95" s="1470"/>
      <c r="E95" s="1470"/>
      <c r="F95" s="1470"/>
      <c r="G95" s="1470"/>
      <c r="H95" s="1470"/>
      <c r="I95" s="1470"/>
      <c r="J95" s="1470"/>
      <c r="K95" s="1470"/>
      <c r="L95" s="1470"/>
      <c r="M95" s="1471"/>
      <c r="N95" s="57"/>
      <c r="O95" s="57"/>
      <c r="P95" s="57"/>
      <c r="Q95" s="57" t="s">
        <v>16</v>
      </c>
      <c r="R95" s="57" t="s">
        <v>16</v>
      </c>
      <c r="S95" s="26" t="s">
        <v>451</v>
      </c>
      <c r="T95" s="20" t="s">
        <v>635</v>
      </c>
      <c r="U95" s="248"/>
      <c r="V95" s="18"/>
      <c r="CL95"/>
      <c r="CM95"/>
      <c r="CN95"/>
      <c r="CO95"/>
      <c r="CP95"/>
      <c r="CQ95"/>
      <c r="CR95"/>
      <c r="CS95"/>
      <c r="CT95"/>
      <c r="CU95"/>
      <c r="CV95"/>
      <c r="CW95"/>
      <c r="CX95"/>
    </row>
    <row r="96" spans="1:102" s="1" customFormat="1" ht="37.5" customHeight="1" x14ac:dyDescent="0.25">
      <c r="A96" s="25">
        <v>44368</v>
      </c>
      <c r="B96" s="58">
        <v>0.25</v>
      </c>
      <c r="C96" s="1469" t="s">
        <v>614</v>
      </c>
      <c r="D96" s="1470"/>
      <c r="E96" s="1470"/>
      <c r="F96" s="1470"/>
      <c r="G96" s="1470"/>
      <c r="H96" s="1470"/>
      <c r="I96" s="1470"/>
      <c r="J96" s="1470"/>
      <c r="K96" s="1470"/>
      <c r="L96" s="1470"/>
      <c r="M96" s="1471"/>
      <c r="N96" s="57"/>
      <c r="O96" s="57"/>
      <c r="P96" s="57"/>
      <c r="Q96" s="57" t="s">
        <v>16</v>
      </c>
      <c r="R96" s="57" t="s">
        <v>16</v>
      </c>
      <c r="S96" s="26" t="s">
        <v>451</v>
      </c>
      <c r="T96" s="20" t="s">
        <v>635</v>
      </c>
      <c r="U96" s="248"/>
      <c r="V96" s="18"/>
      <c r="CL96"/>
      <c r="CM96"/>
      <c r="CN96"/>
      <c r="CO96"/>
      <c r="CP96"/>
      <c r="CQ96"/>
      <c r="CR96"/>
      <c r="CS96"/>
      <c r="CT96"/>
      <c r="CU96"/>
      <c r="CV96"/>
      <c r="CW96"/>
      <c r="CX96"/>
    </row>
    <row r="97" spans="1:102" s="1" customFormat="1" ht="37.5" customHeight="1" x14ac:dyDescent="0.25">
      <c r="A97" s="25">
        <v>44369</v>
      </c>
      <c r="B97" s="58">
        <v>0.25</v>
      </c>
      <c r="C97" s="1469" t="s">
        <v>614</v>
      </c>
      <c r="D97" s="1470"/>
      <c r="E97" s="1470"/>
      <c r="F97" s="1470"/>
      <c r="G97" s="1470"/>
      <c r="H97" s="1470"/>
      <c r="I97" s="1470"/>
      <c r="J97" s="1470"/>
      <c r="K97" s="1470"/>
      <c r="L97" s="1470"/>
      <c r="M97" s="1471"/>
      <c r="N97" s="57"/>
      <c r="O97" s="57"/>
      <c r="P97" s="57"/>
      <c r="Q97" s="57" t="s">
        <v>16</v>
      </c>
      <c r="R97" s="57" t="s">
        <v>16</v>
      </c>
      <c r="S97" s="26" t="s">
        <v>451</v>
      </c>
      <c r="T97" s="20" t="s">
        <v>668</v>
      </c>
      <c r="U97" s="248"/>
      <c r="V97" s="18"/>
      <c r="CL97"/>
      <c r="CM97"/>
      <c r="CN97"/>
      <c r="CO97"/>
      <c r="CP97"/>
      <c r="CQ97"/>
      <c r="CR97"/>
      <c r="CS97"/>
      <c r="CT97"/>
      <c r="CU97"/>
      <c r="CV97"/>
      <c r="CW97"/>
      <c r="CX97"/>
    </row>
    <row r="98" spans="1:102" s="1" customFormat="1" ht="37.5" customHeight="1" x14ac:dyDescent="0.25">
      <c r="A98" s="25">
        <v>44370</v>
      </c>
      <c r="B98" s="58">
        <v>0.25</v>
      </c>
      <c r="C98" s="1469" t="s">
        <v>614</v>
      </c>
      <c r="D98" s="1470"/>
      <c r="E98" s="1470"/>
      <c r="F98" s="1470"/>
      <c r="G98" s="1470"/>
      <c r="H98" s="1470"/>
      <c r="I98" s="1470"/>
      <c r="J98" s="1470"/>
      <c r="K98" s="1470"/>
      <c r="L98" s="1470"/>
      <c r="M98" s="1471"/>
      <c r="N98" s="57"/>
      <c r="O98" s="57"/>
      <c r="P98" s="57"/>
      <c r="Q98" s="57" t="s">
        <v>16</v>
      </c>
      <c r="R98" s="57" t="s">
        <v>16</v>
      </c>
      <c r="S98" s="26" t="s">
        <v>451</v>
      </c>
      <c r="T98" s="20" t="s">
        <v>668</v>
      </c>
      <c r="U98" s="248"/>
      <c r="V98" s="18"/>
      <c r="CL98"/>
      <c r="CM98"/>
      <c r="CN98"/>
      <c r="CO98"/>
      <c r="CP98"/>
      <c r="CQ98"/>
      <c r="CR98"/>
      <c r="CS98"/>
      <c r="CT98"/>
      <c r="CU98"/>
      <c r="CV98"/>
      <c r="CW98"/>
      <c r="CX98"/>
    </row>
    <row r="99" spans="1:102" s="1" customFormat="1" ht="37.5" customHeight="1" x14ac:dyDescent="0.25">
      <c r="A99" s="25">
        <v>44371</v>
      </c>
      <c r="B99" s="58">
        <v>0.25</v>
      </c>
      <c r="C99" s="1469" t="s">
        <v>614</v>
      </c>
      <c r="D99" s="1470"/>
      <c r="E99" s="1470"/>
      <c r="F99" s="1470"/>
      <c r="G99" s="1470"/>
      <c r="H99" s="1470"/>
      <c r="I99" s="1470"/>
      <c r="J99" s="1470"/>
      <c r="K99" s="1470"/>
      <c r="L99" s="1470"/>
      <c r="M99" s="1471"/>
      <c r="N99" s="57"/>
      <c r="O99" s="57"/>
      <c r="P99" s="57"/>
      <c r="Q99" s="57" t="s">
        <v>16</v>
      </c>
      <c r="R99" s="57" t="s">
        <v>16</v>
      </c>
      <c r="S99" s="26" t="s">
        <v>451</v>
      </c>
      <c r="T99" s="20" t="s">
        <v>668</v>
      </c>
      <c r="U99" s="248"/>
      <c r="V99" s="18"/>
      <c r="CL99"/>
      <c r="CM99"/>
      <c r="CN99"/>
      <c r="CO99"/>
      <c r="CP99"/>
      <c r="CQ99"/>
      <c r="CR99"/>
      <c r="CS99"/>
      <c r="CT99"/>
      <c r="CU99"/>
      <c r="CV99"/>
      <c r="CW99"/>
      <c r="CX99"/>
    </row>
    <row r="100" spans="1:102" s="1" customFormat="1" ht="37.5" customHeight="1" x14ac:dyDescent="0.25">
      <c r="A100" s="25">
        <v>44372</v>
      </c>
      <c r="B100" s="58">
        <v>0.25</v>
      </c>
      <c r="C100" s="1469" t="s">
        <v>614</v>
      </c>
      <c r="D100" s="1470"/>
      <c r="E100" s="1470"/>
      <c r="F100" s="1470"/>
      <c r="G100" s="1470"/>
      <c r="H100" s="1470"/>
      <c r="I100" s="1470"/>
      <c r="J100" s="1470"/>
      <c r="K100" s="1470"/>
      <c r="L100" s="1470"/>
      <c r="M100" s="1471"/>
      <c r="N100" s="57"/>
      <c r="O100" s="57"/>
      <c r="P100" s="57"/>
      <c r="Q100" s="57" t="s">
        <v>16</v>
      </c>
      <c r="R100" s="57" t="s">
        <v>16</v>
      </c>
      <c r="S100" s="26" t="s">
        <v>451</v>
      </c>
      <c r="T100" s="20" t="s">
        <v>668</v>
      </c>
      <c r="U100" s="248"/>
      <c r="V100" s="18"/>
      <c r="CL100"/>
      <c r="CM100"/>
      <c r="CN100"/>
      <c r="CO100"/>
      <c r="CP100"/>
      <c r="CQ100"/>
      <c r="CR100"/>
      <c r="CS100"/>
      <c r="CT100"/>
      <c r="CU100"/>
      <c r="CV100"/>
      <c r="CW100"/>
      <c r="CX100"/>
    </row>
    <row r="101" spans="1:102" s="1" customFormat="1" ht="37.5" customHeight="1" x14ac:dyDescent="0.25">
      <c r="A101" s="25">
        <v>44373</v>
      </c>
      <c r="B101" s="58">
        <v>0.25</v>
      </c>
      <c r="C101" s="1469" t="s">
        <v>614</v>
      </c>
      <c r="D101" s="1470"/>
      <c r="E101" s="1470"/>
      <c r="F101" s="1470"/>
      <c r="G101" s="1470"/>
      <c r="H101" s="1470"/>
      <c r="I101" s="1470"/>
      <c r="J101" s="1470"/>
      <c r="K101" s="1470"/>
      <c r="L101" s="1470"/>
      <c r="M101" s="1471"/>
      <c r="N101" s="57"/>
      <c r="O101" s="57"/>
      <c r="P101" s="57"/>
      <c r="Q101" s="57" t="s">
        <v>16</v>
      </c>
      <c r="R101" s="57" t="s">
        <v>16</v>
      </c>
      <c r="S101" s="26" t="s">
        <v>451</v>
      </c>
      <c r="T101" s="20" t="s">
        <v>668</v>
      </c>
      <c r="U101" s="248"/>
      <c r="V101" s="18"/>
      <c r="CL101"/>
      <c r="CM101"/>
      <c r="CN101"/>
      <c r="CO101"/>
      <c r="CP101"/>
      <c r="CQ101"/>
      <c r="CR101"/>
      <c r="CS101"/>
      <c r="CT101"/>
      <c r="CU101"/>
      <c r="CV101"/>
      <c r="CW101"/>
      <c r="CX101"/>
    </row>
    <row r="102" spans="1:102" s="1" customFormat="1" ht="37.5" customHeight="1" x14ac:dyDescent="0.25">
      <c r="A102" s="25">
        <v>44374</v>
      </c>
      <c r="B102" s="58">
        <v>0.25</v>
      </c>
      <c r="C102" s="1469" t="s">
        <v>614</v>
      </c>
      <c r="D102" s="1470"/>
      <c r="E102" s="1470"/>
      <c r="F102" s="1470"/>
      <c r="G102" s="1470"/>
      <c r="H102" s="1470"/>
      <c r="I102" s="1470"/>
      <c r="J102" s="1470"/>
      <c r="K102" s="1470"/>
      <c r="L102" s="1470"/>
      <c r="M102" s="1471"/>
      <c r="N102" s="57"/>
      <c r="O102" s="57"/>
      <c r="P102" s="57"/>
      <c r="Q102" s="57" t="s">
        <v>16</v>
      </c>
      <c r="R102" s="57" t="s">
        <v>16</v>
      </c>
      <c r="S102" s="26" t="s">
        <v>451</v>
      </c>
      <c r="T102" s="20" t="s">
        <v>668</v>
      </c>
      <c r="U102" s="248"/>
      <c r="V102" s="18"/>
      <c r="CL102"/>
      <c r="CM102"/>
      <c r="CN102"/>
      <c r="CO102"/>
      <c r="CP102"/>
      <c r="CQ102"/>
      <c r="CR102"/>
      <c r="CS102"/>
      <c r="CT102"/>
      <c r="CU102"/>
      <c r="CV102"/>
      <c r="CW102"/>
      <c r="CX102"/>
    </row>
    <row r="103" spans="1:102" s="1" customFormat="1" ht="37.5" customHeight="1" x14ac:dyDescent="0.25">
      <c r="A103" s="25">
        <v>44375</v>
      </c>
      <c r="B103" s="58">
        <v>0.25</v>
      </c>
      <c r="C103" s="1469" t="s">
        <v>614</v>
      </c>
      <c r="D103" s="1470"/>
      <c r="E103" s="1470"/>
      <c r="F103" s="1470"/>
      <c r="G103" s="1470"/>
      <c r="H103" s="1470"/>
      <c r="I103" s="1470"/>
      <c r="J103" s="1470"/>
      <c r="K103" s="1470"/>
      <c r="L103" s="1470"/>
      <c r="M103" s="1471"/>
      <c r="N103" s="57"/>
      <c r="O103" s="57"/>
      <c r="P103" s="57"/>
      <c r="Q103" s="57" t="s">
        <v>16</v>
      </c>
      <c r="R103" s="57" t="s">
        <v>16</v>
      </c>
      <c r="S103" s="26" t="s">
        <v>451</v>
      </c>
      <c r="T103" s="20" t="s">
        <v>668</v>
      </c>
      <c r="U103" s="248"/>
      <c r="V103" s="18"/>
      <c r="CL103"/>
      <c r="CM103"/>
      <c r="CN103"/>
      <c r="CO103"/>
      <c r="CP103"/>
      <c r="CQ103"/>
      <c r="CR103"/>
      <c r="CS103"/>
      <c r="CT103"/>
      <c r="CU103"/>
      <c r="CV103"/>
      <c r="CW103"/>
      <c r="CX103"/>
    </row>
    <row r="104" spans="1:102" s="1" customFormat="1" ht="37.5" customHeight="1" x14ac:dyDescent="0.25">
      <c r="A104" s="25">
        <v>44376</v>
      </c>
      <c r="B104" s="58">
        <v>0.25</v>
      </c>
      <c r="C104" s="1469" t="s">
        <v>614</v>
      </c>
      <c r="D104" s="1470"/>
      <c r="E104" s="1470"/>
      <c r="F104" s="1470"/>
      <c r="G104" s="1470"/>
      <c r="H104" s="1470"/>
      <c r="I104" s="1470"/>
      <c r="J104" s="1470"/>
      <c r="K104" s="1470"/>
      <c r="L104" s="1470"/>
      <c r="M104" s="1471"/>
      <c r="N104" s="57"/>
      <c r="O104" s="57"/>
      <c r="P104" s="57"/>
      <c r="Q104" s="57" t="s">
        <v>16</v>
      </c>
      <c r="R104" s="57" t="s">
        <v>16</v>
      </c>
      <c r="S104" s="26" t="s">
        <v>451</v>
      </c>
      <c r="T104" s="20" t="s">
        <v>668</v>
      </c>
      <c r="U104" s="248"/>
      <c r="V104" s="18"/>
      <c r="CL104"/>
      <c r="CM104"/>
      <c r="CN104"/>
      <c r="CO104"/>
      <c r="CP104"/>
      <c r="CQ104"/>
      <c r="CR104"/>
      <c r="CS104"/>
      <c r="CT104"/>
      <c r="CU104"/>
      <c r="CV104"/>
      <c r="CW104"/>
      <c r="CX104"/>
    </row>
    <row r="105" spans="1:102" s="1" customFormat="1" ht="37.5" customHeight="1" x14ac:dyDescent="0.25">
      <c r="A105" s="25">
        <v>44377</v>
      </c>
      <c r="B105" s="58">
        <v>0.25</v>
      </c>
      <c r="C105" s="1469" t="s">
        <v>614</v>
      </c>
      <c r="D105" s="1470"/>
      <c r="E105" s="1470"/>
      <c r="F105" s="1470"/>
      <c r="G105" s="1470"/>
      <c r="H105" s="1470"/>
      <c r="I105" s="1470"/>
      <c r="J105" s="1470"/>
      <c r="K105" s="1470"/>
      <c r="L105" s="1470"/>
      <c r="M105" s="1471"/>
      <c r="N105" s="57"/>
      <c r="O105" s="57"/>
      <c r="P105" s="57"/>
      <c r="Q105" s="57" t="s">
        <v>16</v>
      </c>
      <c r="R105" s="57" t="s">
        <v>16</v>
      </c>
      <c r="S105" s="26" t="s">
        <v>451</v>
      </c>
      <c r="T105" s="20" t="s">
        <v>668</v>
      </c>
      <c r="U105" s="248"/>
      <c r="V105" s="18"/>
      <c r="CL105"/>
      <c r="CM105"/>
      <c r="CN105"/>
      <c r="CO105"/>
      <c r="CP105"/>
      <c r="CQ105"/>
      <c r="CR105"/>
      <c r="CS105"/>
      <c r="CT105"/>
      <c r="CU105"/>
      <c r="CV105"/>
      <c r="CW105"/>
      <c r="CX105"/>
    </row>
    <row r="106" spans="1:102" s="1" customFormat="1" ht="37.5" customHeight="1" x14ac:dyDescent="0.25">
      <c r="A106" s="25">
        <v>44378</v>
      </c>
      <c r="B106" s="58">
        <v>0.25</v>
      </c>
      <c r="C106" s="1469" t="s">
        <v>614</v>
      </c>
      <c r="D106" s="1470"/>
      <c r="E106" s="1470"/>
      <c r="F106" s="1470"/>
      <c r="G106" s="1470"/>
      <c r="H106" s="1470"/>
      <c r="I106" s="1470"/>
      <c r="J106" s="1470"/>
      <c r="K106" s="1470"/>
      <c r="L106" s="1470"/>
      <c r="M106" s="1471"/>
      <c r="N106" s="57"/>
      <c r="O106" s="57"/>
      <c r="P106" s="57"/>
      <c r="Q106" s="57" t="s">
        <v>16</v>
      </c>
      <c r="R106" s="57" t="s">
        <v>16</v>
      </c>
      <c r="S106" s="26" t="s">
        <v>451</v>
      </c>
      <c r="T106" s="20" t="s">
        <v>668</v>
      </c>
      <c r="U106" s="248"/>
      <c r="V106" s="18"/>
      <c r="CL106"/>
      <c r="CM106"/>
      <c r="CN106"/>
      <c r="CO106"/>
      <c r="CP106"/>
      <c r="CQ106"/>
      <c r="CR106"/>
      <c r="CS106"/>
      <c r="CT106"/>
      <c r="CU106"/>
      <c r="CV106"/>
      <c r="CW106"/>
      <c r="CX106"/>
    </row>
    <row r="107" spans="1:102" s="1" customFormat="1" ht="37.5" customHeight="1" x14ac:dyDescent="0.25">
      <c r="A107" s="25">
        <v>44379</v>
      </c>
      <c r="B107" s="58">
        <v>0.25</v>
      </c>
      <c r="C107" s="1469" t="s">
        <v>614</v>
      </c>
      <c r="D107" s="1470"/>
      <c r="E107" s="1470"/>
      <c r="F107" s="1470"/>
      <c r="G107" s="1470"/>
      <c r="H107" s="1470"/>
      <c r="I107" s="1470"/>
      <c r="J107" s="1470"/>
      <c r="K107" s="1470"/>
      <c r="L107" s="1470"/>
      <c r="M107" s="1471"/>
      <c r="N107" s="57"/>
      <c r="O107" s="57"/>
      <c r="P107" s="57"/>
      <c r="Q107" s="57" t="s">
        <v>16</v>
      </c>
      <c r="R107" s="57" t="s">
        <v>16</v>
      </c>
      <c r="S107" s="26" t="s">
        <v>451</v>
      </c>
      <c r="T107" s="20" t="s">
        <v>668</v>
      </c>
      <c r="U107" s="248"/>
      <c r="V107" s="18"/>
      <c r="CL107"/>
      <c r="CM107"/>
      <c r="CN107"/>
      <c r="CO107"/>
      <c r="CP107"/>
      <c r="CQ107"/>
      <c r="CR107"/>
      <c r="CS107"/>
      <c r="CT107"/>
      <c r="CU107"/>
      <c r="CV107"/>
      <c r="CW107"/>
      <c r="CX107"/>
    </row>
    <row r="108" spans="1:102" s="1" customFormat="1" ht="27.75" customHeight="1" x14ac:dyDescent="0.25">
      <c r="A108" s="25">
        <v>44380</v>
      </c>
      <c r="B108" s="58">
        <v>0.75</v>
      </c>
      <c r="C108" s="246">
        <v>53</v>
      </c>
      <c r="D108" s="60">
        <v>12.9</v>
      </c>
      <c r="E108" s="247">
        <v>17.100000000000001</v>
      </c>
      <c r="F108" s="57">
        <v>1399</v>
      </c>
      <c r="G108" s="57">
        <v>2361</v>
      </c>
      <c r="H108" s="57">
        <v>102</v>
      </c>
      <c r="I108" s="57">
        <v>102.8</v>
      </c>
      <c r="J108" s="57" t="s">
        <v>694</v>
      </c>
      <c r="K108" s="60">
        <v>34.869999999999997</v>
      </c>
      <c r="L108" s="60">
        <v>61.88</v>
      </c>
      <c r="M108" s="60" t="s">
        <v>695</v>
      </c>
      <c r="N108" s="57"/>
      <c r="O108" s="57"/>
      <c r="P108" s="57"/>
      <c r="Q108" s="57" t="s">
        <v>696</v>
      </c>
      <c r="R108" s="57">
        <v>73.5</v>
      </c>
      <c r="S108" s="26" t="s">
        <v>451</v>
      </c>
      <c r="T108" s="20" t="s">
        <v>668</v>
      </c>
      <c r="U108" s="248" t="s">
        <v>697</v>
      </c>
      <c r="V108" s="18"/>
      <c r="CL108"/>
      <c r="CM108"/>
      <c r="CN108"/>
      <c r="CO108"/>
      <c r="CP108"/>
      <c r="CQ108"/>
      <c r="CR108"/>
      <c r="CS108"/>
      <c r="CT108"/>
      <c r="CU108"/>
      <c r="CV108"/>
      <c r="CW108"/>
      <c r="CX108"/>
    </row>
    <row r="109" spans="1:102" s="1" customFormat="1" ht="27.75" customHeight="1" x14ac:dyDescent="0.25">
      <c r="A109" s="25">
        <v>44381</v>
      </c>
      <c r="B109" s="58">
        <v>0.25</v>
      </c>
      <c r="C109" s="246">
        <v>53</v>
      </c>
      <c r="D109" s="60">
        <v>12.7</v>
      </c>
      <c r="E109" s="247">
        <v>17.100000000000001</v>
      </c>
      <c r="F109" s="57">
        <v>1060.8</v>
      </c>
      <c r="G109" s="57">
        <v>2263</v>
      </c>
      <c r="H109" s="57">
        <v>103.1</v>
      </c>
      <c r="I109" s="57">
        <v>104</v>
      </c>
      <c r="J109" s="57" t="s">
        <v>700</v>
      </c>
      <c r="K109" s="60">
        <v>33.6</v>
      </c>
      <c r="L109" s="60">
        <v>60</v>
      </c>
      <c r="M109" s="60">
        <v>46.29</v>
      </c>
      <c r="N109" s="57"/>
      <c r="O109" s="57"/>
      <c r="P109" s="57"/>
      <c r="Q109" s="57" t="s">
        <v>696</v>
      </c>
      <c r="R109" s="57">
        <v>73.5</v>
      </c>
      <c r="S109" s="26" t="s">
        <v>451</v>
      </c>
      <c r="T109" s="20" t="s">
        <v>668</v>
      </c>
      <c r="U109" s="248" t="s">
        <v>701</v>
      </c>
      <c r="V109" s="18"/>
      <c r="CL109"/>
      <c r="CM109"/>
      <c r="CN109"/>
      <c r="CO109"/>
      <c r="CP109"/>
      <c r="CQ109"/>
      <c r="CR109"/>
      <c r="CS109"/>
      <c r="CT109"/>
      <c r="CU109"/>
      <c r="CV109"/>
      <c r="CW109"/>
      <c r="CX109"/>
    </row>
    <row r="110" spans="1:102" s="1" customFormat="1" ht="30.75" customHeight="1" x14ac:dyDescent="0.25">
      <c r="A110" s="25">
        <v>44382</v>
      </c>
      <c r="B110" s="58">
        <v>0.25</v>
      </c>
      <c r="C110" s="246">
        <v>52</v>
      </c>
      <c r="D110" s="60">
        <v>12</v>
      </c>
      <c r="E110" s="247">
        <v>16.7</v>
      </c>
      <c r="F110" s="57">
        <v>894</v>
      </c>
      <c r="G110" s="57">
        <v>2266</v>
      </c>
      <c r="H110" s="57">
        <v>103.2</v>
      </c>
      <c r="I110" s="57">
        <v>104.2</v>
      </c>
      <c r="J110" s="57" t="s">
        <v>704</v>
      </c>
      <c r="K110" s="60">
        <v>32.840000000000003</v>
      </c>
      <c r="L110" s="60">
        <v>40</v>
      </c>
      <c r="M110" s="60">
        <v>45.68</v>
      </c>
      <c r="N110" s="57"/>
      <c r="O110" s="57"/>
      <c r="P110" s="57"/>
      <c r="Q110" s="57" t="s">
        <v>705</v>
      </c>
      <c r="R110" s="57">
        <v>70.900000000000006</v>
      </c>
      <c r="S110" s="26" t="s">
        <v>451</v>
      </c>
      <c r="T110" s="20" t="s">
        <v>668</v>
      </c>
      <c r="U110" s="248" t="s">
        <v>706</v>
      </c>
      <c r="V110" s="18"/>
      <c r="CL110"/>
      <c r="CM110"/>
      <c r="CN110"/>
      <c r="CO110"/>
      <c r="CP110"/>
      <c r="CQ110"/>
      <c r="CR110"/>
      <c r="CS110"/>
      <c r="CT110"/>
      <c r="CU110"/>
      <c r="CV110"/>
      <c r="CW110"/>
      <c r="CX110"/>
    </row>
    <row r="111" spans="1:102" s="1" customFormat="1" ht="30.75" customHeight="1" x14ac:dyDescent="0.25">
      <c r="A111" s="25">
        <v>44383</v>
      </c>
      <c r="B111" s="58">
        <v>0.25</v>
      </c>
      <c r="C111" s="246">
        <v>52</v>
      </c>
      <c r="D111" s="60">
        <v>11.6</v>
      </c>
      <c r="E111" s="247">
        <v>16.3</v>
      </c>
      <c r="F111" s="57">
        <v>842</v>
      </c>
      <c r="G111" s="57">
        <v>2250</v>
      </c>
      <c r="H111" s="57">
        <v>103.5</v>
      </c>
      <c r="I111" s="57">
        <v>104.4</v>
      </c>
      <c r="J111" s="57" t="s">
        <v>712</v>
      </c>
      <c r="K111" s="60">
        <v>33.74</v>
      </c>
      <c r="L111" s="60">
        <v>40</v>
      </c>
      <c r="M111" s="60">
        <v>44.14</v>
      </c>
      <c r="N111" s="57"/>
      <c r="O111" s="57"/>
      <c r="P111" s="57"/>
      <c r="Q111" s="57" t="s">
        <v>705</v>
      </c>
      <c r="R111" s="57">
        <v>70</v>
      </c>
      <c r="S111" s="26" t="s">
        <v>451</v>
      </c>
      <c r="T111" s="20" t="s">
        <v>668</v>
      </c>
      <c r="U111" s="248"/>
      <c r="V111" s="18"/>
      <c r="CL111"/>
      <c r="CM111"/>
      <c r="CN111"/>
      <c r="CO111"/>
      <c r="CP111"/>
      <c r="CQ111"/>
      <c r="CR111"/>
      <c r="CS111"/>
      <c r="CT111"/>
      <c r="CU111"/>
      <c r="CV111"/>
      <c r="CW111"/>
      <c r="CX111"/>
    </row>
    <row r="112" spans="1:102" s="1" customFormat="1" ht="30.75" customHeight="1" x14ac:dyDescent="0.25">
      <c r="A112" s="25">
        <v>44384</v>
      </c>
      <c r="B112" s="58">
        <v>0.25</v>
      </c>
      <c r="C112" s="246">
        <v>51</v>
      </c>
      <c r="D112" s="60">
        <v>10.9</v>
      </c>
      <c r="E112" s="247">
        <v>15.8</v>
      </c>
      <c r="F112" s="57">
        <v>870</v>
      </c>
      <c r="G112" s="57">
        <v>2260</v>
      </c>
      <c r="H112" s="57">
        <v>103</v>
      </c>
      <c r="I112" s="57">
        <v>105</v>
      </c>
      <c r="J112" s="57" t="s">
        <v>718</v>
      </c>
      <c r="K112" s="60">
        <v>34</v>
      </c>
      <c r="L112" s="60">
        <v>38</v>
      </c>
      <c r="M112" s="60">
        <v>39.86</v>
      </c>
      <c r="N112" s="57"/>
      <c r="O112" s="57"/>
      <c r="P112" s="57"/>
      <c r="Q112" s="57" t="s">
        <v>719</v>
      </c>
      <c r="R112" s="57">
        <v>67.5</v>
      </c>
      <c r="S112" s="26" t="s">
        <v>451</v>
      </c>
      <c r="T112" s="20" t="s">
        <v>668</v>
      </c>
      <c r="U112" s="248" t="s">
        <v>717</v>
      </c>
      <c r="V112" s="18"/>
      <c r="CL112"/>
      <c r="CM112"/>
      <c r="CN112"/>
      <c r="CO112"/>
      <c r="CP112"/>
      <c r="CQ112"/>
      <c r="CR112"/>
      <c r="CS112"/>
      <c r="CT112"/>
      <c r="CU112"/>
      <c r="CV112"/>
      <c r="CW112"/>
      <c r="CX112"/>
    </row>
    <row r="113" spans="1:102" s="1" customFormat="1" ht="30.75" customHeight="1" x14ac:dyDescent="0.25">
      <c r="A113" s="25">
        <v>44385</v>
      </c>
      <c r="B113" s="58">
        <v>0.25</v>
      </c>
      <c r="C113" s="246">
        <v>51.5</v>
      </c>
      <c r="D113" s="60">
        <v>11.2</v>
      </c>
      <c r="E113" s="247">
        <v>16</v>
      </c>
      <c r="F113" s="57">
        <v>856.7</v>
      </c>
      <c r="G113" s="57">
        <v>2259.1999999999998</v>
      </c>
      <c r="H113" s="57">
        <v>104.5</v>
      </c>
      <c r="I113" s="57">
        <v>105.5</v>
      </c>
      <c r="J113" s="57" t="s">
        <v>725</v>
      </c>
      <c r="K113" s="60">
        <v>33.130000000000003</v>
      </c>
      <c r="L113" s="60">
        <v>36.5</v>
      </c>
      <c r="M113" s="60">
        <v>39.71</v>
      </c>
      <c r="N113" s="57"/>
      <c r="O113" s="57"/>
      <c r="P113" s="57"/>
      <c r="Q113" s="57" t="s">
        <v>719</v>
      </c>
      <c r="R113" s="57">
        <v>68.3</v>
      </c>
      <c r="S113" s="26" t="s">
        <v>451</v>
      </c>
      <c r="T113" s="20" t="s">
        <v>668</v>
      </c>
      <c r="U113" s="248" t="s">
        <v>726</v>
      </c>
      <c r="V113" s="18"/>
      <c r="CL113"/>
      <c r="CM113"/>
      <c r="CN113"/>
      <c r="CO113"/>
      <c r="CP113"/>
      <c r="CQ113"/>
      <c r="CR113"/>
      <c r="CS113"/>
      <c r="CT113"/>
      <c r="CU113"/>
      <c r="CV113"/>
      <c r="CW113"/>
      <c r="CX113"/>
    </row>
    <row r="114" spans="1:102" s="1" customFormat="1" ht="30.75" customHeight="1" x14ac:dyDescent="0.25">
      <c r="A114" s="25">
        <v>44386</v>
      </c>
      <c r="B114" s="58">
        <v>0.25</v>
      </c>
      <c r="C114" s="246">
        <v>53</v>
      </c>
      <c r="D114" s="60">
        <v>12</v>
      </c>
      <c r="E114" s="247">
        <v>16.2</v>
      </c>
      <c r="F114" s="57">
        <v>865.2</v>
      </c>
      <c r="G114" s="57">
        <v>2327</v>
      </c>
      <c r="H114" s="57">
        <v>105.3</v>
      </c>
      <c r="I114" s="57">
        <v>106.5</v>
      </c>
      <c r="J114" s="57" t="s">
        <v>730</v>
      </c>
      <c r="K114" s="60">
        <v>33.950000000000003</v>
      </c>
      <c r="L114" s="60">
        <v>36</v>
      </c>
      <c r="M114" s="60" t="s">
        <v>731</v>
      </c>
      <c r="N114" s="57"/>
      <c r="O114" s="57"/>
      <c r="P114" s="57"/>
      <c r="Q114" s="57" t="s">
        <v>719</v>
      </c>
      <c r="R114" s="57">
        <v>68.8</v>
      </c>
      <c r="S114" s="26" t="s">
        <v>451</v>
      </c>
      <c r="T114" s="20" t="s">
        <v>668</v>
      </c>
      <c r="U114" s="248" t="s">
        <v>732</v>
      </c>
      <c r="V114" s="18"/>
      <c r="CL114"/>
      <c r="CM114"/>
      <c r="CN114"/>
      <c r="CO114"/>
      <c r="CP114"/>
      <c r="CQ114"/>
      <c r="CR114"/>
      <c r="CS114"/>
      <c r="CT114"/>
      <c r="CU114"/>
      <c r="CV114"/>
      <c r="CW114"/>
      <c r="CX114"/>
    </row>
    <row r="115" spans="1:102" s="1" customFormat="1" ht="30.75" customHeight="1" x14ac:dyDescent="0.25">
      <c r="A115" s="25">
        <v>44387</v>
      </c>
      <c r="B115" s="58">
        <v>0.25</v>
      </c>
      <c r="C115" s="1466" t="s">
        <v>737</v>
      </c>
      <c r="D115" s="1467"/>
      <c r="E115" s="1467"/>
      <c r="F115" s="1467"/>
      <c r="G115" s="1467"/>
      <c r="H115" s="1467"/>
      <c r="I115" s="1467"/>
      <c r="J115" s="1467"/>
      <c r="K115" s="1467"/>
      <c r="L115" s="1468"/>
      <c r="M115" s="60" t="s">
        <v>731</v>
      </c>
      <c r="N115" s="57"/>
      <c r="O115" s="57"/>
      <c r="P115" s="57"/>
      <c r="Q115" s="57"/>
      <c r="R115" s="57"/>
      <c r="S115" s="26" t="s">
        <v>451</v>
      </c>
      <c r="T115" s="20" t="s">
        <v>668</v>
      </c>
      <c r="U115" s="248"/>
      <c r="V115" s="18"/>
      <c r="CL115"/>
      <c r="CM115"/>
      <c r="CN115"/>
      <c r="CO115"/>
      <c r="CP115"/>
      <c r="CQ115"/>
      <c r="CR115"/>
      <c r="CS115"/>
      <c r="CT115"/>
      <c r="CU115"/>
      <c r="CV115"/>
      <c r="CW115"/>
      <c r="CX115"/>
    </row>
    <row r="116" spans="1:102" s="1" customFormat="1" ht="30.75" customHeight="1" x14ac:dyDescent="0.25">
      <c r="A116" s="25">
        <v>44388</v>
      </c>
      <c r="B116" s="58">
        <v>0.75</v>
      </c>
      <c r="C116" s="246">
        <v>53</v>
      </c>
      <c r="D116" s="60">
        <v>12.3</v>
      </c>
      <c r="E116" s="247">
        <v>17</v>
      </c>
      <c r="F116" s="57">
        <v>1042</v>
      </c>
      <c r="G116" s="57">
        <v>2238</v>
      </c>
      <c r="H116" s="57">
        <v>102</v>
      </c>
      <c r="I116" s="57">
        <v>102.6</v>
      </c>
      <c r="J116" s="57" t="s">
        <v>744</v>
      </c>
      <c r="K116" s="60">
        <v>32.28</v>
      </c>
      <c r="L116" s="60">
        <v>47</v>
      </c>
      <c r="M116" s="60">
        <v>40.630000000000003</v>
      </c>
      <c r="N116" s="57"/>
      <c r="O116" s="57"/>
      <c r="P116" s="57"/>
      <c r="Q116" s="57" t="s">
        <v>719</v>
      </c>
      <c r="R116" s="57">
        <v>72.2</v>
      </c>
      <c r="S116" s="26" t="s">
        <v>451</v>
      </c>
      <c r="T116" s="20" t="s">
        <v>668</v>
      </c>
      <c r="U116" s="248" t="s">
        <v>745</v>
      </c>
      <c r="V116" s="18"/>
      <c r="CL116"/>
      <c r="CM116"/>
      <c r="CN116"/>
      <c r="CO116"/>
      <c r="CP116"/>
      <c r="CQ116"/>
      <c r="CR116"/>
      <c r="CS116"/>
      <c r="CT116"/>
      <c r="CU116"/>
      <c r="CV116"/>
      <c r="CW116"/>
      <c r="CX116"/>
    </row>
    <row r="117" spans="1:102" s="1" customFormat="1" ht="30.75" customHeight="1" x14ac:dyDescent="0.25">
      <c r="A117" s="25">
        <v>44389</v>
      </c>
      <c r="B117" s="58">
        <v>0.25</v>
      </c>
      <c r="C117" s="246">
        <v>52.5</v>
      </c>
      <c r="D117" s="60">
        <v>11.9</v>
      </c>
      <c r="E117" s="247">
        <v>16.399999999999999</v>
      </c>
      <c r="F117" s="57">
        <v>858.8</v>
      </c>
      <c r="G117" s="57">
        <v>2277</v>
      </c>
      <c r="H117" s="57">
        <v>103.3</v>
      </c>
      <c r="I117" s="57">
        <v>104.5</v>
      </c>
      <c r="J117" s="57" t="s">
        <v>748</v>
      </c>
      <c r="K117" s="60">
        <v>33.74</v>
      </c>
      <c r="L117" s="60">
        <v>42</v>
      </c>
      <c r="M117" s="60">
        <v>42.63</v>
      </c>
      <c r="N117" s="57"/>
      <c r="O117" s="57"/>
      <c r="P117" s="57"/>
      <c r="Q117" s="57" t="s">
        <v>749</v>
      </c>
      <c r="R117" s="57">
        <v>70</v>
      </c>
      <c r="S117" s="26" t="s">
        <v>451</v>
      </c>
      <c r="T117" s="20" t="s">
        <v>668</v>
      </c>
      <c r="U117" s="248"/>
      <c r="V117" s="18"/>
      <c r="CL117"/>
      <c r="CM117"/>
      <c r="CN117"/>
      <c r="CO117"/>
      <c r="CP117"/>
      <c r="CQ117"/>
      <c r="CR117"/>
      <c r="CS117"/>
      <c r="CT117"/>
      <c r="CU117"/>
      <c r="CV117"/>
      <c r="CW117"/>
      <c r="CX117"/>
    </row>
    <row r="118" spans="1:102" s="1" customFormat="1" ht="30.75" customHeight="1" x14ac:dyDescent="0.25">
      <c r="A118" s="25">
        <v>44390</v>
      </c>
      <c r="B118" s="58">
        <v>0.25</v>
      </c>
      <c r="C118" s="246">
        <v>52.5</v>
      </c>
      <c r="D118" s="60">
        <v>11.7</v>
      </c>
      <c r="E118" s="247">
        <v>16.3</v>
      </c>
      <c r="F118" s="57">
        <v>793.8</v>
      </c>
      <c r="G118" s="57">
        <v>2240</v>
      </c>
      <c r="H118" s="57">
        <v>103.5</v>
      </c>
      <c r="I118" s="57">
        <v>105</v>
      </c>
      <c r="J118" s="57" t="s">
        <v>753</v>
      </c>
      <c r="K118" s="60">
        <v>31.87</v>
      </c>
      <c r="L118" s="60">
        <v>38</v>
      </c>
      <c r="M118" s="60">
        <v>43.8</v>
      </c>
      <c r="N118" s="57"/>
      <c r="O118" s="57"/>
      <c r="P118" s="57"/>
      <c r="Q118" s="57" t="s">
        <v>749</v>
      </c>
      <c r="R118" s="57">
        <v>69.599999999999994</v>
      </c>
      <c r="S118" s="26" t="s">
        <v>451</v>
      </c>
      <c r="T118" s="20" t="s">
        <v>668</v>
      </c>
      <c r="U118" s="248"/>
      <c r="V118" s="18"/>
      <c r="CL118"/>
      <c r="CM118"/>
      <c r="CN118"/>
      <c r="CO118"/>
      <c r="CP118"/>
      <c r="CQ118"/>
      <c r="CR118"/>
      <c r="CS118"/>
      <c r="CT118"/>
      <c r="CU118"/>
      <c r="CV118"/>
      <c r="CW118"/>
      <c r="CX118"/>
    </row>
    <row r="119" spans="1:102" s="1" customFormat="1" ht="30.75" customHeight="1" x14ac:dyDescent="0.25">
      <c r="A119" s="25">
        <v>44391</v>
      </c>
      <c r="B119" s="58">
        <v>0.25</v>
      </c>
      <c r="C119" s="246">
        <v>52.5</v>
      </c>
      <c r="D119" s="60">
        <v>11.8</v>
      </c>
      <c r="E119" s="247">
        <v>16.399999999999999</v>
      </c>
      <c r="F119" s="57">
        <v>775.3</v>
      </c>
      <c r="G119" s="57">
        <v>2242</v>
      </c>
      <c r="H119" s="57">
        <v>103.7</v>
      </c>
      <c r="I119" s="57">
        <v>105.7</v>
      </c>
      <c r="J119" s="57" t="s">
        <v>756</v>
      </c>
      <c r="K119" s="60">
        <v>32.07</v>
      </c>
      <c r="L119" s="60">
        <v>37</v>
      </c>
      <c r="M119" s="60">
        <v>42.41</v>
      </c>
      <c r="N119" s="57"/>
      <c r="O119" s="57"/>
      <c r="P119" s="57"/>
      <c r="Q119" s="57" t="s">
        <v>757</v>
      </c>
      <c r="R119" s="57">
        <v>70</v>
      </c>
      <c r="S119" s="26" t="s">
        <v>451</v>
      </c>
      <c r="T119" s="20" t="s">
        <v>668</v>
      </c>
      <c r="U119" s="248"/>
      <c r="V119" s="18"/>
      <c r="CL119"/>
      <c r="CM119"/>
      <c r="CN119"/>
      <c r="CO119"/>
      <c r="CP119"/>
      <c r="CQ119"/>
      <c r="CR119"/>
      <c r="CS119"/>
      <c r="CT119"/>
      <c r="CU119"/>
      <c r="CV119"/>
      <c r="CW119"/>
      <c r="CX119"/>
    </row>
    <row r="120" spans="1:102" s="1" customFormat="1" ht="30.75" customHeight="1" x14ac:dyDescent="0.25">
      <c r="A120" s="25">
        <v>44392</v>
      </c>
      <c r="B120" s="58">
        <v>0.25</v>
      </c>
      <c r="C120" s="246">
        <v>52.5</v>
      </c>
      <c r="D120" s="60">
        <v>11.7</v>
      </c>
      <c r="E120" s="247">
        <v>16.3</v>
      </c>
      <c r="F120" s="57">
        <v>772.3</v>
      </c>
      <c r="G120" s="57">
        <v>2246</v>
      </c>
      <c r="H120" s="57">
        <v>104</v>
      </c>
      <c r="I120" s="57">
        <v>105.1</v>
      </c>
      <c r="J120" s="57" t="s">
        <v>761</v>
      </c>
      <c r="K120" s="60">
        <v>32.33</v>
      </c>
      <c r="L120" s="60">
        <v>37</v>
      </c>
      <c r="M120" s="60">
        <v>40.89</v>
      </c>
      <c r="N120" s="57"/>
      <c r="O120" s="57"/>
      <c r="P120" s="57"/>
      <c r="Q120" s="57" t="s">
        <v>757</v>
      </c>
      <c r="R120" s="57">
        <v>69.2</v>
      </c>
      <c r="S120" s="26" t="s">
        <v>451</v>
      </c>
      <c r="T120" s="20" t="s">
        <v>668</v>
      </c>
      <c r="U120" s="248"/>
      <c r="V120" s="18"/>
      <c r="CL120"/>
      <c r="CM120"/>
      <c r="CN120"/>
      <c r="CO120"/>
      <c r="CP120"/>
      <c r="CQ120"/>
      <c r="CR120"/>
      <c r="CS120"/>
      <c r="CT120"/>
      <c r="CU120"/>
      <c r="CV120"/>
      <c r="CW120"/>
      <c r="CX120"/>
    </row>
    <row r="121" spans="1:102" s="1" customFormat="1" ht="30.75" customHeight="1" x14ac:dyDescent="0.25">
      <c r="A121" s="25">
        <v>44393</v>
      </c>
      <c r="B121" s="58">
        <v>0.25</v>
      </c>
      <c r="C121" s="246">
        <v>52.5</v>
      </c>
      <c r="D121" s="60">
        <v>11.2</v>
      </c>
      <c r="E121" s="247">
        <v>16.2</v>
      </c>
      <c r="F121" s="57">
        <v>789</v>
      </c>
      <c r="G121" s="57">
        <v>2250</v>
      </c>
      <c r="H121" s="57">
        <v>105.7</v>
      </c>
      <c r="I121" s="57">
        <v>107.7</v>
      </c>
      <c r="J121" s="57" t="s">
        <v>764</v>
      </c>
      <c r="K121" s="60">
        <v>32.03</v>
      </c>
      <c r="L121" s="60">
        <v>33.5</v>
      </c>
      <c r="M121" s="60">
        <v>36.299999999999997</v>
      </c>
      <c r="N121" s="57"/>
      <c r="O121" s="57"/>
      <c r="P121" s="57"/>
      <c r="Q121" s="57" t="s">
        <v>757</v>
      </c>
      <c r="R121" s="57">
        <v>68.900000000000006</v>
      </c>
      <c r="S121" s="26" t="s">
        <v>451</v>
      </c>
      <c r="T121" s="20" t="s">
        <v>668</v>
      </c>
      <c r="U121" s="248"/>
      <c r="V121" s="18"/>
      <c r="CL121"/>
      <c r="CM121"/>
      <c r="CN121"/>
      <c r="CO121"/>
      <c r="CP121"/>
      <c r="CQ121"/>
      <c r="CR121"/>
      <c r="CS121"/>
      <c r="CT121"/>
      <c r="CU121"/>
      <c r="CV121"/>
      <c r="CW121"/>
      <c r="CX121"/>
    </row>
    <row r="122" spans="1:102" s="1" customFormat="1" ht="30.75" customHeight="1" x14ac:dyDescent="0.25">
      <c r="A122" s="25">
        <v>44394</v>
      </c>
      <c r="B122" s="58">
        <v>0.25</v>
      </c>
      <c r="C122" s="1469" t="s">
        <v>767</v>
      </c>
      <c r="D122" s="1470"/>
      <c r="E122" s="1470"/>
      <c r="F122" s="1470"/>
      <c r="G122" s="1470"/>
      <c r="H122" s="1470"/>
      <c r="I122" s="1470"/>
      <c r="J122" s="1470"/>
      <c r="K122" s="1470"/>
      <c r="L122" s="1470"/>
      <c r="M122" s="1471"/>
      <c r="N122" s="57"/>
      <c r="O122" s="57"/>
      <c r="P122" s="57"/>
      <c r="Q122" s="57"/>
      <c r="R122" s="57"/>
      <c r="S122" s="26" t="s">
        <v>451</v>
      </c>
      <c r="T122" s="20" t="s">
        <v>668</v>
      </c>
      <c r="U122" s="248"/>
      <c r="V122" s="18"/>
      <c r="CL122"/>
      <c r="CM122"/>
      <c r="CN122"/>
      <c r="CO122"/>
      <c r="CP122"/>
      <c r="CQ122"/>
      <c r="CR122"/>
      <c r="CS122"/>
      <c r="CT122"/>
      <c r="CU122"/>
      <c r="CV122"/>
      <c r="CW122"/>
      <c r="CX122"/>
    </row>
    <row r="123" spans="1:102" s="1" customFormat="1" ht="30.75" customHeight="1" x14ac:dyDescent="0.25">
      <c r="A123" s="25">
        <v>44395</v>
      </c>
      <c r="B123" s="58">
        <v>0.25</v>
      </c>
      <c r="C123" s="1469" t="s">
        <v>767</v>
      </c>
      <c r="D123" s="1470"/>
      <c r="E123" s="1470"/>
      <c r="F123" s="1470"/>
      <c r="G123" s="1470"/>
      <c r="H123" s="1470"/>
      <c r="I123" s="1470"/>
      <c r="J123" s="1470"/>
      <c r="K123" s="1470"/>
      <c r="L123" s="1470"/>
      <c r="M123" s="1471"/>
      <c r="N123" s="57"/>
      <c r="O123" s="57"/>
      <c r="P123" s="57"/>
      <c r="Q123" s="57"/>
      <c r="R123" s="57"/>
      <c r="S123" s="26" t="s">
        <v>451</v>
      </c>
      <c r="T123" s="20" t="s">
        <v>668</v>
      </c>
      <c r="U123" s="248"/>
      <c r="V123" s="18"/>
      <c r="CL123"/>
      <c r="CM123"/>
      <c r="CN123"/>
      <c r="CO123"/>
      <c r="CP123"/>
      <c r="CQ123"/>
      <c r="CR123"/>
      <c r="CS123"/>
      <c r="CT123"/>
      <c r="CU123"/>
      <c r="CV123"/>
      <c r="CW123"/>
      <c r="CX123"/>
    </row>
    <row r="124" spans="1:102" s="1" customFormat="1" ht="30.75" customHeight="1" x14ac:dyDescent="0.25">
      <c r="A124" s="25">
        <v>44396</v>
      </c>
      <c r="B124" s="58">
        <v>0.25</v>
      </c>
      <c r="C124" s="1469" t="s">
        <v>767</v>
      </c>
      <c r="D124" s="1470"/>
      <c r="E124" s="1470"/>
      <c r="F124" s="1470"/>
      <c r="G124" s="1470"/>
      <c r="H124" s="1470"/>
      <c r="I124" s="1470"/>
      <c r="J124" s="1470"/>
      <c r="K124" s="1470"/>
      <c r="L124" s="1470"/>
      <c r="M124" s="1471"/>
      <c r="N124" s="57"/>
      <c r="O124" s="57"/>
      <c r="P124" s="57"/>
      <c r="Q124" s="57"/>
      <c r="R124" s="57"/>
      <c r="S124" s="26" t="s">
        <v>451</v>
      </c>
      <c r="T124" s="20" t="s">
        <v>668</v>
      </c>
      <c r="U124" s="248"/>
      <c r="V124" s="18"/>
      <c r="CL124"/>
      <c r="CM124"/>
      <c r="CN124"/>
      <c r="CO124"/>
      <c r="CP124"/>
      <c r="CQ124"/>
      <c r="CR124"/>
      <c r="CS124"/>
      <c r="CT124"/>
      <c r="CU124"/>
      <c r="CV124"/>
      <c r="CW124"/>
      <c r="CX124"/>
    </row>
    <row r="125" spans="1:102" s="1" customFormat="1" ht="30.75" customHeight="1" x14ac:dyDescent="0.25">
      <c r="A125" s="25">
        <v>44397</v>
      </c>
      <c r="B125" s="58">
        <v>0.25</v>
      </c>
      <c r="C125" s="1469" t="s">
        <v>767</v>
      </c>
      <c r="D125" s="1470"/>
      <c r="E125" s="1470"/>
      <c r="F125" s="1470"/>
      <c r="G125" s="1470"/>
      <c r="H125" s="1470"/>
      <c r="I125" s="1470"/>
      <c r="J125" s="1470"/>
      <c r="K125" s="1470"/>
      <c r="L125" s="1470"/>
      <c r="M125" s="1471"/>
      <c r="N125" s="57"/>
      <c r="O125" s="57"/>
      <c r="P125" s="57"/>
      <c r="Q125" s="57"/>
      <c r="R125" s="57"/>
      <c r="S125" s="26" t="s">
        <v>451</v>
      </c>
      <c r="T125" s="20" t="s">
        <v>668</v>
      </c>
      <c r="U125" s="248"/>
      <c r="V125" s="18"/>
      <c r="CL125"/>
      <c r="CM125"/>
      <c r="CN125"/>
      <c r="CO125"/>
      <c r="CP125"/>
      <c r="CQ125"/>
      <c r="CR125"/>
      <c r="CS125"/>
      <c r="CT125"/>
      <c r="CU125"/>
      <c r="CV125"/>
      <c r="CW125"/>
      <c r="CX125"/>
    </row>
    <row r="126" spans="1:102" s="1" customFormat="1" ht="30.75" customHeight="1" x14ac:dyDescent="0.25">
      <c r="A126" s="25">
        <v>44398</v>
      </c>
      <c r="B126" s="58">
        <v>0.25</v>
      </c>
      <c r="C126" s="1469" t="s">
        <v>767</v>
      </c>
      <c r="D126" s="1470"/>
      <c r="E126" s="1470"/>
      <c r="F126" s="1470"/>
      <c r="G126" s="1470"/>
      <c r="H126" s="1470"/>
      <c r="I126" s="1470"/>
      <c r="J126" s="1470"/>
      <c r="K126" s="1470"/>
      <c r="L126" s="1470"/>
      <c r="M126" s="1471"/>
      <c r="N126" s="57"/>
      <c r="O126" s="57"/>
      <c r="P126" s="57"/>
      <c r="Q126" s="57"/>
      <c r="R126" s="57"/>
      <c r="S126" s="26" t="s">
        <v>451</v>
      </c>
      <c r="T126" s="20" t="s">
        <v>668</v>
      </c>
      <c r="U126" s="248"/>
      <c r="V126" s="18"/>
      <c r="CL126"/>
      <c r="CM126"/>
      <c r="CN126"/>
      <c r="CO126"/>
      <c r="CP126"/>
      <c r="CQ126"/>
      <c r="CR126"/>
      <c r="CS126"/>
      <c r="CT126"/>
      <c r="CU126"/>
      <c r="CV126"/>
      <c r="CW126"/>
      <c r="CX126"/>
    </row>
    <row r="127" spans="1:102" s="1" customFormat="1" ht="30.75" customHeight="1" x14ac:dyDescent="0.25">
      <c r="A127" s="25">
        <v>44399</v>
      </c>
      <c r="B127" s="58">
        <v>0.25</v>
      </c>
      <c r="C127" s="1469" t="s">
        <v>767</v>
      </c>
      <c r="D127" s="1470"/>
      <c r="E127" s="1470"/>
      <c r="F127" s="1470"/>
      <c r="G127" s="1470"/>
      <c r="H127" s="1470"/>
      <c r="I127" s="1470"/>
      <c r="J127" s="1470"/>
      <c r="K127" s="1470"/>
      <c r="L127" s="1470"/>
      <c r="M127" s="1471"/>
      <c r="N127" s="57"/>
      <c r="O127" s="57"/>
      <c r="P127" s="57"/>
      <c r="Q127" s="57"/>
      <c r="R127" s="57"/>
      <c r="S127" s="26" t="s">
        <v>451</v>
      </c>
      <c r="T127" s="20" t="s">
        <v>668</v>
      </c>
      <c r="U127" s="248"/>
      <c r="V127" s="18"/>
      <c r="CL127"/>
      <c r="CM127"/>
      <c r="CN127"/>
      <c r="CO127"/>
      <c r="CP127"/>
      <c r="CQ127"/>
      <c r="CR127"/>
      <c r="CS127"/>
      <c r="CT127"/>
      <c r="CU127"/>
      <c r="CV127"/>
      <c r="CW127"/>
      <c r="CX127"/>
    </row>
    <row r="128" spans="1:102" s="1" customFormat="1" ht="30.75" customHeight="1" x14ac:dyDescent="0.25">
      <c r="A128" s="25">
        <v>44400</v>
      </c>
      <c r="B128" s="58">
        <v>0.25</v>
      </c>
      <c r="C128" s="1469" t="s">
        <v>767</v>
      </c>
      <c r="D128" s="1470"/>
      <c r="E128" s="1470"/>
      <c r="F128" s="1470"/>
      <c r="G128" s="1470"/>
      <c r="H128" s="1470"/>
      <c r="I128" s="1470"/>
      <c r="J128" s="1470"/>
      <c r="K128" s="1470"/>
      <c r="L128" s="1470"/>
      <c r="M128" s="1471"/>
      <c r="N128" s="57"/>
      <c r="O128" s="57"/>
      <c r="P128" s="57"/>
      <c r="Q128" s="57"/>
      <c r="R128" s="57"/>
      <c r="S128" s="26" t="s">
        <v>451</v>
      </c>
      <c r="T128" s="20" t="s">
        <v>668</v>
      </c>
      <c r="U128" s="248"/>
      <c r="V128" s="18"/>
      <c r="CL128"/>
      <c r="CM128"/>
      <c r="CN128"/>
      <c r="CO128"/>
      <c r="CP128"/>
      <c r="CQ128"/>
      <c r="CR128"/>
      <c r="CS128"/>
      <c r="CT128"/>
      <c r="CU128"/>
      <c r="CV128"/>
      <c r="CW128"/>
      <c r="CX128"/>
    </row>
    <row r="129" spans="1:102" s="1" customFormat="1" ht="30.75" customHeight="1" x14ac:dyDescent="0.25">
      <c r="A129" s="25">
        <v>44401</v>
      </c>
      <c r="B129" s="58">
        <v>0.25</v>
      </c>
      <c r="C129" s="1469" t="s">
        <v>767</v>
      </c>
      <c r="D129" s="1470"/>
      <c r="E129" s="1470"/>
      <c r="F129" s="1470"/>
      <c r="G129" s="1470"/>
      <c r="H129" s="1470"/>
      <c r="I129" s="1470"/>
      <c r="J129" s="1470"/>
      <c r="K129" s="1470"/>
      <c r="L129" s="1470"/>
      <c r="M129" s="1471"/>
      <c r="N129" s="57"/>
      <c r="O129" s="57"/>
      <c r="P129" s="57"/>
      <c r="Q129" s="57"/>
      <c r="R129" s="57"/>
      <c r="S129" s="26" t="s">
        <v>451</v>
      </c>
      <c r="T129" s="20" t="s">
        <v>668</v>
      </c>
      <c r="U129" s="248"/>
      <c r="V129" s="18"/>
      <c r="CL129"/>
      <c r="CM129"/>
      <c r="CN129"/>
      <c r="CO129"/>
      <c r="CP129"/>
      <c r="CQ129"/>
      <c r="CR129"/>
      <c r="CS129"/>
      <c r="CT129"/>
      <c r="CU129"/>
      <c r="CV129"/>
      <c r="CW129"/>
      <c r="CX129"/>
    </row>
    <row r="130" spans="1:102" s="1" customFormat="1" ht="30.75" customHeight="1" x14ac:dyDescent="0.25">
      <c r="A130" s="25">
        <v>44402</v>
      </c>
      <c r="B130" s="58">
        <v>0.25</v>
      </c>
      <c r="C130" s="246">
        <v>52</v>
      </c>
      <c r="D130" s="60">
        <v>10.8</v>
      </c>
      <c r="E130" s="247">
        <v>16.2</v>
      </c>
      <c r="F130" s="57">
        <v>878</v>
      </c>
      <c r="G130" s="57">
        <v>2222</v>
      </c>
      <c r="H130" s="57">
        <v>104</v>
      </c>
      <c r="I130" s="57">
        <v>103</v>
      </c>
      <c r="J130" s="57"/>
      <c r="K130" s="60">
        <v>30.8</v>
      </c>
      <c r="L130" s="60">
        <v>34</v>
      </c>
      <c r="M130" s="60">
        <v>42.9</v>
      </c>
      <c r="N130" s="57"/>
      <c r="O130" s="57"/>
      <c r="P130" s="57"/>
      <c r="Q130" s="57" t="s">
        <v>757</v>
      </c>
      <c r="R130" s="57"/>
      <c r="S130" s="26" t="s">
        <v>451</v>
      </c>
      <c r="T130" s="20" t="s">
        <v>668</v>
      </c>
      <c r="U130" s="248"/>
      <c r="V130" s="18"/>
      <c r="CL130"/>
      <c r="CM130"/>
      <c r="CN130"/>
      <c r="CO130"/>
      <c r="CP130"/>
      <c r="CQ130"/>
      <c r="CR130"/>
      <c r="CS130"/>
      <c r="CT130"/>
      <c r="CU130"/>
      <c r="CV130"/>
      <c r="CW130"/>
      <c r="CX130"/>
    </row>
    <row r="131" spans="1:102" s="1" customFormat="1" ht="30.75" customHeight="1" x14ac:dyDescent="0.25">
      <c r="A131" s="25">
        <v>44403</v>
      </c>
      <c r="B131" s="58">
        <v>0.25</v>
      </c>
      <c r="C131" s="246">
        <v>52</v>
      </c>
      <c r="D131" s="60">
        <v>11.9</v>
      </c>
      <c r="E131" s="247">
        <v>16.3</v>
      </c>
      <c r="F131" s="57">
        <v>811</v>
      </c>
      <c r="G131" s="57">
        <v>2241</v>
      </c>
      <c r="H131" s="57">
        <v>104</v>
      </c>
      <c r="I131" s="57">
        <v>103.6</v>
      </c>
      <c r="J131" s="57"/>
      <c r="K131" s="60">
        <v>32.450000000000003</v>
      </c>
      <c r="L131" s="60">
        <v>34</v>
      </c>
      <c r="M131" s="60">
        <v>43.12</v>
      </c>
      <c r="N131" s="57"/>
      <c r="O131" s="57"/>
      <c r="P131" s="57"/>
      <c r="Q131" s="57" t="s">
        <v>757</v>
      </c>
      <c r="R131" s="57"/>
      <c r="S131" s="26" t="s">
        <v>451</v>
      </c>
      <c r="T131" s="20" t="s">
        <v>668</v>
      </c>
      <c r="U131" s="248"/>
      <c r="V131" s="18"/>
      <c r="CL131"/>
      <c r="CM131"/>
      <c r="CN131"/>
      <c r="CO131"/>
      <c r="CP131"/>
      <c r="CQ131"/>
      <c r="CR131"/>
      <c r="CS131"/>
      <c r="CT131"/>
      <c r="CU131"/>
      <c r="CV131"/>
      <c r="CW131"/>
      <c r="CX131"/>
    </row>
    <row r="132" spans="1:102" s="1" customFormat="1" ht="30.75" customHeight="1" x14ac:dyDescent="0.25">
      <c r="A132" s="25">
        <v>44404</v>
      </c>
      <c r="B132" s="58">
        <v>0.25</v>
      </c>
      <c r="C132" s="246">
        <v>52</v>
      </c>
      <c r="D132" s="60">
        <v>10.6</v>
      </c>
      <c r="E132" s="247">
        <v>16.100000000000001</v>
      </c>
      <c r="F132" s="57">
        <v>795</v>
      </c>
      <c r="G132" s="57">
        <v>2229</v>
      </c>
      <c r="H132" s="57">
        <v>104</v>
      </c>
      <c r="I132" s="57">
        <v>103.6</v>
      </c>
      <c r="J132" s="57"/>
      <c r="K132" s="60">
        <v>31.84</v>
      </c>
      <c r="L132" s="60">
        <v>34</v>
      </c>
      <c r="M132" s="60">
        <v>41.5</v>
      </c>
      <c r="N132" s="57"/>
      <c r="O132" s="57"/>
      <c r="P132" s="57"/>
      <c r="Q132" s="57" t="s">
        <v>757</v>
      </c>
      <c r="R132" s="57"/>
      <c r="S132" s="26" t="s">
        <v>451</v>
      </c>
      <c r="T132" s="20" t="s">
        <v>668</v>
      </c>
      <c r="U132" s="248"/>
      <c r="V132" s="18"/>
      <c r="CL132"/>
      <c r="CM132"/>
      <c r="CN132"/>
      <c r="CO132"/>
      <c r="CP132"/>
      <c r="CQ132"/>
      <c r="CR132"/>
      <c r="CS132"/>
      <c r="CT132"/>
      <c r="CU132"/>
      <c r="CV132"/>
      <c r="CW132"/>
      <c r="CX132"/>
    </row>
    <row r="133" spans="1:102" s="1" customFormat="1" ht="30.75" customHeight="1" x14ac:dyDescent="0.25">
      <c r="A133" s="25">
        <v>44405</v>
      </c>
      <c r="B133" s="58">
        <v>0.25</v>
      </c>
      <c r="C133" s="246">
        <v>52</v>
      </c>
      <c r="D133" s="60">
        <v>10.4</v>
      </c>
      <c r="E133" s="247">
        <v>16.899999999999999</v>
      </c>
      <c r="F133" s="57">
        <v>808</v>
      </c>
      <c r="G133" s="57">
        <v>2263</v>
      </c>
      <c r="H133" s="57">
        <v>106</v>
      </c>
      <c r="I133" s="57">
        <v>105</v>
      </c>
      <c r="J133" s="57"/>
      <c r="K133" s="60">
        <v>30.9</v>
      </c>
      <c r="L133" s="60">
        <v>34</v>
      </c>
      <c r="M133" s="60">
        <v>38.4</v>
      </c>
      <c r="N133" s="57"/>
      <c r="O133" s="57"/>
      <c r="P133" s="57"/>
      <c r="Q133" s="57" t="s">
        <v>757</v>
      </c>
      <c r="R133" s="57"/>
      <c r="S133" s="26" t="s">
        <v>451</v>
      </c>
      <c r="T133" s="20" t="s">
        <v>668</v>
      </c>
      <c r="U133" s="248"/>
      <c r="V133" s="18"/>
      <c r="CL133"/>
      <c r="CM133"/>
      <c r="CN133"/>
      <c r="CO133"/>
      <c r="CP133"/>
      <c r="CQ133"/>
      <c r="CR133"/>
      <c r="CS133"/>
      <c r="CT133"/>
      <c r="CU133"/>
      <c r="CV133"/>
      <c r="CW133"/>
      <c r="CX133"/>
    </row>
    <row r="134" spans="1:102" s="1" customFormat="1" ht="30.75" customHeight="1" x14ac:dyDescent="0.25">
      <c r="A134" s="25">
        <v>44406</v>
      </c>
      <c r="B134" s="58"/>
      <c r="C134" s="246"/>
      <c r="D134" s="60"/>
      <c r="E134" s="247"/>
      <c r="F134" s="57"/>
      <c r="G134" s="57"/>
      <c r="H134" s="57"/>
      <c r="I134" s="57"/>
      <c r="J134" s="57"/>
      <c r="K134" s="60"/>
      <c r="L134" s="60"/>
      <c r="M134" s="60"/>
      <c r="N134" s="57"/>
      <c r="O134" s="57"/>
      <c r="P134" s="57"/>
      <c r="Q134" s="57"/>
      <c r="R134" s="57"/>
      <c r="S134" s="26" t="s">
        <v>451</v>
      </c>
      <c r="T134" s="20" t="s">
        <v>668</v>
      </c>
      <c r="U134" s="248"/>
      <c r="V134" s="18"/>
      <c r="CL134"/>
      <c r="CM134"/>
      <c r="CN134"/>
      <c r="CO134"/>
      <c r="CP134"/>
      <c r="CQ134"/>
      <c r="CR134"/>
      <c r="CS134"/>
      <c r="CT134"/>
      <c r="CU134"/>
      <c r="CV134"/>
      <c r="CW134"/>
      <c r="CX134"/>
    </row>
    <row r="135" spans="1:102" s="1" customFormat="1" ht="30.75" customHeight="1" x14ac:dyDescent="0.25">
      <c r="A135" s="25">
        <v>44407</v>
      </c>
      <c r="B135" s="58"/>
      <c r="C135" s="246"/>
      <c r="D135" s="60"/>
      <c r="E135" s="247"/>
      <c r="F135" s="57"/>
      <c r="G135" s="57"/>
      <c r="H135" s="57"/>
      <c r="I135" s="57"/>
      <c r="J135" s="57"/>
      <c r="K135" s="60"/>
      <c r="L135" s="60"/>
      <c r="M135" s="60"/>
      <c r="N135" s="57"/>
      <c r="O135" s="57"/>
      <c r="P135" s="57"/>
      <c r="Q135" s="57"/>
      <c r="R135" s="57"/>
      <c r="S135" s="26" t="s">
        <v>451</v>
      </c>
      <c r="T135" s="20" t="s">
        <v>668</v>
      </c>
      <c r="U135" s="248"/>
      <c r="V135" s="18"/>
      <c r="CL135"/>
      <c r="CM135"/>
      <c r="CN135"/>
      <c r="CO135"/>
      <c r="CP135"/>
      <c r="CQ135"/>
      <c r="CR135"/>
      <c r="CS135"/>
      <c r="CT135"/>
      <c r="CU135"/>
      <c r="CV135"/>
      <c r="CW135"/>
      <c r="CX135"/>
    </row>
    <row r="136" spans="1:102" s="1" customFormat="1" ht="30.75" customHeight="1" x14ac:dyDescent="0.25">
      <c r="A136" s="25">
        <v>44408</v>
      </c>
      <c r="B136" s="58"/>
      <c r="C136" s="246"/>
      <c r="D136" s="60"/>
      <c r="E136" s="247"/>
      <c r="F136" s="57"/>
      <c r="G136" s="57"/>
      <c r="H136" s="57"/>
      <c r="I136" s="57"/>
      <c r="J136" s="57"/>
      <c r="K136" s="60"/>
      <c r="L136" s="60"/>
      <c r="M136" s="60"/>
      <c r="N136" s="57"/>
      <c r="O136" s="57"/>
      <c r="P136" s="57"/>
      <c r="Q136" s="57"/>
      <c r="R136" s="57"/>
      <c r="S136" s="26" t="s">
        <v>451</v>
      </c>
      <c r="T136" s="20" t="s">
        <v>668</v>
      </c>
      <c r="U136" s="248"/>
      <c r="V136" s="18"/>
      <c r="CL136"/>
      <c r="CM136"/>
      <c r="CN136"/>
      <c r="CO136"/>
      <c r="CP136"/>
      <c r="CQ136"/>
      <c r="CR136"/>
      <c r="CS136"/>
      <c r="CT136"/>
      <c r="CU136"/>
      <c r="CV136"/>
      <c r="CW136"/>
      <c r="CX136"/>
    </row>
    <row r="137" spans="1:102" s="1" customFormat="1" ht="30.75" customHeight="1" x14ac:dyDescent="0.25">
      <c r="A137" s="25">
        <v>44409</v>
      </c>
      <c r="B137" s="58"/>
      <c r="C137" s="246"/>
      <c r="D137" s="60"/>
      <c r="E137" s="247"/>
      <c r="F137" s="57"/>
      <c r="G137" s="57"/>
      <c r="H137" s="57"/>
      <c r="I137" s="57"/>
      <c r="J137" s="57"/>
      <c r="K137" s="60"/>
      <c r="L137" s="60"/>
      <c r="M137" s="60"/>
      <c r="N137" s="57"/>
      <c r="O137" s="57"/>
      <c r="P137" s="57"/>
      <c r="Q137" s="57"/>
      <c r="R137" s="57"/>
      <c r="S137" s="26" t="s">
        <v>451</v>
      </c>
      <c r="T137" s="20" t="s">
        <v>668</v>
      </c>
      <c r="U137" s="248"/>
      <c r="V137" s="18"/>
      <c r="CL137"/>
      <c r="CM137"/>
      <c r="CN137"/>
      <c r="CO137"/>
      <c r="CP137"/>
      <c r="CQ137"/>
      <c r="CR137"/>
      <c r="CS137"/>
      <c r="CT137"/>
      <c r="CU137"/>
      <c r="CV137"/>
      <c r="CW137"/>
      <c r="CX137"/>
    </row>
    <row r="138" spans="1:102" s="1" customFormat="1" ht="30.75" customHeight="1" x14ac:dyDescent="0.25">
      <c r="A138" s="25">
        <v>44410</v>
      </c>
      <c r="B138" s="58">
        <v>0.79166666666666663</v>
      </c>
      <c r="C138" s="246">
        <v>51</v>
      </c>
      <c r="D138" s="60">
        <v>10.9</v>
      </c>
      <c r="E138" s="247">
        <v>16.3</v>
      </c>
      <c r="F138" s="57">
        <v>1077</v>
      </c>
      <c r="G138" s="57">
        <v>2193</v>
      </c>
      <c r="H138" s="57">
        <v>102</v>
      </c>
      <c r="I138" s="57">
        <v>102.7</v>
      </c>
      <c r="J138" s="57" t="s">
        <v>841</v>
      </c>
      <c r="K138" s="60">
        <v>31.18</v>
      </c>
      <c r="L138" s="60">
        <v>46</v>
      </c>
      <c r="M138" s="60">
        <v>30.48</v>
      </c>
      <c r="N138" s="57"/>
      <c r="O138" s="57"/>
      <c r="P138" s="57"/>
      <c r="Q138" s="57" t="s">
        <v>842</v>
      </c>
      <c r="R138" s="57">
        <v>69.599999999999994</v>
      </c>
      <c r="S138" s="26" t="s">
        <v>451</v>
      </c>
      <c r="T138" s="20" t="s">
        <v>668</v>
      </c>
      <c r="U138" s="248" t="s">
        <v>846</v>
      </c>
      <c r="V138" s="18"/>
      <c r="CL138"/>
      <c r="CM138"/>
      <c r="CN138"/>
      <c r="CO138"/>
      <c r="CP138"/>
      <c r="CQ138"/>
      <c r="CR138"/>
      <c r="CS138"/>
      <c r="CT138"/>
      <c r="CU138"/>
      <c r="CV138"/>
      <c r="CW138"/>
      <c r="CX138"/>
    </row>
    <row r="139" spans="1:102" s="1" customFormat="1" ht="30.75" customHeight="1" x14ac:dyDescent="0.25">
      <c r="A139" s="25">
        <v>44411</v>
      </c>
      <c r="B139" s="58">
        <v>0.25</v>
      </c>
      <c r="C139" s="246">
        <v>51</v>
      </c>
      <c r="D139" s="60">
        <v>11</v>
      </c>
      <c r="E139" s="247">
        <v>16.399999999999999</v>
      </c>
      <c r="F139" s="57">
        <v>878.9</v>
      </c>
      <c r="G139" s="57">
        <v>2214</v>
      </c>
      <c r="H139" s="57">
        <v>104.4</v>
      </c>
      <c r="I139" s="57">
        <v>103.3</v>
      </c>
      <c r="J139" s="57" t="s">
        <v>847</v>
      </c>
      <c r="K139" s="60">
        <v>31.3</v>
      </c>
      <c r="L139" s="60">
        <v>39</v>
      </c>
      <c r="M139" s="60">
        <v>43.49</v>
      </c>
      <c r="N139" s="57"/>
      <c r="O139" s="57"/>
      <c r="P139" s="57"/>
      <c r="Q139" s="57" t="s">
        <v>842</v>
      </c>
      <c r="R139" s="57">
        <v>70</v>
      </c>
      <c r="S139" s="26" t="s">
        <v>451</v>
      </c>
      <c r="T139" s="20" t="s">
        <v>668</v>
      </c>
      <c r="U139" s="248"/>
      <c r="V139" s="18"/>
      <c r="CL139"/>
      <c r="CM139"/>
      <c r="CN139"/>
      <c r="CO139"/>
      <c r="CP139"/>
      <c r="CQ139"/>
      <c r="CR139"/>
      <c r="CS139"/>
      <c r="CT139"/>
      <c r="CU139"/>
      <c r="CV139"/>
      <c r="CW139"/>
      <c r="CX139"/>
    </row>
    <row r="140" spans="1:102" s="1" customFormat="1" ht="30.75" customHeight="1" x14ac:dyDescent="0.25">
      <c r="A140" s="25">
        <v>44412</v>
      </c>
      <c r="B140" s="58">
        <v>0.25</v>
      </c>
      <c r="C140" s="246">
        <v>51</v>
      </c>
      <c r="D140" s="60">
        <v>10.3</v>
      </c>
      <c r="E140" s="247">
        <v>15.9</v>
      </c>
      <c r="F140" s="57">
        <v>835</v>
      </c>
      <c r="G140" s="57">
        <v>2222.3000000000002</v>
      </c>
      <c r="H140" s="57">
        <v>104.1</v>
      </c>
      <c r="I140" s="57">
        <v>104.8</v>
      </c>
      <c r="J140" s="57" t="s">
        <v>854</v>
      </c>
      <c r="K140" s="60">
        <v>29.13</v>
      </c>
      <c r="L140" s="60">
        <v>34.5</v>
      </c>
      <c r="M140" s="60">
        <v>40.049999999999997</v>
      </c>
      <c r="N140" s="57"/>
      <c r="O140" s="57"/>
      <c r="P140" s="57"/>
      <c r="Q140" s="57" t="s">
        <v>855</v>
      </c>
      <c r="R140" s="57">
        <v>68.3</v>
      </c>
      <c r="S140" s="26" t="s">
        <v>451</v>
      </c>
      <c r="T140" s="20" t="s">
        <v>668</v>
      </c>
      <c r="U140" s="248"/>
      <c r="V140" s="18"/>
      <c r="CL140"/>
      <c r="CM140"/>
      <c r="CN140"/>
      <c r="CO140"/>
      <c r="CP140"/>
      <c r="CQ140"/>
      <c r="CR140"/>
      <c r="CS140"/>
      <c r="CT140"/>
      <c r="CU140"/>
      <c r="CV140"/>
      <c r="CW140"/>
      <c r="CX140"/>
    </row>
    <row r="141" spans="1:102" s="1" customFormat="1" ht="51.75" customHeight="1" x14ac:dyDescent="0.25">
      <c r="A141" s="25">
        <v>44413</v>
      </c>
      <c r="B141" s="58">
        <v>0.25</v>
      </c>
      <c r="C141" s="246">
        <v>51</v>
      </c>
      <c r="D141" s="60">
        <v>10.3</v>
      </c>
      <c r="E141" s="247">
        <v>16.2</v>
      </c>
      <c r="F141" s="57">
        <v>859</v>
      </c>
      <c r="G141" s="57">
        <v>2286</v>
      </c>
      <c r="H141" s="57">
        <v>105.2</v>
      </c>
      <c r="I141" s="57">
        <v>106</v>
      </c>
      <c r="J141" s="57" t="s">
        <v>863</v>
      </c>
      <c r="K141" s="60">
        <v>33.65</v>
      </c>
      <c r="L141" s="60">
        <v>34.5</v>
      </c>
      <c r="M141" s="60">
        <v>36.729999999999997</v>
      </c>
      <c r="N141" s="57"/>
      <c r="O141" s="57"/>
      <c r="P141" s="57"/>
      <c r="Q141" s="57" t="s">
        <v>855</v>
      </c>
      <c r="R141" s="57">
        <v>69.2</v>
      </c>
      <c r="S141" s="26" t="s">
        <v>451</v>
      </c>
      <c r="T141" s="20" t="s">
        <v>668</v>
      </c>
      <c r="U141" s="248" t="s">
        <v>874</v>
      </c>
      <c r="V141" s="18"/>
      <c r="CL141"/>
      <c r="CM141"/>
      <c r="CN141"/>
      <c r="CO141"/>
      <c r="CP141"/>
      <c r="CQ141"/>
      <c r="CR141"/>
      <c r="CS141"/>
      <c r="CT141"/>
      <c r="CU141"/>
      <c r="CV141"/>
      <c r="CW141"/>
      <c r="CX141"/>
    </row>
    <row r="142" spans="1:102" s="1" customFormat="1" ht="30.75" customHeight="1" x14ac:dyDescent="0.25">
      <c r="A142" s="25">
        <v>44414</v>
      </c>
      <c r="B142" s="1472" t="s">
        <v>874</v>
      </c>
      <c r="C142" s="1473"/>
      <c r="D142" s="1473"/>
      <c r="E142" s="1473"/>
      <c r="F142" s="1473"/>
      <c r="G142" s="1473"/>
      <c r="H142" s="1473"/>
      <c r="I142" s="1473"/>
      <c r="J142" s="1473"/>
      <c r="K142" s="1473"/>
      <c r="L142" s="1473"/>
      <c r="M142" s="1473"/>
      <c r="N142" s="1473"/>
      <c r="O142" s="1473"/>
      <c r="P142" s="1473"/>
      <c r="Q142" s="1473"/>
      <c r="R142" s="1474"/>
      <c r="S142" s="26" t="s">
        <v>451</v>
      </c>
      <c r="T142" s="20" t="s">
        <v>668</v>
      </c>
      <c r="U142" s="248"/>
      <c r="V142" s="18"/>
      <c r="CL142"/>
      <c r="CM142"/>
      <c r="CN142"/>
      <c r="CO142"/>
      <c r="CP142"/>
      <c r="CQ142"/>
      <c r="CR142"/>
      <c r="CS142"/>
      <c r="CT142"/>
      <c r="CU142"/>
      <c r="CV142"/>
      <c r="CW142"/>
      <c r="CX142"/>
    </row>
    <row r="143" spans="1:102" s="1" customFormat="1" ht="30.75" customHeight="1" x14ac:dyDescent="0.25">
      <c r="A143" s="25">
        <v>44415</v>
      </c>
      <c r="B143" s="1472" t="s">
        <v>874</v>
      </c>
      <c r="C143" s="1473"/>
      <c r="D143" s="1473"/>
      <c r="E143" s="1473"/>
      <c r="F143" s="1473"/>
      <c r="G143" s="1473"/>
      <c r="H143" s="1473"/>
      <c r="I143" s="1473"/>
      <c r="J143" s="1473"/>
      <c r="K143" s="1473"/>
      <c r="L143" s="1473"/>
      <c r="M143" s="1473"/>
      <c r="N143" s="1473"/>
      <c r="O143" s="1473"/>
      <c r="P143" s="1473"/>
      <c r="Q143" s="1473"/>
      <c r="R143" s="1474"/>
      <c r="S143" s="26" t="s">
        <v>451</v>
      </c>
      <c r="T143" s="20" t="s">
        <v>668</v>
      </c>
      <c r="U143" s="248"/>
      <c r="V143" s="18"/>
      <c r="CL143"/>
      <c r="CM143"/>
      <c r="CN143"/>
      <c r="CO143"/>
      <c r="CP143"/>
      <c r="CQ143"/>
      <c r="CR143"/>
      <c r="CS143"/>
      <c r="CT143"/>
      <c r="CU143"/>
      <c r="CV143"/>
      <c r="CW143"/>
      <c r="CX143"/>
    </row>
    <row r="144" spans="1:102" s="1" customFormat="1" ht="30.75" customHeight="1" x14ac:dyDescent="0.25">
      <c r="A144" s="25">
        <v>44416</v>
      </c>
      <c r="B144" s="1472" t="s">
        <v>874</v>
      </c>
      <c r="C144" s="1473"/>
      <c r="D144" s="1473"/>
      <c r="E144" s="1473"/>
      <c r="F144" s="1473"/>
      <c r="G144" s="1473"/>
      <c r="H144" s="1473"/>
      <c r="I144" s="1473"/>
      <c r="J144" s="1473"/>
      <c r="K144" s="1473"/>
      <c r="L144" s="1473"/>
      <c r="M144" s="1473"/>
      <c r="N144" s="1473"/>
      <c r="O144" s="1473"/>
      <c r="P144" s="1473"/>
      <c r="Q144" s="1473"/>
      <c r="R144" s="1474"/>
      <c r="S144" s="26" t="s">
        <v>451</v>
      </c>
      <c r="T144" s="20" t="s">
        <v>668</v>
      </c>
      <c r="U144" s="248"/>
      <c r="V144" s="18"/>
      <c r="CL144"/>
      <c r="CM144"/>
      <c r="CN144"/>
      <c r="CO144"/>
      <c r="CP144"/>
      <c r="CQ144"/>
      <c r="CR144"/>
      <c r="CS144"/>
      <c r="CT144"/>
      <c r="CU144"/>
      <c r="CV144"/>
      <c r="CW144"/>
      <c r="CX144"/>
    </row>
    <row r="145" spans="1:102" s="1" customFormat="1" ht="30.75" customHeight="1" x14ac:dyDescent="0.25">
      <c r="A145" s="25">
        <v>44417</v>
      </c>
      <c r="B145" s="58">
        <v>0.91666666666666663</v>
      </c>
      <c r="C145" s="246">
        <v>52</v>
      </c>
      <c r="D145" s="60">
        <v>11.2</v>
      </c>
      <c r="E145" s="247">
        <v>16.600000000000001</v>
      </c>
      <c r="F145" s="57">
        <v>1002</v>
      </c>
      <c r="G145" s="57">
        <v>2218</v>
      </c>
      <c r="H145" s="57">
        <v>102.2</v>
      </c>
      <c r="I145" s="57">
        <v>102.5</v>
      </c>
      <c r="J145" s="57" t="s">
        <v>888</v>
      </c>
      <c r="K145" s="60">
        <v>34.96</v>
      </c>
      <c r="L145" s="60">
        <v>42</v>
      </c>
      <c r="M145" s="60">
        <v>42.86</v>
      </c>
      <c r="N145" s="57"/>
      <c r="O145" s="57"/>
      <c r="P145" s="57"/>
      <c r="Q145" s="57" t="s">
        <v>855</v>
      </c>
      <c r="R145" s="57">
        <v>71.3</v>
      </c>
      <c r="S145" s="26" t="s">
        <v>451</v>
      </c>
      <c r="T145" s="20" t="s">
        <v>668</v>
      </c>
      <c r="U145" s="248" t="s">
        <v>904</v>
      </c>
      <c r="V145" s="18"/>
      <c r="CL145"/>
      <c r="CM145"/>
      <c r="CN145"/>
      <c r="CO145"/>
      <c r="CP145"/>
      <c r="CQ145"/>
      <c r="CR145"/>
      <c r="CS145"/>
      <c r="CT145"/>
      <c r="CU145"/>
      <c r="CV145"/>
      <c r="CW145"/>
      <c r="CX145"/>
    </row>
    <row r="146" spans="1:102" s="1" customFormat="1" ht="30.75" customHeight="1" x14ac:dyDescent="0.25">
      <c r="A146" s="25">
        <v>44418</v>
      </c>
      <c r="B146" s="58">
        <v>0.25</v>
      </c>
      <c r="C146" s="246">
        <v>52</v>
      </c>
      <c r="D146" s="60">
        <v>11.3</v>
      </c>
      <c r="E146" s="247">
        <v>16.7</v>
      </c>
      <c r="F146" s="57">
        <v>895.7</v>
      </c>
      <c r="G146" s="57">
        <v>2303</v>
      </c>
      <c r="H146" s="57">
        <v>103.5</v>
      </c>
      <c r="I146" s="57">
        <v>104</v>
      </c>
      <c r="J146" s="57" t="s">
        <v>911</v>
      </c>
      <c r="K146" s="60">
        <v>37.94</v>
      </c>
      <c r="L146" s="60">
        <v>47</v>
      </c>
      <c r="M146" s="60">
        <v>43</v>
      </c>
      <c r="N146" s="57"/>
      <c r="O146" s="57"/>
      <c r="P146" s="57"/>
      <c r="Q146" s="57" t="s">
        <v>855</v>
      </c>
      <c r="R146" s="57">
        <v>71.3</v>
      </c>
      <c r="S146" s="26" t="s">
        <v>451</v>
      </c>
      <c r="T146" s="20" t="s">
        <v>668</v>
      </c>
      <c r="U146" s="248" t="s">
        <v>914</v>
      </c>
      <c r="V146" s="18"/>
      <c r="CL146"/>
      <c r="CM146"/>
      <c r="CN146"/>
      <c r="CO146"/>
      <c r="CP146"/>
      <c r="CQ146"/>
      <c r="CR146"/>
      <c r="CS146"/>
      <c r="CT146"/>
      <c r="CU146"/>
      <c r="CV146"/>
      <c r="CW146"/>
      <c r="CX146"/>
    </row>
    <row r="147" spans="1:102" s="1" customFormat="1" ht="93" customHeight="1" x14ac:dyDescent="0.25">
      <c r="A147" s="25">
        <v>44419</v>
      </c>
      <c r="B147" s="58">
        <v>0.25</v>
      </c>
      <c r="C147" s="246">
        <v>52</v>
      </c>
      <c r="D147" s="60">
        <v>10.1</v>
      </c>
      <c r="E147" s="247">
        <v>15.8</v>
      </c>
      <c r="F147" s="57">
        <v>904</v>
      </c>
      <c r="G147" s="57">
        <v>2326</v>
      </c>
      <c r="H147" s="57">
        <v>102.5</v>
      </c>
      <c r="I147" s="57">
        <v>103.3</v>
      </c>
      <c r="J147" s="57" t="s">
        <v>915</v>
      </c>
      <c r="K147" s="60">
        <v>37.380000000000003</v>
      </c>
      <c r="L147" s="60">
        <v>40</v>
      </c>
      <c r="M147" s="60">
        <v>37.43</v>
      </c>
      <c r="N147" s="57"/>
      <c r="O147" s="57"/>
      <c r="P147" s="57"/>
      <c r="Q147" s="57" t="s">
        <v>855</v>
      </c>
      <c r="R147" s="57">
        <v>67.5</v>
      </c>
      <c r="S147" s="26" t="s">
        <v>451</v>
      </c>
      <c r="T147" s="20" t="s">
        <v>668</v>
      </c>
      <c r="U147" s="248" t="s">
        <v>918</v>
      </c>
      <c r="V147" s="18"/>
      <c r="CL147"/>
      <c r="CM147"/>
      <c r="CN147"/>
      <c r="CO147"/>
      <c r="CP147"/>
      <c r="CQ147"/>
      <c r="CR147"/>
      <c r="CS147"/>
      <c r="CT147"/>
      <c r="CU147"/>
      <c r="CV147"/>
      <c r="CW147"/>
      <c r="CX147"/>
    </row>
    <row r="148" spans="1:102" s="1" customFormat="1" ht="52.5" customHeight="1" x14ac:dyDescent="0.25">
      <c r="A148" s="25">
        <v>44419</v>
      </c>
      <c r="B148" s="58">
        <v>0.25</v>
      </c>
      <c r="C148" s="1466" t="s">
        <v>934</v>
      </c>
      <c r="D148" s="1467"/>
      <c r="E148" s="1467"/>
      <c r="F148" s="1467"/>
      <c r="G148" s="1467"/>
      <c r="H148" s="1467"/>
      <c r="I148" s="1467"/>
      <c r="J148" s="1467"/>
      <c r="K148" s="1467"/>
      <c r="L148" s="1467"/>
      <c r="M148" s="1467"/>
      <c r="N148" s="1467"/>
      <c r="O148" s="1467"/>
      <c r="P148" s="1467"/>
      <c r="Q148" s="1468"/>
      <c r="R148" s="57">
        <v>67.5</v>
      </c>
      <c r="S148" s="26" t="s">
        <v>451</v>
      </c>
      <c r="T148" s="20" t="s">
        <v>668</v>
      </c>
      <c r="U148" s="248"/>
      <c r="V148" s="18"/>
      <c r="CL148"/>
      <c r="CM148"/>
      <c r="CN148"/>
      <c r="CO148"/>
      <c r="CP148"/>
      <c r="CQ148"/>
      <c r="CR148"/>
      <c r="CS148"/>
      <c r="CT148"/>
      <c r="CU148"/>
      <c r="CV148"/>
      <c r="CW148"/>
      <c r="CX148"/>
    </row>
    <row r="149" spans="1:102" ht="69.75" customHeight="1" x14ac:dyDescent="0.25">
      <c r="A149" s="25">
        <v>44420</v>
      </c>
      <c r="B149" s="58">
        <v>0.83333333333333337</v>
      </c>
      <c r="C149" s="246"/>
      <c r="D149" s="60"/>
      <c r="E149" s="247"/>
      <c r="F149" s="57">
        <v>1104</v>
      </c>
      <c r="G149" s="57">
        <v>1111</v>
      </c>
      <c r="H149" s="57">
        <v>101.6</v>
      </c>
      <c r="I149" s="57">
        <v>101.7</v>
      </c>
      <c r="J149" s="57" t="s">
        <v>924</v>
      </c>
      <c r="K149" s="60"/>
      <c r="L149" s="60"/>
      <c r="M149" s="60"/>
      <c r="N149" s="57"/>
      <c r="O149" s="57"/>
      <c r="P149" s="57"/>
      <c r="Q149" s="57"/>
      <c r="R149" s="57"/>
      <c r="S149" s="26"/>
      <c r="T149" s="20"/>
      <c r="U149" s="248"/>
    </row>
    <row r="150" spans="1:102" ht="24" customHeight="1" x14ac:dyDescent="0.25">
      <c r="A150" s="25">
        <v>44421</v>
      </c>
      <c r="B150" s="58">
        <v>0.95833333333333337</v>
      </c>
      <c r="C150" s="246"/>
      <c r="D150" s="60"/>
      <c r="E150" s="247"/>
      <c r="F150" s="57">
        <v>1188</v>
      </c>
      <c r="G150" s="57">
        <v>1191</v>
      </c>
      <c r="H150" s="57">
        <v>101</v>
      </c>
      <c r="I150" s="57">
        <v>101.1</v>
      </c>
      <c r="J150" s="57" t="s">
        <v>925</v>
      </c>
      <c r="K150" s="60"/>
      <c r="L150" s="60"/>
      <c r="M150" s="60"/>
      <c r="N150" s="57"/>
      <c r="O150" s="57"/>
      <c r="P150" s="57"/>
      <c r="Q150" s="57"/>
      <c r="R150" s="57"/>
      <c r="S150" s="26"/>
      <c r="T150" s="20" t="s">
        <v>928</v>
      </c>
      <c r="U150" s="272" t="s">
        <v>936</v>
      </c>
    </row>
    <row r="151" spans="1:102" ht="88.5" customHeight="1" x14ac:dyDescent="0.25">
      <c r="A151" s="25">
        <v>44422</v>
      </c>
      <c r="B151" s="58">
        <v>0.95833333333333337</v>
      </c>
      <c r="C151" s="246">
        <v>50</v>
      </c>
      <c r="D151" s="60">
        <v>10.1</v>
      </c>
      <c r="E151" s="247">
        <v>15.7</v>
      </c>
      <c r="F151" s="57">
        <v>910</v>
      </c>
      <c r="G151" s="57">
        <v>2242</v>
      </c>
      <c r="H151" s="57">
        <v>103.6</v>
      </c>
      <c r="I151" s="57">
        <v>104.4</v>
      </c>
      <c r="J151" s="57" t="s">
        <v>938</v>
      </c>
      <c r="K151" s="60">
        <v>35.86</v>
      </c>
      <c r="L151" s="60">
        <v>50</v>
      </c>
      <c r="M151" s="60">
        <v>39.44</v>
      </c>
      <c r="N151" s="57"/>
      <c r="O151" s="57"/>
      <c r="P151" s="57"/>
      <c r="Q151" s="57" t="s">
        <v>940</v>
      </c>
      <c r="R151" s="57">
        <v>67.5</v>
      </c>
      <c r="S151" s="26" t="s">
        <v>451</v>
      </c>
      <c r="T151" s="20" t="s">
        <v>928</v>
      </c>
      <c r="U151" s="272" t="s">
        <v>941</v>
      </c>
    </row>
    <row r="152" spans="1:102" ht="69" customHeight="1" x14ac:dyDescent="0.25">
      <c r="A152" s="25">
        <v>44423</v>
      </c>
      <c r="B152" s="58">
        <v>0.95833333333333337</v>
      </c>
      <c r="C152" s="1469" t="s">
        <v>950</v>
      </c>
      <c r="D152" s="1470"/>
      <c r="E152" s="1470"/>
      <c r="F152" s="1470"/>
      <c r="G152" s="1470"/>
      <c r="H152" s="1470"/>
      <c r="I152" s="1470"/>
      <c r="J152" s="1470"/>
      <c r="K152" s="1470"/>
      <c r="L152" s="1470"/>
      <c r="M152" s="1471"/>
      <c r="N152" s="57"/>
      <c r="O152" s="57"/>
      <c r="P152" s="57"/>
      <c r="Q152" s="57"/>
      <c r="R152" s="57"/>
      <c r="S152" s="26"/>
      <c r="T152" s="20" t="s">
        <v>928</v>
      </c>
      <c r="U152" s="272" t="s">
        <v>956</v>
      </c>
    </row>
    <row r="153" spans="1:102" ht="30" customHeight="1" x14ac:dyDescent="0.25">
      <c r="A153" s="25">
        <v>44424</v>
      </c>
      <c r="B153" s="58">
        <v>0.95833333333333337</v>
      </c>
      <c r="C153" s="1469" t="s">
        <v>957</v>
      </c>
      <c r="D153" s="1470"/>
      <c r="E153" s="1470"/>
      <c r="F153" s="1470"/>
      <c r="G153" s="1470"/>
      <c r="H153" s="1470"/>
      <c r="I153" s="1470"/>
      <c r="J153" s="1470"/>
      <c r="K153" s="1470"/>
      <c r="L153" s="1470"/>
      <c r="M153" s="1471"/>
      <c r="N153" s="57"/>
      <c r="O153" s="57"/>
      <c r="P153" s="57"/>
      <c r="Q153" s="57"/>
      <c r="R153" s="57"/>
      <c r="S153" s="26"/>
      <c r="T153" s="20" t="s">
        <v>928</v>
      </c>
      <c r="U153" s="36"/>
    </row>
    <row r="154" spans="1:102" ht="30" customHeight="1" x14ac:dyDescent="0.25">
      <c r="A154" s="25">
        <v>44425</v>
      </c>
      <c r="B154" s="58">
        <v>0.95833333333333337</v>
      </c>
      <c r="C154" s="1469" t="s">
        <v>961</v>
      </c>
      <c r="D154" s="1470"/>
      <c r="E154" s="1470"/>
      <c r="F154" s="1470"/>
      <c r="G154" s="1470"/>
      <c r="H154" s="1470"/>
      <c r="I154" s="1470"/>
      <c r="J154" s="1470"/>
      <c r="K154" s="1470"/>
      <c r="L154" s="1470"/>
      <c r="M154" s="1471"/>
      <c r="N154" s="57"/>
      <c r="O154" s="57"/>
      <c r="P154" s="57"/>
      <c r="Q154" s="57"/>
      <c r="R154" s="57"/>
      <c r="S154" s="26"/>
      <c r="T154" s="20" t="s">
        <v>928</v>
      </c>
      <c r="U154" s="36"/>
    </row>
    <row r="155" spans="1:102" ht="24.75" customHeight="1" x14ac:dyDescent="0.25">
      <c r="A155" s="25">
        <v>44426</v>
      </c>
      <c r="B155" s="58">
        <v>0.95833333333333337</v>
      </c>
      <c r="C155" s="1469" t="s">
        <v>978</v>
      </c>
      <c r="D155" s="1470"/>
      <c r="E155" s="1470"/>
      <c r="F155" s="1470"/>
      <c r="G155" s="1470"/>
      <c r="H155" s="1470"/>
      <c r="I155" s="1470"/>
      <c r="J155" s="1470"/>
      <c r="K155" s="1470"/>
      <c r="L155" s="1470"/>
      <c r="M155" s="1471"/>
      <c r="N155" s="57"/>
      <c r="O155" s="57"/>
      <c r="P155" s="57"/>
      <c r="Q155" s="57"/>
      <c r="R155" s="57"/>
      <c r="S155" s="26"/>
      <c r="T155" s="20" t="s">
        <v>928</v>
      </c>
      <c r="U155" s="36"/>
    </row>
    <row r="156" spans="1:102" ht="27" customHeight="1" x14ac:dyDescent="0.25">
      <c r="A156" s="25">
        <v>44427</v>
      </c>
      <c r="B156" s="58">
        <v>0.91666666666666663</v>
      </c>
      <c r="C156" s="1469" t="s">
        <v>979</v>
      </c>
      <c r="D156" s="1470"/>
      <c r="E156" s="1470"/>
      <c r="F156" s="1470"/>
      <c r="G156" s="1470"/>
      <c r="H156" s="1470"/>
      <c r="I156" s="1470"/>
      <c r="J156" s="1470"/>
      <c r="K156" s="1470"/>
      <c r="L156" s="1470"/>
      <c r="M156" s="1471"/>
      <c r="N156" s="57"/>
      <c r="O156" s="57"/>
      <c r="P156" s="57"/>
      <c r="Q156" s="57"/>
      <c r="R156" s="57"/>
      <c r="S156" s="26"/>
      <c r="T156" s="20" t="s">
        <v>928</v>
      </c>
      <c r="U156" s="36"/>
    </row>
    <row r="157" spans="1:102" ht="27.75" customHeight="1" x14ac:dyDescent="0.25">
      <c r="A157" s="25">
        <v>44428</v>
      </c>
      <c r="B157" s="58">
        <v>0.91666666666666663</v>
      </c>
      <c r="C157" s="1469" t="s">
        <v>985</v>
      </c>
      <c r="D157" s="1470"/>
      <c r="E157" s="1470"/>
      <c r="F157" s="1470"/>
      <c r="G157" s="1470"/>
      <c r="H157" s="1470"/>
      <c r="I157" s="1470"/>
      <c r="J157" s="1470"/>
      <c r="K157" s="1470"/>
      <c r="L157" s="1470"/>
      <c r="M157" s="1471"/>
      <c r="N157" s="57"/>
      <c r="O157" s="57"/>
      <c r="P157" s="57"/>
      <c r="Q157" s="57"/>
      <c r="R157" s="57"/>
      <c r="S157" s="26"/>
      <c r="T157" s="20" t="s">
        <v>928</v>
      </c>
      <c r="U157" s="36"/>
    </row>
    <row r="158" spans="1:102" ht="33.75" customHeight="1" x14ac:dyDescent="0.25">
      <c r="A158" s="25">
        <v>44429</v>
      </c>
      <c r="B158" s="58">
        <v>0.97916666666666663</v>
      </c>
      <c r="C158" s="1469" t="s">
        <v>987</v>
      </c>
      <c r="D158" s="1470"/>
      <c r="E158" s="1470"/>
      <c r="F158" s="1470"/>
      <c r="G158" s="1470"/>
      <c r="H158" s="1470"/>
      <c r="I158" s="1470"/>
      <c r="J158" s="1470"/>
      <c r="K158" s="1470"/>
      <c r="L158" s="1470"/>
      <c r="M158" s="1471"/>
      <c r="N158" s="57"/>
      <c r="O158" s="57"/>
      <c r="P158" s="57"/>
      <c r="Q158" s="57"/>
      <c r="R158" s="57"/>
      <c r="S158" s="26"/>
      <c r="T158" s="20" t="s">
        <v>928</v>
      </c>
      <c r="U158" s="437" t="s">
        <v>988</v>
      </c>
    </row>
    <row r="159" spans="1:102" ht="78" customHeight="1" x14ac:dyDescent="0.25">
      <c r="A159" s="25">
        <v>44430</v>
      </c>
      <c r="B159" s="58">
        <v>0.97916666666666663</v>
      </c>
      <c r="C159" s="246">
        <v>50</v>
      </c>
      <c r="D159" s="60">
        <v>11.4</v>
      </c>
      <c r="E159" s="247">
        <v>16.600000000000001</v>
      </c>
      <c r="F159" s="57">
        <v>1051</v>
      </c>
      <c r="G159" s="57">
        <v>2396</v>
      </c>
      <c r="H159" s="57">
        <v>102</v>
      </c>
      <c r="I159" s="57">
        <v>102.7</v>
      </c>
      <c r="J159" s="57" t="s">
        <v>999</v>
      </c>
      <c r="K159" s="60">
        <v>34.99</v>
      </c>
      <c r="L159" s="60">
        <v>45</v>
      </c>
      <c r="M159" s="60">
        <v>44.49</v>
      </c>
      <c r="N159" s="57"/>
      <c r="O159" s="57"/>
      <c r="P159" s="57"/>
      <c r="Q159" s="57" t="s">
        <v>997</v>
      </c>
      <c r="R159" s="57">
        <v>70.900000000000006</v>
      </c>
      <c r="S159" s="26" t="s">
        <v>451</v>
      </c>
      <c r="T159" s="20" t="s">
        <v>928</v>
      </c>
      <c r="U159" s="438" t="s">
        <v>998</v>
      </c>
    </row>
    <row r="160" spans="1:102" ht="42" customHeight="1" x14ac:dyDescent="0.3">
      <c r="A160" s="25">
        <v>44431</v>
      </c>
      <c r="B160" s="58">
        <v>0.97916666666666663</v>
      </c>
      <c r="C160" s="246">
        <v>50</v>
      </c>
      <c r="D160" s="60">
        <v>10</v>
      </c>
      <c r="E160" s="247">
        <v>15.6</v>
      </c>
      <c r="F160" s="57">
        <v>987</v>
      </c>
      <c r="G160" s="57">
        <v>2339</v>
      </c>
      <c r="H160" s="57">
        <v>103.1</v>
      </c>
      <c r="I160" s="57">
        <v>103.4</v>
      </c>
      <c r="J160" s="57" t="s">
        <v>1005</v>
      </c>
      <c r="K160" s="60">
        <v>36.58</v>
      </c>
      <c r="L160" s="60">
        <v>45</v>
      </c>
      <c r="M160" s="60">
        <v>42</v>
      </c>
      <c r="N160" s="57"/>
      <c r="O160" s="57"/>
      <c r="P160" s="57"/>
      <c r="Q160" s="57" t="s">
        <v>1004</v>
      </c>
      <c r="R160" s="57">
        <v>66.599999999999994</v>
      </c>
      <c r="S160" s="26" t="s">
        <v>451</v>
      </c>
      <c r="T160" s="20" t="s">
        <v>928</v>
      </c>
      <c r="U160" s="439" t="s">
        <v>1006</v>
      </c>
    </row>
    <row r="161" spans="1:21" ht="18.75" x14ac:dyDescent="0.3">
      <c r="A161" s="25">
        <v>44432</v>
      </c>
      <c r="B161" s="58">
        <v>0.95833333333333337</v>
      </c>
      <c r="C161" s="246">
        <v>52</v>
      </c>
      <c r="D161" s="60">
        <v>9.6999999999999993</v>
      </c>
      <c r="E161" s="247">
        <v>15.6</v>
      </c>
      <c r="F161" s="57">
        <v>952</v>
      </c>
      <c r="G161" s="57">
        <v>2339</v>
      </c>
      <c r="H161" s="57">
        <v>103.6</v>
      </c>
      <c r="I161" s="57">
        <v>104.7</v>
      </c>
      <c r="J161" s="57" t="s">
        <v>1014</v>
      </c>
      <c r="K161" s="60">
        <v>35.700000000000003</v>
      </c>
      <c r="L161" s="60">
        <v>45</v>
      </c>
      <c r="M161" s="60">
        <v>38.1</v>
      </c>
      <c r="N161" s="57"/>
      <c r="O161" s="57"/>
      <c r="P161" s="57"/>
      <c r="Q161" s="57" t="s">
        <v>1004</v>
      </c>
      <c r="R161" s="57">
        <v>66.599999999999994</v>
      </c>
      <c r="S161" s="26" t="s">
        <v>451</v>
      </c>
      <c r="T161" s="20" t="s">
        <v>928</v>
      </c>
      <c r="U161" s="439" t="s">
        <v>1015</v>
      </c>
    </row>
    <row r="162" spans="1:21" ht="37.5" x14ac:dyDescent="0.3">
      <c r="A162" s="25">
        <v>44433</v>
      </c>
      <c r="B162" s="58">
        <v>0.9375</v>
      </c>
      <c r="C162" s="1481" t="s">
        <v>1019</v>
      </c>
      <c r="D162" s="1482"/>
      <c r="E162" s="1482"/>
      <c r="F162" s="1482"/>
      <c r="G162" s="1482"/>
      <c r="H162" s="1482"/>
      <c r="I162" s="1482"/>
      <c r="J162" s="1482"/>
      <c r="K162" s="1482"/>
      <c r="L162" s="1482"/>
      <c r="M162" s="1482"/>
      <c r="N162" s="1482"/>
      <c r="O162" s="1482"/>
      <c r="P162" s="1482"/>
      <c r="Q162" s="1482"/>
      <c r="R162" s="1483"/>
      <c r="S162" s="26" t="s">
        <v>451</v>
      </c>
      <c r="T162" s="20" t="s">
        <v>928</v>
      </c>
      <c r="U162" s="439" t="s">
        <v>1027</v>
      </c>
    </row>
    <row r="163" spans="1:21" ht="21" x14ac:dyDescent="0.25">
      <c r="A163" s="25">
        <v>44434</v>
      </c>
      <c r="B163" s="58">
        <v>0.97916666666666663</v>
      </c>
      <c r="C163" s="1481" t="s">
        <v>1026</v>
      </c>
      <c r="D163" s="1482"/>
      <c r="E163" s="1482"/>
      <c r="F163" s="1482"/>
      <c r="G163" s="1482"/>
      <c r="H163" s="1482"/>
      <c r="I163" s="1482"/>
      <c r="J163" s="1482"/>
      <c r="K163" s="1482"/>
      <c r="L163" s="1482"/>
      <c r="M163" s="1482"/>
      <c r="N163" s="1482"/>
      <c r="O163" s="1482"/>
      <c r="P163" s="1482"/>
      <c r="Q163" s="1482"/>
      <c r="R163" s="1483"/>
      <c r="S163" s="26" t="s">
        <v>451</v>
      </c>
      <c r="T163" s="20" t="s">
        <v>928</v>
      </c>
      <c r="U163" s="36"/>
    </row>
    <row r="164" spans="1:21" ht="21" x14ac:dyDescent="0.25">
      <c r="A164" s="25">
        <v>44435</v>
      </c>
      <c r="B164" s="58">
        <v>0.97916666666666663</v>
      </c>
      <c r="C164" s="1481" t="s">
        <v>1039</v>
      </c>
      <c r="D164" s="1482"/>
      <c r="E164" s="1482"/>
      <c r="F164" s="1482"/>
      <c r="G164" s="1482"/>
      <c r="H164" s="1482"/>
      <c r="I164" s="1482"/>
      <c r="J164" s="1482"/>
      <c r="K164" s="1482"/>
      <c r="L164" s="1482"/>
      <c r="M164" s="1482"/>
      <c r="N164" s="1482"/>
      <c r="O164" s="1482"/>
      <c r="P164" s="1482"/>
      <c r="Q164" s="1482"/>
      <c r="R164" s="1483"/>
      <c r="S164" s="26" t="s">
        <v>451</v>
      </c>
      <c r="T164" s="20" t="s">
        <v>928</v>
      </c>
      <c r="U164" s="36"/>
    </row>
    <row r="165" spans="1:21" ht="21" x14ac:dyDescent="0.25">
      <c r="A165" s="25">
        <v>44436</v>
      </c>
      <c r="B165" s="58">
        <v>0.9375</v>
      </c>
      <c r="C165" s="1481" t="s">
        <v>1046</v>
      </c>
      <c r="D165" s="1482"/>
      <c r="E165" s="1482"/>
      <c r="F165" s="1482"/>
      <c r="G165" s="1482"/>
      <c r="H165" s="1482"/>
      <c r="I165" s="1482"/>
      <c r="J165" s="1482"/>
      <c r="K165" s="1482"/>
      <c r="L165" s="1482"/>
      <c r="M165" s="1482"/>
      <c r="N165" s="1482"/>
      <c r="O165" s="1482"/>
      <c r="P165" s="1482"/>
      <c r="Q165" s="1482"/>
      <c r="R165" s="1483"/>
      <c r="S165" s="26" t="s">
        <v>451</v>
      </c>
      <c r="T165" s="20" t="s">
        <v>928</v>
      </c>
      <c r="U165" s="36"/>
    </row>
    <row r="166" spans="1:21" ht="21" x14ac:dyDescent="0.25">
      <c r="A166" s="25">
        <v>44437</v>
      </c>
      <c r="B166" s="58">
        <v>0.9375</v>
      </c>
      <c r="C166" s="1481" t="s">
        <v>1050</v>
      </c>
      <c r="D166" s="1482"/>
      <c r="E166" s="1482"/>
      <c r="F166" s="1482"/>
      <c r="G166" s="1482"/>
      <c r="H166" s="1482"/>
      <c r="I166" s="1482"/>
      <c r="J166" s="1482"/>
      <c r="K166" s="1482"/>
      <c r="L166" s="1482"/>
      <c r="M166" s="1482"/>
      <c r="N166" s="1482"/>
      <c r="O166" s="1482"/>
      <c r="P166" s="1482"/>
      <c r="Q166" s="1482"/>
      <c r="R166" s="1483"/>
      <c r="S166" s="26" t="s">
        <v>451</v>
      </c>
      <c r="T166" s="20" t="s">
        <v>928</v>
      </c>
      <c r="U166" s="36"/>
    </row>
    <row r="167" spans="1:21" ht="21" x14ac:dyDescent="0.25">
      <c r="A167" s="25">
        <v>44438</v>
      </c>
      <c r="B167" s="58">
        <v>0.9375</v>
      </c>
      <c r="C167" s="1481" t="s">
        <v>1057</v>
      </c>
      <c r="D167" s="1482"/>
      <c r="E167" s="1482"/>
      <c r="F167" s="1482"/>
      <c r="G167" s="1482"/>
      <c r="H167" s="1482"/>
      <c r="I167" s="1482"/>
      <c r="J167" s="1482"/>
      <c r="K167" s="1482"/>
      <c r="L167" s="1482"/>
      <c r="M167" s="1482"/>
      <c r="N167" s="1482"/>
      <c r="O167" s="1482"/>
      <c r="P167" s="1482"/>
      <c r="Q167" s="1482"/>
      <c r="R167" s="1483"/>
      <c r="S167" s="26" t="s">
        <v>451</v>
      </c>
      <c r="T167" s="20" t="s">
        <v>928</v>
      </c>
      <c r="U167" s="36"/>
    </row>
    <row r="168" spans="1:21" ht="71.25" customHeight="1" x14ac:dyDescent="0.25">
      <c r="A168" s="25">
        <v>44439</v>
      </c>
      <c r="B168" s="58">
        <v>0.97916666666666663</v>
      </c>
      <c r="C168" s="246">
        <v>50</v>
      </c>
      <c r="D168" s="60">
        <v>10.9</v>
      </c>
      <c r="E168" s="247">
        <v>16.3</v>
      </c>
      <c r="F168" s="57">
        <v>986</v>
      </c>
      <c r="G168" s="57">
        <v>2339</v>
      </c>
      <c r="H168" s="57">
        <v>103.9</v>
      </c>
      <c r="I168" s="57">
        <v>103.2</v>
      </c>
      <c r="J168" s="57" t="s">
        <v>1071</v>
      </c>
      <c r="K168" s="60">
        <v>32.200000000000003</v>
      </c>
      <c r="L168" s="60">
        <v>44</v>
      </c>
      <c r="M168" s="60">
        <v>41.12</v>
      </c>
      <c r="N168" s="57"/>
      <c r="O168" s="57"/>
      <c r="P168" s="57"/>
      <c r="Q168" s="57" t="s">
        <v>1065</v>
      </c>
      <c r="R168" s="57">
        <v>69.599999999999994</v>
      </c>
      <c r="S168" s="26" t="s">
        <v>451</v>
      </c>
      <c r="T168" s="20" t="s">
        <v>928</v>
      </c>
      <c r="U168" s="37" t="s">
        <v>1072</v>
      </c>
    </row>
    <row r="169" spans="1:21" ht="29.25" customHeight="1" x14ac:dyDescent="0.3">
      <c r="A169" s="25">
        <v>44440</v>
      </c>
      <c r="B169" s="58">
        <v>0.91666666666666663</v>
      </c>
      <c r="C169" s="246">
        <v>50</v>
      </c>
      <c r="D169" s="60">
        <v>10</v>
      </c>
      <c r="E169" s="247">
        <v>15.6</v>
      </c>
      <c r="F169" s="57">
        <v>921</v>
      </c>
      <c r="G169" s="57">
        <v>2236</v>
      </c>
      <c r="H169" s="57">
        <v>103.8</v>
      </c>
      <c r="I169" s="57">
        <v>104.5</v>
      </c>
      <c r="J169" s="57" t="s">
        <v>1077</v>
      </c>
      <c r="K169" s="60">
        <v>32.700000000000003</v>
      </c>
      <c r="L169" s="60">
        <v>44</v>
      </c>
      <c r="M169" s="60">
        <v>38.6</v>
      </c>
      <c r="N169" s="57"/>
      <c r="O169" s="57"/>
      <c r="P169" s="57"/>
      <c r="Q169" s="57" t="s">
        <v>1078</v>
      </c>
      <c r="R169" s="57">
        <v>66.599999999999994</v>
      </c>
      <c r="S169" s="26" t="s">
        <v>451</v>
      </c>
      <c r="T169" s="20" t="s">
        <v>928</v>
      </c>
      <c r="U169" s="479" t="s">
        <v>1083</v>
      </c>
    </row>
    <row r="170" spans="1:21" ht="30" x14ac:dyDescent="0.25">
      <c r="A170" s="25">
        <v>44441</v>
      </c>
      <c r="B170" s="58">
        <v>0.91666666666666663</v>
      </c>
      <c r="C170" s="246">
        <v>50</v>
      </c>
      <c r="D170" s="60">
        <v>10</v>
      </c>
      <c r="E170" s="247">
        <v>15.6</v>
      </c>
      <c r="F170" s="57">
        <v>921</v>
      </c>
      <c r="G170" s="57">
        <v>2236</v>
      </c>
      <c r="H170" s="57">
        <v>103.8</v>
      </c>
      <c r="I170" s="57">
        <v>104.5</v>
      </c>
      <c r="J170" s="57" t="s">
        <v>1077</v>
      </c>
      <c r="K170" s="60">
        <v>32.700000000000003</v>
      </c>
      <c r="L170" s="60">
        <v>44</v>
      </c>
      <c r="M170" s="60">
        <v>38.6</v>
      </c>
      <c r="N170" s="57"/>
      <c r="O170" s="57"/>
      <c r="P170" s="57"/>
      <c r="Q170" s="57" t="s">
        <v>1078</v>
      </c>
      <c r="R170" s="57">
        <v>66.599999999999994</v>
      </c>
      <c r="S170" s="26" t="s">
        <v>451</v>
      </c>
      <c r="T170" s="20" t="s">
        <v>928</v>
      </c>
      <c r="U170" s="481" t="s">
        <v>1087</v>
      </c>
    </row>
    <row r="171" spans="1:21" ht="21" x14ac:dyDescent="0.25">
      <c r="A171" s="25">
        <v>44442</v>
      </c>
      <c r="B171" s="58">
        <v>0.95833333333333337</v>
      </c>
      <c r="C171" s="1481" t="s">
        <v>1088</v>
      </c>
      <c r="D171" s="1482"/>
      <c r="E171" s="1482"/>
      <c r="F171" s="1482"/>
      <c r="G171" s="1482"/>
      <c r="H171" s="1482"/>
      <c r="I171" s="1482"/>
      <c r="J171" s="1482"/>
      <c r="K171" s="1482"/>
      <c r="L171" s="1482"/>
      <c r="M171" s="1482"/>
      <c r="N171" s="1482"/>
      <c r="O171" s="1482"/>
      <c r="P171" s="1482"/>
      <c r="Q171" s="1482"/>
      <c r="R171" s="1483"/>
      <c r="S171" s="26" t="s">
        <v>451</v>
      </c>
      <c r="T171" s="20" t="s">
        <v>928</v>
      </c>
      <c r="U171" s="481"/>
    </row>
    <row r="172" spans="1:21" ht="21" x14ac:dyDescent="0.25">
      <c r="A172" s="25">
        <v>44443</v>
      </c>
      <c r="B172" s="58">
        <v>0.9375</v>
      </c>
      <c r="C172" s="1481" t="s">
        <v>1098</v>
      </c>
      <c r="D172" s="1482"/>
      <c r="E172" s="1482"/>
      <c r="F172" s="1482"/>
      <c r="G172" s="1482"/>
      <c r="H172" s="1482"/>
      <c r="I172" s="1482"/>
      <c r="J172" s="1482"/>
      <c r="K172" s="1482"/>
      <c r="L172" s="1482"/>
      <c r="M172" s="1482"/>
      <c r="N172" s="1482"/>
      <c r="O172" s="1482"/>
      <c r="P172" s="1482"/>
      <c r="Q172" s="1482"/>
      <c r="R172" s="1483"/>
      <c r="S172" s="26" t="s">
        <v>451</v>
      </c>
      <c r="T172" s="20" t="s">
        <v>928</v>
      </c>
      <c r="U172" s="481"/>
    </row>
    <row r="173" spans="1:21" ht="21" x14ac:dyDescent="0.25">
      <c r="A173" s="25">
        <v>44444</v>
      </c>
      <c r="B173" s="58">
        <v>0.9375</v>
      </c>
      <c r="C173" s="1481" t="s">
        <v>1099</v>
      </c>
      <c r="D173" s="1482"/>
      <c r="E173" s="1482"/>
      <c r="F173" s="1482"/>
      <c r="G173" s="1482"/>
      <c r="H173" s="1482"/>
      <c r="I173" s="1482"/>
      <c r="J173" s="1482"/>
      <c r="K173" s="1482"/>
      <c r="L173" s="1482"/>
      <c r="M173" s="1482"/>
      <c r="N173" s="1482"/>
      <c r="O173" s="1482"/>
      <c r="P173" s="1482"/>
      <c r="Q173" s="1482"/>
      <c r="R173" s="1483"/>
      <c r="S173" s="26" t="s">
        <v>451</v>
      </c>
      <c r="T173" s="20" t="s">
        <v>928</v>
      </c>
      <c r="U173" s="36"/>
    </row>
    <row r="174" spans="1:21" ht="21" x14ac:dyDescent="0.25">
      <c r="A174" s="25">
        <v>44445</v>
      </c>
      <c r="B174" s="58">
        <v>0.95833333333333337</v>
      </c>
      <c r="C174" s="1481" t="s">
        <v>1104</v>
      </c>
      <c r="D174" s="1482"/>
      <c r="E174" s="1482"/>
      <c r="F174" s="1482"/>
      <c r="G174" s="1482"/>
      <c r="H174" s="1482"/>
      <c r="I174" s="1482"/>
      <c r="J174" s="1482"/>
      <c r="K174" s="1482"/>
      <c r="L174" s="1482"/>
      <c r="M174" s="1482"/>
      <c r="N174" s="1482"/>
      <c r="O174" s="1482"/>
      <c r="P174" s="1482"/>
      <c r="Q174" s="1482"/>
      <c r="R174" s="1483"/>
      <c r="S174" s="26" t="s">
        <v>451</v>
      </c>
      <c r="T174" s="20" t="s">
        <v>928</v>
      </c>
      <c r="U174" s="36"/>
    </row>
    <row r="175" spans="1:21" ht="21" x14ac:dyDescent="0.25">
      <c r="A175" s="25">
        <v>44446</v>
      </c>
      <c r="B175" s="58">
        <v>0.95833333333333337</v>
      </c>
      <c r="C175" s="1481" t="s">
        <v>1109</v>
      </c>
      <c r="D175" s="1482"/>
      <c r="E175" s="1482"/>
      <c r="F175" s="1482"/>
      <c r="G175" s="1482"/>
      <c r="H175" s="1482"/>
      <c r="I175" s="1482"/>
      <c r="J175" s="1482"/>
      <c r="K175" s="1482"/>
      <c r="L175" s="1482"/>
      <c r="M175" s="1482"/>
      <c r="N175" s="1482"/>
      <c r="O175" s="1482"/>
      <c r="P175" s="1482"/>
      <c r="Q175" s="1482"/>
      <c r="R175" s="1483"/>
      <c r="S175" s="26" t="s">
        <v>451</v>
      </c>
      <c r="T175" s="20" t="s">
        <v>928</v>
      </c>
      <c r="U175" s="36"/>
    </row>
    <row r="176" spans="1:21" ht="22.5" customHeight="1" x14ac:dyDescent="0.25">
      <c r="A176" s="25">
        <v>44447</v>
      </c>
      <c r="B176" s="58">
        <v>0.97916666666666663</v>
      </c>
      <c r="C176" s="246">
        <v>49</v>
      </c>
      <c r="D176" s="60">
        <v>10.4</v>
      </c>
      <c r="E176" s="247">
        <v>15.9</v>
      </c>
      <c r="F176" s="57">
        <v>982</v>
      </c>
      <c r="G176" s="57">
        <v>2250</v>
      </c>
      <c r="H176" s="57">
        <v>103.5</v>
      </c>
      <c r="I176" s="57">
        <v>104</v>
      </c>
      <c r="J176" s="57" t="s">
        <v>1114</v>
      </c>
      <c r="K176" s="60">
        <v>33.74</v>
      </c>
      <c r="L176" s="60">
        <v>44</v>
      </c>
      <c r="M176" s="60">
        <v>40.17</v>
      </c>
      <c r="N176" s="57"/>
      <c r="O176" s="57"/>
      <c r="P176" s="57"/>
      <c r="Q176" s="57" t="s">
        <v>1115</v>
      </c>
      <c r="R176" s="57">
        <v>67.900000000000006</v>
      </c>
      <c r="S176" s="26" t="s">
        <v>451</v>
      </c>
      <c r="T176" s="20" t="s">
        <v>928</v>
      </c>
      <c r="U176" s="36"/>
    </row>
    <row r="177" spans="1:21" x14ac:dyDescent="0.25">
      <c r="A177" s="25">
        <v>44448</v>
      </c>
      <c r="B177" s="58">
        <v>0.91666666666666663</v>
      </c>
      <c r="C177" s="246">
        <v>49</v>
      </c>
      <c r="D177" s="60">
        <v>9</v>
      </c>
      <c r="E177" s="247">
        <v>15</v>
      </c>
      <c r="F177" s="57">
        <v>1002</v>
      </c>
      <c r="G177" s="57">
        <v>2277</v>
      </c>
      <c r="H177" s="57">
        <v>104.2</v>
      </c>
      <c r="I177" s="57">
        <v>105.5</v>
      </c>
      <c r="J177" s="57" t="s">
        <v>1124</v>
      </c>
      <c r="K177" s="60">
        <v>32.29</v>
      </c>
      <c r="L177" s="60">
        <v>44</v>
      </c>
      <c r="M177" s="60">
        <v>34.630000000000003</v>
      </c>
      <c r="N177" s="57"/>
      <c r="O177" s="57"/>
      <c r="P177" s="57"/>
      <c r="Q177" s="57" t="s">
        <v>1123</v>
      </c>
      <c r="R177" s="57">
        <v>64.099999999999994</v>
      </c>
      <c r="S177" s="26" t="s">
        <v>451</v>
      </c>
      <c r="T177" s="20" t="s">
        <v>928</v>
      </c>
      <c r="U177" s="36" t="s">
        <v>1137</v>
      </c>
    </row>
    <row r="178" spans="1:21" ht="31.5" customHeight="1" x14ac:dyDescent="0.25">
      <c r="A178" s="25">
        <v>44449</v>
      </c>
      <c r="B178" s="58">
        <v>0.97916666666666663</v>
      </c>
      <c r="C178" s="1505" t="s">
        <v>1143</v>
      </c>
      <c r="D178" s="1506"/>
      <c r="E178" s="1506"/>
      <c r="F178" s="1506"/>
      <c r="G178" s="1506"/>
      <c r="H178" s="1506"/>
      <c r="I178" s="1506"/>
      <c r="J178" s="1506"/>
      <c r="K178" s="1506"/>
      <c r="L178" s="1506"/>
      <c r="M178" s="1506"/>
      <c r="N178" s="1506"/>
      <c r="O178" s="1506"/>
      <c r="P178" s="1506"/>
      <c r="Q178" s="1506"/>
      <c r="R178" s="1507"/>
      <c r="S178" s="26" t="s">
        <v>451</v>
      </c>
      <c r="T178" s="20" t="s">
        <v>928</v>
      </c>
      <c r="U178" s="36"/>
    </row>
    <row r="179" spans="1:21" ht="21" x14ac:dyDescent="0.25">
      <c r="A179" s="25">
        <v>44450</v>
      </c>
      <c r="B179" s="58">
        <v>0.91666666666666663</v>
      </c>
      <c r="C179" s="1481" t="s">
        <v>1144</v>
      </c>
      <c r="D179" s="1482"/>
      <c r="E179" s="1482"/>
      <c r="F179" s="1482"/>
      <c r="G179" s="1482"/>
      <c r="H179" s="1482"/>
      <c r="I179" s="1482"/>
      <c r="J179" s="1482"/>
      <c r="K179" s="1482"/>
      <c r="L179" s="1482"/>
      <c r="M179" s="1482"/>
      <c r="N179" s="1482"/>
      <c r="O179" s="1482"/>
      <c r="P179" s="1482"/>
      <c r="Q179" s="1482"/>
      <c r="R179" s="1483"/>
      <c r="S179" s="26" t="s">
        <v>451</v>
      </c>
      <c r="T179" s="20" t="s">
        <v>928</v>
      </c>
      <c r="U179" s="36"/>
    </row>
    <row r="180" spans="1:21" ht="21" x14ac:dyDescent="0.25">
      <c r="A180" s="25">
        <v>44451</v>
      </c>
      <c r="B180" s="58">
        <v>0.91666666666666663</v>
      </c>
      <c r="C180" s="1481" t="s">
        <v>1153</v>
      </c>
      <c r="D180" s="1482"/>
      <c r="E180" s="1482"/>
      <c r="F180" s="1482"/>
      <c r="G180" s="1482"/>
      <c r="H180" s="1482"/>
      <c r="I180" s="1482"/>
      <c r="J180" s="1482"/>
      <c r="K180" s="1482"/>
      <c r="L180" s="1482"/>
      <c r="M180" s="1482"/>
      <c r="N180" s="1482"/>
      <c r="O180" s="1482"/>
      <c r="P180" s="1482"/>
      <c r="Q180" s="1482"/>
      <c r="R180" s="1483"/>
      <c r="S180" s="26" t="s">
        <v>451</v>
      </c>
      <c r="T180" s="20" t="s">
        <v>928</v>
      </c>
      <c r="U180" s="36"/>
    </row>
    <row r="181" spans="1:21" x14ac:dyDescent="0.25">
      <c r="A181" s="25">
        <v>44452</v>
      </c>
      <c r="B181" s="58">
        <v>0.91666666666666663</v>
      </c>
      <c r="C181" s="246">
        <v>50</v>
      </c>
      <c r="D181" s="60">
        <v>10.3</v>
      </c>
      <c r="E181" s="247">
        <v>15.9</v>
      </c>
      <c r="F181" s="57">
        <v>936</v>
      </c>
      <c r="G181" s="57">
        <v>2287</v>
      </c>
      <c r="H181" s="57">
        <v>104</v>
      </c>
      <c r="I181" s="57">
        <v>104.5</v>
      </c>
      <c r="J181" s="57" t="s">
        <v>1159</v>
      </c>
      <c r="K181" s="60">
        <v>35.049999999999997</v>
      </c>
      <c r="L181" s="60">
        <v>44</v>
      </c>
      <c r="M181" s="60">
        <v>38.78</v>
      </c>
      <c r="N181" s="57"/>
      <c r="O181" s="57"/>
      <c r="P181" s="57"/>
      <c r="Q181" s="57" t="s">
        <v>1158</v>
      </c>
      <c r="R181" s="57">
        <v>67.900000000000006</v>
      </c>
      <c r="S181" s="26" t="s">
        <v>451</v>
      </c>
      <c r="T181" s="20" t="s">
        <v>928</v>
      </c>
      <c r="U181" s="37" t="s">
        <v>1168</v>
      </c>
    </row>
    <row r="182" spans="1:21" ht="30" customHeight="1" x14ac:dyDescent="0.25">
      <c r="A182" s="25">
        <v>44453</v>
      </c>
      <c r="B182" s="58">
        <v>0.91666666666666663</v>
      </c>
      <c r="C182" s="246">
        <v>50</v>
      </c>
      <c r="D182" s="60">
        <v>8.9</v>
      </c>
      <c r="E182" s="247">
        <v>14.9</v>
      </c>
      <c r="F182" s="57">
        <v>936</v>
      </c>
      <c r="G182" s="57">
        <v>2287</v>
      </c>
      <c r="H182" s="57">
        <v>104</v>
      </c>
      <c r="I182" s="57">
        <v>104.5</v>
      </c>
      <c r="J182" s="57" t="s">
        <v>1159</v>
      </c>
      <c r="K182" s="60">
        <v>33.5</v>
      </c>
      <c r="L182" s="60">
        <v>44</v>
      </c>
      <c r="M182" s="60">
        <v>35</v>
      </c>
      <c r="N182" s="57"/>
      <c r="O182" s="57"/>
      <c r="P182" s="57"/>
      <c r="Q182" s="57" t="s">
        <v>1169</v>
      </c>
      <c r="R182" s="57">
        <v>63.6</v>
      </c>
      <c r="S182" s="26" t="s">
        <v>451</v>
      </c>
      <c r="T182" s="20" t="s">
        <v>928</v>
      </c>
      <c r="U182" s="37" t="s">
        <v>1178</v>
      </c>
    </row>
    <row r="183" spans="1:21" ht="21" x14ac:dyDescent="0.25">
      <c r="A183" s="25">
        <v>44454</v>
      </c>
      <c r="B183" s="58">
        <v>0.9375</v>
      </c>
      <c r="C183" s="1481" t="s">
        <v>1179</v>
      </c>
      <c r="D183" s="1482"/>
      <c r="E183" s="1482"/>
      <c r="F183" s="1482"/>
      <c r="G183" s="1482"/>
      <c r="H183" s="1482"/>
      <c r="I183" s="1482"/>
      <c r="J183" s="1482"/>
      <c r="K183" s="1482"/>
      <c r="L183" s="1482"/>
      <c r="M183" s="1482"/>
      <c r="N183" s="1482"/>
      <c r="O183" s="1482"/>
      <c r="P183" s="1482"/>
      <c r="Q183" s="1482"/>
      <c r="R183" s="1483"/>
      <c r="S183" s="26" t="s">
        <v>451</v>
      </c>
      <c r="T183" s="20" t="s">
        <v>928</v>
      </c>
      <c r="U183" s="37"/>
    </row>
    <row r="184" spans="1:21" x14ac:dyDescent="0.25">
      <c r="A184" s="25">
        <v>44455</v>
      </c>
      <c r="B184" s="58">
        <v>0.91666666666666663</v>
      </c>
      <c r="C184" s="246">
        <v>51</v>
      </c>
      <c r="D184" s="60">
        <v>11</v>
      </c>
      <c r="E184" s="247">
        <v>16</v>
      </c>
      <c r="F184" s="57">
        <v>952</v>
      </c>
      <c r="G184" s="57">
        <v>2347</v>
      </c>
      <c r="H184" s="57">
        <v>104</v>
      </c>
      <c r="I184" s="57">
        <v>105</v>
      </c>
      <c r="J184" s="57" t="s">
        <v>1188</v>
      </c>
      <c r="K184" s="60">
        <v>33.5</v>
      </c>
      <c r="L184" s="60">
        <v>44</v>
      </c>
      <c r="M184" s="60">
        <v>35</v>
      </c>
      <c r="N184" s="57"/>
      <c r="O184" s="57"/>
      <c r="P184" s="57"/>
      <c r="Q184" s="57" t="s">
        <v>1182</v>
      </c>
      <c r="R184" s="57">
        <v>70</v>
      </c>
      <c r="S184" s="26" t="s">
        <v>451</v>
      </c>
      <c r="T184" s="20" t="s">
        <v>928</v>
      </c>
      <c r="U184" s="37" t="s">
        <v>1191</v>
      </c>
    </row>
    <row r="185" spans="1:21" x14ac:dyDescent="0.25">
      <c r="A185" s="25">
        <v>44456</v>
      </c>
      <c r="B185" s="58">
        <v>0.91666666666666663</v>
      </c>
      <c r="C185" s="246">
        <v>51</v>
      </c>
      <c r="D185" s="60">
        <v>9.5</v>
      </c>
      <c r="E185" s="247">
        <v>15.4</v>
      </c>
      <c r="F185" s="57">
        <v>962</v>
      </c>
      <c r="G185" s="57">
        <v>2344</v>
      </c>
      <c r="H185" s="57">
        <v>104.7</v>
      </c>
      <c r="I185" s="57">
        <v>107.3</v>
      </c>
      <c r="J185" s="57" t="s">
        <v>1183</v>
      </c>
      <c r="K185" s="60">
        <v>33.06</v>
      </c>
      <c r="L185" s="60">
        <v>44</v>
      </c>
      <c r="M185" s="60">
        <v>36.04</v>
      </c>
      <c r="N185" s="57"/>
      <c r="O185" s="57"/>
      <c r="P185" s="57"/>
      <c r="Q185" s="57" t="s">
        <v>1182</v>
      </c>
      <c r="R185" s="57">
        <v>65.8</v>
      </c>
      <c r="S185" s="26" t="s">
        <v>451</v>
      </c>
      <c r="T185" s="20" t="s">
        <v>928</v>
      </c>
      <c r="U185" s="37" t="s">
        <v>1184</v>
      </c>
    </row>
    <row r="186" spans="1:21" ht="21" x14ac:dyDescent="0.25">
      <c r="A186" s="25">
        <v>44457</v>
      </c>
      <c r="B186" s="58">
        <v>0.95833333333333337</v>
      </c>
      <c r="C186" s="1481" t="s">
        <v>1196</v>
      </c>
      <c r="D186" s="1482"/>
      <c r="E186" s="1482"/>
      <c r="F186" s="1482"/>
      <c r="G186" s="1482"/>
      <c r="H186" s="1482"/>
      <c r="I186" s="1482"/>
      <c r="J186" s="1482"/>
      <c r="K186" s="1482"/>
      <c r="L186" s="1482"/>
      <c r="M186" s="1482"/>
      <c r="N186" s="1482"/>
      <c r="O186" s="1482"/>
      <c r="P186" s="1482"/>
      <c r="Q186" s="1482"/>
      <c r="R186" s="1483"/>
      <c r="S186" s="26" t="s">
        <v>451</v>
      </c>
      <c r="T186" s="20" t="s">
        <v>928</v>
      </c>
      <c r="U186" s="37" t="s">
        <v>1199</v>
      </c>
    </row>
    <row r="187" spans="1:21" ht="21" x14ac:dyDescent="0.25">
      <c r="A187" s="25">
        <v>44458</v>
      </c>
      <c r="B187" s="58">
        <v>0.95833333333333337</v>
      </c>
      <c r="C187" s="1481" t="s">
        <v>1213</v>
      </c>
      <c r="D187" s="1482"/>
      <c r="E187" s="1482"/>
      <c r="F187" s="1482"/>
      <c r="G187" s="1482"/>
      <c r="H187" s="1482"/>
      <c r="I187" s="1482"/>
      <c r="J187" s="1482"/>
      <c r="K187" s="1482"/>
      <c r="L187" s="1482"/>
      <c r="M187" s="1482"/>
      <c r="N187" s="1482"/>
      <c r="O187" s="1482"/>
      <c r="P187" s="1482"/>
      <c r="Q187" s="1482"/>
      <c r="R187" s="1483"/>
      <c r="S187" s="26" t="s">
        <v>451</v>
      </c>
      <c r="T187" s="20" t="s">
        <v>928</v>
      </c>
      <c r="U187" s="37"/>
    </row>
    <row r="188" spans="1:21" ht="21" x14ac:dyDescent="0.25">
      <c r="A188" s="25">
        <v>44459</v>
      </c>
      <c r="B188" s="58">
        <v>0.9375</v>
      </c>
      <c r="C188" s="1481" t="s">
        <v>1215</v>
      </c>
      <c r="D188" s="1482"/>
      <c r="E188" s="1482"/>
      <c r="F188" s="1482"/>
      <c r="G188" s="1482"/>
      <c r="H188" s="1482"/>
      <c r="I188" s="1482"/>
      <c r="J188" s="1482"/>
      <c r="K188" s="1482"/>
      <c r="L188" s="1482"/>
      <c r="M188" s="1482"/>
      <c r="N188" s="1482"/>
      <c r="O188" s="1482"/>
      <c r="P188" s="1482"/>
      <c r="Q188" s="1482"/>
      <c r="R188" s="1483"/>
      <c r="S188" s="26" t="s">
        <v>451</v>
      </c>
      <c r="T188" s="20" t="s">
        <v>928</v>
      </c>
      <c r="U188" s="37"/>
    </row>
    <row r="189" spans="1:21" ht="21" x14ac:dyDescent="0.25">
      <c r="A189" s="25">
        <v>44460</v>
      </c>
      <c r="B189" s="58">
        <v>0.9375</v>
      </c>
      <c r="C189" s="1481" t="s">
        <v>1222</v>
      </c>
      <c r="D189" s="1482"/>
      <c r="E189" s="1482"/>
      <c r="F189" s="1482"/>
      <c r="G189" s="1482"/>
      <c r="H189" s="1482"/>
      <c r="I189" s="1482"/>
      <c r="J189" s="1482"/>
      <c r="K189" s="1482"/>
      <c r="L189" s="1482"/>
      <c r="M189" s="1482"/>
      <c r="N189" s="1482"/>
      <c r="O189" s="1482"/>
      <c r="P189" s="1482"/>
      <c r="Q189" s="1482"/>
      <c r="R189" s="1483"/>
      <c r="S189" s="26" t="s">
        <v>451</v>
      </c>
      <c r="T189" s="20" t="s">
        <v>928</v>
      </c>
      <c r="U189" s="37"/>
    </row>
    <row r="190" spans="1:21" x14ac:dyDescent="0.25">
      <c r="A190" s="25">
        <v>44461</v>
      </c>
      <c r="B190" s="58">
        <v>0.9375</v>
      </c>
      <c r="C190" s="246">
        <v>50</v>
      </c>
      <c r="D190" s="60">
        <v>10.7</v>
      </c>
      <c r="E190" s="247">
        <v>16.100000000000001</v>
      </c>
      <c r="F190" s="57">
        <v>1195</v>
      </c>
      <c r="G190" s="57">
        <v>2234</v>
      </c>
      <c r="H190" s="57">
        <v>101.9</v>
      </c>
      <c r="I190" s="57">
        <v>102.8</v>
      </c>
      <c r="J190" s="57" t="s">
        <v>1228</v>
      </c>
      <c r="K190" s="60">
        <v>34.74</v>
      </c>
      <c r="L190" s="60">
        <v>44</v>
      </c>
      <c r="M190" s="60">
        <v>40</v>
      </c>
      <c r="N190" s="57"/>
      <c r="O190" s="57"/>
      <c r="P190" s="57"/>
      <c r="Q190" s="57" t="s">
        <v>1227</v>
      </c>
      <c r="R190" s="57">
        <v>68.8</v>
      </c>
      <c r="S190" s="26" t="s">
        <v>451</v>
      </c>
      <c r="T190" s="20" t="s">
        <v>928</v>
      </c>
      <c r="U190" s="37" t="s">
        <v>1233</v>
      </c>
    </row>
    <row r="191" spans="1:21" x14ac:dyDescent="0.25">
      <c r="A191" s="25">
        <v>44462</v>
      </c>
      <c r="B191" s="58">
        <v>0.9375</v>
      </c>
      <c r="C191" s="246">
        <v>50</v>
      </c>
      <c r="D191" s="60">
        <v>9.5</v>
      </c>
      <c r="E191" s="247">
        <v>15.3</v>
      </c>
      <c r="F191" s="57">
        <v>979</v>
      </c>
      <c r="G191" s="57">
        <v>2314</v>
      </c>
      <c r="H191" s="57">
        <v>105.3</v>
      </c>
      <c r="I191" s="57">
        <v>106.7</v>
      </c>
      <c r="J191" s="57" t="s">
        <v>1238</v>
      </c>
      <c r="K191" s="60">
        <v>34.74</v>
      </c>
      <c r="L191" s="60">
        <v>44</v>
      </c>
      <c r="M191" s="60">
        <v>36</v>
      </c>
      <c r="N191" s="57"/>
      <c r="O191" s="57"/>
      <c r="P191" s="57"/>
      <c r="Q191" s="57" t="s">
        <v>1237</v>
      </c>
      <c r="R191" s="57">
        <v>65.3</v>
      </c>
      <c r="S191" s="26" t="s">
        <v>451</v>
      </c>
      <c r="T191" s="20" t="s">
        <v>928</v>
      </c>
      <c r="U191" s="37" t="s">
        <v>1083</v>
      </c>
    </row>
    <row r="192" spans="1:21" ht="30" x14ac:dyDescent="0.25">
      <c r="A192" s="25">
        <v>44463</v>
      </c>
      <c r="B192" s="58">
        <v>0.9375</v>
      </c>
      <c r="C192" s="246">
        <v>50</v>
      </c>
      <c r="D192" s="60">
        <v>11.5</v>
      </c>
      <c r="E192" s="247">
        <v>16.7</v>
      </c>
      <c r="F192" s="57">
        <v>1031</v>
      </c>
      <c r="G192" s="57">
        <v>2444</v>
      </c>
      <c r="H192" s="57">
        <v>105</v>
      </c>
      <c r="I192" s="57">
        <v>106.6</v>
      </c>
      <c r="J192" s="57" t="s">
        <v>1245</v>
      </c>
      <c r="K192" s="60">
        <v>33.979999999999997</v>
      </c>
      <c r="L192" s="60">
        <v>44</v>
      </c>
      <c r="M192" s="60">
        <v>36</v>
      </c>
      <c r="N192" s="57"/>
      <c r="O192" s="57"/>
      <c r="P192" s="57"/>
      <c r="Q192" s="57" t="s">
        <v>1244</v>
      </c>
      <c r="R192" s="57">
        <v>70.900000000000006</v>
      </c>
      <c r="S192" s="26" t="s">
        <v>451</v>
      </c>
      <c r="T192" s="20" t="s">
        <v>928</v>
      </c>
      <c r="U192" s="37" t="s">
        <v>1253</v>
      </c>
    </row>
    <row r="193" spans="1:21" ht="21" x14ac:dyDescent="0.25">
      <c r="A193" s="25">
        <v>44464</v>
      </c>
      <c r="B193" s="58">
        <v>0.91666666666666663</v>
      </c>
      <c r="C193" s="1481" t="s">
        <v>1249</v>
      </c>
      <c r="D193" s="1482"/>
      <c r="E193" s="1482"/>
      <c r="F193" s="1482"/>
      <c r="G193" s="1482"/>
      <c r="H193" s="1482"/>
      <c r="I193" s="1482"/>
      <c r="J193" s="1482"/>
      <c r="K193" s="1482"/>
      <c r="L193" s="1482"/>
      <c r="M193" s="1482"/>
      <c r="N193" s="1482"/>
      <c r="O193" s="1482"/>
      <c r="P193" s="1482"/>
      <c r="Q193" s="1482"/>
      <c r="R193" s="1483"/>
      <c r="S193" s="26" t="s">
        <v>451</v>
      </c>
      <c r="T193" s="20" t="s">
        <v>928</v>
      </c>
      <c r="U193" s="37"/>
    </row>
    <row r="194" spans="1:21" ht="21" x14ac:dyDescent="0.25">
      <c r="A194" s="25">
        <v>44465</v>
      </c>
      <c r="B194" s="58">
        <v>0.91666666666666663</v>
      </c>
      <c r="C194" s="1481" t="s">
        <v>1255</v>
      </c>
      <c r="D194" s="1482"/>
      <c r="E194" s="1482"/>
      <c r="F194" s="1482"/>
      <c r="G194" s="1482"/>
      <c r="H194" s="1482"/>
      <c r="I194" s="1482"/>
      <c r="J194" s="1482"/>
      <c r="K194" s="1482"/>
      <c r="L194" s="1482"/>
      <c r="M194" s="1482"/>
      <c r="N194" s="1482"/>
      <c r="O194" s="1482"/>
      <c r="P194" s="1482"/>
      <c r="Q194" s="1482"/>
      <c r="R194" s="1483"/>
      <c r="S194" s="26" t="s">
        <v>451</v>
      </c>
      <c r="T194" s="20" t="s">
        <v>928</v>
      </c>
      <c r="U194" s="37"/>
    </row>
    <row r="195" spans="1:21" ht="21" x14ac:dyDescent="0.25">
      <c r="A195" s="25">
        <v>44466</v>
      </c>
      <c r="B195" s="58">
        <v>0.9375</v>
      </c>
      <c r="C195" s="1481" t="s">
        <v>1260</v>
      </c>
      <c r="D195" s="1482"/>
      <c r="E195" s="1482"/>
      <c r="F195" s="1482"/>
      <c r="G195" s="1482"/>
      <c r="H195" s="1482"/>
      <c r="I195" s="1482"/>
      <c r="J195" s="1482"/>
      <c r="K195" s="1482"/>
      <c r="L195" s="1482"/>
      <c r="M195" s="1482"/>
      <c r="N195" s="1482"/>
      <c r="O195" s="1482"/>
      <c r="P195" s="1482"/>
      <c r="Q195" s="1482"/>
      <c r="R195" s="1483"/>
      <c r="S195" s="26" t="s">
        <v>451</v>
      </c>
      <c r="T195" s="20" t="s">
        <v>928</v>
      </c>
      <c r="U195" s="37"/>
    </row>
    <row r="196" spans="1:21" x14ac:dyDescent="0.25">
      <c r="A196" s="25">
        <v>44467</v>
      </c>
      <c r="B196" s="58">
        <v>0.91666666666666663</v>
      </c>
      <c r="C196" s="246">
        <v>50</v>
      </c>
      <c r="D196" s="60">
        <v>11</v>
      </c>
      <c r="E196" s="247">
        <v>16.399999999999999</v>
      </c>
      <c r="F196" s="57">
        <v>1053</v>
      </c>
      <c r="G196" s="57">
        <v>2255</v>
      </c>
      <c r="H196" s="57">
        <v>102.9</v>
      </c>
      <c r="I196" s="57">
        <v>103.7</v>
      </c>
      <c r="J196" s="57" t="s">
        <v>1266</v>
      </c>
      <c r="K196" s="60">
        <v>37.799999999999997</v>
      </c>
      <c r="L196" s="60">
        <v>44</v>
      </c>
      <c r="M196" s="60">
        <v>41.73</v>
      </c>
      <c r="N196" s="57"/>
      <c r="O196" s="57"/>
      <c r="P196" s="57"/>
      <c r="Q196" s="57" t="s">
        <v>1265</v>
      </c>
      <c r="R196" s="57">
        <v>70</v>
      </c>
      <c r="S196" s="26" t="s">
        <v>451</v>
      </c>
      <c r="T196" s="20" t="s">
        <v>928</v>
      </c>
      <c r="U196" s="37" t="s">
        <v>1272</v>
      </c>
    </row>
    <row r="197" spans="1:21" x14ac:dyDescent="0.25">
      <c r="A197" s="25">
        <v>44468</v>
      </c>
      <c r="B197" s="58">
        <v>0.91666666666666663</v>
      </c>
      <c r="C197" s="246">
        <v>50</v>
      </c>
      <c r="D197" s="60">
        <v>11</v>
      </c>
      <c r="E197" s="247">
        <v>15.5</v>
      </c>
      <c r="F197" s="57">
        <v>976</v>
      </c>
      <c r="G197" s="57">
        <v>2189</v>
      </c>
      <c r="H197" s="57">
        <v>102.9</v>
      </c>
      <c r="I197" s="57">
        <v>106</v>
      </c>
      <c r="J197" s="57" t="s">
        <v>1276</v>
      </c>
      <c r="K197" s="60">
        <v>37.799999999999997</v>
      </c>
      <c r="L197" s="60">
        <v>44</v>
      </c>
      <c r="M197" s="60">
        <v>41.73</v>
      </c>
      <c r="N197" s="57"/>
      <c r="O197" s="57"/>
      <c r="P197" s="57"/>
      <c r="Q197" s="57" t="s">
        <v>1277</v>
      </c>
      <c r="R197" s="57">
        <v>65</v>
      </c>
      <c r="S197" s="26" t="s">
        <v>451</v>
      </c>
      <c r="T197" s="20" t="s">
        <v>928</v>
      </c>
      <c r="U197" s="37"/>
    </row>
    <row r="198" spans="1:21" ht="21" x14ac:dyDescent="0.25">
      <c r="A198" s="25">
        <v>44469</v>
      </c>
      <c r="B198" s="58">
        <v>0.9375</v>
      </c>
      <c r="C198" s="1481" t="s">
        <v>1275</v>
      </c>
      <c r="D198" s="1482"/>
      <c r="E198" s="1482"/>
      <c r="F198" s="1482"/>
      <c r="G198" s="1482"/>
      <c r="H198" s="1482"/>
      <c r="I198" s="1482"/>
      <c r="J198" s="1482"/>
      <c r="K198" s="1482"/>
      <c r="L198" s="1482"/>
      <c r="M198" s="1482"/>
      <c r="N198" s="1482"/>
      <c r="O198" s="1482"/>
      <c r="P198" s="1482"/>
      <c r="Q198" s="1482"/>
      <c r="R198" s="1483"/>
      <c r="S198" s="26" t="s">
        <v>451</v>
      </c>
      <c r="T198" s="20" t="s">
        <v>928</v>
      </c>
      <c r="U198" s="37" t="s">
        <v>1274</v>
      </c>
    </row>
    <row r="199" spans="1:21" ht="21" x14ac:dyDescent="0.25">
      <c r="A199" s="25">
        <v>44470</v>
      </c>
      <c r="B199" s="58">
        <v>0.95833333333333337</v>
      </c>
      <c r="C199" s="1481" t="s">
        <v>1285</v>
      </c>
      <c r="D199" s="1482"/>
      <c r="E199" s="1482"/>
      <c r="F199" s="1482"/>
      <c r="G199" s="1482"/>
      <c r="H199" s="1482"/>
      <c r="I199" s="1482"/>
      <c r="J199" s="1482"/>
      <c r="K199" s="1482"/>
      <c r="L199" s="1482"/>
      <c r="M199" s="1482"/>
      <c r="N199" s="1482"/>
      <c r="O199" s="1482"/>
      <c r="P199" s="1482"/>
      <c r="Q199" s="1482"/>
      <c r="R199" s="1483"/>
      <c r="S199" s="26" t="s">
        <v>451</v>
      </c>
      <c r="T199" s="20" t="s">
        <v>928</v>
      </c>
      <c r="U199" s="37"/>
    </row>
    <row r="200" spans="1:21" ht="21" x14ac:dyDescent="0.25">
      <c r="A200" s="25">
        <v>44471</v>
      </c>
      <c r="B200" s="58">
        <v>0.9375</v>
      </c>
      <c r="C200" s="1481" t="s">
        <v>1291</v>
      </c>
      <c r="D200" s="1482"/>
      <c r="E200" s="1482"/>
      <c r="F200" s="1482"/>
      <c r="G200" s="1482"/>
      <c r="H200" s="1482"/>
      <c r="I200" s="1482"/>
      <c r="J200" s="1482"/>
      <c r="K200" s="1482"/>
      <c r="L200" s="1482"/>
      <c r="M200" s="1482"/>
      <c r="N200" s="1482"/>
      <c r="O200" s="1482"/>
      <c r="P200" s="1482"/>
      <c r="Q200" s="1482"/>
      <c r="R200" s="1483"/>
      <c r="S200" s="26" t="s">
        <v>451</v>
      </c>
      <c r="T200" s="20" t="s">
        <v>928</v>
      </c>
      <c r="U200" s="37"/>
    </row>
    <row r="201" spans="1:21" x14ac:dyDescent="0.25">
      <c r="A201" s="25">
        <v>44472</v>
      </c>
      <c r="B201" s="58">
        <v>0.91666666666666663</v>
      </c>
      <c r="C201" s="246">
        <v>52</v>
      </c>
      <c r="D201" s="60">
        <v>11.2</v>
      </c>
      <c r="E201" s="247">
        <v>16.600000000000001</v>
      </c>
      <c r="F201" s="57">
        <v>1075</v>
      </c>
      <c r="G201" s="57">
        <v>2273</v>
      </c>
      <c r="H201" s="57">
        <v>102.3</v>
      </c>
      <c r="I201" s="57">
        <v>103</v>
      </c>
      <c r="J201" s="57" t="s">
        <v>1297</v>
      </c>
      <c r="K201" s="60">
        <v>40</v>
      </c>
      <c r="L201" s="60">
        <v>44</v>
      </c>
      <c r="M201" s="60">
        <v>41.89</v>
      </c>
      <c r="N201" s="57"/>
      <c r="O201" s="57"/>
      <c r="P201" s="57"/>
      <c r="Q201" s="57" t="s">
        <v>1296</v>
      </c>
      <c r="R201" s="57">
        <v>70.900000000000006</v>
      </c>
      <c r="S201" s="26" t="s">
        <v>451</v>
      </c>
      <c r="T201" s="20" t="s">
        <v>928</v>
      </c>
      <c r="U201" s="37" t="s">
        <v>1295</v>
      </c>
    </row>
    <row r="202" spans="1:21" ht="37.5" customHeight="1" x14ac:dyDescent="0.25">
      <c r="A202" s="25">
        <v>44473</v>
      </c>
      <c r="B202" s="58">
        <v>0.9375</v>
      </c>
      <c r="C202" s="246">
        <v>52</v>
      </c>
      <c r="D202" s="60">
        <v>10.8</v>
      </c>
      <c r="E202" s="247">
        <v>16.3</v>
      </c>
      <c r="F202" s="57">
        <v>888.7</v>
      </c>
      <c r="G202" s="57">
        <v>2356</v>
      </c>
      <c r="H202" s="57">
        <v>104.2</v>
      </c>
      <c r="I202" s="57">
        <v>105.2</v>
      </c>
      <c r="J202" s="57" t="s">
        <v>1305</v>
      </c>
      <c r="K202" s="60">
        <v>37.630000000000003</v>
      </c>
      <c r="L202" s="60">
        <v>44</v>
      </c>
      <c r="M202" s="60">
        <v>40.67</v>
      </c>
      <c r="N202" s="57"/>
      <c r="O202" s="57"/>
      <c r="P202" s="57"/>
      <c r="Q202" s="57" t="s">
        <v>1304</v>
      </c>
      <c r="R202" s="57">
        <v>69.599999999999994</v>
      </c>
      <c r="S202" s="26" t="s">
        <v>451</v>
      </c>
      <c r="T202" s="20" t="s">
        <v>928</v>
      </c>
      <c r="U202" s="37" t="s">
        <v>1306</v>
      </c>
    </row>
    <row r="203" spans="1:21" ht="30" x14ac:dyDescent="0.25">
      <c r="A203" s="25">
        <v>44474</v>
      </c>
      <c r="B203" s="58">
        <v>0.9375</v>
      </c>
      <c r="C203" s="1481" t="s">
        <v>1310</v>
      </c>
      <c r="D203" s="1482"/>
      <c r="E203" s="1482"/>
      <c r="F203" s="1482"/>
      <c r="G203" s="1482"/>
      <c r="H203" s="1482"/>
      <c r="I203" s="1482"/>
      <c r="J203" s="1482"/>
      <c r="K203" s="1482"/>
      <c r="L203" s="1482"/>
      <c r="M203" s="1482"/>
      <c r="N203" s="1482"/>
      <c r="O203" s="1482"/>
      <c r="P203" s="1482"/>
      <c r="Q203" s="1482"/>
      <c r="R203" s="1483"/>
      <c r="S203" s="26" t="s">
        <v>451</v>
      </c>
      <c r="T203" s="20" t="s">
        <v>928</v>
      </c>
      <c r="U203" s="37" t="s">
        <v>1311</v>
      </c>
    </row>
    <row r="204" spans="1:21" ht="21" x14ac:dyDescent="0.25">
      <c r="A204" s="25">
        <v>44475</v>
      </c>
      <c r="B204" s="58">
        <v>0.9375</v>
      </c>
      <c r="C204" s="1481" t="s">
        <v>1316</v>
      </c>
      <c r="D204" s="1482"/>
      <c r="E204" s="1482"/>
      <c r="F204" s="1482"/>
      <c r="G204" s="1482"/>
      <c r="H204" s="1482"/>
      <c r="I204" s="1482"/>
      <c r="J204" s="1482"/>
      <c r="K204" s="1482"/>
      <c r="L204" s="1482"/>
      <c r="M204" s="1482"/>
      <c r="N204" s="1482"/>
      <c r="O204" s="1482"/>
      <c r="P204" s="1482"/>
      <c r="Q204" s="1482"/>
      <c r="R204" s="1483"/>
      <c r="S204" s="26" t="s">
        <v>451</v>
      </c>
      <c r="T204" s="20" t="s">
        <v>928</v>
      </c>
      <c r="U204" s="37"/>
    </row>
    <row r="205" spans="1:21" ht="21" x14ac:dyDescent="0.25">
      <c r="A205" s="25">
        <v>44476</v>
      </c>
      <c r="B205" s="58">
        <v>0.9375</v>
      </c>
      <c r="C205" s="1481" t="s">
        <v>1323</v>
      </c>
      <c r="D205" s="1482"/>
      <c r="E205" s="1482"/>
      <c r="F205" s="1482"/>
      <c r="G205" s="1482"/>
      <c r="H205" s="1482"/>
      <c r="I205" s="1482"/>
      <c r="J205" s="1482"/>
      <c r="K205" s="1482"/>
      <c r="L205" s="1482"/>
      <c r="M205" s="1482"/>
      <c r="N205" s="1482"/>
      <c r="O205" s="1482"/>
      <c r="P205" s="1482"/>
      <c r="Q205" s="1482"/>
      <c r="R205" s="1483"/>
      <c r="S205" s="26" t="s">
        <v>451</v>
      </c>
      <c r="T205" s="20" t="s">
        <v>928</v>
      </c>
      <c r="U205" s="37"/>
    </row>
    <row r="206" spans="1:21" x14ac:dyDescent="0.25">
      <c r="A206" s="25">
        <v>44477</v>
      </c>
      <c r="B206" s="58">
        <v>0.9375</v>
      </c>
      <c r="C206" s="246">
        <v>51</v>
      </c>
      <c r="D206" s="60">
        <v>11.1</v>
      </c>
      <c r="E206" s="247">
        <v>16.5</v>
      </c>
      <c r="F206" s="57">
        <v>920</v>
      </c>
      <c r="G206" s="57">
        <v>2330</v>
      </c>
      <c r="H206" s="57">
        <v>103</v>
      </c>
      <c r="I206" s="57">
        <v>104.2</v>
      </c>
      <c r="J206" s="57" t="s">
        <v>1329</v>
      </c>
      <c r="K206" s="60">
        <v>37.770000000000003</v>
      </c>
      <c r="L206" s="60">
        <v>44</v>
      </c>
      <c r="M206" s="60">
        <v>41.89</v>
      </c>
      <c r="N206" s="57"/>
      <c r="O206" s="57"/>
      <c r="P206" s="57"/>
      <c r="Q206" s="57" t="s">
        <v>1328</v>
      </c>
      <c r="R206" s="57">
        <v>70.5</v>
      </c>
      <c r="S206" s="26" t="s">
        <v>451</v>
      </c>
      <c r="T206" s="20" t="s">
        <v>928</v>
      </c>
      <c r="U206" s="37" t="s">
        <v>1333</v>
      </c>
    </row>
    <row r="207" spans="1:21" ht="30" x14ac:dyDescent="0.25">
      <c r="A207" s="25">
        <v>44478</v>
      </c>
      <c r="B207" s="58">
        <v>0.95833333333333337</v>
      </c>
      <c r="C207" s="246">
        <v>52</v>
      </c>
      <c r="D207" s="60">
        <v>7</v>
      </c>
      <c r="E207" s="247">
        <v>14.1</v>
      </c>
      <c r="F207" s="57">
        <v>950</v>
      </c>
      <c r="G207" s="57">
        <v>2290</v>
      </c>
      <c r="H207" s="57">
        <v>103.8</v>
      </c>
      <c r="I207" s="57">
        <v>105.3</v>
      </c>
      <c r="J207" s="57" t="s">
        <v>1336</v>
      </c>
      <c r="K207" s="60">
        <v>34.520000000000003</v>
      </c>
      <c r="L207" s="60">
        <v>40</v>
      </c>
      <c r="M207" s="60">
        <v>38</v>
      </c>
      <c r="N207" s="57"/>
      <c r="O207" s="57"/>
      <c r="P207" s="57"/>
      <c r="Q207" s="57" t="s">
        <v>1335</v>
      </c>
      <c r="R207" s="57">
        <v>60.2</v>
      </c>
      <c r="S207" s="26" t="s">
        <v>451</v>
      </c>
      <c r="T207" s="20" t="s">
        <v>928</v>
      </c>
      <c r="U207" s="37" t="s">
        <v>1345</v>
      </c>
    </row>
    <row r="208" spans="1:21" ht="21" x14ac:dyDescent="0.25">
      <c r="A208" s="25">
        <v>44479</v>
      </c>
      <c r="B208" s="58">
        <v>0.9375</v>
      </c>
      <c r="C208" s="1481" t="s">
        <v>1340</v>
      </c>
      <c r="D208" s="1482"/>
      <c r="E208" s="1482"/>
      <c r="F208" s="1482"/>
      <c r="G208" s="1482"/>
      <c r="H208" s="1482"/>
      <c r="I208" s="1482"/>
      <c r="J208" s="1482"/>
      <c r="K208" s="1482"/>
      <c r="L208" s="1482"/>
      <c r="M208" s="1482"/>
      <c r="N208" s="1482"/>
      <c r="O208" s="1482"/>
      <c r="P208" s="1482"/>
      <c r="Q208" s="1482"/>
      <c r="R208" s="1483"/>
      <c r="S208" s="26" t="s">
        <v>451</v>
      </c>
      <c r="T208" s="20" t="s">
        <v>928</v>
      </c>
      <c r="U208" s="37"/>
    </row>
    <row r="209" spans="1:21" ht="21" x14ac:dyDescent="0.25">
      <c r="A209" s="25">
        <v>44480</v>
      </c>
      <c r="B209" s="58">
        <v>0.9375</v>
      </c>
      <c r="C209" s="1481" t="s">
        <v>1349</v>
      </c>
      <c r="D209" s="1482"/>
      <c r="E209" s="1482"/>
      <c r="F209" s="1482"/>
      <c r="G209" s="1482"/>
      <c r="H209" s="1482"/>
      <c r="I209" s="1482"/>
      <c r="J209" s="1482"/>
      <c r="K209" s="1482"/>
      <c r="L209" s="1482"/>
      <c r="M209" s="1482"/>
      <c r="N209" s="1482"/>
      <c r="O209" s="1482"/>
      <c r="P209" s="1482"/>
      <c r="Q209" s="1482"/>
      <c r="R209" s="1483"/>
      <c r="S209" s="26" t="s">
        <v>451</v>
      </c>
      <c r="T209" s="20" t="s">
        <v>928</v>
      </c>
      <c r="U209" s="37"/>
    </row>
    <row r="210" spans="1:21" ht="21" x14ac:dyDescent="0.25">
      <c r="A210" s="25">
        <v>44481</v>
      </c>
      <c r="B210" s="58">
        <v>0.9375</v>
      </c>
      <c r="C210" s="1481" t="s">
        <v>1350</v>
      </c>
      <c r="D210" s="1482"/>
      <c r="E210" s="1482"/>
      <c r="F210" s="1482"/>
      <c r="G210" s="1482"/>
      <c r="H210" s="1482"/>
      <c r="I210" s="1482"/>
      <c r="J210" s="1482"/>
      <c r="K210" s="1482"/>
      <c r="L210" s="1482"/>
      <c r="M210" s="1482"/>
      <c r="N210" s="1482"/>
      <c r="O210" s="1482"/>
      <c r="P210" s="1482"/>
      <c r="Q210" s="1482"/>
      <c r="R210" s="1483"/>
      <c r="S210" s="26" t="s">
        <v>451</v>
      </c>
      <c r="T210" s="20" t="s">
        <v>928</v>
      </c>
      <c r="U210" s="37"/>
    </row>
    <row r="211" spans="1:21" ht="21" x14ac:dyDescent="0.25">
      <c r="A211" s="25">
        <v>44482</v>
      </c>
      <c r="B211" s="58">
        <v>0.9375</v>
      </c>
      <c r="C211" s="1481" t="s">
        <v>1372</v>
      </c>
      <c r="D211" s="1482"/>
      <c r="E211" s="1482"/>
      <c r="F211" s="1482"/>
      <c r="G211" s="1482"/>
      <c r="H211" s="1482"/>
      <c r="I211" s="1482"/>
      <c r="J211" s="1482"/>
      <c r="K211" s="1482"/>
      <c r="L211" s="1482"/>
      <c r="M211" s="1482"/>
      <c r="N211" s="1482"/>
      <c r="O211" s="1482"/>
      <c r="P211" s="1482"/>
      <c r="Q211" s="1482"/>
      <c r="R211" s="1483"/>
      <c r="S211" s="26" t="s">
        <v>451</v>
      </c>
      <c r="T211" s="20" t="s">
        <v>928</v>
      </c>
      <c r="U211" s="37"/>
    </row>
    <row r="212" spans="1:21" x14ac:dyDescent="0.25">
      <c r="A212" s="25">
        <v>44483</v>
      </c>
      <c r="B212" s="58">
        <v>0.9375</v>
      </c>
      <c r="C212" s="246">
        <v>48</v>
      </c>
      <c r="D212" s="60">
        <v>10</v>
      </c>
      <c r="E212" s="247">
        <v>15.6</v>
      </c>
      <c r="F212" s="57">
        <v>961</v>
      </c>
      <c r="G212" s="57">
        <v>2189</v>
      </c>
      <c r="H212" s="57">
        <v>103.4</v>
      </c>
      <c r="I212" s="57">
        <v>104.2</v>
      </c>
      <c r="J212" s="57" t="s">
        <v>1358</v>
      </c>
      <c r="K212" s="60">
        <v>29.03</v>
      </c>
      <c r="L212" s="60">
        <v>40</v>
      </c>
      <c r="M212" s="60">
        <v>40.47</v>
      </c>
      <c r="N212" s="57"/>
      <c r="O212" s="57"/>
      <c r="P212" s="57"/>
      <c r="Q212" s="57" t="s">
        <v>1359</v>
      </c>
      <c r="R212" s="57">
        <v>66.2</v>
      </c>
      <c r="S212" s="26" t="s">
        <v>451</v>
      </c>
      <c r="T212" s="20" t="s">
        <v>928</v>
      </c>
      <c r="U212" s="37" t="s">
        <v>1357</v>
      </c>
    </row>
    <row r="213" spans="1:21" ht="31.5" customHeight="1" x14ac:dyDescent="0.25">
      <c r="A213" s="25">
        <v>44484</v>
      </c>
      <c r="B213" s="58">
        <v>0.9375</v>
      </c>
      <c r="C213" s="246">
        <v>50</v>
      </c>
      <c r="D213" s="60">
        <v>9.8000000000000007</v>
      </c>
      <c r="E213" s="247">
        <v>15.5</v>
      </c>
      <c r="F213" s="57">
        <v>918</v>
      </c>
      <c r="G213" s="57">
        <v>2268</v>
      </c>
      <c r="H213" s="57">
        <v>104.2</v>
      </c>
      <c r="I213" s="57">
        <v>105.2</v>
      </c>
      <c r="J213" s="57" t="s">
        <v>1368</v>
      </c>
      <c r="K213" s="60">
        <v>31.14</v>
      </c>
      <c r="L213" s="60">
        <v>40</v>
      </c>
      <c r="M213" s="60">
        <v>39.369999999999997</v>
      </c>
      <c r="N213" s="57"/>
      <c r="O213" s="57"/>
      <c r="P213" s="57"/>
      <c r="Q213" s="57" t="s">
        <v>1367</v>
      </c>
      <c r="R213" s="57">
        <v>66.2</v>
      </c>
      <c r="S213" s="26" t="s">
        <v>451</v>
      </c>
      <c r="T213" s="20" t="s">
        <v>928</v>
      </c>
      <c r="U213" s="37"/>
    </row>
    <row r="214" spans="1:21" ht="21" x14ac:dyDescent="0.25">
      <c r="A214" s="25">
        <v>44485</v>
      </c>
      <c r="B214" s="58">
        <v>0.9375</v>
      </c>
      <c r="C214" s="1481" t="s">
        <v>1373</v>
      </c>
      <c r="D214" s="1482"/>
      <c r="E214" s="1482"/>
      <c r="F214" s="1482"/>
      <c r="G214" s="1482"/>
      <c r="H214" s="1482"/>
      <c r="I214" s="1482"/>
      <c r="J214" s="1482"/>
      <c r="K214" s="1482"/>
      <c r="L214" s="1482"/>
      <c r="M214" s="1482"/>
      <c r="N214" s="1482"/>
      <c r="O214" s="1482"/>
      <c r="P214" s="1482"/>
      <c r="Q214" s="1482"/>
      <c r="R214" s="1483"/>
      <c r="S214" s="26" t="s">
        <v>451</v>
      </c>
      <c r="T214" s="20" t="s">
        <v>928</v>
      </c>
      <c r="U214" s="37" t="s">
        <v>1378</v>
      </c>
    </row>
    <row r="215" spans="1:21" ht="21" x14ac:dyDescent="0.25">
      <c r="A215" s="25">
        <v>44486</v>
      </c>
      <c r="B215" s="58">
        <v>0.9375</v>
      </c>
      <c r="C215" s="1481" t="s">
        <v>1379</v>
      </c>
      <c r="D215" s="1482"/>
      <c r="E215" s="1482"/>
      <c r="F215" s="1482"/>
      <c r="G215" s="1482"/>
      <c r="H215" s="1482"/>
      <c r="I215" s="1482"/>
      <c r="J215" s="1482"/>
      <c r="K215" s="1482"/>
      <c r="L215" s="1482"/>
      <c r="M215" s="1482"/>
      <c r="N215" s="1482"/>
      <c r="O215" s="1482"/>
      <c r="P215" s="1482"/>
      <c r="Q215" s="1482"/>
      <c r="R215" s="1483"/>
      <c r="S215" s="26" t="s">
        <v>451</v>
      </c>
      <c r="T215" s="20" t="s">
        <v>928</v>
      </c>
      <c r="U215" s="37"/>
    </row>
    <row r="216" spans="1:21" ht="21" x14ac:dyDescent="0.25">
      <c r="A216" s="25">
        <v>44487</v>
      </c>
      <c r="B216" s="58">
        <v>0.91666666666666663</v>
      </c>
      <c r="C216" s="1481" t="s">
        <v>1383</v>
      </c>
      <c r="D216" s="1482"/>
      <c r="E216" s="1482"/>
      <c r="F216" s="1482"/>
      <c r="G216" s="1482"/>
      <c r="H216" s="1482"/>
      <c r="I216" s="1482"/>
      <c r="J216" s="1482"/>
      <c r="K216" s="1482"/>
      <c r="L216" s="1482"/>
      <c r="M216" s="1482"/>
      <c r="N216" s="1482"/>
      <c r="O216" s="1482"/>
      <c r="P216" s="1482"/>
      <c r="Q216" s="1482"/>
      <c r="R216" s="1483"/>
      <c r="S216" s="26" t="s">
        <v>451</v>
      </c>
      <c r="T216" s="20" t="s">
        <v>928</v>
      </c>
      <c r="U216" s="37"/>
    </row>
    <row r="217" spans="1:21" ht="21" x14ac:dyDescent="0.25">
      <c r="A217" s="25">
        <v>44488</v>
      </c>
      <c r="B217" s="58">
        <v>0.95833333333333337</v>
      </c>
      <c r="C217" s="1481" t="s">
        <v>1388</v>
      </c>
      <c r="D217" s="1482"/>
      <c r="E217" s="1482"/>
      <c r="F217" s="1482"/>
      <c r="G217" s="1482"/>
      <c r="H217" s="1482"/>
      <c r="I217" s="1482"/>
      <c r="J217" s="1482"/>
      <c r="K217" s="1482"/>
      <c r="L217" s="1482"/>
      <c r="M217" s="1482"/>
      <c r="N217" s="1482"/>
      <c r="O217" s="1482"/>
      <c r="P217" s="1482"/>
      <c r="Q217" s="1482"/>
      <c r="R217" s="1483"/>
      <c r="S217" s="26" t="s">
        <v>451</v>
      </c>
      <c r="T217" s="20" t="s">
        <v>928</v>
      </c>
      <c r="U217" s="37"/>
    </row>
    <row r="218" spans="1:21" x14ac:dyDescent="0.25">
      <c r="A218" s="25">
        <v>44489</v>
      </c>
      <c r="B218" s="58">
        <v>0.95833333333333337</v>
      </c>
      <c r="C218" s="246">
        <v>50</v>
      </c>
      <c r="D218" s="60">
        <v>10.5</v>
      </c>
      <c r="E218" s="247">
        <v>16</v>
      </c>
      <c r="F218" s="57">
        <v>939</v>
      </c>
      <c r="G218" s="57">
        <v>2281</v>
      </c>
      <c r="H218" s="57">
        <v>103.3</v>
      </c>
      <c r="I218" s="57">
        <v>104.2</v>
      </c>
      <c r="J218" s="57" t="s">
        <v>1394</v>
      </c>
      <c r="K218" s="60">
        <v>33.54</v>
      </c>
      <c r="L218" s="60">
        <v>40</v>
      </c>
      <c r="M218" s="60">
        <v>41.4</v>
      </c>
      <c r="N218" s="57"/>
      <c r="O218" s="57"/>
      <c r="P218" s="57"/>
      <c r="Q218" s="57" t="s">
        <v>1393</v>
      </c>
      <c r="R218" s="57">
        <v>68.3</v>
      </c>
      <c r="S218" s="26" t="s">
        <v>451</v>
      </c>
      <c r="T218" s="20" t="s">
        <v>928</v>
      </c>
      <c r="U218" s="37" t="s">
        <v>1398</v>
      </c>
    </row>
    <row r="219" spans="1:21" x14ac:dyDescent="0.25">
      <c r="A219" s="25">
        <v>44490</v>
      </c>
      <c r="B219" s="58">
        <v>0.9375</v>
      </c>
      <c r="C219" s="246">
        <v>52</v>
      </c>
      <c r="D219" s="60">
        <v>9.3000000000000007</v>
      </c>
      <c r="E219" s="247">
        <v>15.2</v>
      </c>
      <c r="F219" s="57">
        <v>922</v>
      </c>
      <c r="G219" s="57">
        <v>2321</v>
      </c>
      <c r="H219" s="57">
        <v>104.2</v>
      </c>
      <c r="I219" s="57">
        <v>105.3</v>
      </c>
      <c r="J219" s="57" t="s">
        <v>1400</v>
      </c>
      <c r="K219" s="60">
        <v>34.54</v>
      </c>
      <c r="L219" s="60">
        <v>40</v>
      </c>
      <c r="M219" s="60">
        <v>39</v>
      </c>
      <c r="N219" s="57"/>
      <c r="O219" s="57"/>
      <c r="P219" s="57"/>
      <c r="Q219" s="57" t="s">
        <v>1401</v>
      </c>
      <c r="R219" s="57">
        <v>69.599999999999994</v>
      </c>
      <c r="S219" s="26" t="s">
        <v>451</v>
      </c>
      <c r="T219" s="20" t="s">
        <v>928</v>
      </c>
      <c r="U219" s="531" t="s">
        <v>1166</v>
      </c>
    </row>
    <row r="220" spans="1:21" ht="21" x14ac:dyDescent="0.25">
      <c r="A220" s="25">
        <v>44491</v>
      </c>
      <c r="B220" s="58">
        <v>0.9375</v>
      </c>
      <c r="C220" s="1481" t="s">
        <v>1404</v>
      </c>
      <c r="D220" s="1482"/>
      <c r="E220" s="1482"/>
      <c r="F220" s="1482"/>
      <c r="G220" s="1482"/>
      <c r="H220" s="1482"/>
      <c r="I220" s="1482"/>
      <c r="J220" s="1482"/>
      <c r="K220" s="1482"/>
      <c r="L220" s="1482"/>
      <c r="M220" s="1482"/>
      <c r="N220" s="1482"/>
      <c r="O220" s="1482"/>
      <c r="P220" s="1482"/>
      <c r="Q220" s="1482"/>
      <c r="R220" s="1483"/>
      <c r="S220" s="26" t="s">
        <v>451</v>
      </c>
      <c r="T220" s="20" t="s">
        <v>928</v>
      </c>
      <c r="U220" s="37" t="s">
        <v>1409</v>
      </c>
    </row>
    <row r="221" spans="1:21" ht="21" x14ac:dyDescent="0.25">
      <c r="A221" s="25">
        <v>44492</v>
      </c>
      <c r="B221" s="58">
        <v>0.9375</v>
      </c>
      <c r="C221" s="1481" t="s">
        <v>1412</v>
      </c>
      <c r="D221" s="1482"/>
      <c r="E221" s="1482"/>
      <c r="F221" s="1482"/>
      <c r="G221" s="1482"/>
      <c r="H221" s="1482"/>
      <c r="I221" s="1482"/>
      <c r="J221" s="1482"/>
      <c r="K221" s="1482"/>
      <c r="L221" s="1482"/>
      <c r="M221" s="1482"/>
      <c r="N221" s="1482"/>
      <c r="O221" s="1482"/>
      <c r="P221" s="1482"/>
      <c r="Q221" s="1482"/>
      <c r="R221" s="1483"/>
      <c r="S221" s="26" t="s">
        <v>451</v>
      </c>
      <c r="T221" s="20" t="s">
        <v>928</v>
      </c>
      <c r="U221" s="37"/>
    </row>
    <row r="222" spans="1:21" ht="21" x14ac:dyDescent="0.25">
      <c r="A222" s="25">
        <v>44493</v>
      </c>
      <c r="B222" s="58">
        <v>0.9375</v>
      </c>
      <c r="C222" s="1481" t="s">
        <v>1419</v>
      </c>
      <c r="D222" s="1482"/>
      <c r="E222" s="1482"/>
      <c r="F222" s="1482"/>
      <c r="G222" s="1482"/>
      <c r="H222" s="1482"/>
      <c r="I222" s="1482"/>
      <c r="J222" s="1482"/>
      <c r="K222" s="1482"/>
      <c r="L222" s="1482"/>
      <c r="M222" s="1482"/>
      <c r="N222" s="1482"/>
      <c r="O222" s="1482"/>
      <c r="P222" s="1482"/>
      <c r="Q222" s="1482"/>
      <c r="R222" s="1483"/>
      <c r="S222" s="26" t="s">
        <v>451</v>
      </c>
      <c r="T222" s="20" t="s">
        <v>928</v>
      </c>
      <c r="U222" s="37"/>
    </row>
    <row r="223" spans="1:21" ht="21" x14ac:dyDescent="0.25">
      <c r="A223" s="25">
        <v>44494</v>
      </c>
      <c r="B223" s="58">
        <v>0.9375</v>
      </c>
      <c r="C223" s="1481" t="s">
        <v>1424</v>
      </c>
      <c r="D223" s="1482"/>
      <c r="E223" s="1482"/>
      <c r="F223" s="1482"/>
      <c r="G223" s="1482"/>
      <c r="H223" s="1482"/>
      <c r="I223" s="1482"/>
      <c r="J223" s="1482"/>
      <c r="K223" s="1482"/>
      <c r="L223" s="1482"/>
      <c r="M223" s="1482"/>
      <c r="N223" s="1482"/>
      <c r="O223" s="1482"/>
      <c r="P223" s="1482"/>
      <c r="Q223" s="1482"/>
      <c r="R223" s="1483"/>
      <c r="S223" s="26" t="s">
        <v>451</v>
      </c>
      <c r="T223" s="20" t="s">
        <v>928</v>
      </c>
      <c r="U223" s="37"/>
    </row>
    <row r="224" spans="1:21" ht="24.75" customHeight="1" x14ac:dyDescent="0.25">
      <c r="A224" s="25">
        <v>44495</v>
      </c>
      <c r="B224" s="58">
        <v>0.89583333333333337</v>
      </c>
      <c r="C224" s="246">
        <v>51</v>
      </c>
      <c r="D224" s="60">
        <v>11.5</v>
      </c>
      <c r="E224" s="247">
        <v>16.8</v>
      </c>
      <c r="F224" s="57">
        <v>1037</v>
      </c>
      <c r="G224" s="57">
        <v>2211</v>
      </c>
      <c r="H224" s="57">
        <v>102.7</v>
      </c>
      <c r="I224" s="57">
        <v>103.6</v>
      </c>
      <c r="J224" s="57" t="s">
        <v>1432</v>
      </c>
      <c r="K224" s="60">
        <v>30.8</v>
      </c>
      <c r="L224" s="60">
        <v>40</v>
      </c>
      <c r="M224" s="60">
        <v>40.81</v>
      </c>
      <c r="N224" s="57" t="s">
        <v>142</v>
      </c>
      <c r="O224" s="57" t="s">
        <v>142</v>
      </c>
      <c r="P224" s="57" t="s">
        <v>142</v>
      </c>
      <c r="Q224" s="57" t="s">
        <v>1433</v>
      </c>
      <c r="R224" s="57">
        <v>71.7</v>
      </c>
      <c r="S224" s="26" t="s">
        <v>451</v>
      </c>
      <c r="T224" s="20" t="s">
        <v>236</v>
      </c>
      <c r="U224" s="531" t="s">
        <v>1434</v>
      </c>
    </row>
    <row r="225" spans="1:21" ht="31.5" customHeight="1" x14ac:dyDescent="0.25">
      <c r="A225" s="25">
        <v>44496</v>
      </c>
      <c r="B225" s="58">
        <v>0.9375</v>
      </c>
      <c r="C225" s="246">
        <v>51</v>
      </c>
      <c r="D225" s="60">
        <v>10.1</v>
      </c>
      <c r="E225" s="247">
        <v>15.3</v>
      </c>
      <c r="F225" s="57">
        <v>875.6</v>
      </c>
      <c r="G225" s="57">
        <v>2271.6</v>
      </c>
      <c r="H225" s="57">
        <v>103.6</v>
      </c>
      <c r="I225" s="57">
        <v>104.2</v>
      </c>
      <c r="J225" s="57" t="s">
        <v>1444</v>
      </c>
      <c r="K225" s="60">
        <v>34.840000000000003</v>
      </c>
      <c r="L225" s="60">
        <v>37</v>
      </c>
      <c r="M225" s="60">
        <v>41.01</v>
      </c>
      <c r="N225" s="57" t="s">
        <v>142</v>
      </c>
      <c r="O225" s="57" t="s">
        <v>142</v>
      </c>
      <c r="P225" s="57" t="s">
        <v>142</v>
      </c>
      <c r="Q225" s="57" t="s">
        <v>1445</v>
      </c>
      <c r="R225" s="57">
        <v>65.3</v>
      </c>
      <c r="S225" s="26" t="s">
        <v>451</v>
      </c>
      <c r="T225" s="20" t="s">
        <v>236</v>
      </c>
      <c r="U225" s="531" t="s">
        <v>1446</v>
      </c>
    </row>
    <row r="226" spans="1:21" ht="31.5" customHeight="1" x14ac:dyDescent="0.25">
      <c r="A226" s="25">
        <v>44497</v>
      </c>
      <c r="B226" s="58">
        <v>0.9375</v>
      </c>
      <c r="C226" s="246">
        <v>51</v>
      </c>
      <c r="D226" s="60">
        <v>11.8</v>
      </c>
      <c r="E226" s="247">
        <v>17.100000000000001</v>
      </c>
      <c r="F226" s="57">
        <v>936</v>
      </c>
      <c r="G226" s="57">
        <v>2412</v>
      </c>
      <c r="H226" s="57">
        <v>105.5</v>
      </c>
      <c r="I226" s="57">
        <v>106.6</v>
      </c>
      <c r="J226" s="57" t="s">
        <v>1453</v>
      </c>
      <c r="K226" s="60">
        <v>33.72</v>
      </c>
      <c r="L226" s="60">
        <v>37</v>
      </c>
      <c r="M226" s="60">
        <v>36.700000000000003</v>
      </c>
      <c r="N226" s="57" t="s">
        <v>142</v>
      </c>
      <c r="O226" s="57" t="s">
        <v>142</v>
      </c>
      <c r="P226" s="57" t="s">
        <v>142</v>
      </c>
      <c r="Q226" s="57" t="s">
        <v>1445</v>
      </c>
      <c r="R226" s="57">
        <v>73</v>
      </c>
      <c r="S226" s="26" t="s">
        <v>451</v>
      </c>
      <c r="T226" s="20" t="s">
        <v>236</v>
      </c>
      <c r="U226" s="531"/>
    </row>
    <row r="227" spans="1:21" ht="31.5" customHeight="1" x14ac:dyDescent="0.25">
      <c r="A227" s="25">
        <v>44498</v>
      </c>
      <c r="B227" s="58">
        <v>0.95833333333333337</v>
      </c>
      <c r="C227" s="246">
        <v>52</v>
      </c>
      <c r="D227" s="60">
        <v>11.8</v>
      </c>
      <c r="E227" s="247">
        <v>15.2</v>
      </c>
      <c r="F227" s="57">
        <v>960</v>
      </c>
      <c r="G227" s="57">
        <v>2377</v>
      </c>
      <c r="H227" s="57">
        <v>103</v>
      </c>
      <c r="I227" s="57">
        <v>105.8</v>
      </c>
      <c r="J227" s="57" t="s">
        <v>1461</v>
      </c>
      <c r="K227" s="60">
        <v>34</v>
      </c>
      <c r="L227" s="60">
        <v>37</v>
      </c>
      <c r="M227" s="60">
        <v>36</v>
      </c>
      <c r="N227" s="57" t="s">
        <v>142</v>
      </c>
      <c r="O227" s="57" t="s">
        <v>142</v>
      </c>
      <c r="P227" s="57" t="s">
        <v>142</v>
      </c>
      <c r="Q227" s="57" t="s">
        <v>1445</v>
      </c>
      <c r="R227" s="57">
        <v>64.900000000000006</v>
      </c>
      <c r="S227" s="26" t="s">
        <v>451</v>
      </c>
      <c r="T227" s="20" t="s">
        <v>236</v>
      </c>
      <c r="U227" s="531" t="s">
        <v>1460</v>
      </c>
    </row>
    <row r="228" spans="1:21" ht="50.25" customHeight="1" x14ac:dyDescent="0.25">
      <c r="A228" s="25">
        <v>44499</v>
      </c>
      <c r="B228" s="58">
        <v>0.91666666666666663</v>
      </c>
      <c r="C228" s="1466" t="s">
        <v>1479</v>
      </c>
      <c r="D228" s="1467"/>
      <c r="E228" s="1467"/>
      <c r="F228" s="1467"/>
      <c r="G228" s="1467"/>
      <c r="H228" s="1467"/>
      <c r="I228" s="1467"/>
      <c r="J228" s="1467"/>
      <c r="K228" s="1467"/>
      <c r="L228" s="1467"/>
      <c r="M228" s="1467"/>
      <c r="N228" s="1467"/>
      <c r="O228" s="1467"/>
      <c r="P228" s="1467"/>
      <c r="Q228" s="1467"/>
      <c r="R228" s="1468"/>
      <c r="S228" s="26" t="s">
        <v>451</v>
      </c>
      <c r="T228" s="20" t="s">
        <v>236</v>
      </c>
      <c r="U228" s="531"/>
    </row>
    <row r="229" spans="1:21" ht="33" customHeight="1" x14ac:dyDescent="0.25">
      <c r="A229" s="25">
        <v>44500</v>
      </c>
      <c r="B229" s="58">
        <v>0.91666666666666663</v>
      </c>
      <c r="C229" s="1469" t="s">
        <v>1492</v>
      </c>
      <c r="D229" s="1470"/>
      <c r="E229" s="1470"/>
      <c r="F229" s="1470"/>
      <c r="G229" s="1470"/>
      <c r="H229" s="1470"/>
      <c r="I229" s="1470"/>
      <c r="J229" s="1470"/>
      <c r="K229" s="1470"/>
      <c r="L229" s="1470"/>
      <c r="M229" s="1470"/>
      <c r="N229" s="1470"/>
      <c r="O229" s="1470"/>
      <c r="P229" s="1470"/>
      <c r="Q229" s="1470"/>
      <c r="R229" s="1471"/>
      <c r="S229" s="26" t="s">
        <v>451</v>
      </c>
      <c r="T229" s="20" t="s">
        <v>236</v>
      </c>
      <c r="U229" s="531" t="s">
        <v>1483</v>
      </c>
    </row>
    <row r="230" spans="1:21" ht="33" customHeight="1" x14ac:dyDescent="0.25">
      <c r="A230" s="25">
        <v>44501</v>
      </c>
      <c r="B230" s="58">
        <v>0.89583333333333337</v>
      </c>
      <c r="C230" s="1469" t="s">
        <v>1491</v>
      </c>
      <c r="D230" s="1470"/>
      <c r="E230" s="1470"/>
      <c r="F230" s="1470"/>
      <c r="G230" s="1470"/>
      <c r="H230" s="1470"/>
      <c r="I230" s="1470"/>
      <c r="J230" s="1470"/>
      <c r="K230" s="1470"/>
      <c r="L230" s="1470"/>
      <c r="M230" s="1470"/>
      <c r="N230" s="1470"/>
      <c r="O230" s="1470"/>
      <c r="P230" s="1470"/>
      <c r="Q230" s="1470"/>
      <c r="R230" s="1471"/>
      <c r="S230" s="26" t="s">
        <v>451</v>
      </c>
      <c r="T230" s="20" t="s">
        <v>236</v>
      </c>
      <c r="U230" s="531"/>
    </row>
    <row r="231" spans="1:21" ht="33" customHeight="1" x14ac:dyDescent="0.25">
      <c r="A231" s="25">
        <v>44502</v>
      </c>
      <c r="B231" s="58">
        <v>0.89583333333333337</v>
      </c>
      <c r="C231" s="1469" t="s">
        <v>1501</v>
      </c>
      <c r="D231" s="1470"/>
      <c r="E231" s="1470"/>
      <c r="F231" s="1470"/>
      <c r="G231" s="1470"/>
      <c r="H231" s="1470"/>
      <c r="I231" s="1470"/>
      <c r="J231" s="1470"/>
      <c r="K231" s="1470"/>
      <c r="L231" s="1470"/>
      <c r="M231" s="1470"/>
      <c r="N231" s="1470"/>
      <c r="O231" s="1470"/>
      <c r="P231" s="1470"/>
      <c r="Q231" s="1470"/>
      <c r="R231" s="1471"/>
      <c r="S231" s="26" t="s">
        <v>451</v>
      </c>
      <c r="T231" s="20" t="s">
        <v>236</v>
      </c>
      <c r="U231" s="531"/>
    </row>
    <row r="232" spans="1:21" ht="33" customHeight="1" x14ac:dyDescent="0.25">
      <c r="A232" s="25">
        <v>44503</v>
      </c>
      <c r="B232" s="58">
        <v>0.89583333333333337</v>
      </c>
      <c r="C232" s="1469" t="s">
        <v>1502</v>
      </c>
      <c r="D232" s="1470"/>
      <c r="E232" s="1470"/>
      <c r="F232" s="1470"/>
      <c r="G232" s="1470"/>
      <c r="H232" s="1470"/>
      <c r="I232" s="1470"/>
      <c r="J232" s="1470"/>
      <c r="K232" s="1470"/>
      <c r="L232" s="1470"/>
      <c r="M232" s="1470"/>
      <c r="N232" s="1470"/>
      <c r="O232" s="1470"/>
      <c r="P232" s="1470"/>
      <c r="Q232" s="1470"/>
      <c r="R232" s="1471"/>
      <c r="S232" s="26" t="s">
        <v>451</v>
      </c>
      <c r="T232" s="20" t="s">
        <v>236</v>
      </c>
      <c r="U232" s="531"/>
    </row>
    <row r="233" spans="1:21" ht="33" customHeight="1" x14ac:dyDescent="0.25">
      <c r="A233" s="25">
        <v>44504</v>
      </c>
      <c r="B233" s="58">
        <v>0.9375</v>
      </c>
      <c r="C233" s="1466" t="s">
        <v>1509</v>
      </c>
      <c r="D233" s="1470"/>
      <c r="E233" s="1470"/>
      <c r="F233" s="1470"/>
      <c r="G233" s="1470"/>
      <c r="H233" s="1470"/>
      <c r="I233" s="1470"/>
      <c r="J233" s="1470"/>
      <c r="K233" s="1470"/>
      <c r="L233" s="1470"/>
      <c r="M233" s="1470"/>
      <c r="N233" s="1470"/>
      <c r="O233" s="1470"/>
      <c r="P233" s="1470"/>
      <c r="Q233" s="1470"/>
      <c r="R233" s="1471"/>
      <c r="S233" s="26" t="s">
        <v>451</v>
      </c>
      <c r="T233" s="20" t="s">
        <v>236</v>
      </c>
      <c r="U233" s="531"/>
    </row>
    <row r="234" spans="1:21" ht="31.5" customHeight="1" x14ac:dyDescent="0.25">
      <c r="A234" s="25">
        <v>44505</v>
      </c>
      <c r="B234" s="58">
        <v>0.97916666666666663</v>
      </c>
      <c r="C234" s="246">
        <v>51</v>
      </c>
      <c r="D234" s="60">
        <v>11.2</v>
      </c>
      <c r="E234" s="247">
        <v>16.5</v>
      </c>
      <c r="F234" s="57">
        <v>996</v>
      </c>
      <c r="G234" s="57">
        <v>2214</v>
      </c>
      <c r="H234" s="57">
        <v>102.9</v>
      </c>
      <c r="I234" s="57">
        <v>103.5</v>
      </c>
      <c r="J234" s="57" t="s">
        <v>1514</v>
      </c>
      <c r="K234" s="60">
        <v>28.99</v>
      </c>
      <c r="L234" s="60">
        <v>39</v>
      </c>
      <c r="M234" s="60">
        <v>42.19</v>
      </c>
      <c r="N234" s="57" t="s">
        <v>142</v>
      </c>
      <c r="O234" s="57" t="s">
        <v>142</v>
      </c>
      <c r="P234" s="57" t="s">
        <v>142</v>
      </c>
      <c r="Q234" s="57" t="s">
        <v>1515</v>
      </c>
      <c r="R234" s="57">
        <v>76.5</v>
      </c>
      <c r="S234" s="26" t="s">
        <v>451</v>
      </c>
      <c r="T234" s="20" t="s">
        <v>236</v>
      </c>
      <c r="U234" s="531" t="s">
        <v>1524</v>
      </c>
    </row>
    <row r="235" spans="1:21" ht="31.5" customHeight="1" x14ac:dyDescent="0.25">
      <c r="A235" s="25">
        <v>44506</v>
      </c>
      <c r="B235" s="58">
        <v>0.89583333333333337</v>
      </c>
      <c r="C235" s="246">
        <v>51</v>
      </c>
      <c r="D235" s="60">
        <v>10.5</v>
      </c>
      <c r="E235" s="247">
        <v>16</v>
      </c>
      <c r="F235" s="57">
        <v>849</v>
      </c>
      <c r="G235" s="57">
        <v>2227</v>
      </c>
      <c r="H235" s="57">
        <v>103.2</v>
      </c>
      <c r="I235" s="57">
        <v>104</v>
      </c>
      <c r="J235" s="57" t="s">
        <v>1519</v>
      </c>
      <c r="K235" s="60">
        <v>29.29</v>
      </c>
      <c r="L235" s="60">
        <v>37</v>
      </c>
      <c r="M235" s="60">
        <v>42.84</v>
      </c>
      <c r="N235" s="57" t="s">
        <v>142</v>
      </c>
      <c r="O235" s="57" t="s">
        <v>142</v>
      </c>
      <c r="P235" s="57" t="s">
        <v>142</v>
      </c>
      <c r="Q235" s="57" t="s">
        <v>1520</v>
      </c>
      <c r="R235" s="57">
        <v>68.3</v>
      </c>
      <c r="S235" s="26" t="s">
        <v>451</v>
      </c>
      <c r="T235" s="20" t="s">
        <v>236</v>
      </c>
      <c r="U235" s="531"/>
    </row>
    <row r="236" spans="1:21" ht="31.5" customHeight="1" x14ac:dyDescent="0.25">
      <c r="A236" s="25">
        <v>44507</v>
      </c>
      <c r="B236" s="58">
        <v>0.75</v>
      </c>
      <c r="C236" s="246">
        <v>51</v>
      </c>
      <c r="D236" s="60">
        <v>9.9</v>
      </c>
      <c r="E236" s="247">
        <v>15.6</v>
      </c>
      <c r="F236" s="57">
        <v>831</v>
      </c>
      <c r="G236" s="57">
        <v>2208</v>
      </c>
      <c r="H236" s="57">
        <v>104</v>
      </c>
      <c r="I236" s="57" t="s">
        <v>1531</v>
      </c>
      <c r="J236" s="57" t="s">
        <v>1532</v>
      </c>
      <c r="K236" s="60">
        <v>28.26</v>
      </c>
      <c r="L236" s="60">
        <v>35</v>
      </c>
      <c r="M236" s="60">
        <v>42.81</v>
      </c>
      <c r="N236" s="57" t="s">
        <v>142</v>
      </c>
      <c r="O236" s="57" t="s">
        <v>142</v>
      </c>
      <c r="P236" s="57" t="s">
        <v>142</v>
      </c>
      <c r="Q236" s="57" t="s">
        <v>1520</v>
      </c>
      <c r="R236" s="57">
        <v>66.599999999999994</v>
      </c>
      <c r="S236" s="26" t="s">
        <v>451</v>
      </c>
      <c r="T236" s="20" t="s">
        <v>236</v>
      </c>
      <c r="U236" s="531"/>
    </row>
    <row r="237" spans="1:21" ht="31.5" customHeight="1" x14ac:dyDescent="0.25">
      <c r="A237" s="25">
        <v>44508</v>
      </c>
      <c r="B237" s="58">
        <v>0.91666666666666663</v>
      </c>
      <c r="C237" s="246">
        <v>51</v>
      </c>
      <c r="D237" s="60">
        <v>9.1999999999999993</v>
      </c>
      <c r="E237" s="247">
        <v>15.1</v>
      </c>
      <c r="F237" s="57">
        <v>914</v>
      </c>
      <c r="G237" s="57">
        <v>2294</v>
      </c>
      <c r="H237" s="57">
        <v>102.5</v>
      </c>
      <c r="I237" s="57">
        <v>104</v>
      </c>
      <c r="J237" s="57" t="s">
        <v>1539</v>
      </c>
      <c r="K237" s="60">
        <v>30.06</v>
      </c>
      <c r="L237" s="60">
        <v>35</v>
      </c>
      <c r="M237" s="60">
        <v>35</v>
      </c>
      <c r="N237" s="57" t="s">
        <v>142</v>
      </c>
      <c r="O237" s="57" t="s">
        <v>142</v>
      </c>
      <c r="P237" s="57" t="s">
        <v>142</v>
      </c>
      <c r="Q237" s="57" t="s">
        <v>1540</v>
      </c>
      <c r="R237" s="57">
        <v>64.5</v>
      </c>
      <c r="S237" s="26" t="s">
        <v>451</v>
      </c>
      <c r="T237" s="20" t="s">
        <v>236</v>
      </c>
      <c r="U237" s="531"/>
    </row>
    <row r="238" spans="1:21" ht="31.5" customHeight="1" x14ac:dyDescent="0.25">
      <c r="A238" s="25">
        <v>44509</v>
      </c>
      <c r="B238" s="58">
        <v>0.91666666666666663</v>
      </c>
      <c r="C238" s="246">
        <v>51</v>
      </c>
      <c r="D238" s="60">
        <v>9</v>
      </c>
      <c r="E238" s="247">
        <v>15</v>
      </c>
      <c r="F238" s="57">
        <v>946</v>
      </c>
      <c r="G238" s="57">
        <v>2331</v>
      </c>
      <c r="H238" s="57">
        <v>102</v>
      </c>
      <c r="I238" s="57" t="s">
        <v>1545</v>
      </c>
      <c r="J238" s="57" t="s">
        <v>1546</v>
      </c>
      <c r="K238" s="60">
        <v>30.34</v>
      </c>
      <c r="L238" s="60">
        <v>32</v>
      </c>
      <c r="M238" s="60">
        <v>34.5</v>
      </c>
      <c r="N238" s="57" t="s">
        <v>142</v>
      </c>
      <c r="O238" s="57" t="s">
        <v>142</v>
      </c>
      <c r="P238" s="57" t="s">
        <v>142</v>
      </c>
      <c r="Q238" s="57" t="s">
        <v>1540</v>
      </c>
      <c r="R238" s="57">
        <v>64.099999999999994</v>
      </c>
      <c r="S238" s="26" t="s">
        <v>451</v>
      </c>
      <c r="T238" s="20" t="s">
        <v>236</v>
      </c>
      <c r="U238" s="531"/>
    </row>
    <row r="239" spans="1:21" ht="31.5" customHeight="1" x14ac:dyDescent="0.25">
      <c r="A239" s="25">
        <v>44510</v>
      </c>
      <c r="B239" s="58">
        <v>0.91666666666666663</v>
      </c>
      <c r="C239" s="1469" t="s">
        <v>1549</v>
      </c>
      <c r="D239" s="1470"/>
      <c r="E239" s="1470"/>
      <c r="F239" s="1470"/>
      <c r="G239" s="1470"/>
      <c r="H239" s="1470"/>
      <c r="I239" s="1470"/>
      <c r="J239" s="1470"/>
      <c r="K239" s="1470"/>
      <c r="L239" s="1470"/>
      <c r="M239" s="1471"/>
      <c r="N239" s="57" t="s">
        <v>142</v>
      </c>
      <c r="O239" s="57" t="s">
        <v>142</v>
      </c>
      <c r="P239" s="57" t="s">
        <v>142</v>
      </c>
      <c r="Q239" s="57"/>
      <c r="R239" s="57"/>
      <c r="S239" s="26" t="s">
        <v>451</v>
      </c>
      <c r="T239" s="20" t="s">
        <v>236</v>
      </c>
      <c r="U239" s="531"/>
    </row>
    <row r="240" spans="1:21" ht="31.5" customHeight="1" x14ac:dyDescent="0.25">
      <c r="A240" s="25">
        <v>44511</v>
      </c>
      <c r="B240" s="58">
        <v>0.91666666666666663</v>
      </c>
      <c r="C240" s="1469" t="s">
        <v>1554</v>
      </c>
      <c r="D240" s="1470"/>
      <c r="E240" s="1470"/>
      <c r="F240" s="1470"/>
      <c r="G240" s="1470"/>
      <c r="H240" s="1470"/>
      <c r="I240" s="1470"/>
      <c r="J240" s="1470"/>
      <c r="K240" s="1470"/>
      <c r="L240" s="1470"/>
      <c r="M240" s="1471"/>
      <c r="N240" s="57" t="s">
        <v>142</v>
      </c>
      <c r="O240" s="57" t="s">
        <v>142</v>
      </c>
      <c r="P240" s="57" t="s">
        <v>142</v>
      </c>
      <c r="Q240" s="57"/>
      <c r="R240" s="57"/>
      <c r="S240" s="26" t="s">
        <v>451</v>
      </c>
      <c r="T240" s="20" t="s">
        <v>236</v>
      </c>
      <c r="U240" s="531"/>
    </row>
    <row r="241" spans="1:21" ht="31.5" customHeight="1" x14ac:dyDescent="0.25">
      <c r="A241" s="25">
        <v>44512</v>
      </c>
      <c r="B241" s="58">
        <v>0.91666666666666663</v>
      </c>
      <c r="C241" s="1469" t="s">
        <v>1557</v>
      </c>
      <c r="D241" s="1470"/>
      <c r="E241" s="1470"/>
      <c r="F241" s="1470"/>
      <c r="G241" s="1470"/>
      <c r="H241" s="1470"/>
      <c r="I241" s="1470"/>
      <c r="J241" s="1470"/>
      <c r="K241" s="1470"/>
      <c r="L241" s="1470"/>
      <c r="M241" s="1471"/>
      <c r="N241" s="57" t="s">
        <v>142</v>
      </c>
      <c r="O241" s="57" t="s">
        <v>142</v>
      </c>
      <c r="P241" s="57" t="s">
        <v>142</v>
      </c>
      <c r="Q241" s="57"/>
      <c r="R241" s="57"/>
      <c r="S241" s="26" t="s">
        <v>451</v>
      </c>
      <c r="T241" s="20" t="s">
        <v>236</v>
      </c>
      <c r="U241" s="531"/>
    </row>
    <row r="242" spans="1:21" ht="31.5" customHeight="1" x14ac:dyDescent="0.25">
      <c r="A242" s="25">
        <v>44513</v>
      </c>
      <c r="B242" s="58">
        <v>0.91666666666666663</v>
      </c>
      <c r="C242" s="1469" t="s">
        <v>1560</v>
      </c>
      <c r="D242" s="1470"/>
      <c r="E242" s="1470"/>
      <c r="F242" s="1470"/>
      <c r="G242" s="1470"/>
      <c r="H242" s="1470"/>
      <c r="I242" s="1470"/>
      <c r="J242" s="1470"/>
      <c r="K242" s="1470"/>
      <c r="L242" s="1470"/>
      <c r="M242" s="1471"/>
      <c r="N242" s="57" t="s">
        <v>142</v>
      </c>
      <c r="O242" s="57" t="s">
        <v>142</v>
      </c>
      <c r="P242" s="57" t="s">
        <v>142</v>
      </c>
      <c r="Q242" s="57"/>
      <c r="R242" s="57"/>
      <c r="S242" s="26" t="s">
        <v>451</v>
      </c>
      <c r="T242" s="20" t="s">
        <v>236</v>
      </c>
      <c r="U242" s="531"/>
    </row>
    <row r="243" spans="1:21" ht="31.5" customHeight="1" x14ac:dyDescent="0.25">
      <c r="A243" s="25">
        <v>44514</v>
      </c>
      <c r="B243" s="58">
        <v>0.91666666666666663</v>
      </c>
      <c r="C243" s="1469" t="s">
        <v>1568</v>
      </c>
      <c r="D243" s="1470"/>
      <c r="E243" s="1470"/>
      <c r="F243" s="1470"/>
      <c r="G243" s="1470"/>
      <c r="H243" s="1470"/>
      <c r="I243" s="1470"/>
      <c r="J243" s="1470"/>
      <c r="K243" s="1470"/>
      <c r="L243" s="1470"/>
      <c r="M243" s="1471"/>
      <c r="N243" s="57" t="s">
        <v>142</v>
      </c>
      <c r="O243" s="57" t="s">
        <v>142</v>
      </c>
      <c r="P243" s="57" t="s">
        <v>142</v>
      </c>
      <c r="Q243" s="57"/>
      <c r="R243" s="57"/>
      <c r="S243" s="26" t="s">
        <v>451</v>
      </c>
      <c r="T243" s="20" t="s">
        <v>236</v>
      </c>
      <c r="U243" s="531"/>
    </row>
    <row r="244" spans="1:21" ht="31.5" customHeight="1" x14ac:dyDescent="0.25">
      <c r="A244" s="25">
        <v>44515</v>
      </c>
      <c r="B244" s="58">
        <v>0.91666666666666663</v>
      </c>
      <c r="C244" s="1469" t="s">
        <v>1575</v>
      </c>
      <c r="D244" s="1470"/>
      <c r="E244" s="1470"/>
      <c r="F244" s="1470"/>
      <c r="G244" s="1470"/>
      <c r="H244" s="1470"/>
      <c r="I244" s="1470"/>
      <c r="J244" s="1470"/>
      <c r="K244" s="1470"/>
      <c r="L244" s="1470"/>
      <c r="M244" s="1471"/>
      <c r="N244" s="57" t="s">
        <v>142</v>
      </c>
      <c r="O244" s="57" t="s">
        <v>142</v>
      </c>
      <c r="P244" s="57" t="s">
        <v>142</v>
      </c>
      <c r="Q244" s="57"/>
      <c r="R244" s="57"/>
      <c r="S244" s="26" t="s">
        <v>451</v>
      </c>
      <c r="T244" s="20" t="s">
        <v>236</v>
      </c>
      <c r="U244" s="531"/>
    </row>
    <row r="245" spans="1:21" ht="31.5" customHeight="1" x14ac:dyDescent="0.25">
      <c r="A245" s="25">
        <v>44516</v>
      </c>
      <c r="B245" s="58">
        <v>0.91666666666666663</v>
      </c>
      <c r="C245" s="1469" t="s">
        <v>1582</v>
      </c>
      <c r="D245" s="1470"/>
      <c r="E245" s="1470"/>
      <c r="F245" s="1470"/>
      <c r="G245" s="1470"/>
      <c r="H245" s="1470"/>
      <c r="I245" s="1470"/>
      <c r="J245" s="1470"/>
      <c r="K245" s="1470"/>
      <c r="L245" s="1470"/>
      <c r="M245" s="1471"/>
      <c r="N245" s="57" t="s">
        <v>142</v>
      </c>
      <c r="O245" s="57" t="s">
        <v>142</v>
      </c>
      <c r="P245" s="57" t="s">
        <v>142</v>
      </c>
      <c r="Q245" s="57"/>
      <c r="R245" s="57"/>
      <c r="S245" s="26" t="s">
        <v>451</v>
      </c>
      <c r="T245" s="20" t="s">
        <v>236</v>
      </c>
      <c r="U245" s="531"/>
    </row>
    <row r="246" spans="1:21" ht="31.5" customHeight="1" x14ac:dyDescent="0.25">
      <c r="A246" s="25">
        <v>44517</v>
      </c>
      <c r="B246" s="58">
        <v>0.89583333333333337</v>
      </c>
      <c r="C246" s="246">
        <v>52</v>
      </c>
      <c r="D246" s="60">
        <v>11.4</v>
      </c>
      <c r="E246" s="247">
        <v>16.7</v>
      </c>
      <c r="F246" s="57">
        <v>1290</v>
      </c>
      <c r="G246" s="57">
        <v>2243</v>
      </c>
      <c r="H246" s="57">
        <v>101.2</v>
      </c>
      <c r="I246" s="57">
        <v>102.3</v>
      </c>
      <c r="J246" s="57" t="s">
        <v>1586</v>
      </c>
      <c r="K246" s="60">
        <v>31.43</v>
      </c>
      <c r="L246" s="60">
        <v>40</v>
      </c>
      <c r="M246" s="60">
        <v>37.840000000000003</v>
      </c>
      <c r="N246" s="57" t="s">
        <v>142</v>
      </c>
      <c r="O246" s="57" t="s">
        <v>142</v>
      </c>
      <c r="P246" s="57" t="s">
        <v>142</v>
      </c>
      <c r="Q246" s="57" t="s">
        <v>1587</v>
      </c>
      <c r="R246" s="57">
        <v>71.7</v>
      </c>
      <c r="S246" s="26" t="s">
        <v>451</v>
      </c>
      <c r="T246" s="20" t="s">
        <v>236</v>
      </c>
      <c r="U246" s="589" t="s">
        <v>1593</v>
      </c>
    </row>
    <row r="247" spans="1:21" ht="31.5" customHeight="1" x14ac:dyDescent="0.25">
      <c r="A247" s="25">
        <v>44518</v>
      </c>
      <c r="B247" s="58">
        <v>0.9375</v>
      </c>
      <c r="C247" s="246">
        <v>52</v>
      </c>
      <c r="D247" s="60">
        <v>11</v>
      </c>
      <c r="E247" s="247">
        <v>16.399999999999999</v>
      </c>
      <c r="F247" s="57">
        <v>850</v>
      </c>
      <c r="G247" s="57">
        <v>2268</v>
      </c>
      <c r="H247" s="57">
        <v>103</v>
      </c>
      <c r="I247" s="57">
        <v>103.8</v>
      </c>
      <c r="J247" s="57" t="s">
        <v>1594</v>
      </c>
      <c r="K247" s="60">
        <v>31</v>
      </c>
      <c r="L247" s="60">
        <v>37</v>
      </c>
      <c r="M247" s="60">
        <v>43.96</v>
      </c>
      <c r="N247" s="57" t="s">
        <v>142</v>
      </c>
      <c r="O247" s="57" t="s">
        <v>142</v>
      </c>
      <c r="P247" s="57" t="s">
        <v>142</v>
      </c>
      <c r="Q247" s="57" t="s">
        <v>1265</v>
      </c>
      <c r="R247" s="57">
        <v>70</v>
      </c>
      <c r="S247" s="26" t="s">
        <v>451</v>
      </c>
      <c r="T247" s="20" t="s">
        <v>236</v>
      </c>
      <c r="U247" s="589"/>
    </row>
    <row r="248" spans="1:21" ht="31.5" customHeight="1" x14ac:dyDescent="0.25">
      <c r="A248" s="25">
        <v>44519</v>
      </c>
      <c r="B248" s="58">
        <v>0.89583333333333337</v>
      </c>
      <c r="C248" s="246">
        <v>52</v>
      </c>
      <c r="D248" s="60">
        <v>10.6</v>
      </c>
      <c r="E248" s="247">
        <v>16.2</v>
      </c>
      <c r="F248" s="57">
        <v>814</v>
      </c>
      <c r="G248" s="57">
        <v>2257</v>
      </c>
      <c r="H248" s="57">
        <v>103.7</v>
      </c>
      <c r="I248" s="57">
        <v>104.7</v>
      </c>
      <c r="J248" s="57" t="s">
        <v>1603</v>
      </c>
      <c r="K248" s="60">
        <v>30.94</v>
      </c>
      <c r="L248" s="60">
        <v>35</v>
      </c>
      <c r="M248" s="60">
        <v>42.81</v>
      </c>
      <c r="N248" s="57" t="s">
        <v>142</v>
      </c>
      <c r="O248" s="57" t="s">
        <v>142</v>
      </c>
      <c r="P248" s="57" t="s">
        <v>142</v>
      </c>
      <c r="Q248" s="57" t="s">
        <v>1265</v>
      </c>
      <c r="R248" s="57">
        <v>69.2</v>
      </c>
      <c r="S248" s="26" t="s">
        <v>451</v>
      </c>
      <c r="T248" s="20" t="s">
        <v>236</v>
      </c>
      <c r="U248" s="589"/>
    </row>
    <row r="249" spans="1:21" ht="31.5" customHeight="1" x14ac:dyDescent="0.25">
      <c r="A249" s="25">
        <v>44520</v>
      </c>
      <c r="B249" s="58">
        <v>0.91666666666666663</v>
      </c>
      <c r="C249" s="246">
        <v>52</v>
      </c>
      <c r="D249" s="60">
        <v>9.9</v>
      </c>
      <c r="E249" s="247">
        <v>15.6</v>
      </c>
      <c r="F249" s="57">
        <v>874</v>
      </c>
      <c r="G249" s="57">
        <v>2296</v>
      </c>
      <c r="H249" s="57">
        <v>102.7</v>
      </c>
      <c r="I249" s="57">
        <v>104.7</v>
      </c>
      <c r="J249" s="57" t="s">
        <v>1609</v>
      </c>
      <c r="K249" s="60">
        <v>31.43</v>
      </c>
      <c r="L249" s="60">
        <v>35</v>
      </c>
      <c r="M249" s="60">
        <v>36.78</v>
      </c>
      <c r="N249" s="57" t="s">
        <v>142</v>
      </c>
      <c r="O249" s="57" t="s">
        <v>142</v>
      </c>
      <c r="P249" s="57" t="s">
        <v>142</v>
      </c>
      <c r="Q249" s="57" t="s">
        <v>1265</v>
      </c>
      <c r="R249" s="57">
        <v>66.599999999999994</v>
      </c>
      <c r="S249" s="26" t="s">
        <v>451</v>
      </c>
      <c r="T249" s="20" t="s">
        <v>236</v>
      </c>
      <c r="U249" s="589"/>
    </row>
    <row r="250" spans="1:21" ht="31.5" customHeight="1" x14ac:dyDescent="0.25">
      <c r="A250" s="25">
        <v>44521</v>
      </c>
      <c r="B250" s="58">
        <v>0.91666666666666663</v>
      </c>
      <c r="C250" s="246">
        <v>52</v>
      </c>
      <c r="D250" s="60">
        <v>9.6999999999999993</v>
      </c>
      <c r="E250" s="247">
        <v>15.5</v>
      </c>
      <c r="F250" s="57">
        <v>874</v>
      </c>
      <c r="G250" s="57">
        <v>2311</v>
      </c>
      <c r="H250" s="57">
        <v>104.2</v>
      </c>
      <c r="I250" s="57">
        <v>106</v>
      </c>
      <c r="J250" s="57" t="s">
        <v>1612</v>
      </c>
      <c r="K250" s="60">
        <v>28.35</v>
      </c>
      <c r="L250" s="60">
        <v>33</v>
      </c>
      <c r="M250" s="60">
        <v>37.799999999999997</v>
      </c>
      <c r="N250" s="57" t="s">
        <v>142</v>
      </c>
      <c r="O250" s="57" t="s">
        <v>142</v>
      </c>
      <c r="P250" s="57" t="s">
        <v>142</v>
      </c>
      <c r="Q250" s="57" t="s">
        <v>1613</v>
      </c>
      <c r="R250" s="57">
        <v>66.599999999999994</v>
      </c>
      <c r="S250" s="26" t="s">
        <v>451</v>
      </c>
      <c r="T250" s="20" t="s">
        <v>236</v>
      </c>
      <c r="U250" s="589"/>
    </row>
    <row r="251" spans="1:21" ht="31.5" customHeight="1" x14ac:dyDescent="0.25">
      <c r="A251" s="25">
        <v>44522</v>
      </c>
      <c r="B251" s="58">
        <v>0.91666666666666663</v>
      </c>
      <c r="C251" s="1469" t="s">
        <v>1622</v>
      </c>
      <c r="D251" s="1470"/>
      <c r="E251" s="1470"/>
      <c r="F251" s="1470"/>
      <c r="G251" s="1470"/>
      <c r="H251" s="1470"/>
      <c r="I251" s="1470"/>
      <c r="J251" s="1470"/>
      <c r="K251" s="1470"/>
      <c r="L251" s="1470"/>
      <c r="M251" s="1470"/>
      <c r="N251" s="1470"/>
      <c r="O251" s="1470"/>
      <c r="P251" s="1470"/>
      <c r="Q251" s="1470"/>
      <c r="R251" s="1471"/>
      <c r="S251" s="26" t="s">
        <v>451</v>
      </c>
      <c r="T251" s="20" t="s">
        <v>236</v>
      </c>
      <c r="U251" s="589"/>
    </row>
    <row r="252" spans="1:21" ht="31.5" customHeight="1" x14ac:dyDescent="0.25">
      <c r="A252" s="25">
        <v>44523</v>
      </c>
      <c r="B252" s="58">
        <v>0.91666666666666663</v>
      </c>
      <c r="C252" s="1469" t="s">
        <v>1622</v>
      </c>
      <c r="D252" s="1470"/>
      <c r="E252" s="1470"/>
      <c r="F252" s="1470"/>
      <c r="G252" s="1470"/>
      <c r="H252" s="1470"/>
      <c r="I252" s="1470"/>
      <c r="J252" s="1470"/>
      <c r="K252" s="1470"/>
      <c r="L252" s="1470"/>
      <c r="M252" s="1470"/>
      <c r="N252" s="1470"/>
      <c r="O252" s="1470"/>
      <c r="P252" s="1470"/>
      <c r="Q252" s="1470"/>
      <c r="R252" s="1471"/>
      <c r="S252" s="26" t="s">
        <v>451</v>
      </c>
      <c r="T252" s="20" t="s">
        <v>236</v>
      </c>
      <c r="U252" s="589"/>
    </row>
    <row r="253" spans="1:21" ht="31.5" customHeight="1" x14ac:dyDescent="0.25">
      <c r="A253" s="25">
        <v>44524</v>
      </c>
      <c r="B253" s="58">
        <v>0.91666666666666663</v>
      </c>
      <c r="C253" s="1469" t="s">
        <v>1622</v>
      </c>
      <c r="D253" s="1470"/>
      <c r="E253" s="1470"/>
      <c r="F253" s="1470"/>
      <c r="G253" s="1470"/>
      <c r="H253" s="1470"/>
      <c r="I253" s="1470"/>
      <c r="J253" s="1470"/>
      <c r="K253" s="1470"/>
      <c r="L253" s="1470"/>
      <c r="M253" s="1470"/>
      <c r="N253" s="1470"/>
      <c r="O253" s="1470"/>
      <c r="P253" s="1470"/>
      <c r="Q253" s="1470"/>
      <c r="R253" s="1471"/>
      <c r="S253" s="26" t="s">
        <v>451</v>
      </c>
      <c r="T253" s="20" t="s">
        <v>236</v>
      </c>
      <c r="U253" s="589"/>
    </row>
    <row r="254" spans="1:21" ht="31.5" customHeight="1" x14ac:dyDescent="0.25">
      <c r="A254" s="25">
        <v>44525</v>
      </c>
      <c r="B254" s="58">
        <v>0.91666666666666663</v>
      </c>
      <c r="C254" s="1469" t="s">
        <v>1622</v>
      </c>
      <c r="D254" s="1470"/>
      <c r="E254" s="1470"/>
      <c r="F254" s="1470"/>
      <c r="G254" s="1470"/>
      <c r="H254" s="1470"/>
      <c r="I254" s="1470"/>
      <c r="J254" s="1470"/>
      <c r="K254" s="1470"/>
      <c r="L254" s="1470"/>
      <c r="M254" s="1470"/>
      <c r="N254" s="1470"/>
      <c r="O254" s="1470"/>
      <c r="P254" s="1470"/>
      <c r="Q254" s="1470"/>
      <c r="R254" s="1471"/>
      <c r="S254" s="26" t="s">
        <v>451</v>
      </c>
      <c r="T254" s="20" t="s">
        <v>236</v>
      </c>
      <c r="U254" s="589"/>
    </row>
    <row r="255" spans="1:21" ht="31.5" customHeight="1" x14ac:dyDescent="0.25">
      <c r="A255" s="25">
        <v>44526</v>
      </c>
      <c r="B255" s="58">
        <v>0.91666666666666663</v>
      </c>
      <c r="C255" s="1469" t="s">
        <v>1622</v>
      </c>
      <c r="D255" s="1470"/>
      <c r="E255" s="1470"/>
      <c r="F255" s="1470"/>
      <c r="G255" s="1470"/>
      <c r="H255" s="1470"/>
      <c r="I255" s="1470"/>
      <c r="J255" s="1470"/>
      <c r="K255" s="1470"/>
      <c r="L255" s="1470"/>
      <c r="M255" s="1470"/>
      <c r="N255" s="1470"/>
      <c r="O255" s="1470"/>
      <c r="P255" s="1470"/>
      <c r="Q255" s="1470"/>
      <c r="R255" s="1471"/>
      <c r="S255" s="26" t="s">
        <v>451</v>
      </c>
      <c r="T255" s="20" t="s">
        <v>236</v>
      </c>
      <c r="U255" s="589"/>
    </row>
    <row r="256" spans="1:21" ht="31.5" customHeight="1" x14ac:dyDescent="0.25">
      <c r="A256" s="25">
        <v>44527</v>
      </c>
      <c r="B256" s="58">
        <v>0.91666666666666663</v>
      </c>
      <c r="C256" s="1469" t="s">
        <v>1622</v>
      </c>
      <c r="D256" s="1470"/>
      <c r="E256" s="1470"/>
      <c r="F256" s="1470"/>
      <c r="G256" s="1470"/>
      <c r="H256" s="1470"/>
      <c r="I256" s="1470"/>
      <c r="J256" s="1470"/>
      <c r="K256" s="1470"/>
      <c r="L256" s="1470"/>
      <c r="M256" s="1470"/>
      <c r="N256" s="1470"/>
      <c r="O256" s="1470"/>
      <c r="P256" s="1470"/>
      <c r="Q256" s="1470"/>
      <c r="R256" s="1471"/>
      <c r="S256" s="26" t="s">
        <v>451</v>
      </c>
      <c r="T256" s="20" t="s">
        <v>236</v>
      </c>
      <c r="U256" s="589"/>
    </row>
    <row r="257" spans="1:21" ht="31.5" customHeight="1" x14ac:dyDescent="0.25">
      <c r="A257" s="25">
        <v>44528</v>
      </c>
      <c r="B257" s="58">
        <v>0.91666666666666663</v>
      </c>
      <c r="C257" s="1469" t="s">
        <v>1622</v>
      </c>
      <c r="D257" s="1470"/>
      <c r="E257" s="1470"/>
      <c r="F257" s="1470"/>
      <c r="G257" s="1470"/>
      <c r="H257" s="1470"/>
      <c r="I257" s="1470"/>
      <c r="J257" s="1470"/>
      <c r="K257" s="1470"/>
      <c r="L257" s="1470"/>
      <c r="M257" s="1470"/>
      <c r="N257" s="1470"/>
      <c r="O257" s="1470"/>
      <c r="P257" s="1470"/>
      <c r="Q257" s="1470"/>
      <c r="R257" s="1471"/>
      <c r="S257" s="26" t="s">
        <v>451</v>
      </c>
      <c r="T257" s="20" t="s">
        <v>236</v>
      </c>
      <c r="U257" s="589"/>
    </row>
    <row r="258" spans="1:21" ht="31.5" customHeight="1" x14ac:dyDescent="0.25">
      <c r="A258" s="25">
        <v>44529</v>
      </c>
      <c r="B258" s="58">
        <v>0.95833333333333337</v>
      </c>
      <c r="C258" s="1469" t="s">
        <v>1622</v>
      </c>
      <c r="D258" s="1470"/>
      <c r="E258" s="1470"/>
      <c r="F258" s="1470"/>
      <c r="G258" s="1470"/>
      <c r="H258" s="1470"/>
      <c r="I258" s="1470"/>
      <c r="J258" s="1470"/>
      <c r="K258" s="1470"/>
      <c r="L258" s="1470"/>
      <c r="M258" s="1470"/>
      <c r="N258" s="1470"/>
      <c r="O258" s="1470"/>
      <c r="P258" s="1470"/>
      <c r="Q258" s="1470"/>
      <c r="R258" s="1471"/>
      <c r="S258" s="26" t="s">
        <v>451</v>
      </c>
      <c r="T258" s="20" t="s">
        <v>236</v>
      </c>
      <c r="U258" s="589"/>
    </row>
    <row r="259" spans="1:21" ht="31.5" customHeight="1" x14ac:dyDescent="0.25">
      <c r="A259" s="25">
        <v>44530</v>
      </c>
      <c r="B259" s="58">
        <v>0.75</v>
      </c>
      <c r="C259" s="1469" t="s">
        <v>1622</v>
      </c>
      <c r="D259" s="1470"/>
      <c r="E259" s="1470"/>
      <c r="F259" s="1470"/>
      <c r="G259" s="1470"/>
      <c r="H259" s="1470"/>
      <c r="I259" s="1470"/>
      <c r="J259" s="1470"/>
      <c r="K259" s="1470"/>
      <c r="L259" s="1470"/>
      <c r="M259" s="1470"/>
      <c r="N259" s="1470"/>
      <c r="O259" s="1470"/>
      <c r="P259" s="1470"/>
      <c r="Q259" s="1470"/>
      <c r="R259" s="1471"/>
      <c r="S259" s="26" t="s">
        <v>451</v>
      </c>
      <c r="T259" s="20" t="s">
        <v>236</v>
      </c>
      <c r="U259" s="589"/>
    </row>
    <row r="260" spans="1:21" ht="31.5" customHeight="1" x14ac:dyDescent="0.25">
      <c r="A260" s="25">
        <v>44531</v>
      </c>
      <c r="B260" s="58">
        <v>0.25</v>
      </c>
      <c r="C260" s="1469" t="s">
        <v>1622</v>
      </c>
      <c r="D260" s="1470"/>
      <c r="E260" s="1470"/>
      <c r="F260" s="1470"/>
      <c r="G260" s="1470"/>
      <c r="H260" s="1470"/>
      <c r="I260" s="1470"/>
      <c r="J260" s="1470"/>
      <c r="K260" s="1470"/>
      <c r="L260" s="1470"/>
      <c r="M260" s="1470"/>
      <c r="N260" s="1470"/>
      <c r="O260" s="1470"/>
      <c r="P260" s="1470"/>
      <c r="Q260" s="1470"/>
      <c r="R260" s="1471"/>
      <c r="S260" s="26" t="s">
        <v>451</v>
      </c>
      <c r="T260" s="20" t="s">
        <v>236</v>
      </c>
      <c r="U260" s="589"/>
    </row>
    <row r="261" spans="1:21" ht="31.5" customHeight="1" x14ac:dyDescent="0.25">
      <c r="A261" s="25">
        <v>44532</v>
      </c>
      <c r="B261" s="58">
        <v>0.25</v>
      </c>
      <c r="C261" s="1469" t="s">
        <v>1622</v>
      </c>
      <c r="D261" s="1470"/>
      <c r="E261" s="1470"/>
      <c r="F261" s="1470"/>
      <c r="G261" s="1470"/>
      <c r="H261" s="1470"/>
      <c r="I261" s="1470"/>
      <c r="J261" s="1470"/>
      <c r="K261" s="1470"/>
      <c r="L261" s="1470"/>
      <c r="M261" s="1470"/>
      <c r="N261" s="1470"/>
      <c r="O261" s="1470"/>
      <c r="P261" s="1470"/>
      <c r="Q261" s="1470"/>
      <c r="R261" s="1471"/>
      <c r="S261" s="26" t="s">
        <v>451</v>
      </c>
      <c r="T261" s="20" t="s">
        <v>236</v>
      </c>
      <c r="U261" s="589"/>
    </row>
    <row r="262" spans="1:21" ht="31.5" customHeight="1" x14ac:dyDescent="0.25">
      <c r="A262" s="25">
        <v>44533</v>
      </c>
      <c r="B262" s="58">
        <v>0.25</v>
      </c>
      <c r="C262" s="1469" t="s">
        <v>1622</v>
      </c>
      <c r="D262" s="1470"/>
      <c r="E262" s="1470"/>
      <c r="F262" s="1470"/>
      <c r="G262" s="1470"/>
      <c r="H262" s="1470"/>
      <c r="I262" s="1470"/>
      <c r="J262" s="1470"/>
      <c r="K262" s="1470"/>
      <c r="L262" s="1470"/>
      <c r="M262" s="1470"/>
      <c r="N262" s="1470"/>
      <c r="O262" s="1470"/>
      <c r="P262" s="1470"/>
      <c r="Q262" s="1470"/>
      <c r="R262" s="1471"/>
      <c r="S262" s="26" t="s">
        <v>451</v>
      </c>
      <c r="T262" s="20" t="s">
        <v>236</v>
      </c>
      <c r="U262" s="589"/>
    </row>
    <row r="263" spans="1:21" ht="31.5" customHeight="1" x14ac:dyDescent="0.25">
      <c r="A263" s="25">
        <v>44534</v>
      </c>
      <c r="B263" s="58">
        <v>0.25</v>
      </c>
      <c r="C263" s="1469" t="s">
        <v>1622</v>
      </c>
      <c r="D263" s="1470"/>
      <c r="E263" s="1470"/>
      <c r="F263" s="1470"/>
      <c r="G263" s="1470"/>
      <c r="H263" s="1470"/>
      <c r="I263" s="1470"/>
      <c r="J263" s="1470"/>
      <c r="K263" s="1470"/>
      <c r="L263" s="1470"/>
      <c r="M263" s="1470"/>
      <c r="N263" s="1470"/>
      <c r="O263" s="1470"/>
      <c r="P263" s="1470"/>
      <c r="Q263" s="1470"/>
      <c r="R263" s="1471"/>
      <c r="S263" s="26" t="s">
        <v>451</v>
      </c>
      <c r="T263" s="20" t="s">
        <v>236</v>
      </c>
      <c r="U263" s="589"/>
    </row>
    <row r="264" spans="1:21" ht="31.5" customHeight="1" x14ac:dyDescent="0.25">
      <c r="A264" s="25">
        <v>44535</v>
      </c>
      <c r="B264" s="58">
        <v>0.25</v>
      </c>
      <c r="C264" s="1469" t="s">
        <v>1622</v>
      </c>
      <c r="D264" s="1470"/>
      <c r="E264" s="1470"/>
      <c r="F264" s="1470"/>
      <c r="G264" s="1470"/>
      <c r="H264" s="1470"/>
      <c r="I264" s="1470"/>
      <c r="J264" s="1470"/>
      <c r="K264" s="1470"/>
      <c r="L264" s="1470"/>
      <c r="M264" s="1470"/>
      <c r="N264" s="1470"/>
      <c r="O264" s="1470"/>
      <c r="P264" s="1470"/>
      <c r="Q264" s="1470"/>
      <c r="R264" s="1471"/>
      <c r="S264" s="26" t="s">
        <v>451</v>
      </c>
      <c r="T264" s="20" t="s">
        <v>236</v>
      </c>
      <c r="U264" s="589"/>
    </row>
    <row r="265" spans="1:21" ht="31.5" customHeight="1" x14ac:dyDescent="0.25">
      <c r="A265" s="25">
        <v>44536</v>
      </c>
      <c r="B265" s="58">
        <v>0.95833333333333337</v>
      </c>
      <c r="C265" s="1469" t="s">
        <v>1622</v>
      </c>
      <c r="D265" s="1470"/>
      <c r="E265" s="1470"/>
      <c r="F265" s="1470"/>
      <c r="G265" s="1470"/>
      <c r="H265" s="1470"/>
      <c r="I265" s="1470"/>
      <c r="J265" s="1470"/>
      <c r="K265" s="1470"/>
      <c r="L265" s="1470"/>
      <c r="M265" s="1470"/>
      <c r="N265" s="1470"/>
      <c r="O265" s="1470"/>
      <c r="P265" s="1470"/>
      <c r="Q265" s="1470"/>
      <c r="R265" s="1471"/>
      <c r="S265" s="26" t="s">
        <v>451</v>
      </c>
      <c r="T265" s="20" t="s">
        <v>236</v>
      </c>
      <c r="U265" s="589"/>
    </row>
    <row r="266" spans="1:21" ht="31.5" customHeight="1" x14ac:dyDescent="0.25">
      <c r="A266" s="25">
        <v>44537</v>
      </c>
      <c r="B266" s="58">
        <v>0.95833333333333337</v>
      </c>
      <c r="C266" s="1469" t="s">
        <v>1622</v>
      </c>
      <c r="D266" s="1470"/>
      <c r="E266" s="1470"/>
      <c r="F266" s="1470"/>
      <c r="G266" s="1470"/>
      <c r="H266" s="1470"/>
      <c r="I266" s="1470"/>
      <c r="J266" s="1470"/>
      <c r="K266" s="1470"/>
      <c r="L266" s="1470"/>
      <c r="M266" s="1470"/>
      <c r="N266" s="1470"/>
      <c r="O266" s="1470"/>
      <c r="P266" s="1470"/>
      <c r="Q266" s="1470"/>
      <c r="R266" s="1471"/>
      <c r="S266" s="26" t="s">
        <v>451</v>
      </c>
      <c r="T266" s="20" t="s">
        <v>236</v>
      </c>
      <c r="U266" s="589"/>
    </row>
    <row r="267" spans="1:21" ht="31.5" customHeight="1" x14ac:dyDescent="0.25">
      <c r="A267" s="25">
        <v>44538</v>
      </c>
      <c r="B267" s="58">
        <v>0.9375</v>
      </c>
      <c r="C267" s="1469" t="s">
        <v>1622</v>
      </c>
      <c r="D267" s="1470"/>
      <c r="E267" s="1470"/>
      <c r="F267" s="1470"/>
      <c r="G267" s="1470"/>
      <c r="H267" s="1470"/>
      <c r="I267" s="1470"/>
      <c r="J267" s="1470"/>
      <c r="K267" s="1470"/>
      <c r="L267" s="1470"/>
      <c r="M267" s="1470"/>
      <c r="N267" s="1470"/>
      <c r="O267" s="1470"/>
      <c r="P267" s="1470"/>
      <c r="Q267" s="1470"/>
      <c r="R267" s="1471"/>
      <c r="S267" s="26" t="s">
        <v>451</v>
      </c>
      <c r="T267" s="20" t="s">
        <v>236</v>
      </c>
      <c r="U267" s="589"/>
    </row>
    <row r="268" spans="1:21" ht="31.5" customHeight="1" x14ac:dyDescent="0.25">
      <c r="A268" s="25">
        <v>44539</v>
      </c>
      <c r="B268" s="58">
        <v>0.9375</v>
      </c>
      <c r="C268" s="1469" t="s">
        <v>1622</v>
      </c>
      <c r="D268" s="1470"/>
      <c r="E268" s="1470"/>
      <c r="F268" s="1470"/>
      <c r="G268" s="1470"/>
      <c r="H268" s="1470"/>
      <c r="I268" s="1470"/>
      <c r="J268" s="1470"/>
      <c r="K268" s="1470"/>
      <c r="L268" s="1470"/>
      <c r="M268" s="1470"/>
      <c r="N268" s="1470"/>
      <c r="O268" s="1470"/>
      <c r="P268" s="1470"/>
      <c r="Q268" s="1470"/>
      <c r="R268" s="1471"/>
      <c r="S268" s="26" t="s">
        <v>451</v>
      </c>
      <c r="T268" s="20" t="s">
        <v>236</v>
      </c>
      <c r="U268" s="589"/>
    </row>
    <row r="269" spans="1:21" ht="31.5" customHeight="1" x14ac:dyDescent="0.25">
      <c r="A269" s="25">
        <v>44540</v>
      </c>
      <c r="B269" s="58">
        <v>0.9375</v>
      </c>
      <c r="C269" s="1469" t="s">
        <v>1622</v>
      </c>
      <c r="D269" s="1470"/>
      <c r="E269" s="1470"/>
      <c r="F269" s="1470"/>
      <c r="G269" s="1470"/>
      <c r="H269" s="1470"/>
      <c r="I269" s="1470"/>
      <c r="J269" s="1470"/>
      <c r="K269" s="1470"/>
      <c r="L269" s="1470"/>
      <c r="M269" s="1470"/>
      <c r="N269" s="1470"/>
      <c r="O269" s="1470"/>
      <c r="P269" s="1470"/>
      <c r="Q269" s="1470"/>
      <c r="R269" s="1471"/>
      <c r="S269" s="26" t="s">
        <v>451</v>
      </c>
      <c r="T269" s="20" t="s">
        <v>236</v>
      </c>
      <c r="U269" s="589"/>
    </row>
    <row r="270" spans="1:21" ht="31.5" customHeight="1" x14ac:dyDescent="0.25">
      <c r="A270" s="25">
        <v>44541</v>
      </c>
      <c r="B270" s="58">
        <v>0.9375</v>
      </c>
      <c r="C270" s="1469" t="s">
        <v>1622</v>
      </c>
      <c r="D270" s="1470"/>
      <c r="E270" s="1470"/>
      <c r="F270" s="1470"/>
      <c r="G270" s="1470"/>
      <c r="H270" s="1470"/>
      <c r="I270" s="1470"/>
      <c r="J270" s="1470"/>
      <c r="K270" s="1470"/>
      <c r="L270" s="1470"/>
      <c r="M270" s="1470"/>
      <c r="N270" s="1470"/>
      <c r="O270" s="1470"/>
      <c r="P270" s="1470"/>
      <c r="Q270" s="1470"/>
      <c r="R270" s="1471"/>
      <c r="S270" s="26" t="s">
        <v>451</v>
      </c>
      <c r="T270" s="20" t="s">
        <v>236</v>
      </c>
      <c r="U270" s="589"/>
    </row>
    <row r="271" spans="1:21" ht="31.5" customHeight="1" x14ac:dyDescent="0.25">
      <c r="A271" s="25">
        <v>44542</v>
      </c>
      <c r="B271" s="58">
        <v>0.9375</v>
      </c>
      <c r="C271" s="1469" t="s">
        <v>1622</v>
      </c>
      <c r="D271" s="1470"/>
      <c r="E271" s="1470"/>
      <c r="F271" s="1470"/>
      <c r="G271" s="1470"/>
      <c r="H271" s="1470"/>
      <c r="I271" s="1470"/>
      <c r="J271" s="1470"/>
      <c r="K271" s="1470"/>
      <c r="L271" s="1470"/>
      <c r="M271" s="1470"/>
      <c r="N271" s="1470"/>
      <c r="O271" s="1470"/>
      <c r="P271" s="1470"/>
      <c r="Q271" s="1470"/>
      <c r="R271" s="1471"/>
      <c r="S271" s="26" t="s">
        <v>451</v>
      </c>
      <c r="T271" s="20" t="s">
        <v>236</v>
      </c>
      <c r="U271" s="589"/>
    </row>
    <row r="272" spans="1:21" ht="31.5" customHeight="1" x14ac:dyDescent="0.25">
      <c r="A272" s="25">
        <v>44543</v>
      </c>
      <c r="B272" s="58">
        <v>0.91666666666666663</v>
      </c>
      <c r="C272" s="1469" t="s">
        <v>1622</v>
      </c>
      <c r="D272" s="1470"/>
      <c r="E272" s="1470"/>
      <c r="F272" s="1470"/>
      <c r="G272" s="1470"/>
      <c r="H272" s="1470"/>
      <c r="I272" s="1470"/>
      <c r="J272" s="1470"/>
      <c r="K272" s="1470"/>
      <c r="L272" s="1470"/>
      <c r="M272" s="1470"/>
      <c r="N272" s="1470"/>
      <c r="O272" s="1470"/>
      <c r="P272" s="1470"/>
      <c r="Q272" s="1470"/>
      <c r="R272" s="1471"/>
      <c r="S272" s="26" t="s">
        <v>451</v>
      </c>
      <c r="T272" s="20" t="s">
        <v>236</v>
      </c>
      <c r="U272" s="589"/>
    </row>
    <row r="273" spans="1:21" ht="31.5" customHeight="1" x14ac:dyDescent="0.25">
      <c r="A273" s="25">
        <v>44544</v>
      </c>
      <c r="B273" s="58">
        <v>0.91666666666666663</v>
      </c>
      <c r="C273" s="1469" t="s">
        <v>1622</v>
      </c>
      <c r="D273" s="1470"/>
      <c r="E273" s="1470"/>
      <c r="F273" s="1470"/>
      <c r="G273" s="1470"/>
      <c r="H273" s="1470"/>
      <c r="I273" s="1470"/>
      <c r="J273" s="1470"/>
      <c r="K273" s="1470"/>
      <c r="L273" s="1470"/>
      <c r="M273" s="1470"/>
      <c r="N273" s="1470"/>
      <c r="O273" s="1470"/>
      <c r="P273" s="1470"/>
      <c r="Q273" s="1470"/>
      <c r="R273" s="1471"/>
      <c r="S273" s="26" t="s">
        <v>451</v>
      </c>
      <c r="T273" s="20" t="s">
        <v>236</v>
      </c>
      <c r="U273" s="589"/>
    </row>
    <row r="274" spans="1:21" ht="31.5" customHeight="1" x14ac:dyDescent="0.25">
      <c r="A274" s="25">
        <v>44545</v>
      </c>
      <c r="B274" s="58">
        <v>0.95833333333333337</v>
      </c>
      <c r="C274" s="1469" t="s">
        <v>1622</v>
      </c>
      <c r="D274" s="1470"/>
      <c r="E274" s="1470"/>
      <c r="F274" s="1470"/>
      <c r="G274" s="1470"/>
      <c r="H274" s="1470"/>
      <c r="I274" s="1470"/>
      <c r="J274" s="1470"/>
      <c r="K274" s="1470"/>
      <c r="L274" s="1470"/>
      <c r="M274" s="1470"/>
      <c r="N274" s="1470"/>
      <c r="O274" s="1470"/>
      <c r="P274" s="1470"/>
      <c r="Q274" s="1470"/>
      <c r="R274" s="1471"/>
      <c r="S274" s="26" t="s">
        <v>451</v>
      </c>
      <c r="T274" s="20" t="s">
        <v>236</v>
      </c>
      <c r="U274" s="589"/>
    </row>
    <row r="275" spans="1:21" ht="31.5" customHeight="1" x14ac:dyDescent="0.25">
      <c r="A275" s="25">
        <v>44546</v>
      </c>
      <c r="B275" s="58">
        <v>0.9375</v>
      </c>
      <c r="C275" s="1469" t="s">
        <v>1622</v>
      </c>
      <c r="D275" s="1470"/>
      <c r="E275" s="1470"/>
      <c r="F275" s="1470"/>
      <c r="G275" s="1470"/>
      <c r="H275" s="1470"/>
      <c r="I275" s="1470"/>
      <c r="J275" s="1470"/>
      <c r="K275" s="1470"/>
      <c r="L275" s="1470"/>
      <c r="M275" s="1470"/>
      <c r="N275" s="1470"/>
      <c r="O275" s="1470"/>
      <c r="P275" s="1470"/>
      <c r="Q275" s="1470"/>
      <c r="R275" s="1471"/>
      <c r="S275" s="26" t="s">
        <v>451</v>
      </c>
      <c r="T275" s="20" t="s">
        <v>236</v>
      </c>
      <c r="U275" s="589"/>
    </row>
    <row r="276" spans="1:21" ht="31.5" customHeight="1" x14ac:dyDescent="0.25">
      <c r="A276" s="25">
        <v>44547</v>
      </c>
      <c r="B276" s="58">
        <v>0.9375</v>
      </c>
      <c r="C276" s="246">
        <v>51</v>
      </c>
      <c r="D276" s="60">
        <v>11</v>
      </c>
      <c r="E276" s="247">
        <v>16.399999999999999</v>
      </c>
      <c r="F276" s="57">
        <v>1260</v>
      </c>
      <c r="G276" s="57">
        <v>2283</v>
      </c>
      <c r="H276" s="57">
        <v>102.3</v>
      </c>
      <c r="I276" s="57">
        <v>102.7</v>
      </c>
      <c r="J276" s="57" t="s">
        <v>1723</v>
      </c>
      <c r="K276" s="60">
        <v>33.56</v>
      </c>
      <c r="L276" s="60">
        <v>52</v>
      </c>
      <c r="M276" s="60">
        <v>42.39</v>
      </c>
      <c r="N276" s="57" t="s">
        <v>142</v>
      </c>
      <c r="O276" s="57" t="s">
        <v>142</v>
      </c>
      <c r="P276" s="57" t="s">
        <v>142</v>
      </c>
      <c r="Q276" s="57" t="s">
        <v>1724</v>
      </c>
      <c r="R276" s="57">
        <v>70</v>
      </c>
      <c r="S276" s="26" t="s">
        <v>451</v>
      </c>
      <c r="T276" s="20" t="s">
        <v>236</v>
      </c>
      <c r="U276" s="589"/>
    </row>
    <row r="277" spans="1:21" ht="31.5" customHeight="1" x14ac:dyDescent="0.25">
      <c r="A277" s="25">
        <v>44548</v>
      </c>
      <c r="B277" s="58">
        <v>0.9375</v>
      </c>
      <c r="C277" s="246">
        <v>51</v>
      </c>
      <c r="D277" s="60">
        <v>10.8</v>
      </c>
      <c r="E277" s="247">
        <v>16.3</v>
      </c>
      <c r="F277" s="57">
        <v>943</v>
      </c>
      <c r="G277" s="57">
        <v>2267</v>
      </c>
      <c r="H277" s="57">
        <v>103.2</v>
      </c>
      <c r="I277" s="57">
        <v>104</v>
      </c>
      <c r="J277" s="57" t="s">
        <v>1734</v>
      </c>
      <c r="K277" s="60">
        <v>33.4</v>
      </c>
      <c r="L277" s="60">
        <v>46.47</v>
      </c>
      <c r="M277" s="60">
        <v>44.15</v>
      </c>
      <c r="N277" s="57" t="s">
        <v>142</v>
      </c>
      <c r="O277" s="57" t="s">
        <v>142</v>
      </c>
      <c r="P277" s="57" t="s">
        <v>142</v>
      </c>
      <c r="Q277" s="57" t="s">
        <v>1304</v>
      </c>
      <c r="R277" s="57">
        <v>69.599999999999994</v>
      </c>
      <c r="S277" s="26" t="s">
        <v>451</v>
      </c>
      <c r="T277" s="20" t="s">
        <v>236</v>
      </c>
      <c r="U277" s="589"/>
    </row>
    <row r="278" spans="1:21" ht="31.5" customHeight="1" x14ac:dyDescent="0.25">
      <c r="A278" s="25">
        <v>44549</v>
      </c>
      <c r="B278" s="58">
        <v>0.89583333333333337</v>
      </c>
      <c r="C278" s="246">
        <v>51</v>
      </c>
      <c r="D278" s="60">
        <v>10.199999999999999</v>
      </c>
      <c r="E278" s="247">
        <v>15.9</v>
      </c>
      <c r="F278" s="57">
        <v>900</v>
      </c>
      <c r="G278" s="57">
        <v>2260</v>
      </c>
      <c r="H278" s="57">
        <v>103.8</v>
      </c>
      <c r="I278" s="57">
        <v>104.7</v>
      </c>
      <c r="J278" s="57" t="s">
        <v>1739</v>
      </c>
      <c r="K278" s="60">
        <v>34.119999999999997</v>
      </c>
      <c r="L278" s="60">
        <v>43.6</v>
      </c>
      <c r="M278" s="60">
        <v>41.31</v>
      </c>
      <c r="N278" s="57" t="s">
        <v>142</v>
      </c>
      <c r="O278" s="57" t="s">
        <v>142</v>
      </c>
      <c r="P278" s="57" t="s">
        <v>142</v>
      </c>
      <c r="Q278" s="57" t="s">
        <v>1059</v>
      </c>
      <c r="R278" s="57">
        <v>67.900000000000006</v>
      </c>
      <c r="S278" s="26" t="s">
        <v>451</v>
      </c>
      <c r="T278" s="20" t="s">
        <v>236</v>
      </c>
      <c r="U278" s="589"/>
    </row>
    <row r="279" spans="1:21" ht="31.5" customHeight="1" x14ac:dyDescent="0.25">
      <c r="A279" s="25">
        <v>44550</v>
      </c>
      <c r="B279" s="58">
        <v>0.9375</v>
      </c>
      <c r="C279" s="246">
        <v>51</v>
      </c>
      <c r="D279" s="60">
        <v>9</v>
      </c>
      <c r="E279" s="247">
        <v>15</v>
      </c>
      <c r="F279" s="57">
        <v>960</v>
      </c>
      <c r="G279" s="57">
        <v>2336</v>
      </c>
      <c r="H279" s="57">
        <v>103.7</v>
      </c>
      <c r="I279" s="57">
        <v>104</v>
      </c>
      <c r="J279" s="57" t="s">
        <v>1743</v>
      </c>
      <c r="K279" s="60">
        <v>34.33</v>
      </c>
      <c r="L279" s="60">
        <v>40</v>
      </c>
      <c r="M279" s="60">
        <v>37.799999999999997</v>
      </c>
      <c r="N279" s="57" t="s">
        <v>142</v>
      </c>
      <c r="O279" s="57" t="s">
        <v>142</v>
      </c>
      <c r="P279" s="57" t="s">
        <v>142</v>
      </c>
      <c r="Q279" s="57" t="s">
        <v>1744</v>
      </c>
      <c r="R279" s="57">
        <v>64.099999999999994</v>
      </c>
      <c r="S279" s="26" t="s">
        <v>451</v>
      </c>
      <c r="T279" s="20" t="s">
        <v>236</v>
      </c>
      <c r="U279" s="589"/>
    </row>
    <row r="280" spans="1:21" ht="60" customHeight="1" x14ac:dyDescent="0.25">
      <c r="A280" s="25">
        <v>44551</v>
      </c>
      <c r="B280" s="58">
        <v>0.9375</v>
      </c>
      <c r="C280" s="246">
        <v>51</v>
      </c>
      <c r="D280" s="60">
        <v>8.4</v>
      </c>
      <c r="E280" s="247">
        <v>14.7</v>
      </c>
      <c r="F280" s="57">
        <v>969</v>
      </c>
      <c r="G280" s="57">
        <v>2327</v>
      </c>
      <c r="H280" s="57">
        <v>103.6</v>
      </c>
      <c r="I280" s="57">
        <v>105</v>
      </c>
      <c r="J280" s="57" t="s">
        <v>1749</v>
      </c>
      <c r="K280" s="60">
        <v>35.700000000000003</v>
      </c>
      <c r="L280" s="60">
        <v>39</v>
      </c>
      <c r="M280" s="60">
        <v>33.82</v>
      </c>
      <c r="N280" s="57" t="s">
        <v>142</v>
      </c>
      <c r="O280" s="57" t="s">
        <v>142</v>
      </c>
      <c r="P280" s="57" t="s">
        <v>142</v>
      </c>
      <c r="Q280" s="57" t="s">
        <v>1750</v>
      </c>
      <c r="R280" s="57">
        <v>62.8</v>
      </c>
      <c r="S280" s="26" t="s">
        <v>451</v>
      </c>
      <c r="T280" s="20" t="s">
        <v>236</v>
      </c>
      <c r="U280" s="589" t="s">
        <v>1756</v>
      </c>
    </row>
    <row r="281" spans="1:21" ht="31.5" customHeight="1" x14ac:dyDescent="0.25">
      <c r="A281" s="25">
        <v>44552</v>
      </c>
      <c r="B281" s="58">
        <v>0.91666666666666663</v>
      </c>
      <c r="C281" s="246">
        <v>51</v>
      </c>
      <c r="D281" s="60">
        <v>9.1</v>
      </c>
      <c r="E281" s="247">
        <v>15.1</v>
      </c>
      <c r="F281" s="57">
        <v>1031</v>
      </c>
      <c r="G281" s="57">
        <v>2407</v>
      </c>
      <c r="H281" s="57">
        <v>105.6</v>
      </c>
      <c r="I281" s="57">
        <v>108.1</v>
      </c>
      <c r="J281" s="57" t="s">
        <v>1758</v>
      </c>
      <c r="K281" s="60">
        <v>35.369999999999997</v>
      </c>
      <c r="L281" s="60">
        <v>39</v>
      </c>
      <c r="M281" s="60">
        <v>33.090000000000003</v>
      </c>
      <c r="N281" s="57" t="s">
        <v>142</v>
      </c>
      <c r="O281" s="57" t="s">
        <v>142</v>
      </c>
      <c r="P281" s="57" t="s">
        <v>142</v>
      </c>
      <c r="Q281" s="57" t="s">
        <v>1759</v>
      </c>
      <c r="R281" s="57">
        <v>64.5</v>
      </c>
      <c r="S281" s="26" t="s">
        <v>451</v>
      </c>
      <c r="T281" s="20" t="s">
        <v>236</v>
      </c>
      <c r="U281" s="589"/>
    </row>
    <row r="282" spans="1:21" ht="31.5" customHeight="1" x14ac:dyDescent="0.25">
      <c r="A282" s="25">
        <v>44553</v>
      </c>
      <c r="B282" s="58">
        <v>0.95833333333333337</v>
      </c>
      <c r="C282" s="246">
        <v>51</v>
      </c>
      <c r="D282" s="60">
        <v>9.5</v>
      </c>
      <c r="E282" s="247">
        <v>15.3</v>
      </c>
      <c r="F282" s="57">
        <v>940</v>
      </c>
      <c r="G282" s="57">
        <v>2333</v>
      </c>
      <c r="H282" s="57">
        <v>105</v>
      </c>
      <c r="I282" s="57">
        <v>106.2</v>
      </c>
      <c r="J282" s="57" t="s">
        <v>1764</v>
      </c>
      <c r="K282" s="60">
        <v>34.06</v>
      </c>
      <c r="L282" s="60">
        <v>37.5</v>
      </c>
      <c r="M282" s="60">
        <v>36.69</v>
      </c>
      <c r="N282" s="57" t="s">
        <v>142</v>
      </c>
      <c r="O282" s="57" t="s">
        <v>142</v>
      </c>
      <c r="P282" s="57" t="s">
        <v>142</v>
      </c>
      <c r="Q282" s="57" t="s">
        <v>1577</v>
      </c>
      <c r="R282" s="57">
        <v>64.900000000000006</v>
      </c>
      <c r="S282" s="26" t="s">
        <v>451</v>
      </c>
      <c r="T282" s="20" t="s">
        <v>236</v>
      </c>
      <c r="U282" s="589"/>
    </row>
    <row r="283" spans="1:21" ht="31.5" customHeight="1" x14ac:dyDescent="0.25">
      <c r="A283" s="25">
        <v>44554</v>
      </c>
      <c r="B283" s="58">
        <v>0.9375</v>
      </c>
      <c r="C283" s="246">
        <v>51</v>
      </c>
      <c r="D283" s="60">
        <v>11.6</v>
      </c>
      <c r="E283" s="247">
        <v>16.899999999999999</v>
      </c>
      <c r="F283" s="57">
        <v>978</v>
      </c>
      <c r="G283" s="57">
        <v>2440</v>
      </c>
      <c r="H283" s="57">
        <v>103.7</v>
      </c>
      <c r="I283" s="57">
        <v>105.1</v>
      </c>
      <c r="J283" s="57" t="s">
        <v>1769</v>
      </c>
      <c r="K283" s="60">
        <v>37.799999999999997</v>
      </c>
      <c r="L283" s="60">
        <v>34.5</v>
      </c>
      <c r="M283" s="60">
        <v>32.659999999999997</v>
      </c>
      <c r="N283" s="57" t="s">
        <v>142</v>
      </c>
      <c r="O283" s="57" t="s">
        <v>142</v>
      </c>
      <c r="P283" s="57" t="s">
        <v>142</v>
      </c>
      <c r="Q283" s="57" t="s">
        <v>1244</v>
      </c>
      <c r="R283" s="57">
        <v>71.7</v>
      </c>
      <c r="S283" s="26" t="s">
        <v>451</v>
      </c>
      <c r="T283" s="20" t="s">
        <v>236</v>
      </c>
      <c r="U283" s="589"/>
    </row>
    <row r="284" spans="1:21" ht="31.5" customHeight="1" x14ac:dyDescent="0.25">
      <c r="A284" s="25">
        <v>44555</v>
      </c>
      <c r="B284" s="58">
        <v>0.91666666666666663</v>
      </c>
      <c r="C284" s="1469" t="s">
        <v>1778</v>
      </c>
      <c r="D284" s="1470"/>
      <c r="E284" s="1470"/>
      <c r="F284" s="1470"/>
      <c r="G284" s="1470"/>
      <c r="H284" s="1470"/>
      <c r="I284" s="1470"/>
      <c r="J284" s="1470"/>
      <c r="K284" s="1470"/>
      <c r="L284" s="1470"/>
      <c r="M284" s="1470"/>
      <c r="N284" s="1470"/>
      <c r="O284" s="1470"/>
      <c r="P284" s="1470"/>
      <c r="Q284" s="1470"/>
      <c r="R284" s="1471"/>
      <c r="S284" s="26" t="s">
        <v>451</v>
      </c>
      <c r="T284" s="20" t="s">
        <v>236</v>
      </c>
      <c r="U284" s="589"/>
    </row>
    <row r="285" spans="1:21" ht="31.5" customHeight="1" x14ac:dyDescent="0.25">
      <c r="A285" s="25">
        <v>44556</v>
      </c>
      <c r="B285" s="58">
        <v>0.91666666666666663</v>
      </c>
      <c r="C285" s="1469" t="s">
        <v>1778</v>
      </c>
      <c r="D285" s="1470"/>
      <c r="E285" s="1470"/>
      <c r="F285" s="1470"/>
      <c r="G285" s="1470"/>
      <c r="H285" s="1470"/>
      <c r="I285" s="1470"/>
      <c r="J285" s="1470"/>
      <c r="K285" s="1470"/>
      <c r="L285" s="1470"/>
      <c r="M285" s="1470"/>
      <c r="N285" s="1470"/>
      <c r="O285" s="1470"/>
      <c r="P285" s="1470"/>
      <c r="Q285" s="1470"/>
      <c r="R285" s="1471"/>
      <c r="S285" s="26" t="s">
        <v>451</v>
      </c>
      <c r="T285" s="20" t="s">
        <v>236</v>
      </c>
      <c r="U285" s="589"/>
    </row>
    <row r="286" spans="1:21" ht="31.5" customHeight="1" x14ac:dyDescent="0.25">
      <c r="A286" s="25">
        <v>44557</v>
      </c>
      <c r="B286" s="58">
        <v>0.85416666666666663</v>
      </c>
      <c r="C286" s="1469" t="s">
        <v>1778</v>
      </c>
      <c r="D286" s="1470"/>
      <c r="E286" s="1470"/>
      <c r="F286" s="1470"/>
      <c r="G286" s="1470"/>
      <c r="H286" s="1470"/>
      <c r="I286" s="1470"/>
      <c r="J286" s="1470"/>
      <c r="K286" s="1470"/>
      <c r="L286" s="1470"/>
      <c r="M286" s="1470"/>
      <c r="N286" s="1470"/>
      <c r="O286" s="1470"/>
      <c r="P286" s="1470"/>
      <c r="Q286" s="1470"/>
      <c r="R286" s="1471"/>
      <c r="S286" s="26" t="s">
        <v>451</v>
      </c>
      <c r="T286" s="20" t="s">
        <v>236</v>
      </c>
      <c r="U286" s="589"/>
    </row>
    <row r="287" spans="1:21" ht="31.5" customHeight="1" x14ac:dyDescent="0.25">
      <c r="A287" s="25">
        <v>44558</v>
      </c>
      <c r="B287" s="58">
        <v>0.9375</v>
      </c>
      <c r="C287" s="1469" t="s">
        <v>1778</v>
      </c>
      <c r="D287" s="1470"/>
      <c r="E287" s="1470"/>
      <c r="F287" s="1470"/>
      <c r="G287" s="1470"/>
      <c r="H287" s="1470"/>
      <c r="I287" s="1470"/>
      <c r="J287" s="1470"/>
      <c r="K287" s="1470"/>
      <c r="L287" s="1470"/>
      <c r="M287" s="1470"/>
      <c r="N287" s="1470"/>
      <c r="O287" s="1470"/>
      <c r="P287" s="1470"/>
      <c r="Q287" s="1470"/>
      <c r="R287" s="1471"/>
      <c r="S287" s="26" t="s">
        <v>451</v>
      </c>
      <c r="T287" s="20" t="s">
        <v>236</v>
      </c>
      <c r="U287" s="589"/>
    </row>
    <row r="288" spans="1:21" ht="31.5" customHeight="1" x14ac:dyDescent="0.25">
      <c r="A288" s="25">
        <v>44559</v>
      </c>
      <c r="B288" s="58">
        <v>0.97916666666666663</v>
      </c>
      <c r="C288" s="246">
        <v>51</v>
      </c>
      <c r="D288" s="60">
        <v>10.5</v>
      </c>
      <c r="E288" s="247">
        <v>16.100000000000001</v>
      </c>
      <c r="F288" s="57">
        <v>957</v>
      </c>
      <c r="G288" s="57">
        <v>2237</v>
      </c>
      <c r="H288" s="57">
        <v>102.9</v>
      </c>
      <c r="I288" s="57">
        <v>103.6</v>
      </c>
      <c r="J288" s="57" t="s">
        <v>1794</v>
      </c>
      <c r="K288" s="60">
        <v>32.28</v>
      </c>
      <c r="L288" s="60">
        <v>39</v>
      </c>
      <c r="M288" s="60">
        <v>41.7</v>
      </c>
      <c r="N288" s="57" t="s">
        <v>142</v>
      </c>
      <c r="O288" s="57" t="s">
        <v>142</v>
      </c>
      <c r="P288" s="57" t="s">
        <v>142</v>
      </c>
      <c r="Q288" s="57" t="s">
        <v>1795</v>
      </c>
      <c r="R288" s="57">
        <v>68.8</v>
      </c>
      <c r="S288" s="26" t="s">
        <v>451</v>
      </c>
      <c r="T288" s="20" t="s">
        <v>236</v>
      </c>
      <c r="U288" s="589"/>
    </row>
    <row r="289" spans="1:21" ht="31.5" customHeight="1" x14ac:dyDescent="0.25">
      <c r="A289" s="25">
        <v>44560</v>
      </c>
      <c r="B289" s="58">
        <v>0.95833333333333337</v>
      </c>
      <c r="C289" s="246">
        <v>51</v>
      </c>
      <c r="D289" s="60">
        <v>9.5</v>
      </c>
      <c r="E289" s="247">
        <v>15.3</v>
      </c>
      <c r="F289" s="57">
        <v>906</v>
      </c>
      <c r="G289" s="57">
        <v>2278</v>
      </c>
      <c r="H289" s="57">
        <v>104.2</v>
      </c>
      <c r="I289" s="57">
        <v>105.3</v>
      </c>
      <c r="J289" s="57" t="s">
        <v>1804</v>
      </c>
      <c r="K289" s="60">
        <v>32.01</v>
      </c>
      <c r="L289" s="60">
        <v>39</v>
      </c>
      <c r="M289" s="60">
        <v>39.479999999999997</v>
      </c>
      <c r="N289" s="57" t="s">
        <v>142</v>
      </c>
      <c r="O289" s="57" t="s">
        <v>142</v>
      </c>
      <c r="P289" s="57" t="s">
        <v>142</v>
      </c>
      <c r="Q289" s="57" t="s">
        <v>1805</v>
      </c>
      <c r="R289" s="57">
        <v>67.5</v>
      </c>
      <c r="S289" s="26" t="s">
        <v>451</v>
      </c>
      <c r="T289" s="20" t="s">
        <v>236</v>
      </c>
      <c r="U289" s="589"/>
    </row>
    <row r="290" spans="1:21" ht="31.5" customHeight="1" x14ac:dyDescent="0.25">
      <c r="A290" s="25">
        <v>44561</v>
      </c>
      <c r="B290" s="58">
        <v>0.85416666666666663</v>
      </c>
      <c r="C290" s="246">
        <v>51</v>
      </c>
      <c r="D290" s="60">
        <v>8.9</v>
      </c>
      <c r="E290" s="247">
        <v>15</v>
      </c>
      <c r="F290" s="57">
        <v>974</v>
      </c>
      <c r="G290" s="57">
        <v>2356</v>
      </c>
      <c r="H290" s="57">
        <v>102.5</v>
      </c>
      <c r="I290" s="57">
        <v>104</v>
      </c>
      <c r="J290" s="57" t="s">
        <v>1814</v>
      </c>
      <c r="K290" s="60">
        <v>33.46</v>
      </c>
      <c r="L290" s="60">
        <v>37</v>
      </c>
      <c r="M290" s="60">
        <v>33.6</v>
      </c>
      <c r="N290" s="57" t="s">
        <v>142</v>
      </c>
      <c r="O290" s="57" t="s">
        <v>142</v>
      </c>
      <c r="P290" s="57" t="s">
        <v>142</v>
      </c>
      <c r="Q290" s="57" t="s">
        <v>1117</v>
      </c>
      <c r="R290" s="57">
        <v>54.1</v>
      </c>
      <c r="S290" s="26" t="s">
        <v>451</v>
      </c>
      <c r="T290" s="20" t="s">
        <v>236</v>
      </c>
      <c r="U290" s="589"/>
    </row>
    <row r="291" spans="1:21" ht="31.5" customHeight="1" x14ac:dyDescent="0.25">
      <c r="A291" s="25">
        <v>44562</v>
      </c>
      <c r="B291" s="58">
        <v>0.95833333333333337</v>
      </c>
      <c r="C291" s="246">
        <v>51</v>
      </c>
      <c r="D291" s="60">
        <v>10.6</v>
      </c>
      <c r="E291" s="247">
        <v>16.100000000000001</v>
      </c>
      <c r="F291" s="57">
        <v>935</v>
      </c>
      <c r="G291" s="57">
        <v>2286</v>
      </c>
      <c r="H291" s="57">
        <v>103.8</v>
      </c>
      <c r="I291" s="57">
        <v>104.7</v>
      </c>
      <c r="J291" s="57" t="s">
        <v>1818</v>
      </c>
      <c r="K291" s="60">
        <v>31.56</v>
      </c>
      <c r="L291" s="60">
        <v>36</v>
      </c>
      <c r="M291" s="60">
        <v>40.93</v>
      </c>
      <c r="N291" s="57" t="s">
        <v>142</v>
      </c>
      <c r="O291" s="57" t="s">
        <v>142</v>
      </c>
      <c r="P291" s="57" t="s">
        <v>142</v>
      </c>
      <c r="Q291" s="57" t="s">
        <v>1759</v>
      </c>
      <c r="R291" s="57">
        <v>64.5</v>
      </c>
      <c r="S291" s="26" t="s">
        <v>451</v>
      </c>
      <c r="T291" s="20" t="s">
        <v>236</v>
      </c>
      <c r="U291" s="589"/>
    </row>
    <row r="292" spans="1:21" ht="31.5" customHeight="1" x14ac:dyDescent="0.25">
      <c r="A292" s="25">
        <v>44563</v>
      </c>
      <c r="B292" s="58" t="s">
        <v>1826</v>
      </c>
      <c r="C292" s="246">
        <v>51</v>
      </c>
      <c r="D292" s="60">
        <v>10.5</v>
      </c>
      <c r="E292" s="247" t="s">
        <v>1823</v>
      </c>
      <c r="F292" s="57">
        <v>1045</v>
      </c>
      <c r="G292" s="57">
        <v>2220</v>
      </c>
      <c r="H292" s="57">
        <v>101</v>
      </c>
      <c r="I292" s="57">
        <v>102</v>
      </c>
      <c r="J292" s="57" t="s">
        <v>1824</v>
      </c>
      <c r="K292" s="60">
        <v>30.91</v>
      </c>
      <c r="L292" s="60">
        <v>37</v>
      </c>
      <c r="M292" s="60">
        <v>37.11</v>
      </c>
      <c r="N292" s="57" t="s">
        <v>142</v>
      </c>
      <c r="O292" s="57" t="s">
        <v>142</v>
      </c>
      <c r="P292" s="57" t="s">
        <v>142</v>
      </c>
      <c r="Q292" s="57" t="s">
        <v>1825</v>
      </c>
      <c r="R292" s="57">
        <v>70</v>
      </c>
      <c r="S292" s="26" t="s">
        <v>451</v>
      </c>
      <c r="T292" s="20" t="s">
        <v>236</v>
      </c>
      <c r="U292" s="589"/>
    </row>
    <row r="293" spans="1:21" ht="31.5" customHeight="1" x14ac:dyDescent="0.25">
      <c r="A293" s="25">
        <v>44564</v>
      </c>
      <c r="B293" s="58">
        <v>0.97916666666666663</v>
      </c>
      <c r="C293" s="246">
        <v>48</v>
      </c>
      <c r="D293" s="60">
        <v>6.6</v>
      </c>
      <c r="E293" s="247">
        <v>13.8</v>
      </c>
      <c r="F293" s="57">
        <v>1092</v>
      </c>
      <c r="G293" s="57">
        <v>2112</v>
      </c>
      <c r="H293" s="57">
        <v>102.3</v>
      </c>
      <c r="I293" s="57">
        <v>104.8</v>
      </c>
      <c r="J293" s="57" t="s">
        <v>1829</v>
      </c>
      <c r="K293" s="60">
        <v>33.770000000000003</v>
      </c>
      <c r="L293" s="60">
        <v>37.5</v>
      </c>
      <c r="M293" s="60">
        <v>37.11</v>
      </c>
      <c r="N293" s="57" t="s">
        <v>142</v>
      </c>
      <c r="O293" s="57" t="s">
        <v>142</v>
      </c>
      <c r="P293" s="57" t="s">
        <v>142</v>
      </c>
      <c r="Q293" s="57" t="s">
        <v>1830</v>
      </c>
      <c r="R293" s="57">
        <v>58.9</v>
      </c>
      <c r="S293" s="26" t="s">
        <v>451</v>
      </c>
      <c r="T293" s="20" t="s">
        <v>236</v>
      </c>
      <c r="U293" s="589"/>
    </row>
    <row r="294" spans="1:21" ht="31.5" customHeight="1" x14ac:dyDescent="0.25">
      <c r="A294" s="25">
        <v>44565</v>
      </c>
      <c r="B294" s="58">
        <v>0.75</v>
      </c>
      <c r="C294" s="246">
        <v>51</v>
      </c>
      <c r="D294" s="60">
        <v>9.8000000000000007</v>
      </c>
      <c r="E294" s="247">
        <v>14.1</v>
      </c>
      <c r="F294" s="57">
        <v>1089.2</v>
      </c>
      <c r="G294" s="57">
        <v>2101</v>
      </c>
      <c r="H294" s="57">
        <v>101</v>
      </c>
      <c r="I294" s="57">
        <v>102</v>
      </c>
      <c r="J294" s="57" t="s">
        <v>1843</v>
      </c>
      <c r="K294" s="60">
        <v>33.36</v>
      </c>
      <c r="L294" s="60">
        <v>37.5</v>
      </c>
      <c r="M294" s="60">
        <v>35.1</v>
      </c>
      <c r="N294" s="57" t="s">
        <v>142</v>
      </c>
      <c r="O294" s="57" t="s">
        <v>142</v>
      </c>
      <c r="P294" s="57" t="s">
        <v>142</v>
      </c>
      <c r="Q294" s="57" t="s">
        <v>1830</v>
      </c>
      <c r="R294" s="57">
        <v>65</v>
      </c>
      <c r="S294" s="26" t="s">
        <v>451</v>
      </c>
      <c r="T294" s="20" t="s">
        <v>236</v>
      </c>
      <c r="U294" s="589"/>
    </row>
    <row r="295" spans="1:21" ht="31.5" customHeight="1" x14ac:dyDescent="0.25">
      <c r="A295" s="25">
        <v>44566</v>
      </c>
      <c r="B295" s="58">
        <v>0.75</v>
      </c>
      <c r="C295" s="246">
        <v>51</v>
      </c>
      <c r="D295" s="60">
        <v>10.1</v>
      </c>
      <c r="E295" s="247">
        <v>15.1</v>
      </c>
      <c r="F295" s="57">
        <v>1032</v>
      </c>
      <c r="G295" s="57">
        <v>2184</v>
      </c>
      <c r="H295" s="57">
        <v>101</v>
      </c>
      <c r="I295" s="57">
        <v>102</v>
      </c>
      <c r="J295" s="57" t="s">
        <v>1843</v>
      </c>
      <c r="K295" s="60">
        <v>34.76</v>
      </c>
      <c r="L295" s="60">
        <v>37.5</v>
      </c>
      <c r="M295" s="60">
        <v>35.1</v>
      </c>
      <c r="N295" s="57" t="s">
        <v>142</v>
      </c>
      <c r="O295" s="57" t="s">
        <v>142</v>
      </c>
      <c r="P295" s="57" t="s">
        <v>142</v>
      </c>
      <c r="Q295" s="57" t="s">
        <v>1845</v>
      </c>
      <c r="R295" s="57">
        <v>70</v>
      </c>
      <c r="S295" s="26" t="s">
        <v>451</v>
      </c>
      <c r="T295" s="20" t="s">
        <v>236</v>
      </c>
      <c r="U295" s="589"/>
    </row>
    <row r="296" spans="1:21" ht="31.5" customHeight="1" x14ac:dyDescent="0.25">
      <c r="A296" s="25">
        <v>44567</v>
      </c>
      <c r="B296" s="58">
        <v>0.75</v>
      </c>
      <c r="C296" s="246">
        <v>51</v>
      </c>
      <c r="D296" s="60">
        <v>9.8000000000000007</v>
      </c>
      <c r="E296" s="247">
        <v>14.8</v>
      </c>
      <c r="F296" s="57">
        <v>956</v>
      </c>
      <c r="G296" s="57">
        <v>2357</v>
      </c>
      <c r="H296" s="57">
        <v>101</v>
      </c>
      <c r="I296" s="57">
        <v>102</v>
      </c>
      <c r="J296" s="57" t="s">
        <v>1843</v>
      </c>
      <c r="K296" s="60">
        <v>31.4</v>
      </c>
      <c r="L296" s="60">
        <v>37</v>
      </c>
      <c r="M296" s="60">
        <v>35.46</v>
      </c>
      <c r="N296" s="57" t="s">
        <v>142</v>
      </c>
      <c r="O296" s="57" t="s">
        <v>142</v>
      </c>
      <c r="P296" s="57" t="s">
        <v>142</v>
      </c>
      <c r="Q296" s="57" t="s">
        <v>1845</v>
      </c>
      <c r="R296" s="57">
        <v>70</v>
      </c>
      <c r="S296" s="26" t="s">
        <v>451</v>
      </c>
      <c r="T296" s="20" t="s">
        <v>236</v>
      </c>
      <c r="U296" s="589"/>
    </row>
    <row r="297" spans="1:21" ht="31.5" customHeight="1" x14ac:dyDescent="0.25">
      <c r="A297" s="25">
        <v>44568</v>
      </c>
      <c r="B297" s="58">
        <v>0.97916666666666663</v>
      </c>
      <c r="C297" s="246">
        <v>51</v>
      </c>
      <c r="D297" s="60">
        <v>9.1999999999999993</v>
      </c>
      <c r="E297" s="247">
        <v>15.1</v>
      </c>
      <c r="F297" s="57">
        <v>1017</v>
      </c>
      <c r="G297" s="57">
        <v>2383</v>
      </c>
      <c r="H297" s="57">
        <v>102.2</v>
      </c>
      <c r="I297" s="57">
        <v>104.2</v>
      </c>
      <c r="J297" s="57" t="s">
        <v>1849</v>
      </c>
      <c r="K297" s="60">
        <v>36.32</v>
      </c>
      <c r="L297" s="60">
        <v>38</v>
      </c>
      <c r="M297" s="60">
        <v>31.22</v>
      </c>
      <c r="N297" s="57" t="s">
        <v>142</v>
      </c>
      <c r="O297" s="57" t="s">
        <v>142</v>
      </c>
      <c r="P297" s="57" t="s">
        <v>142</v>
      </c>
      <c r="Q297" s="57" t="s">
        <v>1759</v>
      </c>
      <c r="R297" s="57">
        <v>64.5</v>
      </c>
      <c r="S297" s="26" t="s">
        <v>451</v>
      </c>
      <c r="T297" s="20" t="s">
        <v>236</v>
      </c>
      <c r="U297" s="589"/>
    </row>
    <row r="298" spans="1:21" ht="94.5" customHeight="1" x14ac:dyDescent="0.25">
      <c r="A298" s="25">
        <v>44569</v>
      </c>
      <c r="B298" s="58">
        <v>0.95833333333333337</v>
      </c>
      <c r="C298" s="246">
        <v>51</v>
      </c>
      <c r="D298" s="60">
        <v>10.3</v>
      </c>
      <c r="E298" s="247">
        <v>15.9</v>
      </c>
      <c r="F298" s="57">
        <v>943</v>
      </c>
      <c r="G298" s="57">
        <v>2337</v>
      </c>
      <c r="H298" s="57">
        <v>104.1</v>
      </c>
      <c r="I298" s="57">
        <v>104.6</v>
      </c>
      <c r="J298" s="57" t="s">
        <v>1858</v>
      </c>
      <c r="K298" s="60">
        <v>35.619999999999997</v>
      </c>
      <c r="L298" s="60">
        <v>39</v>
      </c>
      <c r="M298" s="60">
        <v>38.869999999999997</v>
      </c>
      <c r="N298" s="57" t="s">
        <v>142</v>
      </c>
      <c r="O298" s="57" t="s">
        <v>142</v>
      </c>
      <c r="P298" s="57" t="s">
        <v>142</v>
      </c>
      <c r="Q298" s="57" t="s">
        <v>1859</v>
      </c>
      <c r="R298" s="57">
        <v>67.900000000000006</v>
      </c>
      <c r="S298" s="26" t="s">
        <v>451</v>
      </c>
      <c r="T298" s="20" t="s">
        <v>236</v>
      </c>
      <c r="U298" s="589" t="s">
        <v>1866</v>
      </c>
    </row>
    <row r="299" spans="1:21" ht="31.5" customHeight="1" x14ac:dyDescent="0.25">
      <c r="A299" s="25">
        <v>44570</v>
      </c>
      <c r="B299" s="58">
        <v>0.91666666666666663</v>
      </c>
      <c r="C299" s="246">
        <v>52</v>
      </c>
      <c r="D299" s="60">
        <v>11.4</v>
      </c>
      <c r="E299" s="247">
        <v>16.8</v>
      </c>
      <c r="F299" s="57">
        <v>939</v>
      </c>
      <c r="G299" s="57">
        <v>2286</v>
      </c>
      <c r="H299" s="57">
        <v>103.6</v>
      </c>
      <c r="I299" s="57">
        <v>104.7</v>
      </c>
      <c r="J299" s="57" t="s">
        <v>1867</v>
      </c>
      <c r="K299" s="60">
        <v>36.14</v>
      </c>
      <c r="L299" s="60">
        <v>40</v>
      </c>
      <c r="M299" s="60">
        <v>39.630000000000003</v>
      </c>
      <c r="N299" s="57" t="s">
        <v>142</v>
      </c>
      <c r="O299" s="57" t="s">
        <v>142</v>
      </c>
      <c r="P299" s="57" t="s">
        <v>142</v>
      </c>
      <c r="Q299" s="57" t="s">
        <v>1445</v>
      </c>
      <c r="R299" s="57">
        <v>65.3</v>
      </c>
      <c r="S299" s="26" t="s">
        <v>451</v>
      </c>
      <c r="T299" s="20" t="s">
        <v>236</v>
      </c>
      <c r="U299" s="589" t="s">
        <v>1460</v>
      </c>
    </row>
    <row r="300" spans="1:21" ht="31.5" customHeight="1" x14ac:dyDescent="0.25">
      <c r="A300" s="25">
        <v>44571</v>
      </c>
      <c r="B300" s="58">
        <v>0.91666666666666663</v>
      </c>
      <c r="C300" s="246">
        <v>52</v>
      </c>
      <c r="D300" s="60">
        <v>6.6</v>
      </c>
      <c r="E300" s="247">
        <v>13.9</v>
      </c>
      <c r="F300" s="57">
        <v>968</v>
      </c>
      <c r="G300" s="57">
        <v>2217</v>
      </c>
      <c r="H300" s="57">
        <v>103.4</v>
      </c>
      <c r="I300" s="57">
        <v>104.9</v>
      </c>
      <c r="J300" s="57" t="s">
        <v>1878</v>
      </c>
      <c r="K300" s="60">
        <v>35.880000000000003</v>
      </c>
      <c r="L300" s="60">
        <v>38</v>
      </c>
      <c r="M300" s="60">
        <v>35.43</v>
      </c>
      <c r="N300" s="57" t="s">
        <v>142</v>
      </c>
      <c r="O300" s="57" t="s">
        <v>142</v>
      </c>
      <c r="P300" s="57" t="s">
        <v>142</v>
      </c>
      <c r="Q300" s="57" t="s">
        <v>1879</v>
      </c>
      <c r="R300" s="57">
        <v>59.8</v>
      </c>
      <c r="S300" s="26" t="s">
        <v>451</v>
      </c>
      <c r="T300" s="20" t="s">
        <v>236</v>
      </c>
      <c r="U300" s="589"/>
    </row>
    <row r="301" spans="1:21" ht="31.5" customHeight="1" x14ac:dyDescent="0.25">
      <c r="A301" s="25">
        <v>44572</v>
      </c>
      <c r="B301" s="58">
        <v>0.91666666666666663</v>
      </c>
      <c r="C301" s="1469" t="s">
        <v>1889</v>
      </c>
      <c r="D301" s="1470"/>
      <c r="E301" s="1470"/>
      <c r="F301" s="1470"/>
      <c r="G301" s="1470"/>
      <c r="H301" s="1470"/>
      <c r="I301" s="1470"/>
      <c r="J301" s="1470"/>
      <c r="K301" s="1470"/>
      <c r="L301" s="1470"/>
      <c r="M301" s="1470"/>
      <c r="N301" s="1470"/>
      <c r="O301" s="1470"/>
      <c r="P301" s="1470"/>
      <c r="Q301" s="1470"/>
      <c r="R301" s="1471"/>
      <c r="S301" s="26" t="s">
        <v>451</v>
      </c>
      <c r="T301" s="20" t="s">
        <v>236</v>
      </c>
      <c r="U301" s="589"/>
    </row>
    <row r="302" spans="1:21" ht="31.5" customHeight="1" x14ac:dyDescent="0.25">
      <c r="A302" s="25">
        <v>44573</v>
      </c>
      <c r="B302" s="58">
        <v>0.97916666666666663</v>
      </c>
      <c r="C302" s="1469" t="s">
        <v>1905</v>
      </c>
      <c r="D302" s="1470"/>
      <c r="E302" s="1470"/>
      <c r="F302" s="1470"/>
      <c r="G302" s="1470"/>
      <c r="H302" s="1470"/>
      <c r="I302" s="1470"/>
      <c r="J302" s="1470"/>
      <c r="K302" s="1470"/>
      <c r="L302" s="1470"/>
      <c r="M302" s="1470"/>
      <c r="N302" s="1470"/>
      <c r="O302" s="1470"/>
      <c r="P302" s="1470"/>
      <c r="Q302" s="1470"/>
      <c r="R302" s="1471"/>
      <c r="S302" s="26" t="s">
        <v>451</v>
      </c>
      <c r="T302" s="20" t="s">
        <v>236</v>
      </c>
      <c r="U302" s="589" t="s">
        <v>415</v>
      </c>
    </row>
    <row r="303" spans="1:21" ht="72.75" customHeight="1" x14ac:dyDescent="0.25">
      <c r="A303" s="25">
        <v>44574</v>
      </c>
      <c r="B303" s="58">
        <v>0.97916666666666663</v>
      </c>
      <c r="C303" s="246">
        <v>51</v>
      </c>
      <c r="D303" s="60">
        <v>6.8</v>
      </c>
      <c r="E303" s="247">
        <v>13.9</v>
      </c>
      <c r="F303" s="57">
        <v>999</v>
      </c>
      <c r="G303" s="57">
        <v>2375</v>
      </c>
      <c r="H303" s="57">
        <v>102.9</v>
      </c>
      <c r="I303" s="57">
        <v>104.9</v>
      </c>
      <c r="J303" s="57" t="s">
        <v>1906</v>
      </c>
      <c r="K303" s="60">
        <v>37.22</v>
      </c>
      <c r="L303" s="60">
        <v>39.5</v>
      </c>
      <c r="M303" s="60">
        <v>35.04</v>
      </c>
      <c r="N303" s="57" t="s">
        <v>142</v>
      </c>
      <c r="O303" s="57" t="s">
        <v>142</v>
      </c>
      <c r="P303" s="57" t="s">
        <v>142</v>
      </c>
      <c r="Q303" s="57" t="s">
        <v>1907</v>
      </c>
      <c r="R303" s="57">
        <v>59.8</v>
      </c>
      <c r="S303" s="26" t="s">
        <v>451</v>
      </c>
      <c r="T303" s="20" t="s">
        <v>236</v>
      </c>
      <c r="U303" s="589" t="s">
        <v>1919</v>
      </c>
    </row>
    <row r="304" spans="1:21" ht="31.5" customHeight="1" x14ac:dyDescent="0.25">
      <c r="A304" s="25">
        <v>44575</v>
      </c>
      <c r="B304" s="58">
        <v>0.95833333333333337</v>
      </c>
      <c r="C304" s="246">
        <v>50</v>
      </c>
      <c r="D304" s="60">
        <v>8.1999999999999993</v>
      </c>
      <c r="E304" s="247">
        <v>14.6</v>
      </c>
      <c r="F304" s="57">
        <v>1026</v>
      </c>
      <c r="G304" s="57">
        <v>2322</v>
      </c>
      <c r="H304" s="57">
        <v>104.1</v>
      </c>
      <c r="I304" s="57">
        <v>105</v>
      </c>
      <c r="J304" s="57" t="s">
        <v>1920</v>
      </c>
      <c r="K304" s="60">
        <v>36.479999999999997</v>
      </c>
      <c r="L304" s="60">
        <v>37</v>
      </c>
      <c r="M304" s="60">
        <v>32.36</v>
      </c>
      <c r="N304" s="57" t="s">
        <v>142</v>
      </c>
      <c r="O304" s="57" t="s">
        <v>142</v>
      </c>
      <c r="P304" s="57" t="s">
        <v>142</v>
      </c>
      <c r="Q304" s="57" t="s">
        <v>1921</v>
      </c>
      <c r="R304" s="57">
        <v>62.2</v>
      </c>
      <c r="S304" s="26" t="s">
        <v>451</v>
      </c>
      <c r="T304" s="20" t="s">
        <v>236</v>
      </c>
      <c r="U304" s="589" t="s">
        <v>1924</v>
      </c>
    </row>
    <row r="305" spans="1:21" ht="31.5" customHeight="1" x14ac:dyDescent="0.25">
      <c r="A305" s="25">
        <v>44576</v>
      </c>
      <c r="B305" s="58">
        <v>0.95833333333333337</v>
      </c>
      <c r="C305" s="1466" t="s">
        <v>1936</v>
      </c>
      <c r="D305" s="1467"/>
      <c r="E305" s="1467"/>
      <c r="F305" s="1467"/>
      <c r="G305" s="1467"/>
      <c r="H305" s="1467"/>
      <c r="I305" s="1467"/>
      <c r="J305" s="1467"/>
      <c r="K305" s="1467"/>
      <c r="L305" s="1467"/>
      <c r="M305" s="1467"/>
      <c r="N305" s="1467"/>
      <c r="O305" s="1467"/>
      <c r="P305" s="1467"/>
      <c r="Q305" s="1467"/>
      <c r="R305" s="1468"/>
      <c r="S305" s="26" t="s">
        <v>451</v>
      </c>
      <c r="T305" s="20" t="s">
        <v>236</v>
      </c>
      <c r="U305" s="589"/>
    </row>
    <row r="306" spans="1:21" ht="53.25" customHeight="1" x14ac:dyDescent="0.25">
      <c r="A306" s="25">
        <v>44577</v>
      </c>
      <c r="B306" s="58">
        <v>0.95833333333333337</v>
      </c>
      <c r="C306" s="246">
        <v>52</v>
      </c>
      <c r="D306" s="60">
        <v>10</v>
      </c>
      <c r="E306" s="247">
        <v>15.6</v>
      </c>
      <c r="F306" s="57">
        <v>925.1</v>
      </c>
      <c r="G306" s="57">
        <v>2405</v>
      </c>
      <c r="H306" s="57">
        <v>104.2</v>
      </c>
      <c r="I306" s="57">
        <v>105.3</v>
      </c>
      <c r="J306" s="57" t="s">
        <v>1943</v>
      </c>
      <c r="K306" s="60">
        <v>37.78</v>
      </c>
      <c r="L306" s="60">
        <v>39.380000000000003</v>
      </c>
      <c r="M306" s="60">
        <v>37.79</v>
      </c>
      <c r="N306" s="57" t="s">
        <v>142</v>
      </c>
      <c r="O306" s="57" t="s">
        <v>142</v>
      </c>
      <c r="P306" s="57" t="s">
        <v>142</v>
      </c>
      <c r="Q306" s="57" t="s">
        <v>1393</v>
      </c>
      <c r="R306" s="57">
        <v>68.3</v>
      </c>
      <c r="S306" s="26" t="s">
        <v>451</v>
      </c>
      <c r="T306" s="20" t="s">
        <v>236</v>
      </c>
      <c r="U306" s="589" t="s">
        <v>1951</v>
      </c>
    </row>
    <row r="307" spans="1:21" ht="53.25" customHeight="1" x14ac:dyDescent="0.25">
      <c r="A307" s="25">
        <v>44578</v>
      </c>
      <c r="B307" s="58">
        <v>0.9375</v>
      </c>
      <c r="C307" s="246">
        <v>52.5</v>
      </c>
      <c r="D307" s="60">
        <v>11</v>
      </c>
      <c r="E307" s="247">
        <v>16.600000000000001</v>
      </c>
      <c r="F307" s="57">
        <v>919</v>
      </c>
      <c r="G307" s="57">
        <v>2428</v>
      </c>
      <c r="H307" s="57">
        <v>104.7</v>
      </c>
      <c r="I307" s="57">
        <v>105.7</v>
      </c>
      <c r="J307" s="57" t="s">
        <v>1960</v>
      </c>
      <c r="K307" s="60">
        <v>38.35</v>
      </c>
      <c r="L307" s="60">
        <v>40</v>
      </c>
      <c r="M307" s="60">
        <v>38.6</v>
      </c>
      <c r="N307" s="57" t="s">
        <v>142</v>
      </c>
      <c r="O307" s="57" t="s">
        <v>142</v>
      </c>
      <c r="P307" s="57" t="s">
        <v>142</v>
      </c>
      <c r="Q307" s="57" t="s">
        <v>1961</v>
      </c>
      <c r="R307" s="57">
        <v>70.900000000000006</v>
      </c>
      <c r="S307" s="26" t="s">
        <v>451</v>
      </c>
      <c r="T307" s="20" t="s">
        <v>236</v>
      </c>
      <c r="U307" s="589" t="s">
        <v>1964</v>
      </c>
    </row>
    <row r="308" spans="1:21" ht="33.75" customHeight="1" x14ac:dyDescent="0.25">
      <c r="A308" s="25">
        <v>44579</v>
      </c>
      <c r="B308" s="58">
        <v>0.95833333333333337</v>
      </c>
      <c r="C308" s="246">
        <v>52.5</v>
      </c>
      <c r="D308" s="60">
        <v>7.1</v>
      </c>
      <c r="E308" s="247">
        <v>14.1</v>
      </c>
      <c r="F308" s="57">
        <v>978</v>
      </c>
      <c r="G308" s="57">
        <v>2434</v>
      </c>
      <c r="H308" s="57">
        <v>103.8</v>
      </c>
      <c r="I308" s="57">
        <v>106</v>
      </c>
      <c r="J308" s="57" t="s">
        <v>1970</v>
      </c>
      <c r="K308" s="60">
        <v>36.85</v>
      </c>
      <c r="L308" s="60">
        <v>40</v>
      </c>
      <c r="M308" s="60">
        <v>38</v>
      </c>
      <c r="N308" s="57" t="s">
        <v>142</v>
      </c>
      <c r="O308" s="57" t="s">
        <v>142</v>
      </c>
      <c r="P308" s="57" t="s">
        <v>142</v>
      </c>
      <c r="Q308" s="57" t="s">
        <v>1971</v>
      </c>
      <c r="R308" s="57">
        <v>60.2</v>
      </c>
      <c r="S308" s="26" t="s">
        <v>451</v>
      </c>
      <c r="T308" s="20" t="s">
        <v>236</v>
      </c>
      <c r="U308" s="589" t="s">
        <v>415</v>
      </c>
    </row>
    <row r="309" spans="1:21" ht="34.5" customHeight="1" x14ac:dyDescent="0.25">
      <c r="A309" s="25">
        <v>44580</v>
      </c>
      <c r="B309" s="58">
        <v>0.9375</v>
      </c>
      <c r="C309" s="246">
        <v>50</v>
      </c>
      <c r="D309" s="60">
        <v>8.1</v>
      </c>
      <c r="E309" s="247">
        <v>14.6</v>
      </c>
      <c r="F309" s="57">
        <v>940</v>
      </c>
      <c r="G309" s="57">
        <v>2326</v>
      </c>
      <c r="H309" s="57">
        <v>104.9</v>
      </c>
      <c r="I309" s="57">
        <v>106.8</v>
      </c>
      <c r="J309" s="57" t="s">
        <v>1976</v>
      </c>
      <c r="K309" s="60">
        <v>36.51</v>
      </c>
      <c r="L309" s="60">
        <v>40</v>
      </c>
      <c r="M309" s="60">
        <v>36.04</v>
      </c>
      <c r="N309" s="57" t="s">
        <v>142</v>
      </c>
      <c r="O309" s="57" t="s">
        <v>142</v>
      </c>
      <c r="P309" s="57" t="s">
        <v>142</v>
      </c>
      <c r="Q309" s="57" t="s">
        <v>1977</v>
      </c>
      <c r="R309" s="57">
        <v>62.3</v>
      </c>
      <c r="S309" s="26" t="s">
        <v>451</v>
      </c>
      <c r="T309" s="20" t="s">
        <v>236</v>
      </c>
      <c r="U309" s="589" t="s">
        <v>415</v>
      </c>
    </row>
    <row r="310" spans="1:21" ht="34.5" customHeight="1" x14ac:dyDescent="0.25">
      <c r="A310" s="25">
        <v>44581</v>
      </c>
      <c r="B310" s="58">
        <v>0.91666666666666663</v>
      </c>
      <c r="C310" s="246">
        <v>52</v>
      </c>
      <c r="D310" s="60">
        <v>7</v>
      </c>
      <c r="E310" s="247">
        <v>14</v>
      </c>
      <c r="F310" s="57">
        <v>957</v>
      </c>
      <c r="G310" s="57">
        <v>2394</v>
      </c>
      <c r="H310" s="57">
        <v>104.7</v>
      </c>
      <c r="I310" s="57">
        <v>107</v>
      </c>
      <c r="J310" s="57" t="s">
        <v>1990</v>
      </c>
      <c r="K310" s="60">
        <v>37.01</v>
      </c>
      <c r="L310" s="60">
        <v>38</v>
      </c>
      <c r="M310" s="60">
        <v>33.630000000000003</v>
      </c>
      <c r="N310" s="57" t="s">
        <v>142</v>
      </c>
      <c r="O310" s="57" t="s">
        <v>142</v>
      </c>
      <c r="P310" s="57" t="s">
        <v>142</v>
      </c>
      <c r="Q310" s="57" t="s">
        <v>1991</v>
      </c>
      <c r="R310" s="57">
        <v>59.8</v>
      </c>
      <c r="S310" s="26" t="s">
        <v>451</v>
      </c>
      <c r="T310" s="20" t="s">
        <v>236</v>
      </c>
      <c r="U310" s="589" t="s">
        <v>415</v>
      </c>
    </row>
    <row r="311" spans="1:21" ht="34.5" customHeight="1" x14ac:dyDescent="0.25">
      <c r="A311" s="25">
        <v>44582</v>
      </c>
      <c r="B311" s="58">
        <v>0.9375</v>
      </c>
      <c r="C311" s="1466" t="s">
        <v>1999</v>
      </c>
      <c r="D311" s="1467"/>
      <c r="E311" s="1467"/>
      <c r="F311" s="1467"/>
      <c r="G311" s="1467"/>
      <c r="H311" s="1467"/>
      <c r="I311" s="1467"/>
      <c r="J311" s="1467"/>
      <c r="K311" s="1467"/>
      <c r="L311" s="1467"/>
      <c r="M311" s="1467"/>
      <c r="N311" s="1467"/>
      <c r="O311" s="1467"/>
      <c r="P311" s="1467"/>
      <c r="Q311" s="1467"/>
      <c r="R311" s="1468"/>
      <c r="S311" s="26" t="s">
        <v>451</v>
      </c>
      <c r="T311" s="20" t="s">
        <v>236</v>
      </c>
      <c r="U311" s="589" t="s">
        <v>415</v>
      </c>
    </row>
    <row r="312" spans="1:21" ht="34.5" customHeight="1" x14ac:dyDescent="0.25">
      <c r="A312" s="25">
        <v>44583</v>
      </c>
      <c r="B312" s="58">
        <v>0.9375</v>
      </c>
      <c r="C312" s="1469" t="s">
        <v>2008</v>
      </c>
      <c r="D312" s="1470"/>
      <c r="E312" s="1470"/>
      <c r="F312" s="1470"/>
      <c r="G312" s="1470"/>
      <c r="H312" s="1470"/>
      <c r="I312" s="1470"/>
      <c r="J312" s="1470"/>
      <c r="K312" s="1470"/>
      <c r="L312" s="1470"/>
      <c r="M312" s="1470"/>
      <c r="N312" s="1470"/>
      <c r="O312" s="1470"/>
      <c r="P312" s="1470"/>
      <c r="Q312" s="1470"/>
      <c r="R312" s="1471"/>
      <c r="S312" s="26" t="s">
        <v>451</v>
      </c>
      <c r="T312" s="20" t="s">
        <v>236</v>
      </c>
      <c r="U312" s="589" t="s">
        <v>415</v>
      </c>
    </row>
    <row r="313" spans="1:21" ht="34.5" customHeight="1" x14ac:dyDescent="0.25">
      <c r="A313" s="25">
        <v>44584</v>
      </c>
      <c r="B313" s="58">
        <v>0.9375</v>
      </c>
      <c r="C313" s="1469" t="s">
        <v>2015</v>
      </c>
      <c r="D313" s="1470"/>
      <c r="E313" s="1470"/>
      <c r="F313" s="1470"/>
      <c r="G313" s="1470"/>
      <c r="H313" s="1470"/>
      <c r="I313" s="1470"/>
      <c r="J313" s="1470"/>
      <c r="K313" s="1470"/>
      <c r="L313" s="1470"/>
      <c r="M313" s="1470"/>
      <c r="N313" s="1470"/>
      <c r="O313" s="1470"/>
      <c r="P313" s="1470"/>
      <c r="Q313" s="1470"/>
      <c r="R313" s="1471"/>
      <c r="S313" s="26" t="s">
        <v>451</v>
      </c>
      <c r="T313" s="20" t="s">
        <v>236</v>
      </c>
      <c r="U313" s="589" t="s">
        <v>415</v>
      </c>
    </row>
    <row r="314" spans="1:21" ht="34.5" customHeight="1" x14ac:dyDescent="0.25">
      <c r="A314" s="25">
        <v>44585</v>
      </c>
      <c r="B314" s="58">
        <v>0.91666666666666663</v>
      </c>
      <c r="C314" s="246">
        <v>46</v>
      </c>
      <c r="D314" s="60">
        <v>8.6999999999999993</v>
      </c>
      <c r="E314" s="247">
        <v>14.8</v>
      </c>
      <c r="F314" s="57">
        <v>997</v>
      </c>
      <c r="G314" s="57">
        <v>2163</v>
      </c>
      <c r="H314" s="57">
        <v>103.8</v>
      </c>
      <c r="I314" s="57">
        <v>104.6</v>
      </c>
      <c r="J314" s="57" t="s">
        <v>2016</v>
      </c>
      <c r="K314" s="60">
        <v>36.07</v>
      </c>
      <c r="L314" s="60">
        <v>45</v>
      </c>
      <c r="M314" s="60">
        <v>36.950000000000003</v>
      </c>
      <c r="N314" s="57" t="s">
        <v>142</v>
      </c>
      <c r="O314" s="57" t="s">
        <v>142</v>
      </c>
      <c r="P314" s="57" t="s">
        <v>142</v>
      </c>
      <c r="Q314" s="57" t="s">
        <v>2017</v>
      </c>
      <c r="R314" s="57">
        <v>63.2</v>
      </c>
      <c r="S314" s="26" t="s">
        <v>451</v>
      </c>
      <c r="T314" s="20" t="s">
        <v>236</v>
      </c>
      <c r="U314" s="589" t="s">
        <v>2026</v>
      </c>
    </row>
    <row r="315" spans="1:21" ht="47.25" customHeight="1" x14ac:dyDescent="0.25">
      <c r="A315" s="25">
        <v>44586</v>
      </c>
      <c r="B315" s="58">
        <v>0.95833333333333337</v>
      </c>
      <c r="C315" s="246">
        <v>50</v>
      </c>
      <c r="D315" s="60">
        <v>9.8000000000000007</v>
      </c>
      <c r="E315" s="247">
        <v>15.5</v>
      </c>
      <c r="F315" s="57">
        <v>953</v>
      </c>
      <c r="G315" s="57">
        <v>2360</v>
      </c>
      <c r="H315" s="57">
        <v>103.8</v>
      </c>
      <c r="I315" s="57">
        <v>104.9</v>
      </c>
      <c r="J315" s="57" t="s">
        <v>2027</v>
      </c>
      <c r="K315" s="60">
        <v>35.630000000000003</v>
      </c>
      <c r="L315" s="60">
        <v>39</v>
      </c>
      <c r="M315" s="60">
        <v>38.49</v>
      </c>
      <c r="N315" s="57" t="s">
        <v>142</v>
      </c>
      <c r="O315" s="57" t="s">
        <v>142</v>
      </c>
      <c r="P315" s="57" t="s">
        <v>142</v>
      </c>
      <c r="Q315" s="57" t="s">
        <v>2028</v>
      </c>
      <c r="R315" s="57">
        <v>66.2</v>
      </c>
      <c r="S315" s="26" t="s">
        <v>451</v>
      </c>
      <c r="T315" s="20" t="s">
        <v>236</v>
      </c>
      <c r="U315" s="589" t="s">
        <v>2034</v>
      </c>
    </row>
    <row r="316" spans="1:21" ht="30" customHeight="1" x14ac:dyDescent="0.25">
      <c r="A316" s="25">
        <v>44587</v>
      </c>
      <c r="B316" s="58">
        <v>0.95833333333333337</v>
      </c>
      <c r="C316" s="246">
        <v>50</v>
      </c>
      <c r="D316" s="60">
        <v>9.9</v>
      </c>
      <c r="E316" s="247">
        <v>15.7</v>
      </c>
      <c r="F316" s="57">
        <v>926</v>
      </c>
      <c r="G316" s="57">
        <v>2387</v>
      </c>
      <c r="H316" s="57">
        <v>104.7</v>
      </c>
      <c r="I316" s="57">
        <v>105.8</v>
      </c>
      <c r="J316" s="57" t="s">
        <v>2038</v>
      </c>
      <c r="K316" s="60">
        <v>37.22</v>
      </c>
      <c r="L316" s="60">
        <v>39</v>
      </c>
      <c r="M316" s="60">
        <v>36.99</v>
      </c>
      <c r="N316" s="57" t="s">
        <v>142</v>
      </c>
      <c r="O316" s="57" t="s">
        <v>142</v>
      </c>
      <c r="P316" s="57" t="s">
        <v>142</v>
      </c>
      <c r="Q316" s="57" t="s">
        <v>2039</v>
      </c>
      <c r="R316" s="57">
        <v>66.599999999999994</v>
      </c>
      <c r="S316" s="26" t="s">
        <v>451</v>
      </c>
      <c r="T316" s="20" t="s">
        <v>236</v>
      </c>
      <c r="U316" s="589"/>
    </row>
    <row r="317" spans="1:21" ht="30" customHeight="1" x14ac:dyDescent="0.25">
      <c r="A317" s="25">
        <v>44588</v>
      </c>
      <c r="B317" s="58">
        <v>0.95833333333333337</v>
      </c>
      <c r="C317" s="246">
        <v>52</v>
      </c>
      <c r="D317" s="60">
        <v>9.1</v>
      </c>
      <c r="E317" s="247">
        <v>15.1</v>
      </c>
      <c r="F317" s="57">
        <v>998</v>
      </c>
      <c r="G317" s="57">
        <v>2435</v>
      </c>
      <c r="H317" s="57">
        <v>102.5</v>
      </c>
      <c r="I317" s="57">
        <v>104.6</v>
      </c>
      <c r="J317" s="57" t="s">
        <v>2050</v>
      </c>
      <c r="K317" s="60">
        <v>35.97</v>
      </c>
      <c r="L317" s="60">
        <v>38</v>
      </c>
      <c r="M317" s="60">
        <v>34.54</v>
      </c>
      <c r="N317" s="57" t="s">
        <v>142</v>
      </c>
      <c r="O317" s="57" t="s">
        <v>142</v>
      </c>
      <c r="P317" s="57" t="s">
        <v>142</v>
      </c>
      <c r="Q317" s="57" t="s">
        <v>1759</v>
      </c>
      <c r="R317" s="57">
        <v>64.5</v>
      </c>
      <c r="S317" s="26" t="s">
        <v>451</v>
      </c>
      <c r="T317" s="20" t="s">
        <v>236</v>
      </c>
      <c r="U317" s="589" t="s">
        <v>2051</v>
      </c>
    </row>
    <row r="318" spans="1:21" ht="30" customHeight="1" x14ac:dyDescent="0.25">
      <c r="A318" s="25">
        <v>44589</v>
      </c>
      <c r="B318" s="58">
        <v>0.95833333333333337</v>
      </c>
      <c r="C318" s="246">
        <v>52</v>
      </c>
      <c r="D318" s="60">
        <v>8.5</v>
      </c>
      <c r="E318" s="247">
        <v>15.1</v>
      </c>
      <c r="F318" s="57">
        <v>951</v>
      </c>
      <c r="G318" s="57">
        <v>2293</v>
      </c>
      <c r="H318" s="57">
        <v>104.7</v>
      </c>
      <c r="I318" s="57">
        <v>106.5</v>
      </c>
      <c r="J318" s="57" t="s">
        <v>2057</v>
      </c>
      <c r="K318" s="60">
        <v>35.18</v>
      </c>
      <c r="L318" s="60">
        <v>36</v>
      </c>
      <c r="M318" s="60">
        <v>36.840000000000003</v>
      </c>
      <c r="N318" s="57" t="s">
        <v>142</v>
      </c>
      <c r="O318" s="57" t="s">
        <v>142</v>
      </c>
      <c r="P318" s="57" t="s">
        <v>142</v>
      </c>
      <c r="Q318" s="57" t="s">
        <v>2058</v>
      </c>
      <c r="R318" s="57">
        <v>61.9</v>
      </c>
      <c r="S318" s="26" t="s">
        <v>451</v>
      </c>
      <c r="T318" s="20" t="s">
        <v>236</v>
      </c>
      <c r="U318" s="589" t="s">
        <v>2051</v>
      </c>
    </row>
    <row r="319" spans="1:21" ht="32.25" customHeight="1" x14ac:dyDescent="0.25">
      <c r="A319" s="25">
        <v>44590</v>
      </c>
      <c r="B319" s="58">
        <v>0.95833333333333337</v>
      </c>
      <c r="C319" s="1466" t="s">
        <v>2069</v>
      </c>
      <c r="D319" s="1467"/>
      <c r="E319" s="1467"/>
      <c r="F319" s="1467"/>
      <c r="G319" s="1467"/>
      <c r="H319" s="1467"/>
      <c r="I319" s="1467"/>
      <c r="J319" s="1467"/>
      <c r="K319" s="1467"/>
      <c r="L319" s="1467"/>
      <c r="M319" s="1467"/>
      <c r="N319" s="1467"/>
      <c r="O319" s="1467"/>
      <c r="P319" s="1467"/>
      <c r="Q319" s="1467"/>
      <c r="R319" s="1468"/>
      <c r="S319" s="26" t="s">
        <v>451</v>
      </c>
      <c r="T319" s="20" t="s">
        <v>928</v>
      </c>
      <c r="U319" s="589"/>
    </row>
    <row r="320" spans="1:21" x14ac:dyDescent="0.25">
      <c r="A320" s="25">
        <v>44591</v>
      </c>
      <c r="B320" s="58">
        <v>0.95833333333333337</v>
      </c>
      <c r="C320" s="1466" t="s">
        <v>2071</v>
      </c>
      <c r="D320" s="1467"/>
      <c r="E320" s="1467"/>
      <c r="F320" s="1467"/>
      <c r="G320" s="1467"/>
      <c r="H320" s="1467"/>
      <c r="I320" s="1467"/>
      <c r="J320" s="1467"/>
      <c r="K320" s="1467"/>
      <c r="L320" s="1467"/>
      <c r="M320" s="1467"/>
      <c r="N320" s="1467"/>
      <c r="O320" s="1467"/>
      <c r="P320" s="1467"/>
      <c r="Q320" s="1467"/>
      <c r="R320" s="1468"/>
      <c r="S320" s="26" t="s">
        <v>451</v>
      </c>
      <c r="T320" s="20" t="s">
        <v>928</v>
      </c>
      <c r="U320" s="589"/>
    </row>
    <row r="321" spans="1:21" x14ac:dyDescent="0.25">
      <c r="A321" s="25">
        <v>44592</v>
      </c>
      <c r="B321" s="58">
        <v>0.98958333333333337</v>
      </c>
      <c r="C321" s="246">
        <v>52</v>
      </c>
      <c r="D321" s="60">
        <v>9.3000000000000007</v>
      </c>
      <c r="E321" s="247">
        <v>15.3</v>
      </c>
      <c r="F321" s="57">
        <v>975</v>
      </c>
      <c r="G321" s="57">
        <v>2376</v>
      </c>
      <c r="H321" s="57">
        <v>103.1</v>
      </c>
      <c r="I321" s="57">
        <v>105.1</v>
      </c>
      <c r="J321" s="57" t="s">
        <v>2081</v>
      </c>
      <c r="K321" s="60">
        <v>36.520000000000003</v>
      </c>
      <c r="L321" s="60">
        <v>36</v>
      </c>
      <c r="M321" s="60">
        <v>35.950000000000003</v>
      </c>
      <c r="N321" s="57" t="s">
        <v>142</v>
      </c>
      <c r="O321" s="57" t="s">
        <v>142</v>
      </c>
      <c r="P321" s="57" t="s">
        <v>142</v>
      </c>
      <c r="Q321" s="57" t="s">
        <v>1445</v>
      </c>
      <c r="R321" s="57">
        <v>65.3</v>
      </c>
      <c r="S321" s="26" t="s">
        <v>451</v>
      </c>
      <c r="T321" s="20" t="s">
        <v>928</v>
      </c>
      <c r="U321" s="589" t="s">
        <v>2082</v>
      </c>
    </row>
    <row r="322" spans="1:21" ht="35.25" customHeight="1" x14ac:dyDescent="0.25">
      <c r="A322" s="25">
        <v>44593</v>
      </c>
      <c r="B322" s="58">
        <v>0.98958333333333337</v>
      </c>
      <c r="C322" s="1466" t="s">
        <v>2104</v>
      </c>
      <c r="D322" s="1467"/>
      <c r="E322" s="1467"/>
      <c r="F322" s="1467"/>
      <c r="G322" s="1467"/>
      <c r="H322" s="1467"/>
      <c r="I322" s="1467"/>
      <c r="J322" s="1467"/>
      <c r="K322" s="1467"/>
      <c r="L322" s="1467"/>
      <c r="M322" s="1467"/>
      <c r="N322" s="1467"/>
      <c r="O322" s="1467"/>
      <c r="P322" s="1467"/>
      <c r="Q322" s="1467"/>
      <c r="R322" s="1468"/>
      <c r="S322" s="26" t="s">
        <v>451</v>
      </c>
      <c r="T322" s="20" t="s">
        <v>928</v>
      </c>
      <c r="U322" s="341"/>
    </row>
    <row r="323" spans="1:21" ht="47.25" customHeight="1" x14ac:dyDescent="0.25">
      <c r="A323" s="25">
        <v>44594</v>
      </c>
      <c r="B323" s="58">
        <v>0.9375</v>
      </c>
      <c r="C323" s="1466" t="s">
        <v>2105</v>
      </c>
      <c r="D323" s="1467"/>
      <c r="E323" s="1467"/>
      <c r="F323" s="1467"/>
      <c r="G323" s="1467"/>
      <c r="H323" s="1467"/>
      <c r="I323" s="1467"/>
      <c r="J323" s="1467"/>
      <c r="K323" s="1467"/>
      <c r="L323" s="1467"/>
      <c r="M323" s="1467"/>
      <c r="N323" s="1467"/>
      <c r="O323" s="1467"/>
      <c r="P323" s="1467"/>
      <c r="Q323" s="1467"/>
      <c r="R323" s="1468"/>
      <c r="S323" s="26" t="s">
        <v>451</v>
      </c>
      <c r="T323" s="20" t="s">
        <v>928</v>
      </c>
      <c r="U323" s="702"/>
    </row>
    <row r="324" spans="1:21" ht="15.75" x14ac:dyDescent="0.25">
      <c r="A324" s="25">
        <v>44595</v>
      </c>
      <c r="B324" s="58">
        <v>0.91666666666666663</v>
      </c>
      <c r="C324" s="1466" t="s">
        <v>2112</v>
      </c>
      <c r="D324" s="1467"/>
      <c r="E324" s="1467"/>
      <c r="F324" s="1467"/>
      <c r="G324" s="1467"/>
      <c r="H324" s="1467"/>
      <c r="I324" s="1467"/>
      <c r="J324" s="1467"/>
      <c r="K324" s="1467"/>
      <c r="L324" s="1467"/>
      <c r="M324" s="1467"/>
      <c r="N324" s="1467"/>
      <c r="O324" s="1467"/>
      <c r="P324" s="1467"/>
      <c r="Q324" s="1467"/>
      <c r="R324" s="1468"/>
      <c r="S324" s="26" t="s">
        <v>451</v>
      </c>
      <c r="T324" s="20" t="s">
        <v>928</v>
      </c>
      <c r="U324" s="702"/>
    </row>
    <row r="325" spans="1:21" ht="15.75" x14ac:dyDescent="0.25">
      <c r="A325" s="25">
        <v>44596</v>
      </c>
      <c r="B325" s="58">
        <v>0.9375</v>
      </c>
      <c r="C325" s="1466" t="s">
        <v>2118</v>
      </c>
      <c r="D325" s="1467"/>
      <c r="E325" s="1467"/>
      <c r="F325" s="1467"/>
      <c r="G325" s="1467"/>
      <c r="H325" s="1467"/>
      <c r="I325" s="1467"/>
      <c r="J325" s="1467"/>
      <c r="K325" s="1467"/>
      <c r="L325" s="1467"/>
      <c r="M325" s="1467"/>
      <c r="N325" s="1467"/>
      <c r="O325" s="1467"/>
      <c r="P325" s="1467"/>
      <c r="Q325" s="1467"/>
      <c r="R325" s="1468"/>
      <c r="S325" s="26" t="s">
        <v>451</v>
      </c>
      <c r="T325" s="20" t="s">
        <v>928</v>
      </c>
      <c r="U325" s="702"/>
    </row>
    <row r="326" spans="1:21" ht="15.75" x14ac:dyDescent="0.25">
      <c r="A326" s="25">
        <v>44597</v>
      </c>
      <c r="B326" s="58">
        <v>0.98958333333333337</v>
      </c>
      <c r="C326" s="1466" t="s">
        <v>2126</v>
      </c>
      <c r="D326" s="1467"/>
      <c r="E326" s="1467"/>
      <c r="F326" s="1467"/>
      <c r="G326" s="1467"/>
      <c r="H326" s="1467"/>
      <c r="I326" s="1467"/>
      <c r="J326" s="1467"/>
      <c r="K326" s="1467"/>
      <c r="L326" s="1467"/>
      <c r="M326" s="1467"/>
      <c r="N326" s="1467"/>
      <c r="O326" s="1467"/>
      <c r="P326" s="1467"/>
      <c r="Q326" s="1467"/>
      <c r="R326" s="1468"/>
      <c r="S326" s="26" t="s">
        <v>451</v>
      </c>
      <c r="T326" s="20" t="s">
        <v>928</v>
      </c>
      <c r="U326" s="702"/>
    </row>
    <row r="327" spans="1:21" ht="15.75" customHeight="1" x14ac:dyDescent="0.25">
      <c r="A327" s="25">
        <v>44598</v>
      </c>
      <c r="B327" s="58">
        <v>0.98958333333333337</v>
      </c>
      <c r="C327" s="246">
        <v>52</v>
      </c>
      <c r="D327" s="60">
        <v>10.8</v>
      </c>
      <c r="E327" s="247">
        <v>16.3</v>
      </c>
      <c r="F327" s="57">
        <v>892</v>
      </c>
      <c r="G327" s="57">
        <v>2355</v>
      </c>
      <c r="H327" s="57">
        <v>103.3</v>
      </c>
      <c r="I327" s="57">
        <v>104.2</v>
      </c>
      <c r="J327" s="57" t="s">
        <v>2130</v>
      </c>
      <c r="K327" s="60">
        <v>36.479999999999997</v>
      </c>
      <c r="L327" s="60">
        <v>36</v>
      </c>
      <c r="M327" s="60">
        <v>41.59</v>
      </c>
      <c r="N327" s="57" t="s">
        <v>142</v>
      </c>
      <c r="O327" s="57" t="s">
        <v>142</v>
      </c>
      <c r="P327" s="57" t="s">
        <v>142</v>
      </c>
      <c r="Q327" s="57" t="s">
        <v>1304</v>
      </c>
      <c r="R327" s="57">
        <v>69.599999999999994</v>
      </c>
      <c r="S327" s="26" t="s">
        <v>451</v>
      </c>
      <c r="T327" s="20" t="s">
        <v>928</v>
      </c>
      <c r="U327" s="702" t="s">
        <v>2133</v>
      </c>
    </row>
    <row r="328" spans="1:21" ht="47.25" x14ac:dyDescent="0.25">
      <c r="A328" s="25">
        <v>44599</v>
      </c>
      <c r="B328" s="58">
        <v>0.98958333333333337</v>
      </c>
      <c r="C328" s="1466" t="s">
        <v>2136</v>
      </c>
      <c r="D328" s="1467"/>
      <c r="E328" s="1467"/>
      <c r="F328" s="1467"/>
      <c r="G328" s="1467"/>
      <c r="H328" s="1467"/>
      <c r="I328" s="1467"/>
      <c r="J328" s="1467"/>
      <c r="K328" s="1467"/>
      <c r="L328" s="1467"/>
      <c r="M328" s="1467"/>
      <c r="N328" s="1467"/>
      <c r="O328" s="1467"/>
      <c r="P328" s="1467"/>
      <c r="Q328" s="1467"/>
      <c r="R328" s="1468"/>
      <c r="S328" s="26" t="s">
        <v>451</v>
      </c>
      <c r="T328" s="20" t="s">
        <v>928</v>
      </c>
      <c r="U328" s="702" t="s">
        <v>2146</v>
      </c>
    </row>
    <row r="329" spans="1:21" ht="15.75" x14ac:dyDescent="0.25">
      <c r="A329" s="25">
        <v>44600</v>
      </c>
      <c r="B329" s="58">
        <v>0.91666666666666663</v>
      </c>
      <c r="C329" s="1466" t="s">
        <v>2139</v>
      </c>
      <c r="D329" s="1467"/>
      <c r="E329" s="1467"/>
      <c r="F329" s="1467"/>
      <c r="G329" s="1467"/>
      <c r="H329" s="1467"/>
      <c r="I329" s="1467"/>
      <c r="J329" s="1467"/>
      <c r="K329" s="1467"/>
      <c r="L329" s="1467"/>
      <c r="M329" s="1467"/>
      <c r="N329" s="1467"/>
      <c r="O329" s="1467"/>
      <c r="P329" s="1467"/>
      <c r="Q329" s="1467"/>
      <c r="R329" s="1468"/>
      <c r="S329" s="26" t="s">
        <v>451</v>
      </c>
      <c r="T329" s="20" t="s">
        <v>928</v>
      </c>
      <c r="U329" s="702"/>
    </row>
    <row r="330" spans="1:21" ht="15.75" x14ac:dyDescent="0.25">
      <c r="A330" s="25">
        <v>44601</v>
      </c>
      <c r="B330" s="58">
        <v>0.91666666666666663</v>
      </c>
      <c r="C330" s="1466" t="s">
        <v>2148</v>
      </c>
      <c r="D330" s="1467"/>
      <c r="E330" s="1467"/>
      <c r="F330" s="1467"/>
      <c r="G330" s="1467"/>
      <c r="H330" s="1467"/>
      <c r="I330" s="1467"/>
      <c r="J330" s="1467"/>
      <c r="K330" s="1467"/>
      <c r="L330" s="1467"/>
      <c r="M330" s="1467"/>
      <c r="N330" s="1467"/>
      <c r="O330" s="1467"/>
      <c r="P330" s="1467"/>
      <c r="Q330" s="1467"/>
      <c r="R330" s="1468"/>
      <c r="S330" s="26" t="s">
        <v>451</v>
      </c>
      <c r="T330" s="20" t="s">
        <v>928</v>
      </c>
      <c r="U330" s="702"/>
    </row>
    <row r="331" spans="1:21" ht="15.75" x14ac:dyDescent="0.25">
      <c r="A331" s="25">
        <v>44602</v>
      </c>
      <c r="B331" s="58">
        <v>0.91666666666666663</v>
      </c>
      <c r="C331" s="1466" t="s">
        <v>2154</v>
      </c>
      <c r="D331" s="1467"/>
      <c r="E331" s="1467"/>
      <c r="F331" s="1467"/>
      <c r="G331" s="1467"/>
      <c r="H331" s="1467"/>
      <c r="I331" s="1467"/>
      <c r="J331" s="1467"/>
      <c r="K331" s="1467"/>
      <c r="L331" s="1467"/>
      <c r="M331" s="1467"/>
      <c r="N331" s="1467"/>
      <c r="O331" s="1467"/>
      <c r="P331" s="1467"/>
      <c r="Q331" s="1467"/>
      <c r="R331" s="1468"/>
      <c r="S331" s="26" t="s">
        <v>451</v>
      </c>
      <c r="T331" s="20" t="s">
        <v>928</v>
      </c>
      <c r="U331" s="702"/>
    </row>
    <row r="332" spans="1:21" ht="15.75" customHeight="1" x14ac:dyDescent="0.25">
      <c r="A332" s="25">
        <v>44602</v>
      </c>
      <c r="B332" s="58">
        <v>0.9375</v>
      </c>
      <c r="C332" s="246">
        <v>52</v>
      </c>
      <c r="D332" s="60">
        <v>11</v>
      </c>
      <c r="E332" s="247">
        <v>16.5</v>
      </c>
      <c r="F332" s="57">
        <v>899</v>
      </c>
      <c r="G332" s="57">
        <v>2375</v>
      </c>
      <c r="H332" s="57">
        <v>103.1</v>
      </c>
      <c r="I332" s="57">
        <v>104</v>
      </c>
      <c r="J332" s="57" t="s">
        <v>2163</v>
      </c>
      <c r="K332" s="60">
        <v>36.479999999999997</v>
      </c>
      <c r="L332" s="60">
        <v>36</v>
      </c>
      <c r="M332" s="60">
        <v>41.59</v>
      </c>
      <c r="N332" s="57" t="s">
        <v>142</v>
      </c>
      <c r="O332" s="57" t="s">
        <v>142</v>
      </c>
      <c r="P332" s="57" t="s">
        <v>142</v>
      </c>
      <c r="Q332" s="57" t="s">
        <v>2164</v>
      </c>
      <c r="R332" s="57">
        <v>70.5</v>
      </c>
      <c r="S332" s="26" t="s">
        <v>451</v>
      </c>
      <c r="T332" s="20" t="s">
        <v>928</v>
      </c>
      <c r="U332" s="702" t="s">
        <v>2169</v>
      </c>
    </row>
    <row r="333" spans="1:21" ht="31.5" x14ac:dyDescent="0.25">
      <c r="A333" s="25">
        <v>44604</v>
      </c>
      <c r="B333" s="58">
        <v>0.9375</v>
      </c>
      <c r="C333" s="1466" t="s">
        <v>2170</v>
      </c>
      <c r="D333" s="1467"/>
      <c r="E333" s="1467"/>
      <c r="F333" s="1467"/>
      <c r="G333" s="1467"/>
      <c r="H333" s="1467"/>
      <c r="I333" s="1467"/>
      <c r="J333" s="1467"/>
      <c r="K333" s="1467"/>
      <c r="L333" s="1467"/>
      <c r="M333" s="1467"/>
      <c r="N333" s="1467"/>
      <c r="O333" s="1467"/>
      <c r="P333" s="1467"/>
      <c r="Q333" s="1467"/>
      <c r="R333" s="1468"/>
      <c r="S333" s="26" t="s">
        <v>451</v>
      </c>
      <c r="T333" s="20" t="s">
        <v>928</v>
      </c>
      <c r="U333" s="702" t="s">
        <v>2176</v>
      </c>
    </row>
    <row r="334" spans="1:21" ht="15.75" x14ac:dyDescent="0.25">
      <c r="A334" s="25">
        <v>44605</v>
      </c>
      <c r="B334" s="58">
        <v>0.9375</v>
      </c>
      <c r="C334" s="1466" t="s">
        <v>2177</v>
      </c>
      <c r="D334" s="1467"/>
      <c r="E334" s="1467"/>
      <c r="F334" s="1467"/>
      <c r="G334" s="1467"/>
      <c r="H334" s="1467"/>
      <c r="I334" s="1467"/>
      <c r="J334" s="1467"/>
      <c r="K334" s="1467"/>
      <c r="L334" s="1467"/>
      <c r="M334" s="1467"/>
      <c r="N334" s="1467"/>
      <c r="O334" s="1467"/>
      <c r="P334" s="1467"/>
      <c r="Q334" s="1467"/>
      <c r="R334" s="1468"/>
      <c r="S334" s="26" t="s">
        <v>451</v>
      </c>
      <c r="T334" s="20" t="s">
        <v>928</v>
      </c>
      <c r="U334" s="702"/>
    </row>
    <row r="335" spans="1:21" ht="15.75" x14ac:dyDescent="0.25">
      <c r="A335" s="25">
        <v>44606</v>
      </c>
      <c r="B335" s="58">
        <v>0.95833333333333337</v>
      </c>
      <c r="C335" s="1466" t="s">
        <v>2185</v>
      </c>
      <c r="D335" s="1467"/>
      <c r="E335" s="1467"/>
      <c r="F335" s="1467"/>
      <c r="G335" s="1467"/>
      <c r="H335" s="1467"/>
      <c r="I335" s="1467"/>
      <c r="J335" s="1467"/>
      <c r="K335" s="1467"/>
      <c r="L335" s="1467"/>
      <c r="M335" s="1467"/>
      <c r="N335" s="1467"/>
      <c r="O335" s="1467"/>
      <c r="P335" s="1467"/>
      <c r="Q335" s="1467"/>
      <c r="R335" s="1468"/>
      <c r="S335" s="26" t="s">
        <v>451</v>
      </c>
      <c r="T335" s="20" t="s">
        <v>928</v>
      </c>
      <c r="U335" s="702"/>
    </row>
    <row r="336" spans="1:21" ht="15.75" x14ac:dyDescent="0.25">
      <c r="A336" s="25">
        <v>44607</v>
      </c>
      <c r="B336" s="58">
        <v>0.95833333333333337</v>
      </c>
      <c r="C336" s="1466" t="s">
        <v>2195</v>
      </c>
      <c r="D336" s="1467"/>
      <c r="E336" s="1467"/>
      <c r="F336" s="1467"/>
      <c r="G336" s="1467"/>
      <c r="H336" s="1467"/>
      <c r="I336" s="1467"/>
      <c r="J336" s="1467"/>
      <c r="K336" s="1467"/>
      <c r="L336" s="1467"/>
      <c r="M336" s="1467"/>
      <c r="N336" s="1467"/>
      <c r="O336" s="1467"/>
      <c r="P336" s="1467"/>
      <c r="Q336" s="1467"/>
      <c r="R336" s="1468"/>
      <c r="S336" s="26" t="s">
        <v>451</v>
      </c>
      <c r="T336" s="20" t="s">
        <v>928</v>
      </c>
      <c r="U336" s="702"/>
    </row>
    <row r="337" spans="1:21" ht="15.75" customHeight="1" x14ac:dyDescent="0.25">
      <c r="A337" s="25">
        <v>44608</v>
      </c>
      <c r="B337" s="58">
        <v>0.95833333333333337</v>
      </c>
      <c r="C337" s="246">
        <v>52</v>
      </c>
      <c r="D337" s="60">
        <v>11.8</v>
      </c>
      <c r="E337" s="247">
        <v>17.100000000000001</v>
      </c>
      <c r="F337" s="57">
        <v>1016</v>
      </c>
      <c r="G337" s="57">
        <v>2293</v>
      </c>
      <c r="H337" s="57">
        <v>102.7</v>
      </c>
      <c r="I337" s="57">
        <v>103.1</v>
      </c>
      <c r="J337" s="57" t="s">
        <v>2199</v>
      </c>
      <c r="K337" s="60">
        <v>36.479999999999997</v>
      </c>
      <c r="L337" s="60">
        <v>36</v>
      </c>
      <c r="M337" s="60">
        <v>41.59</v>
      </c>
      <c r="N337" s="57" t="s">
        <v>142</v>
      </c>
      <c r="O337" s="57" t="s">
        <v>142</v>
      </c>
      <c r="P337" s="57" t="s">
        <v>142</v>
      </c>
      <c r="Q337" s="57" t="s">
        <v>2200</v>
      </c>
      <c r="R337" s="57">
        <v>73</v>
      </c>
      <c r="S337" s="26" t="s">
        <v>451</v>
      </c>
      <c r="T337" s="20" t="s">
        <v>928</v>
      </c>
      <c r="U337" s="702"/>
    </row>
    <row r="338" spans="1:21" ht="15.75" x14ac:dyDescent="0.25">
      <c r="A338" s="25">
        <v>44609</v>
      </c>
      <c r="B338" s="58">
        <v>0.9375</v>
      </c>
      <c r="C338" s="246">
        <v>52</v>
      </c>
      <c r="D338" s="60">
        <v>8.1999999999999993</v>
      </c>
      <c r="E338" s="247">
        <v>14.6</v>
      </c>
      <c r="F338" s="57">
        <v>974</v>
      </c>
      <c r="G338" s="57">
        <v>2408</v>
      </c>
      <c r="H338" s="57">
        <v>103</v>
      </c>
      <c r="I338" s="57">
        <v>105.1</v>
      </c>
      <c r="J338" s="57" t="s">
        <v>2208</v>
      </c>
      <c r="K338" s="60">
        <v>37.46</v>
      </c>
      <c r="L338" s="60">
        <v>36</v>
      </c>
      <c r="M338" s="60">
        <v>36.35</v>
      </c>
      <c r="N338" s="57" t="s">
        <v>142</v>
      </c>
      <c r="O338" s="57" t="s">
        <v>142</v>
      </c>
      <c r="P338" s="57" t="s">
        <v>142</v>
      </c>
      <c r="Q338" s="57" t="s">
        <v>2209</v>
      </c>
      <c r="R338" s="57">
        <v>61.9</v>
      </c>
      <c r="S338" s="26" t="s">
        <v>451</v>
      </c>
      <c r="T338" s="20" t="s">
        <v>928</v>
      </c>
      <c r="U338" s="702"/>
    </row>
    <row r="339" spans="1:21" ht="15.75" x14ac:dyDescent="0.25">
      <c r="A339" s="25">
        <v>44610</v>
      </c>
      <c r="B339" s="58">
        <v>0.9375</v>
      </c>
      <c r="C339" s="246">
        <v>52</v>
      </c>
      <c r="D339" s="60">
        <v>9.1</v>
      </c>
      <c r="E339" s="247">
        <v>15.1</v>
      </c>
      <c r="F339" s="57">
        <v>962</v>
      </c>
      <c r="G339" s="57">
        <v>2402</v>
      </c>
      <c r="H339" s="57">
        <v>107</v>
      </c>
      <c r="I339" s="57">
        <v>108</v>
      </c>
      <c r="J339" s="57" t="s">
        <v>2219</v>
      </c>
      <c r="K339" s="60">
        <v>37.46</v>
      </c>
      <c r="L339" s="60">
        <v>36</v>
      </c>
      <c r="M339" s="60">
        <v>36.35</v>
      </c>
      <c r="N339" s="57" t="s">
        <v>142</v>
      </c>
      <c r="O339" s="57" t="s">
        <v>142</v>
      </c>
      <c r="P339" s="57" t="s">
        <v>142</v>
      </c>
      <c r="Q339" s="57" t="s">
        <v>2220</v>
      </c>
      <c r="R339" s="57">
        <v>64.5</v>
      </c>
      <c r="S339" s="26" t="s">
        <v>451</v>
      </c>
      <c r="T339" s="20" t="s">
        <v>928</v>
      </c>
      <c r="U339" s="702"/>
    </row>
    <row r="340" spans="1:21" ht="15.75" x14ac:dyDescent="0.25">
      <c r="A340" s="25">
        <v>44611</v>
      </c>
      <c r="B340" s="58">
        <v>0.9375</v>
      </c>
      <c r="C340" s="246">
        <v>53</v>
      </c>
      <c r="D340" s="60">
        <v>9.8000000000000007</v>
      </c>
      <c r="E340" s="247">
        <v>15.6</v>
      </c>
      <c r="F340" s="57">
        <v>894</v>
      </c>
      <c r="G340" s="57">
        <v>2424</v>
      </c>
      <c r="H340" s="57">
        <v>104.2</v>
      </c>
      <c r="I340" s="57">
        <v>105.3</v>
      </c>
      <c r="J340" s="57" t="s">
        <v>2221</v>
      </c>
      <c r="K340" s="60">
        <v>37.6</v>
      </c>
      <c r="L340" s="60">
        <v>36</v>
      </c>
      <c r="M340" s="60">
        <v>38.1</v>
      </c>
      <c r="N340" s="57" t="s">
        <v>142</v>
      </c>
      <c r="O340" s="57" t="s">
        <v>142</v>
      </c>
      <c r="P340" s="57" t="s">
        <v>142</v>
      </c>
      <c r="Q340" s="57" t="s">
        <v>2222</v>
      </c>
      <c r="R340" s="57">
        <v>66.599999999999994</v>
      </c>
      <c r="S340" s="26" t="s">
        <v>451</v>
      </c>
      <c r="T340" s="20" t="s">
        <v>928</v>
      </c>
      <c r="U340" s="702"/>
    </row>
    <row r="341" spans="1:21" ht="15.75" x14ac:dyDescent="0.25">
      <c r="A341" s="25">
        <v>44612</v>
      </c>
      <c r="B341" s="58">
        <v>0.9375</v>
      </c>
      <c r="C341" s="246">
        <v>52.5</v>
      </c>
      <c r="D341" s="60">
        <v>10.199999999999999</v>
      </c>
      <c r="E341" s="247">
        <v>15.9</v>
      </c>
      <c r="F341" s="57">
        <v>896</v>
      </c>
      <c r="G341" s="57">
        <v>2423</v>
      </c>
      <c r="H341" s="57">
        <v>104.8</v>
      </c>
      <c r="I341" s="57">
        <v>106</v>
      </c>
      <c r="J341" s="57" t="s">
        <v>2228</v>
      </c>
      <c r="K341" s="60">
        <v>37.6</v>
      </c>
      <c r="L341" s="60">
        <v>36</v>
      </c>
      <c r="M341" s="60">
        <v>38.1</v>
      </c>
      <c r="N341" s="57" t="s">
        <v>142</v>
      </c>
      <c r="O341" s="57" t="s">
        <v>142</v>
      </c>
      <c r="P341" s="57" t="s">
        <v>142</v>
      </c>
      <c r="Q341" s="57" t="s">
        <v>1158</v>
      </c>
      <c r="R341" s="57">
        <v>67.900000000000006</v>
      </c>
      <c r="S341" s="26" t="s">
        <v>451</v>
      </c>
      <c r="T341" s="20" t="s">
        <v>928</v>
      </c>
      <c r="U341" s="702"/>
    </row>
    <row r="342" spans="1:21" ht="47.25" x14ac:dyDescent="0.25">
      <c r="A342" s="25">
        <v>44613</v>
      </c>
      <c r="B342" s="58">
        <v>0.95833333333333337</v>
      </c>
      <c r="C342" s="1466" t="s">
        <v>2234</v>
      </c>
      <c r="D342" s="1467"/>
      <c r="E342" s="1467"/>
      <c r="F342" s="1467"/>
      <c r="G342" s="1467"/>
      <c r="H342" s="1467"/>
      <c r="I342" s="1467"/>
      <c r="J342" s="1467"/>
      <c r="K342" s="1467"/>
      <c r="L342" s="1467"/>
      <c r="M342" s="1467"/>
      <c r="N342" s="1467"/>
      <c r="O342" s="1467"/>
      <c r="P342" s="1467"/>
      <c r="Q342" s="1467"/>
      <c r="R342" s="1468"/>
      <c r="S342" s="26" t="s">
        <v>451</v>
      </c>
      <c r="T342" s="20" t="s">
        <v>928</v>
      </c>
      <c r="U342" s="702" t="s">
        <v>2233</v>
      </c>
    </row>
    <row r="343" spans="1:21" ht="15.75" x14ac:dyDescent="0.25">
      <c r="A343" s="25">
        <v>44614</v>
      </c>
      <c r="B343" s="58">
        <v>0.9375</v>
      </c>
      <c r="C343" s="1466" t="s">
        <v>2235</v>
      </c>
      <c r="D343" s="1467"/>
      <c r="E343" s="1467"/>
      <c r="F343" s="1467"/>
      <c r="G343" s="1467"/>
      <c r="H343" s="1467"/>
      <c r="I343" s="1467"/>
      <c r="J343" s="1467"/>
      <c r="K343" s="1467"/>
      <c r="L343" s="1467"/>
      <c r="M343" s="1467"/>
      <c r="N343" s="1467"/>
      <c r="O343" s="1467"/>
      <c r="P343" s="1467"/>
      <c r="Q343" s="1467"/>
      <c r="R343" s="1468"/>
      <c r="S343" s="26" t="s">
        <v>451</v>
      </c>
      <c r="T343" s="20" t="s">
        <v>928</v>
      </c>
      <c r="U343" s="702"/>
    </row>
    <row r="344" spans="1:21" ht="15.75" x14ac:dyDescent="0.25">
      <c r="A344" s="25">
        <v>44615</v>
      </c>
      <c r="B344" s="58">
        <v>0.95833333333333337</v>
      </c>
      <c r="C344" s="1466" t="s">
        <v>2240</v>
      </c>
      <c r="D344" s="1467"/>
      <c r="E344" s="1467"/>
      <c r="F344" s="1467"/>
      <c r="G344" s="1467"/>
      <c r="H344" s="1467"/>
      <c r="I344" s="1467"/>
      <c r="J344" s="1467"/>
      <c r="K344" s="1467"/>
      <c r="L344" s="1467"/>
      <c r="M344" s="1467"/>
      <c r="N344" s="1467"/>
      <c r="O344" s="1467"/>
      <c r="P344" s="1467"/>
      <c r="Q344" s="1467"/>
      <c r="R344" s="1468"/>
      <c r="S344" s="26" t="s">
        <v>451</v>
      </c>
      <c r="T344" s="20" t="s">
        <v>928</v>
      </c>
      <c r="U344" s="702"/>
    </row>
    <row r="345" spans="1:21" ht="15.75" x14ac:dyDescent="0.25">
      <c r="A345" s="25">
        <v>44616</v>
      </c>
      <c r="B345" s="58">
        <v>0.95833333333333337</v>
      </c>
      <c r="C345" s="1466" t="s">
        <v>2246</v>
      </c>
      <c r="D345" s="1467"/>
      <c r="E345" s="1467"/>
      <c r="F345" s="1467"/>
      <c r="G345" s="1467"/>
      <c r="H345" s="1467"/>
      <c r="I345" s="1467"/>
      <c r="J345" s="1467"/>
      <c r="K345" s="1467"/>
      <c r="L345" s="1467"/>
      <c r="M345" s="1467"/>
      <c r="N345" s="1467"/>
      <c r="O345" s="1467"/>
      <c r="P345" s="1467"/>
      <c r="Q345" s="1467"/>
      <c r="R345" s="1468"/>
      <c r="S345" s="26" t="s">
        <v>451</v>
      </c>
      <c r="T345" s="20" t="s">
        <v>928</v>
      </c>
      <c r="U345" s="702"/>
    </row>
    <row r="346" spans="1:21" ht="15.75" x14ac:dyDescent="0.25">
      <c r="A346" s="25">
        <v>44617</v>
      </c>
      <c r="B346" s="58">
        <v>0.95833333333333337</v>
      </c>
      <c r="C346" s="1466" t="s">
        <v>2253</v>
      </c>
      <c r="D346" s="1467"/>
      <c r="E346" s="1467"/>
      <c r="F346" s="1467"/>
      <c r="G346" s="1467"/>
      <c r="H346" s="1467"/>
      <c r="I346" s="1467"/>
      <c r="J346" s="1467"/>
      <c r="K346" s="1467"/>
      <c r="L346" s="1467"/>
      <c r="M346" s="1467"/>
      <c r="N346" s="1467"/>
      <c r="O346" s="1467"/>
      <c r="P346" s="1467"/>
      <c r="Q346" s="1467"/>
      <c r="R346" s="1468"/>
      <c r="S346" s="26" t="s">
        <v>451</v>
      </c>
      <c r="T346" s="20" t="s">
        <v>928</v>
      </c>
      <c r="U346" s="702"/>
    </row>
    <row r="347" spans="1:21" ht="15.75" x14ac:dyDescent="0.25">
      <c r="A347" s="25">
        <v>44618</v>
      </c>
      <c r="B347" s="58">
        <v>0.9375</v>
      </c>
      <c r="C347" s="1466" t="s">
        <v>2261</v>
      </c>
      <c r="D347" s="1467"/>
      <c r="E347" s="1467"/>
      <c r="F347" s="1467"/>
      <c r="G347" s="1467"/>
      <c r="H347" s="1467"/>
      <c r="I347" s="1467"/>
      <c r="J347" s="1467"/>
      <c r="K347" s="1467"/>
      <c r="L347" s="1467"/>
      <c r="M347" s="1467"/>
      <c r="N347" s="1467"/>
      <c r="O347" s="1467"/>
      <c r="P347" s="1467"/>
      <c r="Q347" s="1467"/>
      <c r="R347" s="1468"/>
      <c r="S347" s="26" t="s">
        <v>451</v>
      </c>
      <c r="T347" s="20" t="s">
        <v>928</v>
      </c>
      <c r="U347" s="702"/>
    </row>
    <row r="348" spans="1:21" ht="15.75" customHeight="1" x14ac:dyDescent="0.25">
      <c r="A348" s="25">
        <v>44619</v>
      </c>
      <c r="B348" s="58">
        <v>0.95833333333333337</v>
      </c>
      <c r="C348" s="246">
        <v>52</v>
      </c>
      <c r="D348" s="60">
        <v>11.2</v>
      </c>
      <c r="E348" s="247">
        <v>16.600000000000001</v>
      </c>
      <c r="F348" s="57">
        <v>918</v>
      </c>
      <c r="G348" s="57">
        <v>2371</v>
      </c>
      <c r="H348" s="57">
        <v>102.9</v>
      </c>
      <c r="I348" s="57">
        <v>103.5</v>
      </c>
      <c r="J348" s="57" t="s">
        <v>2267</v>
      </c>
      <c r="K348" s="60">
        <v>37.72</v>
      </c>
      <c r="L348" s="60">
        <v>36</v>
      </c>
      <c r="M348" s="60">
        <v>43.15</v>
      </c>
      <c r="N348" s="57" t="s">
        <v>142</v>
      </c>
      <c r="O348" s="57" t="s">
        <v>142</v>
      </c>
      <c r="P348" s="57" t="s">
        <v>142</v>
      </c>
      <c r="Q348" s="57" t="s">
        <v>2268</v>
      </c>
      <c r="R348" s="57">
        <v>70.900000000000006</v>
      </c>
      <c r="S348" s="26" t="s">
        <v>451</v>
      </c>
      <c r="T348" s="20" t="s">
        <v>928</v>
      </c>
      <c r="U348" s="702"/>
    </row>
    <row r="349" spans="1:21" ht="15.75" x14ac:dyDescent="0.25">
      <c r="A349" s="25">
        <v>44620</v>
      </c>
      <c r="B349" s="58">
        <v>0.97916666666666663</v>
      </c>
      <c r="C349" s="1466" t="s">
        <v>2276</v>
      </c>
      <c r="D349" s="1467"/>
      <c r="E349" s="1467"/>
      <c r="F349" s="1467"/>
      <c r="G349" s="1467"/>
      <c r="H349" s="1467"/>
      <c r="I349" s="1467"/>
      <c r="J349" s="1467"/>
      <c r="K349" s="1467"/>
      <c r="L349" s="1467"/>
      <c r="M349" s="1467"/>
      <c r="N349" s="1467"/>
      <c r="O349" s="1467"/>
      <c r="P349" s="1467"/>
      <c r="Q349" s="1467"/>
      <c r="R349" s="1468"/>
      <c r="S349" s="26" t="s">
        <v>451</v>
      </c>
      <c r="T349" s="20" t="s">
        <v>928</v>
      </c>
      <c r="U349" s="702"/>
    </row>
    <row r="350" spans="1:21" x14ac:dyDescent="0.25">
      <c r="A350" s="25">
        <v>44621</v>
      </c>
      <c r="B350" s="58">
        <v>0.97916666666666663</v>
      </c>
      <c r="C350" s="1466" t="s">
        <v>2283</v>
      </c>
      <c r="D350" s="1467"/>
      <c r="E350" s="1467"/>
      <c r="F350" s="1467"/>
      <c r="G350" s="1467"/>
      <c r="H350" s="1467"/>
      <c r="I350" s="1467"/>
      <c r="J350" s="1467"/>
      <c r="K350" s="1467"/>
      <c r="L350" s="1467"/>
      <c r="M350" s="1467"/>
      <c r="N350" s="1467"/>
      <c r="O350" s="1467"/>
      <c r="P350" s="1467"/>
      <c r="Q350" s="1467"/>
      <c r="R350" s="1468"/>
      <c r="S350" s="26" t="s">
        <v>451</v>
      </c>
      <c r="T350" s="20" t="s">
        <v>928</v>
      </c>
    </row>
    <row r="351" spans="1:21" x14ac:dyDescent="0.25">
      <c r="A351" s="50">
        <v>44622</v>
      </c>
      <c r="B351" s="58">
        <v>0.97916666666666663</v>
      </c>
      <c r="C351" s="1466" t="s">
        <v>2284</v>
      </c>
      <c r="D351" s="1467"/>
      <c r="E351" s="1467"/>
      <c r="F351" s="1467"/>
      <c r="G351" s="1467"/>
      <c r="H351" s="1467"/>
      <c r="I351" s="1467"/>
      <c r="J351" s="1467"/>
      <c r="K351" s="1467"/>
      <c r="L351" s="1467"/>
      <c r="M351" s="1467"/>
      <c r="N351" s="1467"/>
      <c r="O351" s="1467"/>
      <c r="P351" s="1467"/>
      <c r="Q351" s="1467"/>
      <c r="R351" s="1468"/>
      <c r="S351" s="26" t="s">
        <v>451</v>
      </c>
      <c r="T351" s="20" t="s">
        <v>928</v>
      </c>
      <c r="U351" s="36"/>
    </row>
    <row r="352" spans="1:21" x14ac:dyDescent="0.25">
      <c r="A352" s="50">
        <v>44623</v>
      </c>
      <c r="B352" s="716">
        <v>0.97916666666666663</v>
      </c>
      <c r="C352" s="717">
        <v>52</v>
      </c>
      <c r="D352" s="718">
        <v>11.3</v>
      </c>
      <c r="E352" s="719">
        <v>16.600000000000001</v>
      </c>
      <c r="F352" s="720">
        <v>956</v>
      </c>
      <c r="G352" s="720">
        <v>2473</v>
      </c>
      <c r="H352" s="720">
        <v>103.3</v>
      </c>
      <c r="I352" s="720">
        <v>104</v>
      </c>
      <c r="J352" s="720" t="s">
        <v>2281</v>
      </c>
      <c r="K352" s="718">
        <v>36.479999999999997</v>
      </c>
      <c r="L352" s="718">
        <v>36</v>
      </c>
      <c r="M352" s="718">
        <v>40.47</v>
      </c>
      <c r="N352" s="720" t="s">
        <v>142</v>
      </c>
      <c r="O352" s="720" t="s">
        <v>142</v>
      </c>
      <c r="P352" s="720" t="s">
        <v>142</v>
      </c>
      <c r="Q352" s="720" t="s">
        <v>2282</v>
      </c>
      <c r="R352" s="720">
        <v>71.3</v>
      </c>
      <c r="S352" s="721" t="s">
        <v>451</v>
      </c>
      <c r="T352" s="21" t="s">
        <v>928</v>
      </c>
      <c r="U352" s="36"/>
    </row>
    <row r="353" spans="1:21" x14ac:dyDescent="0.25">
      <c r="A353" s="25">
        <v>44624</v>
      </c>
      <c r="B353" s="716">
        <v>0.91666666666666663</v>
      </c>
      <c r="C353" s="717">
        <v>52</v>
      </c>
      <c r="D353" s="718">
        <v>8.8000000000000007</v>
      </c>
      <c r="E353" s="719">
        <v>14.9</v>
      </c>
      <c r="F353" s="720">
        <v>959.8</v>
      </c>
      <c r="G353" s="720">
        <v>2412</v>
      </c>
      <c r="H353" s="720">
        <v>105.1</v>
      </c>
      <c r="I353" s="720">
        <v>106.6</v>
      </c>
      <c r="J353" s="720" t="s">
        <v>2281</v>
      </c>
      <c r="K353" s="718">
        <v>36.479999999999997</v>
      </c>
      <c r="L353" s="718">
        <v>36</v>
      </c>
      <c r="M353" s="718">
        <v>40.47</v>
      </c>
      <c r="N353" s="720" t="s">
        <v>142</v>
      </c>
      <c r="O353" s="720" t="s">
        <v>142</v>
      </c>
      <c r="P353" s="720" t="s">
        <v>142</v>
      </c>
      <c r="Q353" s="720" t="s">
        <v>2295</v>
      </c>
      <c r="R353" s="720">
        <v>64.099999999999994</v>
      </c>
      <c r="S353" s="721" t="s">
        <v>451</v>
      </c>
      <c r="T353" s="21" t="s">
        <v>928</v>
      </c>
      <c r="U353" s="36"/>
    </row>
    <row r="354" spans="1:21" x14ac:dyDescent="0.25">
      <c r="A354" s="25">
        <v>44625</v>
      </c>
      <c r="B354" s="716">
        <v>0.9375</v>
      </c>
      <c r="C354" s="717">
        <v>52</v>
      </c>
      <c r="D354" s="718">
        <v>8.8000000000000007</v>
      </c>
      <c r="E354" s="719">
        <v>14.9</v>
      </c>
      <c r="F354" s="720">
        <v>959.8</v>
      </c>
      <c r="G354" s="720">
        <v>2412</v>
      </c>
      <c r="H354" s="720">
        <v>105.1</v>
      </c>
      <c r="I354" s="720">
        <v>106.6</v>
      </c>
      <c r="J354" s="720" t="s">
        <v>2281</v>
      </c>
      <c r="K354" s="718">
        <v>36.479999999999997</v>
      </c>
      <c r="L354" s="718">
        <v>36</v>
      </c>
      <c r="M354" s="718">
        <v>40.47</v>
      </c>
      <c r="N354" s="720" t="s">
        <v>142</v>
      </c>
      <c r="O354" s="720" t="s">
        <v>142</v>
      </c>
      <c r="P354" s="720" t="s">
        <v>142</v>
      </c>
      <c r="Q354" s="720" t="s">
        <v>2295</v>
      </c>
      <c r="R354" s="720">
        <v>64.099999999999994</v>
      </c>
      <c r="S354" s="721" t="s">
        <v>451</v>
      </c>
      <c r="T354" s="21" t="s">
        <v>928</v>
      </c>
      <c r="U354" s="36"/>
    </row>
    <row r="355" spans="1:21" x14ac:dyDescent="0.25">
      <c r="A355" s="25">
        <v>44626</v>
      </c>
      <c r="B355" s="58">
        <v>0.9375</v>
      </c>
      <c r="C355" s="1466" t="s">
        <v>2301</v>
      </c>
      <c r="D355" s="1467"/>
      <c r="E355" s="1467"/>
      <c r="F355" s="1467"/>
      <c r="G355" s="1467"/>
      <c r="H355" s="1467"/>
      <c r="I355" s="1467"/>
      <c r="J355" s="1467"/>
      <c r="K355" s="1467"/>
      <c r="L355" s="1467"/>
      <c r="M355" s="1467"/>
      <c r="N355" s="1467"/>
      <c r="O355" s="1467"/>
      <c r="P355" s="1467"/>
      <c r="Q355" s="1467"/>
      <c r="R355" s="1468"/>
      <c r="S355" s="26" t="s">
        <v>451</v>
      </c>
      <c r="T355" s="20" t="s">
        <v>928</v>
      </c>
      <c r="U355" s="36"/>
    </row>
    <row r="356" spans="1:21" x14ac:dyDescent="0.25">
      <c r="A356" s="50">
        <v>44627</v>
      </c>
      <c r="B356" s="58">
        <v>0.9375</v>
      </c>
      <c r="C356" s="1466" t="s">
        <v>2313</v>
      </c>
      <c r="D356" s="1467"/>
      <c r="E356" s="1467"/>
      <c r="F356" s="1467"/>
      <c r="G356" s="1467"/>
      <c r="H356" s="1467"/>
      <c r="I356" s="1467"/>
      <c r="J356" s="1467"/>
      <c r="K356" s="1467"/>
      <c r="L356" s="1467"/>
      <c r="M356" s="1467"/>
      <c r="N356" s="1467"/>
      <c r="O356" s="1467"/>
      <c r="P356" s="1467"/>
      <c r="Q356" s="1467"/>
      <c r="R356" s="1468"/>
      <c r="S356" s="26" t="s">
        <v>451</v>
      </c>
      <c r="T356" s="20" t="s">
        <v>928</v>
      </c>
      <c r="U356" s="36"/>
    </row>
    <row r="357" spans="1:21" x14ac:dyDescent="0.25">
      <c r="A357" s="50">
        <v>44628</v>
      </c>
      <c r="B357" s="58">
        <v>0.9375</v>
      </c>
      <c r="C357" s="1466" t="s">
        <v>2323</v>
      </c>
      <c r="D357" s="1467"/>
      <c r="E357" s="1467"/>
      <c r="F357" s="1467"/>
      <c r="G357" s="1467"/>
      <c r="H357" s="1467"/>
      <c r="I357" s="1467"/>
      <c r="J357" s="1467"/>
      <c r="K357" s="1467"/>
      <c r="L357" s="1467"/>
      <c r="M357" s="1467"/>
      <c r="N357" s="1467"/>
      <c r="O357" s="1467"/>
      <c r="P357" s="1467"/>
      <c r="Q357" s="1467"/>
      <c r="R357" s="1468"/>
      <c r="S357" s="26" t="s">
        <v>451</v>
      </c>
      <c r="T357" s="20" t="s">
        <v>928</v>
      </c>
      <c r="U357" s="36"/>
    </row>
    <row r="358" spans="1:21" x14ac:dyDescent="0.25">
      <c r="A358" s="25">
        <v>44629</v>
      </c>
      <c r="B358" s="58">
        <v>0.9375</v>
      </c>
      <c r="C358" s="1466" t="s">
        <v>2329</v>
      </c>
      <c r="D358" s="1467"/>
      <c r="E358" s="1467"/>
      <c r="F358" s="1467"/>
      <c r="G358" s="1467"/>
      <c r="H358" s="1467"/>
      <c r="I358" s="1467"/>
      <c r="J358" s="1467"/>
      <c r="K358" s="1467"/>
      <c r="L358" s="1467"/>
      <c r="M358" s="1467"/>
      <c r="N358" s="1467"/>
      <c r="O358" s="1467"/>
      <c r="P358" s="1467"/>
      <c r="Q358" s="1467"/>
      <c r="R358" s="1468"/>
      <c r="S358" s="26" t="s">
        <v>451</v>
      </c>
      <c r="T358" s="20" t="s">
        <v>928</v>
      </c>
      <c r="U358" s="36"/>
    </row>
    <row r="359" spans="1:21" x14ac:dyDescent="0.25">
      <c r="A359" s="25">
        <v>44630</v>
      </c>
      <c r="B359" s="58">
        <v>0.9375</v>
      </c>
      <c r="C359" s="1466" t="s">
        <v>2334</v>
      </c>
      <c r="D359" s="1467"/>
      <c r="E359" s="1467"/>
      <c r="F359" s="1467"/>
      <c r="G359" s="1467"/>
      <c r="H359" s="1467"/>
      <c r="I359" s="1467"/>
      <c r="J359" s="1467"/>
      <c r="K359" s="1467"/>
      <c r="L359" s="1467"/>
      <c r="M359" s="1467"/>
      <c r="N359" s="1467"/>
      <c r="O359" s="1467"/>
      <c r="P359" s="1467"/>
      <c r="Q359" s="1467"/>
      <c r="R359" s="1468"/>
      <c r="S359" s="26" t="s">
        <v>451</v>
      </c>
      <c r="T359" s="20" t="s">
        <v>928</v>
      </c>
      <c r="U359" s="36"/>
    </row>
    <row r="360" spans="1:21" x14ac:dyDescent="0.25">
      <c r="A360" s="25">
        <v>44631</v>
      </c>
      <c r="B360" s="716">
        <v>0.9375</v>
      </c>
      <c r="C360" s="717">
        <v>52</v>
      </c>
      <c r="D360" s="718">
        <v>9.6999999999999993</v>
      </c>
      <c r="E360" s="719">
        <v>15.5</v>
      </c>
      <c r="F360" s="720">
        <v>1035</v>
      </c>
      <c r="G360" s="720">
        <v>2321</v>
      </c>
      <c r="H360" s="720">
        <v>105.1</v>
      </c>
      <c r="I360" s="720">
        <v>106.6</v>
      </c>
      <c r="J360" s="720" t="s">
        <v>2281</v>
      </c>
      <c r="K360" s="718">
        <v>37</v>
      </c>
      <c r="L360" s="718">
        <v>36</v>
      </c>
      <c r="M360" s="718">
        <v>40.47</v>
      </c>
      <c r="N360" s="720" t="s">
        <v>142</v>
      </c>
      <c r="O360" s="720" t="s">
        <v>142</v>
      </c>
      <c r="P360" s="720" t="s">
        <v>142</v>
      </c>
      <c r="Q360" s="720" t="s">
        <v>2295</v>
      </c>
      <c r="R360" s="720">
        <v>64.099999999999994</v>
      </c>
      <c r="S360" s="721" t="s">
        <v>451</v>
      </c>
      <c r="T360" s="21" t="s">
        <v>928</v>
      </c>
      <c r="U360" s="36"/>
    </row>
    <row r="361" spans="1:21" x14ac:dyDescent="0.25">
      <c r="A361" s="50">
        <v>44632</v>
      </c>
      <c r="B361" s="716">
        <v>0.95833333333333337</v>
      </c>
      <c r="C361" s="717">
        <v>52</v>
      </c>
      <c r="D361" s="718">
        <v>10.7</v>
      </c>
      <c r="E361" s="719">
        <v>16.2</v>
      </c>
      <c r="F361" s="720">
        <v>938</v>
      </c>
      <c r="G361" s="720">
        <v>2459</v>
      </c>
      <c r="H361" s="720">
        <v>104.8</v>
      </c>
      <c r="I361" s="720">
        <v>104.6</v>
      </c>
      <c r="J361" s="720" t="s">
        <v>2341</v>
      </c>
      <c r="K361" s="718">
        <v>37</v>
      </c>
      <c r="L361" s="718">
        <v>36</v>
      </c>
      <c r="M361" s="718">
        <v>39.75</v>
      </c>
      <c r="N361" s="720" t="s">
        <v>142</v>
      </c>
      <c r="O361" s="720" t="s">
        <v>142</v>
      </c>
      <c r="P361" s="720" t="s">
        <v>142</v>
      </c>
      <c r="Q361" s="720" t="s">
        <v>2342</v>
      </c>
      <c r="R361" s="720">
        <v>69.2</v>
      </c>
      <c r="S361" s="721" t="s">
        <v>451</v>
      </c>
      <c r="T361" s="21" t="s">
        <v>928</v>
      </c>
      <c r="U361" s="36"/>
    </row>
    <row r="362" spans="1:21" x14ac:dyDescent="0.25">
      <c r="A362" s="50">
        <v>44633</v>
      </c>
      <c r="B362" s="58">
        <v>0.9375</v>
      </c>
      <c r="C362" s="1466" t="s">
        <v>2353</v>
      </c>
      <c r="D362" s="1467"/>
      <c r="E362" s="1467"/>
      <c r="F362" s="1467"/>
      <c r="G362" s="1467"/>
      <c r="H362" s="1467"/>
      <c r="I362" s="1467"/>
      <c r="J362" s="1467"/>
      <c r="K362" s="1467"/>
      <c r="L362" s="1467"/>
      <c r="M362" s="1467"/>
      <c r="N362" s="1467"/>
      <c r="O362" s="1467"/>
      <c r="P362" s="1467"/>
      <c r="Q362" s="1467"/>
      <c r="R362" s="1468"/>
      <c r="S362" s="26" t="s">
        <v>451</v>
      </c>
      <c r="T362" s="20" t="s">
        <v>928</v>
      </c>
      <c r="U362" s="36"/>
    </row>
    <row r="363" spans="1:21" x14ac:dyDescent="0.25">
      <c r="A363" s="25">
        <v>44634</v>
      </c>
      <c r="B363" s="58">
        <v>0.9375</v>
      </c>
      <c r="C363" s="1466" t="s">
        <v>2354</v>
      </c>
      <c r="D363" s="1467"/>
      <c r="E363" s="1467"/>
      <c r="F363" s="1467"/>
      <c r="G363" s="1467"/>
      <c r="H363" s="1467"/>
      <c r="I363" s="1467"/>
      <c r="J363" s="1467"/>
      <c r="K363" s="1467"/>
      <c r="L363" s="1467"/>
      <c r="M363" s="1467"/>
      <c r="N363" s="1467"/>
      <c r="O363" s="1467"/>
      <c r="P363" s="1467"/>
      <c r="Q363" s="1467"/>
      <c r="R363" s="1468"/>
      <c r="S363" s="26" t="s">
        <v>451</v>
      </c>
      <c r="T363" s="20" t="s">
        <v>928</v>
      </c>
      <c r="U363" s="36"/>
    </row>
    <row r="364" spans="1:21" x14ac:dyDescent="0.25">
      <c r="A364" s="25">
        <v>44635</v>
      </c>
      <c r="B364" s="58">
        <v>0.9375</v>
      </c>
      <c r="C364" s="1466" t="s">
        <v>2362</v>
      </c>
      <c r="D364" s="1467"/>
      <c r="E364" s="1467"/>
      <c r="F364" s="1467"/>
      <c r="G364" s="1467"/>
      <c r="H364" s="1467"/>
      <c r="I364" s="1467"/>
      <c r="J364" s="1467"/>
      <c r="K364" s="1467"/>
      <c r="L364" s="1467"/>
      <c r="M364" s="1467"/>
      <c r="N364" s="1467"/>
      <c r="O364" s="1467"/>
      <c r="P364" s="1467"/>
      <c r="Q364" s="1467"/>
      <c r="R364" s="1468"/>
      <c r="S364" s="26" t="s">
        <v>451</v>
      </c>
      <c r="T364" s="20" t="s">
        <v>928</v>
      </c>
      <c r="U364" s="36"/>
    </row>
    <row r="365" spans="1:21" x14ac:dyDescent="0.25">
      <c r="A365" s="25">
        <v>44636</v>
      </c>
      <c r="B365" s="58">
        <v>0.95833333333333337</v>
      </c>
      <c r="C365" s="1466" t="s">
        <v>2365</v>
      </c>
      <c r="D365" s="1467"/>
      <c r="E365" s="1467"/>
      <c r="F365" s="1467"/>
      <c r="G365" s="1467"/>
      <c r="H365" s="1467"/>
      <c r="I365" s="1467"/>
      <c r="J365" s="1467"/>
      <c r="K365" s="1467"/>
      <c r="L365" s="1467"/>
      <c r="M365" s="1467"/>
      <c r="N365" s="1467"/>
      <c r="O365" s="1467"/>
      <c r="P365" s="1467"/>
      <c r="Q365" s="1467"/>
      <c r="R365" s="1468"/>
      <c r="S365" s="26" t="s">
        <v>451</v>
      </c>
      <c r="T365" s="20" t="s">
        <v>928</v>
      </c>
      <c r="U365" s="36"/>
    </row>
    <row r="366" spans="1:21" x14ac:dyDescent="0.25">
      <c r="A366" s="50">
        <v>44637</v>
      </c>
      <c r="B366" s="58">
        <v>0.95833333333333337</v>
      </c>
      <c r="C366" s="1466" t="s">
        <v>2369</v>
      </c>
      <c r="D366" s="1467"/>
      <c r="E366" s="1467"/>
      <c r="F366" s="1467"/>
      <c r="G366" s="1467"/>
      <c r="H366" s="1467"/>
      <c r="I366" s="1467"/>
      <c r="J366" s="1467"/>
      <c r="K366" s="1467"/>
      <c r="L366" s="1467"/>
      <c r="M366" s="1467"/>
      <c r="N366" s="1467"/>
      <c r="O366" s="1467"/>
      <c r="P366" s="1467"/>
      <c r="Q366" s="1467"/>
      <c r="R366" s="1468"/>
      <c r="S366" s="26" t="s">
        <v>451</v>
      </c>
      <c r="T366" s="20" t="s">
        <v>928</v>
      </c>
      <c r="U366" s="36"/>
    </row>
    <row r="367" spans="1:21" ht="15" customHeight="1" x14ac:dyDescent="0.25">
      <c r="A367" s="50">
        <v>44638</v>
      </c>
      <c r="B367" s="716">
        <v>0.95833333333333337</v>
      </c>
      <c r="C367" s="717">
        <v>49</v>
      </c>
      <c r="D367" s="718">
        <v>9.5</v>
      </c>
      <c r="E367" s="719">
        <v>15.3</v>
      </c>
      <c r="F367" s="720">
        <v>1048</v>
      </c>
      <c r="G367" s="720">
        <v>2399</v>
      </c>
      <c r="H367" s="720">
        <v>104</v>
      </c>
      <c r="I367" s="720">
        <v>105</v>
      </c>
      <c r="J367" s="720" t="s">
        <v>2374</v>
      </c>
      <c r="K367" s="718">
        <v>36.76</v>
      </c>
      <c r="L367" s="718">
        <v>36</v>
      </c>
      <c r="M367" s="718">
        <v>36.270000000000003</v>
      </c>
      <c r="N367" s="720" t="s">
        <v>142</v>
      </c>
      <c r="O367" s="720" t="s">
        <v>142</v>
      </c>
      <c r="P367" s="720" t="s">
        <v>142</v>
      </c>
      <c r="Q367" s="720" t="s">
        <v>1577</v>
      </c>
      <c r="R367" s="720">
        <v>64.900000000000006</v>
      </c>
      <c r="S367" s="721" t="s">
        <v>451</v>
      </c>
      <c r="T367" s="21" t="s">
        <v>928</v>
      </c>
      <c r="U367" s="36"/>
    </row>
    <row r="368" spans="1:21" x14ac:dyDescent="0.25">
      <c r="A368" s="25">
        <v>44639</v>
      </c>
      <c r="B368" s="716">
        <v>0.95833333333333337</v>
      </c>
      <c r="C368" s="1466" t="s">
        <v>2383</v>
      </c>
      <c r="D368" s="1467"/>
      <c r="E368" s="1467"/>
      <c r="F368" s="1467"/>
      <c r="G368" s="1467"/>
      <c r="H368" s="1467"/>
      <c r="I368" s="1467"/>
      <c r="J368" s="1467"/>
      <c r="K368" s="1467"/>
      <c r="L368" s="1467"/>
      <c r="M368" s="1467"/>
      <c r="N368" s="1467"/>
      <c r="O368" s="1467"/>
      <c r="P368" s="1467"/>
      <c r="Q368" s="1467"/>
      <c r="R368" s="1468"/>
      <c r="S368" s="721" t="s">
        <v>451</v>
      </c>
      <c r="T368" s="21" t="s">
        <v>928</v>
      </c>
      <c r="U368" s="36"/>
    </row>
    <row r="369" spans="1:21" x14ac:dyDescent="0.25">
      <c r="A369" s="25">
        <v>44640</v>
      </c>
      <c r="U369" s="36"/>
    </row>
    <row r="370" spans="1:21" ht="15" customHeight="1" x14ac:dyDescent="0.25">
      <c r="A370" s="25">
        <v>44641</v>
      </c>
      <c r="B370" s="716">
        <v>0.9375</v>
      </c>
      <c r="C370" s="717">
        <v>51</v>
      </c>
      <c r="D370" s="718">
        <v>10.7</v>
      </c>
      <c r="E370" s="719">
        <v>16.2</v>
      </c>
      <c r="F370" s="720">
        <v>983</v>
      </c>
      <c r="G370" s="720">
        <v>2479</v>
      </c>
      <c r="H370" s="720">
        <v>103.5</v>
      </c>
      <c r="I370" s="720">
        <v>104</v>
      </c>
      <c r="J370" s="720" t="s">
        <v>2390</v>
      </c>
      <c r="K370" s="718">
        <v>35.83</v>
      </c>
      <c r="L370" s="718">
        <v>36</v>
      </c>
      <c r="M370" s="718">
        <v>40.74</v>
      </c>
      <c r="N370" s="720" t="s">
        <v>142</v>
      </c>
      <c r="O370" s="720" t="s">
        <v>142</v>
      </c>
      <c r="P370" s="720" t="s">
        <v>142</v>
      </c>
      <c r="Q370" s="720" t="s">
        <v>2391</v>
      </c>
      <c r="R370" s="720">
        <v>69.2</v>
      </c>
      <c r="S370" s="721" t="s">
        <v>451</v>
      </c>
      <c r="T370" s="21" t="s">
        <v>928</v>
      </c>
      <c r="U370" s="36"/>
    </row>
    <row r="371" spans="1:21" x14ac:dyDescent="0.25">
      <c r="A371" s="50">
        <v>44642</v>
      </c>
      <c r="B371" s="716">
        <v>0.9375</v>
      </c>
      <c r="C371" s="1466" t="s">
        <v>2396</v>
      </c>
      <c r="D371" s="1467"/>
      <c r="E371" s="1467"/>
      <c r="F371" s="1467"/>
      <c r="G371" s="1467"/>
      <c r="H371" s="1467"/>
      <c r="I371" s="1467"/>
      <c r="J371" s="1467"/>
      <c r="K371" s="1467"/>
      <c r="L371" s="1467"/>
      <c r="M371" s="1467"/>
      <c r="N371" s="1467"/>
      <c r="O371" s="1467"/>
      <c r="P371" s="1467"/>
      <c r="Q371" s="1467"/>
      <c r="R371" s="1468"/>
      <c r="S371" s="721" t="s">
        <v>451</v>
      </c>
      <c r="T371" s="21" t="s">
        <v>928</v>
      </c>
      <c r="U371" s="36"/>
    </row>
    <row r="372" spans="1:21" x14ac:dyDescent="0.25">
      <c r="A372" s="50">
        <v>44643</v>
      </c>
      <c r="B372" s="716">
        <v>0.9375</v>
      </c>
      <c r="C372" s="1466" t="s">
        <v>2400</v>
      </c>
      <c r="D372" s="1467"/>
      <c r="E372" s="1467"/>
      <c r="F372" s="1467"/>
      <c r="G372" s="1467"/>
      <c r="H372" s="1467"/>
      <c r="I372" s="1467"/>
      <c r="J372" s="1467"/>
      <c r="K372" s="1467"/>
      <c r="L372" s="1467"/>
      <c r="M372" s="1467"/>
      <c r="N372" s="1467"/>
      <c r="O372" s="1467"/>
      <c r="P372" s="1467"/>
      <c r="Q372" s="1467"/>
      <c r="R372" s="1468"/>
      <c r="S372" s="721" t="s">
        <v>451</v>
      </c>
      <c r="T372" s="21" t="s">
        <v>928</v>
      </c>
      <c r="U372" s="36"/>
    </row>
    <row r="373" spans="1:21" x14ac:dyDescent="0.25">
      <c r="A373" s="25">
        <v>44644</v>
      </c>
      <c r="B373" s="716">
        <v>0.9375</v>
      </c>
      <c r="C373" s="717">
        <v>50</v>
      </c>
      <c r="D373" s="718">
        <v>10.7</v>
      </c>
      <c r="E373" s="719">
        <v>16.2</v>
      </c>
      <c r="F373" s="720">
        <v>1016</v>
      </c>
      <c r="G373" s="720">
        <v>2413</v>
      </c>
      <c r="H373" s="720">
        <v>103.1</v>
      </c>
      <c r="I373" s="720">
        <v>104</v>
      </c>
      <c r="J373" s="720" t="s">
        <v>2403</v>
      </c>
      <c r="K373" s="718">
        <v>37.43</v>
      </c>
      <c r="L373" s="718">
        <v>36</v>
      </c>
      <c r="M373" s="718">
        <v>40.590000000000003</v>
      </c>
      <c r="N373" s="720" t="s">
        <v>142</v>
      </c>
      <c r="O373" s="720" t="s">
        <v>142</v>
      </c>
      <c r="P373" s="720" t="s">
        <v>142</v>
      </c>
      <c r="Q373" s="720" t="s">
        <v>2391</v>
      </c>
      <c r="R373" s="720">
        <v>69.2</v>
      </c>
      <c r="S373" s="721" t="s">
        <v>451</v>
      </c>
      <c r="T373" s="21" t="s">
        <v>928</v>
      </c>
      <c r="U373" s="36"/>
    </row>
    <row r="374" spans="1:21" x14ac:dyDescent="0.25">
      <c r="A374" s="25">
        <v>44645</v>
      </c>
      <c r="B374" s="716">
        <v>0.9375</v>
      </c>
      <c r="C374" s="717">
        <v>50</v>
      </c>
      <c r="D374" s="718">
        <v>10.7</v>
      </c>
      <c r="E374" s="719">
        <v>16.2</v>
      </c>
      <c r="F374" s="720">
        <v>1016</v>
      </c>
      <c r="G374" s="720">
        <v>2413</v>
      </c>
      <c r="H374" s="720">
        <v>103.1</v>
      </c>
      <c r="I374" s="720">
        <v>104</v>
      </c>
      <c r="J374" s="720" t="s">
        <v>2403</v>
      </c>
      <c r="K374" s="718">
        <v>37.43</v>
      </c>
      <c r="L374" s="718">
        <v>36</v>
      </c>
      <c r="M374" s="718">
        <v>40.590000000000003</v>
      </c>
      <c r="N374" s="720" t="s">
        <v>142</v>
      </c>
      <c r="O374" s="720" t="s">
        <v>142</v>
      </c>
      <c r="P374" s="720" t="s">
        <v>142</v>
      </c>
      <c r="Q374" s="720" t="s">
        <v>2391</v>
      </c>
      <c r="R374" s="720">
        <v>69.2</v>
      </c>
      <c r="S374" s="721" t="s">
        <v>451</v>
      </c>
      <c r="T374" s="21" t="s">
        <v>928</v>
      </c>
      <c r="U374" s="36"/>
    </row>
    <row r="375" spans="1:21" x14ac:dyDescent="0.25">
      <c r="A375" s="25">
        <v>44646</v>
      </c>
      <c r="B375" s="716">
        <v>0.9375</v>
      </c>
      <c r="C375" s="717">
        <v>53</v>
      </c>
      <c r="D375" s="718">
        <v>10.1</v>
      </c>
      <c r="E375" s="719">
        <v>15.8</v>
      </c>
      <c r="F375" s="720">
        <v>977</v>
      </c>
      <c r="G375" s="720">
        <v>2447</v>
      </c>
      <c r="H375" s="720">
        <v>103.4</v>
      </c>
      <c r="I375" s="720">
        <v>104.9</v>
      </c>
      <c r="J375" s="720" t="s">
        <v>2409</v>
      </c>
      <c r="K375" s="718">
        <v>38.049999999999997</v>
      </c>
      <c r="L375" s="718">
        <v>36</v>
      </c>
      <c r="M375" s="718">
        <v>39.21</v>
      </c>
      <c r="N375" s="720" t="s">
        <v>142</v>
      </c>
      <c r="O375" s="720" t="s">
        <v>142</v>
      </c>
      <c r="P375" s="720" t="s">
        <v>142</v>
      </c>
      <c r="Q375" s="720" t="s">
        <v>1158</v>
      </c>
      <c r="R375" s="720">
        <v>67.900000000000006</v>
      </c>
      <c r="S375" s="721" t="s">
        <v>451</v>
      </c>
      <c r="T375" s="21" t="s">
        <v>928</v>
      </c>
      <c r="U375" s="36"/>
    </row>
    <row r="376" spans="1:21" x14ac:dyDescent="0.25">
      <c r="A376" s="50">
        <v>44647</v>
      </c>
      <c r="B376" s="716">
        <v>0.9375</v>
      </c>
      <c r="C376" s="717">
        <v>53</v>
      </c>
      <c r="D376" s="718">
        <v>10.1</v>
      </c>
      <c r="E376" s="719">
        <v>15.8</v>
      </c>
      <c r="F376" s="720">
        <v>977</v>
      </c>
      <c r="G376" s="720">
        <v>2447</v>
      </c>
      <c r="H376" s="720">
        <v>103.4</v>
      </c>
      <c r="I376" s="720">
        <v>104.9</v>
      </c>
      <c r="J376" s="720" t="s">
        <v>2409</v>
      </c>
      <c r="K376" s="718">
        <v>38.049999999999997</v>
      </c>
      <c r="L376" s="718">
        <v>36</v>
      </c>
      <c r="M376" s="718">
        <v>39.21</v>
      </c>
      <c r="N376" s="720" t="s">
        <v>142</v>
      </c>
      <c r="O376" s="720" t="s">
        <v>142</v>
      </c>
      <c r="P376" s="720" t="s">
        <v>142</v>
      </c>
      <c r="Q376" s="720" t="s">
        <v>1158</v>
      </c>
      <c r="R376" s="720">
        <v>67.900000000000006</v>
      </c>
      <c r="S376" s="721" t="s">
        <v>451</v>
      </c>
      <c r="T376" s="21" t="s">
        <v>928</v>
      </c>
      <c r="U376" s="36"/>
    </row>
    <row r="377" spans="1:21" x14ac:dyDescent="0.25">
      <c r="A377" s="50">
        <v>44648</v>
      </c>
      <c r="B377" s="716">
        <v>0.9375</v>
      </c>
      <c r="C377" s="717">
        <v>53</v>
      </c>
      <c r="D377" s="718">
        <v>10.7</v>
      </c>
      <c r="E377" s="719">
        <v>16.3</v>
      </c>
      <c r="F377" s="720">
        <v>922</v>
      </c>
      <c r="G377" s="720">
        <v>2486</v>
      </c>
      <c r="H377" s="720">
        <v>105.1</v>
      </c>
      <c r="I377" s="720">
        <v>106.4</v>
      </c>
      <c r="J377" s="720" t="s">
        <v>2412</v>
      </c>
      <c r="K377" s="718">
        <v>37.89</v>
      </c>
      <c r="L377" s="718">
        <v>36</v>
      </c>
      <c r="M377" s="718">
        <v>37.229999999999997</v>
      </c>
      <c r="N377" s="720" t="s">
        <v>142</v>
      </c>
      <c r="O377" s="720" t="s">
        <v>142</v>
      </c>
      <c r="P377" s="720" t="s">
        <v>142</v>
      </c>
      <c r="Q377" s="720" t="s">
        <v>1304</v>
      </c>
      <c r="R377" s="720">
        <v>69.599999999999994</v>
      </c>
      <c r="S377" s="721" t="s">
        <v>451</v>
      </c>
      <c r="T377" s="21" t="s">
        <v>928</v>
      </c>
      <c r="U377" s="36"/>
    </row>
    <row r="378" spans="1:21" x14ac:dyDescent="0.25">
      <c r="A378" s="25">
        <v>44649</v>
      </c>
      <c r="B378" s="716">
        <v>0.91666666666666663</v>
      </c>
      <c r="C378" s="717">
        <v>54</v>
      </c>
      <c r="D378" s="718">
        <v>7.8</v>
      </c>
      <c r="E378" s="719">
        <v>14.4</v>
      </c>
      <c r="F378" s="720">
        <v>937</v>
      </c>
      <c r="G378" s="720">
        <v>2403</v>
      </c>
      <c r="H378" s="720">
        <v>105.3</v>
      </c>
      <c r="I378" s="720">
        <v>107.3</v>
      </c>
      <c r="J378" s="720" t="s">
        <v>2416</v>
      </c>
      <c r="K378" s="718">
        <v>39.270000000000003</v>
      </c>
      <c r="L378" s="718">
        <v>36</v>
      </c>
      <c r="M378" s="718">
        <v>36.15</v>
      </c>
      <c r="N378" s="720" t="s">
        <v>142</v>
      </c>
      <c r="O378" s="720" t="s">
        <v>142</v>
      </c>
      <c r="P378" s="720" t="s">
        <v>142</v>
      </c>
      <c r="Q378" s="720" t="s">
        <v>2417</v>
      </c>
      <c r="R378" s="720">
        <v>61.5</v>
      </c>
      <c r="S378" s="721" t="s">
        <v>451</v>
      </c>
      <c r="T378" s="21" t="s">
        <v>928</v>
      </c>
      <c r="U378" s="36"/>
    </row>
    <row r="379" spans="1:21" x14ac:dyDescent="0.25">
      <c r="A379" s="25">
        <v>44650</v>
      </c>
      <c r="B379" s="716">
        <v>0.9375</v>
      </c>
      <c r="C379" s="1466" t="s">
        <v>2423</v>
      </c>
      <c r="D379" s="1467"/>
      <c r="E379" s="1467"/>
      <c r="F379" s="1467"/>
      <c r="G379" s="1467"/>
      <c r="H379" s="1467"/>
      <c r="I379" s="1467"/>
      <c r="J379" s="1467"/>
      <c r="K379" s="1467"/>
      <c r="L379" s="1467"/>
      <c r="M379" s="1467"/>
      <c r="N379" s="1467"/>
      <c r="O379" s="1467"/>
      <c r="P379" s="1467"/>
      <c r="Q379" s="1467"/>
      <c r="R379" s="1468"/>
      <c r="S379" s="721" t="s">
        <v>451</v>
      </c>
      <c r="T379" s="21" t="s">
        <v>928</v>
      </c>
      <c r="U379" s="36"/>
    </row>
    <row r="380" spans="1:21" x14ac:dyDescent="0.25">
      <c r="A380" s="25">
        <v>44651</v>
      </c>
      <c r="B380" s="716">
        <v>0.97916666666666663</v>
      </c>
      <c r="C380" s="717">
        <v>53</v>
      </c>
      <c r="D380" s="718">
        <v>10.9</v>
      </c>
      <c r="E380" s="719">
        <v>16.5</v>
      </c>
      <c r="F380" s="720">
        <v>907</v>
      </c>
      <c r="G380" s="720">
        <v>2521</v>
      </c>
      <c r="H380" s="720">
        <v>103.4</v>
      </c>
      <c r="I380" s="720">
        <v>104.4</v>
      </c>
      <c r="J380" s="720" t="s">
        <v>2429</v>
      </c>
      <c r="K380" s="718">
        <v>39.869999999999997</v>
      </c>
      <c r="L380" s="718">
        <v>36</v>
      </c>
      <c r="M380" s="718">
        <v>39.75</v>
      </c>
      <c r="N380" s="720" t="s">
        <v>142</v>
      </c>
      <c r="O380" s="720" t="s">
        <v>142</v>
      </c>
      <c r="P380" s="720" t="s">
        <v>142</v>
      </c>
      <c r="Q380" s="720" t="s">
        <v>2430</v>
      </c>
      <c r="R380" s="720">
        <v>70.5</v>
      </c>
      <c r="S380" s="721" t="s">
        <v>451</v>
      </c>
      <c r="T380" s="21" t="s">
        <v>928</v>
      </c>
      <c r="U380" s="36"/>
    </row>
    <row r="381" spans="1:21" x14ac:dyDescent="0.25">
      <c r="A381" s="50">
        <v>44652</v>
      </c>
      <c r="B381" s="716">
        <v>0.97916666666666663</v>
      </c>
      <c r="C381" s="717">
        <v>53</v>
      </c>
      <c r="D381" s="718">
        <v>10.4</v>
      </c>
      <c r="E381" s="719">
        <v>16</v>
      </c>
      <c r="F381" s="720">
        <v>903</v>
      </c>
      <c r="G381" s="720">
        <v>2487</v>
      </c>
      <c r="H381" s="720">
        <v>105.3</v>
      </c>
      <c r="I381" s="720">
        <v>106.6</v>
      </c>
      <c r="J381" s="720" t="s">
        <v>2450</v>
      </c>
      <c r="K381" s="718">
        <v>38.200000000000003</v>
      </c>
      <c r="L381" s="718">
        <v>36</v>
      </c>
      <c r="M381" s="718">
        <v>37.369999999999997</v>
      </c>
      <c r="N381" s="720" t="s">
        <v>142</v>
      </c>
      <c r="O381" s="720" t="s">
        <v>142</v>
      </c>
      <c r="P381" s="720" t="s">
        <v>142</v>
      </c>
      <c r="Q381" s="720" t="s">
        <v>1393</v>
      </c>
      <c r="R381" s="720">
        <v>68.3</v>
      </c>
      <c r="S381" s="721" t="s">
        <v>451</v>
      </c>
      <c r="T381" s="21" t="s">
        <v>928</v>
      </c>
      <c r="U381" s="36"/>
    </row>
    <row r="382" spans="1:21" x14ac:dyDescent="0.25">
      <c r="A382" s="50">
        <v>44653</v>
      </c>
      <c r="B382" s="716">
        <v>0.89583333333333337</v>
      </c>
      <c r="C382" s="717">
        <v>53</v>
      </c>
      <c r="D382" s="718">
        <v>10.1</v>
      </c>
      <c r="E382" s="719">
        <v>15.9</v>
      </c>
      <c r="F382" s="720">
        <v>903</v>
      </c>
      <c r="G382" s="720">
        <v>2471</v>
      </c>
      <c r="H382" s="720">
        <v>106</v>
      </c>
      <c r="I382" s="720">
        <v>107.1</v>
      </c>
      <c r="J382" s="720" t="s">
        <v>2455</v>
      </c>
      <c r="K382" s="718">
        <v>36.81</v>
      </c>
      <c r="L382" s="718">
        <v>38.5</v>
      </c>
      <c r="M382" s="718">
        <v>36.69</v>
      </c>
      <c r="N382" s="720" t="s">
        <v>142</v>
      </c>
      <c r="O382" s="720" t="s">
        <v>142</v>
      </c>
      <c r="P382" s="720" t="s">
        <v>142</v>
      </c>
      <c r="Q382" s="720" t="s">
        <v>2456</v>
      </c>
      <c r="R382" s="720">
        <v>67.900000000000006</v>
      </c>
      <c r="S382" s="721" t="s">
        <v>451</v>
      </c>
      <c r="T382" s="21" t="s">
        <v>236</v>
      </c>
      <c r="U382" s="36" t="s">
        <v>415</v>
      </c>
    </row>
    <row r="383" spans="1:21" ht="18.75" customHeight="1" x14ac:dyDescent="0.25">
      <c r="A383" s="50">
        <v>44654</v>
      </c>
      <c r="B383" s="716">
        <v>0.89583333333333337</v>
      </c>
      <c r="C383" s="717">
        <v>53</v>
      </c>
      <c r="D383" s="718">
        <v>8.9</v>
      </c>
      <c r="E383" s="719">
        <v>15</v>
      </c>
      <c r="F383" s="720">
        <v>983</v>
      </c>
      <c r="G383" s="720">
        <v>2450</v>
      </c>
      <c r="H383" s="720">
        <v>108.7</v>
      </c>
      <c r="I383" s="720">
        <v>110.7</v>
      </c>
      <c r="J383" s="720" t="s">
        <v>2466</v>
      </c>
      <c r="K383" s="718">
        <v>36.25</v>
      </c>
      <c r="L383" s="718">
        <v>38.5</v>
      </c>
      <c r="M383" s="718">
        <v>31.33</v>
      </c>
      <c r="N383" s="720" t="s">
        <v>142</v>
      </c>
      <c r="O383" s="720" t="s">
        <v>142</v>
      </c>
      <c r="P383" s="720" t="s">
        <v>142</v>
      </c>
      <c r="Q383" s="720" t="s">
        <v>2467</v>
      </c>
      <c r="R383" s="720">
        <v>64.5</v>
      </c>
      <c r="S383" s="721" t="s">
        <v>451</v>
      </c>
      <c r="T383" s="21" t="s">
        <v>236</v>
      </c>
      <c r="U383" s="36" t="s">
        <v>415</v>
      </c>
    </row>
    <row r="384" spans="1:21" ht="33.75" customHeight="1" x14ac:dyDescent="0.25">
      <c r="A384" s="50">
        <v>44655</v>
      </c>
      <c r="B384" s="716">
        <v>0.89583333333333337</v>
      </c>
      <c r="C384" s="717">
        <v>53</v>
      </c>
      <c r="D384" s="718">
        <v>8.9</v>
      </c>
      <c r="E384" s="719">
        <v>15.1</v>
      </c>
      <c r="F384" s="720">
        <v>969.9</v>
      </c>
      <c r="G384" s="720">
        <v>2463</v>
      </c>
      <c r="H384" s="720">
        <v>102.2</v>
      </c>
      <c r="I384" s="720">
        <v>104.3</v>
      </c>
      <c r="J384" s="720" t="s">
        <v>2479</v>
      </c>
      <c r="K384" s="718">
        <v>35.08</v>
      </c>
      <c r="L384" s="718">
        <v>37</v>
      </c>
      <c r="M384" s="718">
        <v>34.5</v>
      </c>
      <c r="N384" s="720" t="s">
        <v>142</v>
      </c>
      <c r="O384" s="720" t="s">
        <v>142</v>
      </c>
      <c r="P384" s="720" t="s">
        <v>142</v>
      </c>
      <c r="Q384" s="720" t="s">
        <v>2480</v>
      </c>
      <c r="R384" s="720">
        <v>64.900000000000006</v>
      </c>
      <c r="S384" s="721" t="s">
        <v>451</v>
      </c>
      <c r="T384" s="21" t="s">
        <v>236</v>
      </c>
      <c r="U384" s="481" t="s">
        <v>2481</v>
      </c>
    </row>
    <row r="385" spans="1:21" ht="33.75" customHeight="1" x14ac:dyDescent="0.25">
      <c r="A385" s="50">
        <v>44656</v>
      </c>
      <c r="B385" s="716">
        <v>0.95833333333333337</v>
      </c>
      <c r="C385" s="717">
        <v>53</v>
      </c>
      <c r="D385" s="718">
        <v>7.8</v>
      </c>
      <c r="E385" s="719">
        <v>14.3</v>
      </c>
      <c r="F385" s="720">
        <v>1009</v>
      </c>
      <c r="G385" s="720">
        <v>2427</v>
      </c>
      <c r="H385" s="720">
        <v>103.2</v>
      </c>
      <c r="I385" s="720">
        <v>105.6</v>
      </c>
      <c r="J385" s="720" t="s">
        <v>2493</v>
      </c>
      <c r="K385" s="718">
        <v>36.68</v>
      </c>
      <c r="L385" s="718">
        <v>37.5</v>
      </c>
      <c r="M385" s="718">
        <v>34.54</v>
      </c>
      <c r="N385" s="720" t="s">
        <v>142</v>
      </c>
      <c r="O385" s="720" t="s">
        <v>142</v>
      </c>
      <c r="P385" s="720" t="s">
        <v>142</v>
      </c>
      <c r="Q385" s="720" t="s">
        <v>2494</v>
      </c>
      <c r="R385" s="720">
        <v>59.8</v>
      </c>
      <c r="S385" s="721" t="s">
        <v>451</v>
      </c>
      <c r="T385" s="21" t="s">
        <v>236</v>
      </c>
      <c r="U385" s="481" t="s">
        <v>2495</v>
      </c>
    </row>
    <row r="386" spans="1:21" ht="33.75" customHeight="1" x14ac:dyDescent="0.25">
      <c r="A386" s="50">
        <v>44657</v>
      </c>
      <c r="B386" s="716">
        <v>0.89583333333333337</v>
      </c>
      <c r="C386" s="1469" t="s">
        <v>2512</v>
      </c>
      <c r="D386" s="1470"/>
      <c r="E386" s="1470"/>
      <c r="F386" s="1470"/>
      <c r="G386" s="1470"/>
      <c r="H386" s="1470"/>
      <c r="I386" s="1470"/>
      <c r="J386" s="1470"/>
      <c r="K386" s="1470"/>
      <c r="L386" s="1470"/>
      <c r="M386" s="1470"/>
      <c r="N386" s="1470"/>
      <c r="O386" s="1470"/>
      <c r="P386" s="1470"/>
      <c r="Q386" s="1470"/>
      <c r="R386" s="1471"/>
      <c r="S386" s="721" t="s">
        <v>451</v>
      </c>
      <c r="T386" s="21" t="s">
        <v>236</v>
      </c>
      <c r="U386" s="481"/>
    </row>
    <row r="387" spans="1:21" ht="33.75" customHeight="1" x14ac:dyDescent="0.25">
      <c r="A387" s="50">
        <v>44658</v>
      </c>
      <c r="B387" s="716">
        <v>0.95833333333333337</v>
      </c>
      <c r="C387" s="1469" t="s">
        <v>2513</v>
      </c>
      <c r="D387" s="1470"/>
      <c r="E387" s="1470"/>
      <c r="F387" s="1470"/>
      <c r="G387" s="1470"/>
      <c r="H387" s="1470"/>
      <c r="I387" s="1470"/>
      <c r="J387" s="1470"/>
      <c r="K387" s="1470"/>
      <c r="L387" s="1470"/>
      <c r="M387" s="1470"/>
      <c r="N387" s="1470"/>
      <c r="O387" s="1470"/>
      <c r="P387" s="1470"/>
      <c r="Q387" s="1470"/>
      <c r="R387" s="1471"/>
      <c r="S387" s="721" t="s">
        <v>451</v>
      </c>
      <c r="T387" s="21" t="s">
        <v>236</v>
      </c>
      <c r="U387" s="481"/>
    </row>
    <row r="388" spans="1:21" ht="33.75" customHeight="1" x14ac:dyDescent="0.25">
      <c r="A388" s="50">
        <v>44659</v>
      </c>
      <c r="B388" s="716">
        <v>0.95833333333333337</v>
      </c>
      <c r="C388" s="1469" t="s">
        <v>2525</v>
      </c>
      <c r="D388" s="1470"/>
      <c r="E388" s="1470"/>
      <c r="F388" s="1470"/>
      <c r="G388" s="1470"/>
      <c r="H388" s="1470"/>
      <c r="I388" s="1470"/>
      <c r="J388" s="1470"/>
      <c r="K388" s="1470"/>
      <c r="L388" s="1470"/>
      <c r="M388" s="1470"/>
      <c r="N388" s="1470"/>
      <c r="O388" s="1470"/>
      <c r="P388" s="1470"/>
      <c r="Q388" s="1470"/>
      <c r="R388" s="1471"/>
      <c r="S388" s="721" t="s">
        <v>451</v>
      </c>
      <c r="T388" s="21" t="s">
        <v>236</v>
      </c>
      <c r="U388" s="481"/>
    </row>
    <row r="389" spans="1:21" ht="33.75" customHeight="1" x14ac:dyDescent="0.25">
      <c r="A389" s="50">
        <v>44660</v>
      </c>
      <c r="B389" s="716">
        <v>0.95833333333333337</v>
      </c>
      <c r="C389" s="1469" t="s">
        <v>2540</v>
      </c>
      <c r="D389" s="1470"/>
      <c r="E389" s="1470"/>
      <c r="F389" s="1470"/>
      <c r="G389" s="1470"/>
      <c r="H389" s="1470"/>
      <c r="I389" s="1470"/>
      <c r="J389" s="1470"/>
      <c r="K389" s="1470"/>
      <c r="L389" s="1470"/>
      <c r="M389" s="1470"/>
      <c r="N389" s="1470"/>
      <c r="O389" s="1470"/>
      <c r="P389" s="1470"/>
      <c r="Q389" s="1470"/>
      <c r="R389" s="1471"/>
      <c r="S389" s="721" t="s">
        <v>451</v>
      </c>
      <c r="T389" s="21" t="s">
        <v>236</v>
      </c>
      <c r="U389" s="481"/>
    </row>
    <row r="390" spans="1:21" ht="33.75" customHeight="1" x14ac:dyDescent="0.25">
      <c r="A390" s="50">
        <v>44661</v>
      </c>
      <c r="B390" s="716">
        <v>0</v>
      </c>
      <c r="C390" s="717">
        <v>52</v>
      </c>
      <c r="D390" s="718">
        <v>11</v>
      </c>
      <c r="E390" s="719">
        <v>16.399999999999999</v>
      </c>
      <c r="F390" s="720">
        <v>1204</v>
      </c>
      <c r="G390" s="720">
        <v>2366</v>
      </c>
      <c r="H390" s="720">
        <v>101.8</v>
      </c>
      <c r="I390" s="720">
        <v>103.1</v>
      </c>
      <c r="J390" s="720" t="s">
        <v>2555</v>
      </c>
      <c r="K390" s="718">
        <v>37.76</v>
      </c>
      <c r="L390" s="718">
        <v>42</v>
      </c>
      <c r="M390" s="718">
        <v>39.5</v>
      </c>
      <c r="N390" s="720" t="s">
        <v>142</v>
      </c>
      <c r="O390" s="720" t="s">
        <v>142</v>
      </c>
      <c r="P390" s="720" t="s">
        <v>142</v>
      </c>
      <c r="Q390" s="720" t="s">
        <v>2556</v>
      </c>
      <c r="R390" s="720">
        <v>70</v>
      </c>
      <c r="S390" s="721" t="s">
        <v>451</v>
      </c>
      <c r="T390" s="21" t="s">
        <v>236</v>
      </c>
      <c r="U390" s="481"/>
    </row>
    <row r="391" spans="1:21" ht="33.75" customHeight="1" x14ac:dyDescent="0.25">
      <c r="A391" s="50">
        <v>44662</v>
      </c>
      <c r="B391" s="716">
        <v>0.75</v>
      </c>
      <c r="C391" s="717">
        <v>52</v>
      </c>
      <c r="D391" s="718">
        <v>10.6</v>
      </c>
      <c r="E391" s="719">
        <v>16.2</v>
      </c>
      <c r="F391" s="720">
        <v>944</v>
      </c>
      <c r="G391" s="720">
        <v>2484</v>
      </c>
      <c r="H391" s="720">
        <v>103.8</v>
      </c>
      <c r="I391" s="720">
        <v>104.5</v>
      </c>
      <c r="J391" s="720" t="s">
        <v>2580</v>
      </c>
      <c r="K391" s="718">
        <v>37.9</v>
      </c>
      <c r="L391" s="718">
        <v>40</v>
      </c>
      <c r="M391" s="718">
        <v>40.28</v>
      </c>
      <c r="N391" s="720" t="s">
        <v>142</v>
      </c>
      <c r="O391" s="720" t="s">
        <v>142</v>
      </c>
      <c r="P391" s="720" t="s">
        <v>142</v>
      </c>
      <c r="Q391" s="720" t="s">
        <v>2581</v>
      </c>
      <c r="R391" s="720">
        <v>68.3</v>
      </c>
      <c r="S391" s="721" t="s">
        <v>451</v>
      </c>
      <c r="T391" s="21" t="s">
        <v>236</v>
      </c>
      <c r="U391" s="481"/>
    </row>
    <row r="392" spans="1:21" ht="33.75" customHeight="1" x14ac:dyDescent="0.25">
      <c r="A392" s="50">
        <v>44663</v>
      </c>
      <c r="B392" s="716">
        <v>0.25</v>
      </c>
      <c r="C392" s="1475" t="s">
        <v>2594</v>
      </c>
      <c r="D392" s="1476"/>
      <c r="E392" s="1476"/>
      <c r="F392" s="1476"/>
      <c r="G392" s="1476"/>
      <c r="H392" s="1476"/>
      <c r="I392" s="1476"/>
      <c r="J392" s="1476"/>
      <c r="K392" s="1476"/>
      <c r="L392" s="1476"/>
      <c r="M392" s="1476"/>
      <c r="N392" s="1476"/>
      <c r="O392" s="1476"/>
      <c r="P392" s="1476"/>
      <c r="Q392" s="1476"/>
      <c r="R392" s="1477"/>
      <c r="S392" s="721" t="s">
        <v>451</v>
      </c>
      <c r="T392" s="21" t="s">
        <v>236</v>
      </c>
      <c r="U392" s="481"/>
    </row>
    <row r="393" spans="1:21" ht="21" customHeight="1" x14ac:dyDescent="0.25">
      <c r="A393" s="50">
        <v>44664</v>
      </c>
      <c r="B393" s="716">
        <v>0.25</v>
      </c>
      <c r="C393" s="1478"/>
      <c r="D393" s="1479"/>
      <c r="E393" s="1479"/>
      <c r="F393" s="1479"/>
      <c r="G393" s="1479"/>
      <c r="H393" s="1479"/>
      <c r="I393" s="1479"/>
      <c r="J393" s="1479"/>
      <c r="K393" s="1479"/>
      <c r="L393" s="1479"/>
      <c r="M393" s="1479"/>
      <c r="N393" s="1479"/>
      <c r="O393" s="1479"/>
      <c r="P393" s="1479"/>
      <c r="Q393" s="1479"/>
      <c r="R393" s="1480"/>
      <c r="S393" s="721" t="s">
        <v>451</v>
      </c>
      <c r="T393" s="21" t="s">
        <v>236</v>
      </c>
      <c r="U393" s="481"/>
    </row>
    <row r="394" spans="1:21" ht="21" customHeight="1" x14ac:dyDescent="0.25">
      <c r="A394" s="50">
        <v>44665</v>
      </c>
      <c r="B394" s="716">
        <v>0.25</v>
      </c>
      <c r="C394" s="1475" t="s">
        <v>2594</v>
      </c>
      <c r="D394" s="1476"/>
      <c r="E394" s="1476"/>
      <c r="F394" s="1476"/>
      <c r="G394" s="1476"/>
      <c r="H394" s="1476"/>
      <c r="I394" s="1476"/>
      <c r="J394" s="1476"/>
      <c r="K394" s="1476"/>
      <c r="L394" s="1476"/>
      <c r="M394" s="1476"/>
      <c r="N394" s="1476"/>
      <c r="O394" s="1476"/>
      <c r="P394" s="1476"/>
      <c r="Q394" s="1476"/>
      <c r="R394" s="1477"/>
      <c r="S394" s="721" t="s">
        <v>451</v>
      </c>
      <c r="T394" s="21" t="s">
        <v>236</v>
      </c>
      <c r="U394" s="481"/>
    </row>
    <row r="395" spans="1:21" ht="21" customHeight="1" x14ac:dyDescent="0.25">
      <c r="A395" s="50">
        <v>44666</v>
      </c>
      <c r="B395" s="716">
        <v>0.91666666666666663</v>
      </c>
      <c r="C395" s="1475" t="s">
        <v>2609</v>
      </c>
      <c r="D395" s="1476"/>
      <c r="E395" s="1476"/>
      <c r="F395" s="1476"/>
      <c r="G395" s="1476"/>
      <c r="H395" s="1476"/>
      <c r="I395" s="1476"/>
      <c r="J395" s="1476"/>
      <c r="K395" s="1476"/>
      <c r="L395" s="1476"/>
      <c r="M395" s="1476"/>
      <c r="N395" s="1476"/>
      <c r="O395" s="1476"/>
      <c r="P395" s="1476"/>
      <c r="Q395" s="1476"/>
      <c r="R395" s="1477"/>
      <c r="S395" s="721" t="s">
        <v>451</v>
      </c>
      <c r="T395" s="21" t="s">
        <v>236</v>
      </c>
      <c r="U395" s="481"/>
    </row>
    <row r="396" spans="1:21" ht="21" customHeight="1" x14ac:dyDescent="0.25">
      <c r="A396" s="50">
        <v>44667</v>
      </c>
      <c r="B396" s="716">
        <v>0.95833333333333337</v>
      </c>
      <c r="C396" s="1475" t="s">
        <v>2618</v>
      </c>
      <c r="D396" s="1476"/>
      <c r="E396" s="1476"/>
      <c r="F396" s="1476"/>
      <c r="G396" s="1476"/>
      <c r="H396" s="1476"/>
      <c r="I396" s="1476"/>
      <c r="J396" s="1476"/>
      <c r="K396" s="1476"/>
      <c r="L396" s="1476"/>
      <c r="M396" s="1476"/>
      <c r="N396" s="1476"/>
      <c r="O396" s="1476"/>
      <c r="P396" s="1476"/>
      <c r="Q396" s="1476"/>
      <c r="R396" s="1477"/>
      <c r="S396" s="721" t="s">
        <v>451</v>
      </c>
      <c r="T396" s="21" t="s">
        <v>236</v>
      </c>
      <c r="U396" s="481"/>
    </row>
    <row r="397" spans="1:21" ht="33.75" customHeight="1" x14ac:dyDescent="0.25">
      <c r="A397" s="50">
        <v>44668</v>
      </c>
      <c r="B397" s="716">
        <v>0</v>
      </c>
      <c r="C397" s="717">
        <v>50</v>
      </c>
      <c r="D397" s="718">
        <v>10.199999999999999</v>
      </c>
      <c r="E397" s="719">
        <v>15.9</v>
      </c>
      <c r="F397" s="720">
        <v>1244</v>
      </c>
      <c r="G397" s="720">
        <v>2418</v>
      </c>
      <c r="H397" s="720">
        <v>101.6</v>
      </c>
      <c r="I397" s="720">
        <v>102.8</v>
      </c>
      <c r="J397" s="720" t="s">
        <v>2626</v>
      </c>
      <c r="K397" s="718">
        <v>35.74</v>
      </c>
      <c r="L397" s="718">
        <v>40</v>
      </c>
      <c r="M397" s="718">
        <v>38</v>
      </c>
      <c r="N397" s="720" t="s">
        <v>142</v>
      </c>
      <c r="O397" s="720" t="s">
        <v>142</v>
      </c>
      <c r="P397" s="720" t="s">
        <v>142</v>
      </c>
      <c r="Q397" s="720" t="s">
        <v>1115</v>
      </c>
      <c r="R397" s="720">
        <v>67.900000000000006</v>
      </c>
      <c r="S397" s="721" t="s">
        <v>451</v>
      </c>
      <c r="T397" s="21" t="s">
        <v>236</v>
      </c>
      <c r="U397" s="481"/>
    </row>
    <row r="398" spans="1:21" ht="33.75" customHeight="1" x14ac:dyDescent="0.25">
      <c r="A398" s="50">
        <v>44669</v>
      </c>
      <c r="B398" s="1472" t="s">
        <v>2637</v>
      </c>
      <c r="C398" s="1473"/>
      <c r="D398" s="1473"/>
      <c r="E398" s="1473"/>
      <c r="F398" s="1473"/>
      <c r="G398" s="1473"/>
      <c r="H398" s="1473"/>
      <c r="I398" s="1473"/>
      <c r="J398" s="1473"/>
      <c r="K398" s="1473"/>
      <c r="L398" s="1473"/>
      <c r="M398" s="1473"/>
      <c r="N398" s="1473"/>
      <c r="O398" s="1473"/>
      <c r="P398" s="1473"/>
      <c r="Q398" s="1473"/>
      <c r="R398" s="1474"/>
      <c r="S398" s="721" t="s">
        <v>451</v>
      </c>
      <c r="T398" s="21" t="s">
        <v>236</v>
      </c>
      <c r="U398" s="481"/>
    </row>
    <row r="399" spans="1:21" ht="33.75" customHeight="1" x14ac:dyDescent="0.25">
      <c r="A399" s="50">
        <v>44670</v>
      </c>
      <c r="B399" s="1472" t="s">
        <v>2642</v>
      </c>
      <c r="C399" s="1473"/>
      <c r="D399" s="1473"/>
      <c r="E399" s="1473"/>
      <c r="F399" s="1473"/>
      <c r="G399" s="1473"/>
      <c r="H399" s="1473"/>
      <c r="I399" s="1473"/>
      <c r="J399" s="1473"/>
      <c r="K399" s="1473"/>
      <c r="L399" s="1473"/>
      <c r="M399" s="1473"/>
      <c r="N399" s="1473"/>
      <c r="O399" s="1473"/>
      <c r="P399" s="1473"/>
      <c r="Q399" s="1473"/>
      <c r="R399" s="1474"/>
      <c r="S399" s="721" t="s">
        <v>451</v>
      </c>
      <c r="T399" s="21" t="s">
        <v>236</v>
      </c>
      <c r="U399" s="481"/>
    </row>
    <row r="400" spans="1:21" ht="33.75" customHeight="1" x14ac:dyDescent="0.25">
      <c r="A400" s="50">
        <v>44671</v>
      </c>
      <c r="B400" s="1472" t="s">
        <v>2656</v>
      </c>
      <c r="C400" s="1473"/>
      <c r="D400" s="1473"/>
      <c r="E400" s="1473"/>
      <c r="F400" s="1473"/>
      <c r="G400" s="1473"/>
      <c r="H400" s="1473"/>
      <c r="I400" s="1473"/>
      <c r="J400" s="1473"/>
      <c r="K400" s="1473"/>
      <c r="L400" s="1473"/>
      <c r="M400" s="1473"/>
      <c r="N400" s="1473"/>
      <c r="O400" s="1473"/>
      <c r="P400" s="1473"/>
      <c r="Q400" s="1473"/>
      <c r="R400" s="1474"/>
      <c r="S400" s="721" t="s">
        <v>451</v>
      </c>
      <c r="T400" s="21" t="s">
        <v>236</v>
      </c>
      <c r="U400" s="481"/>
    </row>
    <row r="401" spans="1:21" ht="33.75" customHeight="1" x14ac:dyDescent="0.25">
      <c r="A401" s="25">
        <v>44672</v>
      </c>
      <c r="B401" s="58">
        <v>0</v>
      </c>
      <c r="C401" s="246">
        <v>52</v>
      </c>
      <c r="D401" s="60">
        <v>11.2</v>
      </c>
      <c r="E401" s="247">
        <v>16.600000000000001</v>
      </c>
      <c r="F401" s="57">
        <v>946</v>
      </c>
      <c r="G401" s="57">
        <v>2492</v>
      </c>
      <c r="H401" s="57">
        <v>103.1</v>
      </c>
      <c r="I401" s="57">
        <v>103.8</v>
      </c>
      <c r="J401" s="57" t="s">
        <v>2661</v>
      </c>
      <c r="K401" s="60">
        <v>36.4</v>
      </c>
      <c r="L401" s="60">
        <v>40</v>
      </c>
      <c r="M401" s="60">
        <v>42.74</v>
      </c>
      <c r="N401" s="57" t="s">
        <v>142</v>
      </c>
      <c r="O401" s="57" t="s">
        <v>142</v>
      </c>
      <c r="P401" s="57" t="s">
        <v>142</v>
      </c>
      <c r="Q401" s="57" t="s">
        <v>2662</v>
      </c>
      <c r="R401" s="57">
        <v>70.900000000000006</v>
      </c>
      <c r="S401" s="26" t="s">
        <v>451</v>
      </c>
      <c r="T401" s="20" t="s">
        <v>236</v>
      </c>
      <c r="U401" s="481"/>
    </row>
    <row r="402" spans="1:21" ht="26.25" customHeight="1" x14ac:dyDescent="0.25">
      <c r="A402" s="25">
        <v>44673</v>
      </c>
      <c r="B402" s="58">
        <v>0.89583333333333337</v>
      </c>
      <c r="C402" s="246">
        <v>52</v>
      </c>
      <c r="D402" s="60">
        <v>10.65</v>
      </c>
      <c r="E402" s="247">
        <v>16.100000000000001</v>
      </c>
      <c r="F402" s="57">
        <v>921.7</v>
      </c>
      <c r="G402" s="57">
        <v>2471</v>
      </c>
      <c r="H402" s="57">
        <v>104</v>
      </c>
      <c r="I402" s="57">
        <v>104.8</v>
      </c>
      <c r="J402" s="57" t="s">
        <v>2668</v>
      </c>
      <c r="K402" s="60">
        <v>35.369999999999997</v>
      </c>
      <c r="L402" s="60">
        <v>39</v>
      </c>
      <c r="M402" s="60">
        <v>40.61</v>
      </c>
      <c r="N402" s="57" t="s">
        <v>142</v>
      </c>
      <c r="O402" s="57" t="s">
        <v>142</v>
      </c>
      <c r="P402" s="57" t="s">
        <v>142</v>
      </c>
      <c r="Q402" s="57" t="s">
        <v>2669</v>
      </c>
      <c r="R402" s="57">
        <v>68.8</v>
      </c>
      <c r="S402" s="26" t="s">
        <v>451</v>
      </c>
      <c r="T402" s="20" t="s">
        <v>236</v>
      </c>
      <c r="U402" s="481"/>
    </row>
    <row r="403" spans="1:21" ht="26.25" customHeight="1" x14ac:dyDescent="0.25">
      <c r="A403" s="25">
        <v>44674</v>
      </c>
      <c r="B403" s="58">
        <v>0.97916666666666663</v>
      </c>
      <c r="C403" s="1469" t="s">
        <v>2712</v>
      </c>
      <c r="D403" s="1470"/>
      <c r="E403" s="1470"/>
      <c r="F403" s="1470"/>
      <c r="G403" s="1470"/>
      <c r="H403" s="1470"/>
      <c r="I403" s="1470"/>
      <c r="J403" s="1470"/>
      <c r="K403" s="1470"/>
      <c r="L403" s="1470"/>
      <c r="M403" s="1470"/>
      <c r="N403" s="1470"/>
      <c r="O403" s="1470"/>
      <c r="P403" s="1470"/>
      <c r="Q403" s="1470"/>
      <c r="R403" s="1471"/>
      <c r="S403" s="26" t="s">
        <v>451</v>
      </c>
      <c r="T403" s="20" t="s">
        <v>236</v>
      </c>
      <c r="U403" s="481"/>
    </row>
    <row r="404" spans="1:21" ht="26.25" customHeight="1" x14ac:dyDescent="0.25">
      <c r="A404" s="25">
        <v>44675</v>
      </c>
      <c r="B404" s="58">
        <v>0.97916666666666663</v>
      </c>
      <c r="C404" s="1469" t="s">
        <v>2712</v>
      </c>
      <c r="D404" s="1470"/>
      <c r="E404" s="1470"/>
      <c r="F404" s="1470"/>
      <c r="G404" s="1470"/>
      <c r="H404" s="1470"/>
      <c r="I404" s="1470"/>
      <c r="J404" s="1470"/>
      <c r="K404" s="1470"/>
      <c r="L404" s="1470"/>
      <c r="M404" s="1470"/>
      <c r="N404" s="1470"/>
      <c r="O404" s="1470"/>
      <c r="P404" s="1470"/>
      <c r="Q404" s="1470"/>
      <c r="R404" s="1471"/>
      <c r="S404" s="26" t="s">
        <v>451</v>
      </c>
      <c r="T404" s="20" t="s">
        <v>236</v>
      </c>
      <c r="U404" s="481"/>
    </row>
    <row r="405" spans="1:21" ht="26.25" customHeight="1" x14ac:dyDescent="0.25">
      <c r="A405" s="25">
        <v>44676</v>
      </c>
      <c r="B405" s="58">
        <v>0.97916666666666663</v>
      </c>
      <c r="C405" s="1469" t="s">
        <v>2712</v>
      </c>
      <c r="D405" s="1470"/>
      <c r="E405" s="1470"/>
      <c r="F405" s="1470"/>
      <c r="G405" s="1470"/>
      <c r="H405" s="1470"/>
      <c r="I405" s="1470"/>
      <c r="J405" s="1470"/>
      <c r="K405" s="1470"/>
      <c r="L405" s="1470"/>
      <c r="M405" s="1470"/>
      <c r="N405" s="1470"/>
      <c r="O405" s="1470"/>
      <c r="P405" s="1470"/>
      <c r="Q405" s="1470"/>
      <c r="R405" s="1471"/>
      <c r="S405" s="26" t="s">
        <v>451</v>
      </c>
      <c r="T405" s="20" t="s">
        <v>236</v>
      </c>
      <c r="U405" s="481"/>
    </row>
    <row r="406" spans="1:21" ht="26.25" customHeight="1" x14ac:dyDescent="0.25">
      <c r="A406" s="25">
        <v>44677</v>
      </c>
      <c r="B406" s="58">
        <v>0.91666666666666663</v>
      </c>
      <c r="C406" s="1469" t="s">
        <v>2713</v>
      </c>
      <c r="D406" s="1470"/>
      <c r="E406" s="1470"/>
      <c r="F406" s="1470"/>
      <c r="G406" s="1470"/>
      <c r="H406" s="1470"/>
      <c r="I406" s="1470"/>
      <c r="J406" s="1470"/>
      <c r="K406" s="1470"/>
      <c r="L406" s="1470"/>
      <c r="M406" s="1470"/>
      <c r="N406" s="1470"/>
      <c r="O406" s="1470"/>
      <c r="P406" s="1470"/>
      <c r="Q406" s="1470"/>
      <c r="R406" s="1471"/>
      <c r="S406" s="26" t="s">
        <v>451</v>
      </c>
      <c r="T406" s="20" t="s">
        <v>236</v>
      </c>
      <c r="U406" s="481"/>
    </row>
    <row r="407" spans="1:21" ht="26.25" customHeight="1" x14ac:dyDescent="0.25">
      <c r="A407" s="25">
        <v>44678</v>
      </c>
      <c r="B407" s="58">
        <v>0.91666666666666663</v>
      </c>
      <c r="C407" s="1469" t="s">
        <v>2714</v>
      </c>
      <c r="D407" s="1470"/>
      <c r="E407" s="1470"/>
      <c r="F407" s="1470"/>
      <c r="G407" s="1470"/>
      <c r="H407" s="1470"/>
      <c r="I407" s="1470"/>
      <c r="J407" s="1470"/>
      <c r="K407" s="1470"/>
      <c r="L407" s="1470"/>
      <c r="M407" s="1470"/>
      <c r="N407" s="1470"/>
      <c r="O407" s="1470"/>
      <c r="P407" s="1470"/>
      <c r="Q407" s="1470"/>
      <c r="R407" s="1471"/>
      <c r="S407" s="26" t="s">
        <v>451</v>
      </c>
      <c r="T407" s="20" t="s">
        <v>236</v>
      </c>
      <c r="U407" s="481"/>
    </row>
    <row r="408" spans="1:21" ht="26.25" customHeight="1" x14ac:dyDescent="0.25">
      <c r="A408" s="25">
        <v>44679</v>
      </c>
      <c r="B408" s="58">
        <v>0.66666666666666663</v>
      </c>
      <c r="C408" s="1469" t="s">
        <v>2724</v>
      </c>
      <c r="D408" s="1470"/>
      <c r="E408" s="1470"/>
      <c r="F408" s="1470"/>
      <c r="G408" s="1470"/>
      <c r="H408" s="1470"/>
      <c r="I408" s="1470"/>
      <c r="J408" s="1470"/>
      <c r="K408" s="1470"/>
      <c r="L408" s="1470"/>
      <c r="M408" s="1470"/>
      <c r="N408" s="1470"/>
      <c r="O408" s="1470"/>
      <c r="P408" s="1470"/>
      <c r="Q408" s="1470"/>
      <c r="R408" s="1471"/>
      <c r="S408" s="26" t="s">
        <v>451</v>
      </c>
      <c r="T408" s="20" t="s">
        <v>236</v>
      </c>
      <c r="U408" s="481"/>
    </row>
    <row r="409" spans="1:21" ht="26.25" customHeight="1" x14ac:dyDescent="0.25">
      <c r="A409" s="25">
        <v>44680</v>
      </c>
      <c r="B409" s="58">
        <v>0.75</v>
      </c>
      <c r="C409" s="246">
        <v>52</v>
      </c>
      <c r="D409" s="60">
        <v>10.9</v>
      </c>
      <c r="E409" s="247">
        <v>16.399999999999999</v>
      </c>
      <c r="F409" s="57">
        <v>920.4</v>
      </c>
      <c r="G409" s="57">
        <v>2467</v>
      </c>
      <c r="H409" s="57">
        <v>103.5</v>
      </c>
      <c r="I409" s="57">
        <v>104.2</v>
      </c>
      <c r="J409" s="57" t="s">
        <v>2736</v>
      </c>
      <c r="K409" s="60">
        <v>36.74</v>
      </c>
      <c r="L409" s="60">
        <v>40</v>
      </c>
      <c r="M409" s="60">
        <v>42</v>
      </c>
      <c r="N409" s="57" t="s">
        <v>142</v>
      </c>
      <c r="O409" s="57" t="s">
        <v>142</v>
      </c>
      <c r="P409" s="57" t="s">
        <v>142</v>
      </c>
      <c r="Q409" s="57" t="s">
        <v>2556</v>
      </c>
      <c r="R409" s="57">
        <v>70</v>
      </c>
      <c r="S409" s="26" t="s">
        <v>451</v>
      </c>
      <c r="T409" s="20" t="s">
        <v>236</v>
      </c>
      <c r="U409" s="481"/>
    </row>
    <row r="410" spans="1:21" ht="26.25" customHeight="1" x14ac:dyDescent="0.25">
      <c r="A410" s="25">
        <v>44681</v>
      </c>
      <c r="B410" s="58">
        <v>0.75</v>
      </c>
      <c r="C410" s="1469" t="s">
        <v>2755</v>
      </c>
      <c r="D410" s="1470"/>
      <c r="E410" s="1470"/>
      <c r="F410" s="1470"/>
      <c r="G410" s="1470"/>
      <c r="H410" s="1470"/>
      <c r="I410" s="1470"/>
      <c r="J410" s="1470"/>
      <c r="K410" s="1470"/>
      <c r="L410" s="1470"/>
      <c r="M410" s="1470"/>
      <c r="N410" s="1470"/>
      <c r="O410" s="1470"/>
      <c r="P410" s="1470"/>
      <c r="Q410" s="1470"/>
      <c r="R410" s="1471"/>
      <c r="S410" s="26" t="s">
        <v>451</v>
      </c>
      <c r="T410" s="20" t="s">
        <v>236</v>
      </c>
      <c r="U410" s="481"/>
    </row>
    <row r="411" spans="1:21" ht="26.25" customHeight="1" x14ac:dyDescent="0.25">
      <c r="A411" s="25">
        <v>44682</v>
      </c>
      <c r="B411" s="58">
        <v>0.70833333333333337</v>
      </c>
      <c r="C411" s="1469" t="s">
        <v>2755</v>
      </c>
      <c r="D411" s="1470"/>
      <c r="E411" s="1470"/>
      <c r="F411" s="1470"/>
      <c r="G411" s="1470"/>
      <c r="H411" s="1470"/>
      <c r="I411" s="1470"/>
      <c r="J411" s="1470"/>
      <c r="K411" s="1470"/>
      <c r="L411" s="1470"/>
      <c r="M411" s="1470"/>
      <c r="N411" s="1470"/>
      <c r="O411" s="1470"/>
      <c r="P411" s="1470"/>
      <c r="Q411" s="1470"/>
      <c r="R411" s="1471"/>
      <c r="S411" s="26" t="s">
        <v>451</v>
      </c>
      <c r="T411" s="20" t="s">
        <v>236</v>
      </c>
      <c r="U411" s="481"/>
    </row>
    <row r="412" spans="1:21" ht="26.25" customHeight="1" x14ac:dyDescent="0.25">
      <c r="A412" s="25">
        <v>44683</v>
      </c>
      <c r="B412" s="58">
        <v>0.77083333333333337</v>
      </c>
      <c r="C412" s="1469" t="s">
        <v>2762</v>
      </c>
      <c r="D412" s="1470"/>
      <c r="E412" s="1470"/>
      <c r="F412" s="1470"/>
      <c r="G412" s="1470"/>
      <c r="H412" s="1470"/>
      <c r="I412" s="1470"/>
      <c r="J412" s="1470"/>
      <c r="K412" s="1470"/>
      <c r="L412" s="1470"/>
      <c r="M412" s="1470"/>
      <c r="N412" s="1470"/>
      <c r="O412" s="1470"/>
      <c r="P412" s="1470"/>
      <c r="Q412" s="1470"/>
      <c r="R412" s="1471"/>
      <c r="S412" s="26" t="s">
        <v>451</v>
      </c>
      <c r="T412" s="20" t="s">
        <v>236</v>
      </c>
      <c r="U412" s="481"/>
    </row>
    <row r="413" spans="1:21" ht="26.25" customHeight="1" x14ac:dyDescent="0.25">
      <c r="A413" s="25">
        <v>44684</v>
      </c>
      <c r="B413" s="58">
        <v>0.77083333333333337</v>
      </c>
      <c r="C413" s="1469" t="s">
        <v>2772</v>
      </c>
      <c r="D413" s="1470"/>
      <c r="E413" s="1470"/>
      <c r="F413" s="1470"/>
      <c r="G413" s="1470"/>
      <c r="H413" s="1470"/>
      <c r="I413" s="1470"/>
      <c r="J413" s="1470"/>
      <c r="K413" s="1470"/>
      <c r="L413" s="1470"/>
      <c r="M413" s="1470"/>
      <c r="N413" s="1470"/>
      <c r="O413" s="1470"/>
      <c r="P413" s="1470"/>
      <c r="Q413" s="1470"/>
      <c r="R413" s="1471"/>
      <c r="S413" s="26" t="s">
        <v>451</v>
      </c>
      <c r="T413" s="20" t="s">
        <v>236</v>
      </c>
      <c r="U413" s="481"/>
    </row>
    <row r="414" spans="1:21" ht="26.25" customHeight="1" x14ac:dyDescent="0.25">
      <c r="A414" s="25">
        <v>44685</v>
      </c>
      <c r="B414" s="58">
        <v>0.75</v>
      </c>
      <c r="C414" s="1469" t="s">
        <v>2780</v>
      </c>
      <c r="D414" s="1470"/>
      <c r="E414" s="1470"/>
      <c r="F414" s="1470"/>
      <c r="G414" s="1470"/>
      <c r="H414" s="1470"/>
      <c r="I414" s="1470"/>
      <c r="J414" s="1470"/>
      <c r="K414" s="1470"/>
      <c r="L414" s="1470"/>
      <c r="M414" s="1470"/>
      <c r="N414" s="1470"/>
      <c r="O414" s="1470"/>
      <c r="P414" s="1470"/>
      <c r="Q414" s="1470"/>
      <c r="R414" s="1471"/>
      <c r="S414" s="26" t="s">
        <v>451</v>
      </c>
      <c r="T414" s="20" t="s">
        <v>236</v>
      </c>
      <c r="U414" s="481"/>
    </row>
    <row r="415" spans="1:21" ht="26.25" customHeight="1" x14ac:dyDescent="0.25">
      <c r="A415" s="25">
        <v>44686</v>
      </c>
      <c r="B415" s="58">
        <v>0.79166666666666663</v>
      </c>
      <c r="C415" s="246">
        <v>52</v>
      </c>
      <c r="D415" s="60">
        <v>11.5</v>
      </c>
      <c r="E415" s="247">
        <v>16.8</v>
      </c>
      <c r="F415" s="57">
        <v>936</v>
      </c>
      <c r="G415" s="57">
        <v>2490</v>
      </c>
      <c r="H415" s="57">
        <v>103.1</v>
      </c>
      <c r="I415" s="57">
        <v>103.8</v>
      </c>
      <c r="J415" s="57" t="s">
        <v>2783</v>
      </c>
      <c r="K415" s="60">
        <v>35.880000000000003</v>
      </c>
      <c r="L415" s="60">
        <v>40</v>
      </c>
      <c r="M415" s="60">
        <v>43.19</v>
      </c>
      <c r="N415" s="57" t="s">
        <v>142</v>
      </c>
      <c r="O415" s="57" t="s">
        <v>142</v>
      </c>
      <c r="P415" s="57" t="s">
        <v>142</v>
      </c>
      <c r="Q415" s="57" t="s">
        <v>1587</v>
      </c>
      <c r="R415" s="57">
        <v>71.7</v>
      </c>
      <c r="S415" s="26" t="s">
        <v>451</v>
      </c>
      <c r="T415" s="20" t="s">
        <v>236</v>
      </c>
      <c r="U415" s="481"/>
    </row>
    <row r="416" spans="1:21" ht="26.25" customHeight="1" x14ac:dyDescent="0.25">
      <c r="A416" s="25">
        <v>44687</v>
      </c>
      <c r="B416" s="58">
        <v>0.77083333333333337</v>
      </c>
      <c r="C416" s="246">
        <v>52</v>
      </c>
      <c r="D416" s="60">
        <v>10.3</v>
      </c>
      <c r="E416" s="247">
        <v>16</v>
      </c>
      <c r="F416" s="57">
        <v>911</v>
      </c>
      <c r="G416" s="57">
        <v>2462</v>
      </c>
      <c r="H416" s="57">
        <v>104</v>
      </c>
      <c r="I416" s="57">
        <v>105</v>
      </c>
      <c r="J416" s="57" t="s">
        <v>2795</v>
      </c>
      <c r="K416" s="60">
        <v>36.299999999999997</v>
      </c>
      <c r="L416" s="60">
        <v>39</v>
      </c>
      <c r="M416" s="60">
        <v>40.36</v>
      </c>
      <c r="N416" s="57" t="s">
        <v>142</v>
      </c>
      <c r="O416" s="57" t="s">
        <v>142</v>
      </c>
      <c r="P416" s="57" t="s">
        <v>142</v>
      </c>
      <c r="Q416" s="57" t="s">
        <v>1393</v>
      </c>
      <c r="R416" s="57">
        <v>68.3</v>
      </c>
      <c r="S416" s="26" t="s">
        <v>451</v>
      </c>
      <c r="T416" s="20" t="s">
        <v>236</v>
      </c>
      <c r="U416" s="481"/>
    </row>
    <row r="417" spans="1:21" ht="26.25" customHeight="1" x14ac:dyDescent="0.25">
      <c r="A417" s="25">
        <v>44688</v>
      </c>
      <c r="B417" s="58">
        <v>0.79166666666666663</v>
      </c>
      <c r="C417" s="1469" t="s">
        <v>2803</v>
      </c>
      <c r="D417" s="1470"/>
      <c r="E417" s="1470"/>
      <c r="F417" s="1470"/>
      <c r="G417" s="1470"/>
      <c r="H417" s="1470"/>
      <c r="I417" s="1470"/>
      <c r="J417" s="1470"/>
      <c r="K417" s="1470"/>
      <c r="L417" s="1470"/>
      <c r="M417" s="1470"/>
      <c r="N417" s="1470"/>
      <c r="O417" s="1470"/>
      <c r="P417" s="1470"/>
      <c r="Q417" s="1470"/>
      <c r="R417" s="1471"/>
      <c r="S417" s="26" t="s">
        <v>451</v>
      </c>
      <c r="T417" s="20" t="s">
        <v>236</v>
      </c>
      <c r="U417" s="481"/>
    </row>
    <row r="418" spans="1:21" ht="26.25" customHeight="1" x14ac:dyDescent="0.25">
      <c r="A418" s="25">
        <v>44689</v>
      </c>
      <c r="B418" s="58">
        <v>0.91666666666666663</v>
      </c>
      <c r="C418" s="1469" t="s">
        <v>2803</v>
      </c>
      <c r="D418" s="1470"/>
      <c r="E418" s="1470"/>
      <c r="F418" s="1470"/>
      <c r="G418" s="1470"/>
      <c r="H418" s="1470"/>
      <c r="I418" s="1470"/>
      <c r="J418" s="1470"/>
      <c r="K418" s="1470"/>
      <c r="L418" s="1470"/>
      <c r="M418" s="1470"/>
      <c r="N418" s="1470"/>
      <c r="O418" s="1470"/>
      <c r="P418" s="1470"/>
      <c r="Q418" s="1470"/>
      <c r="R418" s="1471"/>
      <c r="S418" s="26" t="s">
        <v>451</v>
      </c>
      <c r="T418" s="20" t="s">
        <v>236</v>
      </c>
      <c r="U418" s="481"/>
    </row>
    <row r="419" spans="1:21" ht="26.25" customHeight="1" x14ac:dyDescent="0.25">
      <c r="A419" s="25">
        <v>44690</v>
      </c>
      <c r="B419" s="58">
        <v>0.91666666666666663</v>
      </c>
      <c r="C419" s="1469" t="s">
        <v>2803</v>
      </c>
      <c r="D419" s="1470"/>
      <c r="E419" s="1470"/>
      <c r="F419" s="1470"/>
      <c r="G419" s="1470"/>
      <c r="H419" s="1470"/>
      <c r="I419" s="1470"/>
      <c r="J419" s="1470"/>
      <c r="K419" s="1470"/>
      <c r="L419" s="1470"/>
      <c r="M419" s="1470"/>
      <c r="N419" s="1470"/>
      <c r="O419" s="1470"/>
      <c r="P419" s="1470"/>
      <c r="Q419" s="1470"/>
      <c r="R419" s="1471"/>
      <c r="S419" s="26" t="s">
        <v>451</v>
      </c>
      <c r="T419" s="20" t="s">
        <v>236</v>
      </c>
      <c r="U419" s="481"/>
    </row>
    <row r="420" spans="1:21" ht="26.25" customHeight="1" x14ac:dyDescent="0.25">
      <c r="A420" s="25">
        <v>44691</v>
      </c>
      <c r="B420" s="58">
        <v>0.91666666666666663</v>
      </c>
      <c r="C420" s="1469" t="s">
        <v>2803</v>
      </c>
      <c r="D420" s="1470"/>
      <c r="E420" s="1470"/>
      <c r="F420" s="1470"/>
      <c r="G420" s="1470"/>
      <c r="H420" s="1470"/>
      <c r="I420" s="1470"/>
      <c r="J420" s="1470"/>
      <c r="K420" s="1470"/>
      <c r="L420" s="1470"/>
      <c r="M420" s="1470"/>
      <c r="N420" s="1470"/>
      <c r="O420" s="1470"/>
      <c r="P420" s="1470"/>
      <c r="Q420" s="1470"/>
      <c r="R420" s="1471"/>
      <c r="S420" s="26" t="s">
        <v>451</v>
      </c>
      <c r="T420" s="20" t="s">
        <v>236</v>
      </c>
      <c r="U420" s="481"/>
    </row>
    <row r="421" spans="1:21" ht="26.25" customHeight="1" x14ac:dyDescent="0.25">
      <c r="A421" s="25">
        <v>44692</v>
      </c>
      <c r="B421" s="58">
        <v>0.89583333333333337</v>
      </c>
      <c r="C421" s="1469" t="s">
        <v>2828</v>
      </c>
      <c r="D421" s="1470"/>
      <c r="E421" s="1470"/>
      <c r="F421" s="1470"/>
      <c r="G421" s="1470"/>
      <c r="H421" s="1470"/>
      <c r="I421" s="1470"/>
      <c r="J421" s="1470"/>
      <c r="K421" s="1470"/>
      <c r="L421" s="1470"/>
      <c r="M421" s="1470"/>
      <c r="N421" s="1470"/>
      <c r="O421" s="1470"/>
      <c r="P421" s="1470"/>
      <c r="Q421" s="1470"/>
      <c r="R421" s="1471"/>
      <c r="S421" s="26" t="s">
        <v>451</v>
      </c>
      <c r="T421" s="20" t="s">
        <v>236</v>
      </c>
      <c r="U421" s="481"/>
    </row>
    <row r="422" spans="1:21" ht="26.25" customHeight="1" x14ac:dyDescent="0.25">
      <c r="A422" s="25">
        <v>44693</v>
      </c>
      <c r="B422" s="58">
        <v>0.95833333333333337</v>
      </c>
      <c r="C422" s="1469" t="s">
        <v>2834</v>
      </c>
      <c r="D422" s="1470"/>
      <c r="E422" s="1470"/>
      <c r="F422" s="1470"/>
      <c r="G422" s="1470"/>
      <c r="H422" s="1470"/>
      <c r="I422" s="1470"/>
      <c r="J422" s="1470"/>
      <c r="K422" s="1470"/>
      <c r="L422" s="1470"/>
      <c r="M422" s="1470"/>
      <c r="N422" s="1470"/>
      <c r="O422" s="1470"/>
      <c r="P422" s="1470"/>
      <c r="Q422" s="1470"/>
      <c r="R422" s="1471"/>
      <c r="S422" s="26" t="s">
        <v>451</v>
      </c>
      <c r="T422" s="20" t="s">
        <v>236</v>
      </c>
      <c r="U422" s="481"/>
    </row>
    <row r="423" spans="1:21" ht="26.25" customHeight="1" x14ac:dyDescent="0.25">
      <c r="A423" s="25">
        <v>44694</v>
      </c>
      <c r="B423" s="58">
        <v>0.91666666666666663</v>
      </c>
      <c r="C423" s="246">
        <v>52</v>
      </c>
      <c r="D423" s="60">
        <v>11.5</v>
      </c>
      <c r="E423" s="247">
        <v>16.899999999999999</v>
      </c>
      <c r="F423" s="57">
        <v>984</v>
      </c>
      <c r="G423" s="57">
        <v>2482</v>
      </c>
      <c r="H423" s="57">
        <v>102.8</v>
      </c>
      <c r="I423" s="57">
        <v>103.4</v>
      </c>
      <c r="J423" s="57" t="s">
        <v>2846</v>
      </c>
      <c r="K423" s="60">
        <v>34.35</v>
      </c>
      <c r="L423" s="60">
        <v>40</v>
      </c>
      <c r="M423" s="60">
        <v>41.97</v>
      </c>
      <c r="N423" s="57" t="s">
        <v>142</v>
      </c>
      <c r="O423" s="57" t="s">
        <v>142</v>
      </c>
      <c r="P423" s="57" t="s">
        <v>142</v>
      </c>
      <c r="Q423" s="57" t="s">
        <v>2847</v>
      </c>
      <c r="R423" s="57">
        <v>72.2</v>
      </c>
      <c r="S423" s="26" t="s">
        <v>451</v>
      </c>
      <c r="T423" s="20" t="s">
        <v>236</v>
      </c>
      <c r="U423" s="39" t="s">
        <v>2851</v>
      </c>
    </row>
    <row r="424" spans="1:21" ht="26.25" customHeight="1" x14ac:dyDescent="0.25">
      <c r="A424" s="25">
        <v>44695</v>
      </c>
      <c r="B424" s="58">
        <v>0.75</v>
      </c>
      <c r="C424" s="246">
        <v>52</v>
      </c>
      <c r="D424" s="60">
        <v>10.8</v>
      </c>
      <c r="E424" s="247">
        <v>16.3</v>
      </c>
      <c r="F424" s="57">
        <v>914</v>
      </c>
      <c r="G424" s="57">
        <v>2466</v>
      </c>
      <c r="H424" s="57">
        <v>103.3</v>
      </c>
      <c r="I424" s="57">
        <v>104.2</v>
      </c>
      <c r="J424" s="57" t="s">
        <v>2852</v>
      </c>
      <c r="K424" s="60">
        <v>35.25</v>
      </c>
      <c r="L424" s="60">
        <v>41</v>
      </c>
      <c r="M424" s="60">
        <v>41.51</v>
      </c>
      <c r="N424" s="57" t="s">
        <v>142</v>
      </c>
      <c r="O424" s="57" t="s">
        <v>142</v>
      </c>
      <c r="P424" s="57" t="s">
        <v>142</v>
      </c>
      <c r="Q424" s="57" t="s">
        <v>2853</v>
      </c>
      <c r="R424" s="57">
        <v>69.599999999999994</v>
      </c>
      <c r="S424" s="26" t="s">
        <v>451</v>
      </c>
      <c r="T424" s="20" t="s">
        <v>236</v>
      </c>
      <c r="U424" s="39"/>
    </row>
    <row r="425" spans="1:21" ht="26.25" customHeight="1" x14ac:dyDescent="0.25">
      <c r="A425" s="25">
        <v>44696</v>
      </c>
      <c r="B425" s="58">
        <v>0.75</v>
      </c>
      <c r="C425" s="1469"/>
      <c r="D425" s="1470"/>
      <c r="E425" s="1470"/>
      <c r="F425" s="1470"/>
      <c r="G425" s="1470"/>
      <c r="H425" s="1470"/>
      <c r="I425" s="1470"/>
      <c r="J425" s="1470"/>
      <c r="K425" s="1470"/>
      <c r="L425" s="1470"/>
      <c r="M425" s="1470"/>
      <c r="N425" s="1470"/>
      <c r="O425" s="1470"/>
      <c r="P425" s="1471"/>
      <c r="Q425" s="57"/>
      <c r="R425" s="57"/>
      <c r="S425" s="26" t="s">
        <v>451</v>
      </c>
      <c r="T425" s="20" t="s">
        <v>236</v>
      </c>
      <c r="U425" s="39"/>
    </row>
    <row r="426" spans="1:21" ht="26.25" customHeight="1" x14ac:dyDescent="0.25">
      <c r="A426" s="25">
        <v>44697</v>
      </c>
      <c r="B426" s="58">
        <v>0.75</v>
      </c>
      <c r="C426" s="1469" t="s">
        <v>2872</v>
      </c>
      <c r="D426" s="1470"/>
      <c r="E426" s="1470"/>
      <c r="F426" s="1470"/>
      <c r="G426" s="1470"/>
      <c r="H426" s="1470"/>
      <c r="I426" s="1470"/>
      <c r="J426" s="1470"/>
      <c r="K426" s="1470"/>
      <c r="L426" s="1470"/>
      <c r="M426" s="1470"/>
      <c r="N426" s="1470"/>
      <c r="O426" s="1470"/>
      <c r="P426" s="1471"/>
      <c r="Q426" s="57"/>
      <c r="R426" s="57"/>
      <c r="S426" s="26" t="s">
        <v>451</v>
      </c>
      <c r="T426" s="20" t="s">
        <v>236</v>
      </c>
      <c r="U426" s="39"/>
    </row>
    <row r="427" spans="1:21" ht="26.25" customHeight="1" x14ac:dyDescent="0.25">
      <c r="A427" s="25">
        <v>44698</v>
      </c>
      <c r="B427" s="58">
        <v>0.75</v>
      </c>
      <c r="C427" s="1469" t="s">
        <v>2872</v>
      </c>
      <c r="D427" s="1470"/>
      <c r="E427" s="1470"/>
      <c r="F427" s="1470"/>
      <c r="G427" s="1470"/>
      <c r="H427" s="1470"/>
      <c r="I427" s="1470"/>
      <c r="J427" s="1470"/>
      <c r="K427" s="1470"/>
      <c r="L427" s="1470"/>
      <c r="M427" s="1470"/>
      <c r="N427" s="1470"/>
      <c r="O427" s="1470"/>
      <c r="P427" s="1471"/>
      <c r="Q427" s="57"/>
      <c r="R427" s="57"/>
      <c r="S427" s="26" t="s">
        <v>451</v>
      </c>
      <c r="T427" s="20" t="s">
        <v>236</v>
      </c>
      <c r="U427" s="39"/>
    </row>
    <row r="428" spans="1:21" ht="26.25" customHeight="1" x14ac:dyDescent="0.25">
      <c r="A428" s="25">
        <v>44699</v>
      </c>
      <c r="B428" s="58">
        <v>0.75</v>
      </c>
      <c r="C428" s="1469" t="s">
        <v>2872</v>
      </c>
      <c r="D428" s="1470"/>
      <c r="E428" s="1470"/>
      <c r="F428" s="1470"/>
      <c r="G428" s="1470"/>
      <c r="H428" s="1470"/>
      <c r="I428" s="1470"/>
      <c r="J428" s="1470"/>
      <c r="K428" s="1470"/>
      <c r="L428" s="1470"/>
      <c r="M428" s="1470"/>
      <c r="N428" s="1470"/>
      <c r="O428" s="1470"/>
      <c r="P428" s="1471"/>
      <c r="Q428" s="57"/>
      <c r="R428" s="57"/>
      <c r="S428" s="26" t="s">
        <v>451</v>
      </c>
      <c r="T428" s="20" t="s">
        <v>236</v>
      </c>
      <c r="U428" s="39"/>
    </row>
    <row r="429" spans="1:21" ht="26.25" customHeight="1" x14ac:dyDescent="0.25">
      <c r="A429" s="25">
        <v>44700</v>
      </c>
      <c r="B429" s="58">
        <v>0.95833333333333337</v>
      </c>
      <c r="C429" s="1469" t="s">
        <v>2888</v>
      </c>
      <c r="D429" s="1470"/>
      <c r="E429" s="1470"/>
      <c r="F429" s="1470"/>
      <c r="G429" s="1470"/>
      <c r="H429" s="1470"/>
      <c r="I429" s="1470"/>
      <c r="J429" s="1470"/>
      <c r="K429" s="1470"/>
      <c r="L429" s="1470"/>
      <c r="M429" s="1470"/>
      <c r="N429" s="1470"/>
      <c r="O429" s="1470"/>
      <c r="P429" s="1471"/>
      <c r="Q429" s="57"/>
      <c r="R429" s="57"/>
      <c r="S429" s="26" t="s">
        <v>451</v>
      </c>
      <c r="T429" s="20" t="s">
        <v>236</v>
      </c>
      <c r="U429" s="39"/>
    </row>
    <row r="430" spans="1:21" ht="20.25" customHeight="1" x14ac:dyDescent="0.25">
      <c r="A430" s="25">
        <v>44701</v>
      </c>
      <c r="B430" s="58">
        <v>0.89583333333333337</v>
      </c>
      <c r="C430" s="1469" t="s">
        <v>2898</v>
      </c>
      <c r="D430" s="1470"/>
      <c r="E430" s="1470"/>
      <c r="F430" s="1470"/>
      <c r="G430" s="1470"/>
      <c r="H430" s="1470"/>
      <c r="I430" s="1470"/>
      <c r="J430" s="1470"/>
      <c r="K430" s="1470"/>
      <c r="L430" s="1470"/>
      <c r="M430" s="1470"/>
      <c r="N430" s="1470"/>
      <c r="O430" s="1470"/>
      <c r="P430" s="1471"/>
      <c r="Q430" s="57"/>
      <c r="R430" s="57"/>
      <c r="S430" s="26" t="s">
        <v>451</v>
      </c>
      <c r="T430" s="20" t="s">
        <v>236</v>
      </c>
      <c r="U430" s="39"/>
    </row>
    <row r="431" spans="1:21" ht="26.25" customHeight="1" x14ac:dyDescent="0.25">
      <c r="A431" s="25">
        <v>44702</v>
      </c>
      <c r="B431" s="58">
        <v>0.89583333333333337</v>
      </c>
      <c r="C431" s="246">
        <v>52</v>
      </c>
      <c r="D431" s="60">
        <v>11.4</v>
      </c>
      <c r="E431" s="247">
        <v>16.8</v>
      </c>
      <c r="F431" s="57">
        <v>947</v>
      </c>
      <c r="G431" s="57">
        <v>2495</v>
      </c>
      <c r="H431" s="57">
        <v>103.3</v>
      </c>
      <c r="I431" s="57">
        <v>103.7</v>
      </c>
      <c r="J431" s="57" t="s">
        <v>2902</v>
      </c>
      <c r="K431" s="60">
        <v>33.6</v>
      </c>
      <c r="L431" s="60">
        <v>41</v>
      </c>
      <c r="M431" s="60">
        <v>43.54</v>
      </c>
      <c r="N431" s="57" t="s">
        <v>142</v>
      </c>
      <c r="O431" s="57" t="s">
        <v>142</v>
      </c>
      <c r="P431" s="57" t="s">
        <v>142</v>
      </c>
      <c r="Q431" s="57" t="s">
        <v>1244</v>
      </c>
      <c r="R431" s="57">
        <v>71.8</v>
      </c>
      <c r="S431" s="26" t="s">
        <v>451</v>
      </c>
      <c r="T431" s="20" t="s">
        <v>236</v>
      </c>
      <c r="U431" s="39"/>
    </row>
    <row r="432" spans="1:21" ht="26.25" customHeight="1" x14ac:dyDescent="0.25">
      <c r="A432" s="25">
        <v>44703</v>
      </c>
      <c r="B432" s="58">
        <v>0.89583333333333337</v>
      </c>
      <c r="C432" s="246">
        <v>52</v>
      </c>
      <c r="D432" s="60">
        <v>10.4</v>
      </c>
      <c r="E432" s="247">
        <v>16</v>
      </c>
      <c r="F432" s="57">
        <v>908</v>
      </c>
      <c r="G432" s="57">
        <v>2467</v>
      </c>
      <c r="H432" s="57">
        <v>104</v>
      </c>
      <c r="I432" s="57">
        <v>104.9</v>
      </c>
      <c r="J432" s="57" t="s">
        <v>2906</v>
      </c>
      <c r="K432" s="60">
        <v>35.68</v>
      </c>
      <c r="L432" s="60">
        <v>39</v>
      </c>
      <c r="M432" s="60">
        <v>40.01</v>
      </c>
      <c r="N432" s="57" t="s">
        <v>142</v>
      </c>
      <c r="O432" s="57" t="s">
        <v>142</v>
      </c>
      <c r="P432" s="57" t="s">
        <v>142</v>
      </c>
      <c r="Q432" s="57" t="s">
        <v>1393</v>
      </c>
      <c r="R432" s="57">
        <v>68.3</v>
      </c>
      <c r="S432" s="26" t="s">
        <v>451</v>
      </c>
      <c r="T432" s="20" t="s">
        <v>236</v>
      </c>
      <c r="U432" s="39"/>
    </row>
    <row r="433" spans="1:21" ht="26.25" customHeight="1" x14ac:dyDescent="0.25">
      <c r="A433" s="25">
        <v>44704</v>
      </c>
      <c r="B433" s="58">
        <v>0.875</v>
      </c>
      <c r="C433" s="246">
        <v>52</v>
      </c>
      <c r="D433" s="60">
        <v>10.3</v>
      </c>
      <c r="E433" s="247">
        <v>16</v>
      </c>
      <c r="F433" s="57">
        <v>903.3</v>
      </c>
      <c r="G433" s="57">
        <v>2413</v>
      </c>
      <c r="H433" s="57">
        <v>104.7</v>
      </c>
      <c r="I433" s="57">
        <v>105.8</v>
      </c>
      <c r="J433" s="57" t="s">
        <v>2917</v>
      </c>
      <c r="K433" s="60">
        <v>33.630000000000003</v>
      </c>
      <c r="L433" s="60">
        <v>37</v>
      </c>
      <c r="M433" s="60">
        <v>38.81</v>
      </c>
      <c r="N433" s="57" t="s">
        <v>142</v>
      </c>
      <c r="O433" s="57" t="s">
        <v>142</v>
      </c>
      <c r="P433" s="57" t="s">
        <v>142</v>
      </c>
      <c r="Q433" s="57" t="s">
        <v>1393</v>
      </c>
      <c r="R433" s="57">
        <v>68.3</v>
      </c>
      <c r="S433" s="26" t="s">
        <v>451</v>
      </c>
      <c r="T433" s="20" t="s">
        <v>236</v>
      </c>
      <c r="U433" s="39"/>
    </row>
    <row r="434" spans="1:21" ht="26.25" customHeight="1" x14ac:dyDescent="0.25">
      <c r="A434" s="25">
        <v>44705</v>
      </c>
      <c r="B434" s="58">
        <v>0.875</v>
      </c>
      <c r="C434" s="1469" t="s">
        <v>2929</v>
      </c>
      <c r="D434" s="1470"/>
      <c r="E434" s="1470"/>
      <c r="F434" s="1470"/>
      <c r="G434" s="1470"/>
      <c r="H434" s="1470"/>
      <c r="I434" s="1470"/>
      <c r="J434" s="1470"/>
      <c r="K434" s="1470"/>
      <c r="L434" s="1470"/>
      <c r="M434" s="1470"/>
      <c r="N434" s="1470"/>
      <c r="O434" s="1470"/>
      <c r="P434" s="1470"/>
      <c r="Q434" s="1470"/>
      <c r="R434" s="1471"/>
      <c r="S434" s="26" t="s">
        <v>451</v>
      </c>
      <c r="T434" s="20" t="s">
        <v>236</v>
      </c>
      <c r="U434" s="39"/>
    </row>
    <row r="435" spans="1:21" ht="26.25" customHeight="1" x14ac:dyDescent="0.25">
      <c r="A435" s="25">
        <v>44706</v>
      </c>
      <c r="B435" s="58">
        <v>0.9375</v>
      </c>
      <c r="C435" s="1469" t="s">
        <v>2930</v>
      </c>
      <c r="D435" s="1470"/>
      <c r="E435" s="1470"/>
      <c r="F435" s="1470"/>
      <c r="G435" s="1470"/>
      <c r="H435" s="1470"/>
      <c r="I435" s="1470"/>
      <c r="J435" s="1470"/>
      <c r="K435" s="1470"/>
      <c r="L435" s="1470"/>
      <c r="M435" s="1470"/>
      <c r="N435" s="1470"/>
      <c r="O435" s="1470"/>
      <c r="P435" s="1470"/>
      <c r="Q435" s="1470"/>
      <c r="R435" s="1471"/>
      <c r="S435" s="26" t="s">
        <v>451</v>
      </c>
      <c r="T435" s="20" t="s">
        <v>236</v>
      </c>
      <c r="U435" s="39"/>
    </row>
    <row r="436" spans="1:21" ht="26.25" customHeight="1" x14ac:dyDescent="0.25">
      <c r="A436" s="25">
        <v>44707</v>
      </c>
      <c r="B436" s="58">
        <v>0.91666666666666663</v>
      </c>
      <c r="C436" s="1469" t="s">
        <v>2939</v>
      </c>
      <c r="D436" s="1470"/>
      <c r="E436" s="1470"/>
      <c r="F436" s="1470"/>
      <c r="G436" s="1470"/>
      <c r="H436" s="1470"/>
      <c r="I436" s="1470"/>
      <c r="J436" s="1470"/>
      <c r="K436" s="1470"/>
      <c r="L436" s="1470"/>
      <c r="M436" s="1470"/>
      <c r="N436" s="1470"/>
      <c r="O436" s="1470"/>
      <c r="P436" s="1470"/>
      <c r="Q436" s="1470"/>
      <c r="R436" s="1471"/>
      <c r="S436" s="26" t="s">
        <v>451</v>
      </c>
      <c r="T436" s="20" t="s">
        <v>236</v>
      </c>
      <c r="U436" s="39"/>
    </row>
    <row r="437" spans="1:21" ht="26.25" customHeight="1" x14ac:dyDescent="0.25">
      <c r="A437" s="25">
        <v>44708</v>
      </c>
      <c r="B437" s="58">
        <v>0.79166666666666663</v>
      </c>
      <c r="C437" s="1469" t="s">
        <v>2946</v>
      </c>
      <c r="D437" s="1470"/>
      <c r="E437" s="1470"/>
      <c r="F437" s="1470"/>
      <c r="G437" s="1470"/>
      <c r="H437" s="1470"/>
      <c r="I437" s="1470"/>
      <c r="J437" s="1470"/>
      <c r="K437" s="1470"/>
      <c r="L437" s="1470"/>
      <c r="M437" s="1470"/>
      <c r="N437" s="1470"/>
      <c r="O437" s="1470"/>
      <c r="P437" s="1470"/>
      <c r="Q437" s="1470"/>
      <c r="R437" s="1471"/>
      <c r="S437" s="26" t="s">
        <v>451</v>
      </c>
      <c r="T437" s="20" t="s">
        <v>236</v>
      </c>
      <c r="U437" s="39"/>
    </row>
    <row r="438" spans="1:21" ht="26.25" customHeight="1" x14ac:dyDescent="0.25">
      <c r="A438" s="25">
        <v>44709</v>
      </c>
      <c r="B438" s="58">
        <v>0.79166666666666663</v>
      </c>
      <c r="C438" s="1469" t="s">
        <v>2955</v>
      </c>
      <c r="D438" s="1470"/>
      <c r="E438" s="1470"/>
      <c r="F438" s="1470"/>
      <c r="G438" s="1470"/>
      <c r="H438" s="1470"/>
      <c r="I438" s="1470"/>
      <c r="J438" s="1470"/>
      <c r="K438" s="1470"/>
      <c r="L438" s="1470"/>
      <c r="M438" s="1470"/>
      <c r="N438" s="1470"/>
      <c r="O438" s="1470"/>
      <c r="P438" s="1470"/>
      <c r="Q438" s="1470"/>
      <c r="R438" s="1471"/>
      <c r="S438" s="26" t="s">
        <v>451</v>
      </c>
      <c r="T438" s="20" t="s">
        <v>236</v>
      </c>
      <c r="U438" s="39"/>
    </row>
    <row r="439" spans="1:21" ht="26.25" customHeight="1" x14ac:dyDescent="0.25">
      <c r="A439" s="25">
        <v>44710</v>
      </c>
      <c r="B439" s="58">
        <v>0.8125</v>
      </c>
      <c r="C439" s="1469" t="s">
        <v>2962</v>
      </c>
      <c r="D439" s="1470"/>
      <c r="E439" s="1470"/>
      <c r="F439" s="1470"/>
      <c r="G439" s="1470"/>
      <c r="H439" s="1470"/>
      <c r="I439" s="1470"/>
      <c r="J439" s="1470"/>
      <c r="K439" s="1470"/>
      <c r="L439" s="1470"/>
      <c r="M439" s="1470"/>
      <c r="N439" s="1470"/>
      <c r="O439" s="1470"/>
      <c r="P439" s="1470"/>
      <c r="Q439" s="1470"/>
      <c r="R439" s="1471"/>
      <c r="S439" s="26" t="s">
        <v>451</v>
      </c>
      <c r="T439" s="20" t="s">
        <v>236</v>
      </c>
      <c r="U439" s="39"/>
    </row>
    <row r="440" spans="1:21" ht="26.25" customHeight="1" x14ac:dyDescent="0.25">
      <c r="A440" s="25">
        <v>44711</v>
      </c>
      <c r="B440" s="58">
        <v>0.91666666666666663</v>
      </c>
      <c r="C440" s="246">
        <v>52</v>
      </c>
      <c r="D440" s="60">
        <v>11.5</v>
      </c>
      <c r="E440" s="247">
        <v>16.8</v>
      </c>
      <c r="F440" s="57">
        <v>960</v>
      </c>
      <c r="G440" s="57">
        <v>2497</v>
      </c>
      <c r="H440" s="57">
        <v>102.9</v>
      </c>
      <c r="I440" s="57">
        <v>103.5</v>
      </c>
      <c r="J440" s="57" t="s">
        <v>2966</v>
      </c>
      <c r="K440" s="60">
        <v>35.15</v>
      </c>
      <c r="L440" s="60">
        <v>37.5</v>
      </c>
      <c r="M440" s="60">
        <v>42.5</v>
      </c>
      <c r="N440" s="57" t="s">
        <v>142</v>
      </c>
      <c r="O440" s="57" t="s">
        <v>142</v>
      </c>
      <c r="P440" s="57" t="s">
        <v>142</v>
      </c>
      <c r="Q440" s="57" t="s">
        <v>1517</v>
      </c>
      <c r="R440" s="57">
        <v>71.7</v>
      </c>
      <c r="S440" s="26" t="s">
        <v>451</v>
      </c>
      <c r="T440" s="20" t="s">
        <v>236</v>
      </c>
      <c r="U440" s="39" t="s">
        <v>2979</v>
      </c>
    </row>
    <row r="441" spans="1:21" ht="26.25" customHeight="1" x14ac:dyDescent="0.25">
      <c r="A441" s="25">
        <v>44712</v>
      </c>
      <c r="B441" s="58">
        <v>0.91666666666666663</v>
      </c>
      <c r="C441" s="246">
        <v>52</v>
      </c>
      <c r="D441" s="60">
        <v>10.3</v>
      </c>
      <c r="E441" s="247">
        <v>16</v>
      </c>
      <c r="F441" s="57">
        <v>906</v>
      </c>
      <c r="G441" s="57">
        <v>2458</v>
      </c>
      <c r="H441" s="57">
        <v>103.8</v>
      </c>
      <c r="I441" s="57">
        <v>104.8</v>
      </c>
      <c r="J441" s="57" t="s">
        <v>2980</v>
      </c>
      <c r="K441" s="60">
        <v>35.909999999999997</v>
      </c>
      <c r="L441" s="60">
        <v>38</v>
      </c>
      <c r="M441" s="60">
        <v>40.86</v>
      </c>
      <c r="N441" s="57" t="s">
        <v>142</v>
      </c>
      <c r="O441" s="57" t="s">
        <v>142</v>
      </c>
      <c r="P441" s="57" t="s">
        <v>142</v>
      </c>
      <c r="Q441" s="57" t="s">
        <v>1393</v>
      </c>
      <c r="R441" s="57">
        <v>68.3</v>
      </c>
      <c r="S441" s="26" t="s">
        <v>451</v>
      </c>
      <c r="T441" s="20" t="s">
        <v>236</v>
      </c>
      <c r="U441" s="39"/>
    </row>
    <row r="442" spans="1:21" ht="26.25" customHeight="1" x14ac:dyDescent="0.25">
      <c r="A442" s="25">
        <v>44713</v>
      </c>
      <c r="B442" s="58">
        <v>0.91666666666666663</v>
      </c>
      <c r="C442" s="1469" t="s">
        <v>2999</v>
      </c>
      <c r="D442" s="1470"/>
      <c r="E442" s="1470"/>
      <c r="F442" s="1470"/>
      <c r="G442" s="1470"/>
      <c r="H442" s="1470"/>
      <c r="I442" s="1470"/>
      <c r="J442" s="1470"/>
      <c r="K442" s="1470"/>
      <c r="L442" s="1470"/>
      <c r="M442" s="1470"/>
      <c r="N442" s="1470"/>
      <c r="O442" s="1470"/>
      <c r="P442" s="1470"/>
      <c r="Q442" s="1470"/>
      <c r="R442" s="1471"/>
      <c r="S442" s="26" t="s">
        <v>451</v>
      </c>
      <c r="T442" s="20" t="s">
        <v>236</v>
      </c>
      <c r="U442" s="39"/>
    </row>
    <row r="443" spans="1:21" ht="26.25" customHeight="1" x14ac:dyDescent="0.25">
      <c r="A443" s="25">
        <v>44714</v>
      </c>
      <c r="B443" s="58">
        <v>0.79166666666666663</v>
      </c>
      <c r="C443" s="1469" t="s">
        <v>3001</v>
      </c>
      <c r="D443" s="1470"/>
      <c r="E443" s="1470"/>
      <c r="F443" s="1470"/>
      <c r="G443" s="1470"/>
      <c r="H443" s="1470"/>
      <c r="I443" s="1470"/>
      <c r="J443" s="1470"/>
      <c r="K443" s="1470"/>
      <c r="L443" s="1470"/>
      <c r="M443" s="1470"/>
      <c r="N443" s="1470"/>
      <c r="O443" s="1470"/>
      <c r="P443" s="1470"/>
      <c r="Q443" s="1470"/>
      <c r="R443" s="1471"/>
      <c r="S443" s="26" t="s">
        <v>451</v>
      </c>
      <c r="T443" s="20" t="s">
        <v>236</v>
      </c>
      <c r="U443" s="39"/>
    </row>
    <row r="444" spans="1:21" ht="26.25" customHeight="1" x14ac:dyDescent="0.25">
      <c r="A444" s="25">
        <v>44715</v>
      </c>
      <c r="B444" s="58">
        <v>0.83333333333333337</v>
      </c>
      <c r="C444" s="1469" t="s">
        <v>3009</v>
      </c>
      <c r="D444" s="1470"/>
      <c r="E444" s="1470"/>
      <c r="F444" s="1470"/>
      <c r="G444" s="1470"/>
      <c r="H444" s="1470"/>
      <c r="I444" s="1470"/>
      <c r="J444" s="1470"/>
      <c r="K444" s="1470"/>
      <c r="L444" s="1470"/>
      <c r="M444" s="1470"/>
      <c r="N444" s="1470"/>
      <c r="O444" s="1470"/>
      <c r="P444" s="1470"/>
      <c r="Q444" s="1470"/>
      <c r="R444" s="1471"/>
      <c r="S444" s="26" t="s">
        <v>451</v>
      </c>
      <c r="T444" s="20" t="s">
        <v>236</v>
      </c>
      <c r="U444" s="39"/>
    </row>
    <row r="445" spans="1:21" ht="26.25" customHeight="1" x14ac:dyDescent="0.25">
      <c r="A445" s="25">
        <v>44716</v>
      </c>
      <c r="B445" s="58">
        <v>0.89583333333333337</v>
      </c>
      <c r="C445" s="1469" t="s">
        <v>3013</v>
      </c>
      <c r="D445" s="1470"/>
      <c r="E445" s="1470"/>
      <c r="F445" s="1470"/>
      <c r="G445" s="1470"/>
      <c r="H445" s="1470"/>
      <c r="I445" s="1470"/>
      <c r="J445" s="1470"/>
      <c r="K445" s="1470"/>
      <c r="L445" s="1470"/>
      <c r="M445" s="1470"/>
      <c r="N445" s="1470"/>
      <c r="O445" s="1470"/>
      <c r="P445" s="1470"/>
      <c r="Q445" s="1470"/>
      <c r="R445" s="1471"/>
      <c r="S445" s="26" t="s">
        <v>451</v>
      </c>
      <c r="T445" s="20" t="s">
        <v>236</v>
      </c>
      <c r="U445" s="39"/>
    </row>
    <row r="446" spans="1:21" ht="26.25" customHeight="1" x14ac:dyDescent="0.25">
      <c r="A446" s="25">
        <v>44717</v>
      </c>
      <c r="B446" s="58">
        <v>0.83333333333333337</v>
      </c>
      <c r="C446" s="1469" t="s">
        <v>3022</v>
      </c>
      <c r="D446" s="1470"/>
      <c r="E446" s="1470"/>
      <c r="F446" s="1470"/>
      <c r="G446" s="1470"/>
      <c r="H446" s="1470"/>
      <c r="I446" s="1470"/>
      <c r="J446" s="1470"/>
      <c r="K446" s="1470"/>
      <c r="L446" s="1470"/>
      <c r="M446" s="1470"/>
      <c r="N446" s="1470"/>
      <c r="O446" s="1470"/>
      <c r="P446" s="1470"/>
      <c r="Q446" s="1470"/>
      <c r="R446" s="1471"/>
      <c r="S446" s="26" t="s">
        <v>451</v>
      </c>
      <c r="T446" s="20" t="s">
        <v>236</v>
      </c>
      <c r="U446" s="39"/>
    </row>
    <row r="447" spans="1:21" ht="26.25" customHeight="1" x14ac:dyDescent="0.25">
      <c r="A447" s="25">
        <v>44718</v>
      </c>
      <c r="B447" s="58">
        <v>0.91666666666666663</v>
      </c>
      <c r="C447" s="1469" t="s">
        <v>3025</v>
      </c>
      <c r="D447" s="1470"/>
      <c r="E447" s="1470"/>
      <c r="F447" s="1470"/>
      <c r="G447" s="1470"/>
      <c r="H447" s="1470"/>
      <c r="I447" s="1470"/>
      <c r="J447" s="1470"/>
      <c r="K447" s="1470"/>
      <c r="L447" s="1470"/>
      <c r="M447" s="1470"/>
      <c r="N447" s="1470"/>
      <c r="O447" s="1470"/>
      <c r="P447" s="1470"/>
      <c r="Q447" s="1470"/>
      <c r="R447" s="1471"/>
      <c r="S447" s="26" t="s">
        <v>451</v>
      </c>
      <c r="T447" s="20" t="s">
        <v>236</v>
      </c>
      <c r="U447" s="39"/>
    </row>
    <row r="448" spans="1:21" ht="26.25" customHeight="1" x14ac:dyDescent="0.25">
      <c r="A448" s="25">
        <v>44719</v>
      </c>
      <c r="B448" s="58">
        <v>0.86805555555555547</v>
      </c>
      <c r="C448" s="246">
        <v>52</v>
      </c>
      <c r="D448" s="60">
        <v>10.9</v>
      </c>
      <c r="E448" s="247">
        <v>16.399999999999999</v>
      </c>
      <c r="F448" s="57">
        <v>1239</v>
      </c>
      <c r="G448" s="57">
        <v>2481</v>
      </c>
      <c r="H448" s="57">
        <v>101.1</v>
      </c>
      <c r="I448" s="57">
        <v>102.4</v>
      </c>
      <c r="J448" s="57" t="s">
        <v>3030</v>
      </c>
      <c r="K448" s="60">
        <v>37.729999999999997</v>
      </c>
      <c r="L448" s="60">
        <v>41</v>
      </c>
      <c r="M448" s="60">
        <v>38.61</v>
      </c>
      <c r="N448" s="57" t="s">
        <v>142</v>
      </c>
      <c r="O448" s="57" t="s">
        <v>142</v>
      </c>
      <c r="P448" s="57" t="s">
        <v>142</v>
      </c>
      <c r="Q448" s="57" t="s">
        <v>2078</v>
      </c>
      <c r="R448" s="57">
        <v>70</v>
      </c>
      <c r="S448" s="26" t="s">
        <v>451</v>
      </c>
      <c r="T448" s="20" t="s">
        <v>236</v>
      </c>
      <c r="U448" s="39" t="s">
        <v>3036</v>
      </c>
    </row>
    <row r="449" spans="1:21" x14ac:dyDescent="0.25">
      <c r="A449" s="25">
        <v>44720</v>
      </c>
      <c r="B449" s="58">
        <v>0.91666666666666663</v>
      </c>
      <c r="C449" s="246">
        <v>52</v>
      </c>
      <c r="D449" s="60">
        <v>10.6</v>
      </c>
      <c r="E449" s="247">
        <v>16.2</v>
      </c>
      <c r="F449" s="57">
        <v>918</v>
      </c>
      <c r="G449" s="57">
        <v>2476</v>
      </c>
      <c r="H449" s="57">
        <v>103.6</v>
      </c>
      <c r="I449" s="57">
        <v>103.6</v>
      </c>
      <c r="J449" s="57" t="s">
        <v>3037</v>
      </c>
      <c r="K449" s="60">
        <v>36.700000000000003</v>
      </c>
      <c r="L449" s="60">
        <v>41</v>
      </c>
      <c r="M449" s="60">
        <v>41.4</v>
      </c>
      <c r="N449" s="57" t="s">
        <v>142</v>
      </c>
      <c r="O449" s="57" t="s">
        <v>142</v>
      </c>
      <c r="P449" s="57" t="s">
        <v>142</v>
      </c>
      <c r="Q449" s="57" t="s">
        <v>3038</v>
      </c>
      <c r="R449" s="57">
        <v>69.2</v>
      </c>
      <c r="S449" s="26" t="s">
        <v>451</v>
      </c>
      <c r="T449" s="20" t="s">
        <v>928</v>
      </c>
      <c r="U449" s="39"/>
    </row>
    <row r="450" spans="1:21" x14ac:dyDescent="0.25">
      <c r="A450" s="25">
        <v>44721</v>
      </c>
      <c r="B450" s="58">
        <v>0.875</v>
      </c>
      <c r="C450" s="1469" t="s">
        <v>3055</v>
      </c>
      <c r="D450" s="1470"/>
      <c r="E450" s="1470"/>
      <c r="F450" s="1470"/>
      <c r="G450" s="1470"/>
      <c r="H450" s="1470"/>
      <c r="I450" s="1470"/>
      <c r="J450" s="1470"/>
      <c r="K450" s="1470"/>
      <c r="L450" s="1470"/>
      <c r="M450" s="1470"/>
      <c r="N450" s="1470"/>
      <c r="O450" s="1470"/>
      <c r="P450" s="1470"/>
      <c r="Q450" s="1470"/>
      <c r="R450" s="1471"/>
      <c r="S450" s="26" t="s">
        <v>451</v>
      </c>
      <c r="T450" s="20" t="s">
        <v>928</v>
      </c>
      <c r="U450" s="39"/>
    </row>
    <row r="451" spans="1:21" x14ac:dyDescent="0.25">
      <c r="A451" s="25">
        <v>44722</v>
      </c>
      <c r="B451" s="58">
        <v>0.88541666666666663</v>
      </c>
      <c r="C451" s="1469" t="s">
        <v>3058</v>
      </c>
      <c r="D451" s="1470"/>
      <c r="E451" s="1470"/>
      <c r="F451" s="1470"/>
      <c r="G451" s="1470"/>
      <c r="H451" s="1470"/>
      <c r="I451" s="1470"/>
      <c r="J451" s="1470"/>
      <c r="K451" s="1470"/>
      <c r="L451" s="1470"/>
      <c r="M451" s="1470"/>
      <c r="N451" s="1470"/>
      <c r="O451" s="1470"/>
      <c r="P451" s="1470"/>
      <c r="Q451" s="1470"/>
      <c r="R451" s="1471"/>
      <c r="S451" s="26" t="s">
        <v>451</v>
      </c>
      <c r="T451" s="20" t="s">
        <v>928</v>
      </c>
      <c r="U451" s="39"/>
    </row>
    <row r="452" spans="1:21" x14ac:dyDescent="0.25">
      <c r="A452" s="25">
        <v>44723</v>
      </c>
      <c r="B452" s="58">
        <v>0.92708333333333337</v>
      </c>
      <c r="C452" s="1469" t="s">
        <v>3066</v>
      </c>
      <c r="D452" s="1470"/>
      <c r="E452" s="1470"/>
      <c r="F452" s="1470"/>
      <c r="G452" s="1470"/>
      <c r="H452" s="1470"/>
      <c r="I452" s="1470"/>
      <c r="J452" s="1470"/>
      <c r="K452" s="1470"/>
      <c r="L452" s="1470"/>
      <c r="M452" s="1470"/>
      <c r="N452" s="1470"/>
      <c r="O452" s="1470"/>
      <c r="P452" s="1470"/>
      <c r="Q452" s="1470"/>
      <c r="R452" s="1471"/>
      <c r="S452" s="26" t="s">
        <v>451</v>
      </c>
      <c r="T452" s="20" t="s">
        <v>928</v>
      </c>
      <c r="U452" s="39"/>
    </row>
    <row r="453" spans="1:21" x14ac:dyDescent="0.25">
      <c r="A453" s="25">
        <v>44724</v>
      </c>
      <c r="B453" s="58">
        <v>0.93055555555555547</v>
      </c>
      <c r="C453" s="1469" t="s">
        <v>3074</v>
      </c>
      <c r="D453" s="1470"/>
      <c r="E453" s="1470"/>
      <c r="F453" s="1470"/>
      <c r="G453" s="1470"/>
      <c r="H453" s="1470"/>
      <c r="I453" s="1470"/>
      <c r="J453" s="1470"/>
      <c r="K453" s="1470"/>
      <c r="L453" s="1470"/>
      <c r="M453" s="1470"/>
      <c r="N453" s="1470"/>
      <c r="O453" s="1470"/>
      <c r="P453" s="1470"/>
      <c r="Q453" s="1470"/>
      <c r="R453" s="1471"/>
      <c r="S453" s="26" t="s">
        <v>451</v>
      </c>
      <c r="T453" s="20" t="s">
        <v>928</v>
      </c>
      <c r="U453" s="39"/>
    </row>
    <row r="454" spans="1:21" x14ac:dyDescent="0.25">
      <c r="A454" s="25">
        <v>44725</v>
      </c>
      <c r="B454" s="58">
        <v>0.95486111111111116</v>
      </c>
      <c r="C454" s="246">
        <v>51</v>
      </c>
      <c r="D454" s="60">
        <v>10.5</v>
      </c>
      <c r="E454" s="247">
        <v>16.100000000000001</v>
      </c>
      <c r="F454" s="57">
        <v>1211</v>
      </c>
      <c r="G454" s="57">
        <v>2406</v>
      </c>
      <c r="H454" s="57">
        <v>101.3</v>
      </c>
      <c r="I454" s="57">
        <v>102.8</v>
      </c>
      <c r="J454" s="57" t="s">
        <v>3037</v>
      </c>
      <c r="K454" s="60">
        <v>34.270000000000003</v>
      </c>
      <c r="L454" s="60">
        <v>41</v>
      </c>
      <c r="M454" s="60">
        <v>40</v>
      </c>
      <c r="N454" s="57" t="s">
        <v>142</v>
      </c>
      <c r="O454" s="57" t="s">
        <v>142</v>
      </c>
      <c r="P454" s="57" t="s">
        <v>142</v>
      </c>
      <c r="Q454" s="57" t="s">
        <v>3089</v>
      </c>
      <c r="R454" s="57">
        <v>68.8</v>
      </c>
      <c r="S454" s="26" t="s">
        <v>451</v>
      </c>
      <c r="T454" s="20" t="s">
        <v>928</v>
      </c>
      <c r="U454" s="39"/>
    </row>
    <row r="455" spans="1:21" x14ac:dyDescent="0.25">
      <c r="A455" s="25">
        <v>44726</v>
      </c>
      <c r="B455" s="58">
        <v>0.89583333333333337</v>
      </c>
      <c r="C455" s="246">
        <v>51</v>
      </c>
      <c r="D455" s="60">
        <v>10.4</v>
      </c>
      <c r="E455" s="247">
        <v>15.9</v>
      </c>
      <c r="F455" s="57">
        <v>929</v>
      </c>
      <c r="G455" s="57">
        <v>2449</v>
      </c>
      <c r="H455" s="57">
        <v>103.6</v>
      </c>
      <c r="I455" s="57">
        <v>104.2</v>
      </c>
      <c r="J455" s="57" t="s">
        <v>3092</v>
      </c>
      <c r="K455" s="60">
        <v>33.46</v>
      </c>
      <c r="L455" s="60">
        <v>41</v>
      </c>
      <c r="M455" s="60">
        <v>41.2</v>
      </c>
      <c r="N455" s="57" t="s">
        <v>142</v>
      </c>
      <c r="O455" s="57" t="s">
        <v>142</v>
      </c>
      <c r="P455" s="57" t="s">
        <v>142</v>
      </c>
      <c r="Q455" s="57" t="s">
        <v>3093</v>
      </c>
      <c r="R455" s="57">
        <v>67.900000000000006</v>
      </c>
      <c r="S455" s="26" t="s">
        <v>451</v>
      </c>
      <c r="T455" s="20" t="s">
        <v>928</v>
      </c>
      <c r="U455" s="39"/>
    </row>
    <row r="456" spans="1:21" x14ac:dyDescent="0.25">
      <c r="A456" s="25">
        <v>44727</v>
      </c>
      <c r="B456" s="58">
        <v>0.90625</v>
      </c>
      <c r="C456" s="246">
        <v>51</v>
      </c>
      <c r="D456" s="60">
        <v>9.9</v>
      </c>
      <c r="E456" s="247">
        <v>15.6</v>
      </c>
      <c r="F456" s="57">
        <v>930</v>
      </c>
      <c r="G456" s="57">
        <v>2444</v>
      </c>
      <c r="H456" s="57">
        <v>104.9</v>
      </c>
      <c r="I456" s="57">
        <v>105.6</v>
      </c>
      <c r="J456" s="57" t="s">
        <v>3099</v>
      </c>
      <c r="K456" s="60">
        <v>32.08</v>
      </c>
      <c r="L456" s="60">
        <v>41</v>
      </c>
      <c r="M456" s="60">
        <v>38.83</v>
      </c>
      <c r="N456" s="57" t="s">
        <v>142</v>
      </c>
      <c r="O456" s="57" t="s">
        <v>142</v>
      </c>
      <c r="P456" s="57" t="s">
        <v>142</v>
      </c>
      <c r="Q456" s="57" t="s">
        <v>2222</v>
      </c>
      <c r="R456" s="57">
        <v>66.599999999999994</v>
      </c>
      <c r="S456" s="26" t="s">
        <v>451</v>
      </c>
      <c r="T456" s="20" t="s">
        <v>928</v>
      </c>
      <c r="U456" s="39"/>
    </row>
    <row r="457" spans="1:21" x14ac:dyDescent="0.25">
      <c r="A457" s="25">
        <v>44728</v>
      </c>
      <c r="B457" s="58">
        <v>0.93055555555555547</v>
      </c>
      <c r="C457" s="1469" t="s">
        <v>3119</v>
      </c>
      <c r="D457" s="1470"/>
      <c r="E457" s="1470"/>
      <c r="F457" s="1470"/>
      <c r="G457" s="1470"/>
      <c r="H457" s="1470"/>
      <c r="I457" s="1470"/>
      <c r="J457" s="1470"/>
      <c r="K457" s="1470"/>
      <c r="L457" s="1470"/>
      <c r="M457" s="1470"/>
      <c r="N457" s="1470"/>
      <c r="O457" s="1470"/>
      <c r="P457" s="1470"/>
      <c r="Q457" s="1470"/>
      <c r="R457" s="1471"/>
      <c r="S457" s="26" t="s">
        <v>451</v>
      </c>
      <c r="T457" s="20" t="s">
        <v>928</v>
      </c>
      <c r="U457" s="39"/>
    </row>
    <row r="458" spans="1:21" x14ac:dyDescent="0.25">
      <c r="A458" s="25">
        <v>44729</v>
      </c>
      <c r="B458" s="58">
        <v>0.89583333333333337</v>
      </c>
      <c r="C458" s="1469" t="s">
        <v>3120</v>
      </c>
      <c r="D458" s="1470"/>
      <c r="E458" s="1470"/>
      <c r="F458" s="1470"/>
      <c r="G458" s="1470"/>
      <c r="H458" s="1470"/>
      <c r="I458" s="1470"/>
      <c r="J458" s="1470"/>
      <c r="K458" s="1470"/>
      <c r="L458" s="1470"/>
      <c r="M458" s="1470"/>
      <c r="N458" s="1470"/>
      <c r="O458" s="1470"/>
      <c r="P458" s="1470"/>
      <c r="Q458" s="1470"/>
      <c r="R458" s="1471"/>
      <c r="S458" s="26" t="s">
        <v>451</v>
      </c>
      <c r="T458" s="20" t="s">
        <v>928</v>
      </c>
      <c r="U458" s="39"/>
    </row>
    <row r="459" spans="1:21" x14ac:dyDescent="0.25">
      <c r="A459" s="25">
        <v>44730</v>
      </c>
      <c r="B459" s="58">
        <v>0.89583333333333337</v>
      </c>
      <c r="C459" s="1469" t="s">
        <v>3121</v>
      </c>
      <c r="D459" s="1470"/>
      <c r="E459" s="1470"/>
      <c r="F459" s="1470"/>
      <c r="G459" s="1470"/>
      <c r="H459" s="1470"/>
      <c r="I459" s="1470"/>
      <c r="J459" s="1470"/>
      <c r="K459" s="1470"/>
      <c r="L459" s="1470"/>
      <c r="M459" s="1470"/>
      <c r="N459" s="1470"/>
      <c r="O459" s="1470"/>
      <c r="P459" s="1470"/>
      <c r="Q459" s="1470"/>
      <c r="R459" s="1471"/>
      <c r="S459" s="26" t="s">
        <v>451</v>
      </c>
      <c r="T459" s="20" t="s">
        <v>928</v>
      </c>
      <c r="U459" s="39"/>
    </row>
    <row r="460" spans="1:21" x14ac:dyDescent="0.25">
      <c r="A460" s="25">
        <v>44731</v>
      </c>
      <c r="B460" s="58">
        <v>0.89583333333333337</v>
      </c>
      <c r="C460" s="1469" t="s">
        <v>3128</v>
      </c>
      <c r="D460" s="1470"/>
      <c r="E460" s="1470"/>
      <c r="F460" s="1470"/>
      <c r="G460" s="1470"/>
      <c r="H460" s="1470"/>
      <c r="I460" s="1470"/>
      <c r="J460" s="1470"/>
      <c r="K460" s="1470"/>
      <c r="L460" s="1470"/>
      <c r="M460" s="1470"/>
      <c r="N460" s="1470"/>
      <c r="O460" s="1470"/>
      <c r="P460" s="1470"/>
      <c r="Q460" s="1470"/>
      <c r="R460" s="1471"/>
      <c r="S460" s="26" t="s">
        <v>451</v>
      </c>
      <c r="T460" s="20" t="s">
        <v>928</v>
      </c>
      <c r="U460" s="39"/>
    </row>
    <row r="461" spans="1:21" x14ac:dyDescent="0.25">
      <c r="A461" s="25">
        <v>44732</v>
      </c>
      <c r="B461" s="58">
        <v>0.98611111111111116</v>
      </c>
      <c r="C461" s="246">
        <v>50</v>
      </c>
      <c r="D461" s="60">
        <v>10</v>
      </c>
      <c r="E461" s="247">
        <v>15.8</v>
      </c>
      <c r="F461" s="57">
        <v>1264</v>
      </c>
      <c r="G461" s="57">
        <v>1478</v>
      </c>
      <c r="H461" s="57">
        <v>101.2</v>
      </c>
      <c r="I461" s="57">
        <v>101.3</v>
      </c>
      <c r="J461" s="57" t="s">
        <v>3131</v>
      </c>
      <c r="K461" s="60">
        <v>34.26</v>
      </c>
      <c r="L461" s="60">
        <v>41</v>
      </c>
      <c r="M461" s="60">
        <v>40</v>
      </c>
      <c r="N461" s="57" t="s">
        <v>142</v>
      </c>
      <c r="O461" s="57" t="s">
        <v>142</v>
      </c>
      <c r="P461" s="57" t="s">
        <v>142</v>
      </c>
      <c r="Q461" s="57" t="s">
        <v>3132</v>
      </c>
      <c r="R461" s="57">
        <v>67.5</v>
      </c>
      <c r="S461" s="26" t="s">
        <v>451</v>
      </c>
      <c r="T461" s="20" t="s">
        <v>928</v>
      </c>
      <c r="U461" s="39"/>
    </row>
    <row r="462" spans="1:21" x14ac:dyDescent="0.25">
      <c r="A462" s="25">
        <v>44733</v>
      </c>
      <c r="B462" s="58">
        <v>0.92708333333333337</v>
      </c>
      <c r="C462" s="246">
        <v>50</v>
      </c>
      <c r="D462" s="60">
        <v>9.6</v>
      </c>
      <c r="E462" s="247">
        <v>15.4</v>
      </c>
      <c r="F462" s="57">
        <v>980</v>
      </c>
      <c r="G462" s="57">
        <v>2442</v>
      </c>
      <c r="H462" s="57">
        <v>104.3</v>
      </c>
      <c r="I462" s="57">
        <v>105.1</v>
      </c>
      <c r="J462" s="57" t="s">
        <v>3138</v>
      </c>
      <c r="K462" s="60">
        <v>33.99</v>
      </c>
      <c r="L462" s="60">
        <v>38</v>
      </c>
      <c r="M462" s="60">
        <v>39</v>
      </c>
      <c r="N462" s="57" t="s">
        <v>142</v>
      </c>
      <c r="O462" s="57" t="s">
        <v>142</v>
      </c>
      <c r="P462" s="57" t="s">
        <v>142</v>
      </c>
      <c r="Q462" s="57" t="s">
        <v>3139</v>
      </c>
      <c r="R462" s="57">
        <v>65.8</v>
      </c>
      <c r="S462" s="26" t="s">
        <v>451</v>
      </c>
      <c r="T462" s="20" t="s">
        <v>928</v>
      </c>
      <c r="U462" s="39"/>
    </row>
    <row r="463" spans="1:21" x14ac:dyDescent="0.25">
      <c r="A463" s="25">
        <v>44734</v>
      </c>
      <c r="B463" s="58">
        <v>0.91666666666666663</v>
      </c>
      <c r="C463" s="1469" t="s">
        <v>3159</v>
      </c>
      <c r="D463" s="1470"/>
      <c r="E463" s="1470"/>
      <c r="F463" s="1470"/>
      <c r="G463" s="1470"/>
      <c r="H463" s="1470"/>
      <c r="I463" s="1470"/>
      <c r="J463" s="1470"/>
      <c r="K463" s="1470"/>
      <c r="L463" s="1470"/>
      <c r="M463" s="1470"/>
      <c r="N463" s="1470"/>
      <c r="O463" s="1470"/>
      <c r="P463" s="1470"/>
      <c r="Q463" s="1470"/>
      <c r="R463" s="1471"/>
      <c r="S463" s="26" t="s">
        <v>451</v>
      </c>
      <c r="T463" s="20" t="s">
        <v>928</v>
      </c>
      <c r="U463" s="39"/>
    </row>
    <row r="464" spans="1:21" x14ac:dyDescent="0.25">
      <c r="A464" s="25">
        <v>44735</v>
      </c>
      <c r="B464" s="58">
        <v>0.91666666666666663</v>
      </c>
      <c r="C464" s="1469" t="s">
        <v>3160</v>
      </c>
      <c r="D464" s="1470"/>
      <c r="E464" s="1470"/>
      <c r="F464" s="1470"/>
      <c r="G464" s="1470"/>
      <c r="H464" s="1470"/>
      <c r="I464" s="1470"/>
      <c r="J464" s="1470"/>
      <c r="K464" s="1470"/>
      <c r="L464" s="1470"/>
      <c r="M464" s="1470"/>
      <c r="N464" s="1470"/>
      <c r="O464" s="1470"/>
      <c r="P464" s="1470"/>
      <c r="Q464" s="1470"/>
      <c r="R464" s="1471"/>
      <c r="S464" s="26" t="s">
        <v>451</v>
      </c>
      <c r="T464" s="20" t="s">
        <v>928</v>
      </c>
      <c r="U464" s="39"/>
    </row>
    <row r="465" spans="1:21" x14ac:dyDescent="0.25">
      <c r="A465" s="25">
        <v>44736</v>
      </c>
      <c r="B465" s="58">
        <v>0.88541666666666663</v>
      </c>
      <c r="C465" s="1469" t="s">
        <v>3167</v>
      </c>
      <c r="D465" s="1470"/>
      <c r="E465" s="1470"/>
      <c r="F465" s="1470"/>
      <c r="G465" s="1470"/>
      <c r="H465" s="1470"/>
      <c r="I465" s="1470"/>
      <c r="J465" s="1470"/>
      <c r="K465" s="1470"/>
      <c r="L465" s="1470"/>
      <c r="M465" s="1470"/>
      <c r="N465" s="1470"/>
      <c r="O465" s="1470"/>
      <c r="P465" s="1470"/>
      <c r="Q465" s="1470"/>
      <c r="R465" s="1471"/>
      <c r="S465" s="26" t="s">
        <v>451</v>
      </c>
      <c r="T465" s="20" t="s">
        <v>928</v>
      </c>
      <c r="U465" s="39"/>
    </row>
    <row r="466" spans="1:21" x14ac:dyDescent="0.25">
      <c r="A466" s="25">
        <v>44737</v>
      </c>
      <c r="B466" s="58">
        <v>0.90625</v>
      </c>
      <c r="C466" s="246">
        <v>50</v>
      </c>
      <c r="D466" s="60">
        <v>10.8</v>
      </c>
      <c r="E466" s="247">
        <v>16.3</v>
      </c>
      <c r="F466" s="57">
        <v>1082</v>
      </c>
      <c r="G466" s="57">
        <v>2407</v>
      </c>
      <c r="H466" s="57">
        <v>102.7</v>
      </c>
      <c r="I466" s="57">
        <v>103.5</v>
      </c>
      <c r="J466" s="57" t="s">
        <v>3174</v>
      </c>
      <c r="K466" s="60">
        <v>33.68</v>
      </c>
      <c r="L466" s="60">
        <v>38</v>
      </c>
      <c r="M466" s="60">
        <v>40.1</v>
      </c>
      <c r="N466" s="57" t="s">
        <v>142</v>
      </c>
      <c r="O466" s="57" t="s">
        <v>142</v>
      </c>
      <c r="P466" s="57" t="s">
        <v>142</v>
      </c>
      <c r="Q466" s="57" t="s">
        <v>2606</v>
      </c>
      <c r="R466" s="57">
        <v>69.599999999999994</v>
      </c>
      <c r="S466" s="26" t="s">
        <v>451</v>
      </c>
      <c r="T466" s="20" t="s">
        <v>928</v>
      </c>
      <c r="U466" s="39"/>
    </row>
    <row r="467" spans="1:21" x14ac:dyDescent="0.25">
      <c r="A467" s="25">
        <v>44738</v>
      </c>
      <c r="B467" s="58">
        <v>0.90625</v>
      </c>
      <c r="C467" s="246">
        <v>50</v>
      </c>
      <c r="D467" s="60">
        <v>10</v>
      </c>
      <c r="E467" s="247">
        <v>15.7</v>
      </c>
      <c r="F467" s="57">
        <v>961</v>
      </c>
      <c r="G467" s="57">
        <v>2440</v>
      </c>
      <c r="H467" s="57">
        <v>104</v>
      </c>
      <c r="I467" s="57">
        <v>104.8</v>
      </c>
      <c r="J467" s="57" t="s">
        <v>3180</v>
      </c>
      <c r="K467" s="60">
        <v>33.909999999999997</v>
      </c>
      <c r="L467" s="60">
        <v>38</v>
      </c>
      <c r="M467" s="60">
        <v>40.5</v>
      </c>
      <c r="N467" s="57" t="s">
        <v>142</v>
      </c>
      <c r="O467" s="57" t="s">
        <v>142</v>
      </c>
      <c r="P467" s="57" t="s">
        <v>142</v>
      </c>
      <c r="Q467" s="57" t="s">
        <v>3132</v>
      </c>
      <c r="R467" s="57">
        <v>67</v>
      </c>
      <c r="S467" s="26" t="s">
        <v>451</v>
      </c>
      <c r="T467" s="20" t="s">
        <v>928</v>
      </c>
      <c r="U467" s="39"/>
    </row>
    <row r="468" spans="1:21" x14ac:dyDescent="0.25">
      <c r="A468" s="25">
        <v>44739</v>
      </c>
      <c r="B468" s="58">
        <v>0.91666666666666663</v>
      </c>
      <c r="C468" s="1469" t="s">
        <v>3195</v>
      </c>
      <c r="D468" s="1470"/>
      <c r="E468" s="1470"/>
      <c r="F468" s="1470"/>
      <c r="G468" s="1470"/>
      <c r="H468" s="1470"/>
      <c r="I468" s="1470"/>
      <c r="J468" s="1470"/>
      <c r="K468" s="1470"/>
      <c r="L468" s="1470"/>
      <c r="M468" s="1470"/>
      <c r="N468" s="1470"/>
      <c r="O468" s="1470"/>
      <c r="P468" s="1470"/>
      <c r="Q468" s="1470"/>
      <c r="R468" s="1471"/>
      <c r="S468" s="26" t="s">
        <v>451</v>
      </c>
      <c r="T468" s="20" t="s">
        <v>928</v>
      </c>
      <c r="U468" s="39"/>
    </row>
    <row r="469" spans="1:21" x14ac:dyDescent="0.25">
      <c r="A469" s="25">
        <v>44740</v>
      </c>
      <c r="B469" s="58">
        <v>0.91666666666666663</v>
      </c>
      <c r="C469" s="1469" t="s">
        <v>3196</v>
      </c>
      <c r="D469" s="1470"/>
      <c r="E469" s="1470"/>
      <c r="F469" s="1470"/>
      <c r="G469" s="1470"/>
      <c r="H469" s="1470"/>
      <c r="I469" s="1470"/>
      <c r="J469" s="1470"/>
      <c r="K469" s="1470"/>
      <c r="L469" s="1470"/>
      <c r="M469" s="1470"/>
      <c r="N469" s="1470"/>
      <c r="O469" s="1470"/>
      <c r="P469" s="1470"/>
      <c r="Q469" s="1470"/>
      <c r="R469" s="1471"/>
      <c r="S469" s="26" t="s">
        <v>451</v>
      </c>
      <c r="T469" s="20" t="s">
        <v>928</v>
      </c>
      <c r="U469" s="39"/>
    </row>
    <row r="470" spans="1:21" x14ac:dyDescent="0.25">
      <c r="A470" s="25">
        <v>44741</v>
      </c>
      <c r="B470" s="58">
        <v>0.88541666666666663</v>
      </c>
      <c r="C470" s="1469" t="s">
        <v>3206</v>
      </c>
      <c r="D470" s="1470"/>
      <c r="E470" s="1470"/>
      <c r="F470" s="1470"/>
      <c r="G470" s="1470"/>
      <c r="H470" s="1470"/>
      <c r="I470" s="1470"/>
      <c r="J470" s="1470"/>
      <c r="K470" s="1470"/>
      <c r="L470" s="1470"/>
      <c r="M470" s="1470"/>
      <c r="N470" s="1470"/>
      <c r="O470" s="1470"/>
      <c r="P470" s="1470"/>
      <c r="Q470" s="1470"/>
      <c r="R470" s="1471"/>
      <c r="S470" s="26" t="s">
        <v>451</v>
      </c>
      <c r="T470" s="20" t="s">
        <v>928</v>
      </c>
      <c r="U470" s="39"/>
    </row>
    <row r="471" spans="1:21" x14ac:dyDescent="0.25">
      <c r="A471" s="25">
        <v>44742</v>
      </c>
      <c r="B471" s="58">
        <v>0.875</v>
      </c>
      <c r="C471" s="246">
        <v>50</v>
      </c>
      <c r="D471" s="60">
        <v>9.9</v>
      </c>
      <c r="E471" s="247">
        <v>15.5</v>
      </c>
      <c r="F471" s="57">
        <v>967</v>
      </c>
      <c r="G471" s="57">
        <v>2454</v>
      </c>
      <c r="H471" s="57">
        <v>104.1</v>
      </c>
      <c r="I471" s="57">
        <v>105.2</v>
      </c>
      <c r="J471" s="57" t="s">
        <v>3212</v>
      </c>
      <c r="K471" s="60">
        <v>34.590000000000003</v>
      </c>
      <c r="L471" s="60">
        <v>38</v>
      </c>
      <c r="M471" s="60">
        <v>38.78</v>
      </c>
      <c r="N471" s="57" t="s">
        <v>142</v>
      </c>
      <c r="O471" s="57" t="s">
        <v>142</v>
      </c>
      <c r="P471" s="57" t="s">
        <v>142</v>
      </c>
      <c r="Q471" s="57" t="s">
        <v>3213</v>
      </c>
      <c r="R471" s="57">
        <v>66.2</v>
      </c>
      <c r="S471" s="26" t="s">
        <v>451</v>
      </c>
      <c r="T471" s="20" t="s">
        <v>928</v>
      </c>
    </row>
    <row r="472" spans="1:21" x14ac:dyDescent="0.25">
      <c r="A472" s="25">
        <v>44743</v>
      </c>
      <c r="B472" s="58">
        <v>0.89583333333333337</v>
      </c>
      <c r="C472" s="1469" t="s">
        <v>3230</v>
      </c>
      <c r="D472" s="1470"/>
      <c r="E472" s="1470"/>
      <c r="F472" s="1470"/>
      <c r="G472" s="1470"/>
      <c r="H472" s="1470"/>
      <c r="I472" s="1470"/>
      <c r="J472" s="1470"/>
      <c r="K472" s="1470"/>
      <c r="L472" s="1470"/>
      <c r="M472" s="1470"/>
      <c r="N472" s="1470"/>
      <c r="O472" s="1470"/>
      <c r="P472" s="1470"/>
      <c r="Q472" s="1470"/>
      <c r="R472" s="1471"/>
      <c r="S472" s="26" t="s">
        <v>451</v>
      </c>
      <c r="T472" s="20" t="s">
        <v>928</v>
      </c>
      <c r="U472" s="39"/>
    </row>
    <row r="473" spans="1:21" x14ac:dyDescent="0.25">
      <c r="A473" s="25">
        <v>44744</v>
      </c>
      <c r="B473" s="58">
        <v>0.89583333333333337</v>
      </c>
      <c r="C473" s="1469" t="s">
        <v>3230</v>
      </c>
      <c r="D473" s="1470"/>
      <c r="E473" s="1470"/>
      <c r="F473" s="1470"/>
      <c r="G473" s="1470"/>
      <c r="H473" s="1470"/>
      <c r="I473" s="1470"/>
      <c r="J473" s="1470"/>
      <c r="K473" s="1470"/>
      <c r="L473" s="1470"/>
      <c r="M473" s="1470"/>
      <c r="N473" s="1470"/>
      <c r="O473" s="1470"/>
      <c r="P473" s="1470"/>
      <c r="Q473" s="1470"/>
      <c r="R473" s="1471"/>
      <c r="S473" s="26" t="s">
        <v>451</v>
      </c>
      <c r="T473" s="20" t="s">
        <v>928</v>
      </c>
      <c r="U473" s="39"/>
    </row>
    <row r="474" spans="1:21" x14ac:dyDescent="0.25">
      <c r="A474" s="25">
        <v>44745</v>
      </c>
      <c r="B474" s="58">
        <v>0.875</v>
      </c>
      <c r="C474" s="246">
        <v>50</v>
      </c>
      <c r="D474" s="60">
        <v>10.9</v>
      </c>
      <c r="E474" s="247">
        <v>16.3</v>
      </c>
      <c r="F474" s="57">
        <v>1091</v>
      </c>
      <c r="G474" s="57">
        <v>2396</v>
      </c>
      <c r="H474" s="57">
        <v>102.3</v>
      </c>
      <c r="I474" s="57">
        <v>103.6</v>
      </c>
      <c r="J474" s="57" t="s">
        <v>3212</v>
      </c>
      <c r="K474" s="60">
        <v>34.299999999999997</v>
      </c>
      <c r="L474" s="60">
        <v>38</v>
      </c>
      <c r="M474" s="60">
        <v>39.68</v>
      </c>
      <c r="N474" s="57" t="s">
        <v>142</v>
      </c>
      <c r="O474" s="57" t="s">
        <v>142</v>
      </c>
      <c r="P474" s="57" t="s">
        <v>142</v>
      </c>
      <c r="Q474" s="57" t="s">
        <v>3091</v>
      </c>
      <c r="R474" s="57">
        <v>69.599999999999994</v>
      </c>
      <c r="S474" s="26" t="s">
        <v>451</v>
      </c>
      <c r="T474" s="20" t="s">
        <v>928</v>
      </c>
      <c r="U474" s="39"/>
    </row>
    <row r="475" spans="1:21" x14ac:dyDescent="0.25">
      <c r="A475" s="25">
        <v>44746</v>
      </c>
      <c r="B475" s="58">
        <v>0.875</v>
      </c>
      <c r="C475" s="246">
        <v>50</v>
      </c>
      <c r="D475" s="60">
        <v>9.9</v>
      </c>
      <c r="E475" s="247">
        <v>15.6</v>
      </c>
      <c r="F475" s="57">
        <v>976</v>
      </c>
      <c r="G475" s="57">
        <v>2464</v>
      </c>
      <c r="H475" s="57">
        <v>104.3</v>
      </c>
      <c r="I475" s="57">
        <v>105.5</v>
      </c>
      <c r="J475" s="57" t="s">
        <v>3212</v>
      </c>
      <c r="K475" s="60">
        <v>34.14</v>
      </c>
      <c r="L475" s="60">
        <v>38</v>
      </c>
      <c r="M475" s="60">
        <v>38.409999999999997</v>
      </c>
      <c r="N475" s="57" t="s">
        <v>142</v>
      </c>
      <c r="O475" s="57" t="s">
        <v>142</v>
      </c>
      <c r="P475" s="57" t="s">
        <v>142</v>
      </c>
      <c r="Q475" s="57" t="s">
        <v>3091</v>
      </c>
      <c r="R475" s="57">
        <v>69.599999999999994</v>
      </c>
      <c r="S475" s="26" t="s">
        <v>451</v>
      </c>
      <c r="T475" s="20" t="s">
        <v>928</v>
      </c>
      <c r="U475" s="39"/>
    </row>
    <row r="476" spans="1:21" x14ac:dyDescent="0.25">
      <c r="A476" s="25">
        <v>44747</v>
      </c>
      <c r="B476" s="58"/>
      <c r="C476" s="1469" t="s">
        <v>3264</v>
      </c>
      <c r="D476" s="1470"/>
      <c r="E476" s="1470"/>
      <c r="F476" s="1470"/>
      <c r="G476" s="1470"/>
      <c r="H476" s="1470"/>
      <c r="I476" s="1470"/>
      <c r="J476" s="1470"/>
      <c r="K476" s="1470"/>
      <c r="L476" s="1470"/>
      <c r="M476" s="1470"/>
      <c r="N476" s="1470"/>
      <c r="O476" s="1470"/>
      <c r="P476" s="1470"/>
      <c r="Q476" s="1470"/>
      <c r="R476" s="1471"/>
      <c r="S476" s="26" t="s">
        <v>451</v>
      </c>
      <c r="T476" s="20" t="s">
        <v>928</v>
      </c>
      <c r="U476" s="39"/>
    </row>
    <row r="477" spans="1:21" x14ac:dyDescent="0.25">
      <c r="A477" s="25">
        <v>44748</v>
      </c>
      <c r="B477" s="58"/>
      <c r="C477" s="1469" t="s">
        <v>3265</v>
      </c>
      <c r="D477" s="1470"/>
      <c r="E477" s="1470"/>
      <c r="F477" s="1470"/>
      <c r="G477" s="1470"/>
      <c r="H477" s="1470"/>
      <c r="I477" s="1470"/>
      <c r="J477" s="1470"/>
      <c r="K477" s="1470"/>
      <c r="L477" s="1470"/>
      <c r="M477" s="1470"/>
      <c r="N477" s="1470"/>
      <c r="O477" s="1470"/>
      <c r="P477" s="1470"/>
      <c r="Q477" s="1470"/>
      <c r="R477" s="1471"/>
      <c r="S477" s="26" t="s">
        <v>451</v>
      </c>
      <c r="T477" s="20" t="s">
        <v>928</v>
      </c>
      <c r="U477" s="39"/>
    </row>
    <row r="478" spans="1:21" x14ac:dyDescent="0.25">
      <c r="A478" s="25">
        <v>44749</v>
      </c>
      <c r="B478" s="58">
        <v>0.89583333333333337</v>
      </c>
      <c r="C478" s="246">
        <v>50</v>
      </c>
      <c r="D478" s="60">
        <v>10.199999999999999</v>
      </c>
      <c r="E478" s="247">
        <v>15.9</v>
      </c>
      <c r="F478" s="57">
        <v>993</v>
      </c>
      <c r="G478" s="57">
        <v>2498</v>
      </c>
      <c r="H478" s="57">
        <v>103.8</v>
      </c>
      <c r="I478" s="57">
        <v>104.9</v>
      </c>
      <c r="J478" s="57" t="s">
        <v>3267</v>
      </c>
      <c r="K478" s="60">
        <v>36.31</v>
      </c>
      <c r="L478" s="60">
        <v>38</v>
      </c>
      <c r="M478" s="60">
        <v>38.520000000000003</v>
      </c>
      <c r="N478" s="57" t="s">
        <v>142</v>
      </c>
      <c r="O478" s="57" t="s">
        <v>142</v>
      </c>
      <c r="P478" s="57" t="s">
        <v>142</v>
      </c>
      <c r="Q478" s="57" t="s">
        <v>970</v>
      </c>
      <c r="R478" s="57">
        <v>67.5</v>
      </c>
      <c r="S478" s="26" t="s">
        <v>451</v>
      </c>
      <c r="T478" s="20" t="s">
        <v>928</v>
      </c>
      <c r="U478" s="39"/>
    </row>
    <row r="479" spans="1:21" x14ac:dyDescent="0.25">
      <c r="A479" s="25">
        <v>44750</v>
      </c>
      <c r="B479" s="58">
        <v>0.89583333333333337</v>
      </c>
      <c r="C479" s="246">
        <v>50</v>
      </c>
      <c r="D479" s="60">
        <v>6.4</v>
      </c>
      <c r="E479" s="247">
        <v>13.7</v>
      </c>
      <c r="F479" s="57">
        <v>1080</v>
      </c>
      <c r="G479" s="57">
        <v>2436</v>
      </c>
      <c r="H479" s="57">
        <v>103.8</v>
      </c>
      <c r="I479" s="57">
        <v>105.7</v>
      </c>
      <c r="J479" s="57" t="s">
        <v>3287</v>
      </c>
      <c r="K479" s="60">
        <v>35.51</v>
      </c>
      <c r="L479" s="60">
        <v>38</v>
      </c>
      <c r="M479" s="60">
        <v>31.71</v>
      </c>
      <c r="N479" s="57" t="s">
        <v>142</v>
      </c>
      <c r="O479" s="57" t="s">
        <v>142</v>
      </c>
      <c r="P479" s="57" t="s">
        <v>142</v>
      </c>
      <c r="Q479" s="57" t="s">
        <v>3288</v>
      </c>
      <c r="R479" s="57">
        <v>58.5</v>
      </c>
      <c r="S479" s="26" t="s">
        <v>451</v>
      </c>
      <c r="T479" s="20" t="s">
        <v>928</v>
      </c>
      <c r="U479" s="39"/>
    </row>
    <row r="480" spans="1:21" x14ac:dyDescent="0.25">
      <c r="A480" s="25">
        <v>44751</v>
      </c>
      <c r="B480" s="58"/>
      <c r="C480" s="1469" t="s">
        <v>3294</v>
      </c>
      <c r="D480" s="1470"/>
      <c r="E480" s="1470"/>
      <c r="F480" s="1470"/>
      <c r="G480" s="1470"/>
      <c r="H480" s="1470"/>
      <c r="I480" s="1470"/>
      <c r="J480" s="1470"/>
      <c r="K480" s="1470"/>
      <c r="L480" s="1470"/>
      <c r="M480" s="1470"/>
      <c r="N480" s="1470"/>
      <c r="O480" s="1470"/>
      <c r="P480" s="1470"/>
      <c r="Q480" s="1470"/>
      <c r="R480" s="1471"/>
      <c r="S480" s="26" t="s">
        <v>451</v>
      </c>
      <c r="T480" s="20" t="s">
        <v>928</v>
      </c>
      <c r="U480" s="39"/>
    </row>
    <row r="481" spans="1:21" x14ac:dyDescent="0.25">
      <c r="A481" s="25">
        <v>44752</v>
      </c>
      <c r="B481" s="58"/>
      <c r="C481" s="1469" t="s">
        <v>3305</v>
      </c>
      <c r="D481" s="1470"/>
      <c r="E481" s="1470"/>
      <c r="F481" s="1470"/>
      <c r="G481" s="1470"/>
      <c r="H481" s="1470"/>
      <c r="I481" s="1470"/>
      <c r="J481" s="1470"/>
      <c r="K481" s="1470"/>
      <c r="L481" s="1470"/>
      <c r="M481" s="1470"/>
      <c r="N481" s="1470"/>
      <c r="O481" s="1470"/>
      <c r="P481" s="1470"/>
      <c r="Q481" s="1470"/>
      <c r="R481" s="1471"/>
      <c r="S481" s="26" t="s">
        <v>451</v>
      </c>
      <c r="T481" s="20" t="s">
        <v>928</v>
      </c>
      <c r="U481" s="39"/>
    </row>
    <row r="482" spans="1:21" x14ac:dyDescent="0.25">
      <c r="A482" s="25">
        <v>44753</v>
      </c>
      <c r="B482" s="58"/>
      <c r="C482" s="1469" t="s">
        <v>3329</v>
      </c>
      <c r="D482" s="1470"/>
      <c r="E482" s="1470"/>
      <c r="F482" s="1470"/>
      <c r="G482" s="1470"/>
      <c r="H482" s="1470"/>
      <c r="I482" s="1470"/>
      <c r="J482" s="1470"/>
      <c r="K482" s="1470"/>
      <c r="L482" s="1470"/>
      <c r="M482" s="1470"/>
      <c r="N482" s="1470"/>
      <c r="O482" s="1470"/>
      <c r="P482" s="1470"/>
      <c r="Q482" s="1470"/>
      <c r="R482" s="1471"/>
      <c r="S482" s="26" t="s">
        <v>451</v>
      </c>
      <c r="T482" s="20" t="s">
        <v>928</v>
      </c>
      <c r="U482" s="39"/>
    </row>
    <row r="483" spans="1:21" x14ac:dyDescent="0.25">
      <c r="A483" s="25">
        <v>44754</v>
      </c>
      <c r="B483" s="58"/>
      <c r="C483" s="1469" t="s">
        <v>3335</v>
      </c>
      <c r="D483" s="1470"/>
      <c r="E483" s="1470"/>
      <c r="F483" s="1470"/>
      <c r="G483" s="1470"/>
      <c r="H483" s="1470"/>
      <c r="I483" s="1470"/>
      <c r="J483" s="1470"/>
      <c r="K483" s="1470"/>
      <c r="L483" s="1470"/>
      <c r="M483" s="1470"/>
      <c r="N483" s="1470"/>
      <c r="O483" s="1470"/>
      <c r="P483" s="1470"/>
      <c r="Q483" s="1470"/>
      <c r="R483" s="1471"/>
      <c r="S483" s="26" t="s">
        <v>451</v>
      </c>
      <c r="T483" s="20" t="s">
        <v>928</v>
      </c>
      <c r="U483" s="39"/>
    </row>
    <row r="484" spans="1:21" x14ac:dyDescent="0.25">
      <c r="A484" s="25">
        <v>44755</v>
      </c>
      <c r="B484" s="58"/>
      <c r="C484" s="1469" t="s">
        <v>3335</v>
      </c>
      <c r="D484" s="1470"/>
      <c r="E484" s="1470"/>
      <c r="F484" s="1470"/>
      <c r="G484" s="1470"/>
      <c r="H484" s="1470"/>
      <c r="I484" s="1470"/>
      <c r="J484" s="1470"/>
      <c r="K484" s="1470"/>
      <c r="L484" s="1470"/>
      <c r="M484" s="1470"/>
      <c r="N484" s="1470"/>
      <c r="O484" s="1470"/>
      <c r="P484" s="1470"/>
      <c r="Q484" s="1470"/>
      <c r="R484" s="1471"/>
      <c r="S484" s="26" t="s">
        <v>451</v>
      </c>
      <c r="T484" s="20" t="s">
        <v>928</v>
      </c>
      <c r="U484" s="39"/>
    </row>
    <row r="485" spans="1:21" x14ac:dyDescent="0.25">
      <c r="A485" s="25">
        <v>44756</v>
      </c>
      <c r="B485" s="58"/>
      <c r="C485" s="1469" t="s">
        <v>3345</v>
      </c>
      <c r="D485" s="1470"/>
      <c r="E485" s="1470"/>
      <c r="F485" s="1470"/>
      <c r="G485" s="1470"/>
      <c r="H485" s="1470"/>
      <c r="I485" s="1470"/>
      <c r="J485" s="1470"/>
      <c r="K485" s="1470"/>
      <c r="L485" s="1470"/>
      <c r="M485" s="1470"/>
      <c r="N485" s="1470"/>
      <c r="O485" s="1470"/>
      <c r="P485" s="1470"/>
      <c r="Q485" s="1470"/>
      <c r="R485" s="1471"/>
      <c r="S485" s="26" t="s">
        <v>451</v>
      </c>
      <c r="T485" s="20" t="s">
        <v>928</v>
      </c>
      <c r="U485" s="39"/>
    </row>
    <row r="486" spans="1:21" x14ac:dyDescent="0.25">
      <c r="A486" s="25">
        <v>44757</v>
      </c>
      <c r="B486" s="58"/>
      <c r="C486" s="1469" t="s">
        <v>3349</v>
      </c>
      <c r="D486" s="1470"/>
      <c r="E486" s="1470"/>
      <c r="F486" s="1470"/>
      <c r="G486" s="1470"/>
      <c r="H486" s="1470"/>
      <c r="I486" s="1470"/>
      <c r="J486" s="1470"/>
      <c r="K486" s="1470"/>
      <c r="L486" s="1470"/>
      <c r="M486" s="1470"/>
      <c r="N486" s="1470"/>
      <c r="O486" s="1470"/>
      <c r="P486" s="1470"/>
      <c r="Q486" s="1470"/>
      <c r="R486" s="1471"/>
      <c r="S486" s="26" t="s">
        <v>451</v>
      </c>
      <c r="T486" s="20" t="s">
        <v>928</v>
      </c>
      <c r="U486" s="39"/>
    </row>
    <row r="487" spans="1:21" x14ac:dyDescent="0.25">
      <c r="A487" s="25">
        <v>44758</v>
      </c>
      <c r="B487" s="58"/>
      <c r="C487" s="1469" t="s">
        <v>3356</v>
      </c>
      <c r="D487" s="1470"/>
      <c r="E487" s="1470"/>
      <c r="F487" s="1470"/>
      <c r="G487" s="1470"/>
      <c r="H487" s="1470"/>
      <c r="I487" s="1470"/>
      <c r="J487" s="1470"/>
      <c r="K487" s="1470"/>
      <c r="L487" s="1470"/>
      <c r="M487" s="1470"/>
      <c r="N487" s="1470"/>
      <c r="O487" s="1470"/>
      <c r="P487" s="1470"/>
      <c r="Q487" s="1470"/>
      <c r="R487" s="1471"/>
      <c r="S487" s="26" t="s">
        <v>451</v>
      </c>
      <c r="T487" s="20" t="s">
        <v>928</v>
      </c>
      <c r="U487" s="39"/>
    </row>
    <row r="488" spans="1:21" x14ac:dyDescent="0.25">
      <c r="A488" s="25">
        <v>44759</v>
      </c>
      <c r="B488" s="58">
        <v>0.90625</v>
      </c>
      <c r="C488" s="246">
        <v>50</v>
      </c>
      <c r="D488" s="60">
        <v>10.5</v>
      </c>
      <c r="E488" s="247">
        <v>16</v>
      </c>
      <c r="F488" s="57">
        <v>1012</v>
      </c>
      <c r="G488" s="57">
        <v>2485</v>
      </c>
      <c r="H488" s="57">
        <v>103.1</v>
      </c>
      <c r="I488" s="57">
        <v>104</v>
      </c>
      <c r="J488" s="57" t="s">
        <v>3357</v>
      </c>
      <c r="K488" s="60">
        <v>34.130000000000003</v>
      </c>
      <c r="L488" s="60">
        <v>38</v>
      </c>
      <c r="M488" s="60">
        <v>41.16</v>
      </c>
      <c r="N488" s="57" t="s">
        <v>142</v>
      </c>
      <c r="O488" s="57" t="s">
        <v>142</v>
      </c>
      <c r="P488" s="57" t="s">
        <v>142</v>
      </c>
      <c r="Q488" s="57" t="s">
        <v>2581</v>
      </c>
      <c r="R488" s="57">
        <v>68.3</v>
      </c>
      <c r="S488" s="26" t="s">
        <v>451</v>
      </c>
      <c r="T488" s="20" t="s">
        <v>928</v>
      </c>
      <c r="U488" s="39"/>
    </row>
    <row r="489" spans="1:21" x14ac:dyDescent="0.25">
      <c r="A489" s="25">
        <v>44760</v>
      </c>
      <c r="B489" s="58">
        <v>0.875</v>
      </c>
      <c r="C489" s="246">
        <v>50</v>
      </c>
      <c r="D489" s="60">
        <v>10.199999999999999</v>
      </c>
      <c r="E489" s="247">
        <v>15.8</v>
      </c>
      <c r="F489" s="57">
        <v>998</v>
      </c>
      <c r="G489" s="57">
        <v>2471</v>
      </c>
      <c r="H489" s="57">
        <v>103.8</v>
      </c>
      <c r="I489" s="57">
        <v>104.9</v>
      </c>
      <c r="J489" s="57" t="s">
        <v>3367</v>
      </c>
      <c r="K489" s="60">
        <v>34.72</v>
      </c>
      <c r="L489" s="60">
        <v>38</v>
      </c>
      <c r="M489" s="60">
        <v>40.28</v>
      </c>
      <c r="N489" s="57" t="s">
        <v>142</v>
      </c>
      <c r="O489" s="57" t="s">
        <v>142</v>
      </c>
      <c r="P489" s="57" t="s">
        <v>142</v>
      </c>
      <c r="Q489" s="57" t="s">
        <v>3368</v>
      </c>
      <c r="R489" s="57">
        <v>67.5</v>
      </c>
      <c r="S489" s="26" t="s">
        <v>451</v>
      </c>
      <c r="T489" s="20" t="s">
        <v>928</v>
      </c>
      <c r="U489" s="39"/>
    </row>
    <row r="490" spans="1:21" x14ac:dyDescent="0.25">
      <c r="A490" s="25">
        <v>44761</v>
      </c>
      <c r="B490" s="58"/>
      <c r="C490" s="1469" t="s">
        <v>3406</v>
      </c>
      <c r="D490" s="1470"/>
      <c r="E490" s="1470"/>
      <c r="F490" s="1470"/>
      <c r="G490" s="1470"/>
      <c r="H490" s="1470"/>
      <c r="I490" s="1470"/>
      <c r="J490" s="1470"/>
      <c r="K490" s="1470"/>
      <c r="L490" s="1470"/>
      <c r="M490" s="1470"/>
      <c r="N490" s="1470"/>
      <c r="O490" s="1470"/>
      <c r="P490" s="1470"/>
      <c r="Q490" s="1470"/>
      <c r="R490" s="1471"/>
      <c r="S490" s="26" t="s">
        <v>451</v>
      </c>
      <c r="T490" s="20" t="s">
        <v>928</v>
      </c>
      <c r="U490" s="39"/>
    </row>
    <row r="491" spans="1:21" x14ac:dyDescent="0.25">
      <c r="A491" s="25">
        <v>44762</v>
      </c>
      <c r="B491" s="58"/>
      <c r="C491" s="1469" t="s">
        <v>3405</v>
      </c>
      <c r="D491" s="1470"/>
      <c r="E491" s="1470"/>
      <c r="F491" s="1470"/>
      <c r="G491" s="1470"/>
      <c r="H491" s="1470"/>
      <c r="I491" s="1470"/>
      <c r="J491" s="1470"/>
      <c r="K491" s="1470"/>
      <c r="L491" s="1470"/>
      <c r="M491" s="1470"/>
      <c r="N491" s="1470"/>
      <c r="O491" s="1470"/>
      <c r="P491" s="1470"/>
      <c r="Q491" s="1470"/>
      <c r="R491" s="1471"/>
      <c r="S491" s="26" t="s">
        <v>451</v>
      </c>
      <c r="T491" s="20" t="s">
        <v>928</v>
      </c>
      <c r="U491" s="39"/>
    </row>
    <row r="492" spans="1:21" x14ac:dyDescent="0.25">
      <c r="A492" s="25">
        <v>44763</v>
      </c>
      <c r="B492" s="58"/>
      <c r="C492" s="1469" t="s">
        <v>3404</v>
      </c>
      <c r="D492" s="1470"/>
      <c r="E492" s="1470"/>
      <c r="F492" s="1470"/>
      <c r="G492" s="1470"/>
      <c r="H492" s="1470"/>
      <c r="I492" s="1470"/>
      <c r="J492" s="1470"/>
      <c r="K492" s="1470"/>
      <c r="L492" s="1470"/>
      <c r="M492" s="1470"/>
      <c r="N492" s="1470"/>
      <c r="O492" s="1470"/>
      <c r="P492" s="1470"/>
      <c r="Q492" s="1470"/>
      <c r="R492" s="1471"/>
      <c r="S492" s="26" t="s">
        <v>451</v>
      </c>
      <c r="T492" s="20" t="s">
        <v>928</v>
      </c>
      <c r="U492" s="39"/>
    </row>
    <row r="493" spans="1:21" x14ac:dyDescent="0.25">
      <c r="A493" s="25">
        <v>44764</v>
      </c>
      <c r="B493" s="58"/>
      <c r="C493" s="1469" t="s">
        <v>3403</v>
      </c>
      <c r="D493" s="1470"/>
      <c r="E493" s="1470"/>
      <c r="F493" s="1470"/>
      <c r="G493" s="1470"/>
      <c r="H493" s="1470"/>
      <c r="I493" s="1470"/>
      <c r="J493" s="1470"/>
      <c r="K493" s="1470"/>
      <c r="L493" s="1470"/>
      <c r="M493" s="1470"/>
      <c r="N493" s="1470"/>
      <c r="O493" s="1470"/>
      <c r="P493" s="1470"/>
      <c r="Q493" s="1470"/>
      <c r="R493" s="1471"/>
      <c r="S493" s="26" t="s">
        <v>451</v>
      </c>
      <c r="T493" s="20" t="s">
        <v>928</v>
      </c>
      <c r="U493" s="39"/>
    </row>
    <row r="494" spans="1:21" x14ac:dyDescent="0.25">
      <c r="A494" s="25">
        <v>44765</v>
      </c>
      <c r="B494" s="58">
        <v>0.875</v>
      </c>
      <c r="C494" s="246">
        <v>50</v>
      </c>
      <c r="D494" s="60">
        <v>10.8</v>
      </c>
      <c r="E494" s="247">
        <v>16.2</v>
      </c>
      <c r="F494" s="57">
        <v>1039</v>
      </c>
      <c r="G494" s="57">
        <v>2465</v>
      </c>
      <c r="H494" s="57">
        <v>102.9</v>
      </c>
      <c r="I494" s="57">
        <v>103.5</v>
      </c>
      <c r="J494" s="57" t="s">
        <v>3387</v>
      </c>
      <c r="K494" s="60">
        <v>36.090000000000003</v>
      </c>
      <c r="L494" s="60">
        <v>38</v>
      </c>
      <c r="M494" s="60">
        <v>39.79</v>
      </c>
      <c r="N494" s="57" t="s">
        <v>142</v>
      </c>
      <c r="O494" s="57" t="s">
        <v>142</v>
      </c>
      <c r="P494" s="57" t="s">
        <v>142</v>
      </c>
      <c r="Q494" s="57" t="s">
        <v>3038</v>
      </c>
      <c r="R494" s="57">
        <v>69.2</v>
      </c>
      <c r="S494" s="26" t="s">
        <v>451</v>
      </c>
      <c r="T494" s="20" t="s">
        <v>928</v>
      </c>
      <c r="U494" s="39"/>
    </row>
    <row r="495" spans="1:21" x14ac:dyDescent="0.25">
      <c r="A495" s="25">
        <v>44766</v>
      </c>
      <c r="B495" s="58">
        <v>0.85416666666666663</v>
      </c>
      <c r="C495" s="246">
        <v>50</v>
      </c>
      <c r="D495" s="60">
        <v>9.8000000000000007</v>
      </c>
      <c r="E495" s="247">
        <v>15.5</v>
      </c>
      <c r="F495" s="57">
        <v>994</v>
      </c>
      <c r="G495" s="57">
        <v>2477</v>
      </c>
      <c r="H495" s="57">
        <v>104</v>
      </c>
      <c r="I495" s="57">
        <v>105.1</v>
      </c>
      <c r="J495" s="57" t="s">
        <v>3397</v>
      </c>
      <c r="K495" s="60">
        <v>36.299999999999997</v>
      </c>
      <c r="L495" s="60">
        <v>38</v>
      </c>
      <c r="M495" s="60">
        <v>39.44</v>
      </c>
      <c r="N495" s="57" t="s">
        <v>142</v>
      </c>
      <c r="O495" s="57" t="s">
        <v>142</v>
      </c>
      <c r="P495" s="57" t="s">
        <v>142</v>
      </c>
      <c r="Q495" s="57" t="s">
        <v>3398</v>
      </c>
      <c r="R495" s="57">
        <v>66.2</v>
      </c>
      <c r="S495" s="26" t="s">
        <v>451</v>
      </c>
      <c r="T495" s="20" t="s">
        <v>928</v>
      </c>
      <c r="U495" s="39"/>
    </row>
    <row r="496" spans="1:21" x14ac:dyDescent="0.25">
      <c r="A496" s="25">
        <v>44767</v>
      </c>
      <c r="B496" s="58"/>
      <c r="C496" s="1469" t="s">
        <v>3407</v>
      </c>
      <c r="D496" s="1470"/>
      <c r="E496" s="1470"/>
      <c r="F496" s="1470"/>
      <c r="G496" s="1470"/>
      <c r="H496" s="1470"/>
      <c r="I496" s="1470"/>
      <c r="J496" s="1470"/>
      <c r="K496" s="1470"/>
      <c r="L496" s="1470"/>
      <c r="M496" s="1470"/>
      <c r="N496" s="1470"/>
      <c r="O496" s="1470"/>
      <c r="P496" s="1470"/>
      <c r="Q496" s="1470"/>
      <c r="R496" s="1471"/>
      <c r="S496" s="26" t="s">
        <v>451</v>
      </c>
      <c r="T496" s="20" t="s">
        <v>928</v>
      </c>
      <c r="U496" s="39"/>
    </row>
    <row r="497" spans="1:21" x14ac:dyDescent="0.25">
      <c r="A497" s="25">
        <v>44768</v>
      </c>
      <c r="B497" s="58"/>
      <c r="C497" s="1469" t="s">
        <v>3413</v>
      </c>
      <c r="D497" s="1470"/>
      <c r="E497" s="1470"/>
      <c r="F497" s="1470"/>
      <c r="G497" s="1470"/>
      <c r="H497" s="1470"/>
      <c r="I497" s="1470"/>
      <c r="J497" s="1470"/>
      <c r="K497" s="1470"/>
      <c r="L497" s="1470"/>
      <c r="M497" s="1470"/>
      <c r="N497" s="1470"/>
      <c r="O497" s="1470"/>
      <c r="P497" s="1470"/>
      <c r="Q497" s="1470"/>
      <c r="R497" s="1471"/>
      <c r="S497" s="26" t="s">
        <v>451</v>
      </c>
      <c r="T497" s="20" t="s">
        <v>928</v>
      </c>
      <c r="U497" s="39"/>
    </row>
    <row r="498" spans="1:21" x14ac:dyDescent="0.25">
      <c r="A498" s="25">
        <v>44769</v>
      </c>
      <c r="B498" s="58"/>
      <c r="C498" s="1469" t="s">
        <v>3419</v>
      </c>
      <c r="D498" s="1470"/>
      <c r="E498" s="1470"/>
      <c r="F498" s="1470"/>
      <c r="G498" s="1470"/>
      <c r="H498" s="1470"/>
      <c r="I498" s="1470"/>
      <c r="J498" s="1470"/>
      <c r="K498" s="1470"/>
      <c r="L498" s="1470"/>
      <c r="M498" s="1470"/>
      <c r="N498" s="1470"/>
      <c r="O498" s="1470"/>
      <c r="P498" s="1470"/>
      <c r="Q498" s="1470"/>
      <c r="R498" s="1471"/>
      <c r="S498" s="26" t="s">
        <v>451</v>
      </c>
      <c r="T498" s="20" t="s">
        <v>928</v>
      </c>
      <c r="U498" s="39"/>
    </row>
    <row r="499" spans="1:21" x14ac:dyDescent="0.25">
      <c r="A499" s="25">
        <v>44770</v>
      </c>
      <c r="B499" s="58">
        <v>0.99305555555555547</v>
      </c>
      <c r="C499" s="246">
        <v>50</v>
      </c>
      <c r="D499" s="60">
        <v>10.8</v>
      </c>
      <c r="E499" s="247">
        <v>16.2</v>
      </c>
      <c r="F499" s="57">
        <v>1139</v>
      </c>
      <c r="G499" s="57">
        <v>2165</v>
      </c>
      <c r="H499" s="57">
        <v>102.9</v>
      </c>
      <c r="I499" s="57">
        <v>103.5</v>
      </c>
      <c r="J499" s="57" t="s">
        <v>3387</v>
      </c>
      <c r="K499" s="60">
        <v>36.090000000000003</v>
      </c>
      <c r="L499" s="60">
        <v>38</v>
      </c>
      <c r="M499" s="60">
        <v>39.79</v>
      </c>
      <c r="N499" s="57" t="s">
        <v>142</v>
      </c>
      <c r="O499" s="57" t="s">
        <v>142</v>
      </c>
      <c r="P499" s="57" t="s">
        <v>142</v>
      </c>
      <c r="Q499" s="57" t="s">
        <v>3038</v>
      </c>
      <c r="R499" s="57">
        <v>69.2</v>
      </c>
      <c r="S499" s="26" t="s">
        <v>451</v>
      </c>
      <c r="T499" s="20" t="s">
        <v>928</v>
      </c>
      <c r="U499" s="39"/>
    </row>
    <row r="500" spans="1:21" x14ac:dyDescent="0.25">
      <c r="A500" s="25">
        <v>44771</v>
      </c>
      <c r="B500" s="58">
        <v>0.91666666666666663</v>
      </c>
      <c r="C500" s="246">
        <v>50</v>
      </c>
      <c r="D500" s="60">
        <v>10.1</v>
      </c>
      <c r="E500" s="247">
        <v>15.7</v>
      </c>
      <c r="F500" s="57">
        <v>997</v>
      </c>
      <c r="G500" s="57">
        <v>2489</v>
      </c>
      <c r="H500" s="57">
        <v>104</v>
      </c>
      <c r="I500" s="57">
        <v>104.6</v>
      </c>
      <c r="J500" s="57" t="s">
        <v>3442</v>
      </c>
      <c r="K500" s="60">
        <v>3596</v>
      </c>
      <c r="L500" s="60">
        <v>38</v>
      </c>
      <c r="M500" s="60">
        <v>39.68</v>
      </c>
      <c r="N500" s="57" t="s">
        <v>142</v>
      </c>
      <c r="O500" s="57" t="s">
        <v>142</v>
      </c>
      <c r="P500" s="57" t="s">
        <v>142</v>
      </c>
      <c r="Q500" s="57" t="s">
        <v>3398</v>
      </c>
      <c r="R500" s="57">
        <v>67</v>
      </c>
      <c r="S500" s="26" t="s">
        <v>451</v>
      </c>
      <c r="T500" s="20" t="s">
        <v>928</v>
      </c>
      <c r="U500" s="39"/>
    </row>
    <row r="501" spans="1:21" x14ac:dyDescent="0.25">
      <c r="A501" s="25">
        <v>44772</v>
      </c>
      <c r="B501" s="58">
        <v>0.89583333333333337</v>
      </c>
      <c r="C501" s="246">
        <v>51</v>
      </c>
      <c r="D501" s="60">
        <v>10.4</v>
      </c>
      <c r="E501" s="247">
        <v>16</v>
      </c>
      <c r="F501" s="57">
        <v>973</v>
      </c>
      <c r="G501" s="57">
        <v>2454</v>
      </c>
      <c r="H501" s="57">
        <v>104.6</v>
      </c>
      <c r="I501" s="57">
        <v>105.7</v>
      </c>
      <c r="J501" s="57" t="s">
        <v>3447</v>
      </c>
      <c r="K501" s="60">
        <v>3596</v>
      </c>
      <c r="L501" s="60">
        <v>38</v>
      </c>
      <c r="M501" s="60">
        <v>39.68</v>
      </c>
      <c r="N501" s="57" t="s">
        <v>142</v>
      </c>
      <c r="O501" s="57" t="s">
        <v>142</v>
      </c>
      <c r="P501" s="57" t="s">
        <v>142</v>
      </c>
      <c r="Q501" s="57" t="s">
        <v>2669</v>
      </c>
      <c r="R501" s="57">
        <v>68.3</v>
      </c>
      <c r="S501" s="26" t="s">
        <v>451</v>
      </c>
      <c r="T501" s="20" t="s">
        <v>928</v>
      </c>
      <c r="U501" s="39"/>
    </row>
    <row r="502" spans="1:21" x14ac:dyDescent="0.25">
      <c r="A502" s="25">
        <v>44773</v>
      </c>
      <c r="B502" s="58"/>
      <c r="C502" s="1469" t="s">
        <v>3463</v>
      </c>
      <c r="D502" s="1470"/>
      <c r="E502" s="1470"/>
      <c r="F502" s="1470"/>
      <c r="G502" s="1470"/>
      <c r="H502" s="1470"/>
      <c r="I502" s="1470"/>
      <c r="J502" s="1470"/>
      <c r="K502" s="1470"/>
      <c r="L502" s="1470"/>
      <c r="M502" s="1470"/>
      <c r="N502" s="1470"/>
      <c r="O502" s="1470"/>
      <c r="P502" s="1470"/>
      <c r="Q502" s="1470"/>
      <c r="R502" s="1471"/>
      <c r="S502" s="26" t="s">
        <v>451</v>
      </c>
      <c r="T502" s="20" t="s">
        <v>928</v>
      </c>
      <c r="U502" s="39"/>
    </row>
    <row r="503" spans="1:21" x14ac:dyDescent="0.25">
      <c r="A503" s="25">
        <v>44774</v>
      </c>
      <c r="B503" s="58"/>
      <c r="C503" s="1469" t="s">
        <v>3484</v>
      </c>
      <c r="D503" s="1470"/>
      <c r="E503" s="1470"/>
      <c r="F503" s="1470"/>
      <c r="G503" s="1470"/>
      <c r="H503" s="1470"/>
      <c r="I503" s="1470"/>
      <c r="J503" s="1470"/>
      <c r="K503" s="1470"/>
      <c r="L503" s="1470"/>
      <c r="M503" s="1470"/>
      <c r="N503" s="1470"/>
      <c r="O503" s="1470"/>
      <c r="P503" s="1470"/>
      <c r="Q503" s="1470"/>
      <c r="R503" s="1471"/>
      <c r="S503" s="26" t="s">
        <v>451</v>
      </c>
      <c r="T503" s="20" t="s">
        <v>928</v>
      </c>
      <c r="U503" s="39"/>
    </row>
    <row r="504" spans="1:21" x14ac:dyDescent="0.25">
      <c r="A504" s="25">
        <v>44775</v>
      </c>
      <c r="B504" s="58"/>
      <c r="C504" s="1469" t="s">
        <v>3498</v>
      </c>
      <c r="D504" s="1470"/>
      <c r="E504" s="1470"/>
      <c r="F504" s="1470"/>
      <c r="G504" s="1470"/>
      <c r="H504" s="1470"/>
      <c r="I504" s="1470"/>
      <c r="J504" s="1470"/>
      <c r="K504" s="1470"/>
      <c r="L504" s="1470"/>
      <c r="M504" s="1470"/>
      <c r="N504" s="1470"/>
      <c r="O504" s="1470"/>
      <c r="P504" s="1470"/>
      <c r="Q504" s="1470"/>
      <c r="R504" s="1471"/>
      <c r="S504" s="26" t="s">
        <v>451</v>
      </c>
      <c r="T504" s="20" t="s">
        <v>928</v>
      </c>
      <c r="U504" s="39"/>
    </row>
    <row r="505" spans="1:21" x14ac:dyDescent="0.25">
      <c r="A505" s="25">
        <v>44776</v>
      </c>
      <c r="B505" s="58"/>
      <c r="C505" s="1469" t="s">
        <v>3499</v>
      </c>
      <c r="D505" s="1470"/>
      <c r="E505" s="1470"/>
      <c r="F505" s="1470"/>
      <c r="G505" s="1470"/>
      <c r="H505" s="1470"/>
      <c r="I505" s="1470"/>
      <c r="J505" s="1470"/>
      <c r="K505" s="1470"/>
      <c r="L505" s="1470"/>
      <c r="M505" s="1470"/>
      <c r="N505" s="1470"/>
      <c r="O505" s="1470"/>
      <c r="P505" s="1470"/>
      <c r="Q505" s="1470"/>
      <c r="R505" s="1471"/>
      <c r="S505" s="26" t="s">
        <v>451</v>
      </c>
      <c r="T505" s="20" t="s">
        <v>928</v>
      </c>
      <c r="U505" s="39"/>
    </row>
    <row r="506" spans="1:21" x14ac:dyDescent="0.25">
      <c r="A506" s="25">
        <v>44777</v>
      </c>
      <c r="B506" s="58"/>
      <c r="C506" s="1469" t="s">
        <v>3500</v>
      </c>
      <c r="D506" s="1470"/>
      <c r="E506" s="1470"/>
      <c r="F506" s="1470"/>
      <c r="G506" s="1470"/>
      <c r="H506" s="1470"/>
      <c r="I506" s="1470"/>
      <c r="J506" s="1470"/>
      <c r="K506" s="1470"/>
      <c r="L506" s="1470"/>
      <c r="M506" s="1470"/>
      <c r="N506" s="1470"/>
      <c r="O506" s="1470"/>
      <c r="P506" s="1470"/>
      <c r="Q506" s="1470"/>
      <c r="R506" s="1471"/>
      <c r="S506" s="26" t="s">
        <v>451</v>
      </c>
      <c r="T506" s="20" t="s">
        <v>928</v>
      </c>
      <c r="U506" s="39"/>
    </row>
    <row r="507" spans="1:21" x14ac:dyDescent="0.25">
      <c r="A507" s="25">
        <v>44778</v>
      </c>
      <c r="B507" s="58">
        <v>0.95833333333333337</v>
      </c>
      <c r="C507" s="246">
        <v>51</v>
      </c>
      <c r="D507" s="60">
        <v>11.1</v>
      </c>
      <c r="E507" s="247">
        <v>16.5</v>
      </c>
      <c r="F507" s="57">
        <v>1019</v>
      </c>
      <c r="G507" s="57">
        <v>2542</v>
      </c>
      <c r="H507" s="57">
        <v>103</v>
      </c>
      <c r="I507" s="57">
        <v>103.6</v>
      </c>
      <c r="J507" s="57" t="s">
        <v>3505</v>
      </c>
      <c r="K507" s="60">
        <v>40</v>
      </c>
      <c r="L507" s="60">
        <v>38</v>
      </c>
      <c r="M507" s="60">
        <v>39.94</v>
      </c>
      <c r="N507" s="57" t="s">
        <v>142</v>
      </c>
      <c r="O507" s="57" t="s">
        <v>142</v>
      </c>
      <c r="P507" s="57" t="s">
        <v>142</v>
      </c>
      <c r="Q507" s="57" t="s">
        <v>3506</v>
      </c>
      <c r="R507" s="57">
        <v>70.5</v>
      </c>
      <c r="S507" s="26" t="s">
        <v>451</v>
      </c>
      <c r="T507" s="20" t="s">
        <v>928</v>
      </c>
      <c r="U507" s="39"/>
    </row>
    <row r="508" spans="1:21" x14ac:dyDescent="0.25">
      <c r="A508" s="25">
        <v>44779</v>
      </c>
      <c r="B508" s="905">
        <v>0.875</v>
      </c>
      <c r="C508" s="246">
        <v>51</v>
      </c>
      <c r="D508" s="60">
        <v>10.8</v>
      </c>
      <c r="E508" s="247">
        <v>16.399999999999999</v>
      </c>
      <c r="F508" s="57">
        <v>964</v>
      </c>
      <c r="G508" s="57">
        <v>2471</v>
      </c>
      <c r="H508" s="57">
        <v>103.8</v>
      </c>
      <c r="I508" s="57">
        <v>104.7</v>
      </c>
      <c r="J508" s="57" t="s">
        <v>3505</v>
      </c>
      <c r="K508" s="60">
        <v>36.85</v>
      </c>
      <c r="L508" s="60">
        <v>38</v>
      </c>
      <c r="M508" s="60">
        <v>39.369999999999997</v>
      </c>
      <c r="N508" s="57" t="s">
        <v>142</v>
      </c>
      <c r="O508" s="57" t="s">
        <v>142</v>
      </c>
      <c r="P508" s="57" t="s">
        <v>142</v>
      </c>
      <c r="Q508" s="57" t="s">
        <v>3512</v>
      </c>
      <c r="R508" s="57">
        <v>70.5</v>
      </c>
      <c r="S508" s="26" t="s">
        <v>451</v>
      </c>
      <c r="T508" s="20" t="s">
        <v>928</v>
      </c>
      <c r="U508" s="39"/>
    </row>
    <row r="509" spans="1:21" x14ac:dyDescent="0.25">
      <c r="A509" s="25">
        <v>44780</v>
      </c>
      <c r="B509" s="58"/>
      <c r="C509" s="1469" t="s">
        <v>3527</v>
      </c>
      <c r="D509" s="1470"/>
      <c r="E509" s="1470"/>
      <c r="F509" s="1470"/>
      <c r="G509" s="1470"/>
      <c r="H509" s="1470"/>
      <c r="I509" s="1470"/>
      <c r="J509" s="1470"/>
      <c r="K509" s="1470"/>
      <c r="L509" s="1470"/>
      <c r="M509" s="1470"/>
      <c r="N509" s="1470"/>
      <c r="O509" s="1470"/>
      <c r="P509" s="1470"/>
      <c r="Q509" s="1470"/>
      <c r="R509" s="1471"/>
      <c r="S509" s="26" t="s">
        <v>451</v>
      </c>
      <c r="T509" s="20" t="s">
        <v>928</v>
      </c>
      <c r="U509" s="39"/>
    </row>
    <row r="510" spans="1:21" x14ac:dyDescent="0.25">
      <c r="A510" s="25">
        <v>44781</v>
      </c>
      <c r="B510" s="58"/>
      <c r="C510" s="1469" t="s">
        <v>3536</v>
      </c>
      <c r="D510" s="1470"/>
      <c r="E510" s="1470"/>
      <c r="F510" s="1470"/>
      <c r="G510" s="1470"/>
      <c r="H510" s="1470"/>
      <c r="I510" s="1470"/>
      <c r="J510" s="1470"/>
      <c r="K510" s="1470"/>
      <c r="L510" s="1470"/>
      <c r="M510" s="1470"/>
      <c r="N510" s="1470"/>
      <c r="O510" s="1470"/>
      <c r="P510" s="1470"/>
      <c r="Q510" s="1470"/>
      <c r="R510" s="1471"/>
      <c r="S510" s="26" t="s">
        <v>451</v>
      </c>
      <c r="T510" s="20" t="s">
        <v>928</v>
      </c>
      <c r="U510" s="39"/>
    </row>
    <row r="511" spans="1:21" x14ac:dyDescent="0.25">
      <c r="A511" s="25">
        <v>44782</v>
      </c>
      <c r="B511" s="58"/>
      <c r="C511" s="1469" t="s">
        <v>3539</v>
      </c>
      <c r="D511" s="1470"/>
      <c r="E511" s="1470"/>
      <c r="F511" s="1470"/>
      <c r="G511" s="1470"/>
      <c r="H511" s="1470"/>
      <c r="I511" s="1470"/>
      <c r="J511" s="1470"/>
      <c r="K511" s="1470"/>
      <c r="L511" s="1470"/>
      <c r="M511" s="1470"/>
      <c r="N511" s="1470"/>
      <c r="O511" s="1470"/>
      <c r="P511" s="1470"/>
      <c r="Q511" s="1470"/>
      <c r="R511" s="1471"/>
      <c r="S511" s="26" t="s">
        <v>451</v>
      </c>
      <c r="T511" s="20" t="s">
        <v>928</v>
      </c>
      <c r="U511" s="39"/>
    </row>
    <row r="512" spans="1:21" x14ac:dyDescent="0.25">
      <c r="A512" s="25">
        <v>44783</v>
      </c>
      <c r="B512" s="58"/>
      <c r="C512" s="1469" t="s">
        <v>3548</v>
      </c>
      <c r="D512" s="1470"/>
      <c r="E512" s="1470"/>
      <c r="F512" s="1470"/>
      <c r="G512" s="1470"/>
      <c r="H512" s="1470"/>
      <c r="I512" s="1470"/>
      <c r="J512" s="1470"/>
      <c r="K512" s="1470"/>
      <c r="L512" s="1470"/>
      <c r="M512" s="1470"/>
      <c r="N512" s="1470"/>
      <c r="O512" s="1470"/>
      <c r="P512" s="1470"/>
      <c r="Q512" s="1470"/>
      <c r="R512" s="1471"/>
      <c r="S512" s="26" t="s">
        <v>451</v>
      </c>
      <c r="T512" s="20" t="s">
        <v>928</v>
      </c>
      <c r="U512" s="39"/>
    </row>
    <row r="513" spans="1:21" x14ac:dyDescent="0.25">
      <c r="A513" s="25">
        <v>44784</v>
      </c>
      <c r="B513" s="38">
        <v>0.875</v>
      </c>
      <c r="C513" s="246">
        <v>52</v>
      </c>
      <c r="D513" s="60">
        <v>11.8</v>
      </c>
      <c r="E513" s="247">
        <v>17.100000000000001</v>
      </c>
      <c r="F513" s="57">
        <v>1015</v>
      </c>
      <c r="G513" s="57">
        <v>2529</v>
      </c>
      <c r="H513" s="57">
        <v>102.7</v>
      </c>
      <c r="I513" s="57">
        <v>103.2</v>
      </c>
      <c r="J513" s="57" t="s">
        <v>3554</v>
      </c>
      <c r="K513" s="60">
        <v>34.04</v>
      </c>
      <c r="L513" s="60">
        <v>40</v>
      </c>
      <c r="M513" s="60">
        <v>40.98</v>
      </c>
      <c r="N513" s="57" t="s">
        <v>142</v>
      </c>
      <c r="O513" s="57" t="s">
        <v>142</v>
      </c>
      <c r="P513" s="57" t="s">
        <v>142</v>
      </c>
      <c r="Q513" s="57" t="s">
        <v>3555</v>
      </c>
      <c r="R513" s="57">
        <v>73</v>
      </c>
      <c r="S513" s="26" t="s">
        <v>451</v>
      </c>
      <c r="T513" s="20" t="s">
        <v>236</v>
      </c>
      <c r="U513" s="39" t="s">
        <v>3556</v>
      </c>
    </row>
    <row r="514" spans="1:21" x14ac:dyDescent="0.25">
      <c r="A514" s="25">
        <v>44785</v>
      </c>
      <c r="B514" s="38">
        <v>0.85416666666666663</v>
      </c>
      <c r="C514" s="246">
        <v>52</v>
      </c>
      <c r="D514" s="60">
        <v>9.6999999999999993</v>
      </c>
      <c r="E514" s="247">
        <v>15.4</v>
      </c>
      <c r="F514" s="57">
        <v>932</v>
      </c>
      <c r="G514" s="57">
        <v>2452</v>
      </c>
      <c r="H514" s="57">
        <v>103.6</v>
      </c>
      <c r="I514" s="57">
        <v>104.5</v>
      </c>
      <c r="J514" s="57" t="s">
        <v>3563</v>
      </c>
      <c r="K514" s="60">
        <v>34.46</v>
      </c>
      <c r="L514" s="60">
        <v>37.5</v>
      </c>
      <c r="M514" s="60">
        <v>40.74</v>
      </c>
      <c r="N514" s="57" t="s">
        <v>142</v>
      </c>
      <c r="O514" s="57" t="s">
        <v>142</v>
      </c>
      <c r="P514" s="57" t="s">
        <v>142</v>
      </c>
      <c r="Q514" s="57" t="s">
        <v>1277</v>
      </c>
      <c r="R514" s="57">
        <v>65.8</v>
      </c>
      <c r="S514" s="26" t="s">
        <v>451</v>
      </c>
      <c r="T514" s="20" t="s">
        <v>236</v>
      </c>
      <c r="U514" s="39"/>
    </row>
    <row r="515" spans="1:21" x14ac:dyDescent="0.25">
      <c r="A515" s="25">
        <v>44786</v>
      </c>
      <c r="B515" s="38">
        <v>0.85416666666666663</v>
      </c>
      <c r="C515" s="1469" t="s">
        <v>3576</v>
      </c>
      <c r="D515" s="1470"/>
      <c r="E515" s="1470"/>
      <c r="F515" s="1470"/>
      <c r="G515" s="1470"/>
      <c r="H515" s="1470"/>
      <c r="I515" s="1470"/>
      <c r="J515" s="1470"/>
      <c r="K515" s="1470"/>
      <c r="L515" s="1470"/>
      <c r="M515" s="1470"/>
      <c r="N515" s="1470"/>
      <c r="O515" s="1470"/>
      <c r="P515" s="1470"/>
      <c r="Q515" s="1470"/>
      <c r="R515" s="1471"/>
      <c r="S515" s="26" t="s">
        <v>451</v>
      </c>
      <c r="T515" s="20" t="s">
        <v>236</v>
      </c>
      <c r="U515" s="39"/>
    </row>
    <row r="516" spans="1:21" x14ac:dyDescent="0.25">
      <c r="A516" s="25">
        <v>44787</v>
      </c>
      <c r="B516" s="38">
        <v>0.85416666666666663</v>
      </c>
      <c r="C516" s="1469" t="s">
        <v>3577</v>
      </c>
      <c r="D516" s="1470"/>
      <c r="E516" s="1470"/>
      <c r="F516" s="1470"/>
      <c r="G516" s="1470"/>
      <c r="H516" s="1470"/>
      <c r="I516" s="1470"/>
      <c r="J516" s="1470"/>
      <c r="K516" s="1470"/>
      <c r="L516" s="1470"/>
      <c r="M516" s="1470"/>
      <c r="N516" s="1470"/>
      <c r="O516" s="1470"/>
      <c r="P516" s="1470"/>
      <c r="Q516" s="1470"/>
      <c r="R516" s="1471"/>
      <c r="S516" s="26" t="s">
        <v>451</v>
      </c>
      <c r="T516" s="20" t="s">
        <v>236</v>
      </c>
      <c r="U516" s="39"/>
    </row>
    <row r="517" spans="1:21" x14ac:dyDescent="0.25">
      <c r="A517" s="25">
        <v>44788</v>
      </c>
      <c r="B517" s="38">
        <v>0.83333333333333337</v>
      </c>
      <c r="C517" s="1469" t="s">
        <v>3582</v>
      </c>
      <c r="D517" s="1470"/>
      <c r="E517" s="1470"/>
      <c r="F517" s="1470"/>
      <c r="G517" s="1470"/>
      <c r="H517" s="1470"/>
      <c r="I517" s="1470"/>
      <c r="J517" s="1470"/>
      <c r="K517" s="1470"/>
      <c r="L517" s="1470"/>
      <c r="M517" s="1470"/>
      <c r="N517" s="1470"/>
      <c r="O517" s="1470"/>
      <c r="P517" s="1470"/>
      <c r="Q517" s="1470"/>
      <c r="R517" s="1471"/>
      <c r="S517" s="26" t="s">
        <v>451</v>
      </c>
      <c r="T517" s="20" t="s">
        <v>236</v>
      </c>
      <c r="U517" s="39"/>
    </row>
    <row r="518" spans="1:21" x14ac:dyDescent="0.25">
      <c r="A518" s="25">
        <v>44789</v>
      </c>
      <c r="B518" s="38">
        <v>0.9375</v>
      </c>
      <c r="C518" s="1469" t="s">
        <v>3589</v>
      </c>
      <c r="D518" s="1470"/>
      <c r="E518" s="1470"/>
      <c r="F518" s="1470"/>
      <c r="G518" s="1470"/>
      <c r="H518" s="1470"/>
      <c r="I518" s="1470"/>
      <c r="J518" s="1470"/>
      <c r="K518" s="1470"/>
      <c r="L518" s="1470"/>
      <c r="M518" s="1470"/>
      <c r="N518" s="1470"/>
      <c r="O518" s="1470"/>
      <c r="P518" s="1470"/>
      <c r="Q518" s="1470"/>
      <c r="R518" s="1471"/>
      <c r="S518" s="26" t="s">
        <v>451</v>
      </c>
      <c r="T518" s="20" t="s">
        <v>236</v>
      </c>
      <c r="U518" s="39"/>
    </row>
    <row r="519" spans="1:21" x14ac:dyDescent="0.25">
      <c r="A519" s="25">
        <v>44790</v>
      </c>
      <c r="B519" s="38">
        <v>0.875</v>
      </c>
      <c r="C519" s="1469" t="s">
        <v>3592</v>
      </c>
      <c r="D519" s="1470"/>
      <c r="E519" s="1470"/>
      <c r="F519" s="1470"/>
      <c r="G519" s="1470"/>
      <c r="H519" s="1470"/>
      <c r="I519" s="1470"/>
      <c r="J519" s="1470"/>
      <c r="K519" s="1470"/>
      <c r="L519" s="1470"/>
      <c r="M519" s="1470"/>
      <c r="N519" s="1470"/>
      <c r="O519" s="1470"/>
      <c r="P519" s="1470"/>
      <c r="Q519" s="1470"/>
      <c r="R519" s="1471"/>
      <c r="S519" s="26" t="s">
        <v>451</v>
      </c>
      <c r="T519" s="20" t="s">
        <v>236</v>
      </c>
      <c r="U519" s="39"/>
    </row>
    <row r="520" spans="1:21" x14ac:dyDescent="0.25">
      <c r="A520" s="25">
        <v>44791</v>
      </c>
      <c r="B520" s="38">
        <v>0.95833333333333337</v>
      </c>
      <c r="C520" s="246">
        <v>52</v>
      </c>
      <c r="D520" s="60">
        <v>11.8</v>
      </c>
      <c r="E520" s="247">
        <v>17.100000000000001</v>
      </c>
      <c r="F520" s="57">
        <v>985</v>
      </c>
      <c r="G520" s="57">
        <v>2547</v>
      </c>
      <c r="H520" s="57">
        <v>102.8</v>
      </c>
      <c r="I520" s="57">
        <v>103.2</v>
      </c>
      <c r="J520" s="57" t="s">
        <v>3602</v>
      </c>
      <c r="K520" s="60">
        <v>33.86</v>
      </c>
      <c r="L520" s="60">
        <v>40</v>
      </c>
      <c r="M520" s="60">
        <v>41.89</v>
      </c>
      <c r="N520" s="57" t="s">
        <v>142</v>
      </c>
      <c r="O520" s="57" t="s">
        <v>142</v>
      </c>
      <c r="P520" s="57" t="s">
        <v>142</v>
      </c>
      <c r="Q520" s="57" t="s">
        <v>2200</v>
      </c>
      <c r="R520" s="57">
        <v>73</v>
      </c>
      <c r="S520" s="26" t="s">
        <v>451</v>
      </c>
      <c r="T520" s="20" t="s">
        <v>236</v>
      </c>
      <c r="U520" s="39" t="s">
        <v>3607</v>
      </c>
    </row>
    <row r="521" spans="1:21" x14ac:dyDescent="0.25">
      <c r="A521" s="25">
        <v>44792</v>
      </c>
      <c r="B521" s="38">
        <v>0.91666666666666663</v>
      </c>
      <c r="C521" s="246">
        <v>52</v>
      </c>
      <c r="D521" s="60">
        <v>10.199999999999999</v>
      </c>
      <c r="E521" s="247">
        <v>15.9</v>
      </c>
      <c r="F521" s="57">
        <v>909</v>
      </c>
      <c r="G521" s="57">
        <v>2460</v>
      </c>
      <c r="H521" s="57">
        <v>103.5</v>
      </c>
      <c r="I521" s="57">
        <v>104.4</v>
      </c>
      <c r="J521" s="57" t="s">
        <v>3613</v>
      </c>
      <c r="K521" s="60">
        <v>34.11</v>
      </c>
      <c r="L521" s="60">
        <v>38</v>
      </c>
      <c r="M521" s="60">
        <v>41.59</v>
      </c>
      <c r="N521" s="57" t="s">
        <v>142</v>
      </c>
      <c r="O521" s="57" t="s">
        <v>142</v>
      </c>
      <c r="P521" s="57" t="s">
        <v>142</v>
      </c>
      <c r="Q521" s="57" t="s">
        <v>1115</v>
      </c>
      <c r="R521" s="57">
        <v>67.900000000000006</v>
      </c>
      <c r="S521" s="26" t="s">
        <v>451</v>
      </c>
      <c r="T521" s="20" t="s">
        <v>236</v>
      </c>
      <c r="U521" s="39"/>
    </row>
    <row r="522" spans="1:21" x14ac:dyDescent="0.25">
      <c r="A522" s="25">
        <v>44793</v>
      </c>
      <c r="B522" s="38">
        <v>0.91666666666666663</v>
      </c>
      <c r="C522" s="246">
        <v>52</v>
      </c>
      <c r="D522" s="60">
        <v>9.9</v>
      </c>
      <c r="E522" s="247">
        <v>15.6</v>
      </c>
      <c r="F522" s="57">
        <v>898</v>
      </c>
      <c r="G522" s="57">
        <v>2460</v>
      </c>
      <c r="H522" s="57">
        <v>104.4</v>
      </c>
      <c r="I522" s="57">
        <v>105.2</v>
      </c>
      <c r="J522" s="57" t="s">
        <v>3616</v>
      </c>
      <c r="K522" s="60">
        <v>34.64</v>
      </c>
      <c r="L522" s="60">
        <v>38</v>
      </c>
      <c r="M522" s="60">
        <v>39.4</v>
      </c>
      <c r="N522" s="57" t="s">
        <v>142</v>
      </c>
      <c r="O522" s="57" t="s">
        <v>142</v>
      </c>
      <c r="P522" s="57" t="s">
        <v>142</v>
      </c>
      <c r="Q522" s="57" t="s">
        <v>1078</v>
      </c>
      <c r="R522" s="57">
        <v>66.599999999999994</v>
      </c>
      <c r="S522" s="26" t="s">
        <v>451</v>
      </c>
      <c r="T522" s="20" t="s">
        <v>236</v>
      </c>
      <c r="U522" s="39"/>
    </row>
    <row r="523" spans="1:21" x14ac:dyDescent="0.25">
      <c r="A523" s="25">
        <v>44794</v>
      </c>
      <c r="B523" s="38">
        <v>0.9375</v>
      </c>
      <c r="C523" s="246">
        <v>52</v>
      </c>
      <c r="D523" s="60">
        <v>10.4</v>
      </c>
      <c r="E523" s="247">
        <v>16</v>
      </c>
      <c r="F523" s="57">
        <v>896.6</v>
      </c>
      <c r="G523" s="57">
        <v>2445</v>
      </c>
      <c r="H523" s="57">
        <v>105</v>
      </c>
      <c r="I523" s="57">
        <v>105.9</v>
      </c>
      <c r="J523" s="57" t="s">
        <v>3619</v>
      </c>
      <c r="K523" s="60">
        <v>33.42</v>
      </c>
      <c r="L523" s="60">
        <v>36</v>
      </c>
      <c r="M523" s="60">
        <v>37.79</v>
      </c>
      <c r="N523" s="57" t="s">
        <v>142</v>
      </c>
      <c r="O523" s="57" t="s">
        <v>142</v>
      </c>
      <c r="P523" s="57" t="s">
        <v>142</v>
      </c>
      <c r="Q523" s="57" t="s">
        <v>3620</v>
      </c>
      <c r="R523" s="57">
        <v>68.3</v>
      </c>
      <c r="S523" s="26" t="s">
        <v>451</v>
      </c>
      <c r="T523" s="20" t="s">
        <v>236</v>
      </c>
      <c r="U523" s="39"/>
    </row>
    <row r="524" spans="1:21" ht="25.5" customHeight="1" x14ac:dyDescent="0.25">
      <c r="A524" s="25">
        <v>44795</v>
      </c>
      <c r="B524" s="38">
        <v>0.9375</v>
      </c>
      <c r="C524" s="1469" t="s">
        <v>3633</v>
      </c>
      <c r="D524" s="1470"/>
      <c r="E524" s="1470"/>
      <c r="F524" s="1470"/>
      <c r="G524" s="1470"/>
      <c r="H524" s="1470"/>
      <c r="I524" s="1470"/>
      <c r="J524" s="1470"/>
      <c r="K524" s="1470"/>
      <c r="L524" s="1470"/>
      <c r="M524" s="1470"/>
      <c r="N524" s="1470"/>
      <c r="O524" s="1470"/>
      <c r="P524" s="1470"/>
      <c r="Q524" s="1470"/>
      <c r="R524" s="1471"/>
      <c r="S524" s="26" t="s">
        <v>451</v>
      </c>
      <c r="T524" s="20" t="s">
        <v>236</v>
      </c>
      <c r="U524" s="39"/>
    </row>
    <row r="525" spans="1:21" ht="25.5" customHeight="1" x14ac:dyDescent="0.25">
      <c r="A525" s="25">
        <v>44796</v>
      </c>
      <c r="B525" s="38">
        <v>0.91666666666666663</v>
      </c>
      <c r="C525" s="1469" t="s">
        <v>3635</v>
      </c>
      <c r="D525" s="1470"/>
      <c r="E525" s="1470"/>
      <c r="F525" s="1470"/>
      <c r="G525" s="1470"/>
      <c r="H525" s="1470"/>
      <c r="I525" s="1470"/>
      <c r="J525" s="1470"/>
      <c r="K525" s="1470"/>
      <c r="L525" s="1470"/>
      <c r="M525" s="1470"/>
      <c r="N525" s="1470"/>
      <c r="O525" s="1470"/>
      <c r="P525" s="1470"/>
      <c r="Q525" s="1470"/>
      <c r="R525" s="1471"/>
      <c r="S525" s="26" t="s">
        <v>451</v>
      </c>
      <c r="T525" s="20" t="s">
        <v>236</v>
      </c>
      <c r="U525" s="39"/>
    </row>
    <row r="526" spans="1:21" ht="25.5" customHeight="1" x14ac:dyDescent="0.25">
      <c r="A526" s="25">
        <v>44797</v>
      </c>
      <c r="B526" s="38">
        <v>0.95833333333333337</v>
      </c>
      <c r="C526" s="1469" t="s">
        <v>3643</v>
      </c>
      <c r="D526" s="1470"/>
      <c r="E526" s="1470"/>
      <c r="F526" s="1470"/>
      <c r="G526" s="1470"/>
      <c r="H526" s="1470"/>
      <c r="I526" s="1470"/>
      <c r="J526" s="1470"/>
      <c r="K526" s="1470"/>
      <c r="L526" s="1470"/>
      <c r="M526" s="1470"/>
      <c r="N526" s="1470"/>
      <c r="O526" s="1470"/>
      <c r="P526" s="1470"/>
      <c r="Q526" s="1470"/>
      <c r="R526" s="1471"/>
      <c r="S526" s="26" t="s">
        <v>451</v>
      </c>
      <c r="T526" s="20" t="s">
        <v>236</v>
      </c>
      <c r="U526" s="39"/>
    </row>
    <row r="527" spans="1:21" ht="25.5" customHeight="1" x14ac:dyDescent="0.25">
      <c r="A527" s="25">
        <v>44798</v>
      </c>
      <c r="B527" s="38">
        <v>0.9375</v>
      </c>
      <c r="C527" s="1469" t="s">
        <v>3648</v>
      </c>
      <c r="D527" s="1470"/>
      <c r="E527" s="1470"/>
      <c r="F527" s="1470"/>
      <c r="G527" s="1470"/>
      <c r="H527" s="1470"/>
      <c r="I527" s="1470"/>
      <c r="J527" s="1470"/>
      <c r="K527" s="1470"/>
      <c r="L527" s="1470"/>
      <c r="M527" s="1470"/>
      <c r="N527" s="1470"/>
      <c r="O527" s="1470"/>
      <c r="P527" s="1470"/>
      <c r="Q527" s="1470"/>
      <c r="R527" s="1471"/>
      <c r="S527" s="26" t="s">
        <v>451</v>
      </c>
      <c r="T527" s="20" t="s">
        <v>236</v>
      </c>
      <c r="U527" s="39"/>
    </row>
    <row r="528" spans="1:21" ht="25.5" customHeight="1" x14ac:dyDescent="0.25">
      <c r="A528" s="25">
        <v>44799</v>
      </c>
      <c r="B528" s="38">
        <v>0.91666666666666663</v>
      </c>
      <c r="C528" s="1469" t="s">
        <v>3656</v>
      </c>
      <c r="D528" s="1470"/>
      <c r="E528" s="1470"/>
      <c r="F528" s="1470"/>
      <c r="G528" s="1470"/>
      <c r="H528" s="1470"/>
      <c r="I528" s="1470"/>
      <c r="J528" s="1470"/>
      <c r="K528" s="1470"/>
      <c r="L528" s="1470"/>
      <c r="M528" s="1470"/>
      <c r="N528" s="1470"/>
      <c r="O528" s="1470"/>
      <c r="P528" s="1470"/>
      <c r="Q528" s="1470"/>
      <c r="R528" s="1471"/>
      <c r="S528" s="26" t="s">
        <v>451</v>
      </c>
      <c r="T528" s="20" t="s">
        <v>236</v>
      </c>
      <c r="U528" s="39"/>
    </row>
    <row r="529" spans="1:21" ht="25.5" customHeight="1" x14ac:dyDescent="0.25">
      <c r="A529" s="25">
        <v>44800</v>
      </c>
      <c r="B529" s="38">
        <v>0.91666666666666663</v>
      </c>
      <c r="C529" s="1469" t="s">
        <v>3659</v>
      </c>
      <c r="D529" s="1470"/>
      <c r="E529" s="1470"/>
      <c r="F529" s="1470"/>
      <c r="G529" s="1470"/>
      <c r="H529" s="1470"/>
      <c r="I529" s="1470"/>
      <c r="J529" s="1470"/>
      <c r="K529" s="1470"/>
      <c r="L529" s="1470"/>
      <c r="M529" s="1470"/>
      <c r="N529" s="1470"/>
      <c r="O529" s="1470"/>
      <c r="P529" s="1470"/>
      <c r="Q529" s="1470"/>
      <c r="R529" s="1471"/>
      <c r="S529" s="26" t="s">
        <v>451</v>
      </c>
      <c r="T529" s="20" t="s">
        <v>236</v>
      </c>
      <c r="U529" s="39"/>
    </row>
    <row r="530" spans="1:21" ht="25.5" customHeight="1" x14ac:dyDescent="0.25">
      <c r="A530" s="25">
        <v>44801</v>
      </c>
      <c r="B530" s="38">
        <v>0.91666666666666663</v>
      </c>
      <c r="C530" s="1469" t="s">
        <v>3668</v>
      </c>
      <c r="D530" s="1470"/>
      <c r="E530" s="1470"/>
      <c r="F530" s="1470"/>
      <c r="G530" s="1470"/>
      <c r="H530" s="1470"/>
      <c r="I530" s="1470"/>
      <c r="J530" s="1470"/>
      <c r="K530" s="1470"/>
      <c r="L530" s="1470"/>
      <c r="M530" s="1470"/>
      <c r="N530" s="1470"/>
      <c r="O530" s="1470"/>
      <c r="P530" s="1470"/>
      <c r="Q530" s="1470"/>
      <c r="R530" s="1471"/>
      <c r="S530" s="26" t="s">
        <v>451</v>
      </c>
      <c r="T530" s="20" t="s">
        <v>236</v>
      </c>
      <c r="U530" s="39"/>
    </row>
    <row r="531" spans="1:21" x14ac:dyDescent="0.25">
      <c r="A531" s="25">
        <v>44802</v>
      </c>
      <c r="B531" s="38">
        <v>0.89583333333333337</v>
      </c>
      <c r="C531" s="246">
        <v>52</v>
      </c>
      <c r="D531" s="60">
        <v>11.7</v>
      </c>
      <c r="E531" s="247">
        <v>17</v>
      </c>
      <c r="F531" s="57">
        <v>1044</v>
      </c>
      <c r="G531" s="57">
        <v>2498</v>
      </c>
      <c r="H531" s="57">
        <v>102.7</v>
      </c>
      <c r="I531" s="57">
        <v>103.3</v>
      </c>
      <c r="J531" s="57" t="s">
        <v>3673</v>
      </c>
      <c r="K531" s="60">
        <v>36.200000000000003</v>
      </c>
      <c r="L531" s="60">
        <v>40</v>
      </c>
      <c r="M531" s="60">
        <v>41.62</v>
      </c>
      <c r="N531" s="57" t="s">
        <v>142</v>
      </c>
      <c r="O531" s="57" t="s">
        <v>142</v>
      </c>
      <c r="P531" s="57" t="s">
        <v>142</v>
      </c>
      <c r="Q531" s="57" t="s">
        <v>3674</v>
      </c>
      <c r="R531" s="57">
        <v>72.599999999999994</v>
      </c>
      <c r="S531" s="26" t="s">
        <v>451</v>
      </c>
      <c r="T531" s="20" t="s">
        <v>236</v>
      </c>
      <c r="U531" s="39"/>
    </row>
    <row r="532" spans="1:21" x14ac:dyDescent="0.25">
      <c r="A532" s="25">
        <v>44803</v>
      </c>
      <c r="B532" s="38">
        <v>0.91666666666666663</v>
      </c>
      <c r="C532" s="246">
        <v>52</v>
      </c>
      <c r="D532" s="60">
        <v>10.7</v>
      </c>
      <c r="E532" s="247">
        <v>16.3</v>
      </c>
      <c r="F532" s="57">
        <v>921</v>
      </c>
      <c r="G532" s="57">
        <v>2517</v>
      </c>
      <c r="H532" s="57">
        <v>103.7</v>
      </c>
      <c r="I532" s="57">
        <v>104.7</v>
      </c>
      <c r="J532" s="57" t="s">
        <v>3678</v>
      </c>
      <c r="K532" s="60">
        <v>39.47</v>
      </c>
      <c r="L532" s="60">
        <v>44</v>
      </c>
      <c r="M532" s="60">
        <v>41.05</v>
      </c>
      <c r="N532" s="57" t="s">
        <v>142</v>
      </c>
      <c r="O532" s="57" t="s">
        <v>142</v>
      </c>
      <c r="P532" s="57" t="s">
        <v>142</v>
      </c>
      <c r="Q532" s="57" t="s">
        <v>3679</v>
      </c>
      <c r="R532" s="57">
        <v>69.2</v>
      </c>
      <c r="S532" s="26" t="s">
        <v>451</v>
      </c>
      <c r="T532" s="20" t="s">
        <v>236</v>
      </c>
      <c r="U532" s="39"/>
    </row>
    <row r="533" spans="1:21" x14ac:dyDescent="0.25">
      <c r="A533" s="25">
        <v>44804</v>
      </c>
      <c r="B533" s="38">
        <v>0.91666666666666663</v>
      </c>
      <c r="C533" s="246">
        <v>52</v>
      </c>
      <c r="D533" s="60">
        <v>10.3</v>
      </c>
      <c r="E533" s="247">
        <v>15.9</v>
      </c>
      <c r="F533" s="57">
        <v>913</v>
      </c>
      <c r="G533" s="57">
        <v>2485</v>
      </c>
      <c r="H533" s="57">
        <v>104.4</v>
      </c>
      <c r="I533" s="57">
        <v>105.2</v>
      </c>
      <c r="J533" s="57" t="s">
        <v>3688</v>
      </c>
      <c r="K533" s="60">
        <v>36.54</v>
      </c>
      <c r="L533" s="60">
        <v>39</v>
      </c>
      <c r="M533" s="60">
        <v>39.33</v>
      </c>
      <c r="N533" s="57" t="s">
        <v>142</v>
      </c>
      <c r="O533" s="57" t="s">
        <v>142</v>
      </c>
      <c r="P533" s="57" t="s">
        <v>142</v>
      </c>
      <c r="Q533" s="57" t="s">
        <v>1158</v>
      </c>
      <c r="R533" s="57">
        <v>67.900000000000006</v>
      </c>
      <c r="S533" s="26" t="s">
        <v>451</v>
      </c>
      <c r="T533" s="20" t="s">
        <v>236</v>
      </c>
      <c r="U533" s="39"/>
    </row>
    <row r="534" spans="1:21" x14ac:dyDescent="0.25">
      <c r="A534" s="25">
        <v>44805</v>
      </c>
      <c r="B534" s="38">
        <v>0.91666666666666663</v>
      </c>
      <c r="C534" s="1469" t="s">
        <v>3707</v>
      </c>
      <c r="D534" s="1470"/>
      <c r="E534" s="1470"/>
      <c r="F534" s="1470"/>
      <c r="G534" s="1470"/>
      <c r="H534" s="1470"/>
      <c r="I534" s="1470"/>
      <c r="J534" s="1470"/>
      <c r="K534" s="1470"/>
      <c r="L534" s="1470"/>
      <c r="M534" s="1470"/>
      <c r="N534" s="1470"/>
      <c r="O534" s="1470"/>
      <c r="P534" s="1470"/>
      <c r="Q534" s="1470"/>
      <c r="R534" s="1471"/>
      <c r="S534" s="26" t="s">
        <v>451</v>
      </c>
      <c r="T534" s="20" t="s">
        <v>236</v>
      </c>
      <c r="U534" s="39"/>
    </row>
    <row r="535" spans="1:21" x14ac:dyDescent="0.25">
      <c r="A535" s="25">
        <v>44806</v>
      </c>
      <c r="B535" s="38">
        <v>0.91666666666666663</v>
      </c>
      <c r="C535" s="1469" t="s">
        <v>3708</v>
      </c>
      <c r="D535" s="1470"/>
      <c r="E535" s="1470"/>
      <c r="F535" s="1470"/>
      <c r="G535" s="1470"/>
      <c r="H535" s="1470"/>
      <c r="I535" s="1470"/>
      <c r="J535" s="1470"/>
      <c r="K535" s="1470"/>
      <c r="L535" s="1470"/>
      <c r="M535" s="1470"/>
      <c r="N535" s="1470"/>
      <c r="O535" s="1470"/>
      <c r="P535" s="1470"/>
      <c r="Q535" s="1470"/>
      <c r="R535" s="1471"/>
      <c r="S535" s="26" t="s">
        <v>451</v>
      </c>
      <c r="T535" s="20" t="s">
        <v>236</v>
      </c>
      <c r="U535" s="39"/>
    </row>
    <row r="536" spans="1:21" x14ac:dyDescent="0.25">
      <c r="A536" s="25">
        <v>44807</v>
      </c>
      <c r="B536" s="38">
        <v>0.89583333333333337</v>
      </c>
      <c r="C536" s="1469" t="s">
        <v>3716</v>
      </c>
      <c r="D536" s="1470"/>
      <c r="E536" s="1470"/>
      <c r="F536" s="1470"/>
      <c r="G536" s="1470"/>
      <c r="H536" s="1470"/>
      <c r="I536" s="1470"/>
      <c r="J536" s="1470"/>
      <c r="K536" s="1470"/>
      <c r="L536" s="1470"/>
      <c r="M536" s="1470"/>
      <c r="N536" s="1470"/>
      <c r="O536" s="1470"/>
      <c r="P536" s="1470"/>
      <c r="Q536" s="1470"/>
      <c r="R536" s="1471"/>
      <c r="S536" s="26" t="s">
        <v>451</v>
      </c>
      <c r="T536" s="20" t="s">
        <v>236</v>
      </c>
      <c r="U536" s="39"/>
    </row>
    <row r="537" spans="1:21" x14ac:dyDescent="0.25">
      <c r="A537" s="25">
        <v>44808</v>
      </c>
      <c r="B537" s="38">
        <v>0.97916666666666663</v>
      </c>
      <c r="C537" s="1469" t="s">
        <v>3723</v>
      </c>
      <c r="D537" s="1470"/>
      <c r="E537" s="1470"/>
      <c r="F537" s="1470"/>
      <c r="G537" s="1470"/>
      <c r="H537" s="1470"/>
      <c r="I537" s="1470"/>
      <c r="J537" s="1470"/>
      <c r="K537" s="1470"/>
      <c r="L537" s="1470"/>
      <c r="M537" s="1470"/>
      <c r="N537" s="1470"/>
      <c r="O537" s="1470"/>
      <c r="P537" s="1470"/>
      <c r="Q537" s="1470"/>
      <c r="R537" s="1471"/>
      <c r="S537" s="26" t="s">
        <v>451</v>
      </c>
      <c r="T537" s="20" t="s">
        <v>236</v>
      </c>
      <c r="U537" s="39"/>
    </row>
    <row r="538" spans="1:21" x14ac:dyDescent="0.25">
      <c r="A538" s="25">
        <v>44809</v>
      </c>
      <c r="B538" s="38">
        <v>0.93055555555555547</v>
      </c>
      <c r="C538" s="1469" t="s">
        <v>3732</v>
      </c>
      <c r="D538" s="1470"/>
      <c r="E538" s="1470"/>
      <c r="F538" s="1470"/>
      <c r="G538" s="1470"/>
      <c r="H538" s="1470"/>
      <c r="I538" s="1470"/>
      <c r="J538" s="1470"/>
      <c r="K538" s="1470"/>
      <c r="L538" s="1470"/>
      <c r="M538" s="1470"/>
      <c r="N538" s="1470"/>
      <c r="O538" s="1470"/>
      <c r="P538" s="1470"/>
      <c r="Q538" s="1470"/>
      <c r="R538" s="1471"/>
      <c r="S538" s="26" t="s">
        <v>451</v>
      </c>
      <c r="T538" s="20" t="s">
        <v>236</v>
      </c>
      <c r="U538" s="39"/>
    </row>
    <row r="539" spans="1:21" x14ac:dyDescent="0.25">
      <c r="A539" s="25">
        <v>44810</v>
      </c>
      <c r="B539" s="38">
        <v>0.91666666666666663</v>
      </c>
      <c r="C539" s="1469" t="s">
        <v>3735</v>
      </c>
      <c r="D539" s="1470"/>
      <c r="E539" s="1470"/>
      <c r="F539" s="1470"/>
      <c r="G539" s="1470"/>
      <c r="H539" s="1470"/>
      <c r="I539" s="1470"/>
      <c r="J539" s="1470"/>
      <c r="K539" s="1470"/>
      <c r="L539" s="1470"/>
      <c r="M539" s="1470"/>
      <c r="N539" s="1470"/>
      <c r="O539" s="1470"/>
      <c r="P539" s="1470"/>
      <c r="Q539" s="1470"/>
      <c r="R539" s="1471"/>
      <c r="S539" s="26" t="s">
        <v>451</v>
      </c>
      <c r="T539" s="20" t="s">
        <v>236</v>
      </c>
      <c r="U539" s="39"/>
    </row>
    <row r="540" spans="1:21" x14ac:dyDescent="0.25">
      <c r="A540" s="25">
        <v>44811</v>
      </c>
      <c r="B540" s="38">
        <v>0.95833333333333337</v>
      </c>
      <c r="C540" s="1469" t="s">
        <v>3746</v>
      </c>
      <c r="D540" s="1470"/>
      <c r="E540" s="1470"/>
      <c r="F540" s="1470"/>
      <c r="G540" s="1470"/>
      <c r="H540" s="1470"/>
      <c r="I540" s="1470"/>
      <c r="J540" s="1470"/>
      <c r="K540" s="1470"/>
      <c r="L540" s="1470"/>
      <c r="M540" s="1470"/>
      <c r="N540" s="1470"/>
      <c r="O540" s="1470"/>
      <c r="P540" s="1470"/>
      <c r="Q540" s="1470"/>
      <c r="R540" s="1471"/>
      <c r="S540" s="26" t="s">
        <v>451</v>
      </c>
      <c r="T540" s="20" t="s">
        <v>236</v>
      </c>
      <c r="U540" s="39"/>
    </row>
    <row r="541" spans="1:21" x14ac:dyDescent="0.25">
      <c r="A541" s="25">
        <v>44812</v>
      </c>
      <c r="B541" s="38">
        <v>0.91666666666666663</v>
      </c>
      <c r="C541" s="1469" t="s">
        <v>3749</v>
      </c>
      <c r="D541" s="1470"/>
      <c r="E541" s="1470"/>
      <c r="F541" s="1470"/>
      <c r="G541" s="1470"/>
      <c r="H541" s="1470"/>
      <c r="I541" s="1470"/>
      <c r="J541" s="1470"/>
      <c r="K541" s="1470"/>
      <c r="L541" s="1470"/>
      <c r="M541" s="1470"/>
      <c r="N541" s="1470"/>
      <c r="O541" s="1470"/>
      <c r="P541" s="1470"/>
      <c r="Q541" s="1470"/>
      <c r="R541" s="1471"/>
      <c r="S541" s="26" t="s">
        <v>451</v>
      </c>
      <c r="T541" s="20" t="s">
        <v>236</v>
      </c>
      <c r="U541" s="39"/>
    </row>
    <row r="542" spans="1:21" ht="57" customHeight="1" x14ac:dyDescent="0.25">
      <c r="A542" s="25">
        <v>44813</v>
      </c>
      <c r="B542" s="38">
        <v>0.95833333333333337</v>
      </c>
      <c r="C542" s="1466" t="s">
        <v>3767</v>
      </c>
      <c r="D542" s="1467"/>
      <c r="E542" s="1467"/>
      <c r="F542" s="1467"/>
      <c r="G542" s="1467"/>
      <c r="H542" s="1467"/>
      <c r="I542" s="1467"/>
      <c r="J542" s="1467"/>
      <c r="K542" s="1467"/>
      <c r="L542" s="1467"/>
      <c r="M542" s="1467"/>
      <c r="N542" s="1467"/>
      <c r="O542" s="1467"/>
      <c r="P542" s="1467"/>
      <c r="Q542" s="1467"/>
      <c r="R542" s="1468"/>
      <c r="S542" s="26" t="s">
        <v>451</v>
      </c>
      <c r="T542" s="20" t="s">
        <v>236</v>
      </c>
      <c r="U542" s="39"/>
    </row>
    <row r="543" spans="1:21" x14ac:dyDescent="0.25">
      <c r="A543" s="25">
        <v>44814</v>
      </c>
      <c r="B543" s="38">
        <v>0.97916666666666663</v>
      </c>
      <c r="C543" s="246">
        <v>46</v>
      </c>
      <c r="D543" s="60">
        <v>10.7</v>
      </c>
      <c r="E543" s="247">
        <v>15.9</v>
      </c>
      <c r="F543" s="57">
        <v>1173</v>
      </c>
      <c r="G543" s="57">
        <v>2468</v>
      </c>
      <c r="H543" s="57">
        <v>102.1</v>
      </c>
      <c r="I543" s="57">
        <v>102.7</v>
      </c>
      <c r="J543" s="57" t="s">
        <v>3768</v>
      </c>
      <c r="K543" s="60">
        <v>35.54</v>
      </c>
      <c r="L543" s="60">
        <v>44</v>
      </c>
      <c r="M543" s="60">
        <v>42.23</v>
      </c>
      <c r="N543" s="57" t="s">
        <v>142</v>
      </c>
      <c r="O543" s="57" t="s">
        <v>142</v>
      </c>
      <c r="P543" s="57" t="s">
        <v>142</v>
      </c>
      <c r="Q543" s="57" t="s">
        <v>3093</v>
      </c>
      <c r="R543" s="57">
        <v>67.900000000000006</v>
      </c>
      <c r="S543" s="26" t="s">
        <v>451</v>
      </c>
      <c r="T543" s="20" t="s">
        <v>236</v>
      </c>
      <c r="U543" s="39"/>
    </row>
    <row r="544" spans="1:21" x14ac:dyDescent="0.25">
      <c r="A544" s="25">
        <v>44815</v>
      </c>
      <c r="B544" s="38">
        <v>0.95138888888888884</v>
      </c>
      <c r="C544" s="246">
        <v>47.5</v>
      </c>
      <c r="D544" s="60">
        <v>10.3</v>
      </c>
      <c r="E544" s="247">
        <v>15.8</v>
      </c>
      <c r="F544" s="57">
        <v>1089</v>
      </c>
      <c r="G544" s="57">
        <v>2429</v>
      </c>
      <c r="H544" s="57">
        <v>103.7</v>
      </c>
      <c r="I544" s="57">
        <v>104.3</v>
      </c>
      <c r="J544" s="57" t="s">
        <v>3776</v>
      </c>
      <c r="K544" s="60">
        <v>35.56</v>
      </c>
      <c r="L544" s="60">
        <v>40</v>
      </c>
      <c r="M544" s="60">
        <v>38.56</v>
      </c>
      <c r="N544" s="57" t="s">
        <v>142</v>
      </c>
      <c r="O544" s="57" t="s">
        <v>142</v>
      </c>
      <c r="P544" s="57" t="s">
        <v>142</v>
      </c>
      <c r="Q544" s="57" t="s">
        <v>3777</v>
      </c>
      <c r="R544" s="57">
        <v>67.5</v>
      </c>
      <c r="S544" s="26" t="s">
        <v>451</v>
      </c>
      <c r="T544" s="20" t="s">
        <v>236</v>
      </c>
      <c r="U544" s="39"/>
    </row>
    <row r="545" spans="1:21" x14ac:dyDescent="0.25">
      <c r="A545" s="25">
        <v>44816</v>
      </c>
      <c r="B545" s="38">
        <v>0.875</v>
      </c>
      <c r="C545" s="246">
        <v>52</v>
      </c>
      <c r="D545" s="60">
        <v>10.4</v>
      </c>
      <c r="E545" s="247">
        <v>15.8</v>
      </c>
      <c r="F545" s="57">
        <v>938</v>
      </c>
      <c r="G545" s="57">
        <v>2385</v>
      </c>
      <c r="H545" s="57">
        <v>104.1</v>
      </c>
      <c r="I545" s="57">
        <v>104.6</v>
      </c>
      <c r="J545" s="57" t="s">
        <v>3783</v>
      </c>
      <c r="K545" s="60">
        <v>35.25</v>
      </c>
      <c r="L545" s="60">
        <v>40</v>
      </c>
      <c r="M545" s="60">
        <v>41.2</v>
      </c>
      <c r="N545" s="57" t="s">
        <v>142</v>
      </c>
      <c r="O545" s="57" t="s">
        <v>142</v>
      </c>
      <c r="P545" s="57" t="s">
        <v>142</v>
      </c>
      <c r="Q545" s="57" t="s">
        <v>3777</v>
      </c>
      <c r="R545" s="57">
        <v>64</v>
      </c>
      <c r="S545" s="26" t="s">
        <v>451</v>
      </c>
      <c r="T545" s="20" t="s">
        <v>236</v>
      </c>
      <c r="U545" s="39" t="s">
        <v>3795</v>
      </c>
    </row>
    <row r="546" spans="1:21" ht="47.25" x14ac:dyDescent="0.25">
      <c r="A546" s="25">
        <v>44817</v>
      </c>
      <c r="B546" s="38">
        <v>0.58333333333333337</v>
      </c>
      <c r="C546" s="246">
        <v>52</v>
      </c>
      <c r="D546" s="60">
        <v>10.5</v>
      </c>
      <c r="E546" s="247">
        <v>16.100000000000001</v>
      </c>
      <c r="F546" s="57">
        <v>1006</v>
      </c>
      <c r="G546" s="57">
        <v>2357</v>
      </c>
      <c r="H546" s="57">
        <v>102.1</v>
      </c>
      <c r="I546" s="57">
        <v>104</v>
      </c>
      <c r="J546" s="57" t="s">
        <v>3799</v>
      </c>
      <c r="K546" s="60">
        <v>34.72</v>
      </c>
      <c r="L546" s="60">
        <v>39</v>
      </c>
      <c r="M546" s="60">
        <v>38.700000000000003</v>
      </c>
      <c r="N546" s="57" t="s">
        <v>142</v>
      </c>
      <c r="O546" s="57" t="s">
        <v>142</v>
      </c>
      <c r="P546" s="57" t="s">
        <v>142</v>
      </c>
      <c r="Q546" s="57" t="s">
        <v>1201</v>
      </c>
      <c r="R546" s="57">
        <v>54.8</v>
      </c>
      <c r="S546" s="26" t="s">
        <v>451</v>
      </c>
      <c r="T546" s="20" t="s">
        <v>236</v>
      </c>
      <c r="U546" s="962" t="s">
        <v>3804</v>
      </c>
    </row>
    <row r="547" spans="1:21" ht="21" customHeight="1" x14ac:dyDescent="0.25">
      <c r="A547" s="25">
        <v>44818</v>
      </c>
      <c r="B547" s="38">
        <v>0.9375</v>
      </c>
      <c r="C547" s="246">
        <v>52</v>
      </c>
      <c r="D547" s="60">
        <v>10.5</v>
      </c>
      <c r="E547" s="247">
        <v>16.100000000000001</v>
      </c>
      <c r="F547" s="57">
        <v>869</v>
      </c>
      <c r="G547" s="57">
        <v>2379</v>
      </c>
      <c r="H547" s="57">
        <v>104.5</v>
      </c>
      <c r="I547" s="57">
        <v>105.3</v>
      </c>
      <c r="J547" s="57" t="s">
        <v>3805</v>
      </c>
      <c r="K547" s="60">
        <v>35.020000000000003</v>
      </c>
      <c r="L547" s="60">
        <v>37.5</v>
      </c>
      <c r="M547" s="60">
        <v>39.86</v>
      </c>
      <c r="N547" s="57" t="s">
        <v>142</v>
      </c>
      <c r="O547" s="57" t="s">
        <v>142</v>
      </c>
      <c r="P547" s="57" t="s">
        <v>142</v>
      </c>
      <c r="Q547" s="57" t="s">
        <v>3038</v>
      </c>
      <c r="R547" s="57">
        <v>69.2</v>
      </c>
      <c r="S547" s="26" t="s">
        <v>451</v>
      </c>
      <c r="T547" s="20" t="s">
        <v>236</v>
      </c>
      <c r="U547" s="39" t="s">
        <v>3811</v>
      </c>
    </row>
    <row r="548" spans="1:21" ht="21" customHeight="1" x14ac:dyDescent="0.25">
      <c r="A548" s="25">
        <v>44819</v>
      </c>
      <c r="B548" s="38">
        <v>0.8125</v>
      </c>
      <c r="C548" s="246">
        <v>52</v>
      </c>
      <c r="D548" s="60">
        <v>11</v>
      </c>
      <c r="E548" s="247">
        <v>16.399999999999999</v>
      </c>
      <c r="F548" s="57">
        <v>858</v>
      </c>
      <c r="G548" s="57">
        <v>2378</v>
      </c>
      <c r="H548" s="57">
        <v>104.7</v>
      </c>
      <c r="I548" s="57">
        <v>106.1</v>
      </c>
      <c r="J548" s="57" t="s">
        <v>3812</v>
      </c>
      <c r="K548" s="60">
        <v>36.06</v>
      </c>
      <c r="L548" s="60">
        <v>38</v>
      </c>
      <c r="M548" s="60">
        <v>38.909999999999997</v>
      </c>
      <c r="N548" s="57" t="s">
        <v>142</v>
      </c>
      <c r="O548" s="57" t="s">
        <v>142</v>
      </c>
      <c r="P548" s="57" t="s">
        <v>142</v>
      </c>
      <c r="Q548" s="57" t="s">
        <v>2556</v>
      </c>
      <c r="R548" s="57">
        <v>70</v>
      </c>
      <c r="S548" s="26" t="s">
        <v>451</v>
      </c>
      <c r="T548" s="20" t="s">
        <v>236</v>
      </c>
      <c r="U548" s="39"/>
    </row>
    <row r="549" spans="1:21" ht="21" customHeight="1" x14ac:dyDescent="0.25">
      <c r="A549" s="25">
        <v>44820</v>
      </c>
      <c r="B549" s="38">
        <v>0.75</v>
      </c>
      <c r="C549" s="1469" t="s">
        <v>3835</v>
      </c>
      <c r="D549" s="1470"/>
      <c r="E549" s="1470"/>
      <c r="F549" s="1470"/>
      <c r="G549" s="1470"/>
      <c r="H549" s="1470"/>
      <c r="I549" s="1470"/>
      <c r="J549" s="1470"/>
      <c r="K549" s="1470"/>
      <c r="L549" s="1470"/>
      <c r="M549" s="1470"/>
      <c r="N549" s="1470"/>
      <c r="O549" s="1470"/>
      <c r="P549" s="1470"/>
      <c r="Q549" s="1470"/>
      <c r="R549" s="1471"/>
      <c r="S549" s="26" t="s">
        <v>451</v>
      </c>
      <c r="T549" s="20" t="s">
        <v>236</v>
      </c>
      <c r="U549" s="39"/>
    </row>
    <row r="550" spans="1:21" ht="30" customHeight="1" x14ac:dyDescent="0.25">
      <c r="A550" s="25">
        <v>44821</v>
      </c>
      <c r="B550" s="38">
        <v>0.75</v>
      </c>
      <c r="C550" s="1466" t="s">
        <v>3835</v>
      </c>
      <c r="D550" s="1467"/>
      <c r="E550" s="1467"/>
      <c r="F550" s="1467"/>
      <c r="G550" s="1467"/>
      <c r="H550" s="1467"/>
      <c r="I550" s="1467"/>
      <c r="J550" s="1467"/>
      <c r="K550" s="1467"/>
      <c r="L550" s="1467"/>
      <c r="M550" s="1467"/>
      <c r="N550" s="1467"/>
      <c r="O550" s="1467"/>
      <c r="P550" s="1467"/>
      <c r="Q550" s="1467"/>
      <c r="R550" s="1468"/>
      <c r="S550" s="26" t="s">
        <v>451</v>
      </c>
      <c r="T550" s="20" t="s">
        <v>236</v>
      </c>
      <c r="U550" s="39"/>
    </row>
    <row r="551" spans="1:21" ht="30" customHeight="1" x14ac:dyDescent="0.25">
      <c r="A551" s="25">
        <v>44822</v>
      </c>
      <c r="B551" s="38">
        <v>0.75</v>
      </c>
      <c r="C551" s="1466" t="s">
        <v>3834</v>
      </c>
      <c r="D551" s="1467"/>
      <c r="E551" s="1467"/>
      <c r="F551" s="1467"/>
      <c r="G551" s="1467"/>
      <c r="H551" s="1467"/>
      <c r="I551" s="1467"/>
      <c r="J551" s="1467"/>
      <c r="K551" s="1467"/>
      <c r="L551" s="1467"/>
      <c r="M551" s="1467"/>
      <c r="N551" s="1467"/>
      <c r="O551" s="1467"/>
      <c r="P551" s="1467"/>
      <c r="Q551" s="1467"/>
      <c r="R551" s="1468"/>
      <c r="S551" s="26" t="s">
        <v>451</v>
      </c>
      <c r="T551" s="20" t="s">
        <v>236</v>
      </c>
      <c r="U551" s="39"/>
    </row>
    <row r="552" spans="1:21" ht="39.75" customHeight="1" x14ac:dyDescent="0.25">
      <c r="A552" s="25">
        <v>44823</v>
      </c>
      <c r="B552" s="38">
        <v>0.95833333333333337</v>
      </c>
      <c r="C552" s="246">
        <v>50</v>
      </c>
      <c r="D552" s="60">
        <v>10.8</v>
      </c>
      <c r="E552" s="247">
        <v>16.2</v>
      </c>
      <c r="F552" s="57">
        <v>924</v>
      </c>
      <c r="G552" s="57">
        <v>2395</v>
      </c>
      <c r="H552" s="57">
        <v>104</v>
      </c>
      <c r="I552" s="57">
        <v>105.1</v>
      </c>
      <c r="J552" s="57" t="s">
        <v>3836</v>
      </c>
      <c r="K552" s="60">
        <v>36.06</v>
      </c>
      <c r="L552" s="60">
        <v>34.29</v>
      </c>
      <c r="M552" s="60">
        <v>39.5</v>
      </c>
      <c r="N552" s="57" t="s">
        <v>142</v>
      </c>
      <c r="O552" s="57" t="s">
        <v>142</v>
      </c>
      <c r="P552" s="57" t="s">
        <v>142</v>
      </c>
      <c r="Q552" s="57" t="s">
        <v>3837</v>
      </c>
      <c r="R552" s="57">
        <v>69.2</v>
      </c>
      <c r="S552" s="26" t="s">
        <v>451</v>
      </c>
      <c r="T552" s="20" t="s">
        <v>236</v>
      </c>
      <c r="U552" s="39" t="s">
        <v>3843</v>
      </c>
    </row>
    <row r="553" spans="1:21" ht="26.25" customHeight="1" x14ac:dyDescent="0.25">
      <c r="A553" s="25">
        <v>44824</v>
      </c>
      <c r="B553" s="38">
        <v>0.91666666666666663</v>
      </c>
      <c r="C553" s="246">
        <v>52</v>
      </c>
      <c r="D553" s="60">
        <v>8.4</v>
      </c>
      <c r="E553" s="247">
        <v>14.7</v>
      </c>
      <c r="F553" s="57">
        <v>935</v>
      </c>
      <c r="G553" s="57">
        <v>2332</v>
      </c>
      <c r="H553" s="57">
        <v>103</v>
      </c>
      <c r="I553" s="57">
        <v>105.3</v>
      </c>
      <c r="J553" s="57" t="s">
        <v>3846</v>
      </c>
      <c r="K553" s="60">
        <v>36.700000000000003</v>
      </c>
      <c r="L553" s="60">
        <v>38.700000000000003</v>
      </c>
      <c r="M553" s="60">
        <v>37.619999999999997</v>
      </c>
      <c r="N553" s="57" t="s">
        <v>142</v>
      </c>
      <c r="O553" s="57" t="s">
        <v>142</v>
      </c>
      <c r="P553" s="57" t="s">
        <v>142</v>
      </c>
      <c r="Q553" s="57" t="s">
        <v>3847</v>
      </c>
      <c r="R553" s="57">
        <v>62.3</v>
      </c>
      <c r="S553" s="26" t="s">
        <v>451</v>
      </c>
      <c r="T553" s="20" t="s">
        <v>236</v>
      </c>
      <c r="U553" s="39"/>
    </row>
    <row r="554" spans="1:21" ht="26.25" customHeight="1" x14ac:dyDescent="0.25">
      <c r="A554" s="25">
        <v>44825</v>
      </c>
      <c r="B554" s="38">
        <v>0.79166666666666663</v>
      </c>
      <c r="C554" s="1466" t="s">
        <v>3866</v>
      </c>
      <c r="D554" s="1467"/>
      <c r="E554" s="1467"/>
      <c r="F554" s="1467"/>
      <c r="G554" s="1467"/>
      <c r="H554" s="1467"/>
      <c r="I554" s="1467"/>
      <c r="J554" s="1467"/>
      <c r="K554" s="1467"/>
      <c r="L554" s="1467"/>
      <c r="M554" s="1467"/>
      <c r="N554" s="1467"/>
      <c r="O554" s="1467"/>
      <c r="P554" s="1467"/>
      <c r="Q554" s="1467"/>
      <c r="R554" s="1468"/>
      <c r="S554" s="26" t="s">
        <v>451</v>
      </c>
      <c r="T554" s="20" t="s">
        <v>236</v>
      </c>
      <c r="U554" s="39"/>
    </row>
    <row r="555" spans="1:21" ht="26.25" customHeight="1" x14ac:dyDescent="0.25">
      <c r="A555" s="25">
        <v>44826</v>
      </c>
      <c r="B555" s="38">
        <v>0.83333333333333337</v>
      </c>
      <c r="C555" s="1466" t="s">
        <v>3866</v>
      </c>
      <c r="D555" s="1467"/>
      <c r="E555" s="1467"/>
      <c r="F555" s="1467"/>
      <c r="G555" s="1467"/>
      <c r="H555" s="1467"/>
      <c r="I555" s="1467"/>
      <c r="J555" s="1467"/>
      <c r="K555" s="1467"/>
      <c r="L555" s="1467"/>
      <c r="M555" s="1467"/>
      <c r="N555" s="1467"/>
      <c r="O555" s="1467"/>
      <c r="P555" s="1467"/>
      <c r="Q555" s="1467"/>
      <c r="R555" s="1468"/>
      <c r="S555" s="26" t="s">
        <v>451</v>
      </c>
      <c r="T555" s="20" t="s">
        <v>236</v>
      </c>
      <c r="U555" s="39"/>
    </row>
    <row r="556" spans="1:21" ht="26.25" customHeight="1" x14ac:dyDescent="0.25">
      <c r="A556" s="25">
        <v>44827</v>
      </c>
      <c r="B556" s="38">
        <v>0.91666666666666663</v>
      </c>
      <c r="C556" s="1466" t="s">
        <v>3873</v>
      </c>
      <c r="D556" s="1467"/>
      <c r="E556" s="1467"/>
      <c r="F556" s="1467"/>
      <c r="G556" s="1467"/>
      <c r="H556" s="1467"/>
      <c r="I556" s="1467"/>
      <c r="J556" s="1467"/>
      <c r="K556" s="1467"/>
      <c r="L556" s="1467"/>
      <c r="M556" s="1467"/>
      <c r="N556" s="1467"/>
      <c r="O556" s="1467"/>
      <c r="P556" s="1467"/>
      <c r="Q556" s="1467"/>
      <c r="R556" s="1468"/>
      <c r="S556" s="26" t="s">
        <v>451</v>
      </c>
      <c r="T556" s="20" t="s">
        <v>236</v>
      </c>
      <c r="U556" s="39"/>
    </row>
    <row r="557" spans="1:21" ht="26.25" customHeight="1" x14ac:dyDescent="0.25">
      <c r="A557" s="25">
        <v>44828</v>
      </c>
      <c r="B557" s="38">
        <v>0.91666666666666663</v>
      </c>
      <c r="C557" s="1466" t="s">
        <v>3881</v>
      </c>
      <c r="D557" s="1467"/>
      <c r="E557" s="1467"/>
      <c r="F557" s="1467"/>
      <c r="G557" s="1467"/>
      <c r="H557" s="1467"/>
      <c r="I557" s="1467"/>
      <c r="J557" s="1467"/>
      <c r="K557" s="1467"/>
      <c r="L557" s="1467"/>
      <c r="M557" s="1467"/>
      <c r="N557" s="1467"/>
      <c r="O557" s="1467"/>
      <c r="P557" s="1467"/>
      <c r="Q557" s="1467"/>
      <c r="R557" s="1468"/>
      <c r="S557" s="26" t="s">
        <v>451</v>
      </c>
      <c r="T557" s="20" t="s">
        <v>236</v>
      </c>
      <c r="U557" s="39"/>
    </row>
    <row r="558" spans="1:21" ht="26.25" customHeight="1" x14ac:dyDescent="0.25">
      <c r="A558" s="25">
        <v>44829</v>
      </c>
      <c r="B558" s="38">
        <v>0.91666666666666663</v>
      </c>
      <c r="C558" s="246">
        <v>52</v>
      </c>
      <c r="D558" s="60">
        <v>12.4</v>
      </c>
      <c r="E558" s="247">
        <v>17.600000000000001</v>
      </c>
      <c r="F558" s="57">
        <v>870</v>
      </c>
      <c r="G558" s="57">
        <v>2417</v>
      </c>
      <c r="H558" s="57">
        <v>103.1</v>
      </c>
      <c r="I558" s="57">
        <v>104.1</v>
      </c>
      <c r="J558" s="57" t="s">
        <v>3889</v>
      </c>
      <c r="K558" s="60">
        <v>34.81</v>
      </c>
      <c r="L558" s="60">
        <v>40</v>
      </c>
      <c r="M558" s="60">
        <v>46.17</v>
      </c>
      <c r="N558" s="57" t="s">
        <v>142</v>
      </c>
      <c r="O558" s="57" t="s">
        <v>142</v>
      </c>
      <c r="P558" s="57" t="s">
        <v>142</v>
      </c>
      <c r="Q558" s="57" t="s">
        <v>3890</v>
      </c>
      <c r="R558" s="57">
        <v>75.2</v>
      </c>
      <c r="S558" s="26" t="s">
        <v>451</v>
      </c>
      <c r="T558" s="20" t="s">
        <v>236</v>
      </c>
      <c r="U558" s="39"/>
    </row>
    <row r="559" spans="1:21" ht="26.25" customHeight="1" x14ac:dyDescent="0.25">
      <c r="A559" s="25">
        <v>44830</v>
      </c>
      <c r="B559" s="38">
        <v>0.89583333333333337</v>
      </c>
      <c r="C559" s="246">
        <v>52</v>
      </c>
      <c r="D559" s="60">
        <v>11.4</v>
      </c>
      <c r="E559" s="247">
        <v>16.8</v>
      </c>
      <c r="F559" s="57">
        <v>830</v>
      </c>
      <c r="G559" s="57">
        <v>2371</v>
      </c>
      <c r="H559" s="57">
        <v>104.5</v>
      </c>
      <c r="I559" s="57">
        <v>105.1</v>
      </c>
      <c r="J559" s="57" t="s">
        <v>3902</v>
      </c>
      <c r="K559" s="60">
        <v>34.82</v>
      </c>
      <c r="L559" s="60">
        <v>39</v>
      </c>
      <c r="M559" s="60">
        <v>43.23</v>
      </c>
      <c r="N559" s="57" t="s">
        <v>142</v>
      </c>
      <c r="O559" s="57" t="s">
        <v>142</v>
      </c>
      <c r="P559" s="57" t="s">
        <v>142</v>
      </c>
      <c r="Q559" s="57" t="s">
        <v>1587</v>
      </c>
      <c r="R559" s="57">
        <v>71.7</v>
      </c>
      <c r="S559" s="26" t="s">
        <v>451</v>
      </c>
      <c r="T559" s="20" t="s">
        <v>236</v>
      </c>
      <c r="U559" s="39"/>
    </row>
    <row r="560" spans="1:21" ht="26.25" customHeight="1" x14ac:dyDescent="0.25">
      <c r="A560" s="25">
        <v>44831</v>
      </c>
      <c r="B560" s="38">
        <v>0.91666666666666663</v>
      </c>
      <c r="C560" s="1466" t="s">
        <v>3921</v>
      </c>
      <c r="D560" s="1467"/>
      <c r="E560" s="1467"/>
      <c r="F560" s="1467"/>
      <c r="G560" s="1467"/>
      <c r="H560" s="1467"/>
      <c r="I560" s="1467"/>
      <c r="J560" s="1467"/>
      <c r="K560" s="1467"/>
      <c r="L560" s="1467"/>
      <c r="M560" s="1467"/>
      <c r="N560" s="1467"/>
      <c r="O560" s="1467"/>
      <c r="P560" s="1467"/>
      <c r="Q560" s="1467"/>
      <c r="R560" s="1468"/>
      <c r="S560" s="26" t="s">
        <v>451</v>
      </c>
      <c r="T560" s="20" t="s">
        <v>236</v>
      </c>
      <c r="U560" s="39"/>
    </row>
    <row r="561" spans="1:21" ht="26.25" customHeight="1" x14ac:dyDescent="0.25">
      <c r="A561" s="25">
        <v>44832</v>
      </c>
      <c r="B561" s="38">
        <v>0.91666666666666663</v>
      </c>
      <c r="C561" s="1466" t="s">
        <v>3921</v>
      </c>
      <c r="D561" s="1467"/>
      <c r="E561" s="1467"/>
      <c r="F561" s="1467"/>
      <c r="G561" s="1467"/>
      <c r="H561" s="1467"/>
      <c r="I561" s="1467"/>
      <c r="J561" s="1467"/>
      <c r="K561" s="1467"/>
      <c r="L561" s="1467"/>
      <c r="M561" s="1467"/>
      <c r="N561" s="1467"/>
      <c r="O561" s="1467"/>
      <c r="P561" s="1467"/>
      <c r="Q561" s="1467"/>
      <c r="R561" s="1468"/>
      <c r="S561" s="26" t="s">
        <v>451</v>
      </c>
      <c r="T561" s="20" t="s">
        <v>236</v>
      </c>
      <c r="U561" s="39"/>
    </row>
    <row r="562" spans="1:21" ht="26.25" customHeight="1" x14ac:dyDescent="0.25">
      <c r="A562" s="25">
        <v>44833</v>
      </c>
      <c r="B562" s="38">
        <v>0.9375</v>
      </c>
      <c r="C562" s="1466" t="s">
        <v>3929</v>
      </c>
      <c r="D562" s="1467"/>
      <c r="E562" s="1467"/>
      <c r="F562" s="1467"/>
      <c r="G562" s="1467"/>
      <c r="H562" s="1467"/>
      <c r="I562" s="1467"/>
      <c r="J562" s="1467"/>
      <c r="K562" s="1467"/>
      <c r="L562" s="1467"/>
      <c r="M562" s="1467"/>
      <c r="N562" s="1467"/>
      <c r="O562" s="1467"/>
      <c r="P562" s="1467"/>
      <c r="Q562" s="1467"/>
      <c r="R562" s="1468"/>
      <c r="S562" s="26" t="s">
        <v>451</v>
      </c>
      <c r="T562" s="20" t="s">
        <v>236</v>
      </c>
      <c r="U562" s="39"/>
    </row>
    <row r="563" spans="1:21" ht="26.25" customHeight="1" x14ac:dyDescent="0.25">
      <c r="A563" s="25">
        <v>44834</v>
      </c>
      <c r="B563" s="38">
        <v>0.9375</v>
      </c>
      <c r="C563" s="1466" t="s">
        <v>3935</v>
      </c>
      <c r="D563" s="1467"/>
      <c r="E563" s="1467"/>
      <c r="F563" s="1467"/>
      <c r="G563" s="1467"/>
      <c r="H563" s="1467"/>
      <c r="I563" s="1467"/>
      <c r="J563" s="1467"/>
      <c r="K563" s="1467"/>
      <c r="L563" s="1467"/>
      <c r="M563" s="1467"/>
      <c r="N563" s="1467"/>
      <c r="O563" s="1467"/>
      <c r="P563" s="1467"/>
      <c r="Q563" s="1467"/>
      <c r="R563" s="1468"/>
      <c r="S563" s="26" t="s">
        <v>451</v>
      </c>
      <c r="T563" s="20" t="s">
        <v>236</v>
      </c>
      <c r="U563" s="39"/>
    </row>
    <row r="564" spans="1:21" ht="26.25" customHeight="1" x14ac:dyDescent="0.25">
      <c r="A564" s="25">
        <v>44835</v>
      </c>
      <c r="B564" s="38">
        <v>0.9375</v>
      </c>
      <c r="C564" s="1466" t="s">
        <v>3946</v>
      </c>
      <c r="D564" s="1467"/>
      <c r="E564" s="1467"/>
      <c r="F564" s="1467"/>
      <c r="G564" s="1467"/>
      <c r="H564" s="1467"/>
      <c r="I564" s="1467"/>
      <c r="J564" s="1467"/>
      <c r="K564" s="1467"/>
      <c r="L564" s="1467"/>
      <c r="M564" s="1467"/>
      <c r="N564" s="1467"/>
      <c r="O564" s="1467"/>
      <c r="P564" s="1467"/>
      <c r="Q564" s="1467"/>
      <c r="R564" s="1468"/>
      <c r="S564" s="26" t="s">
        <v>451</v>
      </c>
      <c r="T564" s="20" t="s">
        <v>236</v>
      </c>
      <c r="U564" s="39"/>
    </row>
    <row r="565" spans="1:21" ht="26.25" customHeight="1" x14ac:dyDescent="0.25">
      <c r="A565" s="25">
        <v>44836</v>
      </c>
      <c r="B565" s="38">
        <v>0.95833333333333337</v>
      </c>
      <c r="C565" s="1466" t="s">
        <v>3955</v>
      </c>
      <c r="D565" s="1467"/>
      <c r="E565" s="1467"/>
      <c r="F565" s="1467"/>
      <c r="G565" s="1467"/>
      <c r="H565" s="1467"/>
      <c r="I565" s="1467"/>
      <c r="J565" s="1467"/>
      <c r="K565" s="1467"/>
      <c r="L565" s="1467"/>
      <c r="M565" s="1467"/>
      <c r="N565" s="1467"/>
      <c r="O565" s="1467"/>
      <c r="P565" s="1467"/>
      <c r="Q565" s="1467"/>
      <c r="R565" s="1468"/>
      <c r="S565" s="26" t="s">
        <v>451</v>
      </c>
      <c r="T565" s="20" t="s">
        <v>236</v>
      </c>
      <c r="U565" s="39"/>
    </row>
    <row r="566" spans="1:21" ht="26.25" customHeight="1" x14ac:dyDescent="0.25">
      <c r="A566" s="25">
        <v>44837</v>
      </c>
      <c r="B566" s="38">
        <v>0.89583333333333337</v>
      </c>
      <c r="C566" s="1466" t="s">
        <v>3961</v>
      </c>
      <c r="D566" s="1467"/>
      <c r="E566" s="1467"/>
      <c r="F566" s="1467"/>
      <c r="G566" s="1467"/>
      <c r="H566" s="1467"/>
      <c r="I566" s="1467"/>
      <c r="J566" s="1467"/>
      <c r="K566" s="1467"/>
      <c r="L566" s="1467"/>
      <c r="M566" s="1467"/>
      <c r="N566" s="1467"/>
      <c r="O566" s="1467"/>
      <c r="P566" s="1467"/>
      <c r="Q566" s="1467"/>
      <c r="R566" s="1468"/>
      <c r="S566" s="26" t="s">
        <v>451</v>
      </c>
      <c r="T566" s="20" t="s">
        <v>236</v>
      </c>
      <c r="U566" s="39"/>
    </row>
    <row r="567" spans="1:21" ht="26.25" customHeight="1" x14ac:dyDescent="0.25">
      <c r="A567" s="25">
        <v>44838</v>
      </c>
      <c r="B567" s="38">
        <v>0</v>
      </c>
      <c r="C567" s="1466" t="s">
        <v>3971</v>
      </c>
      <c r="D567" s="1467"/>
      <c r="E567" s="1467"/>
      <c r="F567" s="1467"/>
      <c r="G567" s="1467"/>
      <c r="H567" s="1467"/>
      <c r="I567" s="1467"/>
      <c r="J567" s="1467"/>
      <c r="K567" s="1467"/>
      <c r="L567" s="1467"/>
      <c r="M567" s="1467"/>
      <c r="N567" s="1467"/>
      <c r="O567" s="1467"/>
      <c r="P567" s="1467"/>
      <c r="Q567" s="1467"/>
      <c r="R567" s="1468"/>
      <c r="S567" s="26" t="s">
        <v>451</v>
      </c>
      <c r="T567" s="20" t="s">
        <v>236</v>
      </c>
      <c r="U567" s="39"/>
    </row>
    <row r="568" spans="1:21" ht="26.25" customHeight="1" x14ac:dyDescent="0.25">
      <c r="A568" s="25">
        <v>44839</v>
      </c>
      <c r="B568" s="38">
        <v>0.9375</v>
      </c>
      <c r="C568" s="246">
        <v>52</v>
      </c>
      <c r="D568" s="60">
        <v>12.1</v>
      </c>
      <c r="E568" s="247">
        <v>17.3</v>
      </c>
      <c r="F568" s="57">
        <v>885</v>
      </c>
      <c r="G568" s="57">
        <v>2448</v>
      </c>
      <c r="H568" s="57">
        <v>103.4</v>
      </c>
      <c r="I568" s="57">
        <v>104.7</v>
      </c>
      <c r="J568" s="57" t="s">
        <v>3975</v>
      </c>
      <c r="K568" s="60">
        <v>39.72</v>
      </c>
      <c r="L568" s="60">
        <v>43</v>
      </c>
      <c r="M568" s="60">
        <v>44.87</v>
      </c>
      <c r="N568" s="57" t="s">
        <v>142</v>
      </c>
      <c r="O568" s="57" t="s">
        <v>142</v>
      </c>
      <c r="P568" s="57" t="s">
        <v>142</v>
      </c>
      <c r="Q568" s="57" t="s">
        <v>3976</v>
      </c>
      <c r="R568" s="57">
        <v>73.900000000000006</v>
      </c>
      <c r="S568" s="26" t="s">
        <v>451</v>
      </c>
      <c r="T568" s="20" t="s">
        <v>236</v>
      </c>
      <c r="U568" s="39" t="s">
        <v>3986</v>
      </c>
    </row>
    <row r="569" spans="1:21" ht="26.25" customHeight="1" x14ac:dyDescent="0.25">
      <c r="A569" s="25">
        <v>44840</v>
      </c>
      <c r="B569" s="38">
        <v>0.5</v>
      </c>
      <c r="C569" s="246">
        <v>52</v>
      </c>
      <c r="D569" s="60">
        <v>10.1</v>
      </c>
      <c r="E569" s="247">
        <v>15</v>
      </c>
      <c r="F569" s="57">
        <v>860</v>
      </c>
      <c r="G569" s="57">
        <v>2431</v>
      </c>
      <c r="H569" s="57">
        <v>103</v>
      </c>
      <c r="I569" s="57">
        <v>104.5</v>
      </c>
      <c r="J569" s="57" t="s">
        <v>3975</v>
      </c>
      <c r="K569" s="60">
        <v>38.72</v>
      </c>
      <c r="L569" s="60">
        <v>41</v>
      </c>
      <c r="M569" s="60">
        <v>38.76</v>
      </c>
      <c r="N569" s="57" t="s">
        <v>142</v>
      </c>
      <c r="O569" s="57" t="s">
        <v>142</v>
      </c>
      <c r="P569" s="57" t="s">
        <v>142</v>
      </c>
      <c r="Q569" s="57" t="s">
        <v>3551</v>
      </c>
      <c r="R569" s="57">
        <v>62</v>
      </c>
      <c r="S569" s="26" t="s">
        <v>451</v>
      </c>
      <c r="T569" s="20" t="s">
        <v>236</v>
      </c>
      <c r="U569" s="39" t="s">
        <v>3996</v>
      </c>
    </row>
    <row r="570" spans="1:21" ht="26.25" customHeight="1" x14ac:dyDescent="0.25">
      <c r="A570" s="25">
        <v>44841</v>
      </c>
      <c r="B570" s="38">
        <v>0.8125</v>
      </c>
      <c r="C570" s="1466" t="s">
        <v>3996</v>
      </c>
      <c r="D570" s="1467"/>
      <c r="E570" s="1467"/>
      <c r="F570" s="1467"/>
      <c r="G570" s="1467"/>
      <c r="H570" s="1467"/>
      <c r="I570" s="1467"/>
      <c r="J570" s="1467"/>
      <c r="K570" s="1467"/>
      <c r="L570" s="1467"/>
      <c r="M570" s="1467"/>
      <c r="N570" s="1467"/>
      <c r="O570" s="1467"/>
      <c r="P570" s="1467"/>
      <c r="Q570" s="1467"/>
      <c r="R570" s="1468"/>
      <c r="S570" s="26" t="s">
        <v>451</v>
      </c>
      <c r="T570" s="20" t="s">
        <v>236</v>
      </c>
      <c r="U570" s="39"/>
    </row>
    <row r="571" spans="1:21" ht="26.25" customHeight="1" x14ac:dyDescent="0.25">
      <c r="A571" s="25">
        <v>44842</v>
      </c>
      <c r="B571" s="38">
        <v>0.9375</v>
      </c>
      <c r="C571" s="1466" t="s">
        <v>3996</v>
      </c>
      <c r="D571" s="1467"/>
      <c r="E571" s="1467"/>
      <c r="F571" s="1467"/>
      <c r="G571" s="1467"/>
      <c r="H571" s="1467"/>
      <c r="I571" s="1467"/>
      <c r="J571" s="1467"/>
      <c r="K571" s="1467"/>
      <c r="L571" s="1467"/>
      <c r="M571" s="1467"/>
      <c r="N571" s="1467"/>
      <c r="O571" s="1467"/>
      <c r="P571" s="1467"/>
      <c r="Q571" s="1467"/>
      <c r="R571" s="1468"/>
      <c r="S571" s="26" t="s">
        <v>451</v>
      </c>
      <c r="T571" s="20" t="s">
        <v>236</v>
      </c>
      <c r="U571" s="39"/>
    </row>
    <row r="572" spans="1:21" ht="26.25" customHeight="1" x14ac:dyDescent="0.25">
      <c r="A572" s="25">
        <v>44843</v>
      </c>
      <c r="B572" s="38">
        <v>0.9375</v>
      </c>
      <c r="C572" s="1466" t="s">
        <v>3996</v>
      </c>
      <c r="D572" s="1467"/>
      <c r="E572" s="1467"/>
      <c r="F572" s="1467"/>
      <c r="G572" s="1467"/>
      <c r="H572" s="1467"/>
      <c r="I572" s="1467"/>
      <c r="J572" s="1467"/>
      <c r="K572" s="1467"/>
      <c r="L572" s="1467"/>
      <c r="M572" s="1467"/>
      <c r="N572" s="1467"/>
      <c r="O572" s="1467"/>
      <c r="P572" s="1467"/>
      <c r="Q572" s="1467"/>
      <c r="R572" s="1468"/>
      <c r="S572" s="26" t="s">
        <v>451</v>
      </c>
      <c r="T572" s="20" t="s">
        <v>236</v>
      </c>
      <c r="U572" s="39"/>
    </row>
    <row r="573" spans="1:21" ht="26.25" customHeight="1" x14ac:dyDescent="0.25">
      <c r="A573" s="25">
        <v>44844</v>
      </c>
      <c r="B573" s="38">
        <v>0.91666666666666663</v>
      </c>
      <c r="C573" s="1466" t="s">
        <v>3996</v>
      </c>
      <c r="D573" s="1467"/>
      <c r="E573" s="1467"/>
      <c r="F573" s="1467"/>
      <c r="G573" s="1467"/>
      <c r="H573" s="1467"/>
      <c r="I573" s="1467"/>
      <c r="J573" s="1467"/>
      <c r="K573" s="1467"/>
      <c r="L573" s="1467"/>
      <c r="M573" s="1467"/>
      <c r="N573" s="1467"/>
      <c r="O573" s="1467"/>
      <c r="P573" s="1467"/>
      <c r="Q573" s="1467"/>
      <c r="R573" s="1468"/>
      <c r="S573" s="26" t="s">
        <v>451</v>
      </c>
      <c r="T573" s="20" t="s">
        <v>236</v>
      </c>
      <c r="U573" s="39"/>
    </row>
    <row r="574" spans="1:21" ht="26.25" customHeight="1" x14ac:dyDescent="0.25">
      <c r="A574" s="25">
        <v>44845</v>
      </c>
      <c r="B574" s="38">
        <v>0.9375</v>
      </c>
      <c r="C574" s="246">
        <v>52</v>
      </c>
      <c r="D574" s="60">
        <v>12.5</v>
      </c>
      <c r="E574" s="247">
        <v>17.600000000000001</v>
      </c>
      <c r="F574" s="57">
        <v>955.9</v>
      </c>
      <c r="G574" s="57">
        <v>2472</v>
      </c>
      <c r="H574" s="57">
        <v>102.8</v>
      </c>
      <c r="I574" s="57">
        <v>103.5</v>
      </c>
      <c r="J574" s="57" t="s">
        <v>4021</v>
      </c>
      <c r="K574" s="60">
        <v>38.67</v>
      </c>
      <c r="L574" s="60">
        <v>42</v>
      </c>
      <c r="M574" s="60">
        <v>44.95</v>
      </c>
      <c r="N574" s="57" t="s">
        <v>142</v>
      </c>
      <c r="O574" s="57" t="s">
        <v>142</v>
      </c>
      <c r="P574" s="57" t="s">
        <v>142</v>
      </c>
      <c r="Q574" s="57" t="s">
        <v>4022</v>
      </c>
      <c r="R574" s="57">
        <v>75.2</v>
      </c>
      <c r="S574" s="26" t="s">
        <v>451</v>
      </c>
      <c r="T574" s="20" t="s">
        <v>236</v>
      </c>
      <c r="U574" s="39" t="s">
        <v>4032</v>
      </c>
    </row>
    <row r="575" spans="1:21" ht="26.25" customHeight="1" x14ac:dyDescent="0.25">
      <c r="A575" s="25">
        <v>44846</v>
      </c>
      <c r="B575" s="38">
        <v>0.97916666666666663</v>
      </c>
      <c r="C575" s="246">
        <v>52</v>
      </c>
      <c r="D575" s="60">
        <v>11.4</v>
      </c>
      <c r="E575" s="247">
        <v>16.8</v>
      </c>
      <c r="F575" s="57">
        <v>863</v>
      </c>
      <c r="G575" s="57">
        <v>2429</v>
      </c>
      <c r="H575" s="57">
        <v>104.2</v>
      </c>
      <c r="I575" s="57">
        <v>105.1</v>
      </c>
      <c r="J575" s="57" t="s">
        <v>4034</v>
      </c>
      <c r="K575" s="60">
        <v>36.700000000000003</v>
      </c>
      <c r="L575" s="60">
        <v>40</v>
      </c>
      <c r="M575" s="60">
        <v>43.42</v>
      </c>
      <c r="N575" s="57" t="s">
        <v>142</v>
      </c>
      <c r="O575" s="57" t="s">
        <v>142</v>
      </c>
      <c r="P575" s="57" t="s">
        <v>142</v>
      </c>
      <c r="Q575" s="57" t="s">
        <v>1587</v>
      </c>
      <c r="R575" s="57">
        <v>71.7</v>
      </c>
      <c r="S575" s="26" t="s">
        <v>451</v>
      </c>
      <c r="T575" s="20" t="s">
        <v>236</v>
      </c>
      <c r="U575" s="39" t="s">
        <v>4032</v>
      </c>
    </row>
    <row r="576" spans="1:21" ht="26.25" customHeight="1" x14ac:dyDescent="0.25">
      <c r="A576" s="25">
        <v>44847</v>
      </c>
      <c r="B576" s="38">
        <v>0.91666666666666663</v>
      </c>
      <c r="C576" s="1466" t="s">
        <v>4039</v>
      </c>
      <c r="D576" s="1467"/>
      <c r="E576" s="1467"/>
      <c r="F576" s="1467"/>
      <c r="G576" s="1467"/>
      <c r="H576" s="1467"/>
      <c r="I576" s="1467"/>
      <c r="J576" s="1467"/>
      <c r="K576" s="1467"/>
      <c r="L576" s="1467"/>
      <c r="M576" s="1467"/>
      <c r="N576" s="1467"/>
      <c r="O576" s="1467"/>
      <c r="P576" s="1467"/>
      <c r="Q576" s="1467"/>
      <c r="R576" s="1468"/>
      <c r="S576" s="26" t="s">
        <v>451</v>
      </c>
      <c r="T576" s="20" t="s">
        <v>236</v>
      </c>
      <c r="U576" s="39"/>
    </row>
    <row r="577" spans="1:21" ht="26.25" customHeight="1" x14ac:dyDescent="0.25">
      <c r="A577" s="25">
        <v>44848</v>
      </c>
      <c r="B577" s="38">
        <v>0.91666666666666663</v>
      </c>
      <c r="C577" s="1466" t="s">
        <v>4039</v>
      </c>
      <c r="D577" s="1467"/>
      <c r="E577" s="1467"/>
      <c r="F577" s="1467"/>
      <c r="G577" s="1467"/>
      <c r="H577" s="1467"/>
      <c r="I577" s="1467"/>
      <c r="J577" s="1467"/>
      <c r="K577" s="1467"/>
      <c r="L577" s="1467"/>
      <c r="M577" s="1467"/>
      <c r="N577" s="1467"/>
      <c r="O577" s="1467"/>
      <c r="P577" s="1467"/>
      <c r="Q577" s="1467"/>
      <c r="R577" s="1468"/>
      <c r="S577" s="26" t="s">
        <v>451</v>
      </c>
      <c r="T577" s="20" t="s">
        <v>236</v>
      </c>
      <c r="U577" s="39"/>
    </row>
    <row r="578" spans="1:21" ht="26.25" customHeight="1" x14ac:dyDescent="0.25">
      <c r="A578" s="25">
        <v>44849</v>
      </c>
      <c r="B578" s="38">
        <v>0.91666666666666663</v>
      </c>
      <c r="C578" s="1466" t="s">
        <v>4039</v>
      </c>
      <c r="D578" s="1467"/>
      <c r="E578" s="1467"/>
      <c r="F578" s="1467"/>
      <c r="G578" s="1467"/>
      <c r="H578" s="1467"/>
      <c r="I578" s="1467"/>
      <c r="J578" s="1467"/>
      <c r="K578" s="1467"/>
      <c r="L578" s="1467"/>
      <c r="M578" s="1467"/>
      <c r="N578" s="1467"/>
      <c r="O578" s="1467"/>
      <c r="P578" s="1467"/>
      <c r="Q578" s="1467"/>
      <c r="R578" s="1468"/>
      <c r="S578" s="26" t="s">
        <v>451</v>
      </c>
      <c r="T578" s="20" t="s">
        <v>236</v>
      </c>
      <c r="U578" s="39"/>
    </row>
    <row r="579" spans="1:21" ht="26.25" customHeight="1" x14ac:dyDescent="0.25">
      <c r="A579" s="25">
        <v>44850</v>
      </c>
      <c r="B579" s="38">
        <v>0.97916666666666663</v>
      </c>
      <c r="C579" s="1466" t="s">
        <v>4039</v>
      </c>
      <c r="D579" s="1467"/>
      <c r="E579" s="1467"/>
      <c r="F579" s="1467"/>
      <c r="G579" s="1467"/>
      <c r="H579" s="1467"/>
      <c r="I579" s="1467"/>
      <c r="J579" s="1467"/>
      <c r="K579" s="1467"/>
      <c r="L579" s="1467"/>
      <c r="M579" s="1467"/>
      <c r="N579" s="1467"/>
      <c r="O579" s="1467"/>
      <c r="P579" s="1467"/>
      <c r="Q579" s="1467"/>
      <c r="R579" s="1468"/>
      <c r="S579" s="26" t="s">
        <v>451</v>
      </c>
      <c r="T579" s="20" t="s">
        <v>236</v>
      </c>
      <c r="U579" s="39"/>
    </row>
    <row r="580" spans="1:21" ht="26.25" customHeight="1" x14ac:dyDescent="0.25">
      <c r="A580" s="25">
        <v>44851</v>
      </c>
      <c r="B580" s="38">
        <v>0.54166666666666663</v>
      </c>
      <c r="C580" s="1466" t="s">
        <v>4039</v>
      </c>
      <c r="D580" s="1467"/>
      <c r="E580" s="1467"/>
      <c r="F580" s="1467"/>
      <c r="G580" s="1467"/>
      <c r="H580" s="1467"/>
      <c r="I580" s="1467"/>
      <c r="J580" s="1467"/>
      <c r="K580" s="1467"/>
      <c r="L580" s="1467"/>
      <c r="M580" s="1467"/>
      <c r="N580" s="1467"/>
      <c r="O580" s="1467"/>
      <c r="P580" s="1467"/>
      <c r="Q580" s="1467"/>
      <c r="R580" s="1468"/>
      <c r="S580" s="26" t="s">
        <v>451</v>
      </c>
      <c r="T580" s="20" t="s">
        <v>236</v>
      </c>
      <c r="U580" s="39"/>
    </row>
    <row r="581" spans="1:21" ht="26.25" customHeight="1" x14ac:dyDescent="0.25">
      <c r="A581" s="25">
        <v>44852</v>
      </c>
      <c r="B581" s="38">
        <v>0.54166666666666663</v>
      </c>
      <c r="C581" s="1466" t="s">
        <v>4039</v>
      </c>
      <c r="D581" s="1467"/>
      <c r="E581" s="1467"/>
      <c r="F581" s="1467"/>
      <c r="G581" s="1467"/>
      <c r="H581" s="1467"/>
      <c r="I581" s="1467"/>
      <c r="J581" s="1467"/>
      <c r="K581" s="1467"/>
      <c r="L581" s="1467"/>
      <c r="M581" s="1467"/>
      <c r="N581" s="1467"/>
      <c r="O581" s="1467"/>
      <c r="P581" s="1467"/>
      <c r="Q581" s="1467"/>
      <c r="R581" s="1468"/>
      <c r="S581" s="26" t="s">
        <v>451</v>
      </c>
      <c r="T581" s="20" t="s">
        <v>236</v>
      </c>
      <c r="U581" s="39"/>
    </row>
    <row r="582" spans="1:21" ht="26.25" customHeight="1" x14ac:dyDescent="0.25">
      <c r="A582" s="25">
        <v>44853</v>
      </c>
      <c r="B582" s="38">
        <v>0.95833333333333337</v>
      </c>
      <c r="C582" s="246">
        <v>52</v>
      </c>
      <c r="D582" s="60">
        <v>12.4</v>
      </c>
      <c r="E582" s="247">
        <v>17.5</v>
      </c>
      <c r="F582" s="57">
        <v>902</v>
      </c>
      <c r="G582" s="57">
        <v>2480</v>
      </c>
      <c r="H582" s="57">
        <v>103.6</v>
      </c>
      <c r="I582" s="57">
        <v>105.1</v>
      </c>
      <c r="J582" s="57" t="s">
        <v>4085</v>
      </c>
      <c r="K582" s="60">
        <v>39.94</v>
      </c>
      <c r="L582" s="60">
        <v>43</v>
      </c>
      <c r="M582" s="60">
        <v>45</v>
      </c>
      <c r="N582" s="57" t="s">
        <v>142</v>
      </c>
      <c r="O582" s="57" t="s">
        <v>142</v>
      </c>
      <c r="P582" s="57" t="s">
        <v>142</v>
      </c>
      <c r="Q582" s="57" t="s">
        <v>4086</v>
      </c>
      <c r="R582" s="57">
        <v>74.7</v>
      </c>
      <c r="S582" s="26" t="s">
        <v>451</v>
      </c>
      <c r="T582" s="20" t="s">
        <v>236</v>
      </c>
      <c r="U582" s="39"/>
    </row>
    <row r="583" spans="1:21" ht="26.25" customHeight="1" x14ac:dyDescent="0.25">
      <c r="A583" s="25">
        <v>44854</v>
      </c>
      <c r="B583" s="38">
        <v>0.60416666666666663</v>
      </c>
      <c r="C583" s="246">
        <v>52</v>
      </c>
      <c r="D583" s="60">
        <v>7.9</v>
      </c>
      <c r="E583" s="247">
        <v>14.5</v>
      </c>
      <c r="F583" s="57">
        <v>914</v>
      </c>
      <c r="G583" s="57">
        <v>2422</v>
      </c>
      <c r="H583" s="57">
        <v>105.2</v>
      </c>
      <c r="I583" s="57">
        <v>107</v>
      </c>
      <c r="J583" s="57" t="s">
        <v>4095</v>
      </c>
      <c r="K583" s="60">
        <v>38.31</v>
      </c>
      <c r="L583" s="60">
        <v>41.2</v>
      </c>
      <c r="M583" s="60">
        <v>44</v>
      </c>
      <c r="N583" s="57" t="s">
        <v>142</v>
      </c>
      <c r="O583" s="57" t="s">
        <v>142</v>
      </c>
      <c r="P583" s="57" t="s">
        <v>142</v>
      </c>
      <c r="Q583" s="57" t="s">
        <v>4096</v>
      </c>
      <c r="R583" s="57">
        <v>61.9</v>
      </c>
      <c r="S583" s="26" t="s">
        <v>451</v>
      </c>
      <c r="T583" s="20" t="s">
        <v>236</v>
      </c>
      <c r="U583" s="39" t="s">
        <v>4107</v>
      </c>
    </row>
    <row r="584" spans="1:21" ht="26.25" customHeight="1" x14ac:dyDescent="0.25">
      <c r="A584" s="25">
        <v>44855</v>
      </c>
      <c r="B584" s="38">
        <v>0.60416666666666663</v>
      </c>
      <c r="C584" s="1469" t="s">
        <v>4116</v>
      </c>
      <c r="D584" s="1470"/>
      <c r="E584" s="1470"/>
      <c r="F584" s="1470"/>
      <c r="G584" s="1470"/>
      <c r="H584" s="1470"/>
      <c r="I584" s="1470"/>
      <c r="J584" s="1470"/>
      <c r="K584" s="1470"/>
      <c r="L584" s="1470"/>
      <c r="M584" s="1470"/>
      <c r="N584" s="1470"/>
      <c r="O584" s="1470"/>
      <c r="P584" s="1470"/>
      <c r="Q584" s="1470"/>
      <c r="R584" s="1471"/>
      <c r="S584" s="26" t="s">
        <v>451</v>
      </c>
      <c r="T584" s="20" t="s">
        <v>236</v>
      </c>
      <c r="U584" s="39" t="s">
        <v>4107</v>
      </c>
    </row>
    <row r="585" spans="1:21" ht="26.25" customHeight="1" x14ac:dyDescent="0.25">
      <c r="A585" s="25">
        <v>44856</v>
      </c>
      <c r="B585" s="38">
        <v>0.75</v>
      </c>
      <c r="C585" s="1469" t="s">
        <v>4116</v>
      </c>
      <c r="D585" s="1470"/>
      <c r="E585" s="1470"/>
      <c r="F585" s="1470"/>
      <c r="G585" s="1470"/>
      <c r="H585" s="1470"/>
      <c r="I585" s="1470"/>
      <c r="J585" s="1470"/>
      <c r="K585" s="1470"/>
      <c r="L585" s="1470"/>
      <c r="M585" s="1470"/>
      <c r="N585" s="1470"/>
      <c r="O585" s="1470"/>
      <c r="P585" s="1470"/>
      <c r="Q585" s="1470"/>
      <c r="R585" s="1471"/>
      <c r="S585" s="26" t="s">
        <v>451</v>
      </c>
      <c r="T585" s="20" t="s">
        <v>236</v>
      </c>
      <c r="U585" s="39" t="s">
        <v>4107</v>
      </c>
    </row>
    <row r="586" spans="1:21" ht="26.25" customHeight="1" x14ac:dyDescent="0.25">
      <c r="A586" s="25">
        <v>44857</v>
      </c>
      <c r="B586" s="38">
        <v>0.75</v>
      </c>
      <c r="C586" s="1469" t="s">
        <v>4116</v>
      </c>
      <c r="D586" s="1470"/>
      <c r="E586" s="1470"/>
      <c r="F586" s="1470"/>
      <c r="G586" s="1470"/>
      <c r="H586" s="1470"/>
      <c r="I586" s="1470"/>
      <c r="J586" s="1470"/>
      <c r="K586" s="1470"/>
      <c r="L586" s="1470"/>
      <c r="M586" s="1470"/>
      <c r="N586" s="1470"/>
      <c r="O586" s="1470"/>
      <c r="P586" s="1470"/>
      <c r="Q586" s="1470"/>
      <c r="R586" s="1471"/>
      <c r="S586" s="26" t="s">
        <v>451</v>
      </c>
      <c r="T586" s="20" t="s">
        <v>236</v>
      </c>
      <c r="U586" s="39" t="s">
        <v>4107</v>
      </c>
    </row>
    <row r="587" spans="1:21" ht="26.25" customHeight="1" x14ac:dyDescent="0.25">
      <c r="A587" s="25">
        <v>44858</v>
      </c>
      <c r="B587" s="38">
        <v>0.75</v>
      </c>
      <c r="C587" s="1469" t="s">
        <v>4116</v>
      </c>
      <c r="D587" s="1470"/>
      <c r="E587" s="1470"/>
      <c r="F587" s="1470"/>
      <c r="G587" s="1470"/>
      <c r="H587" s="1470"/>
      <c r="I587" s="1470"/>
      <c r="J587" s="1470"/>
      <c r="K587" s="1470"/>
      <c r="L587" s="1470"/>
      <c r="M587" s="1470"/>
      <c r="N587" s="1470"/>
      <c r="O587" s="1470"/>
      <c r="P587" s="1470"/>
      <c r="Q587" s="1470"/>
      <c r="R587" s="1471"/>
      <c r="S587" s="26" t="s">
        <v>451</v>
      </c>
      <c r="T587" s="20" t="s">
        <v>236</v>
      </c>
      <c r="U587" s="39" t="s">
        <v>4107</v>
      </c>
    </row>
    <row r="588" spans="1:21" ht="26.25" customHeight="1" x14ac:dyDescent="0.25">
      <c r="A588" s="25">
        <v>44859</v>
      </c>
      <c r="B588" s="38">
        <v>0.95833333333333337</v>
      </c>
      <c r="C588" s="1469" t="s">
        <v>4131</v>
      </c>
      <c r="D588" s="1470"/>
      <c r="E588" s="1470"/>
      <c r="F588" s="1470"/>
      <c r="G588" s="1470"/>
      <c r="H588" s="1470"/>
      <c r="I588" s="1470"/>
      <c r="J588" s="1470"/>
      <c r="K588" s="1470"/>
      <c r="L588" s="1470"/>
      <c r="M588" s="1470"/>
      <c r="N588" s="1470"/>
      <c r="O588" s="1470"/>
      <c r="P588" s="1470"/>
      <c r="Q588" s="1470"/>
      <c r="R588" s="1471"/>
      <c r="S588" s="26" t="s">
        <v>451</v>
      </c>
      <c r="T588" s="20" t="s">
        <v>236</v>
      </c>
      <c r="U588" s="39"/>
    </row>
    <row r="589" spans="1:21" ht="26.25" customHeight="1" x14ac:dyDescent="0.25">
      <c r="A589" s="25">
        <v>44860</v>
      </c>
      <c r="B589" s="38">
        <v>0.95833333333333337</v>
      </c>
      <c r="C589" s="246">
        <v>52</v>
      </c>
      <c r="D589" s="60">
        <v>12</v>
      </c>
      <c r="E589" s="247">
        <v>17.3</v>
      </c>
      <c r="F589" s="57">
        <v>891</v>
      </c>
      <c r="G589" s="57">
        <v>2477</v>
      </c>
      <c r="H589" s="57">
        <v>103.6</v>
      </c>
      <c r="I589" s="57">
        <v>105.8</v>
      </c>
      <c r="J589" s="57" t="s">
        <v>4133</v>
      </c>
      <c r="K589" s="60">
        <v>38.89</v>
      </c>
      <c r="L589" s="60">
        <v>41</v>
      </c>
      <c r="M589" s="60">
        <v>43</v>
      </c>
      <c r="N589" s="57" t="s">
        <v>142</v>
      </c>
      <c r="O589" s="57" t="s">
        <v>142</v>
      </c>
      <c r="P589" s="57" t="s">
        <v>142</v>
      </c>
      <c r="Q589" s="57" t="s">
        <v>3296</v>
      </c>
      <c r="R589" s="57">
        <v>73.900000000000006</v>
      </c>
      <c r="S589" s="26" t="s">
        <v>451</v>
      </c>
      <c r="T589" s="20" t="s">
        <v>236</v>
      </c>
      <c r="U589" s="39"/>
    </row>
    <row r="590" spans="1:21" ht="26.25" customHeight="1" x14ac:dyDescent="0.25">
      <c r="A590" s="25">
        <v>44861</v>
      </c>
      <c r="B590" s="38">
        <v>0.91666666666666663</v>
      </c>
      <c r="C590" s="246">
        <v>54</v>
      </c>
      <c r="D590" s="60">
        <v>8.9</v>
      </c>
      <c r="E590" s="247">
        <v>14.9</v>
      </c>
      <c r="F590" s="57">
        <v>936</v>
      </c>
      <c r="G590" s="57">
        <v>2343</v>
      </c>
      <c r="H590" s="57">
        <v>104.4</v>
      </c>
      <c r="I590" s="57">
        <v>106.7</v>
      </c>
      <c r="J590" s="57" t="s">
        <v>4142</v>
      </c>
      <c r="K590" s="60">
        <v>38.700000000000003</v>
      </c>
      <c r="L590" s="60">
        <v>41</v>
      </c>
      <c r="M590" s="60">
        <v>39.06</v>
      </c>
      <c r="N590" s="57" t="s">
        <v>142</v>
      </c>
      <c r="O590" s="57" t="s">
        <v>142</v>
      </c>
      <c r="P590" s="57" t="s">
        <v>142</v>
      </c>
      <c r="Q590" s="57" t="s">
        <v>4143</v>
      </c>
      <c r="R590" s="57">
        <v>63.2</v>
      </c>
      <c r="S590" s="26" t="s">
        <v>451</v>
      </c>
      <c r="T590" s="20" t="s">
        <v>236</v>
      </c>
      <c r="U590" s="39" t="s">
        <v>4148</v>
      </c>
    </row>
    <row r="591" spans="1:21" ht="26.25" customHeight="1" x14ac:dyDescent="0.25">
      <c r="A591" s="25">
        <v>44862</v>
      </c>
      <c r="B591" s="38">
        <v>0.95833333333333337</v>
      </c>
      <c r="C591" s="1469" t="s">
        <v>4153</v>
      </c>
      <c r="D591" s="1470"/>
      <c r="E591" s="1470"/>
      <c r="F591" s="1470"/>
      <c r="G591" s="1470"/>
      <c r="H591" s="1470"/>
      <c r="I591" s="1470"/>
      <c r="J591" s="1470"/>
      <c r="K591" s="1470"/>
      <c r="L591" s="1470"/>
      <c r="M591" s="1470"/>
      <c r="N591" s="1470"/>
      <c r="O591" s="1470"/>
      <c r="P591" s="1470"/>
      <c r="Q591" s="1470"/>
      <c r="R591" s="1471"/>
      <c r="S591" s="26" t="s">
        <v>451</v>
      </c>
      <c r="T591" s="20" t="s">
        <v>236</v>
      </c>
      <c r="U591" s="39"/>
    </row>
    <row r="592" spans="1:21" ht="26.25" customHeight="1" x14ac:dyDescent="0.25">
      <c r="A592" s="25">
        <v>44863</v>
      </c>
      <c r="B592" s="38">
        <v>0.95833333333333337</v>
      </c>
      <c r="C592" s="1469" t="s">
        <v>4153</v>
      </c>
      <c r="D592" s="1470"/>
      <c r="E592" s="1470"/>
      <c r="F592" s="1470"/>
      <c r="G592" s="1470"/>
      <c r="H592" s="1470"/>
      <c r="I592" s="1470"/>
      <c r="J592" s="1470"/>
      <c r="K592" s="1470"/>
      <c r="L592" s="1470"/>
      <c r="M592" s="1470"/>
      <c r="N592" s="1470"/>
      <c r="O592" s="1470"/>
      <c r="P592" s="1470"/>
      <c r="Q592" s="1470"/>
      <c r="R592" s="1471"/>
      <c r="S592" s="26" t="s">
        <v>451</v>
      </c>
      <c r="T592" s="20" t="s">
        <v>236</v>
      </c>
      <c r="U592" s="39"/>
    </row>
    <row r="593" spans="1:21" ht="26.25" customHeight="1" x14ac:dyDescent="0.25">
      <c r="A593" s="25">
        <v>44864</v>
      </c>
      <c r="B593" s="38">
        <v>0.95833333333333337</v>
      </c>
      <c r="C593" s="1469" t="s">
        <v>4153</v>
      </c>
      <c r="D593" s="1470"/>
      <c r="E593" s="1470"/>
      <c r="F593" s="1470"/>
      <c r="G593" s="1470"/>
      <c r="H593" s="1470"/>
      <c r="I593" s="1470"/>
      <c r="J593" s="1470"/>
      <c r="K593" s="1470"/>
      <c r="L593" s="1470"/>
      <c r="M593" s="1470"/>
      <c r="N593" s="1470"/>
      <c r="O593" s="1470"/>
      <c r="P593" s="1470"/>
      <c r="Q593" s="1470"/>
      <c r="R593" s="1471"/>
      <c r="S593" s="26" t="s">
        <v>451</v>
      </c>
      <c r="T593" s="20" t="s">
        <v>236</v>
      </c>
      <c r="U593" s="39"/>
    </row>
    <row r="594" spans="1:21" ht="26.25" customHeight="1" x14ac:dyDescent="0.25">
      <c r="A594" s="25">
        <v>44865</v>
      </c>
      <c r="B594" s="38">
        <v>0.875</v>
      </c>
      <c r="C594" s="1469" t="s">
        <v>4153</v>
      </c>
      <c r="D594" s="1470"/>
      <c r="E594" s="1470"/>
      <c r="F594" s="1470"/>
      <c r="G594" s="1470"/>
      <c r="H594" s="1470"/>
      <c r="I594" s="1470"/>
      <c r="J594" s="1470"/>
      <c r="K594" s="1470"/>
      <c r="L594" s="1470"/>
      <c r="M594" s="1470"/>
      <c r="N594" s="1470"/>
      <c r="O594" s="1470"/>
      <c r="P594" s="1470"/>
      <c r="Q594" s="1470"/>
      <c r="R594" s="1471"/>
      <c r="S594" s="26" t="s">
        <v>451</v>
      </c>
      <c r="T594" s="20" t="s">
        <v>236</v>
      </c>
      <c r="U594" s="39"/>
    </row>
    <row r="595" spans="1:21" ht="26.25" customHeight="1" x14ac:dyDescent="0.25">
      <c r="A595" s="25">
        <v>44866</v>
      </c>
      <c r="B595" s="38">
        <v>0.95833333333333337</v>
      </c>
      <c r="C595" s="1469" t="s">
        <v>4153</v>
      </c>
      <c r="D595" s="1470"/>
      <c r="E595" s="1470"/>
      <c r="F595" s="1470"/>
      <c r="G595" s="1470"/>
      <c r="H595" s="1470"/>
      <c r="I595" s="1470"/>
      <c r="J595" s="1470"/>
      <c r="K595" s="1470"/>
      <c r="L595" s="1470"/>
      <c r="M595" s="1470"/>
      <c r="N595" s="1470"/>
      <c r="O595" s="1470"/>
      <c r="P595" s="1470"/>
      <c r="Q595" s="1470"/>
      <c r="R595" s="1471"/>
      <c r="S595" s="26" t="s">
        <v>451</v>
      </c>
      <c r="T595" s="20" t="s">
        <v>236</v>
      </c>
      <c r="U595" s="39"/>
    </row>
    <row r="596" spans="1:21" ht="26.25" customHeight="1" x14ac:dyDescent="0.25">
      <c r="A596" s="25">
        <v>44867</v>
      </c>
      <c r="B596" s="38">
        <v>0.97916666666666663</v>
      </c>
      <c r="C596" s="1469" t="s">
        <v>4153</v>
      </c>
      <c r="D596" s="1470"/>
      <c r="E596" s="1470"/>
      <c r="F596" s="1470"/>
      <c r="G596" s="1470"/>
      <c r="H596" s="1470"/>
      <c r="I596" s="1470"/>
      <c r="J596" s="1470"/>
      <c r="K596" s="1470"/>
      <c r="L596" s="1470"/>
      <c r="M596" s="1470"/>
      <c r="N596" s="1470"/>
      <c r="O596" s="1470"/>
      <c r="P596" s="1470"/>
      <c r="Q596" s="1470"/>
      <c r="R596" s="1471"/>
      <c r="S596" s="26" t="s">
        <v>451</v>
      </c>
      <c r="T596" s="20" t="s">
        <v>236</v>
      </c>
      <c r="U596" s="39"/>
    </row>
    <row r="597" spans="1:21" ht="26.25" customHeight="1" x14ac:dyDescent="0.25">
      <c r="A597" s="25">
        <v>44868</v>
      </c>
      <c r="B597" s="38">
        <v>0.97916666666666663</v>
      </c>
      <c r="C597" s="1469" t="s">
        <v>4153</v>
      </c>
      <c r="D597" s="1470"/>
      <c r="E597" s="1470"/>
      <c r="F597" s="1470"/>
      <c r="G597" s="1470"/>
      <c r="H597" s="1470"/>
      <c r="I597" s="1470"/>
      <c r="J597" s="1470"/>
      <c r="K597" s="1470"/>
      <c r="L597" s="1470"/>
      <c r="M597" s="1470"/>
      <c r="N597" s="1470"/>
      <c r="O597" s="1470"/>
      <c r="P597" s="1470"/>
      <c r="Q597" s="1470"/>
      <c r="R597" s="1471"/>
      <c r="S597" s="26" t="s">
        <v>451</v>
      </c>
      <c r="T597" s="20" t="s">
        <v>236</v>
      </c>
      <c r="U597" s="39"/>
    </row>
    <row r="598" spans="1:21" ht="26.25" customHeight="1" x14ac:dyDescent="0.25">
      <c r="A598" s="25">
        <v>44869</v>
      </c>
      <c r="B598" s="38">
        <v>4.1666666666666664E-2</v>
      </c>
      <c r="C598" s="246">
        <v>51</v>
      </c>
      <c r="D598" s="60">
        <v>11.9</v>
      </c>
      <c r="E598" s="247">
        <v>17.100000000000001</v>
      </c>
      <c r="F598" s="57">
        <v>958</v>
      </c>
      <c r="G598" s="57">
        <v>2477</v>
      </c>
      <c r="H598" s="57">
        <v>103.1</v>
      </c>
      <c r="I598" s="57">
        <v>104.9</v>
      </c>
      <c r="J598" s="57" t="s">
        <v>4201</v>
      </c>
      <c r="K598" s="60">
        <v>39.64</v>
      </c>
      <c r="L598" s="60">
        <v>43</v>
      </c>
      <c r="M598" s="60">
        <v>43.96</v>
      </c>
      <c r="N598" s="57" t="s">
        <v>142</v>
      </c>
      <c r="O598" s="57" t="s">
        <v>142</v>
      </c>
      <c r="P598" s="57" t="s">
        <v>142</v>
      </c>
      <c r="Q598" s="57" t="s">
        <v>4202</v>
      </c>
      <c r="R598" s="57">
        <v>73</v>
      </c>
      <c r="S598" s="26" t="s">
        <v>451</v>
      </c>
      <c r="T598" s="20" t="s">
        <v>236</v>
      </c>
      <c r="U598" s="39"/>
    </row>
    <row r="599" spans="1:21" ht="26.25" customHeight="1" x14ac:dyDescent="0.25">
      <c r="A599" s="25">
        <v>44870</v>
      </c>
      <c r="B599" s="38">
        <v>0.97916666666666663</v>
      </c>
      <c r="C599" s="246">
        <v>51</v>
      </c>
      <c r="D599" s="60">
        <v>9.3000000000000007</v>
      </c>
      <c r="E599" s="247">
        <v>16.399999999999999</v>
      </c>
      <c r="F599" s="57">
        <v>977</v>
      </c>
      <c r="G599" s="57">
        <v>2511</v>
      </c>
      <c r="H599" s="57">
        <v>105.8</v>
      </c>
      <c r="I599" s="57">
        <v>107.1</v>
      </c>
      <c r="J599" s="57" t="s">
        <v>4207</v>
      </c>
      <c r="K599" s="60">
        <v>39.659999999999997</v>
      </c>
      <c r="L599" s="60">
        <v>43</v>
      </c>
      <c r="M599" s="60">
        <v>37.200000000000003</v>
      </c>
      <c r="N599" s="57" t="s">
        <v>142</v>
      </c>
      <c r="O599" s="57" t="s">
        <v>142</v>
      </c>
      <c r="P599" s="57" t="s">
        <v>142</v>
      </c>
      <c r="Q599" s="57" t="s">
        <v>2342</v>
      </c>
      <c r="R599" s="57">
        <v>64.900000000000006</v>
      </c>
      <c r="S599" s="26" t="s">
        <v>451</v>
      </c>
      <c r="T599" s="20" t="s">
        <v>236</v>
      </c>
      <c r="U599" s="39"/>
    </row>
    <row r="600" spans="1:21" ht="26.25" customHeight="1" x14ac:dyDescent="0.25">
      <c r="A600" s="25">
        <v>44871</v>
      </c>
      <c r="B600" s="38">
        <v>0.97916666666666663</v>
      </c>
      <c r="C600" s="1469" t="s">
        <v>4228</v>
      </c>
      <c r="D600" s="1470"/>
      <c r="E600" s="1470"/>
      <c r="F600" s="1470"/>
      <c r="G600" s="1470"/>
      <c r="H600" s="1470"/>
      <c r="I600" s="1470"/>
      <c r="J600" s="1470"/>
      <c r="K600" s="1470"/>
      <c r="L600" s="1470"/>
      <c r="M600" s="1470"/>
      <c r="N600" s="1470"/>
      <c r="O600" s="1470"/>
      <c r="P600" s="1470"/>
      <c r="Q600" s="1470"/>
      <c r="R600" s="1471"/>
      <c r="S600" s="26" t="s">
        <v>451</v>
      </c>
      <c r="T600" s="20" t="s">
        <v>236</v>
      </c>
      <c r="U600" s="39"/>
    </row>
    <row r="601" spans="1:21" ht="26.25" customHeight="1" x14ac:dyDescent="0.25">
      <c r="A601" s="25">
        <v>44872</v>
      </c>
      <c r="B601" s="38">
        <v>0.97916666666666663</v>
      </c>
      <c r="C601" s="1469" t="s">
        <v>4228</v>
      </c>
      <c r="D601" s="1470"/>
      <c r="E601" s="1470"/>
      <c r="F601" s="1470"/>
      <c r="G601" s="1470"/>
      <c r="H601" s="1470"/>
      <c r="I601" s="1470"/>
      <c r="J601" s="1470"/>
      <c r="K601" s="1470"/>
      <c r="L601" s="1470"/>
      <c r="M601" s="1470"/>
      <c r="N601" s="1470"/>
      <c r="O601" s="1470"/>
      <c r="P601" s="1470"/>
      <c r="Q601" s="1470"/>
      <c r="R601" s="1471"/>
      <c r="S601" s="26" t="s">
        <v>451</v>
      </c>
      <c r="T601" s="20" t="s">
        <v>236</v>
      </c>
      <c r="U601" s="39"/>
    </row>
    <row r="602" spans="1:21" ht="26.25" customHeight="1" x14ac:dyDescent="0.25">
      <c r="A602" s="25">
        <v>44873</v>
      </c>
      <c r="B602" s="38">
        <v>0.97916666666666663</v>
      </c>
      <c r="C602" s="1469" t="s">
        <v>4228</v>
      </c>
      <c r="D602" s="1470"/>
      <c r="E602" s="1470"/>
      <c r="F602" s="1470"/>
      <c r="G602" s="1470"/>
      <c r="H602" s="1470"/>
      <c r="I602" s="1470"/>
      <c r="J602" s="1470"/>
      <c r="K602" s="1470"/>
      <c r="L602" s="1470"/>
      <c r="M602" s="1470"/>
      <c r="N602" s="1470"/>
      <c r="O602" s="1470"/>
      <c r="P602" s="1470"/>
      <c r="Q602" s="1470"/>
      <c r="R602" s="1471"/>
      <c r="S602" s="26" t="s">
        <v>451</v>
      </c>
      <c r="T602" s="20" t="s">
        <v>236</v>
      </c>
      <c r="U602" s="39"/>
    </row>
    <row r="603" spans="1:21" ht="26.25" customHeight="1" x14ac:dyDescent="0.25">
      <c r="A603" s="25">
        <v>44874</v>
      </c>
      <c r="B603" s="38">
        <v>0.97916666666666663</v>
      </c>
      <c r="C603" s="1469" t="s">
        <v>4228</v>
      </c>
      <c r="D603" s="1470"/>
      <c r="E603" s="1470"/>
      <c r="F603" s="1470"/>
      <c r="G603" s="1470"/>
      <c r="H603" s="1470"/>
      <c r="I603" s="1470"/>
      <c r="J603" s="1470"/>
      <c r="K603" s="1470"/>
      <c r="L603" s="1470"/>
      <c r="M603" s="1470"/>
      <c r="N603" s="1470"/>
      <c r="O603" s="1470"/>
      <c r="P603" s="1470"/>
      <c r="Q603" s="1470"/>
      <c r="R603" s="1471"/>
      <c r="S603" s="26" t="s">
        <v>451</v>
      </c>
      <c r="T603" s="20" t="s">
        <v>236</v>
      </c>
      <c r="U603" s="39"/>
    </row>
    <row r="604" spans="1:21" ht="32.25" customHeight="1" x14ac:dyDescent="0.25">
      <c r="A604" s="25">
        <v>44875</v>
      </c>
      <c r="B604" s="38">
        <v>0.97916666666666663</v>
      </c>
      <c r="C604" s="1466" t="s">
        <v>4247</v>
      </c>
      <c r="D604" s="1467"/>
      <c r="E604" s="1467"/>
      <c r="F604" s="1467"/>
      <c r="G604" s="1467"/>
      <c r="H604" s="1467"/>
      <c r="I604" s="1467"/>
      <c r="J604" s="1467"/>
      <c r="K604" s="1467"/>
      <c r="L604" s="1467"/>
      <c r="M604" s="1467"/>
      <c r="N604" s="1467"/>
      <c r="O604" s="1467"/>
      <c r="P604" s="1467"/>
      <c r="Q604" s="1467"/>
      <c r="R604" s="1468"/>
      <c r="S604" s="26" t="s">
        <v>451</v>
      </c>
      <c r="T604" s="20" t="s">
        <v>236</v>
      </c>
      <c r="U604" s="39"/>
    </row>
    <row r="605" spans="1:21" ht="32.25" customHeight="1" x14ac:dyDescent="0.25">
      <c r="A605" s="25">
        <v>44876</v>
      </c>
      <c r="B605" s="38">
        <v>0.95833333333333337</v>
      </c>
      <c r="C605" s="1466" t="s">
        <v>4247</v>
      </c>
      <c r="D605" s="1467"/>
      <c r="E605" s="1467"/>
      <c r="F605" s="1467"/>
      <c r="G605" s="1467"/>
      <c r="H605" s="1467"/>
      <c r="I605" s="1467"/>
      <c r="J605" s="1467"/>
      <c r="K605" s="1467"/>
      <c r="L605" s="1467"/>
      <c r="M605" s="1467"/>
      <c r="N605" s="1467"/>
      <c r="O605" s="1467"/>
      <c r="P605" s="1467"/>
      <c r="Q605" s="1467"/>
      <c r="R605" s="1468"/>
      <c r="S605" s="26" t="s">
        <v>451</v>
      </c>
      <c r="T605" s="20" t="s">
        <v>236</v>
      </c>
      <c r="U605" s="39"/>
    </row>
    <row r="606" spans="1:21" ht="32.25" customHeight="1" x14ac:dyDescent="0.25">
      <c r="A606" s="25">
        <v>44877</v>
      </c>
      <c r="B606" s="38">
        <v>0</v>
      </c>
      <c r="C606" s="1466" t="s">
        <v>4280</v>
      </c>
      <c r="D606" s="1467"/>
      <c r="E606" s="1467"/>
      <c r="F606" s="1467"/>
      <c r="G606" s="1467"/>
      <c r="H606" s="1467"/>
      <c r="I606" s="1467"/>
      <c r="J606" s="1467"/>
      <c r="K606" s="1467"/>
      <c r="L606" s="1467"/>
      <c r="M606" s="1467"/>
      <c r="N606" s="1467"/>
      <c r="O606" s="1467"/>
      <c r="P606" s="1467"/>
      <c r="Q606" s="1467"/>
      <c r="R606" s="1468"/>
      <c r="S606" s="26" t="s">
        <v>451</v>
      </c>
      <c r="T606" s="20" t="s">
        <v>236</v>
      </c>
      <c r="U606" s="39"/>
    </row>
    <row r="607" spans="1:21" ht="32.25" customHeight="1" x14ac:dyDescent="0.25">
      <c r="A607" s="25">
        <v>44878</v>
      </c>
      <c r="B607" s="38">
        <v>0</v>
      </c>
      <c r="C607" s="1466" t="s">
        <v>4280</v>
      </c>
      <c r="D607" s="1467"/>
      <c r="E607" s="1467"/>
      <c r="F607" s="1467"/>
      <c r="G607" s="1467"/>
      <c r="H607" s="1467"/>
      <c r="I607" s="1467"/>
      <c r="J607" s="1467"/>
      <c r="K607" s="1467"/>
      <c r="L607" s="1467"/>
      <c r="M607" s="1467"/>
      <c r="N607" s="1467"/>
      <c r="O607" s="1467"/>
      <c r="P607" s="1467"/>
      <c r="Q607" s="1467"/>
      <c r="R607" s="1468"/>
      <c r="S607" s="26" t="s">
        <v>451</v>
      </c>
      <c r="T607" s="20" t="s">
        <v>236</v>
      </c>
      <c r="U607" s="39"/>
    </row>
    <row r="608" spans="1:21" ht="26.25" customHeight="1" x14ac:dyDescent="0.25">
      <c r="A608" s="25">
        <v>44879</v>
      </c>
      <c r="B608" s="38">
        <v>0.77083333333333337</v>
      </c>
      <c r="C608" s="246">
        <v>52</v>
      </c>
      <c r="D608" s="60">
        <v>12.7</v>
      </c>
      <c r="E608" s="247">
        <v>17.8</v>
      </c>
      <c r="F608" s="57">
        <v>911</v>
      </c>
      <c r="G608" s="57">
        <v>2288</v>
      </c>
      <c r="H608" s="57">
        <v>103.1</v>
      </c>
      <c r="I608" s="57">
        <v>105.1</v>
      </c>
      <c r="J608" s="57" t="s">
        <v>4253</v>
      </c>
      <c r="K608" s="60">
        <v>39.799999999999997</v>
      </c>
      <c r="L608" s="60">
        <v>42</v>
      </c>
      <c r="M608" s="60">
        <v>45.6</v>
      </c>
      <c r="N608" s="57" t="s">
        <v>142</v>
      </c>
      <c r="O608" s="57" t="s">
        <v>142</v>
      </c>
      <c r="P608" s="57" t="s">
        <v>142</v>
      </c>
      <c r="Q608" s="57" t="s">
        <v>4254</v>
      </c>
      <c r="R608" s="57">
        <v>76</v>
      </c>
      <c r="S608" s="26" t="s">
        <v>451</v>
      </c>
      <c r="T608" s="20" t="s">
        <v>236</v>
      </c>
      <c r="U608" s="39"/>
    </row>
    <row r="609" spans="1:21" ht="32.25" customHeight="1" x14ac:dyDescent="0.25">
      <c r="A609" s="25">
        <v>44880</v>
      </c>
      <c r="B609" s="38">
        <v>0.91666666666666663</v>
      </c>
      <c r="C609" s="1466" t="s">
        <v>4292</v>
      </c>
      <c r="D609" s="1467"/>
      <c r="E609" s="1467"/>
      <c r="F609" s="1467"/>
      <c r="G609" s="1467"/>
      <c r="H609" s="1467"/>
      <c r="I609" s="1467"/>
      <c r="J609" s="1467"/>
      <c r="K609" s="1467"/>
      <c r="L609" s="1467"/>
      <c r="M609" s="1467"/>
      <c r="N609" s="1467"/>
      <c r="O609" s="1467"/>
      <c r="P609" s="1467"/>
      <c r="Q609" s="1467"/>
      <c r="R609" s="1468"/>
      <c r="S609" s="26" t="s">
        <v>451</v>
      </c>
      <c r="T609" s="20" t="s">
        <v>236</v>
      </c>
      <c r="U609" s="39"/>
    </row>
    <row r="610" spans="1:21" ht="32.25" customHeight="1" x14ac:dyDescent="0.25">
      <c r="A610" s="25">
        <v>44881</v>
      </c>
      <c r="B610" s="38">
        <v>0.97916666666666663</v>
      </c>
      <c r="C610" s="1466" t="s">
        <v>4296</v>
      </c>
      <c r="D610" s="1467"/>
      <c r="E610" s="1467"/>
      <c r="F610" s="1467"/>
      <c r="G610" s="1467"/>
      <c r="H610" s="1467"/>
      <c r="I610" s="1467"/>
      <c r="J610" s="1467"/>
      <c r="K610" s="1467"/>
      <c r="L610" s="1467"/>
      <c r="M610" s="1467"/>
      <c r="N610" s="1467"/>
      <c r="O610" s="1467"/>
      <c r="P610" s="1467"/>
      <c r="Q610" s="1467"/>
      <c r="R610" s="1468"/>
      <c r="S610" s="26" t="s">
        <v>451</v>
      </c>
      <c r="T610" s="20" t="s">
        <v>236</v>
      </c>
      <c r="U610" s="39"/>
    </row>
    <row r="611" spans="1:21" ht="32.25" customHeight="1" x14ac:dyDescent="0.25">
      <c r="A611" s="25">
        <v>44882</v>
      </c>
      <c r="B611" s="38">
        <v>0.95833333333333337</v>
      </c>
      <c r="C611" s="1466" t="s">
        <v>4301</v>
      </c>
      <c r="D611" s="1467"/>
      <c r="E611" s="1467"/>
      <c r="F611" s="1467"/>
      <c r="G611" s="1467"/>
      <c r="H611" s="1467"/>
      <c r="I611" s="1467"/>
      <c r="J611" s="1467"/>
      <c r="K611" s="1467"/>
      <c r="L611" s="1467"/>
      <c r="M611" s="1467"/>
      <c r="N611" s="1467"/>
      <c r="O611" s="1467"/>
      <c r="P611" s="1467"/>
      <c r="Q611" s="1467"/>
      <c r="R611" s="1468"/>
      <c r="S611" s="26" t="s">
        <v>451</v>
      </c>
      <c r="T611" s="20" t="s">
        <v>236</v>
      </c>
      <c r="U611" s="39"/>
    </row>
    <row r="612" spans="1:21" ht="32.25" customHeight="1" x14ac:dyDescent="0.25">
      <c r="A612" s="25">
        <v>44883</v>
      </c>
      <c r="B612" s="38">
        <v>0.85416666666666663</v>
      </c>
      <c r="C612" s="1466" t="s">
        <v>4304</v>
      </c>
      <c r="D612" s="1467"/>
      <c r="E612" s="1467"/>
      <c r="F612" s="1467"/>
      <c r="G612" s="1467"/>
      <c r="H612" s="1467"/>
      <c r="I612" s="1467"/>
      <c r="J612" s="1467"/>
      <c r="K612" s="1467"/>
      <c r="L612" s="1467"/>
      <c r="M612" s="1467"/>
      <c r="N612" s="1467"/>
      <c r="O612" s="1467"/>
      <c r="P612" s="1467"/>
      <c r="Q612" s="1467"/>
      <c r="R612" s="1468"/>
      <c r="S612" s="26" t="s">
        <v>451</v>
      </c>
      <c r="T612" s="20" t="s">
        <v>236</v>
      </c>
      <c r="U612" s="39"/>
    </row>
    <row r="613" spans="1:21" ht="32.25" customHeight="1" x14ac:dyDescent="0.25">
      <c r="A613" s="25">
        <v>44884</v>
      </c>
      <c r="B613" s="38">
        <v>0.85416666666666663</v>
      </c>
      <c r="C613" s="1466" t="s">
        <v>4309</v>
      </c>
      <c r="D613" s="1467"/>
      <c r="E613" s="1467"/>
      <c r="F613" s="1467"/>
      <c r="G613" s="1467"/>
      <c r="H613" s="1467"/>
      <c r="I613" s="1467"/>
      <c r="J613" s="1467"/>
      <c r="K613" s="1467"/>
      <c r="L613" s="1467"/>
      <c r="M613" s="1467"/>
      <c r="N613" s="1467"/>
      <c r="O613" s="1467"/>
      <c r="P613" s="1467"/>
      <c r="Q613" s="1467"/>
      <c r="R613" s="1468"/>
      <c r="S613" s="26" t="s">
        <v>451</v>
      </c>
      <c r="T613" s="20" t="s">
        <v>4310</v>
      </c>
      <c r="U613" s="39"/>
    </row>
    <row r="614" spans="1:21" ht="45" customHeight="1" x14ac:dyDescent="0.25">
      <c r="A614" s="25">
        <v>44885</v>
      </c>
      <c r="B614" s="38">
        <v>0.52083333333333337</v>
      </c>
      <c r="C614" s="246">
        <v>52</v>
      </c>
      <c r="D614" s="60">
        <v>13</v>
      </c>
      <c r="E614" s="247">
        <v>18.100000000000001</v>
      </c>
      <c r="F614" s="57">
        <v>988</v>
      </c>
      <c r="G614" s="57">
        <v>2531</v>
      </c>
      <c r="H614" s="57">
        <v>102.7</v>
      </c>
      <c r="I614" s="57">
        <v>103.6</v>
      </c>
      <c r="J614" s="57" t="s">
        <v>4318</v>
      </c>
      <c r="K614" s="60">
        <v>38.909999999999997</v>
      </c>
      <c r="L614" s="60">
        <v>42</v>
      </c>
      <c r="M614" s="60">
        <v>40.36</v>
      </c>
      <c r="N614" s="57" t="s">
        <v>142</v>
      </c>
      <c r="O614" s="57" t="s">
        <v>142</v>
      </c>
      <c r="P614" s="57" t="s">
        <v>142</v>
      </c>
      <c r="Q614" s="57" t="s">
        <v>4319</v>
      </c>
      <c r="R614" s="57">
        <v>77.3</v>
      </c>
      <c r="S614" s="26" t="s">
        <v>451</v>
      </c>
      <c r="T614" s="20" t="s">
        <v>4320</v>
      </c>
      <c r="U614" s="39" t="s">
        <v>4321</v>
      </c>
    </row>
    <row r="615" spans="1:21" ht="39" customHeight="1" x14ac:dyDescent="0.25">
      <c r="A615" s="25">
        <v>44886</v>
      </c>
      <c r="B615" s="38">
        <v>0.96875</v>
      </c>
      <c r="C615" s="246">
        <v>52</v>
      </c>
      <c r="D615" s="60">
        <v>11.9</v>
      </c>
      <c r="E615" s="247">
        <v>17.100000000000001</v>
      </c>
      <c r="F615" s="57">
        <v>922</v>
      </c>
      <c r="G615" s="57">
        <v>2525</v>
      </c>
      <c r="H615" s="57">
        <v>104</v>
      </c>
      <c r="I615" s="57">
        <v>106</v>
      </c>
      <c r="J615" s="57" t="s">
        <v>4329</v>
      </c>
      <c r="K615" s="60">
        <v>41.08</v>
      </c>
      <c r="L615" s="60">
        <v>43</v>
      </c>
      <c r="M615" s="60">
        <v>40.32</v>
      </c>
      <c r="N615" s="57" t="s">
        <v>142</v>
      </c>
      <c r="O615" s="57" t="s">
        <v>142</v>
      </c>
      <c r="P615" s="57" t="s">
        <v>142</v>
      </c>
      <c r="Q615" s="57" t="s">
        <v>4330</v>
      </c>
      <c r="R615" s="57">
        <v>73</v>
      </c>
      <c r="S615" s="26" t="s">
        <v>451</v>
      </c>
      <c r="T615" s="20" t="s">
        <v>4320</v>
      </c>
      <c r="U615" s="39"/>
    </row>
    <row r="616" spans="1:21" ht="39" customHeight="1" x14ac:dyDescent="0.25">
      <c r="A616" s="25">
        <v>44887</v>
      </c>
      <c r="B616" s="38">
        <v>0.91666666666666663</v>
      </c>
      <c r="C616" s="1466" t="s">
        <v>4340</v>
      </c>
      <c r="D616" s="1467"/>
      <c r="E616" s="1467"/>
      <c r="F616" s="1467"/>
      <c r="G616" s="1467"/>
      <c r="H616" s="1467"/>
      <c r="I616" s="1467"/>
      <c r="J616" s="1467"/>
      <c r="K616" s="1467"/>
      <c r="L616" s="1467"/>
      <c r="M616" s="1467"/>
      <c r="N616" s="1467"/>
      <c r="O616" s="1467"/>
      <c r="P616" s="1467"/>
      <c r="Q616" s="1467"/>
      <c r="R616" s="1468"/>
      <c r="S616" s="26" t="s">
        <v>451</v>
      </c>
      <c r="T616" s="20" t="s">
        <v>4320</v>
      </c>
      <c r="U616" s="39"/>
    </row>
    <row r="617" spans="1:21" ht="39" customHeight="1" x14ac:dyDescent="0.25">
      <c r="A617" s="25">
        <v>44888</v>
      </c>
      <c r="B617" s="38">
        <v>0.83333333333333337</v>
      </c>
      <c r="C617" s="1466" t="s">
        <v>4349</v>
      </c>
      <c r="D617" s="1467"/>
      <c r="E617" s="1467"/>
      <c r="F617" s="1467"/>
      <c r="G617" s="1467"/>
      <c r="H617" s="1467"/>
      <c r="I617" s="1467"/>
      <c r="J617" s="1467"/>
      <c r="K617" s="1467"/>
      <c r="L617" s="1467"/>
      <c r="M617" s="1467"/>
      <c r="N617" s="1467"/>
      <c r="O617" s="1467"/>
      <c r="P617" s="1467"/>
      <c r="Q617" s="1467"/>
      <c r="R617" s="1468"/>
      <c r="S617" s="26" t="s">
        <v>451</v>
      </c>
      <c r="T617" s="20" t="s">
        <v>4320</v>
      </c>
      <c r="U617" s="39"/>
    </row>
    <row r="618" spans="1:21" ht="39" customHeight="1" x14ac:dyDescent="0.25">
      <c r="A618" s="25">
        <v>44889</v>
      </c>
      <c r="B618" s="38">
        <v>0.83333333333333337</v>
      </c>
      <c r="C618" s="1466" t="s">
        <v>4353</v>
      </c>
      <c r="D618" s="1467"/>
      <c r="E618" s="1467"/>
      <c r="F618" s="1467"/>
      <c r="G618" s="1467"/>
      <c r="H618" s="1467"/>
      <c r="I618" s="1467"/>
      <c r="J618" s="1467"/>
      <c r="K618" s="1467"/>
      <c r="L618" s="1467"/>
      <c r="M618" s="1467"/>
      <c r="N618" s="1467"/>
      <c r="O618" s="1467"/>
      <c r="P618" s="1467"/>
      <c r="Q618" s="1467"/>
      <c r="R618" s="1468"/>
      <c r="S618" s="26" t="s">
        <v>451</v>
      </c>
      <c r="T618" s="20" t="s">
        <v>4320</v>
      </c>
      <c r="U618" s="39"/>
    </row>
    <row r="619" spans="1:21" ht="39" customHeight="1" x14ac:dyDescent="0.25">
      <c r="A619" s="25">
        <v>44890</v>
      </c>
      <c r="B619" s="38">
        <v>0.875</v>
      </c>
      <c r="C619" s="1466" t="s">
        <v>4363</v>
      </c>
      <c r="D619" s="1467"/>
      <c r="E619" s="1467"/>
      <c r="F619" s="1467"/>
      <c r="G619" s="1467"/>
      <c r="H619" s="1467"/>
      <c r="I619" s="1467"/>
      <c r="J619" s="1467"/>
      <c r="K619" s="1467"/>
      <c r="L619" s="1467"/>
      <c r="M619" s="1467"/>
      <c r="N619" s="1467"/>
      <c r="O619" s="1467"/>
      <c r="P619" s="1467"/>
      <c r="Q619" s="1467"/>
      <c r="R619" s="1468"/>
      <c r="S619" s="26" t="s">
        <v>451</v>
      </c>
      <c r="T619" s="20" t="s">
        <v>4320</v>
      </c>
      <c r="U619" s="39"/>
    </row>
    <row r="620" spans="1:21" ht="39" customHeight="1" x14ac:dyDescent="0.25">
      <c r="A620" s="25">
        <v>44891</v>
      </c>
      <c r="B620" s="38">
        <v>0.875</v>
      </c>
      <c r="C620" s="1466" t="s">
        <v>4368</v>
      </c>
      <c r="D620" s="1467"/>
      <c r="E620" s="1467"/>
      <c r="F620" s="1467"/>
      <c r="G620" s="1467"/>
      <c r="H620" s="1467"/>
      <c r="I620" s="1467"/>
      <c r="J620" s="1467"/>
      <c r="K620" s="1467"/>
      <c r="L620" s="1467"/>
      <c r="M620" s="1467"/>
      <c r="N620" s="1467"/>
      <c r="O620" s="1467"/>
      <c r="P620" s="1467"/>
      <c r="Q620" s="1467"/>
      <c r="R620" s="1468"/>
      <c r="S620" s="26" t="s">
        <v>451</v>
      </c>
      <c r="T620" s="20" t="s">
        <v>4320</v>
      </c>
      <c r="U620" s="39"/>
    </row>
    <row r="621" spans="1:21" ht="39" customHeight="1" x14ac:dyDescent="0.25">
      <c r="A621" s="25">
        <v>44892</v>
      </c>
      <c r="B621" s="38">
        <v>0.91666666666666663</v>
      </c>
      <c r="C621" s="1466" t="s">
        <v>4374</v>
      </c>
      <c r="D621" s="1467"/>
      <c r="E621" s="1467"/>
      <c r="F621" s="1467"/>
      <c r="G621" s="1467"/>
      <c r="H621" s="1467"/>
      <c r="I621" s="1467"/>
      <c r="J621" s="1467"/>
      <c r="K621" s="1467"/>
      <c r="L621" s="1467"/>
      <c r="M621" s="1467"/>
      <c r="N621" s="1467"/>
      <c r="O621" s="1467"/>
      <c r="P621" s="1467"/>
      <c r="Q621" s="1467"/>
      <c r="R621" s="1468"/>
      <c r="S621" s="26" t="s">
        <v>451</v>
      </c>
      <c r="T621" s="20" t="s">
        <v>4320</v>
      </c>
      <c r="U621" s="39"/>
    </row>
    <row r="622" spans="1:21" ht="39" customHeight="1" x14ac:dyDescent="0.25">
      <c r="A622" s="25">
        <v>44893</v>
      </c>
      <c r="B622" s="38">
        <v>0.79166666666666663</v>
      </c>
      <c r="C622" s="246">
        <v>52</v>
      </c>
      <c r="D622" s="60">
        <v>12</v>
      </c>
      <c r="E622" s="247">
        <v>17.3</v>
      </c>
      <c r="F622" s="57">
        <v>901</v>
      </c>
      <c r="G622" s="57">
        <v>2476</v>
      </c>
      <c r="H622" s="57">
        <v>103</v>
      </c>
      <c r="I622" s="57">
        <v>105</v>
      </c>
      <c r="J622" s="57" t="s">
        <v>4385</v>
      </c>
      <c r="K622" s="60">
        <v>38.950000000000003</v>
      </c>
      <c r="L622" s="60">
        <v>43</v>
      </c>
      <c r="M622" s="60">
        <v>40.36</v>
      </c>
      <c r="N622" s="57" t="s">
        <v>142</v>
      </c>
      <c r="O622" s="57" t="s">
        <v>142</v>
      </c>
      <c r="P622" s="57" t="s">
        <v>142</v>
      </c>
      <c r="Q622" s="57" t="s">
        <v>4386</v>
      </c>
      <c r="R622" s="57">
        <v>73.900000000000006</v>
      </c>
      <c r="S622" s="26" t="s">
        <v>451</v>
      </c>
      <c r="T622" s="20" t="s">
        <v>4320</v>
      </c>
      <c r="U622" s="39"/>
    </row>
    <row r="623" spans="1:21" ht="39" customHeight="1" x14ac:dyDescent="0.25">
      <c r="A623" s="25">
        <v>44894</v>
      </c>
      <c r="B623" s="38">
        <v>0.89583333333333337</v>
      </c>
      <c r="C623" s="1466" t="s">
        <v>4390</v>
      </c>
      <c r="D623" s="1467"/>
      <c r="E623" s="1467"/>
      <c r="F623" s="1467"/>
      <c r="G623" s="1467"/>
      <c r="H623" s="1467"/>
      <c r="I623" s="1467"/>
      <c r="J623" s="1467"/>
      <c r="K623" s="1467"/>
      <c r="L623" s="1467"/>
      <c r="M623" s="1467"/>
      <c r="N623" s="1467"/>
      <c r="O623" s="1467"/>
      <c r="P623" s="1467"/>
      <c r="Q623" s="1467"/>
      <c r="R623" s="1468"/>
      <c r="S623" s="26" t="s">
        <v>451</v>
      </c>
      <c r="T623" s="20" t="s">
        <v>4320</v>
      </c>
      <c r="U623" s="39"/>
    </row>
    <row r="624" spans="1:21" ht="39" customHeight="1" x14ac:dyDescent="0.25">
      <c r="A624" s="25">
        <v>44895</v>
      </c>
      <c r="B624" s="38">
        <v>0.875</v>
      </c>
      <c r="C624" s="1466" t="s">
        <v>4398</v>
      </c>
      <c r="D624" s="1467"/>
      <c r="E624" s="1467"/>
      <c r="F624" s="1467"/>
      <c r="G624" s="1467"/>
      <c r="H624" s="1467"/>
      <c r="I624" s="1467"/>
      <c r="J624" s="1467"/>
      <c r="K624" s="1467"/>
      <c r="L624" s="1467"/>
      <c r="M624" s="1467"/>
      <c r="N624" s="1467"/>
      <c r="O624" s="1467"/>
      <c r="P624" s="1467"/>
      <c r="Q624" s="1467"/>
      <c r="R624" s="1468"/>
      <c r="S624" s="26" t="s">
        <v>451</v>
      </c>
      <c r="T624" s="20" t="s">
        <v>4320</v>
      </c>
      <c r="U624" s="39"/>
    </row>
    <row r="625" spans="1:21" ht="39" customHeight="1" x14ac:dyDescent="0.25">
      <c r="A625" s="25">
        <v>44896</v>
      </c>
      <c r="B625" s="38">
        <v>0.875</v>
      </c>
      <c r="C625" s="1466" t="s">
        <v>4405</v>
      </c>
      <c r="D625" s="1467"/>
      <c r="E625" s="1467"/>
      <c r="F625" s="1467"/>
      <c r="G625" s="1467"/>
      <c r="H625" s="1467"/>
      <c r="I625" s="1467"/>
      <c r="J625" s="1467"/>
      <c r="K625" s="1467"/>
      <c r="L625" s="1467"/>
      <c r="M625" s="1467"/>
      <c r="N625" s="1467"/>
      <c r="O625" s="1467"/>
      <c r="P625" s="1467"/>
      <c r="Q625" s="1467"/>
      <c r="R625" s="1468"/>
      <c r="S625" s="26" t="s">
        <v>451</v>
      </c>
      <c r="T625" s="20" t="s">
        <v>4320</v>
      </c>
      <c r="U625" s="39"/>
    </row>
    <row r="626" spans="1:21" ht="39" customHeight="1" x14ac:dyDescent="0.25">
      <c r="A626" s="25">
        <v>44897</v>
      </c>
      <c r="B626" s="38">
        <v>0.875</v>
      </c>
      <c r="C626" s="1466" t="s">
        <v>4408</v>
      </c>
      <c r="D626" s="1467"/>
      <c r="E626" s="1467"/>
      <c r="F626" s="1467"/>
      <c r="G626" s="1467"/>
      <c r="H626" s="1467"/>
      <c r="I626" s="1467"/>
      <c r="J626" s="1467"/>
      <c r="K626" s="1467"/>
      <c r="L626" s="1467"/>
      <c r="M626" s="1467"/>
      <c r="N626" s="1467"/>
      <c r="O626" s="1467"/>
      <c r="P626" s="1467"/>
      <c r="Q626" s="1467"/>
      <c r="R626" s="1468"/>
      <c r="S626" s="26" t="s">
        <v>451</v>
      </c>
      <c r="T626" s="20" t="s">
        <v>4320</v>
      </c>
      <c r="U626" s="39"/>
    </row>
    <row r="627" spans="1:21" ht="39" customHeight="1" x14ac:dyDescent="0.25">
      <c r="A627" s="25">
        <v>44898</v>
      </c>
      <c r="B627" s="38">
        <v>0.875</v>
      </c>
      <c r="C627" s="1466" t="s">
        <v>4416</v>
      </c>
      <c r="D627" s="1467"/>
      <c r="E627" s="1467"/>
      <c r="F627" s="1467"/>
      <c r="G627" s="1467"/>
      <c r="H627" s="1467"/>
      <c r="I627" s="1467"/>
      <c r="J627" s="1467"/>
      <c r="K627" s="1467"/>
      <c r="L627" s="1467"/>
      <c r="M627" s="1467"/>
      <c r="N627" s="1467"/>
      <c r="O627" s="1467"/>
      <c r="P627" s="1467"/>
      <c r="Q627" s="1467"/>
      <c r="R627" s="1468"/>
      <c r="S627" s="26" t="s">
        <v>451</v>
      </c>
      <c r="T627" s="20" t="s">
        <v>4320</v>
      </c>
      <c r="U627" s="39"/>
    </row>
    <row r="628" spans="1:21" ht="39" customHeight="1" x14ac:dyDescent="0.25">
      <c r="A628" s="25">
        <v>44899</v>
      </c>
      <c r="B628" s="38">
        <v>0.79166666666666663</v>
      </c>
      <c r="C628" s="1466" t="s">
        <v>4435</v>
      </c>
      <c r="D628" s="1467"/>
      <c r="E628" s="1467"/>
      <c r="F628" s="1467"/>
      <c r="G628" s="1467"/>
      <c r="H628" s="1467"/>
      <c r="I628" s="1467"/>
      <c r="J628" s="1467"/>
      <c r="K628" s="1467"/>
      <c r="L628" s="1467"/>
      <c r="M628" s="1467"/>
      <c r="N628" s="1467"/>
      <c r="O628" s="1467"/>
      <c r="P628" s="1467"/>
      <c r="Q628" s="1467"/>
      <c r="R628" s="1468"/>
      <c r="S628" s="26" t="s">
        <v>451</v>
      </c>
      <c r="T628" s="20" t="s">
        <v>4320</v>
      </c>
      <c r="U628" s="39"/>
    </row>
    <row r="629" spans="1:21" ht="39" customHeight="1" x14ac:dyDescent="0.25">
      <c r="A629" s="25">
        <v>44900</v>
      </c>
      <c r="B629" s="38">
        <v>0.79166666666666663</v>
      </c>
      <c r="C629" s="1466" t="s">
        <v>4448</v>
      </c>
      <c r="D629" s="1467"/>
      <c r="E629" s="1467"/>
      <c r="F629" s="1467"/>
      <c r="G629" s="1467"/>
      <c r="H629" s="1467"/>
      <c r="I629" s="1467"/>
      <c r="J629" s="1467"/>
      <c r="K629" s="1467"/>
      <c r="L629" s="1467"/>
      <c r="M629" s="1467"/>
      <c r="N629" s="1467"/>
      <c r="O629" s="1467"/>
      <c r="P629" s="1467"/>
      <c r="Q629" s="1467"/>
      <c r="R629" s="1468"/>
      <c r="S629" s="26" t="s">
        <v>451</v>
      </c>
      <c r="T629" s="20" t="s">
        <v>4320</v>
      </c>
      <c r="U629" s="39"/>
    </row>
    <row r="630" spans="1:21" ht="39" customHeight="1" x14ac:dyDescent="0.25">
      <c r="A630" s="25">
        <v>44901</v>
      </c>
      <c r="B630" s="38">
        <v>0.83333333333333337</v>
      </c>
      <c r="C630" s="1466" t="s">
        <v>4454</v>
      </c>
      <c r="D630" s="1467"/>
      <c r="E630" s="1467"/>
      <c r="F630" s="1467"/>
      <c r="G630" s="1467"/>
      <c r="H630" s="1467"/>
      <c r="I630" s="1467"/>
      <c r="J630" s="1467"/>
      <c r="K630" s="1467"/>
      <c r="L630" s="1467"/>
      <c r="M630" s="1467"/>
      <c r="N630" s="1467"/>
      <c r="O630" s="1467"/>
      <c r="P630" s="1467"/>
      <c r="Q630" s="1467"/>
      <c r="R630" s="1468"/>
      <c r="S630" s="26" t="s">
        <v>451</v>
      </c>
      <c r="T630" s="20" t="s">
        <v>4320</v>
      </c>
      <c r="U630" s="39"/>
    </row>
    <row r="631" spans="1:21" ht="39" customHeight="1" x14ac:dyDescent="0.25">
      <c r="A631" s="25">
        <v>44902</v>
      </c>
      <c r="B631" s="38">
        <v>0.83333333333333337</v>
      </c>
      <c r="C631" s="1466" t="s">
        <v>4458</v>
      </c>
      <c r="D631" s="1467"/>
      <c r="E631" s="1467"/>
      <c r="F631" s="1467"/>
      <c r="G631" s="1467"/>
      <c r="H631" s="1467"/>
      <c r="I631" s="1467"/>
      <c r="J631" s="1467"/>
      <c r="K631" s="1467"/>
      <c r="L631" s="1467"/>
      <c r="M631" s="1467"/>
      <c r="N631" s="1467"/>
      <c r="O631" s="1467"/>
      <c r="P631" s="1467"/>
      <c r="Q631" s="1467"/>
      <c r="R631" s="1468"/>
      <c r="S631" s="26" t="s">
        <v>451</v>
      </c>
      <c r="T631" s="20" t="s">
        <v>4320</v>
      </c>
      <c r="U631" s="39"/>
    </row>
    <row r="632" spans="1:21" ht="39" customHeight="1" x14ac:dyDescent="0.25">
      <c r="A632" s="25">
        <v>44903</v>
      </c>
      <c r="B632" s="38">
        <v>0.83333333333333337</v>
      </c>
      <c r="C632" s="1466" t="s">
        <v>4468</v>
      </c>
      <c r="D632" s="1467"/>
      <c r="E632" s="1467"/>
      <c r="F632" s="1467"/>
      <c r="G632" s="1467"/>
      <c r="H632" s="1467"/>
      <c r="I632" s="1467"/>
      <c r="J632" s="1467"/>
      <c r="K632" s="1467"/>
      <c r="L632" s="1467"/>
      <c r="M632" s="1467"/>
      <c r="N632" s="1467"/>
      <c r="O632" s="1467"/>
      <c r="P632" s="1467"/>
      <c r="Q632" s="1467"/>
      <c r="R632" s="1468"/>
      <c r="S632" s="26" t="s">
        <v>451</v>
      </c>
      <c r="T632" s="20" t="s">
        <v>4320</v>
      </c>
      <c r="U632" s="39"/>
    </row>
    <row r="633" spans="1:21" ht="39" customHeight="1" x14ac:dyDescent="0.25">
      <c r="A633" s="25">
        <v>44904</v>
      </c>
      <c r="B633" s="38">
        <v>0.95833333333333337</v>
      </c>
      <c r="C633" s="246">
        <v>52</v>
      </c>
      <c r="D633" s="60">
        <v>12.4</v>
      </c>
      <c r="E633" s="247">
        <v>17.600000000000001</v>
      </c>
      <c r="F633" s="57">
        <v>891</v>
      </c>
      <c r="G633" s="57">
        <v>2433</v>
      </c>
      <c r="H633" s="57">
        <v>102.8</v>
      </c>
      <c r="I633" s="57">
        <v>104.2</v>
      </c>
      <c r="J633" s="57" t="s">
        <v>4472</v>
      </c>
      <c r="K633" s="60">
        <v>36.03</v>
      </c>
      <c r="L633" s="60">
        <v>39</v>
      </c>
      <c r="M633" s="60">
        <v>47.01</v>
      </c>
      <c r="N633" s="57" t="s">
        <v>142</v>
      </c>
      <c r="O633" s="57" t="s">
        <v>142</v>
      </c>
      <c r="P633" s="57" t="s">
        <v>142</v>
      </c>
      <c r="Q633" s="57" t="s">
        <v>1995</v>
      </c>
      <c r="R633" s="57">
        <v>75.2</v>
      </c>
      <c r="S633" s="26" t="s">
        <v>451</v>
      </c>
      <c r="T633" s="20" t="s">
        <v>4320</v>
      </c>
      <c r="U633" s="39"/>
    </row>
    <row r="634" spans="1:21" ht="39" customHeight="1" x14ac:dyDescent="0.25">
      <c r="A634" s="25">
        <v>44905</v>
      </c>
      <c r="B634" s="38">
        <v>0.83333333333333337</v>
      </c>
      <c r="C634" s="246">
        <v>52</v>
      </c>
      <c r="D634" s="60">
        <v>11.9</v>
      </c>
      <c r="E634" s="247">
        <v>17.2</v>
      </c>
      <c r="F634" s="57">
        <v>874</v>
      </c>
      <c r="G634" s="57">
        <v>2458</v>
      </c>
      <c r="H634" s="57">
        <v>103.8</v>
      </c>
      <c r="I634" s="57">
        <v>105.9</v>
      </c>
      <c r="J634" s="57" t="s">
        <v>4485</v>
      </c>
      <c r="K634" s="60">
        <v>37.590000000000003</v>
      </c>
      <c r="L634" s="60">
        <v>38</v>
      </c>
      <c r="M634" s="60">
        <v>43.42</v>
      </c>
      <c r="N634" s="57" t="s">
        <v>142</v>
      </c>
      <c r="O634" s="57" t="s">
        <v>142</v>
      </c>
      <c r="P634" s="57" t="s">
        <v>142</v>
      </c>
      <c r="Q634" s="57" t="s">
        <v>4486</v>
      </c>
      <c r="R634" s="57">
        <v>73.5</v>
      </c>
      <c r="S634" s="26" t="s">
        <v>451</v>
      </c>
      <c r="T634" s="20" t="s">
        <v>4320</v>
      </c>
      <c r="U634" s="39"/>
    </row>
    <row r="635" spans="1:21" ht="39" customHeight="1" x14ac:dyDescent="0.25">
      <c r="A635" s="25">
        <v>44906</v>
      </c>
      <c r="B635" s="38">
        <v>0.83333333333333337</v>
      </c>
      <c r="C635" s="1466" t="s">
        <v>4489</v>
      </c>
      <c r="D635" s="1467"/>
      <c r="E635" s="1467"/>
      <c r="F635" s="1467"/>
      <c r="G635" s="1467"/>
      <c r="H635" s="1467"/>
      <c r="I635" s="1467"/>
      <c r="J635" s="1467"/>
      <c r="K635" s="1467"/>
      <c r="L635" s="1467"/>
      <c r="M635" s="1467"/>
      <c r="N635" s="1467"/>
      <c r="O635" s="1467"/>
      <c r="P635" s="1467"/>
      <c r="Q635" s="1467"/>
      <c r="R635" s="1468"/>
      <c r="S635" s="26" t="s">
        <v>451</v>
      </c>
      <c r="T635" s="20" t="s">
        <v>4320</v>
      </c>
      <c r="U635" s="39"/>
    </row>
    <row r="636" spans="1:21" ht="39" customHeight="1" x14ac:dyDescent="0.25">
      <c r="A636" s="25">
        <v>44907</v>
      </c>
      <c r="B636" s="38">
        <v>0.875</v>
      </c>
      <c r="C636" s="1466" t="s">
        <v>4495</v>
      </c>
      <c r="D636" s="1467"/>
      <c r="E636" s="1467"/>
      <c r="F636" s="1467"/>
      <c r="G636" s="1467"/>
      <c r="H636" s="1467"/>
      <c r="I636" s="1467"/>
      <c r="J636" s="1467"/>
      <c r="K636" s="1467"/>
      <c r="L636" s="1467"/>
      <c r="M636" s="1467"/>
      <c r="N636" s="1467"/>
      <c r="O636" s="1467"/>
      <c r="P636" s="1467"/>
      <c r="Q636" s="1467"/>
      <c r="R636" s="1468"/>
      <c r="S636" s="26" t="s">
        <v>451</v>
      </c>
      <c r="T636" s="20" t="s">
        <v>4320</v>
      </c>
      <c r="U636" s="39"/>
    </row>
    <row r="637" spans="1:21" ht="39" customHeight="1" x14ac:dyDescent="0.25">
      <c r="A637" s="25">
        <v>44908</v>
      </c>
      <c r="B637" s="38">
        <v>0.875</v>
      </c>
      <c r="C637" s="1466" t="s">
        <v>4499</v>
      </c>
      <c r="D637" s="1467"/>
      <c r="E637" s="1467"/>
      <c r="F637" s="1467"/>
      <c r="G637" s="1467"/>
      <c r="H637" s="1467"/>
      <c r="I637" s="1467"/>
      <c r="J637" s="1467"/>
      <c r="K637" s="1467"/>
      <c r="L637" s="1467"/>
      <c r="M637" s="1467"/>
      <c r="N637" s="1467"/>
      <c r="O637" s="1467"/>
      <c r="P637" s="1467"/>
      <c r="Q637" s="1467"/>
      <c r="R637" s="1468"/>
      <c r="S637" s="26" t="s">
        <v>451</v>
      </c>
      <c r="T637" s="20" t="s">
        <v>4320</v>
      </c>
      <c r="U637" s="39"/>
    </row>
    <row r="638" spans="1:21" ht="39" customHeight="1" x14ac:dyDescent="0.25">
      <c r="A638" s="25">
        <v>44909</v>
      </c>
      <c r="B638" s="38">
        <v>0.91666666666666663</v>
      </c>
      <c r="C638" s="1466" t="s">
        <v>4509</v>
      </c>
      <c r="D638" s="1467"/>
      <c r="E638" s="1467"/>
      <c r="F638" s="1467"/>
      <c r="G638" s="1467"/>
      <c r="H638" s="1467"/>
      <c r="I638" s="1467"/>
      <c r="J638" s="1467"/>
      <c r="K638" s="1467"/>
      <c r="L638" s="1467"/>
      <c r="M638" s="1467"/>
      <c r="N638" s="1467"/>
      <c r="O638" s="1467"/>
      <c r="P638" s="1467"/>
      <c r="Q638" s="1467"/>
      <c r="R638" s="1468"/>
      <c r="S638" s="26" t="s">
        <v>451</v>
      </c>
      <c r="T638" s="20" t="s">
        <v>4320</v>
      </c>
      <c r="U638" s="39"/>
    </row>
    <row r="639" spans="1:21" ht="39" customHeight="1" x14ac:dyDescent="0.25">
      <c r="A639" s="25">
        <v>44910</v>
      </c>
      <c r="B639" s="38">
        <v>0.91666666666666663</v>
      </c>
      <c r="C639" s="1466" t="s">
        <v>4510</v>
      </c>
      <c r="D639" s="1467"/>
      <c r="E639" s="1467"/>
      <c r="F639" s="1467"/>
      <c r="G639" s="1467"/>
      <c r="H639" s="1467"/>
      <c r="I639" s="1467"/>
      <c r="J639" s="1467"/>
      <c r="K639" s="1467"/>
      <c r="L639" s="1467"/>
      <c r="M639" s="1467"/>
      <c r="N639" s="1467"/>
      <c r="O639" s="1467"/>
      <c r="P639" s="1467"/>
      <c r="Q639" s="1467"/>
      <c r="R639" s="1468"/>
      <c r="S639" s="26" t="s">
        <v>451</v>
      </c>
      <c r="T639" s="20" t="s">
        <v>4320</v>
      </c>
      <c r="U639" s="39"/>
    </row>
    <row r="640" spans="1:21" ht="39" customHeight="1" x14ac:dyDescent="0.25">
      <c r="A640" s="25">
        <v>44911</v>
      </c>
      <c r="B640" s="38">
        <v>0.91666666666666663</v>
      </c>
      <c r="C640" s="246">
        <v>52</v>
      </c>
      <c r="D640" s="60">
        <v>12.9</v>
      </c>
      <c r="E640" s="247">
        <v>17.899999999999999</v>
      </c>
      <c r="F640" s="57">
        <v>1008</v>
      </c>
      <c r="G640" s="57">
        <v>2459</v>
      </c>
      <c r="H640" s="57">
        <v>102.7</v>
      </c>
      <c r="I640" s="57">
        <v>103.6</v>
      </c>
      <c r="J640" s="57" t="s">
        <v>4526</v>
      </c>
      <c r="K640" s="60">
        <v>37.159999999999997</v>
      </c>
      <c r="L640" s="60">
        <v>38</v>
      </c>
      <c r="M640" s="60">
        <v>41.62</v>
      </c>
      <c r="N640" s="57" t="s">
        <v>142</v>
      </c>
      <c r="O640" s="57" t="s">
        <v>142</v>
      </c>
      <c r="P640" s="57" t="s">
        <v>142</v>
      </c>
      <c r="Q640" s="57" t="s">
        <v>4527</v>
      </c>
      <c r="R640" s="57">
        <v>76.400000000000006</v>
      </c>
      <c r="S640" s="26" t="s">
        <v>451</v>
      </c>
      <c r="T640" s="20" t="s">
        <v>4320</v>
      </c>
      <c r="U640" s="39"/>
    </row>
    <row r="641" spans="1:21" ht="39" customHeight="1" x14ac:dyDescent="0.25">
      <c r="A641" s="25">
        <v>44912</v>
      </c>
      <c r="B641" s="38">
        <v>0.91666666666666663</v>
      </c>
      <c r="C641" s="246">
        <v>52</v>
      </c>
      <c r="D641" s="60">
        <v>12.1</v>
      </c>
      <c r="E641" s="247">
        <v>17.2</v>
      </c>
      <c r="F641" s="57">
        <v>876</v>
      </c>
      <c r="G641" s="57">
        <v>2459</v>
      </c>
      <c r="H641" s="57">
        <v>103.6</v>
      </c>
      <c r="I641" s="57">
        <v>105.5</v>
      </c>
      <c r="J641" s="57" t="s">
        <v>4533</v>
      </c>
      <c r="K641" s="60">
        <v>34.090000000000003</v>
      </c>
      <c r="L641" s="60">
        <v>37</v>
      </c>
      <c r="M641" s="60">
        <v>43.84</v>
      </c>
      <c r="N641" s="57" t="s">
        <v>142</v>
      </c>
      <c r="O641" s="57" t="s">
        <v>142</v>
      </c>
      <c r="P641" s="57" t="s">
        <v>142</v>
      </c>
      <c r="Q641" s="57" t="s">
        <v>4534</v>
      </c>
      <c r="R641" s="57">
        <v>73.5</v>
      </c>
      <c r="S641" s="26" t="s">
        <v>451</v>
      </c>
      <c r="T641" s="20" t="s">
        <v>4320</v>
      </c>
      <c r="U641" s="39"/>
    </row>
    <row r="642" spans="1:21" ht="39" customHeight="1" x14ac:dyDescent="0.25">
      <c r="A642" s="25">
        <v>44913</v>
      </c>
      <c r="B642" s="38">
        <v>0.91666666666666663</v>
      </c>
      <c r="C642" s="1466" t="s">
        <v>4548</v>
      </c>
      <c r="D642" s="1467"/>
      <c r="E642" s="1467"/>
      <c r="F642" s="1467"/>
      <c r="G642" s="1467"/>
      <c r="H642" s="1467"/>
      <c r="I642" s="1467"/>
      <c r="J642" s="1467"/>
      <c r="K642" s="1467"/>
      <c r="L642" s="1467"/>
      <c r="M642" s="1467"/>
      <c r="N642" s="1467"/>
      <c r="O642" s="1467"/>
      <c r="P642" s="1467"/>
      <c r="Q642" s="1467"/>
      <c r="R642" s="1468"/>
      <c r="S642" s="26" t="s">
        <v>451</v>
      </c>
      <c r="T642" s="20" t="s">
        <v>4320</v>
      </c>
      <c r="U642" s="39"/>
    </row>
    <row r="643" spans="1:21" ht="39" customHeight="1" x14ac:dyDescent="0.25">
      <c r="A643" s="25">
        <v>44914</v>
      </c>
      <c r="B643" s="38">
        <v>0.91666666666666663</v>
      </c>
      <c r="C643" s="1466" t="s">
        <v>4568</v>
      </c>
      <c r="D643" s="1467"/>
      <c r="E643" s="1467"/>
      <c r="F643" s="1467"/>
      <c r="G643" s="1467"/>
      <c r="H643" s="1467"/>
      <c r="I643" s="1467"/>
      <c r="J643" s="1467"/>
      <c r="K643" s="1467"/>
      <c r="L643" s="1467"/>
      <c r="M643" s="1467"/>
      <c r="N643" s="1467"/>
      <c r="O643" s="1467"/>
      <c r="P643" s="1467"/>
      <c r="Q643" s="1467"/>
      <c r="R643" s="1468"/>
      <c r="S643" s="26" t="s">
        <v>451</v>
      </c>
      <c r="T643" s="20" t="s">
        <v>4320</v>
      </c>
      <c r="U643" s="39"/>
    </row>
    <row r="644" spans="1:21" ht="39" customHeight="1" x14ac:dyDescent="0.25">
      <c r="A644" s="25">
        <v>44915</v>
      </c>
      <c r="B644" s="38">
        <v>0.91666666666666663</v>
      </c>
      <c r="C644" s="1466" t="s">
        <v>4567</v>
      </c>
      <c r="D644" s="1467"/>
      <c r="E644" s="1467"/>
      <c r="F644" s="1467"/>
      <c r="G644" s="1467"/>
      <c r="H644" s="1467"/>
      <c r="I644" s="1467"/>
      <c r="J644" s="1467"/>
      <c r="K644" s="1467"/>
      <c r="L644" s="1467"/>
      <c r="M644" s="1467"/>
      <c r="N644" s="1467"/>
      <c r="O644" s="1467"/>
      <c r="P644" s="1467"/>
      <c r="Q644" s="1467"/>
      <c r="R644" s="1468"/>
      <c r="S644" s="26" t="s">
        <v>451</v>
      </c>
      <c r="T644" s="20" t="s">
        <v>4320</v>
      </c>
      <c r="U644" s="39"/>
    </row>
    <row r="645" spans="1:21" ht="39" customHeight="1" x14ac:dyDescent="0.25">
      <c r="A645" s="25">
        <v>44916</v>
      </c>
      <c r="B645" s="38">
        <v>0.91666666666666663</v>
      </c>
      <c r="C645" s="1466" t="s">
        <v>4572</v>
      </c>
      <c r="D645" s="1467"/>
      <c r="E645" s="1467"/>
      <c r="F645" s="1467"/>
      <c r="G645" s="1467"/>
      <c r="H645" s="1467"/>
      <c r="I645" s="1467"/>
      <c r="J645" s="1467"/>
      <c r="K645" s="1467"/>
      <c r="L645" s="1467"/>
      <c r="M645" s="1467"/>
      <c r="N645" s="1467"/>
      <c r="O645" s="1467"/>
      <c r="P645" s="1467"/>
      <c r="Q645" s="1467"/>
      <c r="R645" s="1468"/>
      <c r="S645" s="26" t="s">
        <v>451</v>
      </c>
      <c r="T645" s="20" t="s">
        <v>4320</v>
      </c>
      <c r="U645" s="39"/>
    </row>
    <row r="646" spans="1:21" ht="39" customHeight="1" x14ac:dyDescent="0.25">
      <c r="A646" s="25">
        <v>44917</v>
      </c>
      <c r="B646" s="38">
        <v>0.91666666666666663</v>
      </c>
      <c r="C646" s="1466" t="s">
        <v>4572</v>
      </c>
      <c r="D646" s="1467"/>
      <c r="E646" s="1467"/>
      <c r="F646" s="1467"/>
      <c r="G646" s="1467"/>
      <c r="H646" s="1467"/>
      <c r="I646" s="1467"/>
      <c r="J646" s="1467"/>
      <c r="K646" s="1467"/>
      <c r="L646" s="1467"/>
      <c r="M646" s="1467"/>
      <c r="N646" s="1467"/>
      <c r="O646" s="1467"/>
      <c r="P646" s="1467"/>
      <c r="Q646" s="1467"/>
      <c r="R646" s="1468"/>
      <c r="S646" s="26" t="s">
        <v>451</v>
      </c>
      <c r="T646" s="20" t="s">
        <v>4320</v>
      </c>
      <c r="U646" s="39"/>
    </row>
    <row r="647" spans="1:21" ht="39" customHeight="1" x14ac:dyDescent="0.25">
      <c r="A647" s="25">
        <v>44918</v>
      </c>
      <c r="B647" s="38">
        <v>0.875</v>
      </c>
      <c r="C647" s="1466" t="s">
        <v>4593</v>
      </c>
      <c r="D647" s="1467"/>
      <c r="E647" s="1467"/>
      <c r="F647" s="1467"/>
      <c r="G647" s="1467"/>
      <c r="H647" s="1467"/>
      <c r="I647" s="1467"/>
      <c r="J647" s="1467"/>
      <c r="K647" s="1467"/>
      <c r="L647" s="1467"/>
      <c r="M647" s="1467"/>
      <c r="N647" s="1467"/>
      <c r="O647" s="1467"/>
      <c r="P647" s="1467"/>
      <c r="Q647" s="1467"/>
      <c r="R647" s="1468"/>
      <c r="S647" s="26" t="s">
        <v>451</v>
      </c>
      <c r="T647" s="20" t="s">
        <v>4320</v>
      </c>
      <c r="U647" s="39"/>
    </row>
    <row r="648" spans="1:21" ht="39" customHeight="1" x14ac:dyDescent="0.25">
      <c r="A648" s="25">
        <v>44919</v>
      </c>
      <c r="B648" s="38">
        <v>0.875</v>
      </c>
      <c r="C648" s="1466" t="s">
        <v>4592</v>
      </c>
      <c r="D648" s="1467"/>
      <c r="E648" s="1467"/>
      <c r="F648" s="1467"/>
      <c r="G648" s="1467"/>
      <c r="H648" s="1467"/>
      <c r="I648" s="1467"/>
      <c r="J648" s="1467"/>
      <c r="K648" s="1467"/>
      <c r="L648" s="1467"/>
      <c r="M648" s="1467"/>
      <c r="N648" s="1467"/>
      <c r="O648" s="1467"/>
      <c r="P648" s="1467"/>
      <c r="Q648" s="1467"/>
      <c r="R648" s="1468"/>
      <c r="S648" s="26" t="s">
        <v>451</v>
      </c>
      <c r="T648" s="20" t="s">
        <v>4320</v>
      </c>
      <c r="U648" s="39"/>
    </row>
    <row r="649" spans="1:21" ht="39" customHeight="1" x14ac:dyDescent="0.25">
      <c r="A649" s="25">
        <v>44920</v>
      </c>
      <c r="B649" s="38">
        <v>0.875</v>
      </c>
      <c r="C649" s="1466" t="s">
        <v>4592</v>
      </c>
      <c r="D649" s="1467"/>
      <c r="E649" s="1467"/>
      <c r="F649" s="1467"/>
      <c r="G649" s="1467"/>
      <c r="H649" s="1467"/>
      <c r="I649" s="1467"/>
      <c r="J649" s="1467"/>
      <c r="K649" s="1467"/>
      <c r="L649" s="1467"/>
      <c r="M649" s="1467"/>
      <c r="N649" s="1467"/>
      <c r="O649" s="1467"/>
      <c r="P649" s="1467"/>
      <c r="Q649" s="1467"/>
      <c r="R649" s="1468"/>
      <c r="S649" s="26" t="s">
        <v>451</v>
      </c>
      <c r="T649" s="20" t="s">
        <v>4320</v>
      </c>
      <c r="U649" s="39"/>
    </row>
    <row r="650" spans="1:21" ht="39" customHeight="1" x14ac:dyDescent="0.25">
      <c r="A650" s="25">
        <v>44921</v>
      </c>
      <c r="B650" s="38">
        <v>0.875</v>
      </c>
      <c r="C650" s="1466" t="s">
        <v>4592</v>
      </c>
      <c r="D650" s="1467"/>
      <c r="E650" s="1467"/>
      <c r="F650" s="1467"/>
      <c r="G650" s="1467"/>
      <c r="H650" s="1467"/>
      <c r="I650" s="1467"/>
      <c r="J650" s="1467"/>
      <c r="K650" s="1467"/>
      <c r="L650" s="1467"/>
      <c r="M650" s="1467"/>
      <c r="N650" s="1467"/>
      <c r="O650" s="1467"/>
      <c r="P650" s="1467"/>
      <c r="Q650" s="1467"/>
      <c r="R650" s="1468"/>
      <c r="S650" s="26" t="s">
        <v>451</v>
      </c>
      <c r="T650" s="20" t="s">
        <v>4320</v>
      </c>
      <c r="U650" s="39"/>
    </row>
    <row r="651" spans="1:21" ht="39" customHeight="1" x14ac:dyDescent="0.25">
      <c r="A651" s="25">
        <v>44922</v>
      </c>
      <c r="B651" s="38">
        <v>0.9375</v>
      </c>
      <c r="C651" s="246">
        <v>52</v>
      </c>
      <c r="D651" s="60">
        <v>12.2</v>
      </c>
      <c r="E651" s="247">
        <v>17.399999999999999</v>
      </c>
      <c r="F651" s="57">
        <v>1098</v>
      </c>
      <c r="G651" s="57">
        <v>2379</v>
      </c>
      <c r="H651" s="57">
        <v>102.5</v>
      </c>
      <c r="I651" s="57">
        <v>103.2</v>
      </c>
      <c r="J651" s="57" t="s">
        <v>4610</v>
      </c>
      <c r="K651" s="60">
        <v>36.4</v>
      </c>
      <c r="L651" s="60">
        <v>37</v>
      </c>
      <c r="M651" s="60">
        <v>41.7</v>
      </c>
      <c r="N651" s="57" t="s">
        <v>142</v>
      </c>
      <c r="O651" s="57" t="s">
        <v>142</v>
      </c>
      <c r="P651" s="57" t="s">
        <v>142</v>
      </c>
      <c r="Q651" s="57" t="s">
        <v>4611</v>
      </c>
      <c r="R651" s="57">
        <v>74.3</v>
      </c>
      <c r="S651" s="26" t="s">
        <v>451</v>
      </c>
      <c r="T651" s="20" t="s">
        <v>4320</v>
      </c>
      <c r="U651" s="39"/>
    </row>
    <row r="652" spans="1:21" ht="39" customHeight="1" x14ac:dyDescent="0.25">
      <c r="A652" s="25">
        <v>44923</v>
      </c>
      <c r="B652" s="38">
        <v>0.91666666666666663</v>
      </c>
      <c r="C652" s="246">
        <v>52</v>
      </c>
      <c r="D652" s="60">
        <v>11.8</v>
      </c>
      <c r="E652" s="247">
        <v>17.100000000000001</v>
      </c>
      <c r="F652" s="57">
        <v>885</v>
      </c>
      <c r="G652" s="57">
        <v>2499</v>
      </c>
      <c r="H652" s="57">
        <v>103.5</v>
      </c>
      <c r="I652" s="57">
        <v>104.6</v>
      </c>
      <c r="J652" s="57" t="s">
        <v>4628</v>
      </c>
      <c r="K652" s="60">
        <v>40.9</v>
      </c>
      <c r="L652" s="60">
        <v>39</v>
      </c>
      <c r="M652" s="60">
        <v>43.65</v>
      </c>
      <c r="N652" s="57" t="s">
        <v>142</v>
      </c>
      <c r="O652" s="57" t="s">
        <v>142</v>
      </c>
      <c r="P652" s="57" t="s">
        <v>142</v>
      </c>
      <c r="Q652" s="57" t="s">
        <v>4330</v>
      </c>
      <c r="R652" s="57">
        <v>73</v>
      </c>
      <c r="S652" s="26" t="s">
        <v>451</v>
      </c>
      <c r="T652" s="20" t="s">
        <v>4320</v>
      </c>
      <c r="U652" s="39" t="s">
        <v>415</v>
      </c>
    </row>
    <row r="653" spans="1:21" ht="39" customHeight="1" x14ac:dyDescent="0.25">
      <c r="A653" s="25">
        <v>44924</v>
      </c>
      <c r="B653" s="38">
        <v>0.875</v>
      </c>
      <c r="C653" s="1466" t="s">
        <v>4636</v>
      </c>
      <c r="D653" s="1467"/>
      <c r="E653" s="1467"/>
      <c r="F653" s="1467"/>
      <c r="G653" s="1467"/>
      <c r="H653" s="1467"/>
      <c r="I653" s="1467"/>
      <c r="J653" s="1467"/>
      <c r="K653" s="1467"/>
      <c r="L653" s="1467"/>
      <c r="M653" s="1467"/>
      <c r="N653" s="1467"/>
      <c r="O653" s="1467"/>
      <c r="P653" s="1467"/>
      <c r="Q653" s="1467"/>
      <c r="R653" s="1468"/>
      <c r="S653" s="26" t="s">
        <v>451</v>
      </c>
      <c r="T653" s="20" t="s">
        <v>4320</v>
      </c>
      <c r="U653" s="39"/>
    </row>
    <row r="654" spans="1:21" ht="39" customHeight="1" x14ac:dyDescent="0.25">
      <c r="A654" s="25">
        <v>44925</v>
      </c>
      <c r="B654" s="38">
        <v>0.875</v>
      </c>
      <c r="C654" s="1466" t="s">
        <v>4643</v>
      </c>
      <c r="D654" s="1467"/>
      <c r="E654" s="1467"/>
      <c r="F654" s="1467"/>
      <c r="G654" s="1467"/>
      <c r="H654" s="1467"/>
      <c r="I654" s="1467"/>
      <c r="J654" s="1467"/>
      <c r="K654" s="1467"/>
      <c r="L654" s="1467"/>
      <c r="M654" s="1467"/>
      <c r="N654" s="1467"/>
      <c r="O654" s="1467"/>
      <c r="P654" s="1467"/>
      <c r="Q654" s="1467"/>
      <c r="R654" s="1468"/>
      <c r="S654" s="26" t="s">
        <v>451</v>
      </c>
      <c r="T654" s="20" t="s">
        <v>4320</v>
      </c>
      <c r="U654" s="39"/>
    </row>
    <row r="655" spans="1:21" ht="39" customHeight="1" x14ac:dyDescent="0.25">
      <c r="A655" s="25">
        <v>44926</v>
      </c>
      <c r="B655" s="38">
        <v>0.875</v>
      </c>
      <c r="C655" s="1466" t="s">
        <v>4659</v>
      </c>
      <c r="D655" s="1467"/>
      <c r="E655" s="1467"/>
      <c r="F655" s="1467"/>
      <c r="G655" s="1467"/>
      <c r="H655" s="1467"/>
      <c r="I655" s="1467"/>
      <c r="J655" s="1467"/>
      <c r="K655" s="1467"/>
      <c r="L655" s="1467"/>
      <c r="M655" s="1467"/>
      <c r="N655" s="1467"/>
      <c r="O655" s="1467"/>
      <c r="P655" s="1467"/>
      <c r="Q655" s="1467"/>
      <c r="R655" s="1468"/>
      <c r="S655" s="26" t="s">
        <v>451</v>
      </c>
      <c r="T655" s="20" t="s">
        <v>4320</v>
      </c>
      <c r="U655" s="39"/>
    </row>
    <row r="656" spans="1:21" ht="39" customHeight="1" x14ac:dyDescent="0.25">
      <c r="A656" s="25">
        <v>44927</v>
      </c>
      <c r="B656" s="38">
        <v>0.875</v>
      </c>
      <c r="C656" s="1466" t="s">
        <v>4665</v>
      </c>
      <c r="D656" s="1467"/>
      <c r="E656" s="1467"/>
      <c r="F656" s="1467"/>
      <c r="G656" s="1467"/>
      <c r="H656" s="1467"/>
      <c r="I656" s="1467"/>
      <c r="J656" s="1467"/>
      <c r="K656" s="1467"/>
      <c r="L656" s="1467"/>
      <c r="M656" s="1467"/>
      <c r="N656" s="1467"/>
      <c r="O656" s="1467"/>
      <c r="P656" s="1467"/>
      <c r="Q656" s="1467"/>
      <c r="R656" s="1468"/>
      <c r="S656" s="26" t="s">
        <v>451</v>
      </c>
      <c r="T656" s="20" t="s">
        <v>4320</v>
      </c>
      <c r="U656" s="39"/>
    </row>
    <row r="657" spans="1:21" ht="39" customHeight="1" x14ac:dyDescent="0.25">
      <c r="A657" s="25">
        <v>44928</v>
      </c>
      <c r="B657" s="38">
        <v>0.875</v>
      </c>
      <c r="C657" s="1466" t="s">
        <v>4665</v>
      </c>
      <c r="D657" s="1467"/>
      <c r="E657" s="1467"/>
      <c r="F657" s="1467"/>
      <c r="G657" s="1467"/>
      <c r="H657" s="1467"/>
      <c r="I657" s="1467"/>
      <c r="J657" s="1467"/>
      <c r="K657" s="1467"/>
      <c r="L657" s="1467"/>
      <c r="M657" s="1467"/>
      <c r="N657" s="1467"/>
      <c r="O657" s="1467"/>
      <c r="P657" s="1467"/>
      <c r="Q657" s="1467"/>
      <c r="R657" s="1468"/>
      <c r="S657" s="26" t="s">
        <v>451</v>
      </c>
      <c r="T657" s="20" t="s">
        <v>4320</v>
      </c>
      <c r="U657" s="39"/>
    </row>
    <row r="658" spans="1:21" ht="39" customHeight="1" x14ac:dyDescent="0.25">
      <c r="A658" s="25">
        <v>44929</v>
      </c>
      <c r="B658" s="38">
        <v>0.875</v>
      </c>
      <c r="C658" s="1466" t="s">
        <v>4681</v>
      </c>
      <c r="D658" s="1467"/>
      <c r="E658" s="1467"/>
      <c r="F658" s="1467"/>
      <c r="G658" s="1467"/>
      <c r="H658" s="1467"/>
      <c r="I658" s="1467"/>
      <c r="J658" s="1467"/>
      <c r="K658" s="1467"/>
      <c r="L658" s="1467"/>
      <c r="M658" s="1467"/>
      <c r="N658" s="1467"/>
      <c r="O658" s="1467"/>
      <c r="P658" s="1467"/>
      <c r="Q658" s="1467"/>
      <c r="R658" s="1468"/>
      <c r="S658" s="26" t="s">
        <v>451</v>
      </c>
      <c r="T658" s="20" t="s">
        <v>4320</v>
      </c>
      <c r="U658" s="39"/>
    </row>
    <row r="659" spans="1:21" ht="39" customHeight="1" x14ac:dyDescent="0.25">
      <c r="A659" s="25">
        <v>44930</v>
      </c>
      <c r="B659" s="38">
        <v>0.91666666666666663</v>
      </c>
      <c r="C659" s="1466" t="s">
        <v>4684</v>
      </c>
      <c r="D659" s="1467"/>
      <c r="E659" s="1467"/>
      <c r="F659" s="1467"/>
      <c r="G659" s="1467"/>
      <c r="H659" s="1467"/>
      <c r="I659" s="1467"/>
      <c r="J659" s="1467"/>
      <c r="K659" s="1467"/>
      <c r="L659" s="1467"/>
      <c r="M659" s="1467"/>
      <c r="N659" s="1467"/>
      <c r="O659" s="1467"/>
      <c r="P659" s="1467"/>
      <c r="Q659" s="1467"/>
      <c r="R659" s="1468"/>
      <c r="S659" s="26" t="s">
        <v>451</v>
      </c>
      <c r="T659" s="20" t="s">
        <v>4320</v>
      </c>
      <c r="U659" s="39"/>
    </row>
    <row r="660" spans="1:21" ht="39" customHeight="1" x14ac:dyDescent="0.25">
      <c r="A660" s="25">
        <v>44931</v>
      </c>
      <c r="B660" s="38">
        <v>0.91666666666666663</v>
      </c>
      <c r="C660" s="246">
        <v>52</v>
      </c>
      <c r="D660" s="60">
        <v>13</v>
      </c>
      <c r="E660" s="247">
        <v>18</v>
      </c>
      <c r="F660" s="57">
        <v>932</v>
      </c>
      <c r="G660" s="57">
        <v>2494</v>
      </c>
      <c r="H660" s="57">
        <v>102.7</v>
      </c>
      <c r="I660" s="57">
        <v>103.4</v>
      </c>
      <c r="J660" s="57" t="s">
        <v>4697</v>
      </c>
      <c r="K660" s="60">
        <v>37.799999999999997</v>
      </c>
      <c r="L660" s="60">
        <v>39</v>
      </c>
      <c r="M660" s="60">
        <v>47.17</v>
      </c>
      <c r="N660" s="57" t="s">
        <v>142</v>
      </c>
      <c r="O660" s="57" t="s">
        <v>142</v>
      </c>
      <c r="P660" s="57" t="s">
        <v>142</v>
      </c>
      <c r="Q660" s="57" t="s">
        <v>4698</v>
      </c>
      <c r="R660" s="57">
        <v>76.900000000000006</v>
      </c>
      <c r="S660" s="26" t="s">
        <v>451</v>
      </c>
      <c r="T660" s="20" t="s">
        <v>4320</v>
      </c>
      <c r="U660" s="39"/>
    </row>
    <row r="661" spans="1:21" ht="39" customHeight="1" x14ac:dyDescent="0.25">
      <c r="A661" s="25">
        <v>44932</v>
      </c>
      <c r="B661" s="38">
        <v>0.91666666666666663</v>
      </c>
      <c r="C661" s="246">
        <v>52</v>
      </c>
      <c r="D661" s="60">
        <v>12</v>
      </c>
      <c r="E661" s="247">
        <v>17.3</v>
      </c>
      <c r="F661" s="57">
        <v>874</v>
      </c>
      <c r="G661" s="57">
        <v>2470</v>
      </c>
      <c r="H661" s="57">
        <v>103.5</v>
      </c>
      <c r="I661" s="57">
        <v>105.5</v>
      </c>
      <c r="J661" s="57" t="s">
        <v>4701</v>
      </c>
      <c r="K661" s="60">
        <v>38.54</v>
      </c>
      <c r="L661" s="60">
        <v>39</v>
      </c>
      <c r="M661" s="60">
        <v>44.33</v>
      </c>
      <c r="N661" s="57" t="s">
        <v>142</v>
      </c>
      <c r="O661" s="57" t="s">
        <v>142</v>
      </c>
      <c r="P661" s="57" t="s">
        <v>142</v>
      </c>
      <c r="Q661" s="57" t="s">
        <v>4702</v>
      </c>
      <c r="R661" s="57">
        <v>73.900000000000006</v>
      </c>
      <c r="S661" s="26" t="s">
        <v>451</v>
      </c>
      <c r="T661" s="20" t="s">
        <v>4703</v>
      </c>
      <c r="U661" s="39"/>
    </row>
    <row r="662" spans="1:21" ht="39" customHeight="1" x14ac:dyDescent="0.25">
      <c r="A662" s="25">
        <v>44933</v>
      </c>
      <c r="B662" s="38">
        <v>0.91666666666666663</v>
      </c>
      <c r="C662" s="1466" t="s">
        <v>4707</v>
      </c>
      <c r="D662" s="1467"/>
      <c r="E662" s="1467"/>
      <c r="F662" s="1467"/>
      <c r="G662" s="1467"/>
      <c r="H662" s="1467"/>
      <c r="I662" s="1467"/>
      <c r="J662" s="1467"/>
      <c r="K662" s="1467"/>
      <c r="L662" s="1467"/>
      <c r="M662" s="1467"/>
      <c r="N662" s="1467"/>
      <c r="O662" s="1467"/>
      <c r="P662" s="1467"/>
      <c r="Q662" s="1467"/>
      <c r="R662" s="1468"/>
      <c r="S662" s="26" t="s">
        <v>451</v>
      </c>
      <c r="T662" s="20" t="s">
        <v>4703</v>
      </c>
      <c r="U662" s="39"/>
    </row>
    <row r="663" spans="1:21" ht="39" customHeight="1" x14ac:dyDescent="0.25">
      <c r="A663" s="25">
        <v>44934</v>
      </c>
      <c r="B663" s="38">
        <v>0.91666666666666663</v>
      </c>
      <c r="C663" s="1466" t="s">
        <v>4718</v>
      </c>
      <c r="D663" s="1467"/>
      <c r="E663" s="1467"/>
      <c r="F663" s="1467"/>
      <c r="G663" s="1467"/>
      <c r="H663" s="1467"/>
      <c r="I663" s="1467"/>
      <c r="J663" s="1467"/>
      <c r="K663" s="1467"/>
      <c r="L663" s="1467"/>
      <c r="M663" s="1467"/>
      <c r="N663" s="1467"/>
      <c r="O663" s="1467"/>
      <c r="P663" s="1467"/>
      <c r="Q663" s="1467"/>
      <c r="R663" s="1468"/>
      <c r="S663" s="26" t="s">
        <v>451</v>
      </c>
      <c r="T663" s="20" t="s">
        <v>4703</v>
      </c>
      <c r="U663" s="39"/>
    </row>
    <row r="664" spans="1:21" ht="39" customHeight="1" x14ac:dyDescent="0.25">
      <c r="A664" s="25">
        <v>44935</v>
      </c>
      <c r="B664" s="38">
        <v>0.91666666666666663</v>
      </c>
      <c r="C664" s="1466" t="s">
        <v>4722</v>
      </c>
      <c r="D664" s="1467"/>
      <c r="E664" s="1467"/>
      <c r="F664" s="1467"/>
      <c r="G664" s="1467"/>
      <c r="H664" s="1467"/>
      <c r="I664" s="1467"/>
      <c r="J664" s="1467"/>
      <c r="K664" s="1467"/>
      <c r="L664" s="1467"/>
      <c r="M664" s="1467"/>
      <c r="N664" s="1467"/>
      <c r="O664" s="1467"/>
      <c r="P664" s="1467"/>
      <c r="Q664" s="1467"/>
      <c r="R664" s="1468"/>
      <c r="S664" s="26" t="s">
        <v>451</v>
      </c>
      <c r="T664" s="20" t="s">
        <v>4703</v>
      </c>
      <c r="U664" s="39"/>
    </row>
    <row r="665" spans="1:21" ht="39" customHeight="1" x14ac:dyDescent="0.25">
      <c r="A665" s="25">
        <v>44936</v>
      </c>
      <c r="B665" s="38">
        <v>0.91666666666666663</v>
      </c>
      <c r="C665" s="1466" t="s">
        <v>4722</v>
      </c>
      <c r="D665" s="1467"/>
      <c r="E665" s="1467"/>
      <c r="F665" s="1467"/>
      <c r="G665" s="1467"/>
      <c r="H665" s="1467"/>
      <c r="I665" s="1467"/>
      <c r="J665" s="1467"/>
      <c r="K665" s="1467"/>
      <c r="L665" s="1467"/>
      <c r="M665" s="1467"/>
      <c r="N665" s="1467"/>
      <c r="O665" s="1467"/>
      <c r="P665" s="1467"/>
      <c r="Q665" s="1467"/>
      <c r="R665" s="1468"/>
      <c r="S665" s="26" t="s">
        <v>451</v>
      </c>
      <c r="T665" s="20" t="s">
        <v>4703</v>
      </c>
      <c r="U665" s="39"/>
    </row>
    <row r="666" spans="1:21" ht="39" customHeight="1" x14ac:dyDescent="0.25">
      <c r="A666" s="25">
        <v>44937</v>
      </c>
      <c r="B666" s="38">
        <v>0.91666666666666663</v>
      </c>
      <c r="C666" s="1466" t="s">
        <v>4734</v>
      </c>
      <c r="D666" s="1467"/>
      <c r="E666" s="1467"/>
      <c r="F666" s="1467"/>
      <c r="G666" s="1467"/>
      <c r="H666" s="1467"/>
      <c r="I666" s="1467"/>
      <c r="J666" s="1467"/>
      <c r="K666" s="1467"/>
      <c r="L666" s="1467"/>
      <c r="M666" s="1467"/>
      <c r="N666" s="1467"/>
      <c r="O666" s="1467"/>
      <c r="P666" s="1467"/>
      <c r="Q666" s="1467"/>
      <c r="R666" s="1468"/>
      <c r="S666" s="26" t="s">
        <v>451</v>
      </c>
      <c r="T666" s="20" t="s">
        <v>4736</v>
      </c>
      <c r="U666" s="39"/>
    </row>
    <row r="667" spans="1:21" ht="39" customHeight="1" x14ac:dyDescent="0.25">
      <c r="A667" s="25">
        <v>44938</v>
      </c>
      <c r="B667" s="38">
        <v>0.91666666666666663</v>
      </c>
      <c r="C667" s="246">
        <v>52</v>
      </c>
      <c r="D667" s="60">
        <v>13.3</v>
      </c>
      <c r="E667" s="247">
        <v>18.3</v>
      </c>
      <c r="F667" s="57">
        <v>914</v>
      </c>
      <c r="G667" s="57">
        <v>2509</v>
      </c>
      <c r="H667" s="57">
        <v>103.6</v>
      </c>
      <c r="I667" s="57">
        <v>103.5</v>
      </c>
      <c r="J667" s="57" t="s">
        <v>4701</v>
      </c>
      <c r="K667" s="60">
        <v>37.44</v>
      </c>
      <c r="L667" s="60">
        <v>39</v>
      </c>
      <c r="M667" s="60">
        <v>46.36</v>
      </c>
      <c r="N667" s="57" t="s">
        <v>142</v>
      </c>
      <c r="O667" s="57" t="s">
        <v>142</v>
      </c>
      <c r="P667" s="57" t="s">
        <v>142</v>
      </c>
      <c r="Q667" s="57" t="s">
        <v>4744</v>
      </c>
      <c r="R667" s="57">
        <v>78.2</v>
      </c>
      <c r="S667" s="26" t="s">
        <v>451</v>
      </c>
      <c r="T667" s="20" t="s">
        <v>4736</v>
      </c>
      <c r="U667" s="39"/>
    </row>
    <row r="668" spans="1:21" ht="39" customHeight="1" x14ac:dyDescent="0.25">
      <c r="A668" s="25">
        <v>44939</v>
      </c>
      <c r="B668" s="38">
        <v>0.91666666666666663</v>
      </c>
      <c r="C668" s="246">
        <v>52</v>
      </c>
      <c r="D668" s="60">
        <v>11.9</v>
      </c>
      <c r="E668" s="247">
        <v>17.2</v>
      </c>
      <c r="F668" s="57">
        <v>872</v>
      </c>
      <c r="G668" s="57">
        <v>2488</v>
      </c>
      <c r="H668" s="57">
        <v>103.7</v>
      </c>
      <c r="I668" s="57">
        <v>104.7</v>
      </c>
      <c r="J668" s="57" t="s">
        <v>4755</v>
      </c>
      <c r="K668" s="60">
        <v>38.42</v>
      </c>
      <c r="L668" s="60">
        <v>38</v>
      </c>
      <c r="M668" s="60">
        <v>41.82</v>
      </c>
      <c r="N668" s="57" t="s">
        <v>142</v>
      </c>
      <c r="O668" s="57" t="s">
        <v>142</v>
      </c>
      <c r="P668" s="57" t="s">
        <v>142</v>
      </c>
      <c r="Q668" s="57" t="s">
        <v>4202</v>
      </c>
      <c r="R668" s="57">
        <v>73.5</v>
      </c>
      <c r="S668" s="26" t="s">
        <v>451</v>
      </c>
      <c r="T668" s="20" t="s">
        <v>4736</v>
      </c>
      <c r="U668" s="39"/>
    </row>
    <row r="669" spans="1:21" ht="39" customHeight="1" x14ac:dyDescent="0.25">
      <c r="A669" s="25">
        <v>44940</v>
      </c>
      <c r="B669" s="38">
        <v>0.91666666666666663</v>
      </c>
      <c r="C669" s="1466" t="s">
        <v>4761</v>
      </c>
      <c r="D669" s="1467"/>
      <c r="E669" s="1467"/>
      <c r="F669" s="1467"/>
      <c r="G669" s="1467"/>
      <c r="H669" s="1467"/>
      <c r="I669" s="1467"/>
      <c r="J669" s="1467"/>
      <c r="K669" s="1467"/>
      <c r="L669" s="1467"/>
      <c r="M669" s="1467"/>
      <c r="N669" s="1467"/>
      <c r="O669" s="1467"/>
      <c r="P669" s="1467"/>
      <c r="Q669" s="1467"/>
      <c r="R669" s="1468"/>
      <c r="S669" s="26" t="s">
        <v>451</v>
      </c>
      <c r="T669" s="20" t="s">
        <v>4736</v>
      </c>
      <c r="U669" s="39"/>
    </row>
    <row r="670" spans="1:21" ht="39" customHeight="1" x14ac:dyDescent="0.25">
      <c r="A670" s="25">
        <v>44941</v>
      </c>
      <c r="B670" s="38">
        <v>0.91666666666666663</v>
      </c>
      <c r="C670" s="1466" t="s">
        <v>4768</v>
      </c>
      <c r="D670" s="1467"/>
      <c r="E670" s="1467"/>
      <c r="F670" s="1467"/>
      <c r="G670" s="1467"/>
      <c r="H670" s="1467"/>
      <c r="I670" s="1467"/>
      <c r="J670" s="1467"/>
      <c r="K670" s="1467"/>
      <c r="L670" s="1467"/>
      <c r="M670" s="1467"/>
      <c r="N670" s="1467"/>
      <c r="O670" s="1467"/>
      <c r="P670" s="1467"/>
      <c r="Q670" s="1467"/>
      <c r="R670" s="1468"/>
      <c r="S670" s="26" t="s">
        <v>451</v>
      </c>
      <c r="T670" s="20" t="s">
        <v>4736</v>
      </c>
      <c r="U670" s="39"/>
    </row>
    <row r="671" spans="1:21" ht="39" customHeight="1" x14ac:dyDescent="0.25">
      <c r="A671" s="25">
        <v>44942</v>
      </c>
      <c r="B671" s="38">
        <v>0.91666666666666663</v>
      </c>
      <c r="C671" s="1466" t="s">
        <v>4781</v>
      </c>
      <c r="D671" s="1467"/>
      <c r="E671" s="1467"/>
      <c r="F671" s="1467"/>
      <c r="G671" s="1467"/>
      <c r="H671" s="1467"/>
      <c r="I671" s="1467"/>
      <c r="J671" s="1467"/>
      <c r="K671" s="1467"/>
      <c r="L671" s="1467"/>
      <c r="M671" s="1467"/>
      <c r="N671" s="1467"/>
      <c r="O671" s="1467"/>
      <c r="P671" s="1467"/>
      <c r="Q671" s="1467"/>
      <c r="R671" s="1468"/>
      <c r="S671" s="26" t="s">
        <v>451</v>
      </c>
      <c r="T671" s="20" t="s">
        <v>4736</v>
      </c>
      <c r="U671" s="39"/>
    </row>
    <row r="672" spans="1:21" ht="39" customHeight="1" x14ac:dyDescent="0.25">
      <c r="A672" s="25">
        <v>44943</v>
      </c>
      <c r="B672" s="38">
        <v>0.91666666666666663</v>
      </c>
      <c r="C672" s="1466" t="s">
        <v>4786</v>
      </c>
      <c r="D672" s="1467"/>
      <c r="E672" s="1467"/>
      <c r="F672" s="1467"/>
      <c r="G672" s="1467"/>
      <c r="H672" s="1467"/>
      <c r="I672" s="1467"/>
      <c r="J672" s="1467"/>
      <c r="K672" s="1467"/>
      <c r="L672" s="1467"/>
      <c r="M672" s="1467"/>
      <c r="N672" s="1467"/>
      <c r="O672" s="1467"/>
      <c r="P672" s="1467"/>
      <c r="Q672" s="1467"/>
      <c r="R672" s="1468"/>
      <c r="S672" s="26" t="s">
        <v>451</v>
      </c>
      <c r="T672" s="20" t="s">
        <v>4736</v>
      </c>
      <c r="U672" s="39"/>
    </row>
    <row r="673" spans="1:21" ht="39" customHeight="1" x14ac:dyDescent="0.25">
      <c r="A673" s="25">
        <v>44944</v>
      </c>
      <c r="B673" s="38">
        <v>0.91666666666666663</v>
      </c>
      <c r="C673" s="1466" t="s">
        <v>4793</v>
      </c>
      <c r="D673" s="1467"/>
      <c r="E673" s="1467"/>
      <c r="F673" s="1467"/>
      <c r="G673" s="1467"/>
      <c r="H673" s="1467"/>
      <c r="I673" s="1467"/>
      <c r="J673" s="1467"/>
      <c r="K673" s="1467"/>
      <c r="L673" s="1467"/>
      <c r="M673" s="1467"/>
      <c r="N673" s="1467"/>
      <c r="O673" s="1467"/>
      <c r="P673" s="1467"/>
      <c r="Q673" s="1467"/>
      <c r="R673" s="1468"/>
      <c r="S673" s="26" t="s">
        <v>451</v>
      </c>
      <c r="T673" s="20" t="s">
        <v>4736</v>
      </c>
      <c r="U673" s="39"/>
    </row>
    <row r="674" spans="1:21" ht="39" customHeight="1" x14ac:dyDescent="0.25">
      <c r="A674" s="25">
        <v>44945</v>
      </c>
      <c r="B674" s="38">
        <v>0.91666666666666663</v>
      </c>
      <c r="C674" s="1466" t="s">
        <v>4801</v>
      </c>
      <c r="D674" s="1467"/>
      <c r="E674" s="1467"/>
      <c r="F674" s="1467"/>
      <c r="G674" s="1467"/>
      <c r="H674" s="1467"/>
      <c r="I674" s="1467"/>
      <c r="J674" s="1467"/>
      <c r="K674" s="1467"/>
      <c r="L674" s="1467"/>
      <c r="M674" s="1467"/>
      <c r="N674" s="1467"/>
      <c r="O674" s="1467"/>
      <c r="P674" s="1467"/>
      <c r="Q674" s="1467"/>
      <c r="R674" s="1468"/>
      <c r="S674" s="26" t="s">
        <v>451</v>
      </c>
      <c r="T674" s="20" t="s">
        <v>4736</v>
      </c>
      <c r="U674" s="39"/>
    </row>
    <row r="675" spans="1:21" ht="39" customHeight="1" x14ac:dyDescent="0.25">
      <c r="A675" s="25">
        <v>44946</v>
      </c>
      <c r="B675" s="38">
        <v>0.91666666666666663</v>
      </c>
      <c r="C675" s="1466" t="s">
        <v>4809</v>
      </c>
      <c r="D675" s="1467"/>
      <c r="E675" s="1467"/>
      <c r="F675" s="1467"/>
      <c r="G675" s="1467"/>
      <c r="H675" s="1467"/>
      <c r="I675" s="1467"/>
      <c r="J675" s="1467"/>
      <c r="K675" s="1467"/>
      <c r="L675" s="1467"/>
      <c r="M675" s="1467"/>
      <c r="N675" s="1467"/>
      <c r="O675" s="1467"/>
      <c r="P675" s="1467"/>
      <c r="Q675" s="1467"/>
      <c r="R675" s="1468"/>
      <c r="S675" s="26" t="s">
        <v>451</v>
      </c>
      <c r="T675" s="20" t="s">
        <v>4736</v>
      </c>
      <c r="U675" s="39"/>
    </row>
    <row r="676" spans="1:21" ht="39" customHeight="1" x14ac:dyDescent="0.25">
      <c r="A676" s="25">
        <v>44947</v>
      </c>
      <c r="B676" s="38">
        <v>0.91666666666666663</v>
      </c>
      <c r="C676" s="246">
        <v>52</v>
      </c>
      <c r="D676" s="60">
        <v>11</v>
      </c>
      <c r="E676" s="247">
        <v>16.5</v>
      </c>
      <c r="F676" s="57">
        <v>1225</v>
      </c>
      <c r="G676" s="57">
        <v>2332</v>
      </c>
      <c r="H676" s="57">
        <v>101.1</v>
      </c>
      <c r="I676" s="57">
        <v>102.6</v>
      </c>
      <c r="J676" s="57" t="s">
        <v>4812</v>
      </c>
      <c r="K676" s="60">
        <v>40.71</v>
      </c>
      <c r="L676" s="60">
        <v>38</v>
      </c>
      <c r="M676" s="60">
        <v>36.69</v>
      </c>
      <c r="N676" s="57" t="s">
        <v>142</v>
      </c>
      <c r="O676" s="57" t="s">
        <v>142</v>
      </c>
      <c r="P676" s="57" t="s">
        <v>142</v>
      </c>
      <c r="Q676" s="57" t="s">
        <v>1328</v>
      </c>
      <c r="R676" s="57">
        <v>70.5</v>
      </c>
      <c r="S676" s="26" t="s">
        <v>451</v>
      </c>
      <c r="T676" s="20" t="s">
        <v>4736</v>
      </c>
      <c r="U676" s="39"/>
    </row>
    <row r="677" spans="1:21" ht="39" customHeight="1" x14ac:dyDescent="0.25">
      <c r="A677" s="25">
        <v>44948</v>
      </c>
      <c r="B677" s="38">
        <v>0.91666666666666663</v>
      </c>
      <c r="C677" s="246">
        <v>52</v>
      </c>
      <c r="D677" s="60">
        <v>12.4</v>
      </c>
      <c r="E677" s="247">
        <v>17.5</v>
      </c>
      <c r="F677" s="57">
        <v>867</v>
      </c>
      <c r="G677" s="57">
        <v>2473</v>
      </c>
      <c r="H677" s="57">
        <v>103.1</v>
      </c>
      <c r="I677" s="57">
        <v>104</v>
      </c>
      <c r="J677" s="57" t="s">
        <v>4818</v>
      </c>
      <c r="K677" s="60">
        <v>37.619999999999997</v>
      </c>
      <c r="L677" s="60">
        <v>38</v>
      </c>
      <c r="M677" s="60">
        <v>44.03</v>
      </c>
      <c r="N677" s="57" t="s">
        <v>142</v>
      </c>
      <c r="O677" s="57" t="s">
        <v>142</v>
      </c>
      <c r="P677" s="57" t="s">
        <v>142</v>
      </c>
      <c r="Q677" s="57" t="s">
        <v>4819</v>
      </c>
      <c r="R677" s="57">
        <v>74.7</v>
      </c>
      <c r="S677" s="26" t="s">
        <v>451</v>
      </c>
      <c r="T677" s="20" t="s">
        <v>4736</v>
      </c>
      <c r="U677" s="39"/>
    </row>
    <row r="678" spans="1:21" ht="39" customHeight="1" x14ac:dyDescent="0.25">
      <c r="A678" s="25">
        <v>44949</v>
      </c>
      <c r="B678" s="38">
        <v>0.91666666666666663</v>
      </c>
      <c r="C678" s="1466" t="s">
        <v>4828</v>
      </c>
      <c r="D678" s="1467"/>
      <c r="E678" s="1467"/>
      <c r="F678" s="1467"/>
      <c r="G678" s="1467"/>
      <c r="H678" s="1467"/>
      <c r="I678" s="1467"/>
      <c r="J678" s="1467"/>
      <c r="K678" s="1467"/>
      <c r="L678" s="1467"/>
      <c r="M678" s="1467"/>
      <c r="N678" s="1467"/>
      <c r="O678" s="1467"/>
      <c r="P678" s="1467"/>
      <c r="Q678" s="1467"/>
      <c r="R678" s="1468"/>
      <c r="S678" s="26" t="s">
        <v>451</v>
      </c>
      <c r="T678" s="20" t="s">
        <v>4736</v>
      </c>
      <c r="U678" s="39"/>
    </row>
    <row r="679" spans="1:21" ht="39" customHeight="1" x14ac:dyDescent="0.25">
      <c r="A679" s="25">
        <v>44950</v>
      </c>
      <c r="B679" s="38">
        <v>0.91666666666666663</v>
      </c>
      <c r="C679" s="1466" t="s">
        <v>4833</v>
      </c>
      <c r="D679" s="1467"/>
      <c r="E679" s="1467"/>
      <c r="F679" s="1467"/>
      <c r="G679" s="1467"/>
      <c r="H679" s="1467"/>
      <c r="I679" s="1467"/>
      <c r="J679" s="1467"/>
      <c r="K679" s="1467"/>
      <c r="L679" s="1467"/>
      <c r="M679" s="1467"/>
      <c r="N679" s="1467"/>
      <c r="O679" s="1467"/>
      <c r="P679" s="1467"/>
      <c r="Q679" s="1467"/>
      <c r="R679" s="1468"/>
      <c r="S679" s="26" t="s">
        <v>451</v>
      </c>
      <c r="T679" s="20" t="s">
        <v>4736</v>
      </c>
      <c r="U679" s="39"/>
    </row>
    <row r="680" spans="1:21" ht="39" customHeight="1" x14ac:dyDescent="0.25">
      <c r="A680" s="25">
        <v>44951</v>
      </c>
      <c r="B680" s="38">
        <v>0.91666666666666663</v>
      </c>
      <c r="C680" s="1466" t="s">
        <v>4836</v>
      </c>
      <c r="D680" s="1467"/>
      <c r="E680" s="1467"/>
      <c r="F680" s="1467"/>
      <c r="G680" s="1467"/>
      <c r="H680" s="1467"/>
      <c r="I680" s="1467"/>
      <c r="J680" s="1467"/>
      <c r="K680" s="1467"/>
      <c r="L680" s="1467"/>
      <c r="M680" s="1467"/>
      <c r="N680" s="1467"/>
      <c r="O680" s="1467"/>
      <c r="P680" s="1467"/>
      <c r="Q680" s="1467"/>
      <c r="R680" s="1468"/>
      <c r="S680" s="26" t="s">
        <v>451</v>
      </c>
      <c r="T680" s="20" t="s">
        <v>4736</v>
      </c>
      <c r="U680" s="39"/>
    </row>
    <row r="681" spans="1:21" ht="39" customHeight="1" x14ac:dyDescent="0.25">
      <c r="A681" s="25">
        <v>44952</v>
      </c>
      <c r="B681" s="38">
        <v>0.91666666666666663</v>
      </c>
      <c r="C681" s="1466" t="s">
        <v>4843</v>
      </c>
      <c r="D681" s="1467"/>
      <c r="E681" s="1467"/>
      <c r="F681" s="1467"/>
      <c r="G681" s="1467"/>
      <c r="H681" s="1467"/>
      <c r="I681" s="1467"/>
      <c r="J681" s="1467"/>
      <c r="K681" s="1467"/>
      <c r="L681" s="1467"/>
      <c r="M681" s="1467"/>
      <c r="N681" s="1467"/>
      <c r="O681" s="1467"/>
      <c r="P681" s="1467"/>
      <c r="Q681" s="1467"/>
      <c r="R681" s="1468"/>
      <c r="S681" s="26" t="s">
        <v>451</v>
      </c>
      <c r="T681" s="20" t="s">
        <v>4736</v>
      </c>
      <c r="U681" s="39"/>
    </row>
    <row r="682" spans="1:21" ht="39" customHeight="1" x14ac:dyDescent="0.25">
      <c r="A682" s="25">
        <v>44953</v>
      </c>
      <c r="B682" s="38">
        <v>0.91666666666666663</v>
      </c>
      <c r="C682" s="1466" t="s">
        <v>4848</v>
      </c>
      <c r="D682" s="1467"/>
      <c r="E682" s="1467"/>
      <c r="F682" s="1467"/>
      <c r="G682" s="1467"/>
      <c r="H682" s="1467"/>
      <c r="I682" s="1467"/>
      <c r="J682" s="1467"/>
      <c r="K682" s="1467"/>
      <c r="L682" s="1467"/>
      <c r="M682" s="1467"/>
      <c r="N682" s="1467"/>
      <c r="O682" s="1467"/>
      <c r="P682" s="1467"/>
      <c r="Q682" s="1467"/>
      <c r="R682" s="1468"/>
      <c r="S682" s="26" t="s">
        <v>451</v>
      </c>
      <c r="T682" s="20" t="s">
        <v>4736</v>
      </c>
      <c r="U682" s="39"/>
    </row>
    <row r="683" spans="1:21" ht="39" customHeight="1" x14ac:dyDescent="0.25">
      <c r="A683" s="25">
        <v>44954</v>
      </c>
      <c r="B683" s="38">
        <v>0.91666666666666663</v>
      </c>
      <c r="C683" s="1466" t="s">
        <v>4859</v>
      </c>
      <c r="D683" s="1467"/>
      <c r="E683" s="1467"/>
      <c r="F683" s="1467"/>
      <c r="G683" s="1467"/>
      <c r="H683" s="1467"/>
      <c r="I683" s="1467"/>
      <c r="J683" s="1467"/>
      <c r="K683" s="1467"/>
      <c r="L683" s="1467"/>
      <c r="M683" s="1467"/>
      <c r="N683" s="1467"/>
      <c r="O683" s="1467"/>
      <c r="P683" s="1467"/>
      <c r="Q683" s="1467"/>
      <c r="R683" s="1468"/>
      <c r="S683" s="26" t="s">
        <v>451</v>
      </c>
      <c r="T683" s="20" t="s">
        <v>4736</v>
      </c>
      <c r="U683" s="39"/>
    </row>
    <row r="684" spans="1:21" ht="39" customHeight="1" x14ac:dyDescent="0.25">
      <c r="A684" s="25">
        <v>44955</v>
      </c>
      <c r="B684" s="38">
        <v>0.91666666666666663</v>
      </c>
      <c r="C684" s="1466" t="s">
        <v>4858</v>
      </c>
      <c r="D684" s="1467"/>
      <c r="E684" s="1467"/>
      <c r="F684" s="1467"/>
      <c r="G684" s="1467"/>
      <c r="H684" s="1467"/>
      <c r="I684" s="1467"/>
      <c r="J684" s="1467"/>
      <c r="K684" s="1467"/>
      <c r="L684" s="1467"/>
      <c r="M684" s="1467"/>
      <c r="N684" s="1467"/>
      <c r="O684" s="1467"/>
      <c r="P684" s="1467"/>
      <c r="Q684" s="1467"/>
      <c r="R684" s="1468"/>
      <c r="S684" s="26" t="s">
        <v>451</v>
      </c>
      <c r="T684" s="20" t="s">
        <v>4736</v>
      </c>
      <c r="U684" s="39"/>
    </row>
    <row r="685" spans="1:21" ht="39" customHeight="1" x14ac:dyDescent="0.25">
      <c r="A685" s="25">
        <v>44956</v>
      </c>
      <c r="B685" s="38">
        <v>0.91666666666666663</v>
      </c>
      <c r="C685" s="1466" t="s">
        <v>4869</v>
      </c>
      <c r="D685" s="1467"/>
      <c r="E685" s="1467"/>
      <c r="F685" s="1467"/>
      <c r="G685" s="1467"/>
      <c r="H685" s="1467"/>
      <c r="I685" s="1467"/>
      <c r="J685" s="1467"/>
      <c r="K685" s="1467"/>
      <c r="L685" s="1467"/>
      <c r="M685" s="1467"/>
      <c r="N685" s="1467"/>
      <c r="O685" s="1467"/>
      <c r="P685" s="1467"/>
      <c r="Q685" s="1467"/>
      <c r="R685" s="1468"/>
      <c r="S685" s="26" t="s">
        <v>451</v>
      </c>
      <c r="T685" s="20" t="s">
        <v>4736</v>
      </c>
      <c r="U685" s="39"/>
    </row>
    <row r="686" spans="1:21" ht="39" customHeight="1" x14ac:dyDescent="0.25">
      <c r="A686" s="25">
        <v>44957</v>
      </c>
      <c r="B686" s="38">
        <v>0.91666666666666663</v>
      </c>
      <c r="C686" s="1466" t="s">
        <v>4873</v>
      </c>
      <c r="D686" s="1467"/>
      <c r="E686" s="1467"/>
      <c r="F686" s="1467"/>
      <c r="G686" s="1467"/>
      <c r="H686" s="1467"/>
      <c r="I686" s="1467"/>
      <c r="J686" s="1467"/>
      <c r="K686" s="1467"/>
      <c r="L686" s="1467"/>
      <c r="M686" s="1467"/>
      <c r="N686" s="1467"/>
      <c r="O686" s="1467"/>
      <c r="P686" s="1467"/>
      <c r="Q686" s="1467"/>
      <c r="R686" s="1468"/>
      <c r="S686" s="26" t="s">
        <v>451</v>
      </c>
      <c r="T686" s="20" t="s">
        <v>4736</v>
      </c>
      <c r="U686" s="39"/>
    </row>
    <row r="687" spans="1:21" ht="39" customHeight="1" x14ac:dyDescent="0.25">
      <c r="A687" s="25">
        <v>44958</v>
      </c>
      <c r="B687" s="38">
        <v>0.91666666666666663</v>
      </c>
      <c r="C687" s="246">
        <v>52</v>
      </c>
      <c r="D687" s="60">
        <v>13.1</v>
      </c>
      <c r="E687" s="247">
        <v>18.100000000000001</v>
      </c>
      <c r="F687" s="57">
        <v>895</v>
      </c>
      <c r="G687" s="57">
        <v>2464</v>
      </c>
      <c r="H687" s="57">
        <v>102.7</v>
      </c>
      <c r="I687" s="57">
        <v>103.8</v>
      </c>
      <c r="J687" s="57" t="s">
        <v>4877</v>
      </c>
      <c r="K687" s="60">
        <v>34.659999999999997</v>
      </c>
      <c r="L687" s="60">
        <v>38</v>
      </c>
      <c r="M687" s="60">
        <v>47.32</v>
      </c>
      <c r="N687" s="57" t="s">
        <v>142</v>
      </c>
      <c r="O687" s="57" t="s">
        <v>142</v>
      </c>
      <c r="P687" s="57" t="s">
        <v>142</v>
      </c>
      <c r="Q687" s="57" t="s">
        <v>4878</v>
      </c>
      <c r="R687" s="57">
        <v>77.3</v>
      </c>
      <c r="S687" s="26" t="s">
        <v>451</v>
      </c>
      <c r="T687" s="20" t="s">
        <v>4736</v>
      </c>
      <c r="U687" s="39"/>
    </row>
    <row r="688" spans="1:21" ht="39" customHeight="1" x14ac:dyDescent="0.25">
      <c r="A688" s="25">
        <v>44959</v>
      </c>
      <c r="B688" s="38">
        <v>0.91666666666666663</v>
      </c>
      <c r="C688" s="246">
        <v>52</v>
      </c>
      <c r="D688" s="60">
        <v>12.1</v>
      </c>
      <c r="E688" s="247">
        <v>17.3</v>
      </c>
      <c r="F688" s="57">
        <v>856</v>
      </c>
      <c r="G688" s="57">
        <v>2474</v>
      </c>
      <c r="H688" s="57">
        <v>103.6</v>
      </c>
      <c r="I688" s="57">
        <v>104.4</v>
      </c>
      <c r="J688" s="57" t="s">
        <v>4885</v>
      </c>
      <c r="K688" s="60">
        <v>36.79</v>
      </c>
      <c r="L688" s="60">
        <v>38</v>
      </c>
      <c r="M688" s="60">
        <v>43.91</v>
      </c>
      <c r="N688" s="57" t="s">
        <v>142</v>
      </c>
      <c r="O688" s="57" t="s">
        <v>142</v>
      </c>
      <c r="P688" s="57" t="s">
        <v>142</v>
      </c>
      <c r="Q688" s="57" t="s">
        <v>3976</v>
      </c>
      <c r="R688" s="57">
        <v>73.900000000000006</v>
      </c>
      <c r="S688" s="26" t="s">
        <v>451</v>
      </c>
      <c r="T688" s="20" t="s">
        <v>4736</v>
      </c>
      <c r="U688" s="39"/>
    </row>
    <row r="689" spans="1:21" ht="39" customHeight="1" x14ac:dyDescent="0.25">
      <c r="A689" s="25">
        <v>44960</v>
      </c>
      <c r="B689" s="38">
        <v>0.91666666666666663</v>
      </c>
      <c r="C689" s="1466" t="s">
        <v>4891</v>
      </c>
      <c r="D689" s="1467"/>
      <c r="E689" s="1467"/>
      <c r="F689" s="1467"/>
      <c r="G689" s="1467"/>
      <c r="H689" s="1467"/>
      <c r="I689" s="1467"/>
      <c r="J689" s="1467"/>
      <c r="K689" s="1467"/>
      <c r="L689" s="1467"/>
      <c r="M689" s="1467"/>
      <c r="N689" s="1467"/>
      <c r="O689" s="1467"/>
      <c r="P689" s="1467"/>
      <c r="Q689" s="1467"/>
      <c r="R689" s="1468"/>
      <c r="S689" s="26" t="s">
        <v>451</v>
      </c>
      <c r="T689" s="20" t="s">
        <v>4736</v>
      </c>
      <c r="U689" s="39"/>
    </row>
    <row r="690" spans="1:21" ht="39" customHeight="1" x14ac:dyDescent="0.25">
      <c r="A690" s="25">
        <v>44961</v>
      </c>
      <c r="B690" s="38">
        <v>0.91666666666666663</v>
      </c>
      <c r="C690" s="1466" t="s">
        <v>4900</v>
      </c>
      <c r="D690" s="1467"/>
      <c r="E690" s="1467"/>
      <c r="F690" s="1467"/>
      <c r="G690" s="1467"/>
      <c r="H690" s="1467"/>
      <c r="I690" s="1467"/>
      <c r="J690" s="1467"/>
      <c r="K690" s="1467"/>
      <c r="L690" s="1467"/>
      <c r="M690" s="1467"/>
      <c r="N690" s="1467"/>
      <c r="O690" s="1467"/>
      <c r="P690" s="1467"/>
      <c r="Q690" s="1467"/>
      <c r="R690" s="1468"/>
      <c r="S690" s="26" t="s">
        <v>451</v>
      </c>
      <c r="T690" s="20" t="s">
        <v>4736</v>
      </c>
      <c r="U690" s="39"/>
    </row>
    <row r="691" spans="1:21" ht="39" customHeight="1" x14ac:dyDescent="0.25">
      <c r="A691" s="25">
        <v>44962</v>
      </c>
      <c r="B691" s="38">
        <v>0.91666666666666663</v>
      </c>
      <c r="C691" s="1466" t="s">
        <v>4905</v>
      </c>
      <c r="D691" s="1467"/>
      <c r="E691" s="1467"/>
      <c r="F691" s="1467"/>
      <c r="G691" s="1467"/>
      <c r="H691" s="1467"/>
      <c r="I691" s="1467"/>
      <c r="J691" s="1467"/>
      <c r="K691" s="1467"/>
      <c r="L691" s="1467"/>
      <c r="M691" s="1467"/>
      <c r="N691" s="1467"/>
      <c r="O691" s="1467"/>
      <c r="P691" s="1467"/>
      <c r="Q691" s="1467"/>
      <c r="R691" s="1468"/>
      <c r="S691" s="26" t="s">
        <v>451</v>
      </c>
      <c r="T691" s="20" t="s">
        <v>4736</v>
      </c>
      <c r="U691" s="39"/>
    </row>
    <row r="692" spans="1:21" ht="39" customHeight="1" x14ac:dyDescent="0.25">
      <c r="A692" s="25">
        <v>44963</v>
      </c>
      <c r="B692" s="38">
        <v>0.91666666666666663</v>
      </c>
      <c r="C692" s="1466" t="s">
        <v>4915</v>
      </c>
      <c r="D692" s="1467"/>
      <c r="E692" s="1467"/>
      <c r="F692" s="1467"/>
      <c r="G692" s="1467"/>
      <c r="H692" s="1467"/>
      <c r="I692" s="1467"/>
      <c r="J692" s="1467"/>
      <c r="K692" s="1467"/>
      <c r="L692" s="1467"/>
      <c r="M692" s="1467"/>
      <c r="N692" s="1467"/>
      <c r="O692" s="1467"/>
      <c r="P692" s="1467"/>
      <c r="Q692" s="1467"/>
      <c r="R692" s="1468"/>
      <c r="S692" s="26" t="s">
        <v>451</v>
      </c>
      <c r="T692" s="20" t="s">
        <v>4736</v>
      </c>
      <c r="U692" s="39"/>
    </row>
    <row r="693" spans="1:21" ht="39" customHeight="1" x14ac:dyDescent="0.25">
      <c r="A693" s="25">
        <v>44964</v>
      </c>
      <c r="B693" s="38">
        <v>0.91666666666666663</v>
      </c>
      <c r="C693" s="1466" t="s">
        <v>4919</v>
      </c>
      <c r="D693" s="1467"/>
      <c r="E693" s="1467"/>
      <c r="F693" s="1467"/>
      <c r="G693" s="1467"/>
      <c r="H693" s="1467"/>
      <c r="I693" s="1467"/>
      <c r="J693" s="1467"/>
      <c r="K693" s="1467"/>
      <c r="L693" s="1467"/>
      <c r="M693" s="1467"/>
      <c r="N693" s="1467"/>
      <c r="O693" s="1467"/>
      <c r="P693" s="1467"/>
      <c r="Q693" s="1467"/>
      <c r="R693" s="1468"/>
      <c r="S693" s="26" t="s">
        <v>451</v>
      </c>
      <c r="T693" s="20" t="s">
        <v>4736</v>
      </c>
      <c r="U693" s="39"/>
    </row>
    <row r="694" spans="1:21" ht="39" customHeight="1" x14ac:dyDescent="0.25">
      <c r="A694" s="25">
        <v>44965</v>
      </c>
      <c r="B694" s="38">
        <v>0.91666666666666663</v>
      </c>
      <c r="C694" s="1466" t="s">
        <v>4926</v>
      </c>
      <c r="D694" s="1467"/>
      <c r="E694" s="1467"/>
      <c r="F694" s="1467"/>
      <c r="G694" s="1467"/>
      <c r="H694" s="1467"/>
      <c r="I694" s="1467"/>
      <c r="J694" s="1467"/>
      <c r="K694" s="1467"/>
      <c r="L694" s="1467"/>
      <c r="M694" s="1467"/>
      <c r="N694" s="1467"/>
      <c r="O694" s="1467"/>
      <c r="P694" s="1467"/>
      <c r="Q694" s="1467"/>
      <c r="R694" s="1468"/>
      <c r="S694" s="26" t="s">
        <v>451</v>
      </c>
      <c r="T694" s="20" t="s">
        <v>4736</v>
      </c>
      <c r="U694" s="39"/>
    </row>
    <row r="695" spans="1:21" ht="22.5" customHeight="1" x14ac:dyDescent="0.25">
      <c r="A695" s="25">
        <v>44966</v>
      </c>
      <c r="B695" s="38">
        <v>0.9375</v>
      </c>
      <c r="C695" s="246">
        <v>52</v>
      </c>
      <c r="D695" s="60">
        <v>13.3</v>
      </c>
      <c r="E695" s="247">
        <v>18.3</v>
      </c>
      <c r="F695" s="57">
        <v>889</v>
      </c>
      <c r="G695" s="57">
        <v>2483</v>
      </c>
      <c r="H695" s="57">
        <v>102.8</v>
      </c>
      <c r="I695" s="57">
        <v>104.2</v>
      </c>
      <c r="J695" s="57" t="s">
        <v>4933</v>
      </c>
      <c r="K695" s="60">
        <v>38.1</v>
      </c>
      <c r="L695" s="60">
        <v>45</v>
      </c>
      <c r="M695" s="60">
        <v>46.4</v>
      </c>
      <c r="N695" s="57" t="s">
        <v>142</v>
      </c>
      <c r="O695" s="57" t="s">
        <v>142</v>
      </c>
      <c r="P695" s="57" t="s">
        <v>142</v>
      </c>
      <c r="Q695" s="57" t="s">
        <v>4934</v>
      </c>
      <c r="R695" s="57">
        <v>78.2</v>
      </c>
      <c r="S695" s="26" t="s">
        <v>451</v>
      </c>
      <c r="T695" s="20" t="s">
        <v>236</v>
      </c>
      <c r="U695" s="39" t="s">
        <v>4942</v>
      </c>
    </row>
    <row r="696" spans="1:21" ht="22.5" customHeight="1" x14ac:dyDescent="0.25">
      <c r="A696" s="25">
        <v>44967</v>
      </c>
      <c r="B696" s="38">
        <v>0.91666666666666663</v>
      </c>
      <c r="C696" s="246">
        <v>52</v>
      </c>
      <c r="D696" s="60">
        <v>12</v>
      </c>
      <c r="E696" s="247">
        <v>17.2</v>
      </c>
      <c r="F696" s="57">
        <v>870</v>
      </c>
      <c r="G696" s="57">
        <v>2504</v>
      </c>
      <c r="H696" s="57">
        <v>103.7</v>
      </c>
      <c r="I696" s="57">
        <v>105.5</v>
      </c>
      <c r="J696" s="57" t="s">
        <v>4947</v>
      </c>
      <c r="K696" s="60">
        <v>39.1</v>
      </c>
      <c r="L696" s="60">
        <v>41</v>
      </c>
      <c r="M696" s="60">
        <v>41.6</v>
      </c>
      <c r="N696" s="57" t="s">
        <v>142</v>
      </c>
      <c r="O696" s="57" t="s">
        <v>142</v>
      </c>
      <c r="P696" s="57" t="s">
        <v>142</v>
      </c>
      <c r="Q696" s="57" t="s">
        <v>4486</v>
      </c>
      <c r="R696" s="57">
        <v>73.5</v>
      </c>
      <c r="S696" s="26" t="s">
        <v>451</v>
      </c>
      <c r="T696" s="20" t="s">
        <v>236</v>
      </c>
      <c r="U696" s="39"/>
    </row>
    <row r="697" spans="1:21" ht="22.5" customHeight="1" x14ac:dyDescent="0.25">
      <c r="A697" s="25">
        <v>44968</v>
      </c>
      <c r="B697" s="38">
        <v>0.89583333333333337</v>
      </c>
      <c r="C697" s="1469" t="s">
        <v>4954</v>
      </c>
      <c r="D697" s="1470"/>
      <c r="E697" s="1470"/>
      <c r="F697" s="1470"/>
      <c r="G697" s="1470"/>
      <c r="H697" s="1470"/>
      <c r="I697" s="1470"/>
      <c r="J697" s="1470"/>
      <c r="K697" s="1470"/>
      <c r="L697" s="1470"/>
      <c r="M697" s="1470"/>
      <c r="N697" s="1470"/>
      <c r="O697" s="1470"/>
      <c r="P697" s="1470"/>
      <c r="Q697" s="1470"/>
      <c r="R697" s="1470"/>
      <c r="S697" s="1471"/>
      <c r="T697" s="20" t="s">
        <v>236</v>
      </c>
      <c r="U697" s="39"/>
    </row>
    <row r="698" spans="1:21" ht="22.5" customHeight="1" x14ac:dyDescent="0.25">
      <c r="A698" s="25">
        <v>44969</v>
      </c>
      <c r="B698" s="38">
        <v>0.9375</v>
      </c>
      <c r="C698" s="1469" t="s">
        <v>4958</v>
      </c>
      <c r="D698" s="1470"/>
      <c r="E698" s="1470"/>
      <c r="F698" s="1470"/>
      <c r="G698" s="1470"/>
      <c r="H698" s="1470"/>
      <c r="I698" s="1470"/>
      <c r="J698" s="1470"/>
      <c r="K698" s="1470"/>
      <c r="L698" s="1470"/>
      <c r="M698" s="1470"/>
      <c r="N698" s="1470"/>
      <c r="O698" s="1470"/>
      <c r="P698" s="1470"/>
      <c r="Q698" s="1470"/>
      <c r="R698" s="1470"/>
      <c r="S698" s="1471"/>
      <c r="T698" s="20" t="s">
        <v>236</v>
      </c>
      <c r="U698" s="39"/>
    </row>
    <row r="699" spans="1:21" ht="22.5" customHeight="1" x14ac:dyDescent="0.25">
      <c r="A699" s="25">
        <v>44970</v>
      </c>
      <c r="B699" s="38">
        <v>0.8125</v>
      </c>
      <c r="C699" s="1469" t="s">
        <v>4964</v>
      </c>
      <c r="D699" s="1470"/>
      <c r="E699" s="1470"/>
      <c r="F699" s="1470"/>
      <c r="G699" s="1470"/>
      <c r="H699" s="1470"/>
      <c r="I699" s="1470"/>
      <c r="J699" s="1470"/>
      <c r="K699" s="1470"/>
      <c r="L699" s="1470"/>
      <c r="M699" s="1470"/>
      <c r="N699" s="1470"/>
      <c r="O699" s="1470"/>
      <c r="P699" s="1470"/>
      <c r="Q699" s="1470"/>
      <c r="R699" s="1470"/>
      <c r="S699" s="1471"/>
      <c r="T699" s="20" t="s">
        <v>236</v>
      </c>
      <c r="U699" s="39"/>
    </row>
    <row r="700" spans="1:21" ht="22.5" customHeight="1" x14ac:dyDescent="0.25">
      <c r="A700" s="25">
        <v>44971</v>
      </c>
      <c r="B700" s="38">
        <v>0.89583333333333337</v>
      </c>
      <c r="C700" s="1469" t="s">
        <v>4968</v>
      </c>
      <c r="D700" s="1470"/>
      <c r="E700" s="1470"/>
      <c r="F700" s="1470"/>
      <c r="G700" s="1470"/>
      <c r="H700" s="1470"/>
      <c r="I700" s="1470"/>
      <c r="J700" s="1470"/>
      <c r="K700" s="1470"/>
      <c r="L700" s="1470"/>
      <c r="M700" s="1470"/>
      <c r="N700" s="1470"/>
      <c r="O700" s="1470"/>
      <c r="P700" s="1470"/>
      <c r="Q700" s="1470"/>
      <c r="R700" s="1470"/>
      <c r="S700" s="1471"/>
      <c r="T700" s="20" t="s">
        <v>236</v>
      </c>
      <c r="U700" s="39"/>
    </row>
    <row r="701" spans="1:21" ht="22.5" customHeight="1" x14ac:dyDescent="0.25">
      <c r="A701" s="25">
        <v>44972</v>
      </c>
      <c r="B701" s="38">
        <v>0.9375</v>
      </c>
      <c r="C701" s="1469" t="s">
        <v>4974</v>
      </c>
      <c r="D701" s="1470"/>
      <c r="E701" s="1470"/>
      <c r="F701" s="1470"/>
      <c r="G701" s="1470"/>
      <c r="H701" s="1470"/>
      <c r="I701" s="1470"/>
      <c r="J701" s="1470"/>
      <c r="K701" s="1470"/>
      <c r="L701" s="1470"/>
      <c r="M701" s="1470"/>
      <c r="N701" s="1470"/>
      <c r="O701" s="1470"/>
      <c r="P701" s="1470"/>
      <c r="Q701" s="1470"/>
      <c r="R701" s="1470"/>
      <c r="S701" s="1471"/>
      <c r="T701" s="20" t="s">
        <v>236</v>
      </c>
      <c r="U701" s="39"/>
    </row>
    <row r="702" spans="1:21" ht="22.5" customHeight="1" x14ac:dyDescent="0.25">
      <c r="A702" s="25">
        <v>44973</v>
      </c>
      <c r="B702" s="38">
        <v>0.91666666666666663</v>
      </c>
      <c r="C702" s="1469" t="s">
        <v>4976</v>
      </c>
      <c r="D702" s="1470"/>
      <c r="E702" s="1470"/>
      <c r="F702" s="1470"/>
      <c r="G702" s="1470"/>
      <c r="H702" s="1470"/>
      <c r="I702" s="1470"/>
      <c r="J702" s="1470"/>
      <c r="K702" s="1470"/>
      <c r="L702" s="1470"/>
      <c r="M702" s="1470"/>
      <c r="N702" s="1470"/>
      <c r="O702" s="1470"/>
      <c r="P702" s="1470"/>
      <c r="Q702" s="1470"/>
      <c r="R702" s="1470"/>
      <c r="S702" s="1471"/>
      <c r="T702" s="20" t="s">
        <v>236</v>
      </c>
      <c r="U702" s="39"/>
    </row>
    <row r="703" spans="1:21" ht="22.5" customHeight="1" x14ac:dyDescent="0.25">
      <c r="A703" s="25">
        <v>44974</v>
      </c>
      <c r="B703" s="38">
        <v>0.79166666666666663</v>
      </c>
      <c r="C703" s="1469" t="s">
        <v>4982</v>
      </c>
      <c r="D703" s="1470"/>
      <c r="E703" s="1470"/>
      <c r="F703" s="1470"/>
      <c r="G703" s="1470"/>
      <c r="H703" s="1470"/>
      <c r="I703" s="1470"/>
      <c r="J703" s="1470"/>
      <c r="K703" s="1470"/>
      <c r="L703" s="1470"/>
      <c r="M703" s="1470"/>
      <c r="N703" s="1470"/>
      <c r="O703" s="1470"/>
      <c r="P703" s="1470"/>
      <c r="Q703" s="1470"/>
      <c r="R703" s="1470"/>
      <c r="S703" s="1471"/>
      <c r="T703" s="20" t="s">
        <v>236</v>
      </c>
      <c r="U703" s="39"/>
    </row>
    <row r="704" spans="1:21" ht="22.5" customHeight="1" x14ac:dyDescent="0.25">
      <c r="A704" s="25">
        <v>44975</v>
      </c>
      <c r="B704" s="38">
        <v>0.79166666666666663</v>
      </c>
      <c r="C704" s="1469" t="s">
        <v>4987</v>
      </c>
      <c r="D704" s="1470"/>
      <c r="E704" s="1470"/>
      <c r="F704" s="1470"/>
      <c r="G704" s="1470"/>
      <c r="H704" s="1470"/>
      <c r="I704" s="1470"/>
      <c r="J704" s="1470"/>
      <c r="K704" s="1470"/>
      <c r="L704" s="1470"/>
      <c r="M704" s="1470"/>
      <c r="N704" s="1470"/>
      <c r="O704" s="1470"/>
      <c r="P704" s="1470"/>
      <c r="Q704" s="1470"/>
      <c r="R704" s="1470"/>
      <c r="S704" s="1471"/>
      <c r="T704" s="20" t="s">
        <v>236</v>
      </c>
      <c r="U704" s="39"/>
    </row>
    <row r="705" spans="1:21" ht="22.5" customHeight="1" x14ac:dyDescent="0.25">
      <c r="A705" s="25">
        <v>44976</v>
      </c>
      <c r="B705" s="38">
        <v>0.89583333333333337</v>
      </c>
      <c r="C705" s="1469" t="s">
        <v>5002</v>
      </c>
      <c r="D705" s="1470"/>
      <c r="E705" s="1470"/>
      <c r="F705" s="1470"/>
      <c r="G705" s="1470"/>
      <c r="H705" s="1470"/>
      <c r="I705" s="1470"/>
      <c r="J705" s="1470"/>
      <c r="K705" s="1470"/>
      <c r="L705" s="1470"/>
      <c r="M705" s="1470"/>
      <c r="N705" s="1470"/>
      <c r="O705" s="1470"/>
      <c r="P705" s="1470"/>
      <c r="Q705" s="1470"/>
      <c r="R705" s="1470"/>
      <c r="S705" s="1471"/>
      <c r="T705" s="20" t="s">
        <v>236</v>
      </c>
      <c r="U705" s="39"/>
    </row>
    <row r="706" spans="1:21" ht="22.5" customHeight="1" x14ac:dyDescent="0.25">
      <c r="A706" s="25">
        <v>44977</v>
      </c>
      <c r="B706" s="38">
        <v>0.91666666666666663</v>
      </c>
      <c r="C706" s="246">
        <v>52</v>
      </c>
      <c r="D706" s="60">
        <v>13.2</v>
      </c>
      <c r="E706" s="247">
        <v>18.100000000000001</v>
      </c>
      <c r="F706" s="57">
        <v>915</v>
      </c>
      <c r="G706" s="57">
        <v>2530</v>
      </c>
      <c r="H706" s="57">
        <v>102.8</v>
      </c>
      <c r="I706" s="57">
        <v>104.1</v>
      </c>
      <c r="J706" s="57" t="s">
        <v>5009</v>
      </c>
      <c r="K706" s="60">
        <v>40.21</v>
      </c>
      <c r="L706" s="60">
        <v>47</v>
      </c>
      <c r="M706" s="60">
        <v>46.7</v>
      </c>
      <c r="N706" s="57" t="s">
        <v>142</v>
      </c>
      <c r="O706" s="57" t="s">
        <v>142</v>
      </c>
      <c r="P706" s="57" t="s">
        <v>142</v>
      </c>
      <c r="Q706" s="57" t="s">
        <v>4878</v>
      </c>
      <c r="R706" s="57">
        <v>77.3</v>
      </c>
      <c r="S706" s="26" t="s">
        <v>451</v>
      </c>
      <c r="T706" s="20" t="s">
        <v>236</v>
      </c>
      <c r="U706" s="39"/>
    </row>
    <row r="707" spans="1:21" ht="22.5" customHeight="1" x14ac:dyDescent="0.25">
      <c r="A707" s="25">
        <v>44978</v>
      </c>
      <c r="B707" s="38">
        <v>0.85416666666666663</v>
      </c>
      <c r="C707" s="246">
        <v>52</v>
      </c>
      <c r="D707" s="60">
        <v>12.2</v>
      </c>
      <c r="E707" s="247">
        <v>17.5</v>
      </c>
      <c r="F707" s="57">
        <v>871</v>
      </c>
      <c r="G707" s="57">
        <v>2464</v>
      </c>
      <c r="H707" s="57">
        <v>103.3</v>
      </c>
      <c r="I707" s="57">
        <v>104.5</v>
      </c>
      <c r="J707" s="57" t="s">
        <v>5015</v>
      </c>
      <c r="K707" s="60">
        <v>37.200000000000003</v>
      </c>
      <c r="L707" s="60">
        <v>42</v>
      </c>
      <c r="M707" s="60">
        <v>43.54</v>
      </c>
      <c r="N707" s="57" t="s">
        <v>142</v>
      </c>
      <c r="O707" s="57" t="s">
        <v>142</v>
      </c>
      <c r="P707" s="57" t="s">
        <v>142</v>
      </c>
      <c r="Q707" s="57" t="s">
        <v>4086</v>
      </c>
      <c r="R707" s="57">
        <v>74.7</v>
      </c>
      <c r="S707" s="26" t="s">
        <v>451</v>
      </c>
      <c r="T707" s="20" t="s">
        <v>236</v>
      </c>
      <c r="U707" s="39"/>
    </row>
    <row r="708" spans="1:21" ht="22.5" customHeight="1" x14ac:dyDescent="0.25">
      <c r="A708" s="25">
        <v>44979</v>
      </c>
      <c r="B708" s="38">
        <v>0.75</v>
      </c>
      <c r="C708" s="246">
        <v>52</v>
      </c>
      <c r="D708" s="60">
        <v>11.3</v>
      </c>
      <c r="E708" s="247">
        <v>16.5</v>
      </c>
      <c r="F708" s="57">
        <v>879</v>
      </c>
      <c r="G708" s="57">
        <v>3543</v>
      </c>
      <c r="H708" s="57">
        <v>104</v>
      </c>
      <c r="I708" s="57">
        <v>105.2</v>
      </c>
      <c r="J708" s="57" t="s">
        <v>5025</v>
      </c>
      <c r="K708" s="60">
        <v>37.9</v>
      </c>
      <c r="L708" s="60">
        <v>41</v>
      </c>
      <c r="M708" s="60">
        <v>40.21</v>
      </c>
      <c r="N708" s="57" t="s">
        <v>142</v>
      </c>
      <c r="O708" s="57" t="s">
        <v>142</v>
      </c>
      <c r="P708" s="57" t="s">
        <v>142</v>
      </c>
      <c r="Q708" s="57" t="s">
        <v>5026</v>
      </c>
      <c r="R708" s="57">
        <v>68</v>
      </c>
      <c r="S708" s="26" t="s">
        <v>451</v>
      </c>
      <c r="T708" s="20" t="s">
        <v>236</v>
      </c>
      <c r="U708" s="39"/>
    </row>
    <row r="709" spans="1:21" ht="22.5" customHeight="1" x14ac:dyDescent="0.25">
      <c r="A709" s="25">
        <v>44980</v>
      </c>
      <c r="B709" s="38">
        <v>0.75</v>
      </c>
      <c r="C709" s="1469" t="s">
        <v>5035</v>
      </c>
      <c r="D709" s="1470"/>
      <c r="E709" s="1470"/>
      <c r="F709" s="1470"/>
      <c r="G709" s="1470"/>
      <c r="H709" s="1470"/>
      <c r="I709" s="1470"/>
      <c r="J709" s="1470"/>
      <c r="K709" s="1470"/>
      <c r="L709" s="1470"/>
      <c r="M709" s="1470"/>
      <c r="N709" s="1470"/>
      <c r="O709" s="1470"/>
      <c r="P709" s="1470"/>
      <c r="Q709" s="1470"/>
      <c r="R709" s="1471"/>
      <c r="S709" s="26" t="s">
        <v>451</v>
      </c>
      <c r="T709" s="20" t="s">
        <v>236</v>
      </c>
      <c r="U709" s="39"/>
    </row>
    <row r="710" spans="1:21" ht="22.5" customHeight="1" x14ac:dyDescent="0.25">
      <c r="A710" s="25">
        <v>44981</v>
      </c>
      <c r="B710" s="38">
        <v>0.6875</v>
      </c>
      <c r="C710" s="1469" t="s">
        <v>5039</v>
      </c>
      <c r="D710" s="1470"/>
      <c r="E710" s="1470"/>
      <c r="F710" s="1470"/>
      <c r="G710" s="1470"/>
      <c r="H710" s="1470"/>
      <c r="I710" s="1470"/>
      <c r="J710" s="1470"/>
      <c r="K710" s="1470"/>
      <c r="L710" s="1470"/>
      <c r="M710" s="1470"/>
      <c r="N710" s="1470"/>
      <c r="O710" s="1470"/>
      <c r="P710" s="1470"/>
      <c r="Q710" s="1470"/>
      <c r="R710" s="1471"/>
      <c r="S710" s="26" t="s">
        <v>451</v>
      </c>
      <c r="T710" s="20" t="s">
        <v>236</v>
      </c>
      <c r="U710" s="39"/>
    </row>
    <row r="711" spans="1:21" ht="22.5" customHeight="1" x14ac:dyDescent="0.25">
      <c r="A711" s="25">
        <v>44982</v>
      </c>
      <c r="B711" s="38">
        <v>0.6875</v>
      </c>
      <c r="C711" s="1469" t="s">
        <v>5044</v>
      </c>
      <c r="D711" s="1470"/>
      <c r="E711" s="1470"/>
      <c r="F711" s="1470"/>
      <c r="G711" s="1470"/>
      <c r="H711" s="1470"/>
      <c r="I711" s="1470"/>
      <c r="J711" s="1470"/>
      <c r="K711" s="1470"/>
      <c r="L711" s="1470"/>
      <c r="M711" s="1470"/>
      <c r="N711" s="1470"/>
      <c r="O711" s="1470"/>
      <c r="P711" s="1470"/>
      <c r="Q711" s="1470"/>
      <c r="R711" s="1471"/>
      <c r="S711" s="26" t="s">
        <v>451</v>
      </c>
      <c r="T711" s="20" t="s">
        <v>236</v>
      </c>
      <c r="U711" s="39"/>
    </row>
    <row r="712" spans="1:21" ht="22.5" customHeight="1" x14ac:dyDescent="0.25">
      <c r="A712" s="25">
        <v>44983</v>
      </c>
      <c r="B712" s="38">
        <v>0.70833333333333337</v>
      </c>
      <c r="C712" s="1469" t="s">
        <v>5048</v>
      </c>
      <c r="D712" s="1470"/>
      <c r="E712" s="1470"/>
      <c r="F712" s="1470"/>
      <c r="G712" s="1470"/>
      <c r="H712" s="1470"/>
      <c r="I712" s="1470"/>
      <c r="J712" s="1470"/>
      <c r="K712" s="1470"/>
      <c r="L712" s="1470"/>
      <c r="M712" s="1470"/>
      <c r="N712" s="1470"/>
      <c r="O712" s="1470"/>
      <c r="P712" s="1470"/>
      <c r="Q712" s="1470"/>
      <c r="R712" s="1471"/>
      <c r="S712" s="26" t="s">
        <v>451</v>
      </c>
      <c r="T712" s="20" t="s">
        <v>236</v>
      </c>
      <c r="U712" s="39"/>
    </row>
    <row r="713" spans="1:21" ht="22.5" customHeight="1" x14ac:dyDescent="0.25">
      <c r="A713" s="25">
        <v>44984</v>
      </c>
      <c r="B713" s="38">
        <v>0.70833333333333337</v>
      </c>
      <c r="C713" s="1469" t="s">
        <v>5052</v>
      </c>
      <c r="D713" s="1470"/>
      <c r="E713" s="1470"/>
      <c r="F713" s="1470"/>
      <c r="G713" s="1470"/>
      <c r="H713" s="1470"/>
      <c r="I713" s="1470"/>
      <c r="J713" s="1470"/>
      <c r="K713" s="1470"/>
      <c r="L713" s="1470"/>
      <c r="M713" s="1470"/>
      <c r="N713" s="1470"/>
      <c r="O713" s="1470"/>
      <c r="P713" s="1470"/>
      <c r="Q713" s="1470"/>
      <c r="R713" s="1471"/>
      <c r="S713" s="26" t="s">
        <v>451</v>
      </c>
      <c r="T713" s="20" t="s">
        <v>236</v>
      </c>
      <c r="U713" s="39"/>
    </row>
    <row r="714" spans="1:21" ht="22.5" customHeight="1" x14ac:dyDescent="0.25">
      <c r="A714" s="25">
        <v>44985</v>
      </c>
      <c r="B714" s="38">
        <v>0.75</v>
      </c>
      <c r="C714" s="1469" t="s">
        <v>5055</v>
      </c>
      <c r="D714" s="1470"/>
      <c r="E714" s="1470"/>
      <c r="F714" s="1470"/>
      <c r="G714" s="1470"/>
      <c r="H714" s="1470"/>
      <c r="I714" s="1470"/>
      <c r="J714" s="1470"/>
      <c r="K714" s="1470"/>
      <c r="L714" s="1470"/>
      <c r="M714" s="1470"/>
      <c r="N714" s="1470"/>
      <c r="O714" s="1470"/>
      <c r="P714" s="1470"/>
      <c r="Q714" s="1470"/>
      <c r="R714" s="1471"/>
      <c r="S714" s="26" t="s">
        <v>451</v>
      </c>
      <c r="T714" s="20" t="s">
        <v>236</v>
      </c>
      <c r="U714" s="39"/>
    </row>
    <row r="715" spans="1:21" ht="33" customHeight="1" x14ac:dyDescent="0.25">
      <c r="A715" s="25">
        <v>44986</v>
      </c>
      <c r="B715" s="38">
        <v>0.72916666666666663</v>
      </c>
      <c r="C715" s="1466" t="s">
        <v>5070</v>
      </c>
      <c r="D715" s="1467"/>
      <c r="E715" s="1467"/>
      <c r="F715" s="1467"/>
      <c r="G715" s="1467"/>
      <c r="H715" s="1467"/>
      <c r="I715" s="1467"/>
      <c r="J715" s="1467"/>
      <c r="K715" s="1467"/>
      <c r="L715" s="1467"/>
      <c r="M715" s="1467"/>
      <c r="N715" s="1467"/>
      <c r="O715" s="1467"/>
      <c r="P715" s="1467"/>
      <c r="Q715" s="1467"/>
      <c r="R715" s="1468"/>
      <c r="S715" s="26" t="s">
        <v>451</v>
      </c>
      <c r="T715" s="20" t="s">
        <v>236</v>
      </c>
      <c r="U715" s="39"/>
    </row>
    <row r="716" spans="1:21" ht="22.5" customHeight="1" x14ac:dyDescent="0.25">
      <c r="A716" s="25">
        <v>44987</v>
      </c>
      <c r="B716" s="38">
        <v>0.79166666666666663</v>
      </c>
      <c r="C716" s="246">
        <v>52</v>
      </c>
      <c r="D716" s="60">
        <v>13.2</v>
      </c>
      <c r="E716" s="247">
        <v>18.7</v>
      </c>
      <c r="F716" s="57">
        <v>967</v>
      </c>
      <c r="G716" s="57">
        <v>2506</v>
      </c>
      <c r="H716" s="57">
        <v>102.7</v>
      </c>
      <c r="I716" s="57">
        <v>103.5</v>
      </c>
      <c r="J716" s="57" t="s">
        <v>5080</v>
      </c>
      <c r="K716" s="60">
        <v>38.299999999999997</v>
      </c>
      <c r="L716" s="60">
        <v>45</v>
      </c>
      <c r="M716" s="60">
        <v>46.05</v>
      </c>
      <c r="N716" s="57" t="s">
        <v>142</v>
      </c>
      <c r="O716" s="57" t="s">
        <v>142</v>
      </c>
      <c r="P716" s="57" t="s">
        <v>142</v>
      </c>
      <c r="Q716" s="57" t="s">
        <v>5081</v>
      </c>
      <c r="R716" s="57">
        <v>77.7</v>
      </c>
      <c r="S716" s="26" t="s">
        <v>451</v>
      </c>
      <c r="T716" s="20" t="s">
        <v>236</v>
      </c>
      <c r="U716" s="39"/>
    </row>
    <row r="717" spans="1:21" ht="22.5" customHeight="1" x14ac:dyDescent="0.25">
      <c r="A717" s="25">
        <v>44988</v>
      </c>
      <c r="B717" s="38">
        <v>0.89583333333333337</v>
      </c>
      <c r="C717" s="246">
        <v>52</v>
      </c>
      <c r="D717" s="60">
        <v>11.8</v>
      </c>
      <c r="E717" s="247">
        <v>17</v>
      </c>
      <c r="F717" s="57">
        <v>866</v>
      </c>
      <c r="G717" s="57">
        <v>2479</v>
      </c>
      <c r="H717" s="57">
        <v>103.1</v>
      </c>
      <c r="I717" s="57">
        <v>104</v>
      </c>
      <c r="J717" s="57" t="s">
        <v>5087</v>
      </c>
      <c r="K717" s="60">
        <v>34.68</v>
      </c>
      <c r="L717" s="60">
        <v>40</v>
      </c>
      <c r="M717" s="60">
        <v>44.75</v>
      </c>
      <c r="N717" s="57" t="s">
        <v>142</v>
      </c>
      <c r="O717" s="57" t="s">
        <v>142</v>
      </c>
      <c r="P717" s="57" t="s">
        <v>142</v>
      </c>
      <c r="Q717" s="57" t="s">
        <v>2111</v>
      </c>
      <c r="R717" s="57">
        <v>72.599999999999994</v>
      </c>
      <c r="S717" s="26" t="s">
        <v>451</v>
      </c>
      <c r="T717" s="20" t="s">
        <v>236</v>
      </c>
      <c r="U717" s="39"/>
    </row>
    <row r="718" spans="1:21" ht="22.5" customHeight="1" x14ac:dyDescent="0.25">
      <c r="A718" s="25">
        <v>44989</v>
      </c>
      <c r="B718" s="38">
        <v>0.58333333333333337</v>
      </c>
      <c r="C718" s="246">
        <v>52</v>
      </c>
      <c r="D718" s="60">
        <v>12</v>
      </c>
      <c r="E718" s="247">
        <v>17</v>
      </c>
      <c r="F718" s="57">
        <v>867</v>
      </c>
      <c r="G718" s="57">
        <v>2508</v>
      </c>
      <c r="H718" s="57">
        <v>104.1</v>
      </c>
      <c r="I718" s="57">
        <v>105</v>
      </c>
      <c r="J718" s="57" t="s">
        <v>5087</v>
      </c>
      <c r="K718" s="60">
        <v>37.42</v>
      </c>
      <c r="L718" s="60">
        <v>40</v>
      </c>
      <c r="M718" s="60">
        <v>44.1</v>
      </c>
      <c r="N718" s="57" t="s">
        <v>142</v>
      </c>
      <c r="O718" s="57" t="s">
        <v>142</v>
      </c>
      <c r="P718" s="57" t="s">
        <v>142</v>
      </c>
      <c r="Q718" s="57" t="s">
        <v>5089</v>
      </c>
      <c r="R718" s="57">
        <v>74</v>
      </c>
      <c r="S718" s="26" t="s">
        <v>451</v>
      </c>
      <c r="T718" s="20" t="s">
        <v>236</v>
      </c>
      <c r="U718" s="39"/>
    </row>
    <row r="719" spans="1:21" ht="22.5" customHeight="1" x14ac:dyDescent="0.25">
      <c r="A719" s="25">
        <v>44990</v>
      </c>
      <c r="B719" s="38">
        <v>0.875</v>
      </c>
      <c r="C719" s="1469" t="s">
        <v>5100</v>
      </c>
      <c r="D719" s="1470"/>
      <c r="E719" s="1470"/>
      <c r="F719" s="1470"/>
      <c r="G719" s="1470"/>
      <c r="H719" s="1470"/>
      <c r="I719" s="1470"/>
      <c r="J719" s="1470"/>
      <c r="K719" s="1470"/>
      <c r="L719" s="1470"/>
      <c r="M719" s="1470"/>
      <c r="N719" s="1470"/>
      <c r="O719" s="1470"/>
      <c r="P719" s="1470"/>
      <c r="Q719" s="1470"/>
      <c r="R719" s="1471"/>
      <c r="S719" s="26" t="s">
        <v>451</v>
      </c>
      <c r="T719" s="20" t="s">
        <v>236</v>
      </c>
      <c r="U719" s="39"/>
    </row>
    <row r="720" spans="1:21" ht="22.5" customHeight="1" x14ac:dyDescent="0.25">
      <c r="A720" s="25">
        <v>44991</v>
      </c>
      <c r="B720" s="38">
        <v>0.91666666666666663</v>
      </c>
      <c r="C720" s="1469" t="s">
        <v>5100</v>
      </c>
      <c r="D720" s="1470"/>
      <c r="E720" s="1470"/>
      <c r="F720" s="1470"/>
      <c r="G720" s="1470"/>
      <c r="H720" s="1470"/>
      <c r="I720" s="1470"/>
      <c r="J720" s="1470"/>
      <c r="K720" s="1470"/>
      <c r="L720" s="1470"/>
      <c r="M720" s="1470"/>
      <c r="N720" s="1470"/>
      <c r="O720" s="1470"/>
      <c r="P720" s="1470"/>
      <c r="Q720" s="1470"/>
      <c r="R720" s="1471"/>
      <c r="S720" s="26" t="s">
        <v>451</v>
      </c>
      <c r="T720" s="20" t="s">
        <v>236</v>
      </c>
      <c r="U720" s="39"/>
    </row>
    <row r="721" spans="1:21" ht="22.5" customHeight="1" x14ac:dyDescent="0.25">
      <c r="A721" s="25">
        <v>44992</v>
      </c>
      <c r="B721" s="38">
        <v>0.75</v>
      </c>
      <c r="C721" s="1469" t="s">
        <v>5100</v>
      </c>
      <c r="D721" s="1470"/>
      <c r="E721" s="1470"/>
      <c r="F721" s="1470"/>
      <c r="G721" s="1470"/>
      <c r="H721" s="1470"/>
      <c r="I721" s="1470"/>
      <c r="J721" s="1470"/>
      <c r="K721" s="1470"/>
      <c r="L721" s="1470"/>
      <c r="M721" s="1470"/>
      <c r="N721" s="1470"/>
      <c r="O721" s="1470"/>
      <c r="P721" s="1470"/>
      <c r="Q721" s="1470"/>
      <c r="R721" s="1471"/>
      <c r="S721" s="26" t="s">
        <v>451</v>
      </c>
      <c r="T721" s="20" t="s">
        <v>236</v>
      </c>
      <c r="U721" s="39"/>
    </row>
    <row r="722" spans="1:21" ht="22.5" customHeight="1" x14ac:dyDescent="0.25">
      <c r="A722" s="25">
        <v>44993</v>
      </c>
      <c r="B722" s="38">
        <v>0.83333333333333337</v>
      </c>
      <c r="C722" s="1469" t="s">
        <v>5100</v>
      </c>
      <c r="D722" s="1470"/>
      <c r="E722" s="1470"/>
      <c r="F722" s="1470"/>
      <c r="G722" s="1470"/>
      <c r="H722" s="1470"/>
      <c r="I722" s="1470"/>
      <c r="J722" s="1470"/>
      <c r="K722" s="1470"/>
      <c r="L722" s="1470"/>
      <c r="M722" s="1470"/>
      <c r="N722" s="1470"/>
      <c r="O722" s="1470"/>
      <c r="P722" s="1470"/>
      <c r="Q722" s="1470"/>
      <c r="R722" s="1471"/>
      <c r="S722" s="26" t="s">
        <v>451</v>
      </c>
      <c r="T722" s="20" t="s">
        <v>236</v>
      </c>
      <c r="U722" s="39"/>
    </row>
    <row r="723" spans="1:21" ht="22.5" customHeight="1" x14ac:dyDescent="0.25">
      <c r="A723" s="25">
        <v>44994</v>
      </c>
      <c r="B723" s="38">
        <v>0.95833333333333337</v>
      </c>
      <c r="C723" s="246">
        <v>52</v>
      </c>
      <c r="D723" s="60">
        <v>12.8</v>
      </c>
      <c r="E723" s="247">
        <v>17.899999999999999</v>
      </c>
      <c r="F723" s="57">
        <v>1015</v>
      </c>
      <c r="G723" s="57">
        <v>2441</v>
      </c>
      <c r="H723" s="57">
        <v>102.5</v>
      </c>
      <c r="I723" s="57">
        <v>103.3</v>
      </c>
      <c r="J723" s="57" t="s">
        <v>5117</v>
      </c>
      <c r="K723" s="60">
        <v>38.700000000000003</v>
      </c>
      <c r="L723" s="60">
        <v>45</v>
      </c>
      <c r="M723" s="60">
        <v>41.7</v>
      </c>
      <c r="N723" s="57" t="s">
        <v>142</v>
      </c>
      <c r="O723" s="57" t="s">
        <v>142</v>
      </c>
      <c r="P723" s="57" t="s">
        <v>142</v>
      </c>
      <c r="Q723" s="57" t="s">
        <v>4254</v>
      </c>
      <c r="R723" s="57">
        <v>76.400000000000006</v>
      </c>
      <c r="S723" s="26" t="s">
        <v>451</v>
      </c>
      <c r="T723" s="20" t="s">
        <v>236</v>
      </c>
      <c r="U723" s="39"/>
    </row>
    <row r="724" spans="1:21" ht="22.5" customHeight="1" x14ac:dyDescent="0.25">
      <c r="A724" s="25">
        <v>44995</v>
      </c>
      <c r="B724" s="38">
        <v>0.79166666666666663</v>
      </c>
      <c r="C724" s="246">
        <v>52</v>
      </c>
      <c r="D724" s="60">
        <v>12.3</v>
      </c>
      <c r="E724" s="247">
        <v>17.5</v>
      </c>
      <c r="F724" s="57">
        <v>874</v>
      </c>
      <c r="G724" s="57">
        <v>2511</v>
      </c>
      <c r="H724" s="57">
        <v>103.1</v>
      </c>
      <c r="I724" s="57">
        <v>104.1</v>
      </c>
      <c r="J724" s="57" t="s">
        <v>5122</v>
      </c>
      <c r="K724" s="60">
        <v>38.51</v>
      </c>
      <c r="L724" s="60">
        <v>45</v>
      </c>
      <c r="M724" s="60">
        <v>44</v>
      </c>
      <c r="N724" s="57" t="s">
        <v>142</v>
      </c>
      <c r="O724" s="57" t="s">
        <v>142</v>
      </c>
      <c r="P724" s="57" t="s">
        <v>142</v>
      </c>
      <c r="Q724" s="57" t="s">
        <v>5123</v>
      </c>
      <c r="R724" s="57">
        <v>74.7</v>
      </c>
      <c r="S724" s="26" t="s">
        <v>451</v>
      </c>
      <c r="T724" s="20" t="s">
        <v>236</v>
      </c>
      <c r="U724" s="39"/>
    </row>
    <row r="725" spans="1:21" ht="22.5" customHeight="1" x14ac:dyDescent="0.25">
      <c r="A725" s="25">
        <v>44996</v>
      </c>
      <c r="B725" s="38">
        <v>0.75</v>
      </c>
      <c r="C725" s="1469" t="s">
        <v>5128</v>
      </c>
      <c r="D725" s="1470"/>
      <c r="E725" s="1470"/>
      <c r="F725" s="1470"/>
      <c r="G725" s="1470"/>
      <c r="H725" s="1470"/>
      <c r="I725" s="1470"/>
      <c r="J725" s="1470"/>
      <c r="K725" s="1470"/>
      <c r="L725" s="1470"/>
      <c r="M725" s="1470"/>
      <c r="N725" s="1470"/>
      <c r="O725" s="1470"/>
      <c r="P725" s="1470"/>
      <c r="Q725" s="1470"/>
      <c r="R725" s="1471"/>
      <c r="S725" s="26" t="s">
        <v>451</v>
      </c>
      <c r="T725" s="20" t="s">
        <v>236</v>
      </c>
      <c r="U725" s="39"/>
    </row>
    <row r="726" spans="1:21" ht="22.5" customHeight="1" x14ac:dyDescent="0.25">
      <c r="A726" s="25">
        <v>44997</v>
      </c>
      <c r="B726" s="38">
        <v>0.75</v>
      </c>
      <c r="C726" s="1469" t="s">
        <v>5129</v>
      </c>
      <c r="D726" s="1470"/>
      <c r="E726" s="1470"/>
      <c r="F726" s="1470"/>
      <c r="G726" s="1470"/>
      <c r="H726" s="1470"/>
      <c r="I726" s="1470"/>
      <c r="J726" s="1470"/>
      <c r="K726" s="1470"/>
      <c r="L726" s="1470"/>
      <c r="M726" s="1470"/>
      <c r="N726" s="1470"/>
      <c r="O726" s="1470"/>
      <c r="P726" s="1470"/>
      <c r="Q726" s="1470"/>
      <c r="R726" s="1471"/>
      <c r="S726" s="26" t="s">
        <v>451</v>
      </c>
      <c r="T726" s="20" t="s">
        <v>236</v>
      </c>
      <c r="U726" s="39"/>
    </row>
    <row r="727" spans="1:21" ht="22.5" customHeight="1" x14ac:dyDescent="0.25">
      <c r="A727" s="25">
        <v>44998</v>
      </c>
      <c r="B727" s="38">
        <v>0.79166666666666663</v>
      </c>
      <c r="C727" s="1469" t="s">
        <v>5132</v>
      </c>
      <c r="D727" s="1470"/>
      <c r="E727" s="1470"/>
      <c r="F727" s="1470"/>
      <c r="G727" s="1470"/>
      <c r="H727" s="1470"/>
      <c r="I727" s="1470"/>
      <c r="J727" s="1470"/>
      <c r="K727" s="1470"/>
      <c r="L727" s="1470"/>
      <c r="M727" s="1470"/>
      <c r="N727" s="1470"/>
      <c r="O727" s="1470"/>
      <c r="P727" s="1470"/>
      <c r="Q727" s="1470"/>
      <c r="R727" s="1471"/>
      <c r="S727" s="26" t="s">
        <v>451</v>
      </c>
      <c r="T727" s="20" t="s">
        <v>236</v>
      </c>
      <c r="U727" s="39"/>
    </row>
    <row r="728" spans="1:21" ht="22.5" customHeight="1" x14ac:dyDescent="0.25">
      <c r="A728" s="25">
        <v>44999</v>
      </c>
      <c r="B728" s="38">
        <v>0.70833333333333337</v>
      </c>
      <c r="C728" s="1469" t="s">
        <v>5136</v>
      </c>
      <c r="D728" s="1470"/>
      <c r="E728" s="1470"/>
      <c r="F728" s="1470"/>
      <c r="G728" s="1470"/>
      <c r="H728" s="1470"/>
      <c r="I728" s="1470"/>
      <c r="J728" s="1470"/>
      <c r="K728" s="1470"/>
      <c r="L728" s="1470"/>
      <c r="M728" s="1470"/>
      <c r="N728" s="1470"/>
      <c r="O728" s="1470"/>
      <c r="P728" s="1470"/>
      <c r="Q728" s="1470"/>
      <c r="R728" s="1471"/>
      <c r="S728" s="26" t="s">
        <v>451</v>
      </c>
      <c r="T728" s="20" t="s">
        <v>236</v>
      </c>
      <c r="U728" s="39"/>
    </row>
    <row r="729" spans="1:21" ht="22.5" customHeight="1" x14ac:dyDescent="0.25">
      <c r="A729" s="25">
        <v>45000</v>
      </c>
      <c r="B729" s="38">
        <v>0.75</v>
      </c>
      <c r="C729" s="1469" t="s">
        <v>5140</v>
      </c>
      <c r="D729" s="1470"/>
      <c r="E729" s="1470"/>
      <c r="F729" s="1470"/>
      <c r="G729" s="1470"/>
      <c r="H729" s="1470"/>
      <c r="I729" s="1470"/>
      <c r="J729" s="1470"/>
      <c r="K729" s="1470"/>
      <c r="L729" s="1470"/>
      <c r="M729" s="1470"/>
      <c r="N729" s="1470"/>
      <c r="O729" s="1470"/>
      <c r="P729" s="1470"/>
      <c r="Q729" s="1470"/>
      <c r="R729" s="1471"/>
      <c r="S729" s="26" t="s">
        <v>451</v>
      </c>
      <c r="T729" s="20" t="s">
        <v>236</v>
      </c>
      <c r="U729" s="39"/>
    </row>
    <row r="730" spans="1:21" ht="22.5" customHeight="1" x14ac:dyDescent="0.25">
      <c r="A730" s="25">
        <v>45001</v>
      </c>
      <c r="B730" s="38">
        <v>0.875</v>
      </c>
      <c r="C730" s="1469" t="s">
        <v>5144</v>
      </c>
      <c r="D730" s="1470"/>
      <c r="E730" s="1470"/>
      <c r="F730" s="1470"/>
      <c r="G730" s="1470"/>
      <c r="H730" s="1470"/>
      <c r="I730" s="1470"/>
      <c r="J730" s="1470"/>
      <c r="K730" s="1470"/>
      <c r="L730" s="1470"/>
      <c r="M730" s="1470"/>
      <c r="N730" s="1470"/>
      <c r="O730" s="1470"/>
      <c r="P730" s="1470"/>
      <c r="Q730" s="1470"/>
      <c r="R730" s="1471"/>
      <c r="S730" s="26" t="s">
        <v>451</v>
      </c>
      <c r="T730" s="20" t="s">
        <v>236</v>
      </c>
      <c r="U730" s="39"/>
    </row>
    <row r="731" spans="1:21" ht="22.5" customHeight="1" x14ac:dyDescent="0.25">
      <c r="A731" s="25">
        <v>45002</v>
      </c>
      <c r="B731" s="38">
        <v>0.875</v>
      </c>
      <c r="C731" s="1469" t="s">
        <v>5144</v>
      </c>
      <c r="D731" s="1470"/>
      <c r="E731" s="1470"/>
      <c r="F731" s="1470"/>
      <c r="G731" s="1470"/>
      <c r="H731" s="1470"/>
      <c r="I731" s="1470"/>
      <c r="J731" s="1470"/>
      <c r="K731" s="1470"/>
      <c r="L731" s="1470"/>
      <c r="M731" s="1470"/>
      <c r="N731" s="1470"/>
      <c r="O731" s="1470"/>
      <c r="P731" s="1470"/>
      <c r="Q731" s="1470"/>
      <c r="R731" s="1471"/>
      <c r="S731" s="26" t="s">
        <v>451</v>
      </c>
      <c r="T731" s="20" t="s">
        <v>236</v>
      </c>
      <c r="U731" s="39"/>
    </row>
    <row r="732" spans="1:21" ht="22.5" customHeight="1" x14ac:dyDescent="0.25">
      <c r="A732" s="25">
        <v>45003</v>
      </c>
      <c r="B732" s="38">
        <v>0.75</v>
      </c>
      <c r="C732" s="246">
        <v>52</v>
      </c>
      <c r="D732" s="60">
        <v>12.7</v>
      </c>
      <c r="E732" s="247">
        <v>17.8</v>
      </c>
      <c r="F732" s="57">
        <v>1037</v>
      </c>
      <c r="G732" s="57">
        <v>2469</v>
      </c>
      <c r="H732" s="57">
        <v>102.6</v>
      </c>
      <c r="I732" s="57">
        <v>103.2</v>
      </c>
      <c r="J732" s="57" t="s">
        <v>5151</v>
      </c>
      <c r="K732" s="60">
        <v>35.299999999999997</v>
      </c>
      <c r="L732" s="60">
        <v>44</v>
      </c>
      <c r="M732" s="60">
        <v>44.18</v>
      </c>
      <c r="N732" s="57" t="s">
        <v>142</v>
      </c>
      <c r="O732" s="57" t="s">
        <v>142</v>
      </c>
      <c r="P732" s="57" t="s">
        <v>142</v>
      </c>
      <c r="Q732" s="57" t="s">
        <v>5152</v>
      </c>
      <c r="R732" s="57">
        <v>76</v>
      </c>
      <c r="S732" s="26" t="s">
        <v>451</v>
      </c>
      <c r="T732" s="20" t="s">
        <v>236</v>
      </c>
      <c r="U732" s="39"/>
    </row>
    <row r="733" spans="1:21" ht="22.5" customHeight="1" x14ac:dyDescent="0.25">
      <c r="A733" s="25">
        <v>45004</v>
      </c>
      <c r="B733" s="38">
        <v>0.8125</v>
      </c>
      <c r="C733" s="246">
        <v>52</v>
      </c>
      <c r="D733" s="60">
        <v>12.3</v>
      </c>
      <c r="E733" s="247">
        <v>17.5</v>
      </c>
      <c r="F733" s="57">
        <v>841</v>
      </c>
      <c r="G733" s="57">
        <v>2423</v>
      </c>
      <c r="H733" s="57">
        <v>102.8</v>
      </c>
      <c r="I733" s="57">
        <v>103.7</v>
      </c>
      <c r="J733" s="57" t="s">
        <v>5162</v>
      </c>
      <c r="K733" s="60">
        <v>32.92</v>
      </c>
      <c r="L733" s="60">
        <v>40</v>
      </c>
      <c r="M733" s="60">
        <v>47.44</v>
      </c>
      <c r="N733" s="57" t="s">
        <v>142</v>
      </c>
      <c r="O733" s="57" t="s">
        <v>142</v>
      </c>
      <c r="P733" s="57" t="s">
        <v>142</v>
      </c>
      <c r="Q733" s="57" t="s">
        <v>5163</v>
      </c>
      <c r="R733" s="57">
        <v>74.7</v>
      </c>
      <c r="S733" s="26" t="s">
        <v>451</v>
      </c>
      <c r="T733" s="20" t="s">
        <v>236</v>
      </c>
      <c r="U733" s="39"/>
    </row>
    <row r="734" spans="1:21" ht="22.5" customHeight="1" x14ac:dyDescent="0.25">
      <c r="A734" s="25">
        <v>45005</v>
      </c>
      <c r="B734" s="38">
        <v>0.8125</v>
      </c>
      <c r="C734" s="1469" t="s">
        <v>5170</v>
      </c>
      <c r="D734" s="1470"/>
      <c r="E734" s="1470"/>
      <c r="F734" s="1470"/>
      <c r="G734" s="1470"/>
      <c r="H734" s="1470"/>
      <c r="I734" s="1470"/>
      <c r="J734" s="1470"/>
      <c r="K734" s="1470"/>
      <c r="L734" s="1470"/>
      <c r="M734" s="1470"/>
      <c r="N734" s="1470"/>
      <c r="O734" s="1470"/>
      <c r="P734" s="1470"/>
      <c r="Q734" s="1470"/>
      <c r="R734" s="1471"/>
      <c r="S734" s="26" t="s">
        <v>451</v>
      </c>
      <c r="T734" s="20" t="s">
        <v>236</v>
      </c>
      <c r="U734" s="39"/>
    </row>
    <row r="735" spans="1:21" ht="22.5" customHeight="1" x14ac:dyDescent="0.25">
      <c r="A735" s="25">
        <v>45006</v>
      </c>
      <c r="B735" s="38">
        <v>0.95833333333333337</v>
      </c>
      <c r="C735" s="1469" t="s">
        <v>5175</v>
      </c>
      <c r="D735" s="1470"/>
      <c r="E735" s="1470"/>
      <c r="F735" s="1470"/>
      <c r="G735" s="1470"/>
      <c r="H735" s="1470"/>
      <c r="I735" s="1470"/>
      <c r="J735" s="1470"/>
      <c r="K735" s="1470"/>
      <c r="L735" s="1470"/>
      <c r="M735" s="1470"/>
      <c r="N735" s="1470"/>
      <c r="O735" s="1470"/>
      <c r="P735" s="1470"/>
      <c r="Q735" s="1470"/>
      <c r="R735" s="1471"/>
      <c r="S735" s="26" t="s">
        <v>451</v>
      </c>
      <c r="T735" s="20" t="s">
        <v>236</v>
      </c>
      <c r="U735" s="39"/>
    </row>
    <row r="736" spans="1:21" ht="22.5" customHeight="1" x14ac:dyDescent="0.25">
      <c r="A736" s="25">
        <v>45007</v>
      </c>
      <c r="B736" s="38">
        <v>0.95833333333333337</v>
      </c>
      <c r="C736" s="1469" t="s">
        <v>5183</v>
      </c>
      <c r="D736" s="1470"/>
      <c r="E736" s="1470"/>
      <c r="F736" s="1470"/>
      <c r="G736" s="1470"/>
      <c r="H736" s="1470"/>
      <c r="I736" s="1470"/>
      <c r="J736" s="1470"/>
      <c r="K736" s="1470"/>
      <c r="L736" s="1470"/>
      <c r="M736" s="1470"/>
      <c r="N736" s="1470"/>
      <c r="O736" s="1470"/>
      <c r="P736" s="1470"/>
      <c r="Q736" s="1470"/>
      <c r="R736" s="1471"/>
      <c r="S736" s="26" t="s">
        <v>451</v>
      </c>
      <c r="T736" s="20" t="s">
        <v>4320</v>
      </c>
      <c r="U736" s="39"/>
    </row>
    <row r="737" spans="1:21" ht="22.5" customHeight="1" x14ac:dyDescent="0.25">
      <c r="A737" s="25">
        <v>45008</v>
      </c>
      <c r="B737" s="38">
        <v>0.95833333333333337</v>
      </c>
      <c r="C737" s="1469" t="s">
        <v>5182</v>
      </c>
      <c r="D737" s="1470"/>
      <c r="E737" s="1470"/>
      <c r="F737" s="1470"/>
      <c r="G737" s="1470"/>
      <c r="H737" s="1470"/>
      <c r="I737" s="1470"/>
      <c r="J737" s="1470"/>
      <c r="K737" s="1470"/>
      <c r="L737" s="1470"/>
      <c r="M737" s="1470"/>
      <c r="N737" s="1470"/>
      <c r="O737" s="1470"/>
      <c r="P737" s="1470"/>
      <c r="Q737" s="1470"/>
      <c r="R737" s="1471"/>
      <c r="S737" s="26" t="s">
        <v>451</v>
      </c>
      <c r="T737" s="20" t="s">
        <v>4320</v>
      </c>
      <c r="U737" s="39"/>
    </row>
    <row r="738" spans="1:21" ht="22.5" customHeight="1" x14ac:dyDescent="0.25">
      <c r="A738" s="25">
        <v>45009</v>
      </c>
      <c r="B738" s="38">
        <v>0.95833333333333337</v>
      </c>
      <c r="C738" s="1469" t="s">
        <v>5182</v>
      </c>
      <c r="D738" s="1470"/>
      <c r="E738" s="1470"/>
      <c r="F738" s="1470"/>
      <c r="G738" s="1470"/>
      <c r="H738" s="1470"/>
      <c r="I738" s="1470"/>
      <c r="J738" s="1470"/>
      <c r="K738" s="1470"/>
      <c r="L738" s="1470"/>
      <c r="M738" s="1470"/>
      <c r="N738" s="1470"/>
      <c r="O738" s="1470"/>
      <c r="P738" s="1470"/>
      <c r="Q738" s="1470"/>
      <c r="R738" s="1471"/>
      <c r="S738" s="26" t="s">
        <v>451</v>
      </c>
      <c r="T738" s="20" t="s">
        <v>4320</v>
      </c>
      <c r="U738" s="39"/>
    </row>
    <row r="739" spans="1:21" ht="22.5" customHeight="1" x14ac:dyDescent="0.25">
      <c r="A739" s="25">
        <v>45010</v>
      </c>
      <c r="B739" s="38">
        <v>0.95833333333333337</v>
      </c>
      <c r="C739" s="1469" t="s">
        <v>5182</v>
      </c>
      <c r="D739" s="1470"/>
      <c r="E739" s="1470"/>
      <c r="F739" s="1470"/>
      <c r="G739" s="1470"/>
      <c r="H739" s="1470"/>
      <c r="I739" s="1470"/>
      <c r="J739" s="1470"/>
      <c r="K739" s="1470"/>
      <c r="L739" s="1470"/>
      <c r="M739" s="1470"/>
      <c r="N739" s="1470"/>
      <c r="O739" s="1470"/>
      <c r="P739" s="1470"/>
      <c r="Q739" s="1470"/>
      <c r="R739" s="1471"/>
      <c r="S739" s="26" t="s">
        <v>451</v>
      </c>
      <c r="T739" s="20" t="s">
        <v>4320</v>
      </c>
      <c r="U739" s="39"/>
    </row>
    <row r="740" spans="1:21" ht="22.5" customHeight="1" x14ac:dyDescent="0.25">
      <c r="A740" s="25">
        <v>45011</v>
      </c>
      <c r="B740" s="38">
        <v>0.95833333333333337</v>
      </c>
      <c r="C740" s="1469" t="s">
        <v>5203</v>
      </c>
      <c r="D740" s="1470"/>
      <c r="E740" s="1470"/>
      <c r="F740" s="1470"/>
      <c r="G740" s="1470"/>
      <c r="H740" s="1470"/>
      <c r="I740" s="1470"/>
      <c r="J740" s="1470"/>
      <c r="K740" s="1470"/>
      <c r="L740" s="1470"/>
      <c r="M740" s="1470"/>
      <c r="N740" s="1470"/>
      <c r="O740" s="1470"/>
      <c r="P740" s="1470"/>
      <c r="Q740" s="1470"/>
      <c r="R740" s="1471"/>
      <c r="S740" s="26" t="s">
        <v>451</v>
      </c>
      <c r="T740" s="20" t="s">
        <v>4320</v>
      </c>
      <c r="U740" s="39"/>
    </row>
    <row r="741" spans="1:21" ht="22.5" customHeight="1" x14ac:dyDescent="0.25">
      <c r="A741" s="25">
        <v>45012</v>
      </c>
      <c r="B741" s="38">
        <v>0.875</v>
      </c>
      <c r="C741" s="1469" t="s">
        <v>5216</v>
      </c>
      <c r="D741" s="1470"/>
      <c r="E741" s="1470"/>
      <c r="F741" s="1470"/>
      <c r="G741" s="1470"/>
      <c r="H741" s="1470"/>
      <c r="I741" s="1470"/>
      <c r="J741" s="1470"/>
      <c r="K741" s="1470"/>
      <c r="L741" s="1470"/>
      <c r="M741" s="1470"/>
      <c r="N741" s="1470"/>
      <c r="O741" s="1470"/>
      <c r="P741" s="1470"/>
      <c r="Q741" s="1470"/>
      <c r="R741" s="1471"/>
      <c r="S741" s="26" t="s">
        <v>451</v>
      </c>
      <c r="T741" s="20" t="s">
        <v>4320</v>
      </c>
      <c r="U741" s="39"/>
    </row>
    <row r="742" spans="1:21" ht="22.5" customHeight="1" x14ac:dyDescent="0.25">
      <c r="A742" s="25">
        <v>45013</v>
      </c>
      <c r="B742" s="38">
        <v>0.83333333333333337</v>
      </c>
      <c r="C742" s="246">
        <v>52</v>
      </c>
      <c r="D742" s="60">
        <v>13.2</v>
      </c>
      <c r="E742" s="247">
        <v>18.2</v>
      </c>
      <c r="F742" s="57">
        <v>954</v>
      </c>
      <c r="G742" s="57">
        <v>2520</v>
      </c>
      <c r="H742" s="57">
        <v>103.2</v>
      </c>
      <c r="I742" s="57">
        <v>103.4</v>
      </c>
      <c r="J742" s="57" t="s">
        <v>5221</v>
      </c>
      <c r="K742" s="60">
        <v>37.89</v>
      </c>
      <c r="L742" s="60">
        <v>40</v>
      </c>
      <c r="M742" s="60">
        <v>46.75</v>
      </c>
      <c r="N742" s="57" t="s">
        <v>142</v>
      </c>
      <c r="O742" s="57" t="s">
        <v>142</v>
      </c>
      <c r="P742" s="57" t="s">
        <v>142</v>
      </c>
      <c r="Q742" s="57" t="s">
        <v>5222</v>
      </c>
      <c r="R742" s="57">
        <v>77.7</v>
      </c>
      <c r="S742" s="26" t="s">
        <v>451</v>
      </c>
      <c r="T742" s="20" t="s">
        <v>4320</v>
      </c>
      <c r="U742" s="39" t="s">
        <v>415</v>
      </c>
    </row>
    <row r="743" spans="1:21" ht="22.5" customHeight="1" x14ac:dyDescent="0.25">
      <c r="A743" s="25">
        <v>45014</v>
      </c>
      <c r="B743" s="38">
        <v>0.91666666666666663</v>
      </c>
      <c r="C743" s="246">
        <v>52</v>
      </c>
      <c r="D743" s="60">
        <v>12.2</v>
      </c>
      <c r="E743" s="247">
        <v>17.5</v>
      </c>
      <c r="F743" s="57">
        <v>856</v>
      </c>
      <c r="G743" s="57">
        <v>2467</v>
      </c>
      <c r="H743" s="57">
        <v>103.1</v>
      </c>
      <c r="I743" s="57">
        <v>104.6</v>
      </c>
      <c r="J743" s="57" t="s">
        <v>5236</v>
      </c>
      <c r="K743" s="60">
        <v>35.97</v>
      </c>
      <c r="L743" s="60">
        <v>40</v>
      </c>
      <c r="M743" s="60">
        <v>45.72</v>
      </c>
      <c r="N743" s="57" t="s">
        <v>142</v>
      </c>
      <c r="O743" s="57" t="s">
        <v>142</v>
      </c>
      <c r="P743" s="57" t="s">
        <v>142</v>
      </c>
      <c r="Q743" s="57" t="s">
        <v>5237</v>
      </c>
      <c r="R743" s="57">
        <v>74.7</v>
      </c>
      <c r="S743" s="26" t="s">
        <v>451</v>
      </c>
      <c r="T743" s="20" t="s">
        <v>4320</v>
      </c>
      <c r="U743" s="39"/>
    </row>
    <row r="744" spans="1:21" ht="22.5" customHeight="1" x14ac:dyDescent="0.25">
      <c r="A744" s="25">
        <v>45015</v>
      </c>
      <c r="B744" s="38">
        <v>0.91666666666666663</v>
      </c>
      <c r="C744" s="1469" t="s">
        <v>5246</v>
      </c>
      <c r="D744" s="1470"/>
      <c r="E744" s="1470"/>
      <c r="F744" s="1470"/>
      <c r="G744" s="1470"/>
      <c r="H744" s="1470"/>
      <c r="I744" s="1470"/>
      <c r="J744" s="1470"/>
      <c r="K744" s="1470"/>
      <c r="L744" s="1470"/>
      <c r="M744" s="1470"/>
      <c r="N744" s="1470"/>
      <c r="O744" s="1470"/>
      <c r="P744" s="1470"/>
      <c r="Q744" s="1470"/>
      <c r="R744" s="1471"/>
      <c r="S744" s="26" t="s">
        <v>451</v>
      </c>
      <c r="T744" s="20" t="s">
        <v>4320</v>
      </c>
      <c r="U744" s="39"/>
    </row>
    <row r="745" spans="1:21" ht="22.5" customHeight="1" x14ac:dyDescent="0.25">
      <c r="A745" s="25">
        <v>45016</v>
      </c>
      <c r="B745" s="38">
        <v>0.91666666666666663</v>
      </c>
      <c r="C745" s="1469" t="s">
        <v>5247</v>
      </c>
      <c r="D745" s="1470"/>
      <c r="E745" s="1470"/>
      <c r="F745" s="1470"/>
      <c r="G745" s="1470"/>
      <c r="H745" s="1470"/>
      <c r="I745" s="1470"/>
      <c r="J745" s="1470"/>
      <c r="K745" s="1470"/>
      <c r="L745" s="1470"/>
      <c r="M745" s="1470"/>
      <c r="N745" s="1470"/>
      <c r="O745" s="1470"/>
      <c r="P745" s="1470"/>
      <c r="Q745" s="1470"/>
      <c r="R745" s="1471"/>
      <c r="S745" s="26" t="s">
        <v>451</v>
      </c>
      <c r="T745" s="20" t="s">
        <v>4320</v>
      </c>
      <c r="U745" s="39"/>
    </row>
    <row r="746" spans="1:21" ht="22.5" customHeight="1" x14ac:dyDescent="0.25">
      <c r="A746" s="25">
        <v>45017</v>
      </c>
      <c r="B746" s="38">
        <v>0.91666666666666663</v>
      </c>
      <c r="C746" s="1469" t="s">
        <v>5253</v>
      </c>
      <c r="D746" s="1470"/>
      <c r="E746" s="1470"/>
      <c r="F746" s="1470"/>
      <c r="G746" s="1470"/>
      <c r="H746" s="1470"/>
      <c r="I746" s="1470"/>
      <c r="J746" s="1470"/>
      <c r="K746" s="1470"/>
      <c r="L746" s="1470"/>
      <c r="M746" s="1470"/>
      <c r="N746" s="1470"/>
      <c r="O746" s="1470"/>
      <c r="P746" s="1470"/>
      <c r="Q746" s="1470"/>
      <c r="R746" s="1471"/>
      <c r="S746" s="26" t="s">
        <v>451</v>
      </c>
      <c r="T746" s="20" t="s">
        <v>4320</v>
      </c>
      <c r="U746" s="39"/>
    </row>
    <row r="747" spans="1:21" ht="22.5" customHeight="1" x14ac:dyDescent="0.25">
      <c r="A747" s="25">
        <v>45018</v>
      </c>
      <c r="B747" s="38">
        <v>0.91666666666666663</v>
      </c>
      <c r="C747" s="1469" t="s">
        <v>5256</v>
      </c>
      <c r="D747" s="1470"/>
      <c r="E747" s="1470"/>
      <c r="F747" s="1470"/>
      <c r="G747" s="1470"/>
      <c r="H747" s="1470"/>
      <c r="I747" s="1470"/>
      <c r="J747" s="1470"/>
      <c r="K747" s="1470"/>
      <c r="L747" s="1470"/>
      <c r="M747" s="1470"/>
      <c r="N747" s="1470"/>
      <c r="O747" s="1470"/>
      <c r="P747" s="1470"/>
      <c r="Q747" s="1470"/>
      <c r="R747" s="1471"/>
      <c r="S747" s="26" t="s">
        <v>451</v>
      </c>
      <c r="T747" s="20" t="s">
        <v>4320</v>
      </c>
      <c r="U747" s="39"/>
    </row>
    <row r="748" spans="1:21" ht="22.5" customHeight="1" x14ac:dyDescent="0.25">
      <c r="A748" s="25">
        <v>45019</v>
      </c>
      <c r="B748" s="38">
        <v>0.91666666666666663</v>
      </c>
      <c r="C748" s="1469" t="s">
        <v>5278</v>
      </c>
      <c r="D748" s="1470"/>
      <c r="E748" s="1470"/>
      <c r="F748" s="1470"/>
      <c r="G748" s="1470"/>
      <c r="H748" s="1470"/>
      <c r="I748" s="1470"/>
      <c r="J748" s="1470"/>
      <c r="K748" s="1470"/>
      <c r="L748" s="1470"/>
      <c r="M748" s="1470"/>
      <c r="N748" s="1470"/>
      <c r="O748" s="1470"/>
      <c r="P748" s="1470"/>
      <c r="Q748" s="1470"/>
      <c r="R748" s="1471"/>
      <c r="S748" s="26" t="s">
        <v>451</v>
      </c>
      <c r="T748" s="20" t="s">
        <v>4320</v>
      </c>
      <c r="U748" s="39"/>
    </row>
    <row r="749" spans="1:21" ht="22.5" customHeight="1" x14ac:dyDescent="0.25">
      <c r="A749" s="25">
        <v>45020</v>
      </c>
      <c r="B749" s="38">
        <v>0.95833333333333337</v>
      </c>
      <c r="C749" s="246">
        <v>52</v>
      </c>
      <c r="D749" s="60">
        <v>13.3</v>
      </c>
      <c r="E749" s="247">
        <v>18.3</v>
      </c>
      <c r="F749" s="57">
        <v>955</v>
      </c>
      <c r="G749" s="57">
        <v>2519</v>
      </c>
      <c r="H749" s="57">
        <v>102.6</v>
      </c>
      <c r="I749" s="57">
        <v>103.5</v>
      </c>
      <c r="J749" s="57" t="s">
        <v>5282</v>
      </c>
      <c r="K749" s="60">
        <v>38.83</v>
      </c>
      <c r="L749" s="60">
        <v>44</v>
      </c>
      <c r="M749" s="60">
        <v>43.61</v>
      </c>
      <c r="N749" s="57" t="s">
        <v>142</v>
      </c>
      <c r="O749" s="57" t="s">
        <v>142</v>
      </c>
      <c r="P749" s="57" t="s">
        <v>142</v>
      </c>
      <c r="Q749" s="57" t="s">
        <v>5283</v>
      </c>
      <c r="R749" s="57">
        <v>78.2</v>
      </c>
      <c r="S749" s="26" t="s">
        <v>451</v>
      </c>
      <c r="T749" s="20" t="s">
        <v>4320</v>
      </c>
      <c r="U749" s="39"/>
    </row>
    <row r="750" spans="1:21" ht="22.5" customHeight="1" x14ac:dyDescent="0.25">
      <c r="A750" s="25">
        <v>45021</v>
      </c>
      <c r="B750" s="38">
        <v>0.95833333333333337</v>
      </c>
      <c r="C750" s="246">
        <v>52</v>
      </c>
      <c r="D750" s="60">
        <v>11.7</v>
      </c>
      <c r="E750" s="247">
        <v>17</v>
      </c>
      <c r="F750" s="57">
        <v>896</v>
      </c>
      <c r="G750" s="57">
        <v>2590</v>
      </c>
      <c r="H750" s="57">
        <v>103.8</v>
      </c>
      <c r="I750" s="57">
        <v>105.7</v>
      </c>
      <c r="J750" s="57" t="s">
        <v>5295</v>
      </c>
      <c r="K750" s="60">
        <v>42.14</v>
      </c>
      <c r="L750" s="60">
        <v>44</v>
      </c>
      <c r="M750" s="60">
        <v>40.47</v>
      </c>
      <c r="N750" s="57" t="s">
        <v>142</v>
      </c>
      <c r="O750" s="57" t="s">
        <v>142</v>
      </c>
      <c r="P750" s="57" t="s">
        <v>142</v>
      </c>
      <c r="Q750" s="57" t="s">
        <v>2111</v>
      </c>
      <c r="R750" s="57">
        <v>72.599999999999994</v>
      </c>
      <c r="S750" s="26" t="s">
        <v>451</v>
      </c>
      <c r="T750" s="20" t="s">
        <v>4320</v>
      </c>
      <c r="U750" s="39" t="s">
        <v>415</v>
      </c>
    </row>
    <row r="751" spans="1:21" ht="22.5" customHeight="1" x14ac:dyDescent="0.25">
      <c r="A751" s="25">
        <v>45022</v>
      </c>
      <c r="B751" s="38">
        <v>0.91666666666666663</v>
      </c>
      <c r="C751" s="1469" t="s">
        <v>5302</v>
      </c>
      <c r="D751" s="1470"/>
      <c r="E751" s="1470"/>
      <c r="F751" s="1470"/>
      <c r="G751" s="1470"/>
      <c r="H751" s="1470"/>
      <c r="I751" s="1470"/>
      <c r="J751" s="1470"/>
      <c r="K751" s="1470"/>
      <c r="L751" s="1470"/>
      <c r="M751" s="1470"/>
      <c r="N751" s="1470"/>
      <c r="O751" s="1470"/>
      <c r="P751" s="1470"/>
      <c r="Q751" s="1470"/>
      <c r="R751" s="1471"/>
      <c r="S751" s="26" t="s">
        <v>451</v>
      </c>
      <c r="T751" s="20" t="s">
        <v>4320</v>
      </c>
      <c r="U751" s="39"/>
    </row>
    <row r="752" spans="1:21" ht="22.5" customHeight="1" x14ac:dyDescent="0.25">
      <c r="A752" s="25">
        <v>45023</v>
      </c>
      <c r="B752" s="38">
        <v>0.91666666666666663</v>
      </c>
      <c r="C752" s="1469" t="s">
        <v>5312</v>
      </c>
      <c r="D752" s="1470"/>
      <c r="E752" s="1470"/>
      <c r="F752" s="1470"/>
      <c r="G752" s="1470"/>
      <c r="H752" s="1470"/>
      <c r="I752" s="1470"/>
      <c r="J752" s="1470"/>
      <c r="K752" s="1470"/>
      <c r="L752" s="1470"/>
      <c r="M752" s="1470"/>
      <c r="N752" s="1470"/>
      <c r="O752" s="1470"/>
      <c r="P752" s="1470"/>
      <c r="Q752" s="1470"/>
      <c r="R752" s="1471"/>
      <c r="S752" s="26" t="s">
        <v>451</v>
      </c>
      <c r="T752" s="20" t="s">
        <v>4320</v>
      </c>
      <c r="U752" s="39"/>
    </row>
    <row r="753" spans="1:21" ht="22.5" customHeight="1" x14ac:dyDescent="0.25">
      <c r="A753" s="25">
        <v>45024</v>
      </c>
      <c r="B753" s="38">
        <v>0.91666666666666663</v>
      </c>
      <c r="C753" s="1469" t="s">
        <v>5321</v>
      </c>
      <c r="D753" s="1470"/>
      <c r="E753" s="1470"/>
      <c r="F753" s="1470"/>
      <c r="G753" s="1470"/>
      <c r="H753" s="1470"/>
      <c r="I753" s="1470"/>
      <c r="J753" s="1470"/>
      <c r="K753" s="1470"/>
      <c r="L753" s="1470"/>
      <c r="M753" s="1470"/>
      <c r="N753" s="1470"/>
      <c r="O753" s="1470"/>
      <c r="P753" s="1470"/>
      <c r="Q753" s="1470"/>
      <c r="R753" s="1471"/>
      <c r="S753" s="26" t="s">
        <v>451</v>
      </c>
      <c r="T753" s="20" t="s">
        <v>4320</v>
      </c>
      <c r="U753" s="39"/>
    </row>
    <row r="754" spans="1:21" ht="22.5" customHeight="1" x14ac:dyDescent="0.25">
      <c r="A754" s="25">
        <v>45025</v>
      </c>
      <c r="B754" s="38">
        <v>0.91666666666666663</v>
      </c>
      <c r="C754" s="1469" t="s">
        <v>5330</v>
      </c>
      <c r="D754" s="1470"/>
      <c r="E754" s="1470"/>
      <c r="F754" s="1470"/>
      <c r="G754" s="1470"/>
      <c r="H754" s="1470"/>
      <c r="I754" s="1470"/>
      <c r="J754" s="1470"/>
      <c r="K754" s="1470"/>
      <c r="L754" s="1470"/>
      <c r="M754" s="1470"/>
      <c r="N754" s="1470"/>
      <c r="O754" s="1470"/>
      <c r="P754" s="1470"/>
      <c r="Q754" s="1470"/>
      <c r="R754" s="1471"/>
      <c r="S754" s="26" t="s">
        <v>451</v>
      </c>
      <c r="T754" s="20" t="s">
        <v>4320</v>
      </c>
      <c r="U754" s="39"/>
    </row>
    <row r="755" spans="1:21" ht="22.5" customHeight="1" x14ac:dyDescent="0.25">
      <c r="A755" s="25">
        <v>45026</v>
      </c>
      <c r="B755" s="38">
        <v>0.79166666666666663</v>
      </c>
      <c r="C755" s="246">
        <v>52</v>
      </c>
      <c r="D755" s="60">
        <v>13.4</v>
      </c>
      <c r="E755" s="247">
        <v>18.399999999999999</v>
      </c>
      <c r="F755" s="57">
        <v>949</v>
      </c>
      <c r="G755" s="57">
        <v>2563</v>
      </c>
      <c r="H755" s="57">
        <v>102.6</v>
      </c>
      <c r="I755" s="57">
        <v>103.6</v>
      </c>
      <c r="J755" s="57" t="s">
        <v>5342</v>
      </c>
      <c r="K755" s="60">
        <v>36.770000000000003</v>
      </c>
      <c r="L755" s="60">
        <v>43</v>
      </c>
      <c r="M755" s="60">
        <v>41.54</v>
      </c>
      <c r="N755" s="57" t="s">
        <v>142</v>
      </c>
      <c r="O755" s="57" t="s">
        <v>142</v>
      </c>
      <c r="P755" s="57" t="s">
        <v>142</v>
      </c>
      <c r="Q755" s="57" t="s">
        <v>5343</v>
      </c>
      <c r="R755" s="57">
        <v>78.599999999999994</v>
      </c>
      <c r="S755" s="26" t="s">
        <v>451</v>
      </c>
      <c r="T755" s="20" t="s">
        <v>4320</v>
      </c>
      <c r="U755" s="39" t="s">
        <v>415</v>
      </c>
    </row>
    <row r="756" spans="1:21" ht="22.5" customHeight="1" x14ac:dyDescent="0.25">
      <c r="A756" s="25">
        <v>45027</v>
      </c>
      <c r="B756" s="38">
        <v>0.91666666666666663</v>
      </c>
      <c r="C756" s="246">
        <v>52</v>
      </c>
      <c r="D756" s="60">
        <v>12.1</v>
      </c>
      <c r="E756" s="247">
        <v>17.399999999999999</v>
      </c>
      <c r="F756" s="57">
        <v>862</v>
      </c>
      <c r="G756" s="57">
        <v>2503</v>
      </c>
      <c r="H756" s="57">
        <v>103.1</v>
      </c>
      <c r="I756" s="57">
        <v>104.2</v>
      </c>
      <c r="J756" s="57" t="s">
        <v>5350</v>
      </c>
      <c r="K756" s="60">
        <v>37.130000000000003</v>
      </c>
      <c r="L756" s="60">
        <v>42</v>
      </c>
      <c r="M756" s="60">
        <v>44.3</v>
      </c>
      <c r="N756" s="57" t="s">
        <v>142</v>
      </c>
      <c r="O756" s="57" t="s">
        <v>142</v>
      </c>
      <c r="P756" s="57" t="s">
        <v>142</v>
      </c>
      <c r="Q756" s="57" t="s">
        <v>3976</v>
      </c>
      <c r="R756" s="57">
        <v>74.3</v>
      </c>
      <c r="S756" s="26" t="s">
        <v>451</v>
      </c>
      <c r="T756" s="20" t="s">
        <v>4320</v>
      </c>
      <c r="U756" s="39" t="s">
        <v>5351</v>
      </c>
    </row>
    <row r="757" spans="1:21" ht="22.5" customHeight="1" x14ac:dyDescent="0.25">
      <c r="A757" s="25">
        <v>45028</v>
      </c>
      <c r="B757" s="38">
        <v>0.875</v>
      </c>
      <c r="C757" s="246">
        <v>52</v>
      </c>
      <c r="D757" s="60">
        <v>11.7</v>
      </c>
      <c r="E757" s="247">
        <v>16.899999999999999</v>
      </c>
      <c r="F757" s="57">
        <v>857</v>
      </c>
      <c r="G757" s="57">
        <v>2498</v>
      </c>
      <c r="H757" s="57">
        <v>103.6</v>
      </c>
      <c r="I757" s="57">
        <v>104.6</v>
      </c>
      <c r="J757" s="57" t="s">
        <v>5350</v>
      </c>
      <c r="K757" s="60">
        <v>36.75</v>
      </c>
      <c r="L757" s="60">
        <v>41</v>
      </c>
      <c r="M757" s="60">
        <v>41.35</v>
      </c>
      <c r="N757" s="57" t="s">
        <v>142</v>
      </c>
      <c r="O757" s="57" t="s">
        <v>142</v>
      </c>
      <c r="P757" s="57" t="s">
        <v>142</v>
      </c>
      <c r="Q757" s="57" t="s">
        <v>3487</v>
      </c>
      <c r="R757" s="57">
        <v>72.2</v>
      </c>
      <c r="S757" s="26" t="s">
        <v>451</v>
      </c>
      <c r="T757" s="20" t="s">
        <v>4320</v>
      </c>
      <c r="U757" s="39" t="s">
        <v>5351</v>
      </c>
    </row>
    <row r="758" spans="1:21" ht="22.5" customHeight="1" x14ac:dyDescent="0.25">
      <c r="A758" s="25">
        <v>45029</v>
      </c>
      <c r="B758" s="38">
        <v>0.91666666666666663</v>
      </c>
      <c r="C758" s="1469" t="s">
        <v>5369</v>
      </c>
      <c r="D758" s="1470"/>
      <c r="E758" s="1470"/>
      <c r="F758" s="1470"/>
      <c r="G758" s="1470"/>
      <c r="H758" s="1470"/>
      <c r="I758" s="1470"/>
      <c r="J758" s="1470"/>
      <c r="K758" s="1470"/>
      <c r="L758" s="1470"/>
      <c r="M758" s="1470"/>
      <c r="N758" s="1470"/>
      <c r="O758" s="1470"/>
      <c r="P758" s="1470"/>
      <c r="Q758" s="1470"/>
      <c r="R758" s="1471"/>
      <c r="S758" s="26" t="s">
        <v>451</v>
      </c>
      <c r="T758" s="20" t="s">
        <v>4320</v>
      </c>
      <c r="U758" s="39"/>
    </row>
    <row r="759" spans="1:21" ht="22.5" customHeight="1" x14ac:dyDescent="0.25">
      <c r="A759" s="25">
        <v>45030</v>
      </c>
      <c r="B759" s="38">
        <v>0.875</v>
      </c>
      <c r="C759" s="1469" t="s">
        <v>5370</v>
      </c>
      <c r="D759" s="1470"/>
      <c r="E759" s="1470"/>
      <c r="F759" s="1470"/>
      <c r="G759" s="1470"/>
      <c r="H759" s="1470"/>
      <c r="I759" s="1470"/>
      <c r="J759" s="1470"/>
      <c r="K759" s="1470"/>
      <c r="L759" s="1470"/>
      <c r="M759" s="1470"/>
      <c r="N759" s="1470"/>
      <c r="O759" s="1470"/>
      <c r="P759" s="1470"/>
      <c r="Q759" s="1470"/>
      <c r="R759" s="1471"/>
      <c r="S759" s="26" t="s">
        <v>451</v>
      </c>
      <c r="T759" s="20" t="s">
        <v>4320</v>
      </c>
      <c r="U759" s="39"/>
    </row>
    <row r="760" spans="1:21" ht="22.5" customHeight="1" x14ac:dyDescent="0.25">
      <c r="A760" s="25">
        <v>45031</v>
      </c>
      <c r="B760" s="38">
        <v>0.875</v>
      </c>
      <c r="C760" s="246">
        <v>52</v>
      </c>
      <c r="D760" s="60">
        <v>13.1</v>
      </c>
      <c r="E760" s="247">
        <v>18.100000000000001</v>
      </c>
      <c r="F760" s="57">
        <v>917</v>
      </c>
      <c r="G760" s="57">
        <v>2473</v>
      </c>
      <c r="H760" s="57">
        <v>102.5</v>
      </c>
      <c r="I760" s="57">
        <v>103.5</v>
      </c>
      <c r="J760" s="57" t="s">
        <v>5376</v>
      </c>
      <c r="K760" s="60">
        <v>34.729999999999997</v>
      </c>
      <c r="L760" s="60">
        <v>40</v>
      </c>
      <c r="M760" s="60">
        <v>42.24</v>
      </c>
      <c r="N760" s="57" t="s">
        <v>142</v>
      </c>
      <c r="O760" s="57" t="s">
        <v>142</v>
      </c>
      <c r="P760" s="57" t="s">
        <v>142</v>
      </c>
      <c r="Q760" s="57" t="s">
        <v>4878</v>
      </c>
      <c r="R760" s="57">
        <v>77.3</v>
      </c>
      <c r="S760" s="26" t="s">
        <v>451</v>
      </c>
      <c r="T760" s="20" t="s">
        <v>4320</v>
      </c>
      <c r="U760" s="39" t="s">
        <v>5351</v>
      </c>
    </row>
    <row r="761" spans="1:21" ht="22.5" customHeight="1" x14ac:dyDescent="0.25">
      <c r="A761" s="25">
        <v>45032</v>
      </c>
      <c r="B761" s="38">
        <v>0.95833333333333337</v>
      </c>
      <c r="C761" s="246">
        <v>52</v>
      </c>
      <c r="D761" s="60">
        <v>11.9</v>
      </c>
      <c r="E761" s="247">
        <v>17.100000000000001</v>
      </c>
      <c r="F761" s="57">
        <v>847</v>
      </c>
      <c r="G761" s="57">
        <v>2481</v>
      </c>
      <c r="H761" s="57">
        <v>103.5</v>
      </c>
      <c r="I761" s="57">
        <v>104.5</v>
      </c>
      <c r="J761" s="57" t="s">
        <v>5388</v>
      </c>
      <c r="K761" s="60">
        <v>36.42</v>
      </c>
      <c r="L761" s="60">
        <v>42</v>
      </c>
      <c r="M761" s="60">
        <v>42.81</v>
      </c>
      <c r="N761" s="57" t="s">
        <v>142</v>
      </c>
      <c r="O761" s="57" t="s">
        <v>142</v>
      </c>
      <c r="P761" s="57" t="s">
        <v>142</v>
      </c>
      <c r="Q761" s="57" t="s">
        <v>5389</v>
      </c>
      <c r="R761" s="57">
        <v>73</v>
      </c>
      <c r="S761" s="26" t="s">
        <v>451</v>
      </c>
      <c r="T761" s="20" t="s">
        <v>4320</v>
      </c>
      <c r="U761" s="39" t="s">
        <v>5351</v>
      </c>
    </row>
    <row r="762" spans="1:21" ht="22.5" customHeight="1" x14ac:dyDescent="0.25">
      <c r="A762" s="25">
        <v>45033</v>
      </c>
      <c r="B762" s="38">
        <v>0.95833333333333337</v>
      </c>
      <c r="C762" s="1469" t="s">
        <v>5395</v>
      </c>
      <c r="D762" s="1470"/>
      <c r="E762" s="1470"/>
      <c r="F762" s="1470"/>
      <c r="G762" s="1470"/>
      <c r="H762" s="1470"/>
      <c r="I762" s="1470"/>
      <c r="J762" s="1470"/>
      <c r="K762" s="1470"/>
      <c r="L762" s="1470"/>
      <c r="M762" s="1470"/>
      <c r="N762" s="1470"/>
      <c r="O762" s="1470"/>
      <c r="P762" s="1470"/>
      <c r="Q762" s="1470"/>
      <c r="R762" s="1471"/>
      <c r="S762" s="26" t="s">
        <v>451</v>
      </c>
      <c r="T762" s="20" t="s">
        <v>4320</v>
      </c>
      <c r="U762" s="39" t="s">
        <v>5351</v>
      </c>
    </row>
    <row r="763" spans="1:21" ht="22.5" customHeight="1" x14ac:dyDescent="0.25">
      <c r="A763" s="25">
        <v>45034</v>
      </c>
      <c r="B763" s="38">
        <v>0.95833333333333337</v>
      </c>
      <c r="C763" s="1469" t="s">
        <v>5422</v>
      </c>
      <c r="D763" s="1470"/>
      <c r="E763" s="1470"/>
      <c r="F763" s="1470"/>
      <c r="G763" s="1470"/>
      <c r="H763" s="1470"/>
      <c r="I763" s="1470"/>
      <c r="J763" s="1470"/>
      <c r="K763" s="1470"/>
      <c r="L763" s="1470"/>
      <c r="M763" s="1470"/>
      <c r="N763" s="1470"/>
      <c r="O763" s="1470"/>
      <c r="P763" s="1470"/>
      <c r="Q763" s="1470"/>
      <c r="R763" s="1471"/>
      <c r="S763" s="26" t="s">
        <v>451</v>
      </c>
      <c r="T763" s="20" t="s">
        <v>4320</v>
      </c>
      <c r="U763" s="39" t="s">
        <v>5351</v>
      </c>
    </row>
    <row r="764" spans="1:21" ht="22.5" customHeight="1" x14ac:dyDescent="0.25">
      <c r="A764" s="25">
        <v>45035</v>
      </c>
      <c r="B764" s="38">
        <v>0.95833333333333337</v>
      </c>
      <c r="C764" s="1469" t="s">
        <v>5421</v>
      </c>
      <c r="D764" s="1470"/>
      <c r="E764" s="1470"/>
      <c r="F764" s="1470"/>
      <c r="G764" s="1470"/>
      <c r="H764" s="1470"/>
      <c r="I764" s="1470"/>
      <c r="J764" s="1470"/>
      <c r="K764" s="1470"/>
      <c r="L764" s="1470"/>
      <c r="M764" s="1470"/>
      <c r="N764" s="1470"/>
      <c r="O764" s="1470"/>
      <c r="P764" s="1470"/>
      <c r="Q764" s="1470"/>
      <c r="R764" s="1471"/>
      <c r="S764" s="26" t="s">
        <v>451</v>
      </c>
      <c r="T764" s="20" t="s">
        <v>4320</v>
      </c>
      <c r="U764" s="39" t="s">
        <v>5351</v>
      </c>
    </row>
    <row r="765" spans="1:21" ht="22.5" customHeight="1" x14ac:dyDescent="0.25">
      <c r="A765" s="25">
        <v>45036</v>
      </c>
      <c r="B765" s="38">
        <v>0.875</v>
      </c>
      <c r="C765" s="1469" t="s">
        <v>5426</v>
      </c>
      <c r="D765" s="1470"/>
      <c r="E765" s="1470"/>
      <c r="F765" s="1470"/>
      <c r="G765" s="1470"/>
      <c r="H765" s="1470"/>
      <c r="I765" s="1470"/>
      <c r="J765" s="1470"/>
      <c r="K765" s="1470"/>
      <c r="L765" s="1470"/>
      <c r="M765" s="1470"/>
      <c r="N765" s="1470"/>
      <c r="O765" s="1470"/>
      <c r="P765" s="1470"/>
      <c r="Q765" s="1470"/>
      <c r="R765" s="1471"/>
      <c r="S765" s="26" t="s">
        <v>451</v>
      </c>
      <c r="T765" s="20" t="s">
        <v>4320</v>
      </c>
      <c r="U765" s="39" t="s">
        <v>5351</v>
      </c>
    </row>
    <row r="766" spans="1:21" ht="22.5" customHeight="1" x14ac:dyDescent="0.25">
      <c r="A766" s="25">
        <v>45037</v>
      </c>
      <c r="B766" s="38">
        <v>0.91666666666666663</v>
      </c>
      <c r="C766" s="1469" t="s">
        <v>5429</v>
      </c>
      <c r="D766" s="1470"/>
      <c r="E766" s="1470"/>
      <c r="F766" s="1470"/>
      <c r="G766" s="1470"/>
      <c r="H766" s="1470"/>
      <c r="I766" s="1470"/>
      <c r="J766" s="1470"/>
      <c r="K766" s="1470"/>
      <c r="L766" s="1470"/>
      <c r="M766" s="1470"/>
      <c r="N766" s="1470"/>
      <c r="O766" s="1470"/>
      <c r="P766" s="1470"/>
      <c r="Q766" s="1470"/>
      <c r="R766" s="1471"/>
      <c r="S766" s="26" t="s">
        <v>451</v>
      </c>
      <c r="T766" s="20" t="s">
        <v>4320</v>
      </c>
      <c r="U766" s="39" t="s">
        <v>5351</v>
      </c>
    </row>
    <row r="767" spans="1:21" ht="22.5" customHeight="1" x14ac:dyDescent="0.25">
      <c r="A767" s="25">
        <v>45038</v>
      </c>
      <c r="B767" s="38">
        <v>0.91666666666666663</v>
      </c>
      <c r="C767" s="1469" t="s">
        <v>5441</v>
      </c>
      <c r="D767" s="1470"/>
      <c r="E767" s="1470"/>
      <c r="F767" s="1470"/>
      <c r="G767" s="1470"/>
      <c r="H767" s="1470"/>
      <c r="I767" s="1470"/>
      <c r="J767" s="1470"/>
      <c r="K767" s="1470"/>
      <c r="L767" s="1470"/>
      <c r="M767" s="1470"/>
      <c r="N767" s="1470"/>
      <c r="O767" s="1470"/>
      <c r="P767" s="1470"/>
      <c r="Q767" s="1470"/>
      <c r="R767" s="1471"/>
      <c r="S767" s="26" t="s">
        <v>451</v>
      </c>
      <c r="T767" s="20" t="s">
        <v>4320</v>
      </c>
      <c r="U767" s="39" t="s">
        <v>5351</v>
      </c>
    </row>
    <row r="768" spans="1:21" ht="22.5" customHeight="1" x14ac:dyDescent="0.25">
      <c r="A768" s="25">
        <v>45039</v>
      </c>
      <c r="B768" s="38">
        <v>0.95833333333333337</v>
      </c>
      <c r="C768" s="246">
        <v>53</v>
      </c>
      <c r="D768" s="60">
        <v>13.7</v>
      </c>
      <c r="E768" s="247">
        <v>18.7</v>
      </c>
      <c r="F768" s="57">
        <v>906</v>
      </c>
      <c r="G768" s="57">
        <v>2606</v>
      </c>
      <c r="H768" s="57">
        <v>102.7</v>
      </c>
      <c r="I768" s="57">
        <v>103.5</v>
      </c>
      <c r="J768" s="57" t="s">
        <v>5524</v>
      </c>
      <c r="K768" s="60">
        <v>42.23</v>
      </c>
      <c r="L768" s="60">
        <v>43</v>
      </c>
      <c r="M768" s="60">
        <v>44.18</v>
      </c>
      <c r="N768" s="57" t="s">
        <v>142</v>
      </c>
      <c r="O768" s="57" t="s">
        <v>142</v>
      </c>
      <c r="P768" s="57" t="s">
        <v>142</v>
      </c>
      <c r="Q768" s="57" t="s">
        <v>5445</v>
      </c>
      <c r="R768" s="57">
        <v>73</v>
      </c>
      <c r="S768" s="26" t="s">
        <v>451</v>
      </c>
      <c r="T768" s="20" t="s">
        <v>4320</v>
      </c>
      <c r="U768" s="39" t="s">
        <v>5446</v>
      </c>
    </row>
    <row r="769" spans="1:21" ht="22.5" customHeight="1" x14ac:dyDescent="0.25">
      <c r="A769" s="25">
        <v>45040</v>
      </c>
      <c r="B769" s="38">
        <v>0.91666666666666663</v>
      </c>
      <c r="C769" s="1469" t="s">
        <v>5450</v>
      </c>
      <c r="D769" s="1470"/>
      <c r="E769" s="1470"/>
      <c r="F769" s="1470"/>
      <c r="G769" s="1470"/>
      <c r="H769" s="1470"/>
      <c r="I769" s="1470"/>
      <c r="J769" s="1470"/>
      <c r="K769" s="1470"/>
      <c r="L769" s="1470"/>
      <c r="M769" s="1470"/>
      <c r="N769" s="1470"/>
      <c r="O769" s="1470"/>
      <c r="P769" s="1470"/>
      <c r="Q769" s="1470"/>
      <c r="R769" s="1471"/>
      <c r="S769" s="26" t="s">
        <v>451</v>
      </c>
      <c r="T769" s="20" t="s">
        <v>4320</v>
      </c>
      <c r="U769" s="39" t="s">
        <v>5351</v>
      </c>
    </row>
    <row r="770" spans="1:21" ht="22.5" customHeight="1" x14ac:dyDescent="0.25">
      <c r="A770" s="25">
        <v>45041</v>
      </c>
      <c r="B770" s="38">
        <v>0.91666666666666663</v>
      </c>
      <c r="C770" s="1469" t="s">
        <v>5498</v>
      </c>
      <c r="D770" s="1470"/>
      <c r="E770" s="1470"/>
      <c r="F770" s="1470"/>
      <c r="G770" s="1470"/>
      <c r="H770" s="1470"/>
      <c r="I770" s="1470"/>
      <c r="J770" s="1470"/>
      <c r="K770" s="1470"/>
      <c r="L770" s="1470"/>
      <c r="M770" s="1470"/>
      <c r="N770" s="1470"/>
      <c r="O770" s="1470"/>
      <c r="P770" s="1470"/>
      <c r="Q770" s="1470"/>
      <c r="R770" s="1471"/>
      <c r="S770" s="26" t="s">
        <v>451</v>
      </c>
      <c r="T770" s="20" t="s">
        <v>4320</v>
      </c>
      <c r="U770" s="39" t="s">
        <v>5351</v>
      </c>
    </row>
    <row r="771" spans="1:21" ht="22.5" customHeight="1" x14ac:dyDescent="0.25">
      <c r="A771" s="25">
        <v>45042</v>
      </c>
      <c r="B771" s="38">
        <v>0.91666666666666663</v>
      </c>
      <c r="C771" s="1469" t="s">
        <v>5506</v>
      </c>
      <c r="D771" s="1470"/>
      <c r="E771" s="1470"/>
      <c r="F771" s="1470"/>
      <c r="G771" s="1470"/>
      <c r="H771" s="1470"/>
      <c r="I771" s="1470"/>
      <c r="J771" s="1470"/>
      <c r="K771" s="1470"/>
      <c r="L771" s="1470"/>
      <c r="M771" s="1470"/>
      <c r="N771" s="1470"/>
      <c r="O771" s="1470"/>
      <c r="P771" s="1470"/>
      <c r="Q771" s="1470"/>
      <c r="R771" s="1471"/>
      <c r="S771" s="26" t="s">
        <v>451</v>
      </c>
      <c r="T771" s="20" t="s">
        <v>4320</v>
      </c>
      <c r="U771" s="39" t="s">
        <v>5351</v>
      </c>
    </row>
    <row r="772" spans="1:21" ht="22.5" customHeight="1" x14ac:dyDescent="0.25">
      <c r="A772" s="25">
        <v>45043</v>
      </c>
      <c r="B772" s="38">
        <v>0.95833333333333337</v>
      </c>
      <c r="C772" s="1469" t="s">
        <v>5514</v>
      </c>
      <c r="D772" s="1470"/>
      <c r="E772" s="1470"/>
      <c r="F772" s="1470"/>
      <c r="G772" s="1470"/>
      <c r="H772" s="1470"/>
      <c r="I772" s="1470"/>
      <c r="J772" s="1470"/>
      <c r="K772" s="1470"/>
      <c r="L772" s="1470"/>
      <c r="M772" s="1470"/>
      <c r="N772" s="1470"/>
      <c r="O772" s="1470"/>
      <c r="P772" s="1470"/>
      <c r="Q772" s="1470"/>
      <c r="R772" s="1471"/>
      <c r="S772" s="26" t="s">
        <v>451</v>
      </c>
      <c r="T772" s="20" t="s">
        <v>4320</v>
      </c>
      <c r="U772" s="39" t="s">
        <v>5351</v>
      </c>
    </row>
    <row r="773" spans="1:21" ht="22.5" customHeight="1" x14ac:dyDescent="0.25">
      <c r="A773" s="25">
        <v>45044</v>
      </c>
      <c r="B773" s="38">
        <v>0.95833333333333337</v>
      </c>
      <c r="C773" s="246">
        <v>53</v>
      </c>
      <c r="D773" s="60">
        <v>13.1</v>
      </c>
      <c r="E773" s="247">
        <v>18.100000000000001</v>
      </c>
      <c r="F773" s="57">
        <v>860</v>
      </c>
      <c r="G773" s="57">
        <v>2604</v>
      </c>
      <c r="H773" s="57">
        <v>102.7</v>
      </c>
      <c r="I773" s="57">
        <v>103.7</v>
      </c>
      <c r="J773" s="57" t="s">
        <v>5525</v>
      </c>
      <c r="K773" s="60">
        <v>41.36</v>
      </c>
      <c r="L773" s="60">
        <v>43</v>
      </c>
      <c r="M773" s="60">
        <v>46.67</v>
      </c>
      <c r="N773" s="57" t="s">
        <v>142</v>
      </c>
      <c r="O773" s="57" t="s">
        <v>142</v>
      </c>
      <c r="P773" s="57" t="s">
        <v>142</v>
      </c>
      <c r="Q773" s="57" t="s">
        <v>5527</v>
      </c>
      <c r="R773" s="57">
        <v>77.3</v>
      </c>
      <c r="S773" s="26" t="s">
        <v>451</v>
      </c>
      <c r="T773" s="20" t="s">
        <v>4320</v>
      </c>
      <c r="U773" s="39" t="s">
        <v>5526</v>
      </c>
    </row>
    <row r="774" spans="1:21" ht="22.5" customHeight="1" x14ac:dyDescent="0.25">
      <c r="A774" s="25">
        <v>45045</v>
      </c>
      <c r="B774" s="38">
        <v>0.91666666666666663</v>
      </c>
      <c r="C774" s="246">
        <v>53.5</v>
      </c>
      <c r="D774" s="60">
        <v>12.2</v>
      </c>
      <c r="E774" s="247">
        <v>17.5</v>
      </c>
      <c r="F774" s="57">
        <v>840</v>
      </c>
      <c r="G774" s="57">
        <v>2553</v>
      </c>
      <c r="H774" s="57">
        <v>103.2</v>
      </c>
      <c r="I774" s="57">
        <v>104.6</v>
      </c>
      <c r="J774" s="57" t="s">
        <v>5534</v>
      </c>
      <c r="K774" s="60">
        <v>42.69</v>
      </c>
      <c r="L774" s="60">
        <v>43</v>
      </c>
      <c r="M774" s="60">
        <v>44.07</v>
      </c>
      <c r="N774" s="57" t="s">
        <v>142</v>
      </c>
      <c r="O774" s="57" t="s">
        <v>142</v>
      </c>
      <c r="P774" s="57" t="s">
        <v>142</v>
      </c>
      <c r="Q774" s="57" t="s">
        <v>4819</v>
      </c>
      <c r="R774" s="57">
        <v>74.7</v>
      </c>
      <c r="S774" s="26" t="s">
        <v>451</v>
      </c>
      <c r="T774" s="20" t="s">
        <v>4320</v>
      </c>
      <c r="U774" s="39" t="s">
        <v>5535</v>
      </c>
    </row>
    <row r="775" spans="1:21" ht="22.5" customHeight="1" x14ac:dyDescent="0.25">
      <c r="A775" s="25">
        <v>45046</v>
      </c>
      <c r="B775" s="38">
        <v>0.95833333333333337</v>
      </c>
      <c r="C775" s="246">
        <v>53.5</v>
      </c>
      <c r="D775" s="60">
        <v>11.7</v>
      </c>
      <c r="E775" s="247">
        <v>17.100000000000001</v>
      </c>
      <c r="F775" s="57">
        <v>821</v>
      </c>
      <c r="G775" s="57">
        <v>2498</v>
      </c>
      <c r="H775" s="57">
        <v>103.5</v>
      </c>
      <c r="I775" s="57">
        <v>104.9</v>
      </c>
      <c r="J775" s="57" t="s">
        <v>5540</v>
      </c>
      <c r="K775" s="60">
        <v>38.24</v>
      </c>
      <c r="L775" s="60">
        <v>42</v>
      </c>
      <c r="M775" s="60">
        <v>43.03</v>
      </c>
      <c r="N775" s="57" t="s">
        <v>142</v>
      </c>
      <c r="O775" s="57" t="s">
        <v>142</v>
      </c>
      <c r="P775" s="57" t="s">
        <v>142</v>
      </c>
      <c r="Q775" s="57" t="s">
        <v>3555</v>
      </c>
      <c r="R775" s="57">
        <v>73</v>
      </c>
      <c r="S775" s="26" t="s">
        <v>451</v>
      </c>
      <c r="T775" s="20" t="s">
        <v>4320</v>
      </c>
      <c r="U775" s="39" t="s">
        <v>415</v>
      </c>
    </row>
    <row r="776" spans="1:21" ht="22.5" customHeight="1" x14ac:dyDescent="0.25">
      <c r="A776" s="25">
        <v>45047</v>
      </c>
      <c r="B776" s="38">
        <v>0.89583333333333337</v>
      </c>
      <c r="C776" s="246">
        <v>53.5</v>
      </c>
      <c r="D776" s="60">
        <v>12</v>
      </c>
      <c r="E776" s="247">
        <v>17.3</v>
      </c>
      <c r="F776" s="57">
        <v>813</v>
      </c>
      <c r="G776" s="57">
        <v>2512</v>
      </c>
      <c r="H776" s="57">
        <v>103.8</v>
      </c>
      <c r="I776" s="57">
        <v>105.2</v>
      </c>
      <c r="J776" s="57" t="s">
        <v>5552</v>
      </c>
      <c r="K776" s="60">
        <v>38.14</v>
      </c>
      <c r="L776" s="60">
        <v>41</v>
      </c>
      <c r="M776" s="60">
        <v>42.24</v>
      </c>
      <c r="N776" s="57" t="s">
        <v>142</v>
      </c>
      <c r="O776" s="57" t="s">
        <v>142</v>
      </c>
      <c r="P776" s="57" t="s">
        <v>142</v>
      </c>
      <c r="Q776" s="57" t="s">
        <v>4611</v>
      </c>
      <c r="R776" s="57">
        <v>73.900000000000006</v>
      </c>
      <c r="S776" s="26" t="s">
        <v>451</v>
      </c>
      <c r="T776" s="20" t="s">
        <v>4320</v>
      </c>
      <c r="U776" s="39" t="s">
        <v>415</v>
      </c>
    </row>
    <row r="777" spans="1:21" ht="22.5" customHeight="1" x14ac:dyDescent="0.25">
      <c r="A777" s="25">
        <v>45048</v>
      </c>
      <c r="B777" s="38">
        <v>0.89583333333333337</v>
      </c>
      <c r="C777" s="246">
        <v>53.5</v>
      </c>
      <c r="D777" s="60">
        <v>12</v>
      </c>
      <c r="E777" s="247">
        <v>17.3</v>
      </c>
      <c r="F777" s="57">
        <v>809.7</v>
      </c>
      <c r="G777" s="57">
        <v>2528.4</v>
      </c>
      <c r="H777" s="57">
        <v>103.8</v>
      </c>
      <c r="I777" s="57">
        <v>105.5</v>
      </c>
      <c r="J777" s="57" t="s">
        <v>5554</v>
      </c>
      <c r="K777" s="60">
        <v>39.700000000000003</v>
      </c>
      <c r="L777" s="60">
        <v>41</v>
      </c>
      <c r="M777" s="60">
        <v>41.09</v>
      </c>
      <c r="N777" s="57" t="s">
        <v>142</v>
      </c>
      <c r="O777" s="57" t="s">
        <v>142</v>
      </c>
      <c r="P777" s="57" t="s">
        <v>142</v>
      </c>
      <c r="Q777" s="57" t="s">
        <v>4386</v>
      </c>
      <c r="R777" s="57">
        <v>73.900000000000006</v>
      </c>
      <c r="S777" s="26" t="s">
        <v>451</v>
      </c>
      <c r="T777" s="20" t="s">
        <v>4320</v>
      </c>
      <c r="U777" s="39" t="s">
        <v>415</v>
      </c>
    </row>
    <row r="778" spans="1:21" ht="22.5" customHeight="1" x14ac:dyDescent="0.25">
      <c r="A778" s="25">
        <v>45049</v>
      </c>
      <c r="B778" s="38">
        <v>0.95833333333333337</v>
      </c>
      <c r="C778" s="1469" t="s">
        <v>5563</v>
      </c>
      <c r="D778" s="1470"/>
      <c r="E778" s="1470"/>
      <c r="F778" s="1470"/>
      <c r="G778" s="1470"/>
      <c r="H778" s="1470"/>
      <c r="I778" s="1470"/>
      <c r="J778" s="1470"/>
      <c r="K778" s="1470"/>
      <c r="L778" s="1470"/>
      <c r="M778" s="1470"/>
      <c r="N778" s="1470"/>
      <c r="O778" s="1470"/>
      <c r="P778" s="1470"/>
      <c r="Q778" s="1470"/>
      <c r="R778" s="1471"/>
      <c r="S778" s="26" t="s">
        <v>451</v>
      </c>
      <c r="T778" s="20" t="s">
        <v>4320</v>
      </c>
      <c r="U778" s="39"/>
    </row>
    <row r="779" spans="1:21" ht="22.5" customHeight="1" x14ac:dyDescent="0.25">
      <c r="A779" s="25">
        <v>45050</v>
      </c>
      <c r="B779" s="38">
        <v>0.95833333333333337</v>
      </c>
      <c r="C779" s="1469" t="s">
        <v>5569</v>
      </c>
      <c r="D779" s="1470"/>
      <c r="E779" s="1470"/>
      <c r="F779" s="1470"/>
      <c r="G779" s="1470"/>
      <c r="H779" s="1470"/>
      <c r="I779" s="1470"/>
      <c r="J779" s="1470"/>
      <c r="K779" s="1470"/>
      <c r="L779" s="1470"/>
      <c r="M779" s="1470"/>
      <c r="N779" s="1470"/>
      <c r="O779" s="1470"/>
      <c r="P779" s="1470"/>
      <c r="Q779" s="1470"/>
      <c r="R779" s="1471"/>
      <c r="S779" s="26" t="s">
        <v>451</v>
      </c>
      <c r="T779" s="20" t="s">
        <v>4320</v>
      </c>
      <c r="U779" s="39"/>
    </row>
    <row r="780" spans="1:21" ht="22.5" customHeight="1" x14ac:dyDescent="0.25">
      <c r="A780" s="25">
        <v>45051</v>
      </c>
      <c r="B780" s="38">
        <v>0.95833333333333337</v>
      </c>
      <c r="C780" s="1469" t="s">
        <v>5573</v>
      </c>
      <c r="D780" s="1470"/>
      <c r="E780" s="1470"/>
      <c r="F780" s="1470"/>
      <c r="G780" s="1470"/>
      <c r="H780" s="1470"/>
      <c r="I780" s="1470"/>
      <c r="J780" s="1470"/>
      <c r="K780" s="1470"/>
      <c r="L780" s="1470"/>
      <c r="M780" s="1470"/>
      <c r="N780" s="1470"/>
      <c r="O780" s="1470"/>
      <c r="P780" s="1470"/>
      <c r="Q780" s="1470"/>
      <c r="R780" s="1471"/>
      <c r="S780" s="26" t="s">
        <v>451</v>
      </c>
      <c r="T780" s="20" t="s">
        <v>4320</v>
      </c>
      <c r="U780" s="39"/>
    </row>
    <row r="781" spans="1:21" ht="22.5" customHeight="1" x14ac:dyDescent="0.25">
      <c r="A781" s="25">
        <v>45052</v>
      </c>
      <c r="B781" s="38">
        <v>0.95833333333333337</v>
      </c>
      <c r="C781" s="1469" t="s">
        <v>5573</v>
      </c>
      <c r="D781" s="1470"/>
      <c r="E781" s="1470"/>
      <c r="F781" s="1470"/>
      <c r="G781" s="1470"/>
      <c r="H781" s="1470"/>
      <c r="I781" s="1470"/>
      <c r="J781" s="1470"/>
      <c r="K781" s="1470"/>
      <c r="L781" s="1470"/>
      <c r="M781" s="1470"/>
      <c r="N781" s="1470"/>
      <c r="O781" s="1470"/>
      <c r="P781" s="1470"/>
      <c r="Q781" s="1470"/>
      <c r="R781" s="1471"/>
      <c r="S781" s="26" t="s">
        <v>451</v>
      </c>
      <c r="T781" s="20" t="s">
        <v>4320</v>
      </c>
      <c r="U781" s="39"/>
    </row>
    <row r="782" spans="1:21" ht="22.5" customHeight="1" x14ac:dyDescent="0.25">
      <c r="A782" s="25">
        <v>45053</v>
      </c>
      <c r="B782" s="38">
        <v>0</v>
      </c>
      <c r="C782" s="246">
        <v>52.5</v>
      </c>
      <c r="D782" s="60">
        <v>12.8</v>
      </c>
      <c r="E782" s="247">
        <v>17.899999999999999</v>
      </c>
      <c r="F782" s="57">
        <v>808</v>
      </c>
      <c r="G782" s="57">
        <v>2492</v>
      </c>
      <c r="H782" s="57">
        <v>102.7</v>
      </c>
      <c r="I782" s="57">
        <v>103.7</v>
      </c>
      <c r="J782" s="57" t="s">
        <v>5588</v>
      </c>
      <c r="K782" s="60">
        <v>31.86</v>
      </c>
      <c r="L782" s="60">
        <v>39</v>
      </c>
      <c r="M782" s="60">
        <v>47.48</v>
      </c>
      <c r="N782" s="57" t="s">
        <v>142</v>
      </c>
      <c r="O782" s="57" t="s">
        <v>142</v>
      </c>
      <c r="P782" s="57" t="s">
        <v>142</v>
      </c>
      <c r="Q782" s="57" t="s">
        <v>5589</v>
      </c>
      <c r="R782" s="57">
        <v>76.400000000000006</v>
      </c>
      <c r="S782" s="26" t="s">
        <v>451</v>
      </c>
      <c r="T782" s="20" t="s">
        <v>4320</v>
      </c>
      <c r="U782" s="39" t="s">
        <v>5590</v>
      </c>
    </row>
    <row r="783" spans="1:21" ht="22.5" customHeight="1" x14ac:dyDescent="0.25">
      <c r="A783" s="25">
        <v>45054</v>
      </c>
      <c r="B783" s="38">
        <v>0.91666666666666663</v>
      </c>
      <c r="C783" s="246">
        <v>53.5</v>
      </c>
      <c r="D783" s="60">
        <v>11.9</v>
      </c>
      <c r="E783" s="247">
        <v>17.2</v>
      </c>
      <c r="F783" s="57">
        <v>799</v>
      </c>
      <c r="G783" s="57">
        <v>2487</v>
      </c>
      <c r="H783" s="57">
        <v>103.2</v>
      </c>
      <c r="I783" s="57">
        <v>104.6</v>
      </c>
      <c r="J783" s="57" t="s">
        <v>5595</v>
      </c>
      <c r="K783" s="60">
        <v>35.57</v>
      </c>
      <c r="L783" s="60">
        <v>41</v>
      </c>
      <c r="M783" s="60">
        <v>44.84</v>
      </c>
      <c r="N783" s="57" t="s">
        <v>142</v>
      </c>
      <c r="O783" s="57" t="s">
        <v>142</v>
      </c>
      <c r="P783" s="57" t="s">
        <v>142</v>
      </c>
      <c r="Q783" s="57" t="s">
        <v>4534</v>
      </c>
      <c r="R783" s="57">
        <v>73.5</v>
      </c>
      <c r="S783" s="26" t="s">
        <v>451</v>
      </c>
      <c r="T783" s="20" t="s">
        <v>4320</v>
      </c>
      <c r="U783" s="39" t="s">
        <v>5596</v>
      </c>
    </row>
    <row r="784" spans="1:21" ht="22.5" customHeight="1" x14ac:dyDescent="0.25">
      <c r="A784" s="25">
        <v>45055</v>
      </c>
      <c r="B784" s="38">
        <v>0.83333333333333337</v>
      </c>
      <c r="C784" s="246">
        <v>53.5</v>
      </c>
      <c r="D784" s="60">
        <v>11.6</v>
      </c>
      <c r="E784" s="247">
        <v>17</v>
      </c>
      <c r="F784" s="57">
        <v>781.1</v>
      </c>
      <c r="G784" s="57">
        <v>2423</v>
      </c>
      <c r="H784" s="57">
        <v>103.3</v>
      </c>
      <c r="I784" s="57">
        <v>104.6</v>
      </c>
      <c r="J784" s="57" t="s">
        <v>5600</v>
      </c>
      <c r="K784" s="60">
        <v>34.020000000000003</v>
      </c>
      <c r="L784" s="60">
        <v>41</v>
      </c>
      <c r="M784" s="60">
        <v>44.75</v>
      </c>
      <c r="N784" s="57" t="s">
        <v>142</v>
      </c>
      <c r="O784" s="57" t="s">
        <v>142</v>
      </c>
      <c r="P784" s="57" t="s">
        <v>142</v>
      </c>
      <c r="Q784" s="57" t="s">
        <v>3674</v>
      </c>
      <c r="R784" s="57">
        <v>72.599999999999994</v>
      </c>
      <c r="S784" s="26" t="s">
        <v>451</v>
      </c>
      <c r="T784" s="20" t="s">
        <v>4320</v>
      </c>
      <c r="U784" s="39" t="s">
        <v>5603</v>
      </c>
    </row>
    <row r="785" spans="1:21" ht="22.5" customHeight="1" x14ac:dyDescent="0.25">
      <c r="A785" s="25">
        <v>45056</v>
      </c>
      <c r="B785" s="38">
        <v>0.95833333333333337</v>
      </c>
      <c r="C785" s="246">
        <v>53.5</v>
      </c>
      <c r="D785" s="60">
        <v>8.1</v>
      </c>
      <c r="E785" s="247">
        <v>14.6</v>
      </c>
      <c r="F785" s="57">
        <v>807.4</v>
      </c>
      <c r="G785" s="57">
        <v>2405</v>
      </c>
      <c r="H785" s="57">
        <v>110</v>
      </c>
      <c r="I785" s="57">
        <v>113.4</v>
      </c>
      <c r="J785" s="57" t="s">
        <v>5607</v>
      </c>
      <c r="K785" s="60">
        <v>37.479999999999997</v>
      </c>
      <c r="L785" s="60">
        <v>40</v>
      </c>
      <c r="M785" s="60">
        <v>39.94</v>
      </c>
      <c r="N785" s="57" t="s">
        <v>142</v>
      </c>
      <c r="O785" s="57" t="s">
        <v>142</v>
      </c>
      <c r="P785" s="57" t="s">
        <v>142</v>
      </c>
      <c r="Q785" s="57" t="s">
        <v>2209</v>
      </c>
      <c r="R785" s="57">
        <v>62.3</v>
      </c>
      <c r="S785" s="26" t="s">
        <v>451</v>
      </c>
      <c r="T785" s="20" t="s">
        <v>4320</v>
      </c>
      <c r="U785" s="39"/>
    </row>
    <row r="786" spans="1:21" ht="22.5" customHeight="1" x14ac:dyDescent="0.25">
      <c r="A786" s="25">
        <v>45057</v>
      </c>
      <c r="B786" s="38">
        <v>0.91666666666666663</v>
      </c>
      <c r="C786" s="1469" t="s">
        <v>5612</v>
      </c>
      <c r="D786" s="1470"/>
      <c r="E786" s="1470"/>
      <c r="F786" s="1470"/>
      <c r="G786" s="1470"/>
      <c r="H786" s="1470"/>
      <c r="I786" s="1470"/>
      <c r="J786" s="1470"/>
      <c r="K786" s="1470"/>
      <c r="L786" s="1470"/>
      <c r="M786" s="1470"/>
      <c r="N786" s="1470"/>
      <c r="O786" s="1470"/>
      <c r="P786" s="1470"/>
      <c r="Q786" s="1470"/>
      <c r="R786" s="1471"/>
      <c r="S786" s="26" t="s">
        <v>451</v>
      </c>
      <c r="T786" s="20" t="s">
        <v>4320</v>
      </c>
      <c r="U786" s="39"/>
    </row>
    <row r="787" spans="1:21" ht="22.5" customHeight="1" x14ac:dyDescent="0.25">
      <c r="A787" s="25">
        <v>45058</v>
      </c>
      <c r="B787" s="38">
        <v>0.97916666666666663</v>
      </c>
      <c r="C787" s="1469" t="s">
        <v>5612</v>
      </c>
      <c r="D787" s="1470"/>
      <c r="E787" s="1470"/>
      <c r="F787" s="1470"/>
      <c r="G787" s="1470"/>
      <c r="H787" s="1470"/>
      <c r="I787" s="1470"/>
      <c r="J787" s="1470"/>
      <c r="K787" s="1470"/>
      <c r="L787" s="1470"/>
      <c r="M787" s="1470"/>
      <c r="N787" s="1470"/>
      <c r="O787" s="1470"/>
      <c r="P787" s="1470"/>
      <c r="Q787" s="1470"/>
      <c r="R787" s="1471"/>
      <c r="S787" s="26" t="s">
        <v>451</v>
      </c>
      <c r="T787" s="20" t="s">
        <v>236</v>
      </c>
      <c r="U787" s="39"/>
    </row>
    <row r="788" spans="1:21" ht="22.5" customHeight="1" x14ac:dyDescent="0.25">
      <c r="A788" s="25">
        <v>45059</v>
      </c>
      <c r="B788" s="38">
        <v>0.75</v>
      </c>
      <c r="C788" s="1469" t="s">
        <v>5612</v>
      </c>
      <c r="D788" s="1470"/>
      <c r="E788" s="1470"/>
      <c r="F788" s="1470"/>
      <c r="G788" s="1470"/>
      <c r="H788" s="1470"/>
      <c r="I788" s="1470"/>
      <c r="J788" s="1470"/>
      <c r="K788" s="1470"/>
      <c r="L788" s="1470"/>
      <c r="M788" s="1470"/>
      <c r="N788" s="1470"/>
      <c r="O788" s="1470"/>
      <c r="P788" s="1470"/>
      <c r="Q788" s="1470"/>
      <c r="R788" s="1471"/>
      <c r="S788" s="26" t="s">
        <v>451</v>
      </c>
      <c r="T788" s="20" t="s">
        <v>236</v>
      </c>
      <c r="U788" s="39"/>
    </row>
    <row r="789" spans="1:21" ht="22.5" customHeight="1" x14ac:dyDescent="0.25">
      <c r="A789" s="25">
        <v>45060</v>
      </c>
      <c r="B789" s="38">
        <v>0.77083333333333337</v>
      </c>
      <c r="C789" s="1469" t="s">
        <v>5628</v>
      </c>
      <c r="D789" s="1470"/>
      <c r="E789" s="1470"/>
      <c r="F789" s="1470"/>
      <c r="G789" s="1470"/>
      <c r="H789" s="1470"/>
      <c r="I789" s="1470"/>
      <c r="J789" s="1470"/>
      <c r="K789" s="1470"/>
      <c r="L789" s="1470"/>
      <c r="M789" s="1470"/>
      <c r="N789" s="1470"/>
      <c r="O789" s="1470"/>
      <c r="P789" s="1470"/>
      <c r="Q789" s="1470"/>
      <c r="R789" s="1471"/>
      <c r="S789" s="26" t="s">
        <v>451</v>
      </c>
      <c r="T789" s="20" t="s">
        <v>236</v>
      </c>
      <c r="U789" s="39"/>
    </row>
    <row r="790" spans="1:21" ht="22.5" customHeight="1" x14ac:dyDescent="0.25">
      <c r="A790" s="25">
        <v>45061</v>
      </c>
      <c r="B790" s="38">
        <v>0.72916666666666663</v>
      </c>
      <c r="C790" s="1469" t="s">
        <v>5636</v>
      </c>
      <c r="D790" s="1470"/>
      <c r="E790" s="1470"/>
      <c r="F790" s="1470"/>
      <c r="G790" s="1470"/>
      <c r="H790" s="1470"/>
      <c r="I790" s="1470"/>
      <c r="J790" s="1470"/>
      <c r="K790" s="1470"/>
      <c r="L790" s="1470"/>
      <c r="M790" s="1470"/>
      <c r="N790" s="1470"/>
      <c r="O790" s="1470"/>
      <c r="P790" s="1470"/>
      <c r="Q790" s="1470"/>
      <c r="R790" s="1471"/>
      <c r="S790" s="26" t="s">
        <v>451</v>
      </c>
      <c r="T790" s="20" t="s">
        <v>236</v>
      </c>
      <c r="U790" s="39"/>
    </row>
    <row r="791" spans="1:21" ht="22.5" customHeight="1" x14ac:dyDescent="0.25">
      <c r="A791" s="25">
        <v>45062</v>
      </c>
      <c r="B791" s="38">
        <v>0.77083333333333337</v>
      </c>
      <c r="C791" s="1469" t="s">
        <v>5640</v>
      </c>
      <c r="D791" s="1470"/>
      <c r="E791" s="1470"/>
      <c r="F791" s="1470"/>
      <c r="G791" s="1470"/>
      <c r="H791" s="1470"/>
      <c r="I791" s="1470"/>
      <c r="J791" s="1470"/>
      <c r="K791" s="1470"/>
      <c r="L791" s="1470"/>
      <c r="M791" s="1470"/>
      <c r="N791" s="1470"/>
      <c r="O791" s="1470"/>
      <c r="P791" s="1470"/>
      <c r="Q791" s="1470"/>
      <c r="R791" s="1471"/>
      <c r="S791" s="26" t="s">
        <v>451</v>
      </c>
      <c r="T791" s="20" t="s">
        <v>236</v>
      </c>
      <c r="U791" s="39"/>
    </row>
    <row r="792" spans="1:21" ht="22.5" customHeight="1" x14ac:dyDescent="0.25">
      <c r="A792" s="25">
        <v>45063</v>
      </c>
      <c r="B792" s="38">
        <v>0.75</v>
      </c>
      <c r="C792" s="1469" t="s">
        <v>5645</v>
      </c>
      <c r="D792" s="1470"/>
      <c r="E792" s="1470"/>
      <c r="F792" s="1470"/>
      <c r="G792" s="1470"/>
      <c r="H792" s="1470"/>
      <c r="I792" s="1470"/>
      <c r="J792" s="1470"/>
      <c r="K792" s="1470"/>
      <c r="L792" s="1470"/>
      <c r="M792" s="1470"/>
      <c r="N792" s="1470"/>
      <c r="O792" s="1470"/>
      <c r="P792" s="1470"/>
      <c r="Q792" s="1470"/>
      <c r="R792" s="1471"/>
      <c r="S792" s="26" t="s">
        <v>451</v>
      </c>
      <c r="T792" s="20" t="s">
        <v>236</v>
      </c>
      <c r="U792" s="39"/>
    </row>
    <row r="793" spans="1:21" ht="22.5" customHeight="1" x14ac:dyDescent="0.25">
      <c r="A793" s="25">
        <v>45064</v>
      </c>
      <c r="B793" s="38">
        <v>0.75</v>
      </c>
      <c r="C793" s="246">
        <v>52</v>
      </c>
      <c r="D793" s="60">
        <v>13.1</v>
      </c>
      <c r="E793" s="247">
        <v>18.100000000000001</v>
      </c>
      <c r="F793" s="57">
        <v>884</v>
      </c>
      <c r="G793" s="57">
        <v>2518</v>
      </c>
      <c r="H793" s="57">
        <v>102.7</v>
      </c>
      <c r="I793" s="57">
        <v>103.5</v>
      </c>
      <c r="J793" s="57" t="s">
        <v>5649</v>
      </c>
      <c r="K793" s="60">
        <v>35.9</v>
      </c>
      <c r="L793" s="60">
        <v>40</v>
      </c>
      <c r="M793" s="60">
        <v>45.29</v>
      </c>
      <c r="N793" s="57" t="s">
        <v>142</v>
      </c>
      <c r="O793" s="57" t="s">
        <v>142</v>
      </c>
      <c r="P793" s="57" t="s">
        <v>142</v>
      </c>
      <c r="Q793" s="57" t="s">
        <v>4878</v>
      </c>
      <c r="R793" s="57">
        <v>77.3</v>
      </c>
      <c r="S793" s="26" t="s">
        <v>451</v>
      </c>
      <c r="T793" s="20" t="s">
        <v>236</v>
      </c>
      <c r="U793" s="39" t="s">
        <v>5651</v>
      </c>
    </row>
    <row r="794" spans="1:21" ht="27.75" customHeight="1" x14ac:dyDescent="0.25">
      <c r="A794" s="25">
        <v>45065</v>
      </c>
      <c r="B794" s="38">
        <v>0.70833333333333337</v>
      </c>
      <c r="C794" s="246">
        <v>52</v>
      </c>
      <c r="D794" s="60">
        <v>11.9</v>
      </c>
      <c r="E794" s="247">
        <v>17.100000000000001</v>
      </c>
      <c r="F794" s="57">
        <v>837</v>
      </c>
      <c r="G794" s="57">
        <v>2541</v>
      </c>
      <c r="H794" s="57">
        <v>105.1</v>
      </c>
      <c r="I794" s="57">
        <v>104.5</v>
      </c>
      <c r="J794" s="57" t="s">
        <v>5653</v>
      </c>
      <c r="K794" s="60">
        <v>36.1</v>
      </c>
      <c r="L794" s="60">
        <v>39</v>
      </c>
      <c r="M794" s="60">
        <v>41.62</v>
      </c>
      <c r="N794" s="57" t="s">
        <v>142</v>
      </c>
      <c r="O794" s="57" t="s">
        <v>142</v>
      </c>
      <c r="P794" s="57" t="s">
        <v>142</v>
      </c>
      <c r="Q794" s="57" t="s">
        <v>4202</v>
      </c>
      <c r="R794" s="57">
        <v>73</v>
      </c>
      <c r="S794" s="26" t="s">
        <v>451</v>
      </c>
      <c r="T794" s="20" t="s">
        <v>236</v>
      </c>
      <c r="U794" s="39" t="s">
        <v>5656</v>
      </c>
    </row>
    <row r="795" spans="1:21" ht="22.5" customHeight="1" x14ac:dyDescent="0.25">
      <c r="A795" s="25">
        <v>45066</v>
      </c>
      <c r="B795" s="38">
        <v>0.75</v>
      </c>
      <c r="C795" s="1469" t="s">
        <v>5662</v>
      </c>
      <c r="D795" s="1470"/>
      <c r="E795" s="1470"/>
      <c r="F795" s="1470"/>
      <c r="G795" s="1470"/>
      <c r="H795" s="1470"/>
      <c r="I795" s="1470"/>
      <c r="J795" s="1470"/>
      <c r="K795" s="1470"/>
      <c r="L795" s="1470"/>
      <c r="M795" s="1470"/>
      <c r="N795" s="1470"/>
      <c r="O795" s="1470"/>
      <c r="P795" s="1470"/>
      <c r="Q795" s="1470"/>
      <c r="R795" s="1471"/>
      <c r="S795" s="26" t="s">
        <v>451</v>
      </c>
      <c r="T795" s="20" t="s">
        <v>236</v>
      </c>
      <c r="U795" s="39"/>
    </row>
    <row r="796" spans="1:21" ht="22.5" customHeight="1" x14ac:dyDescent="0.25">
      <c r="A796" s="25">
        <v>45067</v>
      </c>
      <c r="B796" s="38">
        <v>0.75</v>
      </c>
      <c r="C796" s="1469" t="s">
        <v>5662</v>
      </c>
      <c r="D796" s="1470"/>
      <c r="E796" s="1470"/>
      <c r="F796" s="1470"/>
      <c r="G796" s="1470"/>
      <c r="H796" s="1470"/>
      <c r="I796" s="1470"/>
      <c r="J796" s="1470"/>
      <c r="K796" s="1470"/>
      <c r="L796" s="1470"/>
      <c r="M796" s="1470"/>
      <c r="N796" s="1470"/>
      <c r="O796" s="1470"/>
      <c r="P796" s="1470"/>
      <c r="Q796" s="1470"/>
      <c r="R796" s="1471"/>
      <c r="S796" s="26" t="s">
        <v>451</v>
      </c>
      <c r="T796" s="20" t="s">
        <v>236</v>
      </c>
      <c r="U796" s="39"/>
    </row>
    <row r="797" spans="1:21" ht="22.5" customHeight="1" x14ac:dyDescent="0.25">
      <c r="A797" s="25">
        <v>45068</v>
      </c>
      <c r="B797" s="38">
        <v>0.75</v>
      </c>
      <c r="C797" s="1469" t="s">
        <v>5662</v>
      </c>
      <c r="D797" s="1470"/>
      <c r="E797" s="1470"/>
      <c r="F797" s="1470"/>
      <c r="G797" s="1470"/>
      <c r="H797" s="1470"/>
      <c r="I797" s="1470"/>
      <c r="J797" s="1470"/>
      <c r="K797" s="1470"/>
      <c r="L797" s="1470"/>
      <c r="M797" s="1470"/>
      <c r="N797" s="1470"/>
      <c r="O797" s="1470"/>
      <c r="P797" s="1470"/>
      <c r="Q797" s="1470"/>
      <c r="R797" s="1471"/>
      <c r="S797" s="26" t="s">
        <v>451</v>
      </c>
      <c r="T797" s="20" t="s">
        <v>236</v>
      </c>
      <c r="U797" s="39"/>
    </row>
    <row r="798" spans="1:21" ht="22.5" customHeight="1" x14ac:dyDescent="0.25">
      <c r="A798" s="25">
        <v>45069</v>
      </c>
      <c r="B798" s="38">
        <v>0.70833333333333337</v>
      </c>
      <c r="C798" s="1469" t="s">
        <v>5673</v>
      </c>
      <c r="D798" s="1470"/>
      <c r="E798" s="1470"/>
      <c r="F798" s="1470"/>
      <c r="G798" s="1470"/>
      <c r="H798" s="1470"/>
      <c r="I798" s="1470"/>
      <c r="J798" s="1470"/>
      <c r="K798" s="1470"/>
      <c r="L798" s="1470"/>
      <c r="M798" s="1470"/>
      <c r="N798" s="1470"/>
      <c r="O798" s="1470"/>
      <c r="P798" s="1470"/>
      <c r="Q798" s="1470"/>
      <c r="R798" s="1471"/>
      <c r="S798" s="26" t="s">
        <v>451</v>
      </c>
      <c r="T798" s="20" t="s">
        <v>236</v>
      </c>
      <c r="U798" s="39"/>
    </row>
    <row r="799" spans="1:21" ht="22.5" customHeight="1" x14ac:dyDescent="0.25">
      <c r="A799" s="25">
        <v>45070</v>
      </c>
      <c r="B799" s="38">
        <v>0.75</v>
      </c>
      <c r="C799" s="1469" t="s">
        <v>5681</v>
      </c>
      <c r="D799" s="1470"/>
      <c r="E799" s="1470"/>
      <c r="F799" s="1470"/>
      <c r="G799" s="1470"/>
      <c r="H799" s="1470"/>
      <c r="I799" s="1470"/>
      <c r="J799" s="1470"/>
      <c r="K799" s="1470"/>
      <c r="L799" s="1470"/>
      <c r="M799" s="1470"/>
      <c r="N799" s="1470"/>
      <c r="O799" s="1470"/>
      <c r="P799" s="1470"/>
      <c r="Q799" s="1470"/>
      <c r="R799" s="1471"/>
      <c r="S799" s="26" t="s">
        <v>451</v>
      </c>
      <c r="T799" s="20" t="s">
        <v>236</v>
      </c>
      <c r="U799" s="39"/>
    </row>
    <row r="800" spans="1:21" ht="22.5" customHeight="1" x14ac:dyDescent="0.25">
      <c r="A800" s="25">
        <v>45071</v>
      </c>
      <c r="B800" s="38">
        <v>0.77083333333333337</v>
      </c>
      <c r="C800" s="1469" t="s">
        <v>5684</v>
      </c>
      <c r="D800" s="1470"/>
      <c r="E800" s="1470"/>
      <c r="F800" s="1470"/>
      <c r="G800" s="1470"/>
      <c r="H800" s="1470"/>
      <c r="I800" s="1470"/>
      <c r="J800" s="1470"/>
      <c r="K800" s="1470"/>
      <c r="L800" s="1470"/>
      <c r="M800" s="1470"/>
      <c r="N800" s="1470"/>
      <c r="O800" s="1470"/>
      <c r="P800" s="1470"/>
      <c r="Q800" s="1470"/>
      <c r="R800" s="1471"/>
      <c r="S800" s="26" t="s">
        <v>451</v>
      </c>
      <c r="T800" s="20" t="s">
        <v>236</v>
      </c>
      <c r="U800" s="39"/>
    </row>
    <row r="801" spans="1:21" ht="22.5" customHeight="1" x14ac:dyDescent="0.25">
      <c r="A801" s="25">
        <v>45072</v>
      </c>
      <c r="B801" s="38">
        <v>0.75</v>
      </c>
      <c r="C801" s="1469" t="s">
        <v>5687</v>
      </c>
      <c r="D801" s="1470"/>
      <c r="E801" s="1470"/>
      <c r="F801" s="1470"/>
      <c r="G801" s="1470"/>
      <c r="H801" s="1470"/>
      <c r="I801" s="1470"/>
      <c r="J801" s="1470"/>
      <c r="K801" s="1470"/>
      <c r="L801" s="1470"/>
      <c r="M801" s="1470"/>
      <c r="N801" s="1470"/>
      <c r="O801" s="1470"/>
      <c r="P801" s="1470"/>
      <c r="Q801" s="1470"/>
      <c r="R801" s="1471"/>
      <c r="S801" s="26" t="s">
        <v>451</v>
      </c>
      <c r="T801" s="20" t="s">
        <v>236</v>
      </c>
      <c r="U801" s="39"/>
    </row>
    <row r="802" spans="1:21" ht="22.5" customHeight="1" x14ac:dyDescent="0.25">
      <c r="A802" s="25">
        <v>45073</v>
      </c>
      <c r="B802" s="38">
        <v>0.75</v>
      </c>
      <c r="C802" s="1469" t="s">
        <v>5691</v>
      </c>
      <c r="D802" s="1470"/>
      <c r="E802" s="1470"/>
      <c r="F802" s="1470"/>
      <c r="G802" s="1470"/>
      <c r="H802" s="1470"/>
      <c r="I802" s="1470"/>
      <c r="J802" s="1470"/>
      <c r="K802" s="1470"/>
      <c r="L802" s="1470"/>
      <c r="M802" s="1470"/>
      <c r="N802" s="1470"/>
      <c r="O802" s="1470"/>
      <c r="P802" s="1470"/>
      <c r="Q802" s="1470"/>
      <c r="R802" s="1471"/>
      <c r="S802" s="26" t="s">
        <v>451</v>
      </c>
      <c r="T802" s="20" t="s">
        <v>236</v>
      </c>
      <c r="U802" s="39"/>
    </row>
    <row r="803" spans="1:21" ht="27.75" customHeight="1" x14ac:dyDescent="0.25">
      <c r="A803" s="25">
        <v>45074</v>
      </c>
      <c r="B803" s="38">
        <v>0.72916666666666663</v>
      </c>
      <c r="C803" s="246">
        <v>52</v>
      </c>
      <c r="D803" s="60">
        <v>12.9</v>
      </c>
      <c r="E803" s="247">
        <v>18</v>
      </c>
      <c r="F803" s="57">
        <v>1024</v>
      </c>
      <c r="G803" s="57">
        <v>2517</v>
      </c>
      <c r="H803" s="57">
        <v>102.5</v>
      </c>
      <c r="I803" s="57">
        <v>103.3</v>
      </c>
      <c r="J803" s="57" t="s">
        <v>5698</v>
      </c>
      <c r="K803" s="60">
        <v>39.020000000000003</v>
      </c>
      <c r="L803" s="60">
        <v>44</v>
      </c>
      <c r="M803" s="60">
        <v>42.18</v>
      </c>
      <c r="N803" s="57" t="s">
        <v>142</v>
      </c>
      <c r="O803" s="57" t="s">
        <v>142</v>
      </c>
      <c r="P803" s="57" t="s">
        <v>142</v>
      </c>
      <c r="Q803" s="57" t="s">
        <v>5699</v>
      </c>
      <c r="R803" s="57">
        <v>76.900000000000006</v>
      </c>
      <c r="S803" s="26" t="s">
        <v>451</v>
      </c>
      <c r="T803" s="20" t="s">
        <v>236</v>
      </c>
      <c r="U803" s="39" t="s">
        <v>5703</v>
      </c>
    </row>
    <row r="804" spans="1:21" ht="27.75" customHeight="1" x14ac:dyDescent="0.25">
      <c r="A804" s="25">
        <v>45075</v>
      </c>
      <c r="B804" s="38">
        <v>0.72916666666666663</v>
      </c>
      <c r="C804" s="246">
        <v>52</v>
      </c>
      <c r="D804" s="60">
        <v>12.5</v>
      </c>
      <c r="E804" s="247">
        <v>17.600000000000001</v>
      </c>
      <c r="F804" s="57">
        <v>857</v>
      </c>
      <c r="G804" s="57">
        <v>2550</v>
      </c>
      <c r="H804" s="57">
        <v>103.7</v>
      </c>
      <c r="I804" s="57">
        <v>103.8</v>
      </c>
      <c r="J804" s="57" t="s">
        <v>5708</v>
      </c>
      <c r="K804" s="60">
        <v>38.6</v>
      </c>
      <c r="L804" s="60">
        <v>42</v>
      </c>
      <c r="M804" s="60">
        <v>46.25</v>
      </c>
      <c r="N804" s="57" t="s">
        <v>142</v>
      </c>
      <c r="O804" s="57" t="s">
        <v>142</v>
      </c>
      <c r="P804" s="57" t="s">
        <v>142</v>
      </c>
      <c r="Q804" s="57" t="s">
        <v>3890</v>
      </c>
      <c r="R804" s="57">
        <v>75.2</v>
      </c>
      <c r="S804" s="26" t="s">
        <v>451</v>
      </c>
      <c r="T804" s="20" t="s">
        <v>236</v>
      </c>
      <c r="U804" s="39"/>
    </row>
    <row r="805" spans="1:21" ht="22.5" customHeight="1" x14ac:dyDescent="0.25">
      <c r="A805" s="25">
        <v>45076</v>
      </c>
      <c r="B805" s="38">
        <v>0.70833333333333337</v>
      </c>
      <c r="C805" s="1469" t="s">
        <v>5720</v>
      </c>
      <c r="D805" s="1470"/>
      <c r="E805" s="1470"/>
      <c r="F805" s="1470"/>
      <c r="G805" s="1470"/>
      <c r="H805" s="1470"/>
      <c r="I805" s="1470"/>
      <c r="J805" s="1470"/>
      <c r="K805" s="1470"/>
      <c r="L805" s="1470"/>
      <c r="M805" s="1470"/>
      <c r="N805" s="1470"/>
      <c r="O805" s="1470"/>
      <c r="P805" s="1470"/>
      <c r="Q805" s="1470"/>
      <c r="R805" s="1471"/>
      <c r="S805" s="26" t="s">
        <v>451</v>
      </c>
      <c r="T805" s="20" t="s">
        <v>236</v>
      </c>
      <c r="U805" s="39"/>
    </row>
    <row r="806" spans="1:21" ht="22.5" customHeight="1" x14ac:dyDescent="0.25">
      <c r="A806" s="25">
        <v>45077</v>
      </c>
      <c r="B806" s="38">
        <v>0.85416666666666663</v>
      </c>
      <c r="C806" s="1469" t="s">
        <v>5721</v>
      </c>
      <c r="D806" s="1470"/>
      <c r="E806" s="1470"/>
      <c r="F806" s="1470"/>
      <c r="G806" s="1470"/>
      <c r="H806" s="1470"/>
      <c r="I806" s="1470"/>
      <c r="J806" s="1470"/>
      <c r="K806" s="1470"/>
      <c r="L806" s="1470"/>
      <c r="M806" s="1470"/>
      <c r="N806" s="1470"/>
      <c r="O806" s="1470"/>
      <c r="P806" s="1470"/>
      <c r="Q806" s="1470"/>
      <c r="R806" s="1471"/>
      <c r="S806" s="26" t="s">
        <v>451</v>
      </c>
      <c r="T806" s="20" t="s">
        <v>236</v>
      </c>
      <c r="U806" s="39"/>
    </row>
    <row r="807" spans="1:21" ht="22.5" customHeight="1" x14ac:dyDescent="0.25">
      <c r="A807" s="25">
        <v>45078</v>
      </c>
      <c r="B807" s="38">
        <v>0.77083333333333337</v>
      </c>
      <c r="C807" s="1469" t="s">
        <v>5730</v>
      </c>
      <c r="D807" s="1470"/>
      <c r="E807" s="1470"/>
      <c r="F807" s="1470"/>
      <c r="G807" s="1470"/>
      <c r="H807" s="1470"/>
      <c r="I807" s="1470"/>
      <c r="J807" s="1470"/>
      <c r="K807" s="1470"/>
      <c r="L807" s="1470"/>
      <c r="M807" s="1470"/>
      <c r="N807" s="1470"/>
      <c r="O807" s="1470"/>
      <c r="P807" s="1470"/>
      <c r="Q807" s="1470"/>
      <c r="R807" s="1471"/>
      <c r="S807" s="26" t="s">
        <v>451</v>
      </c>
      <c r="T807" s="20" t="s">
        <v>236</v>
      </c>
      <c r="U807" s="39"/>
    </row>
    <row r="808" spans="1:21" ht="22.5" customHeight="1" x14ac:dyDescent="0.25">
      <c r="A808" s="25">
        <v>45079</v>
      </c>
      <c r="B808" s="38">
        <v>0.75</v>
      </c>
      <c r="C808" s="1469" t="s">
        <v>5732</v>
      </c>
      <c r="D808" s="1470"/>
      <c r="E808" s="1470"/>
      <c r="F808" s="1470"/>
      <c r="G808" s="1470"/>
      <c r="H808" s="1470"/>
      <c r="I808" s="1470"/>
      <c r="J808" s="1470"/>
      <c r="K808" s="1470"/>
      <c r="L808" s="1470"/>
      <c r="M808" s="1470"/>
      <c r="N808" s="1470"/>
      <c r="O808" s="1470"/>
      <c r="P808" s="1470"/>
      <c r="Q808" s="1470"/>
      <c r="R808" s="1471"/>
      <c r="S808" s="26" t="s">
        <v>451</v>
      </c>
      <c r="T808" s="20" t="s">
        <v>236</v>
      </c>
      <c r="U808" s="39"/>
    </row>
    <row r="809" spans="1:21" ht="22.5" customHeight="1" x14ac:dyDescent="0.25">
      <c r="A809" s="25">
        <v>45080</v>
      </c>
      <c r="B809" s="38">
        <v>0.70833333333333337</v>
      </c>
      <c r="C809" s="1469" t="s">
        <v>5741</v>
      </c>
      <c r="D809" s="1470"/>
      <c r="E809" s="1470"/>
      <c r="F809" s="1470"/>
      <c r="G809" s="1470"/>
      <c r="H809" s="1470"/>
      <c r="I809" s="1470"/>
      <c r="J809" s="1470"/>
      <c r="K809" s="1470"/>
      <c r="L809" s="1470"/>
      <c r="M809" s="1470"/>
      <c r="N809" s="1470"/>
      <c r="O809" s="1470"/>
      <c r="P809" s="1470"/>
      <c r="Q809" s="1470"/>
      <c r="R809" s="1471"/>
      <c r="S809" s="26" t="s">
        <v>451</v>
      </c>
      <c r="T809" s="20" t="s">
        <v>236</v>
      </c>
      <c r="U809" s="39"/>
    </row>
    <row r="810" spans="1:21" ht="22.5" customHeight="1" x14ac:dyDescent="0.25">
      <c r="A810" s="25">
        <v>45081</v>
      </c>
      <c r="B810" s="38">
        <v>0.75</v>
      </c>
      <c r="C810" s="1469" t="s">
        <v>5741</v>
      </c>
      <c r="D810" s="1470"/>
      <c r="E810" s="1470"/>
      <c r="F810" s="1470"/>
      <c r="G810" s="1470"/>
      <c r="H810" s="1470"/>
      <c r="I810" s="1470"/>
      <c r="J810" s="1470"/>
      <c r="K810" s="1470"/>
      <c r="L810" s="1470"/>
      <c r="M810" s="1470"/>
      <c r="N810" s="1470"/>
      <c r="O810" s="1470"/>
      <c r="P810" s="1470"/>
      <c r="Q810" s="1470"/>
      <c r="R810" s="1471"/>
      <c r="S810" s="26" t="s">
        <v>451</v>
      </c>
      <c r="T810" s="20" t="s">
        <v>236</v>
      </c>
      <c r="U810" s="39"/>
    </row>
    <row r="811" spans="1:21" ht="27.75" customHeight="1" x14ac:dyDescent="0.25">
      <c r="A811" s="25">
        <v>45082</v>
      </c>
      <c r="B811" s="38">
        <v>0.95833333333333337</v>
      </c>
      <c r="C811" s="246">
        <v>52</v>
      </c>
      <c r="D811" s="60">
        <v>13.1</v>
      </c>
      <c r="E811" s="247">
        <v>18.100000000000001</v>
      </c>
      <c r="F811" s="57">
        <v>945</v>
      </c>
      <c r="G811" s="57">
        <v>2572</v>
      </c>
      <c r="H811" s="57">
        <v>102.6</v>
      </c>
      <c r="I811" s="57">
        <v>103.3</v>
      </c>
      <c r="J811" s="57" t="s">
        <v>5754</v>
      </c>
      <c r="K811" s="60">
        <v>37.369999999999997</v>
      </c>
      <c r="L811" s="60">
        <v>44</v>
      </c>
      <c r="M811" s="60">
        <v>47.09</v>
      </c>
      <c r="N811" s="57" t="s">
        <v>142</v>
      </c>
      <c r="O811" s="57" t="s">
        <v>142</v>
      </c>
      <c r="P811" s="57" t="s">
        <v>142</v>
      </c>
      <c r="Q811" s="57" t="s">
        <v>4878</v>
      </c>
      <c r="R811" s="57">
        <v>77.3</v>
      </c>
      <c r="S811" s="26" t="s">
        <v>451</v>
      </c>
      <c r="T811" s="20" t="s">
        <v>236</v>
      </c>
      <c r="U811" s="39"/>
    </row>
    <row r="812" spans="1:21" ht="27.75" customHeight="1" x14ac:dyDescent="0.25">
      <c r="A812" s="25">
        <v>45083</v>
      </c>
      <c r="B812" s="38">
        <v>0.70833333333333337</v>
      </c>
      <c r="C812" s="246">
        <v>52</v>
      </c>
      <c r="D812" s="60">
        <v>12.3</v>
      </c>
      <c r="E812" s="247">
        <v>17.399999999999999</v>
      </c>
      <c r="F812" s="57">
        <v>856</v>
      </c>
      <c r="G812" s="57">
        <v>2562</v>
      </c>
      <c r="H812" s="57">
        <v>102.8</v>
      </c>
      <c r="I812" s="57">
        <v>103.7</v>
      </c>
      <c r="J812" s="57" t="s">
        <v>5761</v>
      </c>
      <c r="K812" s="60">
        <v>39.36</v>
      </c>
      <c r="L812" s="60">
        <v>42</v>
      </c>
      <c r="M812" s="60">
        <v>46.7</v>
      </c>
      <c r="N812" s="57" t="s">
        <v>142</v>
      </c>
      <c r="O812" s="57" t="s">
        <v>142</v>
      </c>
      <c r="P812" s="57" t="s">
        <v>142</v>
      </c>
      <c r="Q812" s="57" t="s">
        <v>1933</v>
      </c>
      <c r="R812" s="57">
        <v>74.3</v>
      </c>
      <c r="S812" s="26" t="s">
        <v>451</v>
      </c>
      <c r="T812" s="20" t="s">
        <v>236</v>
      </c>
      <c r="U812" s="39"/>
    </row>
    <row r="813" spans="1:21" ht="27.75" customHeight="1" x14ac:dyDescent="0.25">
      <c r="A813" s="25">
        <v>45084</v>
      </c>
      <c r="B813" s="38">
        <v>0.72916666666666663</v>
      </c>
      <c r="C813" s="246">
        <v>52</v>
      </c>
      <c r="D813" s="60">
        <v>11.9</v>
      </c>
      <c r="E813" s="247">
        <v>17.2</v>
      </c>
      <c r="F813" s="57">
        <v>852</v>
      </c>
      <c r="G813" s="57">
        <v>2538</v>
      </c>
      <c r="H813" s="57">
        <v>103.3</v>
      </c>
      <c r="I813" s="57">
        <v>104.6</v>
      </c>
      <c r="J813" s="57" t="s">
        <v>5771</v>
      </c>
      <c r="K813" s="60">
        <v>37.590000000000003</v>
      </c>
      <c r="L813" s="60">
        <v>41</v>
      </c>
      <c r="M813" s="60">
        <v>43.23</v>
      </c>
      <c r="N813" s="57" t="s">
        <v>142</v>
      </c>
      <c r="O813" s="57" t="s">
        <v>142</v>
      </c>
      <c r="P813" s="57" t="s">
        <v>142</v>
      </c>
      <c r="Q813" s="57" t="s">
        <v>5389</v>
      </c>
      <c r="R813" s="57">
        <v>73.5</v>
      </c>
      <c r="S813" s="26" t="s">
        <v>451</v>
      </c>
      <c r="T813" s="20" t="s">
        <v>236</v>
      </c>
      <c r="U813" s="39"/>
    </row>
    <row r="814" spans="1:21" ht="22.5" customHeight="1" x14ac:dyDescent="0.25">
      <c r="A814" s="25">
        <v>45085</v>
      </c>
      <c r="B814" s="38">
        <v>0.91666666666666663</v>
      </c>
      <c r="C814" s="1469" t="s">
        <v>5777</v>
      </c>
      <c r="D814" s="1470"/>
      <c r="E814" s="1470"/>
      <c r="F814" s="1470"/>
      <c r="G814" s="1470"/>
      <c r="H814" s="1470"/>
      <c r="I814" s="1470"/>
      <c r="J814" s="1470"/>
      <c r="K814" s="1470"/>
      <c r="L814" s="1470"/>
      <c r="M814" s="1470"/>
      <c r="N814" s="1470"/>
      <c r="O814" s="1470"/>
      <c r="P814" s="1470"/>
      <c r="Q814" s="1470"/>
      <c r="R814" s="1471"/>
      <c r="S814" s="26" t="s">
        <v>451</v>
      </c>
      <c r="T814" s="20" t="s">
        <v>236</v>
      </c>
      <c r="U814" s="39"/>
    </row>
    <row r="815" spans="1:21" ht="22.5" customHeight="1" x14ac:dyDescent="0.25">
      <c r="A815" s="25">
        <v>45086</v>
      </c>
      <c r="B815" s="38">
        <v>0.79166666666666663</v>
      </c>
      <c r="C815" s="1469" t="s">
        <v>5777</v>
      </c>
      <c r="D815" s="1470"/>
      <c r="E815" s="1470"/>
      <c r="F815" s="1470"/>
      <c r="G815" s="1470"/>
      <c r="H815" s="1470"/>
      <c r="I815" s="1470"/>
      <c r="J815" s="1470"/>
      <c r="K815" s="1470"/>
      <c r="L815" s="1470"/>
      <c r="M815" s="1470"/>
      <c r="N815" s="1470"/>
      <c r="O815" s="1470"/>
      <c r="P815" s="1470"/>
      <c r="Q815" s="1470"/>
      <c r="R815" s="1471"/>
      <c r="S815" s="26" t="s">
        <v>451</v>
      </c>
      <c r="T815" s="20" t="s">
        <v>236</v>
      </c>
      <c r="U815" s="39"/>
    </row>
    <row r="816" spans="1:21" ht="22.5" customHeight="1" x14ac:dyDescent="0.25">
      <c r="A816" s="25">
        <v>45087</v>
      </c>
      <c r="B816" s="38">
        <v>0.79166666666666663</v>
      </c>
      <c r="C816" s="1469" t="s">
        <v>5787</v>
      </c>
      <c r="D816" s="1470"/>
      <c r="E816" s="1470"/>
      <c r="F816" s="1470"/>
      <c r="G816" s="1470"/>
      <c r="H816" s="1470"/>
      <c r="I816" s="1470"/>
      <c r="J816" s="1470"/>
      <c r="K816" s="1470"/>
      <c r="L816" s="1470"/>
      <c r="M816" s="1470"/>
      <c r="N816" s="1470"/>
      <c r="O816" s="1470"/>
      <c r="P816" s="1470"/>
      <c r="Q816" s="1470"/>
      <c r="R816" s="1471"/>
      <c r="S816" s="26" t="s">
        <v>451</v>
      </c>
      <c r="T816" s="20" t="s">
        <v>236</v>
      </c>
      <c r="U816" s="39"/>
    </row>
    <row r="817" spans="1:21" ht="22.5" customHeight="1" x14ac:dyDescent="0.25">
      <c r="A817" s="25">
        <v>45088</v>
      </c>
      <c r="B817" s="38">
        <v>0.77083333333333337</v>
      </c>
      <c r="C817" s="1469" t="s">
        <v>5791</v>
      </c>
      <c r="D817" s="1470"/>
      <c r="E817" s="1470"/>
      <c r="F817" s="1470"/>
      <c r="G817" s="1470"/>
      <c r="H817" s="1470"/>
      <c r="I817" s="1470"/>
      <c r="J817" s="1470"/>
      <c r="K817" s="1470"/>
      <c r="L817" s="1470"/>
      <c r="M817" s="1470"/>
      <c r="N817" s="1470"/>
      <c r="O817" s="1470"/>
      <c r="P817" s="1470"/>
      <c r="Q817" s="1470"/>
      <c r="R817" s="1471"/>
      <c r="S817" s="26" t="s">
        <v>451</v>
      </c>
      <c r="T817" s="20" t="s">
        <v>236</v>
      </c>
      <c r="U817" s="39"/>
    </row>
    <row r="818" spans="1:21" ht="22.5" customHeight="1" x14ac:dyDescent="0.25">
      <c r="A818" s="25">
        <v>45089</v>
      </c>
      <c r="B818" s="38">
        <v>0.77083333333333337</v>
      </c>
      <c r="C818" s="1469" t="s">
        <v>5796</v>
      </c>
      <c r="D818" s="1470"/>
      <c r="E818" s="1470"/>
      <c r="F818" s="1470"/>
      <c r="G818" s="1470"/>
      <c r="H818" s="1470"/>
      <c r="I818" s="1470"/>
      <c r="J818" s="1470"/>
      <c r="K818" s="1470"/>
      <c r="L818" s="1470"/>
      <c r="M818" s="1470"/>
      <c r="N818" s="1470"/>
      <c r="O818" s="1470"/>
      <c r="P818" s="1470"/>
      <c r="Q818" s="1470"/>
      <c r="R818" s="1471"/>
      <c r="S818" s="26" t="s">
        <v>451</v>
      </c>
      <c r="T818" s="20" t="s">
        <v>236</v>
      </c>
      <c r="U818" s="39"/>
    </row>
    <row r="819" spans="1:21" ht="22.5" customHeight="1" x14ac:dyDescent="0.25">
      <c r="A819" s="25">
        <v>45090</v>
      </c>
      <c r="B819" s="38">
        <v>0.8125</v>
      </c>
      <c r="C819" s="1469" t="s">
        <v>5800</v>
      </c>
      <c r="D819" s="1470"/>
      <c r="E819" s="1470"/>
      <c r="F819" s="1470"/>
      <c r="G819" s="1470"/>
      <c r="H819" s="1470"/>
      <c r="I819" s="1470"/>
      <c r="J819" s="1470"/>
      <c r="K819" s="1470"/>
      <c r="L819" s="1470"/>
      <c r="M819" s="1470"/>
      <c r="N819" s="1470"/>
      <c r="O819" s="1470"/>
      <c r="P819" s="1470"/>
      <c r="Q819" s="1470"/>
      <c r="R819" s="1471"/>
      <c r="S819" s="26" t="s">
        <v>451</v>
      </c>
      <c r="T819" s="20" t="s">
        <v>236</v>
      </c>
      <c r="U819" s="39"/>
    </row>
    <row r="820" spans="1:21" ht="27.75" customHeight="1" x14ac:dyDescent="0.25">
      <c r="A820" s="25">
        <v>45091</v>
      </c>
      <c r="B820" s="38">
        <v>0.78472222222222221</v>
      </c>
      <c r="C820" s="246">
        <v>49</v>
      </c>
      <c r="D820" s="60">
        <v>11.9</v>
      </c>
      <c r="E820" s="247">
        <v>17</v>
      </c>
      <c r="F820" s="57">
        <v>895</v>
      </c>
      <c r="G820" s="57">
        <v>2388</v>
      </c>
      <c r="H820" s="57">
        <v>102.6</v>
      </c>
      <c r="I820" s="57">
        <v>103.3</v>
      </c>
      <c r="J820" s="57" t="s">
        <v>5810</v>
      </c>
      <c r="K820" s="60">
        <v>24.79</v>
      </c>
      <c r="L820" s="60">
        <v>31</v>
      </c>
      <c r="M820" s="60">
        <v>47.77</v>
      </c>
      <c r="N820" s="57" t="s">
        <v>142</v>
      </c>
      <c r="O820" s="57" t="s">
        <v>142</v>
      </c>
      <c r="P820" s="57" t="s">
        <v>142</v>
      </c>
      <c r="Q820" s="57" t="s">
        <v>5811</v>
      </c>
      <c r="R820" s="57">
        <v>72.599999999999994</v>
      </c>
      <c r="S820" s="26" t="s">
        <v>451</v>
      </c>
      <c r="T820" s="20" t="s">
        <v>236</v>
      </c>
      <c r="U820" s="39" t="s">
        <v>5818</v>
      </c>
    </row>
    <row r="821" spans="1:21" ht="27.75" customHeight="1" x14ac:dyDescent="0.25">
      <c r="A821" s="25">
        <v>45092</v>
      </c>
      <c r="B821" s="38">
        <v>0.77083333333333337</v>
      </c>
      <c r="C821" s="246">
        <v>49</v>
      </c>
      <c r="D821" s="60">
        <v>9.5</v>
      </c>
      <c r="E821" s="247">
        <v>15.3</v>
      </c>
      <c r="F821" s="57">
        <v>886</v>
      </c>
      <c r="G821" s="57">
        <v>2247</v>
      </c>
      <c r="H821" s="57">
        <v>104.2</v>
      </c>
      <c r="I821" s="57">
        <v>106.8</v>
      </c>
      <c r="J821" s="57" t="s">
        <v>5819</v>
      </c>
      <c r="K821" s="60">
        <v>21.1</v>
      </c>
      <c r="L821" s="60">
        <v>28</v>
      </c>
      <c r="M821" s="60">
        <v>43.88</v>
      </c>
      <c r="N821" s="57" t="s">
        <v>142</v>
      </c>
      <c r="O821" s="57" t="s">
        <v>142</v>
      </c>
      <c r="P821" s="57" t="s">
        <v>142</v>
      </c>
      <c r="Q821" s="57" t="s">
        <v>1445</v>
      </c>
      <c r="R821" s="57">
        <v>65.3</v>
      </c>
      <c r="S821" s="26" t="s">
        <v>451</v>
      </c>
      <c r="T821" s="20" t="s">
        <v>236</v>
      </c>
      <c r="U821" s="39"/>
    </row>
    <row r="822" spans="1:21" ht="22.5" customHeight="1" x14ac:dyDescent="0.25">
      <c r="A822" s="25">
        <v>45093</v>
      </c>
      <c r="B822" s="38">
        <v>0.75</v>
      </c>
      <c r="C822" s="1469" t="s">
        <v>5822</v>
      </c>
      <c r="D822" s="1470"/>
      <c r="E822" s="1470"/>
      <c r="F822" s="1470"/>
      <c r="G822" s="1470"/>
      <c r="H822" s="1470"/>
      <c r="I822" s="1470"/>
      <c r="J822" s="1470"/>
      <c r="K822" s="1470"/>
      <c r="L822" s="1470"/>
      <c r="M822" s="1470"/>
      <c r="N822" s="1470"/>
      <c r="O822" s="1470"/>
      <c r="P822" s="1470"/>
      <c r="Q822" s="1470"/>
      <c r="R822" s="1471"/>
      <c r="S822" s="26" t="s">
        <v>451</v>
      </c>
      <c r="T822" s="20" t="s">
        <v>236</v>
      </c>
      <c r="U822" s="39"/>
    </row>
    <row r="823" spans="1:21" ht="31.5" customHeight="1" x14ac:dyDescent="0.25">
      <c r="A823" s="25">
        <v>45094</v>
      </c>
      <c r="B823" s="38">
        <v>0.79166666666666663</v>
      </c>
      <c r="C823" s="1466" t="s">
        <v>5828</v>
      </c>
      <c r="D823" s="1467"/>
      <c r="E823" s="1467"/>
      <c r="F823" s="1467"/>
      <c r="G823" s="1467"/>
      <c r="H823" s="1467"/>
      <c r="I823" s="1467"/>
      <c r="J823" s="1467"/>
      <c r="K823" s="1467"/>
      <c r="L823" s="1467"/>
      <c r="M823" s="1467"/>
      <c r="N823" s="1467"/>
      <c r="O823" s="1467"/>
      <c r="P823" s="1467"/>
      <c r="Q823" s="1467"/>
      <c r="R823" s="1468"/>
      <c r="S823" s="26" t="s">
        <v>451</v>
      </c>
      <c r="T823" s="20" t="s">
        <v>236</v>
      </c>
      <c r="U823" s="39"/>
    </row>
    <row r="824" spans="1:21" ht="31.5" customHeight="1" x14ac:dyDescent="0.25">
      <c r="A824" s="25">
        <v>45095</v>
      </c>
      <c r="B824" s="38">
        <v>0.75</v>
      </c>
      <c r="C824" s="1466" t="s">
        <v>5828</v>
      </c>
      <c r="D824" s="1467"/>
      <c r="E824" s="1467"/>
      <c r="F824" s="1467"/>
      <c r="G824" s="1467"/>
      <c r="H824" s="1467"/>
      <c r="I824" s="1467"/>
      <c r="J824" s="1467"/>
      <c r="K824" s="1467"/>
      <c r="L824" s="1467"/>
      <c r="M824" s="1467"/>
      <c r="N824" s="1467"/>
      <c r="O824" s="1467"/>
      <c r="P824" s="1467"/>
      <c r="Q824" s="1467"/>
      <c r="R824" s="1468"/>
      <c r="S824" s="26" t="s">
        <v>451</v>
      </c>
      <c r="T824" s="20" t="s">
        <v>236</v>
      </c>
      <c r="U824" s="39"/>
    </row>
    <row r="825" spans="1:21" ht="31.5" customHeight="1" x14ac:dyDescent="0.25">
      <c r="A825" s="25">
        <v>45096</v>
      </c>
      <c r="B825" s="38">
        <v>0.75</v>
      </c>
      <c r="C825" s="1466" t="s">
        <v>5828</v>
      </c>
      <c r="D825" s="1467"/>
      <c r="E825" s="1467"/>
      <c r="F825" s="1467"/>
      <c r="G825" s="1467"/>
      <c r="H825" s="1467"/>
      <c r="I825" s="1467"/>
      <c r="J825" s="1467"/>
      <c r="K825" s="1467"/>
      <c r="L825" s="1467"/>
      <c r="M825" s="1467"/>
      <c r="N825" s="1467"/>
      <c r="O825" s="1467"/>
      <c r="P825" s="1467"/>
      <c r="Q825" s="1467"/>
      <c r="R825" s="1468"/>
      <c r="S825" s="26" t="s">
        <v>451</v>
      </c>
      <c r="T825" s="20" t="s">
        <v>236</v>
      </c>
      <c r="U825" s="39"/>
    </row>
    <row r="826" spans="1:21" ht="31.5" customHeight="1" x14ac:dyDescent="0.25">
      <c r="A826" s="25">
        <v>45097</v>
      </c>
      <c r="B826" s="38">
        <v>0.70833333333333337</v>
      </c>
      <c r="C826" s="1466" t="s">
        <v>5828</v>
      </c>
      <c r="D826" s="1467"/>
      <c r="E826" s="1467"/>
      <c r="F826" s="1467"/>
      <c r="G826" s="1467"/>
      <c r="H826" s="1467"/>
      <c r="I826" s="1467"/>
      <c r="J826" s="1467"/>
      <c r="K826" s="1467"/>
      <c r="L826" s="1467"/>
      <c r="M826" s="1467"/>
      <c r="N826" s="1467"/>
      <c r="O826" s="1467"/>
      <c r="P826" s="1467"/>
      <c r="Q826" s="1467"/>
      <c r="R826" s="1468"/>
      <c r="S826" s="26" t="s">
        <v>451</v>
      </c>
      <c r="T826" s="20" t="s">
        <v>236</v>
      </c>
      <c r="U826" s="39"/>
    </row>
    <row r="827" spans="1:21" ht="27.75" customHeight="1" x14ac:dyDescent="0.25">
      <c r="A827" s="25">
        <v>45098</v>
      </c>
      <c r="B827" s="38">
        <v>0.72916666666666663</v>
      </c>
      <c r="C827" s="246">
        <v>52</v>
      </c>
      <c r="D827" s="60">
        <v>13</v>
      </c>
      <c r="E827" s="247">
        <v>18</v>
      </c>
      <c r="F827" s="57">
        <v>979</v>
      </c>
      <c r="G827" s="57">
        <v>2483</v>
      </c>
      <c r="H827" s="57">
        <v>102.6</v>
      </c>
      <c r="I827" s="57">
        <v>102.9</v>
      </c>
      <c r="J827" s="57" t="s">
        <v>5845</v>
      </c>
      <c r="K827" s="60">
        <v>31.12</v>
      </c>
      <c r="L827" s="60">
        <v>39</v>
      </c>
      <c r="M827" s="60">
        <v>49.62</v>
      </c>
      <c r="N827" s="57" t="s">
        <v>142</v>
      </c>
      <c r="O827" s="57" t="s">
        <v>142</v>
      </c>
      <c r="P827" s="57" t="s">
        <v>142</v>
      </c>
      <c r="Q827" s="57" t="s">
        <v>4698</v>
      </c>
      <c r="R827" s="57">
        <v>76.900000000000006</v>
      </c>
      <c r="S827" s="26" t="s">
        <v>451</v>
      </c>
      <c r="T827" s="20" t="s">
        <v>236</v>
      </c>
      <c r="U827" s="39"/>
    </row>
    <row r="828" spans="1:21" ht="27.75" customHeight="1" x14ac:dyDescent="0.25">
      <c r="A828" s="25">
        <v>45099</v>
      </c>
      <c r="B828" s="38">
        <v>0.94791666666666663</v>
      </c>
      <c r="C828" s="246">
        <v>52</v>
      </c>
      <c r="D828" s="60">
        <v>12</v>
      </c>
      <c r="E828" s="247">
        <v>17.2</v>
      </c>
      <c r="F828" s="57">
        <v>859</v>
      </c>
      <c r="G828" s="57">
        <v>2462</v>
      </c>
      <c r="H828" s="57">
        <v>103.1</v>
      </c>
      <c r="I828" s="57">
        <v>104.2</v>
      </c>
      <c r="J828" s="57" t="s">
        <v>5851</v>
      </c>
      <c r="K828" s="60">
        <v>35.14</v>
      </c>
      <c r="L828" s="60">
        <v>40</v>
      </c>
      <c r="M828" s="60">
        <v>44.64</v>
      </c>
      <c r="N828" s="57" t="s">
        <v>142</v>
      </c>
      <c r="O828" s="57" t="s">
        <v>142</v>
      </c>
      <c r="P828" s="57" t="s">
        <v>142</v>
      </c>
      <c r="Q828" s="57" t="s">
        <v>4534</v>
      </c>
      <c r="R828" s="57">
        <v>73.5</v>
      </c>
      <c r="S828" s="26" t="s">
        <v>451</v>
      </c>
      <c r="T828" s="20" t="s">
        <v>236</v>
      </c>
      <c r="U828" s="39"/>
    </row>
    <row r="829" spans="1:21" ht="27.75" customHeight="1" x14ac:dyDescent="0.25">
      <c r="A829" s="25">
        <v>45100</v>
      </c>
      <c r="B829" s="38">
        <v>0.72916666666666663</v>
      </c>
      <c r="C829" s="1466" t="s">
        <v>5859</v>
      </c>
      <c r="D829" s="1467"/>
      <c r="E829" s="1467"/>
      <c r="F829" s="1467"/>
      <c r="G829" s="1467"/>
      <c r="H829" s="1467"/>
      <c r="I829" s="1467"/>
      <c r="J829" s="1467"/>
      <c r="K829" s="1467"/>
      <c r="L829" s="1467"/>
      <c r="M829" s="1467"/>
      <c r="N829" s="1467"/>
      <c r="O829" s="1467"/>
      <c r="P829" s="1467"/>
      <c r="Q829" s="1467"/>
      <c r="R829" s="1468"/>
      <c r="S829" s="26" t="s">
        <v>451</v>
      </c>
      <c r="T829" s="20" t="s">
        <v>236</v>
      </c>
      <c r="U829" s="39"/>
    </row>
    <row r="830" spans="1:21" ht="27.75" customHeight="1" x14ac:dyDescent="0.25">
      <c r="A830" s="25">
        <v>45101</v>
      </c>
      <c r="B830" s="38">
        <v>0.8125</v>
      </c>
      <c r="C830" s="1466" t="s">
        <v>5862</v>
      </c>
      <c r="D830" s="1467"/>
      <c r="E830" s="1467"/>
      <c r="F830" s="1467"/>
      <c r="G830" s="1467"/>
      <c r="H830" s="1467"/>
      <c r="I830" s="1467"/>
      <c r="J830" s="1467"/>
      <c r="K830" s="1467"/>
      <c r="L830" s="1467"/>
      <c r="M830" s="1467"/>
      <c r="N830" s="1467"/>
      <c r="O830" s="1467"/>
      <c r="P830" s="1467"/>
      <c r="Q830" s="1467"/>
      <c r="R830" s="1468"/>
      <c r="S830" s="26" t="s">
        <v>451</v>
      </c>
      <c r="T830" s="20" t="s">
        <v>236</v>
      </c>
      <c r="U830" s="39"/>
    </row>
    <row r="831" spans="1:21" ht="27.75" customHeight="1" x14ac:dyDescent="0.25">
      <c r="A831" s="25">
        <v>45102</v>
      </c>
      <c r="B831" s="38">
        <v>0.79166666666666663</v>
      </c>
      <c r="C831" s="1466" t="s">
        <v>5867</v>
      </c>
      <c r="D831" s="1467"/>
      <c r="E831" s="1467"/>
      <c r="F831" s="1467"/>
      <c r="G831" s="1467"/>
      <c r="H831" s="1467"/>
      <c r="I831" s="1467"/>
      <c r="J831" s="1467"/>
      <c r="K831" s="1467"/>
      <c r="L831" s="1467"/>
      <c r="M831" s="1467"/>
      <c r="N831" s="1467"/>
      <c r="O831" s="1467"/>
      <c r="P831" s="1467"/>
      <c r="Q831" s="1467"/>
      <c r="R831" s="1468"/>
      <c r="S831" s="26" t="s">
        <v>451</v>
      </c>
      <c r="T831" s="20" t="s">
        <v>236</v>
      </c>
      <c r="U831" s="39"/>
    </row>
    <row r="832" spans="1:21" ht="27.75" customHeight="1" x14ac:dyDescent="0.25">
      <c r="A832" s="25">
        <v>45103</v>
      </c>
      <c r="B832" s="38">
        <v>0.79166666666666663</v>
      </c>
      <c r="C832" s="1466" t="s">
        <v>5874</v>
      </c>
      <c r="D832" s="1467"/>
      <c r="E832" s="1467"/>
      <c r="F832" s="1467"/>
      <c r="G832" s="1467"/>
      <c r="H832" s="1467"/>
      <c r="I832" s="1467"/>
      <c r="J832" s="1467"/>
      <c r="K832" s="1467"/>
      <c r="L832" s="1467"/>
      <c r="M832" s="1467"/>
      <c r="N832" s="1467"/>
      <c r="O832" s="1467"/>
      <c r="P832" s="1467"/>
      <c r="Q832" s="1467"/>
      <c r="R832" s="1468"/>
      <c r="S832" s="26" t="s">
        <v>451</v>
      </c>
      <c r="T832" s="20" t="s">
        <v>236</v>
      </c>
      <c r="U832" s="39"/>
    </row>
    <row r="833" spans="1:21" ht="27.75" customHeight="1" x14ac:dyDescent="0.25">
      <c r="A833" s="25">
        <v>45104</v>
      </c>
      <c r="B833" s="38">
        <v>0.75</v>
      </c>
      <c r="C833" s="1466" t="s">
        <v>5878</v>
      </c>
      <c r="D833" s="1467"/>
      <c r="E833" s="1467"/>
      <c r="F833" s="1467"/>
      <c r="G833" s="1467"/>
      <c r="H833" s="1467"/>
      <c r="I833" s="1467"/>
      <c r="J833" s="1467"/>
      <c r="K833" s="1467"/>
      <c r="L833" s="1467"/>
      <c r="M833" s="1467"/>
      <c r="N833" s="1467"/>
      <c r="O833" s="1467"/>
      <c r="P833" s="1467"/>
      <c r="Q833" s="1467"/>
      <c r="R833" s="1468"/>
      <c r="S833" s="26" t="s">
        <v>451</v>
      </c>
      <c r="T833" s="20" t="s">
        <v>236</v>
      </c>
      <c r="U833" s="39"/>
    </row>
    <row r="834" spans="1:21" ht="27.75" customHeight="1" x14ac:dyDescent="0.25">
      <c r="A834" s="25">
        <v>45105</v>
      </c>
      <c r="B834" s="38">
        <v>0.79166666666666663</v>
      </c>
      <c r="C834" s="1466" t="s">
        <v>5881</v>
      </c>
      <c r="D834" s="1467"/>
      <c r="E834" s="1467"/>
      <c r="F834" s="1467"/>
      <c r="G834" s="1467"/>
      <c r="H834" s="1467"/>
      <c r="I834" s="1467"/>
      <c r="J834" s="1467"/>
      <c r="K834" s="1467"/>
      <c r="L834" s="1467"/>
      <c r="M834" s="1467"/>
      <c r="N834" s="1467"/>
      <c r="O834" s="1467"/>
      <c r="P834" s="1467"/>
      <c r="Q834" s="1467"/>
      <c r="R834" s="1468"/>
      <c r="S834" s="26" t="s">
        <v>451</v>
      </c>
      <c r="T834" s="20" t="s">
        <v>236</v>
      </c>
      <c r="U834" s="39"/>
    </row>
    <row r="835" spans="1:21" ht="27.75" customHeight="1" x14ac:dyDescent="0.25">
      <c r="A835" s="25">
        <v>45106</v>
      </c>
      <c r="B835" s="38">
        <v>0.875</v>
      </c>
      <c r="C835" s="1466" t="s">
        <v>5882</v>
      </c>
      <c r="D835" s="1467"/>
      <c r="E835" s="1467"/>
      <c r="F835" s="1467"/>
      <c r="G835" s="1467"/>
      <c r="H835" s="1467"/>
      <c r="I835" s="1467"/>
      <c r="J835" s="1467"/>
      <c r="K835" s="1467"/>
      <c r="L835" s="1467"/>
      <c r="M835" s="1467"/>
      <c r="N835" s="1467"/>
      <c r="O835" s="1467"/>
      <c r="P835" s="1467"/>
      <c r="Q835" s="1467"/>
      <c r="R835" s="1468"/>
      <c r="S835" s="26" t="s">
        <v>451</v>
      </c>
      <c r="T835" s="20" t="s">
        <v>4320</v>
      </c>
      <c r="U835" s="39"/>
    </row>
    <row r="836" spans="1:21" ht="27.75" customHeight="1" x14ac:dyDescent="0.25">
      <c r="A836" s="25">
        <v>45107</v>
      </c>
      <c r="B836" s="38">
        <v>0.79166666666666663</v>
      </c>
      <c r="C836" s="246">
        <v>52</v>
      </c>
      <c r="D836" s="60">
        <v>13.2</v>
      </c>
      <c r="E836" s="247">
        <v>18.2</v>
      </c>
      <c r="F836" s="57">
        <v>907</v>
      </c>
      <c r="G836" s="57">
        <v>2544</v>
      </c>
      <c r="H836" s="57">
        <v>102.6</v>
      </c>
      <c r="I836" s="57">
        <v>103</v>
      </c>
      <c r="J836" s="57" t="s">
        <v>5889</v>
      </c>
      <c r="K836" s="60">
        <v>35.6</v>
      </c>
      <c r="L836" s="60">
        <v>40</v>
      </c>
      <c r="M836" s="60">
        <v>46.86</v>
      </c>
      <c r="N836" s="57" t="s">
        <v>142</v>
      </c>
      <c r="O836" s="57" t="s">
        <v>142</v>
      </c>
      <c r="P836" s="57" t="s">
        <v>142</v>
      </c>
      <c r="Q836" s="57" t="s">
        <v>5890</v>
      </c>
      <c r="R836" s="57">
        <v>77.7</v>
      </c>
      <c r="S836" s="26" t="s">
        <v>451</v>
      </c>
      <c r="T836" s="20" t="s">
        <v>4320</v>
      </c>
      <c r="U836" s="39"/>
    </row>
    <row r="837" spans="1:21" ht="27.75" customHeight="1" x14ac:dyDescent="0.25">
      <c r="A837" s="25">
        <v>45108</v>
      </c>
      <c r="B837" s="38">
        <v>0.875</v>
      </c>
      <c r="C837" s="246">
        <v>52</v>
      </c>
      <c r="D837" s="60">
        <v>12.2</v>
      </c>
      <c r="E837" s="247">
        <v>17.5</v>
      </c>
      <c r="F837" s="57">
        <v>855</v>
      </c>
      <c r="G837" s="57">
        <v>2534</v>
      </c>
      <c r="H837" s="57">
        <v>102.9</v>
      </c>
      <c r="I837" s="57">
        <v>104</v>
      </c>
      <c r="J837" s="57" t="s">
        <v>5905</v>
      </c>
      <c r="K837" s="60">
        <v>36.159999999999997</v>
      </c>
      <c r="L837" s="60">
        <v>38</v>
      </c>
      <c r="M837" s="60">
        <v>44.87</v>
      </c>
      <c r="N837" s="57" t="s">
        <v>142</v>
      </c>
      <c r="O837" s="57" t="s">
        <v>142</v>
      </c>
      <c r="P837" s="57" t="s">
        <v>142</v>
      </c>
      <c r="Q837" s="57" t="s">
        <v>2111</v>
      </c>
      <c r="R837" s="57">
        <v>72.599999999999994</v>
      </c>
      <c r="S837" s="26" t="s">
        <v>451</v>
      </c>
      <c r="T837" s="20" t="s">
        <v>4320</v>
      </c>
      <c r="U837" s="39"/>
    </row>
    <row r="838" spans="1:21" ht="27.75" customHeight="1" x14ac:dyDescent="0.25">
      <c r="A838" s="25">
        <v>45109</v>
      </c>
      <c r="B838" s="38">
        <v>0.875</v>
      </c>
      <c r="C838" s="1466" t="s">
        <v>5908</v>
      </c>
      <c r="D838" s="1467"/>
      <c r="E838" s="1467"/>
      <c r="F838" s="1467"/>
      <c r="G838" s="1467"/>
      <c r="H838" s="1467"/>
      <c r="I838" s="1467"/>
      <c r="J838" s="1467"/>
      <c r="K838" s="1467"/>
      <c r="L838" s="1467"/>
      <c r="M838" s="1467"/>
      <c r="N838" s="1467"/>
      <c r="O838" s="1467"/>
      <c r="P838" s="1467"/>
      <c r="Q838" s="1467"/>
      <c r="R838" s="1468"/>
      <c r="S838" s="26" t="s">
        <v>451</v>
      </c>
      <c r="T838" s="20" t="s">
        <v>4320</v>
      </c>
      <c r="U838" s="39"/>
    </row>
    <row r="839" spans="1:21" ht="27.75" customHeight="1" x14ac:dyDescent="0.25">
      <c r="A839" s="25">
        <v>45110</v>
      </c>
      <c r="B839" s="38">
        <v>0.875</v>
      </c>
      <c r="C839" s="1466" t="s">
        <v>5916</v>
      </c>
      <c r="D839" s="1467"/>
      <c r="E839" s="1467"/>
      <c r="F839" s="1467"/>
      <c r="G839" s="1467"/>
      <c r="H839" s="1467"/>
      <c r="I839" s="1467"/>
      <c r="J839" s="1467"/>
      <c r="K839" s="1467"/>
      <c r="L839" s="1467"/>
      <c r="M839" s="1467"/>
      <c r="N839" s="1467"/>
      <c r="O839" s="1467"/>
      <c r="P839" s="1467"/>
      <c r="Q839" s="1467"/>
      <c r="R839" s="1468"/>
      <c r="S839" s="26" t="s">
        <v>451</v>
      </c>
      <c r="T839" s="20" t="s">
        <v>4320</v>
      </c>
      <c r="U839" s="39"/>
    </row>
    <row r="840" spans="1:21" ht="27.75" customHeight="1" x14ac:dyDescent="0.25">
      <c r="A840" s="25">
        <v>45111</v>
      </c>
      <c r="B840" s="38">
        <v>0.875</v>
      </c>
      <c r="C840" s="1466" t="s">
        <v>5921</v>
      </c>
      <c r="D840" s="1467"/>
      <c r="E840" s="1467"/>
      <c r="F840" s="1467"/>
      <c r="G840" s="1467"/>
      <c r="H840" s="1467"/>
      <c r="I840" s="1467"/>
      <c r="J840" s="1467"/>
      <c r="K840" s="1467"/>
      <c r="L840" s="1467"/>
      <c r="M840" s="1467"/>
      <c r="N840" s="1467"/>
      <c r="O840" s="1467"/>
      <c r="P840" s="1467"/>
      <c r="Q840" s="1467"/>
      <c r="R840" s="1468"/>
      <c r="S840" s="26" t="s">
        <v>451</v>
      </c>
      <c r="T840" s="20" t="s">
        <v>4320</v>
      </c>
      <c r="U840" s="39"/>
    </row>
    <row r="841" spans="1:21" ht="27.75" customHeight="1" x14ac:dyDescent="0.25">
      <c r="A841" s="25">
        <v>45112</v>
      </c>
      <c r="B841" s="38">
        <v>0.875</v>
      </c>
      <c r="C841" s="1466" t="s">
        <v>5924</v>
      </c>
      <c r="D841" s="1467"/>
      <c r="E841" s="1467"/>
      <c r="F841" s="1467"/>
      <c r="G841" s="1467"/>
      <c r="H841" s="1467"/>
      <c r="I841" s="1467"/>
      <c r="J841" s="1467"/>
      <c r="K841" s="1467"/>
      <c r="L841" s="1467"/>
      <c r="M841" s="1467"/>
      <c r="N841" s="1467"/>
      <c r="O841" s="1467"/>
      <c r="P841" s="1467"/>
      <c r="Q841" s="1467"/>
      <c r="R841" s="1468"/>
      <c r="S841" s="26" t="s">
        <v>451</v>
      </c>
      <c r="T841" s="20" t="s">
        <v>4320</v>
      </c>
      <c r="U841" s="39"/>
    </row>
    <row r="842" spans="1:21" ht="27.75" customHeight="1" x14ac:dyDescent="0.25">
      <c r="A842" s="25">
        <v>45113</v>
      </c>
      <c r="B842" s="38">
        <v>0.875</v>
      </c>
      <c r="C842" s="1466" t="s">
        <v>5940</v>
      </c>
      <c r="D842" s="1467"/>
      <c r="E842" s="1467"/>
      <c r="F842" s="1467"/>
      <c r="G842" s="1467"/>
      <c r="H842" s="1467"/>
      <c r="I842" s="1467"/>
      <c r="J842" s="1467"/>
      <c r="K842" s="1467"/>
      <c r="L842" s="1467"/>
      <c r="M842" s="1467"/>
      <c r="N842" s="1467"/>
      <c r="O842" s="1467"/>
      <c r="P842" s="1467"/>
      <c r="Q842" s="1467"/>
      <c r="R842" s="1468"/>
      <c r="S842" s="26" t="s">
        <v>451</v>
      </c>
      <c r="T842" s="20" t="s">
        <v>4320</v>
      </c>
      <c r="U842" s="39"/>
    </row>
    <row r="843" spans="1:21" ht="27.75" customHeight="1" x14ac:dyDescent="0.25">
      <c r="A843" s="25">
        <v>45114</v>
      </c>
      <c r="B843" s="38">
        <v>0.875</v>
      </c>
      <c r="C843" s="1466" t="s">
        <v>5941</v>
      </c>
      <c r="D843" s="1467"/>
      <c r="E843" s="1467"/>
      <c r="F843" s="1467"/>
      <c r="G843" s="1467"/>
      <c r="H843" s="1467"/>
      <c r="I843" s="1467"/>
      <c r="J843" s="1467"/>
      <c r="K843" s="1467"/>
      <c r="L843" s="1467"/>
      <c r="M843" s="1467"/>
      <c r="N843" s="1467"/>
      <c r="O843" s="1467"/>
      <c r="P843" s="1467"/>
      <c r="Q843" s="1467"/>
      <c r="R843" s="1468"/>
      <c r="S843" s="26" t="s">
        <v>451</v>
      </c>
      <c r="T843" s="20" t="s">
        <v>4320</v>
      </c>
      <c r="U843" s="39"/>
    </row>
    <row r="844" spans="1:21" ht="27.75" customHeight="1" x14ac:dyDescent="0.25">
      <c r="A844" s="25">
        <v>45115</v>
      </c>
      <c r="B844" s="38">
        <v>0.85416666666666663</v>
      </c>
      <c r="C844" s="1466" t="s">
        <v>5939</v>
      </c>
      <c r="D844" s="1467"/>
      <c r="E844" s="1467"/>
      <c r="F844" s="1467"/>
      <c r="G844" s="1467"/>
      <c r="H844" s="1467"/>
      <c r="I844" s="1467"/>
      <c r="J844" s="1467"/>
      <c r="K844" s="1467"/>
      <c r="L844" s="1467"/>
      <c r="M844" s="1467"/>
      <c r="N844" s="1467"/>
      <c r="O844" s="1467"/>
      <c r="P844" s="1467"/>
      <c r="Q844" s="1467"/>
      <c r="R844" s="1468"/>
      <c r="S844" s="26" t="s">
        <v>451</v>
      </c>
      <c r="T844" s="20" t="s">
        <v>4320</v>
      </c>
      <c r="U844" s="39"/>
    </row>
    <row r="845" spans="1:21" ht="27.75" customHeight="1" x14ac:dyDescent="0.25">
      <c r="A845" s="25">
        <v>45116</v>
      </c>
      <c r="B845" s="38">
        <v>0.85416666666666663</v>
      </c>
      <c r="C845" s="246">
        <v>52</v>
      </c>
      <c r="D845" s="60">
        <v>12.6</v>
      </c>
      <c r="E845" s="247">
        <v>17.7</v>
      </c>
      <c r="F845" s="57">
        <v>860</v>
      </c>
      <c r="G845" s="57">
        <v>2492</v>
      </c>
      <c r="H845" s="57">
        <v>102.6</v>
      </c>
      <c r="I845" s="57">
        <v>103.3</v>
      </c>
      <c r="J845" s="57" t="s">
        <v>5943</v>
      </c>
      <c r="K845" s="60">
        <v>32.340000000000003</v>
      </c>
      <c r="L845" s="60">
        <v>42</v>
      </c>
      <c r="M845" s="60">
        <v>50</v>
      </c>
      <c r="N845" s="57" t="s">
        <v>142</v>
      </c>
      <c r="O845" s="57" t="s">
        <v>142</v>
      </c>
      <c r="P845" s="57" t="s">
        <v>142</v>
      </c>
      <c r="Q845" s="57" t="s">
        <v>5944</v>
      </c>
      <c r="R845" s="57">
        <v>75.599999999999994</v>
      </c>
      <c r="S845" s="26" t="s">
        <v>451</v>
      </c>
      <c r="T845" s="20" t="s">
        <v>4320</v>
      </c>
      <c r="U845" s="39"/>
    </row>
    <row r="846" spans="1:21" ht="27.75" customHeight="1" x14ac:dyDescent="0.25">
      <c r="A846" s="25">
        <v>45117</v>
      </c>
      <c r="B846" s="38">
        <v>0.72916666666666663</v>
      </c>
      <c r="C846" s="246">
        <v>52</v>
      </c>
      <c r="D846" s="60">
        <v>11.5</v>
      </c>
      <c r="E846" s="247">
        <v>16.8</v>
      </c>
      <c r="F846" s="57">
        <v>844</v>
      </c>
      <c r="G846" s="57">
        <v>2500</v>
      </c>
      <c r="H846" s="57">
        <v>102.9</v>
      </c>
      <c r="I846" s="57">
        <v>104</v>
      </c>
      <c r="J846" s="57" t="s">
        <v>5956</v>
      </c>
      <c r="K846" s="60">
        <v>33.799999999999997</v>
      </c>
      <c r="L846" s="60">
        <v>40</v>
      </c>
      <c r="M846" s="60">
        <v>45.41</v>
      </c>
      <c r="N846" s="57" t="s">
        <v>142</v>
      </c>
      <c r="O846" s="57" t="s">
        <v>142</v>
      </c>
      <c r="P846" s="57" t="s">
        <v>142</v>
      </c>
      <c r="Q846" s="57" t="s">
        <v>1587</v>
      </c>
      <c r="R846" s="57">
        <v>71.7</v>
      </c>
      <c r="S846" s="26" t="s">
        <v>451</v>
      </c>
      <c r="T846" s="20" t="s">
        <v>4320</v>
      </c>
      <c r="U846" s="39"/>
    </row>
    <row r="847" spans="1:21" ht="27.75" customHeight="1" x14ac:dyDescent="0.25">
      <c r="A847" s="25">
        <v>45118</v>
      </c>
      <c r="B847" s="38">
        <v>0.85416666666666663</v>
      </c>
      <c r="C847" s="1466" t="s">
        <v>5963</v>
      </c>
      <c r="D847" s="1467"/>
      <c r="E847" s="1467"/>
      <c r="F847" s="1467"/>
      <c r="G847" s="1467"/>
      <c r="H847" s="1467"/>
      <c r="I847" s="1467"/>
      <c r="J847" s="1467"/>
      <c r="K847" s="1467"/>
      <c r="L847" s="1467"/>
      <c r="M847" s="1467"/>
      <c r="N847" s="1467"/>
      <c r="O847" s="1467"/>
      <c r="P847" s="1467"/>
      <c r="Q847" s="1467"/>
      <c r="R847" s="1468"/>
      <c r="S847" s="26" t="s">
        <v>451</v>
      </c>
      <c r="T847" s="20" t="s">
        <v>4320</v>
      </c>
      <c r="U847" s="39"/>
    </row>
    <row r="848" spans="1:21" ht="27.75" customHeight="1" x14ac:dyDescent="0.25">
      <c r="A848" s="25">
        <v>45119</v>
      </c>
      <c r="B848" s="38">
        <v>0.75</v>
      </c>
      <c r="C848" s="1466" t="s">
        <v>5963</v>
      </c>
      <c r="D848" s="1467"/>
      <c r="E848" s="1467"/>
      <c r="F848" s="1467"/>
      <c r="G848" s="1467"/>
      <c r="H848" s="1467"/>
      <c r="I848" s="1467"/>
      <c r="J848" s="1467"/>
      <c r="K848" s="1467"/>
      <c r="L848" s="1467"/>
      <c r="M848" s="1467"/>
      <c r="N848" s="1467"/>
      <c r="O848" s="1467"/>
      <c r="P848" s="1467"/>
      <c r="Q848" s="1467"/>
      <c r="R848" s="1468"/>
      <c r="S848" s="26" t="s">
        <v>451</v>
      </c>
      <c r="T848" s="20" t="s">
        <v>4320</v>
      </c>
      <c r="U848" s="39"/>
    </row>
    <row r="849" spans="1:21" ht="27.75" customHeight="1" x14ac:dyDescent="0.25">
      <c r="A849" s="25">
        <v>45120</v>
      </c>
      <c r="B849" s="38">
        <v>0.75</v>
      </c>
      <c r="C849" s="1466" t="s">
        <v>5974</v>
      </c>
      <c r="D849" s="1467"/>
      <c r="E849" s="1467"/>
      <c r="F849" s="1467"/>
      <c r="G849" s="1467"/>
      <c r="H849" s="1467"/>
      <c r="I849" s="1467"/>
      <c r="J849" s="1467"/>
      <c r="K849" s="1467"/>
      <c r="L849" s="1467"/>
      <c r="M849" s="1467"/>
      <c r="N849" s="1467"/>
      <c r="O849" s="1467"/>
      <c r="P849" s="1467"/>
      <c r="Q849" s="1467"/>
      <c r="R849" s="1468"/>
      <c r="S849" s="26" t="s">
        <v>451</v>
      </c>
      <c r="T849" s="20" t="s">
        <v>4320</v>
      </c>
      <c r="U849" s="39"/>
    </row>
    <row r="850" spans="1:21" ht="27.75" customHeight="1" x14ac:dyDescent="0.25">
      <c r="A850" s="25">
        <v>45121</v>
      </c>
      <c r="B850" s="38">
        <v>0</v>
      </c>
      <c r="C850" s="1466" t="s">
        <v>5976</v>
      </c>
      <c r="D850" s="1467"/>
      <c r="E850" s="1467"/>
      <c r="F850" s="1467"/>
      <c r="G850" s="1467"/>
      <c r="H850" s="1467"/>
      <c r="I850" s="1467"/>
      <c r="J850" s="1467"/>
      <c r="K850" s="1467"/>
      <c r="L850" s="1467"/>
      <c r="M850" s="1467"/>
      <c r="N850" s="1467"/>
      <c r="O850" s="1467"/>
      <c r="P850" s="1467"/>
      <c r="Q850" s="1467"/>
      <c r="R850" s="1468"/>
      <c r="S850" s="26" t="s">
        <v>451</v>
      </c>
      <c r="T850" s="20" t="s">
        <v>4320</v>
      </c>
      <c r="U850" s="39"/>
    </row>
    <row r="851" spans="1:21" ht="27.75" customHeight="1" x14ac:dyDescent="0.25">
      <c r="A851" s="25">
        <v>45122</v>
      </c>
      <c r="B851" s="38">
        <v>4.1666666666666664E-2</v>
      </c>
      <c r="C851" s="1466" t="s">
        <v>5984</v>
      </c>
      <c r="D851" s="1467"/>
      <c r="E851" s="1467"/>
      <c r="F851" s="1467"/>
      <c r="G851" s="1467"/>
      <c r="H851" s="1467"/>
      <c r="I851" s="1467"/>
      <c r="J851" s="1467"/>
      <c r="K851" s="1467"/>
      <c r="L851" s="1467"/>
      <c r="M851" s="1467"/>
      <c r="N851" s="1467"/>
      <c r="O851" s="1467"/>
      <c r="P851" s="1467"/>
      <c r="Q851" s="1467"/>
      <c r="R851" s="1468"/>
      <c r="S851" s="26" t="s">
        <v>451</v>
      </c>
      <c r="T851" s="20" t="s">
        <v>4320</v>
      </c>
      <c r="U851" s="39"/>
    </row>
    <row r="852" spans="1:21" ht="27.75" customHeight="1" x14ac:dyDescent="0.25">
      <c r="A852" s="25">
        <v>45123</v>
      </c>
      <c r="B852" s="38">
        <v>0.875</v>
      </c>
      <c r="C852" s="246">
        <v>52</v>
      </c>
      <c r="D852" s="60">
        <v>13.1</v>
      </c>
      <c r="E852" s="247">
        <v>18.100000000000001</v>
      </c>
      <c r="F852" s="57">
        <v>848</v>
      </c>
      <c r="G852" s="57">
        <v>2518</v>
      </c>
      <c r="H852" s="57">
        <v>102.5</v>
      </c>
      <c r="I852" s="57">
        <v>103.5</v>
      </c>
      <c r="J852" s="57" t="s">
        <v>5994</v>
      </c>
      <c r="K852" s="60">
        <v>33.76</v>
      </c>
      <c r="L852" s="60">
        <v>40</v>
      </c>
      <c r="M852" s="60">
        <v>48.97</v>
      </c>
      <c r="N852" s="57" t="s">
        <v>142</v>
      </c>
      <c r="O852" s="57" t="s">
        <v>142</v>
      </c>
      <c r="P852" s="57" t="s">
        <v>142</v>
      </c>
      <c r="Q852" s="57" t="s">
        <v>5527</v>
      </c>
      <c r="R852" s="57">
        <v>77.3</v>
      </c>
      <c r="S852" s="26" t="s">
        <v>451</v>
      </c>
      <c r="T852" s="20" t="s">
        <v>4320</v>
      </c>
      <c r="U852" s="39"/>
    </row>
    <row r="853" spans="1:21" ht="27.75" customHeight="1" x14ac:dyDescent="0.25">
      <c r="A853" s="25">
        <v>45124</v>
      </c>
      <c r="B853" s="38">
        <v>0.875</v>
      </c>
      <c r="C853" s="246">
        <v>53</v>
      </c>
      <c r="D853" s="60">
        <v>11.2</v>
      </c>
      <c r="E853" s="247">
        <v>16.7</v>
      </c>
      <c r="F853" s="57">
        <v>867</v>
      </c>
      <c r="G853" s="57">
        <v>241</v>
      </c>
      <c r="H853" s="57">
        <v>106.5</v>
      </c>
      <c r="I853" s="57">
        <v>110.3</v>
      </c>
      <c r="J853" s="57" t="s">
        <v>6003</v>
      </c>
      <c r="K853" s="60">
        <v>34.89</v>
      </c>
      <c r="L853" s="60">
        <v>38</v>
      </c>
      <c r="M853" s="60">
        <v>44.8</v>
      </c>
      <c r="N853" s="57" t="s">
        <v>142</v>
      </c>
      <c r="O853" s="57" t="s">
        <v>142</v>
      </c>
      <c r="P853" s="57" t="s">
        <v>142</v>
      </c>
      <c r="Q853" s="57" t="s">
        <v>6004</v>
      </c>
      <c r="R853" s="57">
        <v>71.3</v>
      </c>
      <c r="S853" s="26" t="s">
        <v>451</v>
      </c>
      <c r="T853" s="20" t="s">
        <v>4320</v>
      </c>
      <c r="U853" s="39" t="s">
        <v>6006</v>
      </c>
    </row>
    <row r="854" spans="1:21" ht="27.75" customHeight="1" x14ac:dyDescent="0.25">
      <c r="A854" s="25">
        <v>45125</v>
      </c>
      <c r="B854" s="38">
        <v>0.875</v>
      </c>
      <c r="C854" s="1466" t="s">
        <v>6016</v>
      </c>
      <c r="D854" s="1467"/>
      <c r="E854" s="1467"/>
      <c r="F854" s="1467"/>
      <c r="G854" s="1467"/>
      <c r="H854" s="1467"/>
      <c r="I854" s="1467"/>
      <c r="J854" s="1467"/>
      <c r="K854" s="1467"/>
      <c r="L854" s="1467"/>
      <c r="M854" s="1467"/>
      <c r="N854" s="1467"/>
      <c r="O854" s="1467"/>
      <c r="P854" s="1467"/>
      <c r="Q854" s="1467"/>
      <c r="R854" s="1468"/>
      <c r="S854" s="26" t="s">
        <v>451</v>
      </c>
      <c r="T854" s="20" t="s">
        <v>4320</v>
      </c>
      <c r="U854" s="39"/>
    </row>
    <row r="855" spans="1:21" ht="27.75" customHeight="1" x14ac:dyDescent="0.25">
      <c r="A855" s="25">
        <v>45126</v>
      </c>
      <c r="B855" s="38">
        <v>0.95833333333333337</v>
      </c>
      <c r="C855" s="246">
        <v>52</v>
      </c>
      <c r="D855" s="60">
        <v>13.8</v>
      </c>
      <c r="E855" s="247">
        <v>18.7</v>
      </c>
      <c r="F855" s="57">
        <v>909</v>
      </c>
      <c r="G855" s="57">
        <v>2482</v>
      </c>
      <c r="H855" s="57">
        <v>102.7</v>
      </c>
      <c r="I855" s="57">
        <v>103.7</v>
      </c>
      <c r="J855" s="57" t="s">
        <v>6018</v>
      </c>
      <c r="K855" s="60">
        <v>36.1</v>
      </c>
      <c r="L855" s="60">
        <v>37</v>
      </c>
      <c r="M855" s="60">
        <v>41.82</v>
      </c>
      <c r="N855" s="57" t="s">
        <v>142</v>
      </c>
      <c r="O855" s="57" t="s">
        <v>142</v>
      </c>
      <c r="P855" s="57" t="s">
        <v>142</v>
      </c>
      <c r="Q855" s="57" t="s">
        <v>6019</v>
      </c>
      <c r="R855" s="57">
        <v>79.900000000000006</v>
      </c>
      <c r="S855" s="26" t="s">
        <v>451</v>
      </c>
      <c r="T855" s="20" t="s">
        <v>4320</v>
      </c>
      <c r="U855" s="39"/>
    </row>
    <row r="856" spans="1:21" ht="27.75" customHeight="1" x14ac:dyDescent="0.25">
      <c r="A856" s="25">
        <v>45127</v>
      </c>
      <c r="B856" s="38">
        <v>0.75</v>
      </c>
      <c r="C856" s="246">
        <v>52</v>
      </c>
      <c r="D856" s="60">
        <v>12.4</v>
      </c>
      <c r="E856" s="247">
        <v>17.600000000000001</v>
      </c>
      <c r="F856" s="57">
        <v>836</v>
      </c>
      <c r="G856" s="57">
        <v>2499</v>
      </c>
      <c r="H856" s="57">
        <v>103.4</v>
      </c>
      <c r="I856" s="57">
        <v>104.3</v>
      </c>
      <c r="J856" s="57" t="s">
        <v>6028</v>
      </c>
      <c r="K856" s="60">
        <v>34.61</v>
      </c>
      <c r="L856" s="60">
        <v>38</v>
      </c>
      <c r="M856" s="60">
        <v>43.8</v>
      </c>
      <c r="N856" s="57" t="s">
        <v>142</v>
      </c>
      <c r="O856" s="57" t="s">
        <v>142</v>
      </c>
      <c r="P856" s="57" t="s">
        <v>142</v>
      </c>
      <c r="Q856" s="57" t="s">
        <v>6029</v>
      </c>
      <c r="R856" s="57">
        <v>75.2</v>
      </c>
      <c r="S856" s="26" t="s">
        <v>451</v>
      </c>
      <c r="T856" s="20" t="s">
        <v>4320</v>
      </c>
      <c r="U856" s="39"/>
    </row>
    <row r="857" spans="1:21" ht="27.75" customHeight="1" x14ac:dyDescent="0.25">
      <c r="A857" s="25">
        <v>45128</v>
      </c>
      <c r="B857" s="38">
        <v>0.83333333333333337</v>
      </c>
      <c r="C857" s="1466" t="s">
        <v>6031</v>
      </c>
      <c r="D857" s="1467"/>
      <c r="E857" s="1467"/>
      <c r="F857" s="1467"/>
      <c r="G857" s="1467"/>
      <c r="H857" s="1467"/>
      <c r="I857" s="1467"/>
      <c r="J857" s="1467"/>
      <c r="K857" s="1467"/>
      <c r="L857" s="1467"/>
      <c r="M857" s="1467"/>
      <c r="N857" s="1467"/>
      <c r="O857" s="1467"/>
      <c r="P857" s="1467"/>
      <c r="Q857" s="1467"/>
      <c r="R857" s="1468"/>
      <c r="S857" s="26" t="s">
        <v>451</v>
      </c>
      <c r="T857" s="20" t="s">
        <v>4320</v>
      </c>
      <c r="U857" s="39"/>
    </row>
    <row r="858" spans="1:21" ht="27.75" customHeight="1" x14ac:dyDescent="0.25">
      <c r="A858" s="25">
        <v>45129</v>
      </c>
      <c r="B858" s="38">
        <v>0.91666666666666663</v>
      </c>
      <c r="C858" s="1466" t="s">
        <v>6039</v>
      </c>
      <c r="D858" s="1467"/>
      <c r="E858" s="1467"/>
      <c r="F858" s="1467"/>
      <c r="G858" s="1467"/>
      <c r="H858" s="1467"/>
      <c r="I858" s="1467"/>
      <c r="J858" s="1467"/>
      <c r="K858" s="1467"/>
      <c r="L858" s="1467"/>
      <c r="M858" s="1467"/>
      <c r="N858" s="1467"/>
      <c r="O858" s="1467"/>
      <c r="P858" s="1467"/>
      <c r="Q858" s="1467"/>
      <c r="R858" s="1468"/>
      <c r="S858" s="26" t="s">
        <v>451</v>
      </c>
      <c r="T858" s="20" t="s">
        <v>4320</v>
      </c>
      <c r="U858" s="39"/>
    </row>
    <row r="859" spans="1:21" ht="27.75" customHeight="1" x14ac:dyDescent="0.25">
      <c r="A859" s="25">
        <v>45130</v>
      </c>
      <c r="B859" s="38">
        <v>0.91666666666666663</v>
      </c>
      <c r="C859" s="246">
        <v>52</v>
      </c>
      <c r="D859" s="60">
        <v>11.7</v>
      </c>
      <c r="E859" s="247">
        <v>17</v>
      </c>
      <c r="F859" s="57">
        <v>840</v>
      </c>
      <c r="G859" s="57">
        <v>2534</v>
      </c>
      <c r="H859" s="57">
        <v>103</v>
      </c>
      <c r="I859" s="57">
        <v>104.2</v>
      </c>
      <c r="J859" s="57" t="s">
        <v>6028</v>
      </c>
      <c r="K859" s="60">
        <v>36.03</v>
      </c>
      <c r="L859" s="60">
        <v>38</v>
      </c>
      <c r="M859" s="60">
        <v>43.99</v>
      </c>
      <c r="N859" s="57" t="s">
        <v>142</v>
      </c>
      <c r="O859" s="57" t="s">
        <v>142</v>
      </c>
      <c r="P859" s="57" t="s">
        <v>142</v>
      </c>
      <c r="Q859" s="57" t="s">
        <v>5811</v>
      </c>
      <c r="R859" s="57">
        <v>72.599999999999994</v>
      </c>
      <c r="S859" s="26" t="s">
        <v>451</v>
      </c>
      <c r="T859" s="20" t="s">
        <v>4320</v>
      </c>
      <c r="U859" s="39"/>
    </row>
    <row r="860" spans="1:21" ht="27.75" customHeight="1" x14ac:dyDescent="0.25">
      <c r="A860" s="25">
        <v>45131</v>
      </c>
      <c r="B860" s="38">
        <v>0.91666666666666663</v>
      </c>
      <c r="C860" s="246">
        <v>52</v>
      </c>
      <c r="D860" s="60">
        <v>8.4</v>
      </c>
      <c r="E860" s="247">
        <v>14.7</v>
      </c>
      <c r="F860" s="57">
        <v>864</v>
      </c>
      <c r="G860" s="57">
        <v>2431</v>
      </c>
      <c r="H860" s="57">
        <v>108.6</v>
      </c>
      <c r="I860" s="57">
        <v>109.9</v>
      </c>
      <c r="J860" s="57" t="s">
        <v>6049</v>
      </c>
      <c r="K860" s="60">
        <v>33.799999999999997</v>
      </c>
      <c r="L860" s="60">
        <v>38</v>
      </c>
      <c r="M860" s="60">
        <v>40.01</v>
      </c>
      <c r="N860" s="57" t="s">
        <v>142</v>
      </c>
      <c r="O860" s="57" t="s">
        <v>142</v>
      </c>
      <c r="P860" s="57" t="s">
        <v>142</v>
      </c>
      <c r="Q860" s="57" t="s">
        <v>1750</v>
      </c>
      <c r="R860" s="57">
        <v>62.8</v>
      </c>
      <c r="S860" s="26" t="s">
        <v>451</v>
      </c>
      <c r="T860" s="20" t="s">
        <v>4320</v>
      </c>
      <c r="U860" s="39"/>
    </row>
    <row r="861" spans="1:21" ht="27.75" customHeight="1" x14ac:dyDescent="0.25">
      <c r="A861" s="25">
        <v>45132</v>
      </c>
      <c r="B861" s="38">
        <v>0.91666666666666663</v>
      </c>
      <c r="C861" s="1466" t="s">
        <v>6061</v>
      </c>
      <c r="D861" s="1467"/>
      <c r="E861" s="1467"/>
      <c r="F861" s="1467"/>
      <c r="G861" s="1467"/>
      <c r="H861" s="1467"/>
      <c r="I861" s="1467"/>
      <c r="J861" s="1467"/>
      <c r="K861" s="1467"/>
      <c r="L861" s="1467"/>
      <c r="M861" s="1467"/>
      <c r="N861" s="1467"/>
      <c r="O861" s="1467"/>
      <c r="P861" s="1467"/>
      <c r="Q861" s="1467"/>
      <c r="R861" s="1468"/>
      <c r="S861" s="26" t="s">
        <v>451</v>
      </c>
      <c r="T861" s="20" t="s">
        <v>4320</v>
      </c>
      <c r="U861" s="39"/>
    </row>
    <row r="862" spans="1:21" ht="27.75" customHeight="1" x14ac:dyDescent="0.25">
      <c r="A862" s="25">
        <v>45133</v>
      </c>
      <c r="B862" s="38">
        <v>0.91666666666666663</v>
      </c>
      <c r="C862" s="1466" t="s">
        <v>6069</v>
      </c>
      <c r="D862" s="1467"/>
      <c r="E862" s="1467"/>
      <c r="F862" s="1467"/>
      <c r="G862" s="1467"/>
      <c r="H862" s="1467"/>
      <c r="I862" s="1467"/>
      <c r="J862" s="1467"/>
      <c r="K862" s="1467"/>
      <c r="L862" s="1467"/>
      <c r="M862" s="1467"/>
      <c r="N862" s="1467"/>
      <c r="O862" s="1467"/>
      <c r="P862" s="1467"/>
      <c r="Q862" s="1467"/>
      <c r="R862" s="1468"/>
      <c r="S862" s="26" t="s">
        <v>451</v>
      </c>
      <c r="T862" s="20" t="s">
        <v>4320</v>
      </c>
      <c r="U862" s="39"/>
    </row>
    <row r="863" spans="1:21" ht="27.75" customHeight="1" x14ac:dyDescent="0.25">
      <c r="A863" s="25">
        <v>45134</v>
      </c>
      <c r="B863" s="38">
        <v>0.875</v>
      </c>
      <c r="C863" s="1466" t="s">
        <v>6068</v>
      </c>
      <c r="D863" s="1467"/>
      <c r="E863" s="1467"/>
      <c r="F863" s="1467"/>
      <c r="G863" s="1467"/>
      <c r="H863" s="1467"/>
      <c r="I863" s="1467"/>
      <c r="J863" s="1467"/>
      <c r="K863" s="1467"/>
      <c r="L863" s="1467"/>
      <c r="M863" s="1467"/>
      <c r="N863" s="1467"/>
      <c r="O863" s="1467"/>
      <c r="P863" s="1467"/>
      <c r="Q863" s="1467"/>
      <c r="R863" s="1468"/>
      <c r="S863" s="26" t="s">
        <v>451</v>
      </c>
      <c r="T863" s="20" t="s">
        <v>4320</v>
      </c>
      <c r="U863" s="39"/>
    </row>
  </sheetData>
  <mergeCells count="534">
    <mergeCell ref="C863:R863"/>
    <mergeCell ref="C861:R861"/>
    <mergeCell ref="C858:R858"/>
    <mergeCell ref="C854:R854"/>
    <mergeCell ref="C829:R829"/>
    <mergeCell ref="C824:R824"/>
    <mergeCell ref="C819:R819"/>
    <mergeCell ref="C818:R818"/>
    <mergeCell ref="C817:R817"/>
    <mergeCell ref="C814:R814"/>
    <mergeCell ref="C857:R857"/>
    <mergeCell ref="C810:R810"/>
    <mergeCell ref="C826:R826"/>
    <mergeCell ref="C825:R825"/>
    <mergeCell ref="C823:R823"/>
    <mergeCell ref="C822:R822"/>
    <mergeCell ref="C816:R816"/>
    <mergeCell ref="C815:R815"/>
    <mergeCell ref="C851:R851"/>
    <mergeCell ref="C849:R849"/>
    <mergeCell ref="C848:R848"/>
    <mergeCell ref="C844:R844"/>
    <mergeCell ref="C842:R842"/>
    <mergeCell ref="C841:R841"/>
    <mergeCell ref="C835:R835"/>
    <mergeCell ref="C834:R834"/>
    <mergeCell ref="C833:R833"/>
    <mergeCell ref="C850:R850"/>
    <mergeCell ref="C847:R847"/>
    <mergeCell ref="C843:R843"/>
    <mergeCell ref="C840:R840"/>
    <mergeCell ref="C780:R780"/>
    <mergeCell ref="O9:P9"/>
    <mergeCell ref="C650:R650"/>
    <mergeCell ref="C631:R631"/>
    <mergeCell ref="C630:R630"/>
    <mergeCell ref="C602:R602"/>
    <mergeCell ref="C628:R628"/>
    <mergeCell ref="C627:R627"/>
    <mergeCell ref="C624:R624"/>
    <mergeCell ref="C621:R621"/>
    <mergeCell ref="C619:R619"/>
    <mergeCell ref="C617:R617"/>
    <mergeCell ref="C610:R610"/>
    <mergeCell ref="C629:R629"/>
    <mergeCell ref="C607:R607"/>
    <mergeCell ref="C616:R616"/>
    <mergeCell ref="C618:R618"/>
    <mergeCell ref="C620:R620"/>
    <mergeCell ref="C623:R623"/>
    <mergeCell ref="C626:R626"/>
    <mergeCell ref="C625:R625"/>
    <mergeCell ref="C604:R604"/>
    <mergeCell ref="C603:R603"/>
    <mergeCell ref="C613:R613"/>
    <mergeCell ref="C612:R612"/>
    <mergeCell ref="C611:R611"/>
    <mergeCell ref="C609:R609"/>
    <mergeCell ref="C606:R606"/>
    <mergeCell ref="C605:R605"/>
    <mergeCell ref="C580:R580"/>
    <mergeCell ref="C595:R595"/>
    <mergeCell ref="C594:R594"/>
    <mergeCell ref="C601:R601"/>
    <mergeCell ref="C600:R600"/>
    <mergeCell ref="C588:R588"/>
    <mergeCell ref="C586:R586"/>
    <mergeCell ref="C584:R584"/>
    <mergeCell ref="C579:R579"/>
    <mergeCell ref="C585:R585"/>
    <mergeCell ref="C593:R593"/>
    <mergeCell ref="C592:R592"/>
    <mergeCell ref="C581:R581"/>
    <mergeCell ref="C597:R597"/>
    <mergeCell ref="C596:R596"/>
    <mergeCell ref="C587:R587"/>
    <mergeCell ref="C591:R591"/>
    <mergeCell ref="C576:R576"/>
    <mergeCell ref="C577:R577"/>
    <mergeCell ref="C578:R578"/>
    <mergeCell ref="C573:R573"/>
    <mergeCell ref="C550:R550"/>
    <mergeCell ref="C542:R542"/>
    <mergeCell ref="C561:R561"/>
    <mergeCell ref="C554:R554"/>
    <mergeCell ref="C549:R549"/>
    <mergeCell ref="C562:R562"/>
    <mergeCell ref="C557:R557"/>
    <mergeCell ref="C560:R560"/>
    <mergeCell ref="C572:R572"/>
    <mergeCell ref="C556:R556"/>
    <mergeCell ref="C555:R555"/>
    <mergeCell ref="C567:R567"/>
    <mergeCell ref="C551:R551"/>
    <mergeCell ref="C565:R565"/>
    <mergeCell ref="C571:R571"/>
    <mergeCell ref="C570:R570"/>
    <mergeCell ref="C566:R566"/>
    <mergeCell ref="C564:R564"/>
    <mergeCell ref="C563:R563"/>
    <mergeCell ref="C511:R511"/>
    <mergeCell ref="C541:R541"/>
    <mergeCell ref="C539:R539"/>
    <mergeCell ref="C538:R538"/>
    <mergeCell ref="C537:R537"/>
    <mergeCell ref="C534:R534"/>
    <mergeCell ref="C528:R528"/>
    <mergeCell ref="C524:R524"/>
    <mergeCell ref="C517:R517"/>
    <mergeCell ref="C540:R540"/>
    <mergeCell ref="C530:R530"/>
    <mergeCell ref="C529:R529"/>
    <mergeCell ref="C536:R536"/>
    <mergeCell ref="C535:R535"/>
    <mergeCell ref="C512:R512"/>
    <mergeCell ref="C527:R527"/>
    <mergeCell ref="C526:R526"/>
    <mergeCell ref="C525:R525"/>
    <mergeCell ref="C519:R519"/>
    <mergeCell ref="C518:R518"/>
    <mergeCell ref="C516:R516"/>
    <mergeCell ref="C515:R515"/>
    <mergeCell ref="C502:R502"/>
    <mergeCell ref="C497:R497"/>
    <mergeCell ref="C493:R493"/>
    <mergeCell ref="C491:R491"/>
    <mergeCell ref="C486:R486"/>
    <mergeCell ref="C504:R504"/>
    <mergeCell ref="C505:R505"/>
    <mergeCell ref="C492:R492"/>
    <mergeCell ref="C496:R496"/>
    <mergeCell ref="C498:R498"/>
    <mergeCell ref="C487:R487"/>
    <mergeCell ref="C85:M85"/>
    <mergeCell ref="C100:M100"/>
    <mergeCell ref="C99:M99"/>
    <mergeCell ref="C88:M88"/>
    <mergeCell ref="C124:M124"/>
    <mergeCell ref="C102:M102"/>
    <mergeCell ref="C96:M96"/>
    <mergeCell ref="C90:M90"/>
    <mergeCell ref="C101:M101"/>
    <mergeCell ref="C95:M95"/>
    <mergeCell ref="C89:M89"/>
    <mergeCell ref="C93:M93"/>
    <mergeCell ref="C86:M86"/>
    <mergeCell ref="C91:M91"/>
    <mergeCell ref="C106:M106"/>
    <mergeCell ref="C92:M92"/>
    <mergeCell ref="C115:L115"/>
    <mergeCell ref="C97:M97"/>
    <mergeCell ref="C98:M98"/>
    <mergeCell ref="C87:M87"/>
    <mergeCell ref="C152:M152"/>
    <mergeCell ref="C128:M128"/>
    <mergeCell ref="C129:M129"/>
    <mergeCell ref="C156:M156"/>
    <mergeCell ref="C127:M127"/>
    <mergeCell ref="C153:M153"/>
    <mergeCell ref="C125:M125"/>
    <mergeCell ref="C163:R163"/>
    <mergeCell ref="C166:R166"/>
    <mergeCell ref="C165:R165"/>
    <mergeCell ref="C189:R189"/>
    <mergeCell ref="C187:R187"/>
    <mergeCell ref="C204:R204"/>
    <mergeCell ref="C157:M157"/>
    <mergeCell ref="C193:R193"/>
    <mergeCell ref="C178:R178"/>
    <mergeCell ref="C173:R173"/>
    <mergeCell ref="C180:R180"/>
    <mergeCell ref="C195:R195"/>
    <mergeCell ref="C183:R183"/>
    <mergeCell ref="C172:R172"/>
    <mergeCell ref="C171:R171"/>
    <mergeCell ref="C158:M158"/>
    <mergeCell ref="C275:R275"/>
    <mergeCell ref="C94:M94"/>
    <mergeCell ref="C198:R198"/>
    <mergeCell ref="C174:R174"/>
    <mergeCell ref="C123:M123"/>
    <mergeCell ref="C126:M126"/>
    <mergeCell ref="C167:R167"/>
    <mergeCell ref="C104:M104"/>
    <mergeCell ref="C103:M103"/>
    <mergeCell ref="C105:M105"/>
    <mergeCell ref="C107:M107"/>
    <mergeCell ref="C122:M122"/>
    <mergeCell ref="B143:R143"/>
    <mergeCell ref="B142:R142"/>
    <mergeCell ref="B144:R144"/>
    <mergeCell ref="C154:M154"/>
    <mergeCell ref="C148:Q148"/>
    <mergeCell ref="C179:R179"/>
    <mergeCell ref="C164:R164"/>
    <mergeCell ref="C162:R162"/>
    <mergeCell ref="C155:M155"/>
    <mergeCell ref="C175:R175"/>
    <mergeCell ref="C208:R208"/>
    <mergeCell ref="C258:R258"/>
    <mergeCell ref="A1:U2"/>
    <mergeCell ref="H3:J3"/>
    <mergeCell ref="L3:M3"/>
    <mergeCell ref="H4:P4"/>
    <mergeCell ref="H5:J5"/>
    <mergeCell ref="L5:M5"/>
    <mergeCell ref="U10:U11"/>
    <mergeCell ref="T10:T11"/>
    <mergeCell ref="P10:P11"/>
    <mergeCell ref="S10:S11"/>
    <mergeCell ref="A10:A11"/>
    <mergeCell ref="I7:K8"/>
    <mergeCell ref="L7:M7"/>
    <mergeCell ref="C8:D8"/>
    <mergeCell ref="L8:M8"/>
    <mergeCell ref="C7:D7"/>
    <mergeCell ref="H7:H8"/>
    <mergeCell ref="L9:M9"/>
    <mergeCell ref="I9:K9"/>
    <mergeCell ref="O10:O11"/>
    <mergeCell ref="C9:D9"/>
    <mergeCell ref="N10:N11"/>
    <mergeCell ref="Q3:R3"/>
    <mergeCell ref="Q5:R5"/>
    <mergeCell ref="C205:R205"/>
    <mergeCell ref="C188:R188"/>
    <mergeCell ref="C200:R200"/>
    <mergeCell ref="C203:R203"/>
    <mergeCell ref="C186:R186"/>
    <mergeCell ref="C233:R233"/>
    <mergeCell ref="C231:R231"/>
    <mergeCell ref="C230:R230"/>
    <mergeCell ref="C223:R223"/>
    <mergeCell ref="C199:R199"/>
    <mergeCell ref="C217:R217"/>
    <mergeCell ref="C216:R216"/>
    <mergeCell ref="C194:R194"/>
    <mergeCell ref="C222:R222"/>
    <mergeCell ref="C232:R232"/>
    <mergeCell ref="C210:R210"/>
    <mergeCell ref="C209:R209"/>
    <mergeCell ref="C229:R229"/>
    <mergeCell ref="C228:R228"/>
    <mergeCell ref="C221:R221"/>
    <mergeCell ref="C220:R220"/>
    <mergeCell ref="C215:R215"/>
    <mergeCell ref="C214:R214"/>
    <mergeCell ref="C211:R211"/>
    <mergeCell ref="C240:M240"/>
    <mergeCell ref="C239:M239"/>
    <mergeCell ref="C242:M242"/>
    <mergeCell ref="C244:M244"/>
    <mergeCell ref="C243:M243"/>
    <mergeCell ref="C271:R271"/>
    <mergeCell ref="C273:R273"/>
    <mergeCell ref="C256:R256"/>
    <mergeCell ref="C255:R255"/>
    <mergeCell ref="C259:R259"/>
    <mergeCell ref="C245:M245"/>
    <mergeCell ref="C252:R252"/>
    <mergeCell ref="C251:R251"/>
    <mergeCell ref="C254:R254"/>
    <mergeCell ref="C241:M241"/>
    <mergeCell ref="C274:R274"/>
    <mergeCell ref="C272:R272"/>
    <mergeCell ref="C268:R268"/>
    <mergeCell ref="C253:R253"/>
    <mergeCell ref="C257:R257"/>
    <mergeCell ref="C264:R264"/>
    <mergeCell ref="C266:R266"/>
    <mergeCell ref="C270:R270"/>
    <mergeCell ref="C269:R269"/>
    <mergeCell ref="C267:R267"/>
    <mergeCell ref="C265:R265"/>
    <mergeCell ref="C261:R261"/>
    <mergeCell ref="C262:R262"/>
    <mergeCell ref="C263:R263"/>
    <mergeCell ref="C260:R260"/>
    <mergeCell ref="C284:R284"/>
    <mergeCell ref="C311:R311"/>
    <mergeCell ref="C329:R329"/>
    <mergeCell ref="C302:R302"/>
    <mergeCell ref="C305:R305"/>
    <mergeCell ref="C323:R323"/>
    <mergeCell ref="C324:R324"/>
    <mergeCell ref="C322:R322"/>
    <mergeCell ref="C320:R320"/>
    <mergeCell ref="C319:R319"/>
    <mergeCell ref="C313:R313"/>
    <mergeCell ref="C301:R301"/>
    <mergeCell ref="C312:R312"/>
    <mergeCell ref="C328:R328"/>
    <mergeCell ref="C326:R326"/>
    <mergeCell ref="C325:R325"/>
    <mergeCell ref="C286:R286"/>
    <mergeCell ref="C287:R287"/>
    <mergeCell ref="C285:R285"/>
    <mergeCell ref="C330:R330"/>
    <mergeCell ref="C345:R345"/>
    <mergeCell ref="C365:R365"/>
    <mergeCell ref="C334:R334"/>
    <mergeCell ref="C342:R342"/>
    <mergeCell ref="C362:R362"/>
    <mergeCell ref="C357:R357"/>
    <mergeCell ref="C356:R356"/>
    <mergeCell ref="C349:R349"/>
    <mergeCell ref="C347:R347"/>
    <mergeCell ref="C346:R346"/>
    <mergeCell ref="C344:R344"/>
    <mergeCell ref="C343:R343"/>
    <mergeCell ref="C364:R364"/>
    <mergeCell ref="C363:R363"/>
    <mergeCell ref="C359:R359"/>
    <mergeCell ref="C358:R358"/>
    <mergeCell ref="C355:R355"/>
    <mergeCell ref="C350:R350"/>
    <mergeCell ref="C335:R335"/>
    <mergeCell ref="C333:R333"/>
    <mergeCell ref="C372:R372"/>
    <mergeCell ref="C389:R389"/>
    <mergeCell ref="C379:R379"/>
    <mergeCell ref="C386:R386"/>
    <mergeCell ref="C331:R331"/>
    <mergeCell ref="B400:R400"/>
    <mergeCell ref="B399:R399"/>
    <mergeCell ref="C371:R371"/>
    <mergeCell ref="C394:R394"/>
    <mergeCell ref="C395:R395"/>
    <mergeCell ref="C368:R368"/>
    <mergeCell ref="C366:R366"/>
    <mergeCell ref="C351:R351"/>
    <mergeCell ref="C336:R336"/>
    <mergeCell ref="C396:R396"/>
    <mergeCell ref="C392:R393"/>
    <mergeCell ref="C387:R387"/>
    <mergeCell ref="C388:R388"/>
    <mergeCell ref="B398:R398"/>
    <mergeCell ref="C443:R443"/>
    <mergeCell ref="C457:R457"/>
    <mergeCell ref="C403:R403"/>
    <mergeCell ref="C414:R414"/>
    <mergeCell ref="C413:R413"/>
    <mergeCell ref="C426:P426"/>
    <mergeCell ref="C425:P425"/>
    <mergeCell ref="C422:R422"/>
    <mergeCell ref="C421:R421"/>
    <mergeCell ref="C420:R420"/>
    <mergeCell ref="C412:R412"/>
    <mergeCell ref="C408:R408"/>
    <mergeCell ref="C407:R407"/>
    <mergeCell ref="C404:R404"/>
    <mergeCell ref="C411:R411"/>
    <mergeCell ref="C410:R410"/>
    <mergeCell ref="C417:R417"/>
    <mergeCell ref="C405:R405"/>
    <mergeCell ref="C406:R406"/>
    <mergeCell ref="C418:R418"/>
    <mergeCell ref="C419:R419"/>
    <mergeCell ref="C506:R506"/>
    <mergeCell ref="C509:R509"/>
    <mergeCell ref="C485:R485"/>
    <mergeCell ref="C503:R503"/>
    <mergeCell ref="C427:P427"/>
    <mergeCell ref="C484:R484"/>
    <mergeCell ref="C483:R483"/>
    <mergeCell ref="C477:R477"/>
    <mergeCell ref="C470:R470"/>
    <mergeCell ref="C468:R468"/>
    <mergeCell ref="C464:R464"/>
    <mergeCell ref="C459:R459"/>
    <mergeCell ref="C445:R445"/>
    <mergeCell ref="C450:R450"/>
    <mergeCell ref="C465:R465"/>
    <mergeCell ref="C463:R463"/>
    <mergeCell ref="C460:R460"/>
    <mergeCell ref="C458:R458"/>
    <mergeCell ref="C452:R452"/>
    <mergeCell ref="C435:R435"/>
    <mergeCell ref="C434:R434"/>
    <mergeCell ref="C430:P430"/>
    <mergeCell ref="C429:P429"/>
    <mergeCell ref="C444:R444"/>
    <mergeCell ref="C656:R656"/>
    <mergeCell ref="C700:S700"/>
    <mergeCell ref="C699:S699"/>
    <mergeCell ref="C698:S698"/>
    <mergeCell ref="C697:S697"/>
    <mergeCell ref="C428:P428"/>
    <mergeCell ref="C490:R490"/>
    <mergeCell ref="C447:R447"/>
    <mergeCell ref="C442:R442"/>
    <mergeCell ref="C446:R446"/>
    <mergeCell ref="C439:R439"/>
    <mergeCell ref="C438:R438"/>
    <mergeCell ref="C437:R437"/>
    <mergeCell ref="C482:R482"/>
    <mergeCell ref="C476:R476"/>
    <mergeCell ref="C473:R473"/>
    <mergeCell ref="C472:R472"/>
    <mergeCell ref="C469:R469"/>
    <mergeCell ref="C436:R436"/>
    <mergeCell ref="C481:R481"/>
    <mergeCell ref="C480:R480"/>
    <mergeCell ref="C453:R453"/>
    <mergeCell ref="C451:R451"/>
    <mergeCell ref="C510:R510"/>
    <mergeCell ref="C636:R636"/>
    <mergeCell ref="C655:R655"/>
    <mergeCell ref="C654:R654"/>
    <mergeCell ref="C653:R653"/>
    <mergeCell ref="C648:R648"/>
    <mergeCell ref="C632:R632"/>
    <mergeCell ref="C645:R645"/>
    <mergeCell ref="C642:R642"/>
    <mergeCell ref="C639:R639"/>
    <mergeCell ref="C638:R638"/>
    <mergeCell ref="C635:R635"/>
    <mergeCell ref="C647:R647"/>
    <mergeCell ref="C637:R637"/>
    <mergeCell ref="C643:R643"/>
    <mergeCell ref="C646:R646"/>
    <mergeCell ref="C644:R644"/>
    <mergeCell ref="C649:R649"/>
    <mergeCell ref="C714:R714"/>
    <mergeCell ref="C710:R710"/>
    <mergeCell ref="C693:R693"/>
    <mergeCell ref="C691:R691"/>
    <mergeCell ref="C689:R689"/>
    <mergeCell ref="C683:R683"/>
    <mergeCell ref="C658:R658"/>
    <mergeCell ref="C671:R671"/>
    <mergeCell ref="C674:R674"/>
    <mergeCell ref="C673:R673"/>
    <mergeCell ref="C670:R670"/>
    <mergeCell ref="C669:R669"/>
    <mergeCell ref="C665:R665"/>
    <mergeCell ref="C662:R662"/>
    <mergeCell ref="C659:R659"/>
    <mergeCell ref="C682:R682"/>
    <mergeCell ref="C679:R679"/>
    <mergeCell ref="C675:R675"/>
    <mergeCell ref="C712:R712"/>
    <mergeCell ref="C666:R666"/>
    <mergeCell ref="C713:R713"/>
    <mergeCell ref="C657:R657"/>
    <mergeCell ref="C663:R663"/>
    <mergeCell ref="C678:R678"/>
    <mergeCell ref="C681:R681"/>
    <mergeCell ref="C680:R680"/>
    <mergeCell ref="C705:S705"/>
    <mergeCell ref="C704:S704"/>
    <mergeCell ref="C703:S703"/>
    <mergeCell ref="C702:S702"/>
    <mergeCell ref="C685:R685"/>
    <mergeCell ref="C690:R690"/>
    <mergeCell ref="C686:R686"/>
    <mergeCell ref="C692:R692"/>
    <mergeCell ref="C694:R694"/>
    <mergeCell ref="C701:S701"/>
    <mergeCell ref="C684:R684"/>
    <mergeCell ref="C664:R664"/>
    <mergeCell ref="C672:R672"/>
    <mergeCell ref="C722:R722"/>
    <mergeCell ref="C709:R709"/>
    <mergeCell ref="C752:R752"/>
    <mergeCell ref="C748:R748"/>
    <mergeCell ref="C747:R747"/>
    <mergeCell ref="C741:R741"/>
    <mergeCell ref="C738:R738"/>
    <mergeCell ref="C739:R739"/>
    <mergeCell ref="C730:R730"/>
    <mergeCell ref="C726:R726"/>
    <mergeCell ref="C725:R725"/>
    <mergeCell ref="C728:R728"/>
    <mergeCell ref="C720:R720"/>
    <mergeCell ref="C729:R729"/>
    <mergeCell ref="C735:R735"/>
    <mergeCell ref="C711:R711"/>
    <mergeCell ref="C734:R734"/>
    <mergeCell ref="C731:R731"/>
    <mergeCell ref="C727:R727"/>
    <mergeCell ref="C721:R721"/>
    <mergeCell ref="C736:R736"/>
    <mergeCell ref="C737:R737"/>
    <mergeCell ref="C719:R719"/>
    <mergeCell ref="C715:R715"/>
    <mergeCell ref="C830:R830"/>
    <mergeCell ref="C740:R740"/>
    <mergeCell ref="C758:R758"/>
    <mergeCell ref="C764:R764"/>
    <mergeCell ref="C763:R763"/>
    <mergeCell ref="C762:R762"/>
    <mergeCell ref="C753:R753"/>
    <mergeCell ref="C778:R778"/>
    <mergeCell ref="C772:R772"/>
    <mergeCell ref="C771:R771"/>
    <mergeCell ref="C770:R770"/>
    <mergeCell ref="C769:R769"/>
    <mergeCell ref="C767:R767"/>
    <mergeCell ref="C766:R766"/>
    <mergeCell ref="C765:R765"/>
    <mergeCell ref="C759:R759"/>
    <mergeCell ref="C754:R754"/>
    <mergeCell ref="C751:R751"/>
    <mergeCell ref="C746:R746"/>
    <mergeCell ref="C745:R745"/>
    <mergeCell ref="C744:R744"/>
    <mergeCell ref="C779:R779"/>
    <mergeCell ref="C786:R786"/>
    <mergeCell ref="C781:R781"/>
    <mergeCell ref="C862:R862"/>
    <mergeCell ref="C787:R787"/>
    <mergeCell ref="C839:R839"/>
    <mergeCell ref="C838:R838"/>
    <mergeCell ref="C795:R795"/>
    <mergeCell ref="C792:R792"/>
    <mergeCell ref="C806:R806"/>
    <mergeCell ref="C789:R789"/>
    <mergeCell ref="C788:R788"/>
    <mergeCell ref="C801:R801"/>
    <mergeCell ref="C791:R791"/>
    <mergeCell ref="C790:R790"/>
    <mergeCell ref="C798:R798"/>
    <mergeCell ref="C800:R800"/>
    <mergeCell ref="C796:R796"/>
    <mergeCell ref="C797:R797"/>
    <mergeCell ref="C799:R799"/>
    <mergeCell ref="C809:R809"/>
    <mergeCell ref="C808:R808"/>
    <mergeCell ref="C807:R807"/>
    <mergeCell ref="C805:R805"/>
    <mergeCell ref="C802:R802"/>
    <mergeCell ref="C832:R832"/>
    <mergeCell ref="C831:R831"/>
  </mergeCells>
  <pageMargins left="0.7" right="0.7" top="0.75" bottom="0.75" header="0.3" footer="0.3"/>
  <pageSetup paperSize="9" orientation="portrait" verticalDpi="300"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CY926"/>
  <sheetViews>
    <sheetView zoomScale="60" zoomScaleNormal="60" workbookViewId="0">
      <pane xSplit="2" ySplit="13" topLeftCell="D878" activePane="bottomRight" state="frozen"/>
      <selection pane="topRight" activeCell="C1" sqref="C1"/>
      <selection pane="bottomLeft" activeCell="A15" sqref="A15"/>
      <selection pane="bottomRight" activeCell="D881" sqref="D881"/>
    </sheetView>
  </sheetViews>
  <sheetFormatPr defaultRowHeight="15.75" x14ac:dyDescent="0.25"/>
  <cols>
    <col min="1" max="1" width="0.28515625" style="271" customWidth="1"/>
    <col min="2" max="2" width="20.7109375" style="271" customWidth="1"/>
    <col min="3" max="3" width="19.28515625" style="338" customWidth="1"/>
    <col min="4" max="4" width="18" style="339" customWidth="1"/>
    <col min="5" max="6" width="18" style="340" customWidth="1"/>
    <col min="7" max="8" width="17.28515625" style="340" customWidth="1"/>
    <col min="9" max="9" width="17.28515625" style="338" customWidth="1"/>
    <col min="10" max="10" width="17.28515625" style="340" customWidth="1"/>
    <col min="11" max="11" width="27.140625" style="340" customWidth="1"/>
    <col min="12" max="14" width="14.28515625" style="338" customWidth="1"/>
    <col min="15" max="17" width="17.140625" style="338" customWidth="1"/>
    <col min="18" max="18" width="22.7109375" style="338" customWidth="1"/>
    <col min="19" max="20" width="16.5703125" style="338" customWidth="1"/>
    <col min="21" max="21" width="29.140625" style="338" customWidth="1"/>
    <col min="22" max="22" width="92" style="271" customWidth="1"/>
    <col min="23" max="23" width="10.5703125" style="273" customWidth="1"/>
    <col min="24" max="90" width="9.140625" style="273"/>
    <col min="91" max="16384" width="9.140625" style="271"/>
  </cols>
  <sheetData>
    <row r="1" spans="1:103" x14ac:dyDescent="0.25">
      <c r="B1" s="1538"/>
      <c r="C1" s="1539"/>
      <c r="D1" s="1539"/>
      <c r="E1" s="1539"/>
      <c r="F1" s="1539"/>
      <c r="G1" s="1539"/>
      <c r="H1" s="1539"/>
      <c r="I1" s="1539"/>
      <c r="J1" s="1539"/>
      <c r="K1" s="1539"/>
      <c r="L1" s="1539"/>
      <c r="M1" s="1539"/>
      <c r="N1" s="1539"/>
      <c r="O1" s="1539"/>
      <c r="P1" s="1539"/>
      <c r="Q1" s="1539"/>
      <c r="R1" s="1539"/>
      <c r="S1" s="1539"/>
      <c r="T1" s="1539"/>
      <c r="U1" s="1539"/>
      <c r="V1" s="1540"/>
    </row>
    <row r="2" spans="1:103" ht="18" customHeight="1" x14ac:dyDescent="0.25">
      <c r="B2" s="1541"/>
      <c r="C2" s="1542"/>
      <c r="D2" s="1542"/>
      <c r="E2" s="1542"/>
      <c r="F2" s="1542"/>
      <c r="G2" s="1542"/>
      <c r="H2" s="1542"/>
      <c r="I2" s="1542"/>
      <c r="J2" s="1542"/>
      <c r="K2" s="1542"/>
      <c r="L2" s="1542"/>
      <c r="M2" s="1542"/>
      <c r="N2" s="1542"/>
      <c r="O2" s="1542"/>
      <c r="P2" s="1542"/>
      <c r="Q2" s="1542"/>
      <c r="R2" s="1542"/>
      <c r="S2" s="1542"/>
      <c r="T2" s="1542"/>
      <c r="U2" s="1542"/>
      <c r="V2" s="1543"/>
    </row>
    <row r="3" spans="1:103" ht="9.75" customHeight="1" x14ac:dyDescent="0.25">
      <c r="B3" s="1541"/>
      <c r="C3" s="1542"/>
      <c r="D3" s="1542"/>
      <c r="E3" s="1542"/>
      <c r="F3" s="1542"/>
      <c r="G3" s="1542"/>
      <c r="H3" s="1542"/>
      <c r="I3" s="1542"/>
      <c r="J3" s="1542"/>
      <c r="K3" s="1542"/>
      <c r="L3" s="1542"/>
      <c r="M3" s="1542"/>
      <c r="N3" s="1542"/>
      <c r="O3" s="1542"/>
      <c r="P3" s="1542"/>
      <c r="Q3" s="1542"/>
      <c r="R3" s="1542"/>
      <c r="S3" s="1542"/>
      <c r="T3" s="1542"/>
      <c r="U3" s="1542"/>
      <c r="V3" s="1543"/>
    </row>
    <row r="4" spans="1:103" s="92" customFormat="1" ht="41.25" customHeight="1" x14ac:dyDescent="0.25">
      <c r="A4" s="271"/>
      <c r="B4" s="274"/>
      <c r="C4" s="62" t="s">
        <v>0</v>
      </c>
      <c r="D4" s="63" t="s">
        <v>1</v>
      </c>
      <c r="E4" s="64"/>
      <c r="F4" s="64"/>
      <c r="G4" s="269" t="s">
        <v>2</v>
      </c>
      <c r="H4" s="65">
        <v>135</v>
      </c>
      <c r="I4" s="1544" t="s">
        <v>3</v>
      </c>
      <c r="J4" s="1544"/>
      <c r="K4" s="1544"/>
      <c r="L4" s="66">
        <v>23.4</v>
      </c>
      <c r="M4" s="1545" t="s">
        <v>4</v>
      </c>
      <c r="N4" s="1545"/>
      <c r="O4" s="67">
        <v>13</v>
      </c>
      <c r="P4" s="264" t="s">
        <v>5</v>
      </c>
      <c r="Q4" s="265" t="s">
        <v>241</v>
      </c>
      <c r="R4" s="1561" t="s">
        <v>4619</v>
      </c>
      <c r="S4" s="1562"/>
      <c r="T4" s="68"/>
      <c r="U4" s="69" t="s">
        <v>6</v>
      </c>
      <c r="V4" s="70" t="s">
        <v>7</v>
      </c>
      <c r="W4" s="93"/>
      <c r="X4" s="73"/>
      <c r="Y4" s="73"/>
      <c r="Z4" s="73"/>
      <c r="AA4" s="73"/>
      <c r="AB4" s="73"/>
      <c r="AC4" s="73"/>
      <c r="AD4" s="73"/>
      <c r="AE4" s="73"/>
      <c r="AF4" s="73"/>
      <c r="AG4" s="73"/>
      <c r="AH4" s="73"/>
      <c r="AI4" s="73"/>
      <c r="AJ4" s="73"/>
      <c r="AK4" s="73"/>
      <c r="AL4" s="73"/>
      <c r="AM4" s="73"/>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row>
    <row r="5" spans="1:103" s="92" customFormat="1" ht="23.25" customHeight="1" x14ac:dyDescent="0.25">
      <c r="A5" s="271"/>
      <c r="B5" s="274"/>
      <c r="C5" s="71"/>
      <c r="D5" s="71"/>
      <c r="E5" s="64"/>
      <c r="F5" s="64"/>
      <c r="G5" s="71"/>
      <c r="H5" s="72"/>
      <c r="I5" s="1546"/>
      <c r="J5" s="1546"/>
      <c r="K5" s="1546"/>
      <c r="L5" s="1546"/>
      <c r="M5" s="1546"/>
      <c r="N5" s="1546"/>
      <c r="O5" s="1546"/>
      <c r="P5" s="1546"/>
      <c r="Q5" s="1547"/>
      <c r="R5" s="1091"/>
      <c r="S5" s="1092"/>
      <c r="T5" s="73"/>
      <c r="U5" s="73"/>
      <c r="V5" s="74"/>
      <c r="W5" s="81"/>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c r="BZ5" s="73"/>
      <c r="CA5" s="73"/>
      <c r="CB5" s="73"/>
      <c r="CC5" s="73"/>
      <c r="CD5" s="73"/>
      <c r="CE5" s="73"/>
      <c r="CF5" s="73"/>
      <c r="CG5" s="73"/>
      <c r="CH5" s="73"/>
      <c r="CI5" s="73"/>
      <c r="CJ5" s="73"/>
      <c r="CK5" s="73"/>
      <c r="CL5" s="73"/>
    </row>
    <row r="6" spans="1:103" s="92" customFormat="1" ht="26.25" customHeight="1" x14ac:dyDescent="0.25">
      <c r="A6" s="271"/>
      <c r="B6" s="274"/>
      <c r="C6" s="75" t="s">
        <v>8</v>
      </c>
      <c r="D6" s="63" t="s">
        <v>73</v>
      </c>
      <c r="E6" s="64"/>
      <c r="F6" s="64"/>
      <c r="G6" s="269" t="s">
        <v>9</v>
      </c>
      <c r="H6" s="65">
        <v>3000</v>
      </c>
      <c r="I6" s="1548" t="s">
        <v>11</v>
      </c>
      <c r="J6" s="1548"/>
      <c r="K6" s="1548"/>
      <c r="L6" s="63">
        <v>2</v>
      </c>
      <c r="M6" s="1549" t="s">
        <v>12</v>
      </c>
      <c r="N6" s="1549"/>
      <c r="O6" s="76" t="s">
        <v>13</v>
      </c>
      <c r="P6" s="264" t="s">
        <v>14</v>
      </c>
      <c r="Q6" s="265" t="s">
        <v>13</v>
      </c>
      <c r="R6" s="1561" t="s">
        <v>4620</v>
      </c>
      <c r="S6" s="1562"/>
      <c r="T6" s="68"/>
      <c r="U6" s="69" t="s">
        <v>15</v>
      </c>
      <c r="V6" s="77" t="s">
        <v>16</v>
      </c>
      <c r="W6" s="275"/>
      <c r="X6" s="73"/>
      <c r="Y6" s="73"/>
      <c r="Z6" s="73"/>
      <c r="AA6" s="73"/>
      <c r="AB6" s="73"/>
      <c r="AC6" s="73"/>
      <c r="AD6" s="73"/>
      <c r="AE6" s="73"/>
      <c r="AF6" s="73"/>
      <c r="AG6" s="73"/>
      <c r="AH6" s="73"/>
      <c r="AI6" s="73"/>
      <c r="AJ6" s="73"/>
      <c r="AK6" s="73"/>
      <c r="AL6" s="73"/>
      <c r="AM6" s="73"/>
      <c r="AN6" s="73"/>
      <c r="AO6" s="73"/>
      <c r="AP6" s="73"/>
      <c r="AQ6" s="73"/>
      <c r="AR6" s="73"/>
      <c r="AS6" s="73"/>
      <c r="AT6" s="73"/>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c r="BY6" s="73"/>
      <c r="BZ6" s="73"/>
      <c r="CA6" s="73"/>
      <c r="CB6" s="73"/>
      <c r="CC6" s="73"/>
      <c r="CD6" s="73"/>
      <c r="CE6" s="73"/>
      <c r="CF6" s="73"/>
      <c r="CG6" s="73"/>
      <c r="CH6" s="73"/>
      <c r="CI6" s="73"/>
      <c r="CJ6" s="73"/>
      <c r="CK6" s="73"/>
      <c r="CL6" s="73"/>
    </row>
    <row r="7" spans="1:103" s="92" customFormat="1" ht="23.25" customHeight="1" x14ac:dyDescent="0.25">
      <c r="A7" s="271"/>
      <c r="B7" s="274"/>
      <c r="C7" s="78"/>
      <c r="D7" s="78"/>
      <c r="E7" s="79"/>
      <c r="F7" s="79"/>
      <c r="G7" s="78"/>
      <c r="H7" s="78"/>
      <c r="I7" s="80" t="s">
        <v>17</v>
      </c>
      <c r="J7" s="81">
        <v>1</v>
      </c>
      <c r="K7" s="78"/>
      <c r="L7" s="78"/>
      <c r="M7" s="82"/>
      <c r="N7" s="83"/>
      <c r="O7" s="73"/>
      <c r="P7" s="73"/>
      <c r="Q7" s="73"/>
      <c r="R7" s="73"/>
      <c r="S7" s="73"/>
      <c r="T7" s="73"/>
      <c r="U7" s="73"/>
      <c r="V7" s="73"/>
      <c r="W7" s="73"/>
      <c r="X7" s="73"/>
      <c r="Y7" s="73"/>
      <c r="Z7" s="73"/>
      <c r="AA7" s="73"/>
      <c r="AB7" s="73"/>
      <c r="AC7" s="73"/>
      <c r="AD7" s="73"/>
      <c r="AE7" s="73"/>
      <c r="AF7" s="73"/>
      <c r="AG7" s="73"/>
      <c r="AH7" s="73"/>
      <c r="AI7" s="73"/>
      <c r="AJ7" s="73"/>
      <c r="AK7" s="73"/>
      <c r="AL7" s="73"/>
      <c r="AM7" s="73"/>
      <c r="AN7" s="73"/>
      <c r="AO7" s="73"/>
      <c r="AP7" s="73"/>
      <c r="AQ7" s="73"/>
      <c r="AR7" s="73"/>
      <c r="AS7" s="73"/>
      <c r="AT7" s="73"/>
      <c r="AU7" s="73"/>
      <c r="AV7" s="73"/>
      <c r="AW7" s="73"/>
      <c r="AX7" s="73"/>
      <c r="AY7" s="73"/>
      <c r="AZ7" s="73"/>
      <c r="BA7" s="73"/>
      <c r="BB7" s="73"/>
      <c r="BC7" s="73"/>
      <c r="BD7" s="73"/>
      <c r="BE7" s="73"/>
      <c r="BF7" s="73"/>
      <c r="BG7" s="73"/>
      <c r="BH7" s="73"/>
      <c r="BI7" s="73"/>
      <c r="BJ7" s="73"/>
      <c r="BK7" s="73"/>
      <c r="BL7" s="73"/>
      <c r="BM7" s="73"/>
      <c r="BN7" s="73"/>
      <c r="BO7" s="73"/>
      <c r="BP7" s="73"/>
      <c r="BQ7" s="73"/>
      <c r="BR7" s="73"/>
      <c r="BS7" s="73"/>
      <c r="BT7" s="73"/>
      <c r="BU7" s="73"/>
      <c r="BV7" s="73"/>
      <c r="BW7" s="73"/>
      <c r="BX7" s="73"/>
      <c r="BY7" s="73"/>
      <c r="BZ7" s="73"/>
      <c r="CA7" s="73"/>
      <c r="CB7" s="73"/>
      <c r="CC7" s="73"/>
      <c r="CD7" s="73"/>
      <c r="CE7" s="73"/>
      <c r="CF7" s="73"/>
      <c r="CG7" s="73"/>
      <c r="CH7" s="73"/>
      <c r="CI7" s="73"/>
      <c r="CJ7" s="73"/>
      <c r="CK7" s="73"/>
      <c r="CL7" s="73"/>
    </row>
    <row r="8" spans="1:103" s="92" customFormat="1" ht="33.75" customHeight="1" x14ac:dyDescent="0.25">
      <c r="A8" s="271"/>
      <c r="B8" s="274"/>
      <c r="C8" s="266" t="s">
        <v>18</v>
      </c>
      <c r="D8" s="1552" t="s">
        <v>242</v>
      </c>
      <c r="E8" s="1553"/>
      <c r="F8" s="84"/>
      <c r="G8" s="264" t="s">
        <v>20</v>
      </c>
      <c r="H8" s="265">
        <v>3.93</v>
      </c>
      <c r="I8" s="1549" t="s">
        <v>21</v>
      </c>
      <c r="J8" s="1559" t="s">
        <v>286</v>
      </c>
      <c r="K8" s="1559"/>
      <c r="L8" s="1559"/>
      <c r="M8" s="1560" t="s">
        <v>22</v>
      </c>
      <c r="N8" s="1549"/>
      <c r="O8" s="265" t="s">
        <v>23</v>
      </c>
      <c r="P8" s="268" t="s">
        <v>24</v>
      </c>
      <c r="Q8" s="265" t="s">
        <v>25</v>
      </c>
      <c r="R8" s="157"/>
      <c r="S8" s="157"/>
      <c r="T8" s="85"/>
      <c r="U8" s="69" t="s">
        <v>26</v>
      </c>
      <c r="V8" s="86">
        <v>44266</v>
      </c>
      <c r="W8" s="276"/>
      <c r="X8" s="73"/>
      <c r="Y8" s="73"/>
      <c r="Z8" s="73"/>
      <c r="AA8" s="73"/>
      <c r="AB8" s="73"/>
      <c r="AC8" s="73"/>
      <c r="AD8" s="73"/>
      <c r="AE8" s="73"/>
      <c r="AF8" s="73"/>
      <c r="AG8" s="73"/>
      <c r="AH8" s="73"/>
      <c r="AI8" s="73"/>
      <c r="AJ8" s="73"/>
      <c r="AK8" s="73"/>
      <c r="AL8" s="73"/>
      <c r="AM8" s="73"/>
      <c r="AN8" s="73"/>
      <c r="AO8" s="73"/>
      <c r="AP8" s="73"/>
      <c r="AQ8" s="73"/>
      <c r="AR8" s="73"/>
      <c r="AS8" s="73"/>
      <c r="AT8" s="73"/>
      <c r="AU8" s="73"/>
      <c r="AV8" s="73"/>
      <c r="AW8" s="73"/>
      <c r="AX8" s="73"/>
      <c r="AY8" s="73"/>
      <c r="AZ8" s="73"/>
      <c r="BA8" s="73"/>
      <c r="BB8" s="73"/>
      <c r="BC8" s="73"/>
      <c r="BD8" s="73"/>
      <c r="BE8" s="73"/>
      <c r="BF8" s="73"/>
      <c r="BG8" s="73"/>
      <c r="BH8" s="73"/>
      <c r="BI8" s="73"/>
      <c r="BJ8" s="73"/>
      <c r="BK8" s="73"/>
      <c r="BL8" s="73"/>
      <c r="BM8" s="73"/>
      <c r="BN8" s="73"/>
      <c r="BO8" s="73"/>
      <c r="BP8" s="73"/>
      <c r="BQ8" s="73"/>
      <c r="BR8" s="73"/>
      <c r="BS8" s="73"/>
      <c r="BT8" s="73"/>
      <c r="BU8" s="73"/>
      <c r="BV8" s="73"/>
      <c r="BW8" s="73"/>
      <c r="BX8" s="73"/>
      <c r="BY8" s="73"/>
      <c r="BZ8" s="73"/>
      <c r="CA8" s="73"/>
      <c r="CB8" s="73"/>
      <c r="CC8" s="73"/>
      <c r="CD8" s="73"/>
      <c r="CE8" s="73"/>
      <c r="CF8" s="73"/>
      <c r="CG8" s="73"/>
      <c r="CH8" s="73"/>
      <c r="CI8" s="73"/>
      <c r="CJ8" s="73"/>
      <c r="CK8" s="73"/>
      <c r="CL8" s="73"/>
    </row>
    <row r="9" spans="1:103" s="92" customFormat="1" ht="27" customHeight="1" x14ac:dyDescent="0.25">
      <c r="A9" s="271"/>
      <c r="B9" s="274"/>
      <c r="C9" s="87" t="s">
        <v>27</v>
      </c>
      <c r="D9" s="1552" t="s">
        <v>243</v>
      </c>
      <c r="E9" s="1553"/>
      <c r="F9" s="84"/>
      <c r="G9" s="88"/>
      <c r="H9" s="89"/>
      <c r="I9" s="1549"/>
      <c r="J9" s="1559"/>
      <c r="K9" s="1559"/>
      <c r="L9" s="1559"/>
      <c r="M9" s="1555" t="s">
        <v>29</v>
      </c>
      <c r="N9" s="1556"/>
      <c r="O9" s="65">
        <v>2558</v>
      </c>
      <c r="P9" s="268" t="s">
        <v>30</v>
      </c>
      <c r="Q9" s="265" t="s">
        <v>244</v>
      </c>
      <c r="R9" s="157"/>
      <c r="S9" s="157"/>
      <c r="T9" s="81"/>
      <c r="U9" s="69" t="s">
        <v>31</v>
      </c>
      <c r="V9" s="86">
        <v>44270</v>
      </c>
      <c r="W9" s="276"/>
      <c r="X9" s="73"/>
      <c r="Y9" s="73"/>
      <c r="Z9" s="73"/>
      <c r="AA9" s="73"/>
      <c r="AB9" s="73"/>
      <c r="AC9" s="73"/>
      <c r="AD9" s="73"/>
      <c r="AE9" s="73"/>
      <c r="AF9" s="73"/>
      <c r="AG9" s="73"/>
      <c r="AH9" s="73"/>
      <c r="AI9" s="73"/>
      <c r="AJ9" s="73"/>
      <c r="AK9" s="73"/>
      <c r="AL9" s="73"/>
      <c r="AM9" s="73"/>
      <c r="AN9" s="73"/>
      <c r="AO9" s="73"/>
      <c r="AP9" s="73"/>
      <c r="AQ9" s="73"/>
      <c r="AR9" s="73"/>
      <c r="AS9" s="73"/>
      <c r="AT9" s="73"/>
      <c r="AU9" s="73"/>
      <c r="AV9" s="73"/>
      <c r="AW9" s="73"/>
      <c r="AX9" s="73"/>
      <c r="AY9" s="73"/>
      <c r="AZ9" s="73"/>
      <c r="BA9" s="73"/>
      <c r="BB9" s="73"/>
      <c r="BC9" s="73"/>
      <c r="BD9" s="73"/>
      <c r="BE9" s="73"/>
      <c r="BF9" s="73"/>
      <c r="BG9" s="73"/>
      <c r="BH9" s="73"/>
      <c r="BI9" s="73"/>
      <c r="BJ9" s="73"/>
      <c r="BK9" s="73"/>
      <c r="BL9" s="73"/>
      <c r="BM9" s="73"/>
      <c r="BN9" s="73"/>
      <c r="BO9" s="73"/>
      <c r="BP9" s="73"/>
      <c r="BQ9" s="73"/>
      <c r="BR9" s="73"/>
      <c r="BS9" s="73"/>
      <c r="BT9" s="73"/>
      <c r="BU9" s="73"/>
      <c r="BV9" s="73"/>
      <c r="BW9" s="73"/>
      <c r="BX9" s="73"/>
      <c r="BY9" s="73"/>
      <c r="BZ9" s="73"/>
      <c r="CA9" s="73"/>
      <c r="CB9" s="73"/>
      <c r="CC9" s="73"/>
      <c r="CD9" s="73"/>
      <c r="CE9" s="73"/>
      <c r="CF9" s="73"/>
      <c r="CG9" s="73"/>
      <c r="CH9" s="73"/>
      <c r="CI9" s="73"/>
      <c r="CJ9" s="73"/>
      <c r="CK9" s="73"/>
      <c r="CL9" s="73"/>
    </row>
    <row r="10" spans="1:103" s="92" customFormat="1" ht="37.5" customHeight="1" x14ac:dyDescent="0.25">
      <c r="A10" s="271"/>
      <c r="B10" s="274"/>
      <c r="C10" s="62" t="s">
        <v>32</v>
      </c>
      <c r="D10" s="1552" t="s">
        <v>245</v>
      </c>
      <c r="E10" s="1553"/>
      <c r="F10" s="90"/>
      <c r="G10" s="91"/>
      <c r="I10" s="1549" t="s">
        <v>34</v>
      </c>
      <c r="J10" s="1554" t="s">
        <v>246</v>
      </c>
      <c r="K10" s="1554"/>
      <c r="L10" s="1554"/>
      <c r="M10" s="1555" t="s">
        <v>36</v>
      </c>
      <c r="N10" s="1556"/>
      <c r="O10" s="267" t="s">
        <v>37</v>
      </c>
      <c r="P10" s="1552" t="s">
        <v>4621</v>
      </c>
      <c r="Q10" s="1553"/>
      <c r="R10" s="93"/>
      <c r="S10" s="93"/>
      <c r="T10" s="93"/>
      <c r="U10" s="69" t="s">
        <v>38</v>
      </c>
      <c r="V10" s="86" t="s">
        <v>574</v>
      </c>
      <c r="W10" s="277"/>
      <c r="X10" s="73"/>
      <c r="Y10" s="73"/>
      <c r="Z10" s="73"/>
      <c r="AA10" s="73"/>
      <c r="AB10" s="73"/>
      <c r="AC10" s="73"/>
      <c r="AD10" s="73"/>
      <c r="AE10" s="73"/>
      <c r="AF10" s="73"/>
      <c r="AG10" s="73"/>
      <c r="AH10" s="73"/>
      <c r="AI10" s="73"/>
      <c r="AJ10" s="73"/>
      <c r="AK10" s="73"/>
      <c r="AL10" s="73"/>
      <c r="AM10" s="73"/>
      <c r="AN10" s="73"/>
      <c r="AO10" s="73"/>
      <c r="AP10" s="73"/>
      <c r="AQ10" s="73"/>
      <c r="AR10" s="73"/>
      <c r="AS10" s="73"/>
      <c r="AT10" s="73"/>
      <c r="AU10" s="73"/>
    </row>
    <row r="11" spans="1:103" s="92" customFormat="1" ht="24.75" customHeight="1" thickBot="1" x14ac:dyDescent="0.3">
      <c r="B11" s="274"/>
      <c r="C11" s="264" t="s">
        <v>39</v>
      </c>
      <c r="D11" s="1557"/>
      <c r="E11" s="1558"/>
      <c r="F11" s="94"/>
      <c r="I11" s="1549"/>
      <c r="J11" s="1554"/>
      <c r="K11" s="1554"/>
      <c r="L11" s="1554"/>
      <c r="U11" s="69" t="s">
        <v>40</v>
      </c>
      <c r="V11" s="65" t="s">
        <v>575</v>
      </c>
      <c r="W11" s="73"/>
      <c r="X11" s="73"/>
      <c r="Y11" s="73"/>
      <c r="Z11" s="73"/>
      <c r="AA11" s="73"/>
      <c r="AB11" s="73"/>
      <c r="AC11" s="73"/>
      <c r="AD11" s="73"/>
      <c r="AE11" s="73"/>
      <c r="AF11" s="73"/>
      <c r="AG11" s="73"/>
      <c r="AH11" s="73"/>
      <c r="AI11" s="73"/>
      <c r="AJ11" s="73"/>
      <c r="AK11" s="73"/>
      <c r="AL11" s="73"/>
      <c r="AM11" s="73"/>
      <c r="AN11" s="73"/>
      <c r="AO11" s="73"/>
      <c r="AP11" s="73"/>
      <c r="AQ11" s="73"/>
      <c r="AR11" s="73"/>
      <c r="AS11" s="73"/>
      <c r="AT11" s="73"/>
      <c r="AU11" s="73"/>
    </row>
    <row r="12" spans="1:103" s="278" customFormat="1" ht="56.25" customHeight="1" thickBot="1" x14ac:dyDescent="0.3">
      <c r="B12" s="1563" t="s">
        <v>41</v>
      </c>
      <c r="C12" s="279" t="s">
        <v>42</v>
      </c>
      <c r="D12" s="280" t="s">
        <v>43</v>
      </c>
      <c r="E12" s="281" t="s">
        <v>44</v>
      </c>
      <c r="F12" s="282" t="s">
        <v>45</v>
      </c>
      <c r="G12" s="283" t="s">
        <v>46</v>
      </c>
      <c r="H12" s="284" t="s">
        <v>47</v>
      </c>
      <c r="I12" s="283" t="s">
        <v>48</v>
      </c>
      <c r="J12" s="285" t="s">
        <v>49</v>
      </c>
      <c r="K12" s="286" t="s">
        <v>50</v>
      </c>
      <c r="L12" s="287" t="s">
        <v>51</v>
      </c>
      <c r="M12" s="288" t="s">
        <v>52</v>
      </c>
      <c r="N12" s="289" t="s">
        <v>53</v>
      </c>
      <c r="O12" s="1531" t="s">
        <v>54</v>
      </c>
      <c r="P12" s="1531" t="s">
        <v>55</v>
      </c>
      <c r="Q12" s="1533" t="s">
        <v>56</v>
      </c>
      <c r="R12" s="290" t="s">
        <v>1535</v>
      </c>
      <c r="S12" s="291" t="s">
        <v>136</v>
      </c>
      <c r="T12" s="1531" t="s">
        <v>57</v>
      </c>
      <c r="U12" s="1550" t="s">
        <v>58</v>
      </c>
      <c r="V12" s="292" t="s">
        <v>77</v>
      </c>
      <c r="W12" s="293"/>
      <c r="X12" s="293"/>
      <c r="Y12" s="293"/>
      <c r="Z12" s="293"/>
      <c r="AA12" s="293"/>
      <c r="AB12" s="293"/>
      <c r="AC12" s="293"/>
      <c r="AD12" s="293"/>
      <c r="AE12" s="293"/>
      <c r="AF12" s="293"/>
      <c r="AG12" s="293"/>
      <c r="AH12" s="293"/>
      <c r="AI12" s="293"/>
      <c r="AJ12" s="293"/>
      <c r="AK12" s="293"/>
      <c r="AL12" s="293"/>
      <c r="AM12" s="293"/>
      <c r="AN12" s="293"/>
      <c r="AO12" s="293"/>
      <c r="AP12" s="293"/>
      <c r="AQ12" s="293"/>
      <c r="AR12" s="293"/>
      <c r="AS12" s="293"/>
      <c r="AT12" s="293"/>
      <c r="AU12" s="293"/>
      <c r="AV12" s="293"/>
      <c r="AW12" s="293"/>
      <c r="AX12" s="293"/>
      <c r="AY12" s="293"/>
      <c r="AZ12" s="293"/>
      <c r="BA12" s="293"/>
      <c r="BB12" s="293"/>
      <c r="BC12" s="293"/>
      <c r="BD12" s="293"/>
      <c r="BE12" s="293"/>
      <c r="BF12" s="293"/>
      <c r="BG12" s="293"/>
      <c r="BH12" s="293"/>
      <c r="BI12" s="293"/>
      <c r="BJ12" s="293"/>
      <c r="BK12" s="293"/>
      <c r="BL12" s="293"/>
      <c r="BM12" s="293"/>
      <c r="BN12" s="293"/>
      <c r="BO12" s="293"/>
      <c r="BP12" s="293"/>
      <c r="BQ12" s="293"/>
      <c r="BR12" s="293"/>
      <c r="BS12" s="293"/>
      <c r="BT12" s="293"/>
      <c r="BU12" s="293"/>
      <c r="BV12" s="293"/>
      <c r="BW12" s="293"/>
      <c r="BX12" s="293"/>
      <c r="BY12" s="293"/>
      <c r="BZ12" s="293"/>
      <c r="CA12" s="293"/>
      <c r="CB12" s="293"/>
      <c r="CC12" s="293"/>
      <c r="CD12" s="293"/>
      <c r="CE12" s="293"/>
      <c r="CF12" s="293"/>
      <c r="CG12" s="293"/>
      <c r="CH12" s="293"/>
      <c r="CI12" s="293"/>
      <c r="CJ12" s="293"/>
      <c r="CK12" s="293"/>
      <c r="CL12" s="293"/>
    </row>
    <row r="13" spans="1:103" s="294" customFormat="1" ht="30" customHeight="1" thickBot="1" x14ac:dyDescent="0.3">
      <c r="B13" s="1564"/>
      <c r="C13" s="295" t="s">
        <v>59</v>
      </c>
      <c r="D13" s="296" t="s">
        <v>60</v>
      </c>
      <c r="E13" s="297" t="s">
        <v>61</v>
      </c>
      <c r="F13" s="297" t="s">
        <v>61</v>
      </c>
      <c r="G13" s="298" t="s">
        <v>62</v>
      </c>
      <c r="H13" s="299" t="s">
        <v>62</v>
      </c>
      <c r="I13" s="300" t="s">
        <v>63</v>
      </c>
      <c r="J13" s="296" t="s">
        <v>63</v>
      </c>
      <c r="K13" s="301"/>
      <c r="L13" s="300" t="s">
        <v>64</v>
      </c>
      <c r="M13" s="302" t="s">
        <v>291</v>
      </c>
      <c r="N13" s="303" t="s">
        <v>63</v>
      </c>
      <c r="O13" s="1532"/>
      <c r="P13" s="1532"/>
      <c r="Q13" s="1534"/>
      <c r="R13" s="297" t="s">
        <v>61</v>
      </c>
      <c r="S13" s="304" t="s">
        <v>137</v>
      </c>
      <c r="T13" s="1532"/>
      <c r="U13" s="1551"/>
      <c r="V13" s="305"/>
      <c r="W13" s="273"/>
      <c r="X13" s="306"/>
      <c r="Y13" s="306"/>
      <c r="Z13" s="306"/>
      <c r="AA13" s="306"/>
      <c r="AB13" s="306"/>
      <c r="AC13" s="306"/>
      <c r="AD13" s="306"/>
      <c r="AE13" s="306"/>
      <c r="AF13" s="306"/>
      <c r="AG13" s="306"/>
      <c r="AH13" s="306"/>
      <c r="AI13" s="306"/>
      <c r="AJ13" s="306"/>
      <c r="AK13" s="306"/>
      <c r="AL13" s="306"/>
      <c r="AM13" s="306"/>
      <c r="AN13" s="306"/>
      <c r="AO13" s="306"/>
      <c r="AP13" s="306"/>
      <c r="AQ13" s="306"/>
      <c r="AR13" s="306"/>
      <c r="AS13" s="306"/>
      <c r="AT13" s="306"/>
      <c r="AU13" s="306"/>
      <c r="AV13" s="306"/>
      <c r="AW13" s="306"/>
      <c r="AX13" s="306"/>
      <c r="AY13" s="306"/>
      <c r="AZ13" s="306"/>
      <c r="BA13" s="306"/>
      <c r="BB13" s="306"/>
      <c r="BC13" s="306"/>
      <c r="BD13" s="306"/>
      <c r="BE13" s="306"/>
      <c r="BF13" s="306"/>
      <c r="BG13" s="306"/>
      <c r="BH13" s="306"/>
      <c r="BI13" s="306"/>
      <c r="BJ13" s="306"/>
      <c r="BK13" s="306"/>
      <c r="BL13" s="306"/>
      <c r="BM13" s="306"/>
      <c r="BN13" s="306"/>
      <c r="BO13" s="306"/>
      <c r="BP13" s="306"/>
      <c r="BQ13" s="306"/>
      <c r="BR13" s="306"/>
      <c r="BS13" s="306"/>
      <c r="BT13" s="306"/>
      <c r="BU13" s="306"/>
      <c r="BV13" s="306"/>
      <c r="BW13" s="306"/>
      <c r="BX13" s="306"/>
      <c r="BY13" s="306"/>
      <c r="BZ13" s="306"/>
      <c r="CA13" s="306"/>
      <c r="CB13" s="306"/>
      <c r="CC13" s="306"/>
      <c r="CD13" s="306"/>
      <c r="CE13" s="306"/>
      <c r="CF13" s="306"/>
      <c r="CG13" s="306"/>
      <c r="CH13" s="306"/>
      <c r="CI13" s="306"/>
      <c r="CJ13" s="306"/>
      <c r="CK13" s="306"/>
      <c r="CL13" s="306"/>
    </row>
    <row r="14" spans="1:103" ht="24.95" customHeight="1" x14ac:dyDescent="0.25">
      <c r="B14" s="307"/>
      <c r="C14" s="308"/>
      <c r="D14" s="309"/>
      <c r="E14" s="310"/>
      <c r="F14" s="311"/>
      <c r="G14" s="310"/>
      <c r="H14" s="312"/>
      <c r="I14" s="312"/>
      <c r="J14" s="312"/>
      <c r="K14" s="308"/>
      <c r="L14" s="308"/>
      <c r="M14" s="308"/>
      <c r="N14" s="147"/>
      <c r="O14" s="148"/>
      <c r="P14" s="148"/>
      <c r="Q14" s="148"/>
      <c r="R14" s="148"/>
      <c r="S14" s="148"/>
      <c r="T14" s="149"/>
      <c r="U14" s="148"/>
      <c r="V14" s="313"/>
      <c r="W14" s="306"/>
    </row>
    <row r="15" spans="1:103" s="273" customFormat="1" ht="24.95" customHeight="1" x14ac:dyDescent="0.25">
      <c r="B15" s="307"/>
      <c r="C15" s="145"/>
      <c r="D15" s="146"/>
      <c r="E15" s="312"/>
      <c r="F15" s="314"/>
      <c r="G15" s="312"/>
      <c r="H15" s="312"/>
      <c r="I15" s="312"/>
      <c r="J15" s="312"/>
      <c r="K15" s="145"/>
      <c r="L15" s="145"/>
      <c r="M15" s="145"/>
      <c r="N15" s="147"/>
      <c r="O15" s="148"/>
      <c r="P15" s="148"/>
      <c r="Q15" s="148"/>
      <c r="R15" s="148"/>
      <c r="S15" s="148"/>
      <c r="T15" s="149"/>
      <c r="U15" s="148"/>
      <c r="V15" s="315"/>
      <c r="W15" s="306"/>
      <c r="CM15" s="271"/>
      <c r="CN15" s="271"/>
      <c r="CO15" s="271"/>
      <c r="CP15" s="271"/>
      <c r="CQ15" s="271"/>
      <c r="CR15" s="271"/>
      <c r="CS15" s="271"/>
      <c r="CT15" s="271"/>
      <c r="CU15" s="271"/>
      <c r="CV15" s="271"/>
      <c r="CW15" s="271"/>
      <c r="CX15" s="271"/>
      <c r="CY15" s="271"/>
    </row>
    <row r="16" spans="1:103" s="273" customFormat="1" ht="24.95" customHeight="1" x14ac:dyDescent="0.35">
      <c r="A16" s="423"/>
      <c r="B16" s="424">
        <v>44271</v>
      </c>
      <c r="C16" s="422">
        <v>0.25</v>
      </c>
      <c r="D16" s="425">
        <v>48</v>
      </c>
      <c r="E16" s="426">
        <v>12.9</v>
      </c>
      <c r="F16" s="427">
        <v>16.5</v>
      </c>
      <c r="G16" s="428">
        <v>1207</v>
      </c>
      <c r="H16" s="428">
        <v>1956</v>
      </c>
      <c r="I16" s="428">
        <v>95.7</v>
      </c>
      <c r="J16" s="428">
        <v>104.3</v>
      </c>
      <c r="K16" s="428" t="s">
        <v>251</v>
      </c>
      <c r="L16" s="426">
        <v>30.38</v>
      </c>
      <c r="M16" s="426">
        <v>500</v>
      </c>
      <c r="N16" s="426">
        <v>54.7</v>
      </c>
      <c r="O16" s="429" t="s">
        <v>142</v>
      </c>
      <c r="P16" s="429" t="s">
        <v>142</v>
      </c>
      <c r="Q16" s="429" t="s">
        <v>142</v>
      </c>
      <c r="R16" s="429" t="s">
        <v>252</v>
      </c>
      <c r="S16" s="429">
        <v>64.03</v>
      </c>
      <c r="T16" s="430" t="s">
        <v>23</v>
      </c>
      <c r="U16" s="429" t="s">
        <v>236</v>
      </c>
      <c r="V16" s="431"/>
      <c r="W16" s="306"/>
      <c r="CM16" s="271"/>
      <c r="CN16" s="271"/>
      <c r="CO16" s="271"/>
      <c r="CP16" s="271"/>
      <c r="CQ16" s="271"/>
      <c r="CR16" s="271"/>
      <c r="CS16" s="271"/>
      <c r="CT16" s="271"/>
      <c r="CU16" s="271"/>
      <c r="CV16" s="271"/>
      <c r="CW16" s="271"/>
      <c r="CX16" s="271"/>
      <c r="CY16" s="271"/>
    </row>
    <row r="17" spans="1:103" s="273" customFormat="1" ht="24.95" customHeight="1" x14ac:dyDescent="0.35">
      <c r="A17" s="423"/>
      <c r="B17" s="424">
        <v>44272</v>
      </c>
      <c r="C17" s="422">
        <v>0.25</v>
      </c>
      <c r="D17" s="425">
        <v>48</v>
      </c>
      <c r="E17" s="426">
        <v>12.3</v>
      </c>
      <c r="F17" s="427">
        <v>15.9</v>
      </c>
      <c r="G17" s="428">
        <v>1150</v>
      </c>
      <c r="H17" s="428">
        <v>1862</v>
      </c>
      <c r="I17" s="428">
        <v>97.1</v>
      </c>
      <c r="J17" s="428">
        <v>104.6</v>
      </c>
      <c r="K17" s="428" t="s">
        <v>255</v>
      </c>
      <c r="L17" s="426">
        <v>29.75</v>
      </c>
      <c r="M17" s="426">
        <v>500</v>
      </c>
      <c r="N17" s="426">
        <v>55.24</v>
      </c>
      <c r="O17" s="429" t="s">
        <v>142</v>
      </c>
      <c r="P17" s="429" t="s">
        <v>142</v>
      </c>
      <c r="Q17" s="429" t="s">
        <v>142</v>
      </c>
      <c r="R17" s="429" t="s">
        <v>256</v>
      </c>
      <c r="S17" s="429">
        <v>61.03</v>
      </c>
      <c r="T17" s="430" t="s">
        <v>23</v>
      </c>
      <c r="U17" s="429" t="s">
        <v>236</v>
      </c>
      <c r="V17" s="431"/>
      <c r="W17" s="306"/>
      <c r="CM17" s="271"/>
      <c r="CN17" s="271"/>
      <c r="CO17" s="271"/>
      <c r="CP17" s="271"/>
      <c r="CQ17" s="271"/>
      <c r="CR17" s="271"/>
      <c r="CS17" s="271"/>
      <c r="CT17" s="271"/>
      <c r="CU17" s="271"/>
      <c r="CV17" s="271"/>
      <c r="CW17" s="271"/>
      <c r="CX17" s="271"/>
      <c r="CY17" s="271"/>
    </row>
    <row r="18" spans="1:103" s="273" customFormat="1" ht="24.95" customHeight="1" x14ac:dyDescent="0.35">
      <c r="A18" s="423"/>
      <c r="B18" s="424">
        <v>44273</v>
      </c>
      <c r="C18" s="422">
        <v>0.25</v>
      </c>
      <c r="D18" s="425">
        <v>48</v>
      </c>
      <c r="E18" s="426">
        <v>12.1</v>
      </c>
      <c r="F18" s="427">
        <v>16.100000000000001</v>
      </c>
      <c r="G18" s="428">
        <v>1129</v>
      </c>
      <c r="H18" s="428">
        <v>1791.5</v>
      </c>
      <c r="I18" s="428">
        <v>97.1</v>
      </c>
      <c r="J18" s="428">
        <v>104</v>
      </c>
      <c r="K18" s="428" t="s">
        <v>265</v>
      </c>
      <c r="L18" s="426">
        <v>29.19</v>
      </c>
      <c r="M18" s="426">
        <v>500</v>
      </c>
      <c r="N18" s="426">
        <v>54.13</v>
      </c>
      <c r="O18" s="429" t="s">
        <v>142</v>
      </c>
      <c r="P18" s="429" t="s">
        <v>142</v>
      </c>
      <c r="Q18" s="429" t="s">
        <v>142</v>
      </c>
      <c r="R18" s="429" t="s">
        <v>266</v>
      </c>
      <c r="S18" s="429">
        <v>60.08</v>
      </c>
      <c r="T18" s="430" t="s">
        <v>23</v>
      </c>
      <c r="U18" s="429" t="s">
        <v>236</v>
      </c>
      <c r="V18" s="431"/>
      <c r="W18" s="306"/>
      <c r="CM18" s="271"/>
      <c r="CN18" s="271"/>
      <c r="CO18" s="271"/>
      <c r="CP18" s="271"/>
      <c r="CQ18" s="271"/>
      <c r="CR18" s="271"/>
      <c r="CS18" s="271"/>
      <c r="CT18" s="271"/>
      <c r="CU18" s="271"/>
      <c r="CV18" s="271"/>
      <c r="CW18" s="271"/>
      <c r="CX18" s="271"/>
      <c r="CY18" s="271"/>
    </row>
    <row r="19" spans="1:103" s="273" customFormat="1" ht="24.95" customHeight="1" x14ac:dyDescent="0.35">
      <c r="A19" s="423"/>
      <c r="B19" s="424">
        <v>44274</v>
      </c>
      <c r="C19" s="422">
        <v>0.25</v>
      </c>
      <c r="D19" s="425">
        <v>48</v>
      </c>
      <c r="E19" s="426">
        <v>11.9</v>
      </c>
      <c r="F19" s="427">
        <v>15.9</v>
      </c>
      <c r="G19" s="428">
        <v>1126</v>
      </c>
      <c r="H19" s="428">
        <v>1812</v>
      </c>
      <c r="I19" s="428">
        <v>97.1</v>
      </c>
      <c r="J19" s="428">
        <v>104</v>
      </c>
      <c r="K19" s="428" t="s">
        <v>274</v>
      </c>
      <c r="L19" s="426">
        <v>30.74</v>
      </c>
      <c r="M19" s="426">
        <v>490</v>
      </c>
      <c r="N19" s="426">
        <v>53.53</v>
      </c>
      <c r="O19" s="429" t="s">
        <v>142</v>
      </c>
      <c r="P19" s="429" t="s">
        <v>142</v>
      </c>
      <c r="Q19" s="429" t="s">
        <v>142</v>
      </c>
      <c r="R19" s="429" t="s">
        <v>266</v>
      </c>
      <c r="S19" s="429">
        <v>59.06</v>
      </c>
      <c r="T19" s="430" t="s">
        <v>23</v>
      </c>
      <c r="U19" s="429" t="s">
        <v>236</v>
      </c>
      <c r="V19" s="431"/>
      <c r="W19" s="306"/>
      <c r="CM19" s="271"/>
      <c r="CN19" s="271"/>
      <c r="CO19" s="271"/>
      <c r="CP19" s="271"/>
      <c r="CQ19" s="271"/>
      <c r="CR19" s="271"/>
      <c r="CS19" s="271"/>
      <c r="CT19" s="271"/>
      <c r="CU19" s="271"/>
      <c r="CV19" s="271"/>
      <c r="CW19" s="271"/>
      <c r="CX19" s="271"/>
      <c r="CY19" s="271"/>
    </row>
    <row r="20" spans="1:103" s="273" customFormat="1" ht="24.95" customHeight="1" x14ac:dyDescent="0.35">
      <c r="A20" s="423"/>
      <c r="B20" s="424">
        <v>44275</v>
      </c>
      <c r="C20" s="422">
        <v>0.25</v>
      </c>
      <c r="D20" s="425">
        <v>48</v>
      </c>
      <c r="E20" s="426">
        <v>11.8</v>
      </c>
      <c r="F20" s="427">
        <v>15.8</v>
      </c>
      <c r="G20" s="428">
        <v>1133.4000000000001</v>
      </c>
      <c r="H20" s="428">
        <v>1859.5</v>
      </c>
      <c r="I20" s="428">
        <v>97.1</v>
      </c>
      <c r="J20" s="428">
        <v>104</v>
      </c>
      <c r="K20" s="428" t="s">
        <v>281</v>
      </c>
      <c r="L20" s="426">
        <v>29.45</v>
      </c>
      <c r="M20" s="426">
        <v>500</v>
      </c>
      <c r="N20" s="426">
        <v>53.36</v>
      </c>
      <c r="O20" s="429" t="s">
        <v>142</v>
      </c>
      <c r="P20" s="429" t="s">
        <v>142</v>
      </c>
      <c r="Q20" s="429" t="s">
        <v>142</v>
      </c>
      <c r="R20" s="429" t="s">
        <v>266</v>
      </c>
      <c r="S20" s="429">
        <v>59.3</v>
      </c>
      <c r="T20" s="430" t="s">
        <v>23</v>
      </c>
      <c r="U20" s="429" t="s">
        <v>236</v>
      </c>
      <c r="V20" s="431"/>
      <c r="W20" s="306"/>
      <c r="CM20" s="271"/>
      <c r="CN20" s="271"/>
      <c r="CO20" s="271"/>
      <c r="CP20" s="271"/>
      <c r="CQ20" s="271"/>
      <c r="CR20" s="271"/>
      <c r="CS20" s="271"/>
      <c r="CT20" s="271"/>
      <c r="CU20" s="271"/>
      <c r="CV20" s="271"/>
      <c r="CW20" s="271"/>
      <c r="CX20" s="271"/>
      <c r="CY20" s="271"/>
    </row>
    <row r="21" spans="1:103" s="273" customFormat="1" ht="24.95" customHeight="1" x14ac:dyDescent="0.35">
      <c r="A21" s="423"/>
      <c r="B21" s="424">
        <v>44276</v>
      </c>
      <c r="C21" s="422">
        <v>0.25</v>
      </c>
      <c r="D21" s="425">
        <v>48</v>
      </c>
      <c r="E21" s="426">
        <v>11.6</v>
      </c>
      <c r="F21" s="427">
        <v>15.5</v>
      </c>
      <c r="G21" s="428">
        <v>1125.8</v>
      </c>
      <c r="H21" s="428">
        <v>1846.8</v>
      </c>
      <c r="I21" s="428">
        <v>96.9</v>
      </c>
      <c r="J21" s="428">
        <v>105</v>
      </c>
      <c r="K21" s="428" t="s">
        <v>284</v>
      </c>
      <c r="L21" s="426">
        <v>29.54</v>
      </c>
      <c r="M21" s="426">
        <v>33</v>
      </c>
      <c r="N21" s="426">
        <v>51.99</v>
      </c>
      <c r="O21" s="429" t="s">
        <v>142</v>
      </c>
      <c r="P21" s="429" t="s">
        <v>142</v>
      </c>
      <c r="Q21" s="429" t="s">
        <v>142</v>
      </c>
      <c r="R21" s="429" t="s">
        <v>285</v>
      </c>
      <c r="S21" s="429">
        <v>58.8</v>
      </c>
      <c r="T21" s="430" t="s">
        <v>23</v>
      </c>
      <c r="U21" s="429" t="s">
        <v>236</v>
      </c>
      <c r="V21" s="431"/>
      <c r="W21" s="306"/>
      <c r="CM21" s="271"/>
      <c r="CN21" s="271"/>
      <c r="CO21" s="271"/>
      <c r="CP21" s="271"/>
      <c r="CQ21" s="271"/>
      <c r="CR21" s="271"/>
      <c r="CS21" s="271"/>
      <c r="CT21" s="271"/>
      <c r="CU21" s="271"/>
      <c r="CV21" s="271"/>
      <c r="CW21" s="271"/>
      <c r="CX21" s="271"/>
      <c r="CY21" s="271"/>
    </row>
    <row r="22" spans="1:103" s="273" customFormat="1" ht="24.95" customHeight="1" x14ac:dyDescent="0.35">
      <c r="A22" s="423"/>
      <c r="B22" s="424">
        <v>44277</v>
      </c>
      <c r="C22" s="422">
        <v>0.25</v>
      </c>
      <c r="D22" s="425">
        <v>48</v>
      </c>
      <c r="E22" s="426">
        <v>11.6</v>
      </c>
      <c r="F22" s="427">
        <v>15.5</v>
      </c>
      <c r="G22" s="428">
        <v>1125.8</v>
      </c>
      <c r="H22" s="428">
        <v>1846.9</v>
      </c>
      <c r="I22" s="428">
        <v>96.9</v>
      </c>
      <c r="J22" s="428">
        <v>105.1</v>
      </c>
      <c r="K22" s="428" t="s">
        <v>284</v>
      </c>
      <c r="L22" s="426">
        <v>30.72</v>
      </c>
      <c r="M22" s="426">
        <v>32.5</v>
      </c>
      <c r="N22" s="426">
        <v>58.89</v>
      </c>
      <c r="O22" s="429" t="s">
        <v>142</v>
      </c>
      <c r="P22" s="429" t="s">
        <v>142</v>
      </c>
      <c r="Q22" s="429" t="s">
        <v>142</v>
      </c>
      <c r="R22" s="429" t="s">
        <v>285</v>
      </c>
      <c r="S22" s="429">
        <v>58.8</v>
      </c>
      <c r="T22" s="430" t="s">
        <v>23</v>
      </c>
      <c r="U22" s="429" t="s">
        <v>236</v>
      </c>
      <c r="V22" s="431"/>
      <c r="W22" s="306"/>
      <c r="CM22" s="271"/>
      <c r="CN22" s="271"/>
      <c r="CO22" s="271"/>
      <c r="CP22" s="271"/>
      <c r="CQ22" s="271"/>
      <c r="CR22" s="271"/>
      <c r="CS22" s="271"/>
      <c r="CT22" s="271"/>
      <c r="CU22" s="271"/>
      <c r="CV22" s="271"/>
      <c r="CW22" s="271"/>
      <c r="CX22" s="271"/>
      <c r="CY22" s="271"/>
    </row>
    <row r="23" spans="1:103" s="273" customFormat="1" ht="24.95" customHeight="1" x14ac:dyDescent="0.35">
      <c r="A23" s="423"/>
      <c r="B23" s="424">
        <v>44278</v>
      </c>
      <c r="C23" s="422">
        <v>0.25</v>
      </c>
      <c r="D23" s="425">
        <v>48</v>
      </c>
      <c r="E23" s="426">
        <v>11.8</v>
      </c>
      <c r="F23" s="427">
        <v>15.6</v>
      </c>
      <c r="G23" s="428">
        <v>1154</v>
      </c>
      <c r="H23" s="428">
        <v>1802</v>
      </c>
      <c r="I23" s="428">
        <v>97.3</v>
      </c>
      <c r="J23" s="428">
        <v>104</v>
      </c>
      <c r="K23" s="428" t="s">
        <v>288</v>
      </c>
      <c r="L23" s="426">
        <v>32</v>
      </c>
      <c r="M23" s="426">
        <v>35</v>
      </c>
      <c r="N23" s="426">
        <v>51.52</v>
      </c>
      <c r="O23" s="429" t="s">
        <v>142</v>
      </c>
      <c r="P23" s="429" t="s">
        <v>142</v>
      </c>
      <c r="Q23" s="429" t="s">
        <v>142</v>
      </c>
      <c r="R23" s="429" t="s">
        <v>285</v>
      </c>
      <c r="S23" s="429">
        <v>58.8</v>
      </c>
      <c r="T23" s="430" t="s">
        <v>23</v>
      </c>
      <c r="U23" s="429" t="s">
        <v>236</v>
      </c>
      <c r="V23" s="431"/>
      <c r="W23" s="306"/>
      <c r="CM23" s="271"/>
      <c r="CN23" s="271"/>
      <c r="CO23" s="271"/>
      <c r="CP23" s="271"/>
      <c r="CQ23" s="271"/>
      <c r="CR23" s="271"/>
      <c r="CS23" s="271"/>
      <c r="CT23" s="271"/>
      <c r="CU23" s="271"/>
      <c r="CV23" s="271"/>
      <c r="CW23" s="271"/>
      <c r="CX23" s="271"/>
      <c r="CY23" s="271"/>
    </row>
    <row r="24" spans="1:103" s="273" customFormat="1" ht="24.95" customHeight="1" x14ac:dyDescent="0.35">
      <c r="A24" s="423"/>
      <c r="B24" s="424">
        <v>44279</v>
      </c>
      <c r="C24" s="422">
        <v>0.25</v>
      </c>
      <c r="D24" s="425">
        <v>48</v>
      </c>
      <c r="E24" s="426">
        <v>11.3</v>
      </c>
      <c r="F24" s="427">
        <v>15.2</v>
      </c>
      <c r="G24" s="428">
        <v>1135</v>
      </c>
      <c r="H24" s="428">
        <v>1870</v>
      </c>
      <c r="I24" s="428">
        <v>97.1</v>
      </c>
      <c r="J24" s="428">
        <v>105.5</v>
      </c>
      <c r="K24" s="428" t="s">
        <v>290</v>
      </c>
      <c r="L24" s="426">
        <v>30.1</v>
      </c>
      <c r="M24" s="426">
        <v>34</v>
      </c>
      <c r="N24" s="426">
        <v>51.94</v>
      </c>
      <c r="O24" s="429" t="s">
        <v>142</v>
      </c>
      <c r="P24" s="429" t="s">
        <v>142</v>
      </c>
      <c r="Q24" s="429" t="s">
        <v>142</v>
      </c>
      <c r="R24" s="429" t="s">
        <v>292</v>
      </c>
      <c r="S24" s="429">
        <v>56.8</v>
      </c>
      <c r="T24" s="430" t="s">
        <v>23</v>
      </c>
      <c r="U24" s="429" t="s">
        <v>236</v>
      </c>
      <c r="V24" s="431"/>
      <c r="W24" s="306"/>
      <c r="CM24" s="271"/>
      <c r="CN24" s="271"/>
      <c r="CO24" s="271"/>
      <c r="CP24" s="271"/>
      <c r="CQ24" s="271"/>
      <c r="CR24" s="271"/>
      <c r="CS24" s="271"/>
      <c r="CT24" s="271"/>
      <c r="CU24" s="271"/>
      <c r="CV24" s="271"/>
      <c r="CW24" s="271"/>
      <c r="CX24" s="271"/>
      <c r="CY24" s="271"/>
    </row>
    <row r="25" spans="1:103" s="273" customFormat="1" ht="24.95" customHeight="1" x14ac:dyDescent="0.35">
      <c r="A25" s="423"/>
      <c r="B25" s="424">
        <v>44280</v>
      </c>
      <c r="C25" s="422">
        <v>0.25</v>
      </c>
      <c r="D25" s="425">
        <v>48</v>
      </c>
      <c r="E25" s="426">
        <v>11.7</v>
      </c>
      <c r="F25" s="427">
        <v>15.6</v>
      </c>
      <c r="G25" s="428">
        <v>1129.9000000000001</v>
      </c>
      <c r="H25" s="428">
        <v>1881.1</v>
      </c>
      <c r="I25" s="428">
        <v>97.5</v>
      </c>
      <c r="J25" s="428">
        <v>104.2</v>
      </c>
      <c r="K25" s="428" t="s">
        <v>294</v>
      </c>
      <c r="L25" s="426">
        <v>29.4</v>
      </c>
      <c r="M25" s="426">
        <v>34</v>
      </c>
      <c r="N25" s="426">
        <v>53.79</v>
      </c>
      <c r="O25" s="429" t="s">
        <v>142</v>
      </c>
      <c r="P25" s="429" t="s">
        <v>142</v>
      </c>
      <c r="Q25" s="429" t="s">
        <v>142</v>
      </c>
      <c r="R25" s="429" t="s">
        <v>292</v>
      </c>
      <c r="S25" s="429">
        <v>58.8</v>
      </c>
      <c r="T25" s="430" t="s">
        <v>23</v>
      </c>
      <c r="U25" s="429" t="s">
        <v>236</v>
      </c>
      <c r="V25" s="431"/>
      <c r="W25" s="306"/>
      <c r="CM25" s="271"/>
      <c r="CN25" s="271"/>
      <c r="CO25" s="271"/>
      <c r="CP25" s="271"/>
      <c r="CQ25" s="271"/>
      <c r="CR25" s="271"/>
      <c r="CS25" s="271"/>
      <c r="CT25" s="271"/>
      <c r="CU25" s="271"/>
      <c r="CV25" s="271"/>
      <c r="CW25" s="271"/>
      <c r="CX25" s="271"/>
      <c r="CY25" s="271"/>
    </row>
    <row r="26" spans="1:103" s="273" customFormat="1" ht="24.95" customHeight="1" x14ac:dyDescent="0.35">
      <c r="A26" s="423"/>
      <c r="B26" s="424">
        <v>44281</v>
      </c>
      <c r="C26" s="422">
        <v>0.25</v>
      </c>
      <c r="D26" s="425">
        <v>48</v>
      </c>
      <c r="E26" s="426">
        <v>11.1</v>
      </c>
      <c r="F26" s="427">
        <v>15.2</v>
      </c>
      <c r="G26" s="428">
        <v>1135</v>
      </c>
      <c r="H26" s="428">
        <v>1789</v>
      </c>
      <c r="I26" s="428">
        <v>97.1</v>
      </c>
      <c r="J26" s="428">
        <v>104.6</v>
      </c>
      <c r="K26" s="428" t="s">
        <v>296</v>
      </c>
      <c r="L26" s="426">
        <v>29.5</v>
      </c>
      <c r="M26" s="426">
        <v>34</v>
      </c>
      <c r="N26" s="426">
        <v>53.13</v>
      </c>
      <c r="O26" s="429" t="s">
        <v>142</v>
      </c>
      <c r="P26" s="429" t="s">
        <v>142</v>
      </c>
      <c r="Q26" s="429" t="s">
        <v>142</v>
      </c>
      <c r="R26" s="429" t="s">
        <v>292</v>
      </c>
      <c r="S26" s="429">
        <v>56.3</v>
      </c>
      <c r="T26" s="430" t="s">
        <v>23</v>
      </c>
      <c r="U26" s="429" t="s">
        <v>236</v>
      </c>
      <c r="V26" s="431"/>
      <c r="W26" s="306"/>
      <c r="CM26" s="271"/>
      <c r="CN26" s="271"/>
      <c r="CO26" s="271"/>
      <c r="CP26" s="271"/>
      <c r="CQ26" s="271"/>
      <c r="CR26" s="271"/>
      <c r="CS26" s="271"/>
      <c r="CT26" s="271"/>
      <c r="CU26" s="271"/>
      <c r="CV26" s="271"/>
      <c r="CW26" s="271"/>
      <c r="CX26" s="271"/>
      <c r="CY26" s="271"/>
    </row>
    <row r="27" spans="1:103" s="273" customFormat="1" ht="24.95" customHeight="1" x14ac:dyDescent="0.35">
      <c r="A27" s="423"/>
      <c r="B27" s="424">
        <v>44282</v>
      </c>
      <c r="C27" s="422">
        <v>0.25</v>
      </c>
      <c r="D27" s="425">
        <v>48</v>
      </c>
      <c r="E27" s="426">
        <v>11.1</v>
      </c>
      <c r="F27" s="427">
        <v>15.1</v>
      </c>
      <c r="G27" s="428">
        <v>1129.2</v>
      </c>
      <c r="H27" s="428">
        <v>1830.4</v>
      </c>
      <c r="I27" s="428">
        <v>97.7</v>
      </c>
      <c r="J27" s="428">
        <v>104.2</v>
      </c>
      <c r="K27" s="428" t="s">
        <v>298</v>
      </c>
      <c r="L27" s="426">
        <v>31.06</v>
      </c>
      <c r="M27" s="426">
        <v>34</v>
      </c>
      <c r="N27" s="426">
        <v>52.86</v>
      </c>
      <c r="O27" s="429" t="s">
        <v>142</v>
      </c>
      <c r="P27" s="429" t="s">
        <v>142</v>
      </c>
      <c r="Q27" s="429" t="s">
        <v>142</v>
      </c>
      <c r="R27" s="429" t="s">
        <v>292</v>
      </c>
      <c r="S27" s="429">
        <v>55.8</v>
      </c>
      <c r="T27" s="430" t="s">
        <v>23</v>
      </c>
      <c r="U27" s="429" t="s">
        <v>236</v>
      </c>
      <c r="V27" s="431"/>
      <c r="W27" s="306"/>
      <c r="CM27" s="271"/>
      <c r="CN27" s="271"/>
      <c r="CO27" s="271"/>
      <c r="CP27" s="271"/>
      <c r="CQ27" s="271"/>
      <c r="CR27" s="271"/>
      <c r="CS27" s="271"/>
      <c r="CT27" s="271"/>
      <c r="CU27" s="271"/>
      <c r="CV27" s="271"/>
      <c r="CW27" s="271"/>
      <c r="CX27" s="271"/>
      <c r="CY27" s="271"/>
    </row>
    <row r="28" spans="1:103" s="273" customFormat="1" ht="24.95" customHeight="1" x14ac:dyDescent="0.35">
      <c r="A28" s="423"/>
      <c r="B28" s="424">
        <v>44283</v>
      </c>
      <c r="C28" s="422">
        <v>0.25</v>
      </c>
      <c r="D28" s="425">
        <v>48</v>
      </c>
      <c r="E28" s="426">
        <v>11.3</v>
      </c>
      <c r="F28" s="427">
        <v>15.3</v>
      </c>
      <c r="G28" s="428">
        <v>1122.2</v>
      </c>
      <c r="H28" s="428">
        <v>1816</v>
      </c>
      <c r="I28" s="428">
        <v>97.7</v>
      </c>
      <c r="J28" s="428">
        <v>104.2</v>
      </c>
      <c r="K28" s="428" t="s">
        <v>300</v>
      </c>
      <c r="L28" s="426">
        <v>31.2</v>
      </c>
      <c r="M28" s="426">
        <v>34</v>
      </c>
      <c r="N28" s="426">
        <v>52.86</v>
      </c>
      <c r="O28" s="429" t="s">
        <v>142</v>
      </c>
      <c r="P28" s="429" t="s">
        <v>142</v>
      </c>
      <c r="Q28" s="429" t="s">
        <v>142</v>
      </c>
      <c r="R28" s="429" t="s">
        <v>301</v>
      </c>
      <c r="S28" s="429">
        <v>57.3</v>
      </c>
      <c r="T28" s="430" t="s">
        <v>23</v>
      </c>
      <c r="U28" s="429" t="s">
        <v>236</v>
      </c>
      <c r="V28" s="431"/>
      <c r="W28" s="306"/>
      <c r="CM28" s="271"/>
      <c r="CN28" s="271"/>
      <c r="CO28" s="271"/>
      <c r="CP28" s="271"/>
      <c r="CQ28" s="271"/>
      <c r="CR28" s="271"/>
      <c r="CS28" s="271"/>
      <c r="CT28" s="271"/>
      <c r="CU28" s="271"/>
      <c r="CV28" s="271"/>
      <c r="CW28" s="271"/>
      <c r="CX28" s="271"/>
      <c r="CY28" s="271"/>
    </row>
    <row r="29" spans="1:103" s="273" customFormat="1" ht="24.95" customHeight="1" x14ac:dyDescent="0.35">
      <c r="A29" s="423"/>
      <c r="B29" s="424">
        <v>44284</v>
      </c>
      <c r="C29" s="422">
        <v>0.25</v>
      </c>
      <c r="D29" s="425">
        <v>48</v>
      </c>
      <c r="E29" s="426">
        <v>11.5</v>
      </c>
      <c r="F29" s="427">
        <v>15.3</v>
      </c>
      <c r="G29" s="428">
        <v>1105</v>
      </c>
      <c r="H29" s="428">
        <v>1810</v>
      </c>
      <c r="I29" s="428">
        <v>97.8</v>
      </c>
      <c r="J29" s="428">
        <v>103.7</v>
      </c>
      <c r="K29" s="428" t="s">
        <v>303</v>
      </c>
      <c r="L29" s="426">
        <v>29.93</v>
      </c>
      <c r="M29" s="426">
        <v>34</v>
      </c>
      <c r="N29" s="426">
        <v>53.29</v>
      </c>
      <c r="O29" s="429" t="s">
        <v>142</v>
      </c>
      <c r="P29" s="429" t="s">
        <v>142</v>
      </c>
      <c r="Q29" s="429" t="s">
        <v>142</v>
      </c>
      <c r="R29" s="429" t="s">
        <v>301</v>
      </c>
      <c r="S29" s="429">
        <v>57.3</v>
      </c>
      <c r="T29" s="430" t="s">
        <v>23</v>
      </c>
      <c r="U29" s="429" t="s">
        <v>236</v>
      </c>
      <c r="V29" s="431"/>
      <c r="W29" s="306"/>
      <c r="CM29" s="271"/>
      <c r="CN29" s="271"/>
      <c r="CO29" s="271"/>
      <c r="CP29" s="271"/>
      <c r="CQ29" s="271"/>
      <c r="CR29" s="271"/>
      <c r="CS29" s="271"/>
      <c r="CT29" s="271"/>
      <c r="CU29" s="271"/>
      <c r="CV29" s="271"/>
      <c r="CW29" s="271"/>
      <c r="CX29" s="271"/>
      <c r="CY29" s="271"/>
    </row>
    <row r="30" spans="1:103" s="273" customFormat="1" ht="24.95" customHeight="1" x14ac:dyDescent="0.35">
      <c r="A30" s="423"/>
      <c r="B30" s="424">
        <v>44285</v>
      </c>
      <c r="C30" s="422">
        <v>0.25</v>
      </c>
      <c r="D30" s="425">
        <v>48</v>
      </c>
      <c r="E30" s="426">
        <v>11.5</v>
      </c>
      <c r="F30" s="427">
        <v>15.3</v>
      </c>
      <c r="G30" s="428">
        <v>1101</v>
      </c>
      <c r="H30" s="428">
        <v>1799</v>
      </c>
      <c r="I30" s="428">
        <v>97.8</v>
      </c>
      <c r="J30" s="428">
        <v>104</v>
      </c>
      <c r="K30" s="428" t="s">
        <v>308</v>
      </c>
      <c r="L30" s="426">
        <v>29.99</v>
      </c>
      <c r="M30" s="426">
        <v>33</v>
      </c>
      <c r="N30" s="426">
        <v>52.83</v>
      </c>
      <c r="O30" s="429" t="s">
        <v>142</v>
      </c>
      <c r="P30" s="429" t="s">
        <v>142</v>
      </c>
      <c r="Q30" s="429" t="s">
        <v>142</v>
      </c>
      <c r="R30" s="429" t="s">
        <v>292</v>
      </c>
      <c r="S30" s="429">
        <v>57.8</v>
      </c>
      <c r="T30" s="430" t="s">
        <v>23</v>
      </c>
      <c r="U30" s="429" t="s">
        <v>236</v>
      </c>
      <c r="V30" s="431"/>
      <c r="W30" s="306"/>
      <c r="CM30" s="271"/>
      <c r="CN30" s="271"/>
      <c r="CO30" s="271"/>
      <c r="CP30" s="271"/>
      <c r="CQ30" s="271"/>
      <c r="CR30" s="271"/>
      <c r="CS30" s="271"/>
      <c r="CT30" s="271"/>
      <c r="CU30" s="271"/>
      <c r="CV30" s="271"/>
      <c r="CW30" s="271"/>
      <c r="CX30" s="271"/>
      <c r="CY30" s="271"/>
    </row>
    <row r="31" spans="1:103" s="273" customFormat="1" ht="24.95" customHeight="1" x14ac:dyDescent="0.35">
      <c r="A31" s="423"/>
      <c r="B31" s="424">
        <v>44286</v>
      </c>
      <c r="C31" s="422">
        <v>0.25</v>
      </c>
      <c r="D31" s="425">
        <v>48</v>
      </c>
      <c r="E31" s="426">
        <v>11.4</v>
      </c>
      <c r="F31" s="427">
        <v>15.4</v>
      </c>
      <c r="G31" s="428">
        <v>1103</v>
      </c>
      <c r="H31" s="428">
        <v>1798</v>
      </c>
      <c r="I31" s="428">
        <v>97.9</v>
      </c>
      <c r="J31" s="428">
        <v>104</v>
      </c>
      <c r="K31" s="428" t="s">
        <v>312</v>
      </c>
      <c r="L31" s="426">
        <v>28.27</v>
      </c>
      <c r="M31" s="426">
        <v>32</v>
      </c>
      <c r="N31" s="426">
        <v>52</v>
      </c>
      <c r="O31" s="429" t="s">
        <v>142</v>
      </c>
      <c r="P31" s="429" t="s">
        <v>142</v>
      </c>
      <c r="Q31" s="429" t="s">
        <v>142</v>
      </c>
      <c r="R31" s="429" t="s">
        <v>292</v>
      </c>
      <c r="S31" s="429">
        <v>57.8</v>
      </c>
      <c r="T31" s="430" t="s">
        <v>23</v>
      </c>
      <c r="U31" s="429" t="s">
        <v>236</v>
      </c>
      <c r="V31" s="431"/>
      <c r="W31" s="306"/>
      <c r="CM31" s="271"/>
      <c r="CN31" s="271"/>
      <c r="CO31" s="271"/>
      <c r="CP31" s="271"/>
      <c r="CQ31" s="271"/>
      <c r="CR31" s="271"/>
      <c r="CS31" s="271"/>
      <c r="CT31" s="271"/>
      <c r="CU31" s="271"/>
      <c r="CV31" s="271"/>
      <c r="CW31" s="271"/>
      <c r="CX31" s="271"/>
      <c r="CY31" s="271"/>
    </row>
    <row r="32" spans="1:103" s="273" customFormat="1" ht="24.95" customHeight="1" x14ac:dyDescent="0.35">
      <c r="A32" s="423"/>
      <c r="B32" s="424">
        <v>44287</v>
      </c>
      <c r="C32" s="422">
        <v>0.25</v>
      </c>
      <c r="D32" s="425">
        <v>48</v>
      </c>
      <c r="E32" s="426">
        <v>11.2</v>
      </c>
      <c r="F32" s="427">
        <v>15.2</v>
      </c>
      <c r="G32" s="428">
        <v>1102</v>
      </c>
      <c r="H32" s="428">
        <v>1788</v>
      </c>
      <c r="I32" s="428">
        <v>97.5</v>
      </c>
      <c r="J32" s="428">
        <v>104</v>
      </c>
      <c r="K32" s="428" t="s">
        <v>314</v>
      </c>
      <c r="L32" s="426">
        <v>29</v>
      </c>
      <c r="M32" s="426">
        <v>32</v>
      </c>
      <c r="N32" s="426">
        <v>50</v>
      </c>
      <c r="O32" s="429" t="s">
        <v>142</v>
      </c>
      <c r="P32" s="429" t="s">
        <v>142</v>
      </c>
      <c r="Q32" s="429" t="s">
        <v>142</v>
      </c>
      <c r="R32" s="429" t="s">
        <v>292</v>
      </c>
      <c r="S32" s="429">
        <v>57.3</v>
      </c>
      <c r="T32" s="430" t="s">
        <v>23</v>
      </c>
      <c r="U32" s="429" t="s">
        <v>236</v>
      </c>
      <c r="V32" s="431"/>
      <c r="W32" s="306"/>
      <c r="CM32" s="271"/>
      <c r="CN32" s="271"/>
      <c r="CO32" s="271"/>
      <c r="CP32" s="271"/>
      <c r="CQ32" s="271"/>
      <c r="CR32" s="271"/>
      <c r="CS32" s="271"/>
      <c r="CT32" s="271"/>
      <c r="CU32" s="271"/>
      <c r="CV32" s="271"/>
      <c r="CW32" s="271"/>
      <c r="CX32" s="271"/>
      <c r="CY32" s="271"/>
    </row>
    <row r="33" spans="1:103" s="273" customFormat="1" ht="24.95" customHeight="1" x14ac:dyDescent="0.35">
      <c r="A33" s="423"/>
      <c r="B33" s="424">
        <v>44288</v>
      </c>
      <c r="C33" s="422">
        <v>0.25</v>
      </c>
      <c r="D33" s="425">
        <v>48</v>
      </c>
      <c r="E33" s="426">
        <v>12.3</v>
      </c>
      <c r="F33" s="427">
        <v>16</v>
      </c>
      <c r="G33" s="428">
        <v>1094</v>
      </c>
      <c r="H33" s="428">
        <v>1837</v>
      </c>
      <c r="I33" s="428">
        <v>97.7</v>
      </c>
      <c r="J33" s="428">
        <v>107.3</v>
      </c>
      <c r="K33" s="428" t="s">
        <v>314</v>
      </c>
      <c r="L33" s="426">
        <v>27.5</v>
      </c>
      <c r="M33" s="426">
        <v>30</v>
      </c>
      <c r="N33" s="426">
        <v>53</v>
      </c>
      <c r="O33" s="429" t="s">
        <v>142</v>
      </c>
      <c r="P33" s="429" t="s">
        <v>142</v>
      </c>
      <c r="Q33" s="429" t="s">
        <v>142</v>
      </c>
      <c r="R33" s="429" t="s">
        <v>292</v>
      </c>
      <c r="S33" s="429">
        <v>61.8</v>
      </c>
      <c r="T33" s="430" t="s">
        <v>23</v>
      </c>
      <c r="U33" s="429" t="s">
        <v>236</v>
      </c>
      <c r="V33" s="431"/>
      <c r="W33" s="306"/>
      <c r="CM33" s="271"/>
      <c r="CN33" s="271"/>
      <c r="CO33" s="271"/>
      <c r="CP33" s="271"/>
      <c r="CQ33" s="271"/>
      <c r="CR33" s="271"/>
      <c r="CS33" s="271"/>
      <c r="CT33" s="271"/>
      <c r="CU33" s="271"/>
      <c r="CV33" s="271"/>
      <c r="CW33" s="271"/>
      <c r="CX33" s="271"/>
      <c r="CY33" s="271"/>
    </row>
    <row r="34" spans="1:103" s="273" customFormat="1" ht="24.95" customHeight="1" x14ac:dyDescent="0.35">
      <c r="A34" s="423"/>
      <c r="B34" s="424">
        <v>44289</v>
      </c>
      <c r="C34" s="422">
        <v>0.25</v>
      </c>
      <c r="D34" s="425">
        <v>48</v>
      </c>
      <c r="E34" s="426">
        <v>11.4</v>
      </c>
      <c r="F34" s="427">
        <v>15.3</v>
      </c>
      <c r="G34" s="428">
        <v>1078.5999999999999</v>
      </c>
      <c r="H34" s="428">
        <v>1764</v>
      </c>
      <c r="I34" s="428">
        <v>98.1</v>
      </c>
      <c r="J34" s="428">
        <v>103.8</v>
      </c>
      <c r="K34" s="428" t="s">
        <v>329</v>
      </c>
      <c r="L34" s="426">
        <v>28.75</v>
      </c>
      <c r="M34" s="426">
        <v>31</v>
      </c>
      <c r="N34" s="426">
        <v>53</v>
      </c>
      <c r="O34" s="429" t="s">
        <v>142</v>
      </c>
      <c r="P34" s="429" t="s">
        <v>142</v>
      </c>
      <c r="Q34" s="429" t="s">
        <v>142</v>
      </c>
      <c r="R34" s="429" t="s">
        <v>292</v>
      </c>
      <c r="S34" s="429">
        <v>57.3</v>
      </c>
      <c r="T34" s="430" t="s">
        <v>23</v>
      </c>
      <c r="U34" s="429" t="s">
        <v>236</v>
      </c>
      <c r="V34" s="431"/>
      <c r="W34" s="306"/>
      <c r="CM34" s="271"/>
      <c r="CN34" s="271"/>
      <c r="CO34" s="271"/>
      <c r="CP34" s="271"/>
      <c r="CQ34" s="271"/>
      <c r="CR34" s="271"/>
      <c r="CS34" s="271"/>
      <c r="CT34" s="271"/>
      <c r="CU34" s="271"/>
      <c r="CV34" s="271"/>
      <c r="CW34" s="271"/>
      <c r="CX34" s="271"/>
      <c r="CY34" s="271"/>
    </row>
    <row r="35" spans="1:103" s="273" customFormat="1" ht="24.95" customHeight="1" x14ac:dyDescent="0.35">
      <c r="A35" s="423"/>
      <c r="B35" s="424">
        <v>44290</v>
      </c>
      <c r="C35" s="422">
        <v>0.25</v>
      </c>
      <c r="D35" s="425">
        <v>48</v>
      </c>
      <c r="E35" s="426">
        <v>11</v>
      </c>
      <c r="F35" s="427">
        <v>14.7</v>
      </c>
      <c r="G35" s="428">
        <v>1080</v>
      </c>
      <c r="H35" s="428">
        <v>1744</v>
      </c>
      <c r="I35" s="428">
        <v>97.5</v>
      </c>
      <c r="J35" s="428">
        <v>105</v>
      </c>
      <c r="K35" s="428" t="s">
        <v>333</v>
      </c>
      <c r="L35" s="426">
        <v>28.3</v>
      </c>
      <c r="M35" s="426">
        <v>31</v>
      </c>
      <c r="N35" s="426">
        <v>51</v>
      </c>
      <c r="O35" s="429" t="s">
        <v>142</v>
      </c>
      <c r="P35" s="429" t="s">
        <v>142</v>
      </c>
      <c r="Q35" s="429" t="s">
        <v>142</v>
      </c>
      <c r="R35" s="429" t="s">
        <v>292</v>
      </c>
      <c r="S35" s="429">
        <v>56.8</v>
      </c>
      <c r="T35" s="430" t="s">
        <v>23</v>
      </c>
      <c r="U35" s="429" t="s">
        <v>236</v>
      </c>
      <c r="V35" s="431"/>
      <c r="W35" s="306"/>
      <c r="CM35" s="271"/>
      <c r="CN35" s="271"/>
      <c r="CO35" s="271"/>
      <c r="CP35" s="271"/>
      <c r="CQ35" s="271"/>
      <c r="CR35" s="271"/>
      <c r="CS35" s="271"/>
      <c r="CT35" s="271"/>
      <c r="CU35" s="271"/>
      <c r="CV35" s="271"/>
      <c r="CW35" s="271"/>
      <c r="CX35" s="271"/>
      <c r="CY35" s="271"/>
    </row>
    <row r="36" spans="1:103" s="273" customFormat="1" ht="24.95" customHeight="1" x14ac:dyDescent="0.35">
      <c r="A36" s="423"/>
      <c r="B36" s="424">
        <v>44291</v>
      </c>
      <c r="C36" s="422">
        <v>0.25</v>
      </c>
      <c r="D36" s="425">
        <v>48</v>
      </c>
      <c r="E36" s="426">
        <v>11</v>
      </c>
      <c r="F36" s="427">
        <v>14.6</v>
      </c>
      <c r="G36" s="428">
        <v>1079</v>
      </c>
      <c r="H36" s="428">
        <v>1742</v>
      </c>
      <c r="I36" s="428">
        <v>97.5</v>
      </c>
      <c r="J36" s="428">
        <v>105</v>
      </c>
      <c r="K36" s="428" t="s">
        <v>333</v>
      </c>
      <c r="L36" s="426">
        <v>27.4</v>
      </c>
      <c r="M36" s="426">
        <v>30</v>
      </c>
      <c r="N36" s="426">
        <v>51</v>
      </c>
      <c r="O36" s="429" t="s">
        <v>142</v>
      </c>
      <c r="P36" s="429" t="s">
        <v>142</v>
      </c>
      <c r="Q36" s="429" t="s">
        <v>142</v>
      </c>
      <c r="R36" s="429" t="s">
        <v>292</v>
      </c>
      <c r="S36" s="429">
        <v>56.4</v>
      </c>
      <c r="T36" s="430" t="s">
        <v>23</v>
      </c>
      <c r="U36" s="429" t="s">
        <v>236</v>
      </c>
      <c r="V36" s="431"/>
      <c r="W36" s="306"/>
      <c r="CM36" s="271"/>
      <c r="CN36" s="271"/>
      <c r="CO36" s="271"/>
      <c r="CP36" s="271"/>
      <c r="CQ36" s="271"/>
      <c r="CR36" s="271"/>
      <c r="CS36" s="271"/>
      <c r="CT36" s="271"/>
      <c r="CU36" s="271"/>
      <c r="CV36" s="271"/>
      <c r="CW36" s="271"/>
      <c r="CX36" s="271"/>
      <c r="CY36" s="271"/>
    </row>
    <row r="37" spans="1:103" s="273" customFormat="1" ht="24.95" customHeight="1" x14ac:dyDescent="0.35">
      <c r="A37" s="423"/>
      <c r="B37" s="424">
        <v>44292</v>
      </c>
      <c r="C37" s="422">
        <v>0.25</v>
      </c>
      <c r="D37" s="425">
        <v>48</v>
      </c>
      <c r="E37" s="426">
        <v>11.2</v>
      </c>
      <c r="F37" s="427">
        <v>15.1</v>
      </c>
      <c r="G37" s="428">
        <v>1086</v>
      </c>
      <c r="H37" s="428">
        <v>1814</v>
      </c>
      <c r="I37" s="428">
        <v>98.2</v>
      </c>
      <c r="J37" s="428">
        <v>103.2</v>
      </c>
      <c r="K37" s="428" t="s">
        <v>336</v>
      </c>
      <c r="L37" s="426">
        <v>29</v>
      </c>
      <c r="M37" s="426">
        <v>31</v>
      </c>
      <c r="N37" s="426">
        <v>51</v>
      </c>
      <c r="O37" s="429" t="s">
        <v>142</v>
      </c>
      <c r="P37" s="429" t="s">
        <v>142</v>
      </c>
      <c r="Q37" s="429" t="s">
        <v>142</v>
      </c>
      <c r="R37" s="429" t="s">
        <v>292</v>
      </c>
      <c r="S37" s="429">
        <v>56.2</v>
      </c>
      <c r="T37" s="430" t="s">
        <v>23</v>
      </c>
      <c r="U37" s="429" t="s">
        <v>236</v>
      </c>
      <c r="V37" s="431"/>
      <c r="W37" s="306"/>
      <c r="CM37" s="271"/>
      <c r="CN37" s="271"/>
      <c r="CO37" s="271"/>
      <c r="CP37" s="271"/>
      <c r="CQ37" s="271"/>
      <c r="CR37" s="271"/>
      <c r="CS37" s="271"/>
      <c r="CT37" s="271"/>
      <c r="CU37" s="271"/>
      <c r="CV37" s="271"/>
      <c r="CW37" s="271"/>
      <c r="CX37" s="271"/>
      <c r="CY37" s="271"/>
    </row>
    <row r="38" spans="1:103" s="273" customFormat="1" ht="24.95" customHeight="1" x14ac:dyDescent="0.35">
      <c r="A38" s="423"/>
      <c r="B38" s="424">
        <v>44293</v>
      </c>
      <c r="C38" s="422">
        <v>0.25</v>
      </c>
      <c r="D38" s="425">
        <v>48</v>
      </c>
      <c r="E38" s="426">
        <v>11.2</v>
      </c>
      <c r="F38" s="427">
        <v>15.4</v>
      </c>
      <c r="G38" s="428">
        <v>1096</v>
      </c>
      <c r="H38" s="428">
        <v>1830</v>
      </c>
      <c r="I38" s="428">
        <v>98.4</v>
      </c>
      <c r="J38" s="428">
        <v>103.8</v>
      </c>
      <c r="K38" s="428" t="s">
        <v>340</v>
      </c>
      <c r="L38" s="426">
        <v>28.6</v>
      </c>
      <c r="M38" s="426">
        <v>30</v>
      </c>
      <c r="N38" s="426">
        <v>51</v>
      </c>
      <c r="O38" s="429" t="s">
        <v>142</v>
      </c>
      <c r="P38" s="429" t="s">
        <v>142</v>
      </c>
      <c r="Q38" s="429" t="s">
        <v>142</v>
      </c>
      <c r="R38" s="429" t="s">
        <v>292</v>
      </c>
      <c r="S38" s="429">
        <v>56.8</v>
      </c>
      <c r="T38" s="430" t="s">
        <v>23</v>
      </c>
      <c r="U38" s="429" t="s">
        <v>236</v>
      </c>
      <c r="V38" s="431"/>
      <c r="W38" s="306"/>
      <c r="CM38" s="271"/>
      <c r="CN38" s="271"/>
      <c r="CO38" s="271"/>
      <c r="CP38" s="271"/>
      <c r="CQ38" s="271"/>
      <c r="CR38" s="271"/>
      <c r="CS38" s="271"/>
      <c r="CT38" s="271"/>
      <c r="CU38" s="271"/>
      <c r="CV38" s="271"/>
      <c r="CW38" s="271"/>
      <c r="CX38" s="271"/>
      <c r="CY38" s="271"/>
    </row>
    <row r="39" spans="1:103" s="273" customFormat="1" ht="24.95" customHeight="1" x14ac:dyDescent="0.35">
      <c r="A39" s="423"/>
      <c r="B39" s="424">
        <v>44294</v>
      </c>
      <c r="C39" s="422">
        <v>0.25</v>
      </c>
      <c r="D39" s="425">
        <v>48</v>
      </c>
      <c r="E39" s="426">
        <v>11</v>
      </c>
      <c r="F39" s="427">
        <v>15.1</v>
      </c>
      <c r="G39" s="428">
        <v>1085</v>
      </c>
      <c r="H39" s="428">
        <v>1760</v>
      </c>
      <c r="I39" s="428">
        <v>97.5</v>
      </c>
      <c r="J39" s="428">
        <v>105</v>
      </c>
      <c r="K39" s="428" t="s">
        <v>346</v>
      </c>
      <c r="L39" s="426">
        <v>29</v>
      </c>
      <c r="M39" s="426">
        <v>31</v>
      </c>
      <c r="N39" s="426">
        <v>53</v>
      </c>
      <c r="O39" s="429" t="s">
        <v>142</v>
      </c>
      <c r="P39" s="429" t="s">
        <v>142</v>
      </c>
      <c r="Q39" s="429" t="s">
        <v>142</v>
      </c>
      <c r="R39" s="429" t="s">
        <v>292</v>
      </c>
      <c r="S39" s="429">
        <v>54.8</v>
      </c>
      <c r="T39" s="430" t="s">
        <v>23</v>
      </c>
      <c r="U39" s="429" t="s">
        <v>236</v>
      </c>
      <c r="V39" s="431"/>
      <c r="W39" s="306"/>
      <c r="CM39" s="271"/>
      <c r="CN39" s="271"/>
      <c r="CO39" s="271"/>
      <c r="CP39" s="271"/>
      <c r="CQ39" s="271"/>
      <c r="CR39" s="271"/>
      <c r="CS39" s="271"/>
      <c r="CT39" s="271"/>
      <c r="CU39" s="271"/>
      <c r="CV39" s="271"/>
      <c r="CW39" s="271"/>
      <c r="CX39" s="271"/>
      <c r="CY39" s="271"/>
    </row>
    <row r="40" spans="1:103" s="273" customFormat="1" ht="24.95" customHeight="1" x14ac:dyDescent="0.35">
      <c r="A40" s="423"/>
      <c r="B40" s="424">
        <v>44295</v>
      </c>
      <c r="C40" s="422">
        <v>0.25</v>
      </c>
      <c r="D40" s="425">
        <v>48</v>
      </c>
      <c r="E40" s="426">
        <v>11.2</v>
      </c>
      <c r="F40" s="427">
        <v>14.9</v>
      </c>
      <c r="G40" s="428">
        <v>1094</v>
      </c>
      <c r="H40" s="428">
        <v>1802</v>
      </c>
      <c r="I40" s="428">
        <v>98.2</v>
      </c>
      <c r="J40" s="428">
        <v>103.9</v>
      </c>
      <c r="K40" s="428" t="s">
        <v>346</v>
      </c>
      <c r="L40" s="426">
        <v>29.5</v>
      </c>
      <c r="M40" s="426">
        <v>31</v>
      </c>
      <c r="N40" s="426">
        <v>53.5</v>
      </c>
      <c r="O40" s="429" t="s">
        <v>142</v>
      </c>
      <c r="P40" s="429" t="s">
        <v>142</v>
      </c>
      <c r="Q40" s="429" t="s">
        <v>142</v>
      </c>
      <c r="R40" s="429" t="s">
        <v>292</v>
      </c>
      <c r="S40" s="429">
        <v>54.9</v>
      </c>
      <c r="T40" s="430" t="s">
        <v>23</v>
      </c>
      <c r="U40" s="429" t="s">
        <v>236</v>
      </c>
      <c r="V40" s="431"/>
      <c r="W40" s="306"/>
      <c r="CM40" s="271"/>
      <c r="CN40" s="271"/>
      <c r="CO40" s="271"/>
      <c r="CP40" s="271"/>
      <c r="CQ40" s="271"/>
      <c r="CR40" s="271"/>
      <c r="CS40" s="271"/>
      <c r="CT40" s="271"/>
      <c r="CU40" s="271"/>
      <c r="CV40" s="271"/>
      <c r="CW40" s="271"/>
      <c r="CX40" s="271"/>
      <c r="CY40" s="271"/>
    </row>
    <row r="41" spans="1:103" s="273" customFormat="1" ht="24.95" customHeight="1" x14ac:dyDescent="0.35">
      <c r="A41" s="423"/>
      <c r="B41" s="424">
        <v>44296</v>
      </c>
      <c r="C41" s="422">
        <v>0.25</v>
      </c>
      <c r="D41" s="425">
        <v>48</v>
      </c>
      <c r="E41" s="426">
        <v>11.1</v>
      </c>
      <c r="F41" s="427">
        <v>15.3</v>
      </c>
      <c r="G41" s="428">
        <v>1090.3</v>
      </c>
      <c r="H41" s="428">
        <v>1786.7</v>
      </c>
      <c r="I41" s="428">
        <v>98.5</v>
      </c>
      <c r="J41" s="428">
        <v>104</v>
      </c>
      <c r="K41" s="428" t="s">
        <v>351</v>
      </c>
      <c r="L41" s="426">
        <v>29</v>
      </c>
      <c r="M41" s="426">
        <v>31</v>
      </c>
      <c r="N41" s="426">
        <v>51.8</v>
      </c>
      <c r="O41" s="429" t="s">
        <v>142</v>
      </c>
      <c r="P41" s="429" t="s">
        <v>142</v>
      </c>
      <c r="Q41" s="429" t="s">
        <v>142</v>
      </c>
      <c r="R41" s="429" t="s">
        <v>292</v>
      </c>
      <c r="S41" s="429">
        <v>55.7</v>
      </c>
      <c r="T41" s="430" t="s">
        <v>23</v>
      </c>
      <c r="U41" s="429" t="s">
        <v>236</v>
      </c>
      <c r="V41" s="431"/>
      <c r="W41" s="306"/>
      <c r="CM41" s="271"/>
      <c r="CN41" s="271"/>
      <c r="CO41" s="271"/>
      <c r="CP41" s="271"/>
      <c r="CQ41" s="271"/>
      <c r="CR41" s="271"/>
      <c r="CS41" s="271"/>
      <c r="CT41" s="271"/>
      <c r="CU41" s="271"/>
      <c r="CV41" s="271"/>
      <c r="CW41" s="271"/>
      <c r="CX41" s="271"/>
      <c r="CY41" s="271"/>
    </row>
    <row r="42" spans="1:103" s="273" customFormat="1" ht="24.95" customHeight="1" x14ac:dyDescent="0.35">
      <c r="A42" s="423"/>
      <c r="B42" s="424">
        <v>44297</v>
      </c>
      <c r="C42" s="422">
        <v>0.25</v>
      </c>
      <c r="D42" s="425">
        <v>48</v>
      </c>
      <c r="E42" s="426">
        <v>11.1</v>
      </c>
      <c r="F42" s="427">
        <v>15.3</v>
      </c>
      <c r="G42" s="428">
        <v>1089</v>
      </c>
      <c r="H42" s="428">
        <v>1792</v>
      </c>
      <c r="I42" s="428">
        <v>98.4</v>
      </c>
      <c r="J42" s="428">
        <v>104.6</v>
      </c>
      <c r="K42" s="428" t="s">
        <v>355</v>
      </c>
      <c r="L42" s="426">
        <v>28.96</v>
      </c>
      <c r="M42" s="426">
        <v>31</v>
      </c>
      <c r="N42" s="426">
        <v>52.14</v>
      </c>
      <c r="O42" s="429" t="s">
        <v>142</v>
      </c>
      <c r="P42" s="429" t="s">
        <v>142</v>
      </c>
      <c r="Q42" s="429" t="s">
        <v>142</v>
      </c>
      <c r="R42" s="429" t="s">
        <v>292</v>
      </c>
      <c r="S42" s="429">
        <v>55.6</v>
      </c>
      <c r="T42" s="430" t="s">
        <v>23</v>
      </c>
      <c r="U42" s="429" t="s">
        <v>236</v>
      </c>
      <c r="V42" s="431"/>
      <c r="W42" s="306"/>
      <c r="CM42" s="271"/>
      <c r="CN42" s="271"/>
      <c r="CO42" s="271"/>
      <c r="CP42" s="271"/>
      <c r="CQ42" s="271"/>
      <c r="CR42" s="271"/>
      <c r="CS42" s="271"/>
      <c r="CT42" s="271"/>
      <c r="CU42" s="271"/>
      <c r="CV42" s="271"/>
      <c r="CW42" s="271"/>
      <c r="CX42" s="271"/>
      <c r="CY42" s="271"/>
    </row>
    <row r="43" spans="1:103" s="273" customFormat="1" ht="42" customHeight="1" x14ac:dyDescent="0.35">
      <c r="A43" s="423"/>
      <c r="B43" s="424">
        <v>44298</v>
      </c>
      <c r="C43" s="422">
        <v>0.25</v>
      </c>
      <c r="D43" s="425">
        <v>48</v>
      </c>
      <c r="E43" s="426">
        <v>11.6</v>
      </c>
      <c r="F43" s="427">
        <v>15.5</v>
      </c>
      <c r="G43" s="428">
        <v>1156</v>
      </c>
      <c r="H43" s="428">
        <v>1921</v>
      </c>
      <c r="I43" s="428">
        <v>97.2</v>
      </c>
      <c r="J43" s="428">
        <v>106.9</v>
      </c>
      <c r="K43" s="428" t="s">
        <v>358</v>
      </c>
      <c r="L43" s="426">
        <v>29</v>
      </c>
      <c r="M43" s="426">
        <v>31</v>
      </c>
      <c r="N43" s="426">
        <v>54</v>
      </c>
      <c r="O43" s="429" t="s">
        <v>142</v>
      </c>
      <c r="P43" s="429" t="s">
        <v>142</v>
      </c>
      <c r="Q43" s="429" t="s">
        <v>142</v>
      </c>
      <c r="R43" s="429" t="s">
        <v>292</v>
      </c>
      <c r="S43" s="429">
        <v>66.8</v>
      </c>
      <c r="T43" s="430" t="s">
        <v>23</v>
      </c>
      <c r="U43" s="429" t="s">
        <v>236</v>
      </c>
      <c r="V43" s="431" t="s">
        <v>361</v>
      </c>
      <c r="W43" s="306"/>
      <c r="CM43" s="271"/>
      <c r="CN43" s="271"/>
      <c r="CO43" s="271"/>
      <c r="CP43" s="271"/>
      <c r="CQ43" s="271"/>
      <c r="CR43" s="271"/>
      <c r="CS43" s="271"/>
      <c r="CT43" s="271"/>
      <c r="CU43" s="271"/>
      <c r="CV43" s="271"/>
      <c r="CW43" s="271"/>
      <c r="CX43" s="271"/>
      <c r="CY43" s="271"/>
    </row>
    <row r="44" spans="1:103" s="273" customFormat="1" ht="27" customHeight="1" x14ac:dyDescent="0.35">
      <c r="A44" s="423"/>
      <c r="B44" s="424">
        <v>44299</v>
      </c>
      <c r="C44" s="422">
        <v>0.25</v>
      </c>
      <c r="D44" s="425">
        <v>48</v>
      </c>
      <c r="E44" s="426">
        <v>11.2</v>
      </c>
      <c r="F44" s="427">
        <v>15.4</v>
      </c>
      <c r="G44" s="428">
        <v>1095</v>
      </c>
      <c r="H44" s="428">
        <v>1776</v>
      </c>
      <c r="I44" s="428">
        <v>98.4</v>
      </c>
      <c r="J44" s="428">
        <v>104</v>
      </c>
      <c r="K44" s="428" t="s">
        <v>365</v>
      </c>
      <c r="L44" s="426">
        <v>29.8</v>
      </c>
      <c r="M44" s="426">
        <v>31</v>
      </c>
      <c r="N44" s="426">
        <v>51</v>
      </c>
      <c r="O44" s="429" t="s">
        <v>142</v>
      </c>
      <c r="P44" s="429" t="s">
        <v>142</v>
      </c>
      <c r="Q44" s="429" t="s">
        <v>142</v>
      </c>
      <c r="R44" s="429" t="s">
        <v>292</v>
      </c>
      <c r="S44" s="429">
        <v>66.900000000000006</v>
      </c>
      <c r="T44" s="430" t="s">
        <v>23</v>
      </c>
      <c r="U44" s="429" t="s">
        <v>236</v>
      </c>
      <c r="V44" s="431"/>
      <c r="W44" s="306"/>
      <c r="CM44" s="271"/>
      <c r="CN44" s="271"/>
      <c r="CO44" s="271"/>
      <c r="CP44" s="271"/>
      <c r="CQ44" s="271"/>
      <c r="CR44" s="271"/>
      <c r="CS44" s="271"/>
      <c r="CT44" s="271"/>
      <c r="CU44" s="271"/>
      <c r="CV44" s="271"/>
      <c r="CW44" s="271"/>
      <c r="CX44" s="271"/>
      <c r="CY44" s="271"/>
    </row>
    <row r="45" spans="1:103" s="273" customFormat="1" ht="27" customHeight="1" x14ac:dyDescent="0.35">
      <c r="A45" s="423"/>
      <c r="B45" s="424">
        <v>44300</v>
      </c>
      <c r="C45" s="422">
        <v>0.75</v>
      </c>
      <c r="D45" s="425">
        <v>50</v>
      </c>
      <c r="E45" s="426">
        <v>11.5</v>
      </c>
      <c r="F45" s="427">
        <v>15.6</v>
      </c>
      <c r="G45" s="428">
        <v>1169</v>
      </c>
      <c r="H45" s="428">
        <v>1573</v>
      </c>
      <c r="I45" s="428">
        <v>97.5</v>
      </c>
      <c r="J45" s="428">
        <v>103.8</v>
      </c>
      <c r="K45" s="428" t="s">
        <v>368</v>
      </c>
      <c r="L45" s="426">
        <v>30.52</v>
      </c>
      <c r="M45" s="426">
        <v>33</v>
      </c>
      <c r="N45" s="426">
        <v>54.71</v>
      </c>
      <c r="O45" s="429" t="s">
        <v>142</v>
      </c>
      <c r="P45" s="429" t="s">
        <v>142</v>
      </c>
      <c r="Q45" s="429" t="s">
        <v>142</v>
      </c>
      <c r="R45" s="429" t="s">
        <v>292</v>
      </c>
      <c r="S45" s="429">
        <v>58.8</v>
      </c>
      <c r="T45" s="430" t="s">
        <v>23</v>
      </c>
      <c r="U45" s="429" t="s">
        <v>236</v>
      </c>
      <c r="V45" s="431"/>
      <c r="W45" s="306"/>
      <c r="CM45" s="271"/>
      <c r="CN45" s="271"/>
      <c r="CO45" s="271"/>
      <c r="CP45" s="271"/>
      <c r="CQ45" s="271"/>
      <c r="CR45" s="271"/>
      <c r="CS45" s="271"/>
      <c r="CT45" s="271"/>
      <c r="CU45" s="271"/>
      <c r="CV45" s="271"/>
      <c r="CW45" s="271"/>
      <c r="CX45" s="271"/>
      <c r="CY45" s="271"/>
    </row>
    <row r="46" spans="1:103" s="273" customFormat="1" ht="27" customHeight="1" x14ac:dyDescent="0.35">
      <c r="A46" s="423"/>
      <c r="B46" s="424">
        <v>44301</v>
      </c>
      <c r="C46" s="422">
        <v>0.25</v>
      </c>
      <c r="D46" s="425">
        <v>50</v>
      </c>
      <c r="E46" s="426">
        <v>12</v>
      </c>
      <c r="F46" s="427">
        <v>15.7</v>
      </c>
      <c r="G46" s="428">
        <v>1056.8</v>
      </c>
      <c r="H46" s="428">
        <v>1706</v>
      </c>
      <c r="I46" s="428">
        <v>98.5</v>
      </c>
      <c r="J46" s="428">
        <v>104.5</v>
      </c>
      <c r="K46" s="428" t="s">
        <v>375</v>
      </c>
      <c r="L46" s="426">
        <v>30.27</v>
      </c>
      <c r="M46" s="426">
        <v>32</v>
      </c>
      <c r="N46" s="426">
        <v>55.35</v>
      </c>
      <c r="O46" s="429" t="s">
        <v>142</v>
      </c>
      <c r="P46" s="429" t="s">
        <v>142</v>
      </c>
      <c r="Q46" s="429" t="s">
        <v>142</v>
      </c>
      <c r="R46" s="429" t="s">
        <v>292</v>
      </c>
      <c r="S46" s="429">
        <v>59.8</v>
      </c>
      <c r="T46" s="430" t="s">
        <v>23</v>
      </c>
      <c r="U46" s="429" t="s">
        <v>236</v>
      </c>
      <c r="V46" s="431"/>
      <c r="W46" s="306"/>
      <c r="CM46" s="271"/>
      <c r="CN46" s="271"/>
      <c r="CO46" s="271"/>
      <c r="CP46" s="271"/>
      <c r="CQ46" s="271"/>
      <c r="CR46" s="271"/>
      <c r="CS46" s="271"/>
      <c r="CT46" s="271"/>
      <c r="CU46" s="271"/>
      <c r="CV46" s="271"/>
      <c r="CW46" s="271"/>
      <c r="CX46" s="271"/>
      <c r="CY46" s="271"/>
    </row>
    <row r="47" spans="1:103" s="273" customFormat="1" ht="27" customHeight="1" x14ac:dyDescent="0.35">
      <c r="A47" s="423" t="s">
        <v>381</v>
      </c>
      <c r="B47" s="424">
        <v>44302</v>
      </c>
      <c r="C47" s="422">
        <v>0.25</v>
      </c>
      <c r="D47" s="425">
        <v>50</v>
      </c>
      <c r="E47" s="426">
        <v>12</v>
      </c>
      <c r="F47" s="427">
        <v>15.9</v>
      </c>
      <c r="G47" s="428">
        <v>1035.7</v>
      </c>
      <c r="H47" s="428">
        <v>1785</v>
      </c>
      <c r="I47" s="428">
        <v>98.6</v>
      </c>
      <c r="J47" s="428">
        <v>105.1</v>
      </c>
      <c r="K47" s="428" t="s">
        <v>382</v>
      </c>
      <c r="L47" s="426">
        <v>29.59</v>
      </c>
      <c r="M47" s="426">
        <v>32</v>
      </c>
      <c r="N47" s="426">
        <v>53.55</v>
      </c>
      <c r="O47" s="429" t="s">
        <v>142</v>
      </c>
      <c r="P47" s="429" t="s">
        <v>142</v>
      </c>
      <c r="Q47" s="429" t="s">
        <v>142</v>
      </c>
      <c r="R47" s="429" t="s">
        <v>292</v>
      </c>
      <c r="S47" s="429">
        <v>59.3</v>
      </c>
      <c r="T47" s="430" t="s">
        <v>23</v>
      </c>
      <c r="U47" s="429" t="s">
        <v>236</v>
      </c>
      <c r="V47" s="431"/>
      <c r="W47" s="306"/>
      <c r="CM47" s="271"/>
      <c r="CN47" s="271"/>
      <c r="CO47" s="271"/>
      <c r="CP47" s="271"/>
      <c r="CQ47" s="271"/>
      <c r="CR47" s="271"/>
      <c r="CS47" s="271"/>
      <c r="CT47" s="271"/>
      <c r="CU47" s="271"/>
      <c r="CV47" s="271"/>
      <c r="CW47" s="271"/>
      <c r="CX47" s="271"/>
      <c r="CY47" s="271"/>
    </row>
    <row r="48" spans="1:103" s="273" customFormat="1" ht="27" customHeight="1" x14ac:dyDescent="0.35">
      <c r="A48" s="423" t="s">
        <v>381</v>
      </c>
      <c r="B48" s="424">
        <v>44303</v>
      </c>
      <c r="C48" s="422">
        <v>0.25</v>
      </c>
      <c r="D48" s="425">
        <v>50</v>
      </c>
      <c r="E48" s="426">
        <v>11.7</v>
      </c>
      <c r="F48" s="427">
        <v>15.8</v>
      </c>
      <c r="G48" s="428">
        <v>1051.9000000000001</v>
      </c>
      <c r="H48" s="428">
        <v>1826</v>
      </c>
      <c r="I48" s="428">
        <v>98.6</v>
      </c>
      <c r="J48" s="428">
        <v>104.4</v>
      </c>
      <c r="K48" s="428" t="s">
        <v>387</v>
      </c>
      <c r="L48" s="426">
        <v>29.68</v>
      </c>
      <c r="M48" s="426">
        <v>32</v>
      </c>
      <c r="N48" s="426">
        <v>52.33</v>
      </c>
      <c r="O48" s="429" t="s">
        <v>142</v>
      </c>
      <c r="P48" s="429" t="s">
        <v>142</v>
      </c>
      <c r="Q48" s="429" t="s">
        <v>142</v>
      </c>
      <c r="R48" s="429" t="s">
        <v>292</v>
      </c>
      <c r="S48" s="429">
        <v>59.3</v>
      </c>
      <c r="T48" s="430" t="s">
        <v>23</v>
      </c>
      <c r="U48" s="429" t="s">
        <v>236</v>
      </c>
      <c r="V48" s="431"/>
      <c r="W48" s="306"/>
      <c r="CM48" s="271"/>
      <c r="CN48" s="271"/>
      <c r="CO48" s="271"/>
      <c r="CP48" s="271"/>
      <c r="CQ48" s="271"/>
      <c r="CR48" s="271"/>
      <c r="CS48" s="271"/>
      <c r="CT48" s="271"/>
      <c r="CU48" s="271"/>
      <c r="CV48" s="271"/>
      <c r="CW48" s="271"/>
      <c r="CX48" s="271"/>
      <c r="CY48" s="271"/>
    </row>
    <row r="49" spans="1:103" s="273" customFormat="1" ht="27" customHeight="1" x14ac:dyDescent="0.35">
      <c r="A49" s="423" t="s">
        <v>381</v>
      </c>
      <c r="B49" s="424">
        <v>44304</v>
      </c>
      <c r="C49" s="422">
        <v>0.25</v>
      </c>
      <c r="D49" s="425">
        <v>50</v>
      </c>
      <c r="E49" s="426">
        <v>11.8</v>
      </c>
      <c r="F49" s="427">
        <v>15.8</v>
      </c>
      <c r="G49" s="428">
        <v>1051</v>
      </c>
      <c r="H49" s="428">
        <v>1862</v>
      </c>
      <c r="I49" s="428">
        <v>98.6</v>
      </c>
      <c r="J49" s="428">
        <v>105</v>
      </c>
      <c r="K49" s="428" t="s">
        <v>391</v>
      </c>
      <c r="L49" s="426">
        <v>28.84</v>
      </c>
      <c r="M49" s="426">
        <v>32</v>
      </c>
      <c r="N49" s="426">
        <v>51.91</v>
      </c>
      <c r="O49" s="429" t="s">
        <v>142</v>
      </c>
      <c r="P49" s="429" t="s">
        <v>142</v>
      </c>
      <c r="Q49" s="429" t="s">
        <v>142</v>
      </c>
      <c r="R49" s="429" t="s">
        <v>292</v>
      </c>
      <c r="S49" s="429">
        <v>59.3</v>
      </c>
      <c r="T49" s="430" t="s">
        <v>23</v>
      </c>
      <c r="U49" s="429" t="s">
        <v>236</v>
      </c>
      <c r="V49" s="431"/>
      <c r="W49" s="306"/>
      <c r="CM49" s="271"/>
      <c r="CN49" s="271"/>
      <c r="CO49" s="271"/>
      <c r="CP49" s="271"/>
      <c r="CQ49" s="271"/>
      <c r="CR49" s="271"/>
      <c r="CS49" s="271"/>
      <c r="CT49" s="271"/>
      <c r="CU49" s="271"/>
      <c r="CV49" s="271"/>
      <c r="CW49" s="271"/>
      <c r="CX49" s="271"/>
      <c r="CY49" s="271"/>
    </row>
    <row r="50" spans="1:103" s="273" customFormat="1" ht="27" customHeight="1" x14ac:dyDescent="0.35">
      <c r="A50" s="423" t="s">
        <v>381</v>
      </c>
      <c r="B50" s="424">
        <v>44305</v>
      </c>
      <c r="C50" s="422">
        <v>0.25</v>
      </c>
      <c r="D50" s="425">
        <v>50</v>
      </c>
      <c r="E50" s="426">
        <v>11.6</v>
      </c>
      <c r="F50" s="427">
        <v>15.4</v>
      </c>
      <c r="G50" s="428">
        <v>1055</v>
      </c>
      <c r="H50" s="428">
        <v>1800</v>
      </c>
      <c r="I50" s="428">
        <v>98.6</v>
      </c>
      <c r="J50" s="428">
        <v>105</v>
      </c>
      <c r="K50" s="428" t="s">
        <v>394</v>
      </c>
      <c r="L50" s="426">
        <v>30.01</v>
      </c>
      <c r="M50" s="426">
        <v>31</v>
      </c>
      <c r="N50" s="426">
        <v>56.78</v>
      </c>
      <c r="O50" s="429" t="s">
        <v>142</v>
      </c>
      <c r="P50" s="429" t="s">
        <v>142</v>
      </c>
      <c r="Q50" s="429" t="s">
        <v>142</v>
      </c>
      <c r="R50" s="429" t="s">
        <v>292</v>
      </c>
      <c r="S50" s="429">
        <v>58.8</v>
      </c>
      <c r="T50" s="430" t="s">
        <v>23</v>
      </c>
      <c r="U50" s="429" t="s">
        <v>236</v>
      </c>
      <c r="V50" s="431"/>
      <c r="W50" s="306"/>
      <c r="CM50" s="271"/>
      <c r="CN50" s="271"/>
      <c r="CO50" s="271"/>
      <c r="CP50" s="271"/>
      <c r="CQ50" s="271"/>
      <c r="CR50" s="271"/>
      <c r="CS50" s="271"/>
      <c r="CT50" s="271"/>
      <c r="CU50" s="271"/>
      <c r="CV50" s="271"/>
      <c r="CW50" s="271"/>
      <c r="CX50" s="271"/>
      <c r="CY50" s="271"/>
    </row>
    <row r="51" spans="1:103" s="273" customFormat="1" ht="27" customHeight="1" x14ac:dyDescent="0.35">
      <c r="A51" s="423" t="s">
        <v>381</v>
      </c>
      <c r="B51" s="424">
        <v>44306</v>
      </c>
      <c r="C51" s="422">
        <v>0.25</v>
      </c>
      <c r="D51" s="425">
        <v>50</v>
      </c>
      <c r="E51" s="426">
        <v>11.7</v>
      </c>
      <c r="F51" s="427">
        <v>15.7</v>
      </c>
      <c r="G51" s="428">
        <v>1053</v>
      </c>
      <c r="H51" s="428">
        <v>1821</v>
      </c>
      <c r="I51" s="428">
        <v>98.6</v>
      </c>
      <c r="J51" s="428">
        <v>105.2</v>
      </c>
      <c r="K51" s="428" t="s">
        <v>397</v>
      </c>
      <c r="L51" s="426">
        <v>28.97</v>
      </c>
      <c r="M51" s="426">
        <v>32</v>
      </c>
      <c r="N51" s="426">
        <v>53.53</v>
      </c>
      <c r="O51" s="429" t="s">
        <v>142</v>
      </c>
      <c r="P51" s="429" t="s">
        <v>142</v>
      </c>
      <c r="Q51" s="429" t="s">
        <v>142</v>
      </c>
      <c r="R51" s="429" t="s">
        <v>292</v>
      </c>
      <c r="S51" s="429">
        <v>58.3</v>
      </c>
      <c r="T51" s="430" t="s">
        <v>23</v>
      </c>
      <c r="U51" s="429" t="s">
        <v>236</v>
      </c>
      <c r="V51" s="431"/>
      <c r="W51" s="306"/>
      <c r="CM51" s="271"/>
      <c r="CN51" s="271"/>
      <c r="CO51" s="271"/>
      <c r="CP51" s="271"/>
      <c r="CQ51" s="271"/>
      <c r="CR51" s="271"/>
      <c r="CS51" s="271"/>
      <c r="CT51" s="271"/>
      <c r="CU51" s="271"/>
      <c r="CV51" s="271"/>
      <c r="CW51" s="271"/>
      <c r="CX51" s="271"/>
      <c r="CY51" s="271"/>
    </row>
    <row r="52" spans="1:103" s="273" customFormat="1" ht="27" customHeight="1" x14ac:dyDescent="0.35">
      <c r="A52" s="423" t="s">
        <v>381</v>
      </c>
      <c r="B52" s="424">
        <v>44307</v>
      </c>
      <c r="C52" s="422">
        <v>0.25</v>
      </c>
      <c r="D52" s="425">
        <v>50</v>
      </c>
      <c r="E52" s="426">
        <v>11.6</v>
      </c>
      <c r="F52" s="427">
        <v>15.6</v>
      </c>
      <c r="G52" s="428">
        <v>1054</v>
      </c>
      <c r="H52" s="428">
        <v>1820</v>
      </c>
      <c r="I52" s="428">
        <v>98.5</v>
      </c>
      <c r="J52" s="428">
        <v>105.2</v>
      </c>
      <c r="K52" s="428" t="s">
        <v>400</v>
      </c>
      <c r="L52" s="426">
        <v>29.2</v>
      </c>
      <c r="M52" s="426">
        <v>31</v>
      </c>
      <c r="N52" s="426">
        <v>53.17</v>
      </c>
      <c r="O52" s="429" t="s">
        <v>142</v>
      </c>
      <c r="P52" s="429" t="s">
        <v>142</v>
      </c>
      <c r="Q52" s="429" t="s">
        <v>142</v>
      </c>
      <c r="R52" s="429" t="s">
        <v>292</v>
      </c>
      <c r="S52" s="429">
        <v>57.8</v>
      </c>
      <c r="T52" s="430" t="s">
        <v>23</v>
      </c>
      <c r="U52" s="429" t="s">
        <v>236</v>
      </c>
      <c r="V52" s="431"/>
      <c r="W52" s="306"/>
      <c r="CM52" s="271"/>
      <c r="CN52" s="271"/>
      <c r="CO52" s="271"/>
      <c r="CP52" s="271"/>
      <c r="CQ52" s="271"/>
      <c r="CR52" s="271"/>
      <c r="CS52" s="271"/>
      <c r="CT52" s="271"/>
      <c r="CU52" s="271"/>
      <c r="CV52" s="271"/>
      <c r="CW52" s="271"/>
      <c r="CX52" s="271"/>
      <c r="CY52" s="271"/>
    </row>
    <row r="53" spans="1:103" s="273" customFormat="1" ht="27" customHeight="1" x14ac:dyDescent="0.35">
      <c r="A53" s="423" t="s">
        <v>381</v>
      </c>
      <c r="B53" s="424">
        <v>44308</v>
      </c>
      <c r="C53" s="422">
        <v>0.25</v>
      </c>
      <c r="D53" s="425">
        <v>50</v>
      </c>
      <c r="E53" s="426">
        <v>11.6</v>
      </c>
      <c r="F53" s="427">
        <v>15.5</v>
      </c>
      <c r="G53" s="428">
        <v>1040</v>
      </c>
      <c r="H53" s="428">
        <v>1777</v>
      </c>
      <c r="I53" s="428">
        <v>98.6</v>
      </c>
      <c r="J53" s="428">
        <v>105.3</v>
      </c>
      <c r="K53" s="428" t="s">
        <v>405</v>
      </c>
      <c r="L53" s="426">
        <v>28.6</v>
      </c>
      <c r="M53" s="426">
        <v>31</v>
      </c>
      <c r="N53" s="426">
        <v>53</v>
      </c>
      <c r="O53" s="429" t="s">
        <v>142</v>
      </c>
      <c r="P53" s="429" t="s">
        <v>142</v>
      </c>
      <c r="Q53" s="429" t="s">
        <v>142</v>
      </c>
      <c r="R53" s="429" t="s">
        <v>292</v>
      </c>
      <c r="S53" s="429">
        <v>58.8</v>
      </c>
      <c r="T53" s="430" t="s">
        <v>23</v>
      </c>
      <c r="U53" s="429" t="s">
        <v>236</v>
      </c>
      <c r="V53" s="431"/>
      <c r="W53" s="306"/>
      <c r="CM53" s="271"/>
      <c r="CN53" s="271"/>
      <c r="CO53" s="271"/>
      <c r="CP53" s="271"/>
      <c r="CQ53" s="271"/>
      <c r="CR53" s="271"/>
      <c r="CS53" s="271"/>
      <c r="CT53" s="271"/>
      <c r="CU53" s="271"/>
      <c r="CV53" s="271"/>
      <c r="CW53" s="271"/>
      <c r="CX53" s="271"/>
      <c r="CY53" s="271"/>
    </row>
    <row r="54" spans="1:103" s="273" customFormat="1" ht="27" customHeight="1" x14ac:dyDescent="0.35">
      <c r="A54" s="423" t="s">
        <v>381</v>
      </c>
      <c r="B54" s="424">
        <v>44309</v>
      </c>
      <c r="C54" s="422">
        <v>0.25</v>
      </c>
      <c r="D54" s="425">
        <v>52</v>
      </c>
      <c r="E54" s="426">
        <v>12.3</v>
      </c>
      <c r="F54" s="427">
        <v>16.3</v>
      </c>
      <c r="G54" s="428">
        <v>1053</v>
      </c>
      <c r="H54" s="428">
        <v>1943</v>
      </c>
      <c r="I54" s="428">
        <v>98.7</v>
      </c>
      <c r="J54" s="428">
        <v>106.2</v>
      </c>
      <c r="K54" s="428" t="s">
        <v>408</v>
      </c>
      <c r="L54" s="426">
        <v>33.56</v>
      </c>
      <c r="M54" s="426">
        <v>35</v>
      </c>
      <c r="N54" s="426">
        <v>52.83</v>
      </c>
      <c r="O54" s="429" t="s">
        <v>142</v>
      </c>
      <c r="P54" s="429" t="s">
        <v>142</v>
      </c>
      <c r="Q54" s="429" t="s">
        <v>142</v>
      </c>
      <c r="R54" s="429" t="s">
        <v>292</v>
      </c>
      <c r="S54" s="429">
        <v>62.8</v>
      </c>
      <c r="T54" s="430" t="s">
        <v>23</v>
      </c>
      <c r="U54" s="429" t="s">
        <v>236</v>
      </c>
      <c r="V54" s="431" t="s">
        <v>411</v>
      </c>
      <c r="W54" s="306"/>
      <c r="CM54" s="271"/>
      <c r="CN54" s="271"/>
      <c r="CO54" s="271"/>
      <c r="CP54" s="271"/>
      <c r="CQ54" s="271"/>
      <c r="CR54" s="271"/>
      <c r="CS54" s="271"/>
      <c r="CT54" s="271"/>
      <c r="CU54" s="271"/>
      <c r="CV54" s="271"/>
      <c r="CW54" s="271"/>
      <c r="CX54" s="271"/>
      <c r="CY54" s="271"/>
    </row>
    <row r="55" spans="1:103" s="273" customFormat="1" ht="27" customHeight="1" x14ac:dyDescent="0.35">
      <c r="A55" s="423" t="s">
        <v>381</v>
      </c>
      <c r="B55" s="424">
        <v>44310</v>
      </c>
      <c r="C55" s="422">
        <v>0.25</v>
      </c>
      <c r="D55" s="425">
        <v>52</v>
      </c>
      <c r="E55" s="426">
        <v>12.4</v>
      </c>
      <c r="F55" s="427">
        <v>16.3</v>
      </c>
      <c r="G55" s="428">
        <v>1072</v>
      </c>
      <c r="H55" s="428">
        <v>1989</v>
      </c>
      <c r="I55" s="428">
        <v>98.7</v>
      </c>
      <c r="J55" s="428">
        <v>105.9</v>
      </c>
      <c r="K55" s="428" t="s">
        <v>414</v>
      </c>
      <c r="L55" s="426">
        <v>34.200000000000003</v>
      </c>
      <c r="M55" s="426">
        <v>35.5</v>
      </c>
      <c r="N55" s="426">
        <v>52.1</v>
      </c>
      <c r="O55" s="429" t="s">
        <v>142</v>
      </c>
      <c r="P55" s="429" t="s">
        <v>142</v>
      </c>
      <c r="Q55" s="429" t="s">
        <v>142</v>
      </c>
      <c r="R55" s="429" t="s">
        <v>292</v>
      </c>
      <c r="S55" s="429">
        <v>61.8</v>
      </c>
      <c r="T55" s="430" t="s">
        <v>23</v>
      </c>
      <c r="U55" s="429" t="s">
        <v>236</v>
      </c>
      <c r="V55" s="431" t="s">
        <v>415</v>
      </c>
      <c r="W55" s="306"/>
      <c r="CM55" s="271"/>
      <c r="CN55" s="271"/>
      <c r="CO55" s="271"/>
      <c r="CP55" s="271"/>
      <c r="CQ55" s="271"/>
      <c r="CR55" s="271"/>
      <c r="CS55" s="271"/>
      <c r="CT55" s="271"/>
      <c r="CU55" s="271"/>
      <c r="CV55" s="271"/>
      <c r="CW55" s="271"/>
      <c r="CX55" s="271"/>
      <c r="CY55" s="271"/>
    </row>
    <row r="56" spans="1:103" s="273" customFormat="1" ht="27" customHeight="1" x14ac:dyDescent="0.35">
      <c r="A56" s="423" t="s">
        <v>381</v>
      </c>
      <c r="B56" s="424">
        <v>44311</v>
      </c>
      <c r="C56" s="422">
        <v>0.25</v>
      </c>
      <c r="D56" s="425">
        <v>52</v>
      </c>
      <c r="E56" s="426">
        <v>12.3</v>
      </c>
      <c r="F56" s="427">
        <v>16</v>
      </c>
      <c r="G56" s="428">
        <v>1071</v>
      </c>
      <c r="H56" s="428">
        <v>1932</v>
      </c>
      <c r="I56" s="428">
        <v>98.8</v>
      </c>
      <c r="J56" s="428">
        <v>106.4</v>
      </c>
      <c r="K56" s="428" t="s">
        <v>421</v>
      </c>
      <c r="L56" s="426">
        <v>34.65</v>
      </c>
      <c r="M56" s="426">
        <v>36</v>
      </c>
      <c r="N56" s="426">
        <v>51.14</v>
      </c>
      <c r="O56" s="429" t="s">
        <v>142</v>
      </c>
      <c r="P56" s="429" t="s">
        <v>142</v>
      </c>
      <c r="Q56" s="429" t="s">
        <v>142</v>
      </c>
      <c r="R56" s="429" t="s">
        <v>292</v>
      </c>
      <c r="S56" s="429">
        <v>60</v>
      </c>
      <c r="T56" s="430" t="s">
        <v>23</v>
      </c>
      <c r="U56" s="429" t="s">
        <v>236</v>
      </c>
      <c r="V56" s="431" t="s">
        <v>415</v>
      </c>
      <c r="W56" s="306"/>
      <c r="CM56" s="271"/>
      <c r="CN56" s="271"/>
      <c r="CO56" s="271"/>
      <c r="CP56" s="271"/>
      <c r="CQ56" s="271"/>
      <c r="CR56" s="271"/>
      <c r="CS56" s="271"/>
      <c r="CT56" s="271"/>
      <c r="CU56" s="271"/>
      <c r="CV56" s="271"/>
      <c r="CW56" s="271"/>
      <c r="CX56" s="271"/>
      <c r="CY56" s="271"/>
    </row>
    <row r="57" spans="1:103" s="273" customFormat="1" ht="27" customHeight="1" x14ac:dyDescent="0.35">
      <c r="A57" s="423" t="s">
        <v>381</v>
      </c>
      <c r="B57" s="424">
        <v>44312</v>
      </c>
      <c r="C57" s="422">
        <v>0.25</v>
      </c>
      <c r="D57" s="425">
        <v>52</v>
      </c>
      <c r="E57" s="426">
        <v>12.1</v>
      </c>
      <c r="F57" s="427">
        <v>16.100000000000001</v>
      </c>
      <c r="G57" s="428">
        <v>1082</v>
      </c>
      <c r="H57" s="428">
        <v>1919</v>
      </c>
      <c r="I57" s="428">
        <v>98.7</v>
      </c>
      <c r="J57" s="428">
        <v>104.7</v>
      </c>
      <c r="K57" s="428" t="s">
        <v>429</v>
      </c>
      <c r="L57" s="426">
        <v>33.86</v>
      </c>
      <c r="M57" s="426">
        <v>35</v>
      </c>
      <c r="N57" s="426">
        <v>50.84</v>
      </c>
      <c r="O57" s="429" t="s">
        <v>142</v>
      </c>
      <c r="P57" s="429" t="s">
        <v>142</v>
      </c>
      <c r="Q57" s="429" t="s">
        <v>142</v>
      </c>
      <c r="R57" s="429" t="s">
        <v>292</v>
      </c>
      <c r="S57" s="429">
        <v>60.85</v>
      </c>
      <c r="T57" s="430" t="s">
        <v>23</v>
      </c>
      <c r="U57" s="429" t="s">
        <v>236</v>
      </c>
      <c r="V57" s="431" t="s">
        <v>415</v>
      </c>
      <c r="W57" s="306"/>
      <c r="CM57" s="271"/>
      <c r="CN57" s="271"/>
      <c r="CO57" s="271"/>
      <c r="CP57" s="271"/>
      <c r="CQ57" s="271"/>
      <c r="CR57" s="271"/>
      <c r="CS57" s="271"/>
      <c r="CT57" s="271"/>
      <c r="CU57" s="271"/>
      <c r="CV57" s="271"/>
      <c r="CW57" s="271"/>
      <c r="CX57" s="271"/>
      <c r="CY57" s="271"/>
    </row>
    <row r="58" spans="1:103" s="273" customFormat="1" ht="27" customHeight="1" x14ac:dyDescent="0.35">
      <c r="A58" s="423" t="s">
        <v>381</v>
      </c>
      <c r="B58" s="424">
        <v>44313</v>
      </c>
      <c r="C58" s="422">
        <v>0.25</v>
      </c>
      <c r="D58" s="425">
        <v>52</v>
      </c>
      <c r="E58" s="426">
        <v>12.2</v>
      </c>
      <c r="F58" s="427">
        <v>16.100000000000001</v>
      </c>
      <c r="G58" s="428">
        <v>1066</v>
      </c>
      <c r="H58" s="428">
        <v>1893</v>
      </c>
      <c r="I58" s="428">
        <v>98.8</v>
      </c>
      <c r="J58" s="428">
        <v>106.4</v>
      </c>
      <c r="K58" s="428" t="s">
        <v>434</v>
      </c>
      <c r="L58" s="426">
        <v>33.89</v>
      </c>
      <c r="M58" s="426">
        <v>36</v>
      </c>
      <c r="N58" s="426">
        <v>52.95</v>
      </c>
      <c r="O58" s="429" t="s">
        <v>142</v>
      </c>
      <c r="P58" s="429" t="s">
        <v>142</v>
      </c>
      <c r="Q58" s="429" t="s">
        <v>142</v>
      </c>
      <c r="R58" s="429" t="s">
        <v>292</v>
      </c>
      <c r="S58" s="429">
        <v>60</v>
      </c>
      <c r="T58" s="430" t="s">
        <v>23</v>
      </c>
      <c r="U58" s="429" t="s">
        <v>236</v>
      </c>
      <c r="V58" s="431" t="s">
        <v>415</v>
      </c>
      <c r="W58" s="306"/>
      <c r="CM58" s="271"/>
      <c r="CN58" s="271"/>
      <c r="CO58" s="271"/>
      <c r="CP58" s="271"/>
      <c r="CQ58" s="271"/>
      <c r="CR58" s="271"/>
      <c r="CS58" s="271"/>
      <c r="CT58" s="271"/>
      <c r="CU58" s="271"/>
      <c r="CV58" s="271"/>
      <c r="CW58" s="271"/>
      <c r="CX58" s="271"/>
      <c r="CY58" s="271"/>
    </row>
    <row r="59" spans="1:103" s="273" customFormat="1" ht="27" customHeight="1" x14ac:dyDescent="0.35">
      <c r="A59" s="423" t="s">
        <v>381</v>
      </c>
      <c r="B59" s="424">
        <v>44314</v>
      </c>
      <c r="C59" s="422">
        <v>0.25</v>
      </c>
      <c r="D59" s="425">
        <v>52</v>
      </c>
      <c r="E59" s="426">
        <v>12</v>
      </c>
      <c r="F59" s="427">
        <v>16</v>
      </c>
      <c r="G59" s="428">
        <v>1069</v>
      </c>
      <c r="H59" s="428">
        <v>1938</v>
      </c>
      <c r="I59" s="428">
        <v>98.8</v>
      </c>
      <c r="J59" s="428">
        <v>106.5</v>
      </c>
      <c r="K59" s="428" t="s">
        <v>444</v>
      </c>
      <c r="L59" s="426">
        <v>33.950000000000003</v>
      </c>
      <c r="M59" s="426">
        <v>36</v>
      </c>
      <c r="N59" s="426">
        <v>53.1</v>
      </c>
      <c r="O59" s="429" t="s">
        <v>142</v>
      </c>
      <c r="P59" s="429" t="s">
        <v>142</v>
      </c>
      <c r="Q59" s="429" t="s">
        <v>142</v>
      </c>
      <c r="R59" s="429" t="s">
        <v>292</v>
      </c>
      <c r="S59" s="429">
        <v>59.8</v>
      </c>
      <c r="T59" s="430" t="s">
        <v>23</v>
      </c>
      <c r="U59" s="429" t="s">
        <v>236</v>
      </c>
      <c r="V59" s="431" t="s">
        <v>415</v>
      </c>
      <c r="W59" s="306"/>
      <c r="CM59" s="271"/>
      <c r="CN59" s="271"/>
      <c r="CO59" s="271"/>
      <c r="CP59" s="271"/>
      <c r="CQ59" s="271"/>
      <c r="CR59" s="271"/>
      <c r="CS59" s="271"/>
      <c r="CT59" s="271"/>
      <c r="CU59" s="271"/>
      <c r="CV59" s="271"/>
      <c r="CW59" s="271"/>
      <c r="CX59" s="271"/>
      <c r="CY59" s="271"/>
    </row>
    <row r="60" spans="1:103" s="273" customFormat="1" ht="27" customHeight="1" x14ac:dyDescent="0.35">
      <c r="A60" s="423" t="s">
        <v>381</v>
      </c>
      <c r="B60" s="424">
        <v>44315</v>
      </c>
      <c r="C60" s="422">
        <v>0.25</v>
      </c>
      <c r="D60" s="425">
        <v>52</v>
      </c>
      <c r="E60" s="426">
        <v>11.9</v>
      </c>
      <c r="F60" s="427">
        <v>15.8</v>
      </c>
      <c r="G60" s="428">
        <v>1071</v>
      </c>
      <c r="H60" s="428">
        <v>1916</v>
      </c>
      <c r="I60" s="428">
        <v>98.6</v>
      </c>
      <c r="J60" s="428">
        <v>107</v>
      </c>
      <c r="K60" s="428" t="s">
        <v>456</v>
      </c>
      <c r="L60" s="426">
        <v>33.25</v>
      </c>
      <c r="M60" s="426">
        <v>36</v>
      </c>
      <c r="N60" s="426">
        <v>52.79</v>
      </c>
      <c r="O60" s="429" t="s">
        <v>142</v>
      </c>
      <c r="P60" s="429" t="s">
        <v>142</v>
      </c>
      <c r="Q60" s="429" t="s">
        <v>142</v>
      </c>
      <c r="R60" s="429" t="s">
        <v>292</v>
      </c>
      <c r="S60" s="429">
        <v>60.3</v>
      </c>
      <c r="T60" s="430" t="s">
        <v>23</v>
      </c>
      <c r="U60" s="429" t="s">
        <v>236</v>
      </c>
      <c r="V60" s="431" t="s">
        <v>415</v>
      </c>
      <c r="W60" s="306"/>
      <c r="CM60" s="271"/>
      <c r="CN60" s="271"/>
      <c r="CO60" s="271"/>
      <c r="CP60" s="271"/>
      <c r="CQ60" s="271"/>
      <c r="CR60" s="271"/>
      <c r="CS60" s="271"/>
      <c r="CT60" s="271"/>
      <c r="CU60" s="271"/>
      <c r="CV60" s="271"/>
      <c r="CW60" s="271"/>
      <c r="CX60" s="271"/>
      <c r="CY60" s="271"/>
    </row>
    <row r="61" spans="1:103" s="273" customFormat="1" ht="27" customHeight="1" x14ac:dyDescent="0.35">
      <c r="A61" s="423" t="s">
        <v>381</v>
      </c>
      <c r="B61" s="424">
        <v>44316</v>
      </c>
      <c r="C61" s="422">
        <v>0.25</v>
      </c>
      <c r="D61" s="425">
        <v>52</v>
      </c>
      <c r="E61" s="426">
        <v>12.1</v>
      </c>
      <c r="F61" s="427">
        <v>16.100000000000001</v>
      </c>
      <c r="G61" s="428">
        <v>1073</v>
      </c>
      <c r="H61" s="428">
        <v>1939</v>
      </c>
      <c r="I61" s="428">
        <v>98.6</v>
      </c>
      <c r="J61" s="428">
        <v>106.6</v>
      </c>
      <c r="K61" s="428" t="s">
        <v>462</v>
      </c>
      <c r="L61" s="426">
        <v>34.58</v>
      </c>
      <c r="M61" s="426">
        <v>36</v>
      </c>
      <c r="N61" s="426">
        <v>52.14</v>
      </c>
      <c r="O61" s="429" t="s">
        <v>142</v>
      </c>
      <c r="P61" s="429" t="s">
        <v>142</v>
      </c>
      <c r="Q61" s="429" t="s">
        <v>142</v>
      </c>
      <c r="R61" s="429" t="s">
        <v>292</v>
      </c>
      <c r="S61" s="429">
        <v>61.8</v>
      </c>
      <c r="T61" s="430" t="s">
        <v>23</v>
      </c>
      <c r="U61" s="429" t="s">
        <v>236</v>
      </c>
      <c r="V61" s="431" t="s">
        <v>415</v>
      </c>
      <c r="W61" s="306"/>
      <c r="CM61" s="271"/>
      <c r="CN61" s="271"/>
      <c r="CO61" s="271"/>
      <c r="CP61" s="271"/>
      <c r="CQ61" s="271"/>
      <c r="CR61" s="271"/>
      <c r="CS61" s="271"/>
      <c r="CT61" s="271"/>
      <c r="CU61" s="271"/>
      <c r="CV61" s="271"/>
      <c r="CW61" s="271"/>
      <c r="CX61" s="271"/>
      <c r="CY61" s="271"/>
    </row>
    <row r="62" spans="1:103" s="273" customFormat="1" ht="27" customHeight="1" x14ac:dyDescent="0.35">
      <c r="A62" s="423" t="s">
        <v>381</v>
      </c>
      <c r="B62" s="424">
        <v>44317</v>
      </c>
      <c r="C62" s="422">
        <v>0.25</v>
      </c>
      <c r="D62" s="425">
        <v>52</v>
      </c>
      <c r="E62" s="426">
        <v>11.9</v>
      </c>
      <c r="F62" s="427">
        <v>15.9</v>
      </c>
      <c r="G62" s="428">
        <v>1076.8</v>
      </c>
      <c r="H62" s="428">
        <v>1899.9</v>
      </c>
      <c r="I62" s="428">
        <v>98.8</v>
      </c>
      <c r="J62" s="428">
        <v>106.7</v>
      </c>
      <c r="K62" s="428" t="s">
        <v>467</v>
      </c>
      <c r="L62" s="426">
        <v>34.200000000000003</v>
      </c>
      <c r="M62" s="426">
        <v>36</v>
      </c>
      <c r="N62" s="426">
        <v>51.7</v>
      </c>
      <c r="O62" s="429" t="s">
        <v>142</v>
      </c>
      <c r="P62" s="429" t="s">
        <v>142</v>
      </c>
      <c r="Q62" s="429" t="s">
        <v>142</v>
      </c>
      <c r="R62" s="429" t="s">
        <v>292</v>
      </c>
      <c r="S62" s="429">
        <v>59.8</v>
      </c>
      <c r="T62" s="430" t="s">
        <v>23</v>
      </c>
      <c r="U62" s="429" t="s">
        <v>466</v>
      </c>
      <c r="V62" s="431" t="s">
        <v>415</v>
      </c>
      <c r="W62" s="306"/>
      <c r="CM62" s="271"/>
      <c r="CN62" s="271"/>
      <c r="CO62" s="271"/>
      <c r="CP62" s="271"/>
      <c r="CQ62" s="271"/>
      <c r="CR62" s="271"/>
      <c r="CS62" s="271"/>
      <c r="CT62" s="271"/>
      <c r="CU62" s="271"/>
      <c r="CV62" s="271"/>
      <c r="CW62" s="271"/>
      <c r="CX62" s="271"/>
      <c r="CY62" s="271"/>
    </row>
    <row r="63" spans="1:103" s="273" customFormat="1" ht="27" customHeight="1" x14ac:dyDescent="0.35">
      <c r="A63" s="423" t="s">
        <v>381</v>
      </c>
      <c r="B63" s="424">
        <v>44318</v>
      </c>
      <c r="C63" s="422">
        <v>0.25</v>
      </c>
      <c r="D63" s="425">
        <v>52</v>
      </c>
      <c r="E63" s="426">
        <v>12.2</v>
      </c>
      <c r="F63" s="427">
        <v>16.100000000000001</v>
      </c>
      <c r="G63" s="428">
        <v>1078</v>
      </c>
      <c r="H63" s="428">
        <v>1957</v>
      </c>
      <c r="I63" s="428">
        <v>98.8</v>
      </c>
      <c r="J63" s="428">
        <v>107</v>
      </c>
      <c r="K63" s="428" t="s">
        <v>467</v>
      </c>
      <c r="L63" s="426">
        <v>33.200000000000003</v>
      </c>
      <c r="M63" s="426">
        <v>35</v>
      </c>
      <c r="N63" s="426">
        <v>51.7</v>
      </c>
      <c r="O63" s="429" t="s">
        <v>142</v>
      </c>
      <c r="P63" s="429" t="s">
        <v>142</v>
      </c>
      <c r="Q63" s="429" t="s">
        <v>142</v>
      </c>
      <c r="R63" s="429" t="s">
        <v>292</v>
      </c>
      <c r="S63" s="429">
        <v>61</v>
      </c>
      <c r="T63" s="430" t="s">
        <v>23</v>
      </c>
      <c r="U63" s="429" t="s">
        <v>466</v>
      </c>
      <c r="V63" s="431" t="s">
        <v>415</v>
      </c>
      <c r="W63" s="306"/>
      <c r="CM63" s="271"/>
      <c r="CN63" s="271"/>
      <c r="CO63" s="271"/>
      <c r="CP63" s="271"/>
      <c r="CQ63" s="271"/>
      <c r="CR63" s="271"/>
      <c r="CS63" s="271"/>
      <c r="CT63" s="271"/>
      <c r="CU63" s="271"/>
      <c r="CV63" s="271"/>
      <c r="CW63" s="271"/>
      <c r="CX63" s="271"/>
      <c r="CY63" s="271"/>
    </row>
    <row r="64" spans="1:103" s="273" customFormat="1" ht="27" customHeight="1" x14ac:dyDescent="0.35">
      <c r="A64" s="423" t="s">
        <v>381</v>
      </c>
      <c r="B64" s="424">
        <v>44319</v>
      </c>
      <c r="C64" s="422">
        <v>0.25</v>
      </c>
      <c r="D64" s="425">
        <v>52</v>
      </c>
      <c r="E64" s="426">
        <v>12.2</v>
      </c>
      <c r="F64" s="427">
        <v>16.100000000000001</v>
      </c>
      <c r="G64" s="428">
        <v>1078</v>
      </c>
      <c r="H64" s="428">
        <v>1957</v>
      </c>
      <c r="I64" s="428">
        <v>98.8</v>
      </c>
      <c r="J64" s="428">
        <v>107</v>
      </c>
      <c r="K64" s="428" t="s">
        <v>467</v>
      </c>
      <c r="L64" s="426">
        <v>33.200000000000003</v>
      </c>
      <c r="M64" s="426">
        <v>35</v>
      </c>
      <c r="N64" s="426">
        <v>51.7</v>
      </c>
      <c r="O64" s="429" t="s">
        <v>142</v>
      </c>
      <c r="P64" s="429" t="s">
        <v>142</v>
      </c>
      <c r="Q64" s="429" t="s">
        <v>142</v>
      </c>
      <c r="R64" s="429" t="s">
        <v>292</v>
      </c>
      <c r="S64" s="429">
        <v>61</v>
      </c>
      <c r="T64" s="430" t="s">
        <v>23</v>
      </c>
      <c r="U64" s="429" t="s">
        <v>466</v>
      </c>
      <c r="V64" s="431" t="s">
        <v>415</v>
      </c>
      <c r="W64" s="306"/>
      <c r="CM64" s="271"/>
      <c r="CN64" s="271"/>
      <c r="CO64" s="271"/>
      <c r="CP64" s="271"/>
      <c r="CQ64" s="271"/>
      <c r="CR64" s="271"/>
      <c r="CS64" s="271"/>
      <c r="CT64" s="271"/>
      <c r="CU64" s="271"/>
      <c r="CV64" s="271"/>
      <c r="CW64" s="271"/>
      <c r="CX64" s="271"/>
      <c r="CY64" s="271"/>
    </row>
    <row r="65" spans="1:103" s="273" customFormat="1" ht="27" customHeight="1" x14ac:dyDescent="0.35">
      <c r="A65" s="423" t="s">
        <v>381</v>
      </c>
      <c r="B65" s="424">
        <v>44320</v>
      </c>
      <c r="C65" s="422">
        <v>0.25</v>
      </c>
      <c r="D65" s="425">
        <v>52</v>
      </c>
      <c r="E65" s="426">
        <v>12.2</v>
      </c>
      <c r="F65" s="427">
        <v>16.100000000000001</v>
      </c>
      <c r="G65" s="428">
        <v>1072.5999999999999</v>
      </c>
      <c r="H65" s="428">
        <v>1956.7</v>
      </c>
      <c r="I65" s="428">
        <v>98.6</v>
      </c>
      <c r="J65" s="428">
        <v>106.5</v>
      </c>
      <c r="K65" s="428" t="s">
        <v>486</v>
      </c>
      <c r="L65" s="426">
        <v>34.11</v>
      </c>
      <c r="M65" s="426">
        <v>35</v>
      </c>
      <c r="N65" s="426">
        <v>52.22</v>
      </c>
      <c r="O65" s="429" t="s">
        <v>142</v>
      </c>
      <c r="P65" s="429" t="s">
        <v>142</v>
      </c>
      <c r="Q65" s="429" t="s">
        <v>142</v>
      </c>
      <c r="R65" s="429" t="s">
        <v>256</v>
      </c>
      <c r="S65" s="429">
        <v>61.3</v>
      </c>
      <c r="T65" s="430" t="s">
        <v>23</v>
      </c>
      <c r="U65" s="429" t="s">
        <v>466</v>
      </c>
      <c r="V65" s="431" t="s">
        <v>415</v>
      </c>
      <c r="W65" s="306"/>
      <c r="CM65" s="271"/>
      <c r="CN65" s="271"/>
      <c r="CO65" s="271"/>
      <c r="CP65" s="271"/>
      <c r="CQ65" s="271"/>
      <c r="CR65" s="271"/>
      <c r="CS65" s="271"/>
      <c r="CT65" s="271"/>
      <c r="CU65" s="271"/>
      <c r="CV65" s="271"/>
      <c r="CW65" s="271"/>
      <c r="CX65" s="271"/>
      <c r="CY65" s="271"/>
    </row>
    <row r="66" spans="1:103" s="273" customFormat="1" ht="27" customHeight="1" x14ac:dyDescent="0.35">
      <c r="A66" s="423" t="s">
        <v>381</v>
      </c>
      <c r="B66" s="424">
        <v>44321</v>
      </c>
      <c r="C66" s="422">
        <v>0.25</v>
      </c>
      <c r="D66" s="425">
        <v>52</v>
      </c>
      <c r="E66" s="426">
        <v>12.2</v>
      </c>
      <c r="F66" s="427">
        <v>16.2</v>
      </c>
      <c r="G66" s="428">
        <v>1077</v>
      </c>
      <c r="H66" s="428">
        <v>1912</v>
      </c>
      <c r="I66" s="428">
        <v>98.8</v>
      </c>
      <c r="J66" s="428">
        <v>107</v>
      </c>
      <c r="K66" s="428" t="s">
        <v>492</v>
      </c>
      <c r="L66" s="426">
        <v>32.840000000000003</v>
      </c>
      <c r="M66" s="426">
        <v>35</v>
      </c>
      <c r="N66" s="426">
        <v>53.25</v>
      </c>
      <c r="O66" s="429" t="s">
        <v>142</v>
      </c>
      <c r="P66" s="429" t="s">
        <v>142</v>
      </c>
      <c r="Q66" s="429" t="s">
        <v>142</v>
      </c>
      <c r="R66" s="429" t="s">
        <v>256</v>
      </c>
      <c r="S66" s="429">
        <v>61.3</v>
      </c>
      <c r="T66" s="430" t="s">
        <v>23</v>
      </c>
      <c r="U66" s="429" t="s">
        <v>466</v>
      </c>
      <c r="V66" s="431" t="s">
        <v>415</v>
      </c>
      <c r="W66" s="306"/>
      <c r="CM66" s="271"/>
      <c r="CN66" s="271"/>
      <c r="CO66" s="271"/>
      <c r="CP66" s="271"/>
      <c r="CQ66" s="271"/>
      <c r="CR66" s="271"/>
      <c r="CS66" s="271"/>
      <c r="CT66" s="271"/>
      <c r="CU66" s="271"/>
      <c r="CV66" s="271"/>
      <c r="CW66" s="271"/>
      <c r="CX66" s="271"/>
      <c r="CY66" s="271"/>
    </row>
    <row r="67" spans="1:103" s="273" customFormat="1" ht="27" customHeight="1" x14ac:dyDescent="0.35">
      <c r="A67" s="423" t="s">
        <v>381</v>
      </c>
      <c r="B67" s="424">
        <v>44322</v>
      </c>
      <c r="C67" s="422">
        <v>0.25</v>
      </c>
      <c r="D67" s="425">
        <v>52</v>
      </c>
      <c r="E67" s="426">
        <v>12.1</v>
      </c>
      <c r="F67" s="427">
        <v>16</v>
      </c>
      <c r="G67" s="428">
        <v>1074</v>
      </c>
      <c r="H67" s="428">
        <v>1908</v>
      </c>
      <c r="I67" s="428">
        <v>99</v>
      </c>
      <c r="J67" s="428">
        <v>107</v>
      </c>
      <c r="K67" s="428" t="s">
        <v>497</v>
      </c>
      <c r="L67" s="426">
        <v>34.18</v>
      </c>
      <c r="M67" s="426">
        <v>35</v>
      </c>
      <c r="N67" s="426">
        <v>52.06</v>
      </c>
      <c r="O67" s="429" t="s">
        <v>142</v>
      </c>
      <c r="P67" s="429" t="s">
        <v>142</v>
      </c>
      <c r="Q67" s="429" t="s">
        <v>142</v>
      </c>
      <c r="R67" s="429" t="s">
        <v>256</v>
      </c>
      <c r="S67" s="429">
        <v>60.3</v>
      </c>
      <c r="T67" s="430" t="s">
        <v>23</v>
      </c>
      <c r="U67" s="429" t="s">
        <v>466</v>
      </c>
      <c r="V67" s="431" t="s">
        <v>415</v>
      </c>
      <c r="W67" s="306"/>
      <c r="CM67" s="271"/>
      <c r="CN67" s="271"/>
      <c r="CO67" s="271"/>
      <c r="CP67" s="271"/>
      <c r="CQ67" s="271"/>
      <c r="CR67" s="271"/>
      <c r="CS67" s="271"/>
      <c r="CT67" s="271"/>
      <c r="CU67" s="271"/>
      <c r="CV67" s="271"/>
      <c r="CW67" s="271"/>
      <c r="CX67" s="271"/>
      <c r="CY67" s="271"/>
    </row>
    <row r="68" spans="1:103" s="273" customFormat="1" ht="27" customHeight="1" x14ac:dyDescent="0.35">
      <c r="A68" s="423" t="s">
        <v>381</v>
      </c>
      <c r="B68" s="424">
        <v>44323</v>
      </c>
      <c r="C68" s="422">
        <v>0.25</v>
      </c>
      <c r="D68" s="425">
        <v>52</v>
      </c>
      <c r="E68" s="426">
        <v>12.3</v>
      </c>
      <c r="F68" s="427">
        <v>16.3</v>
      </c>
      <c r="G68" s="428">
        <v>1073</v>
      </c>
      <c r="H68" s="428">
        <v>1896</v>
      </c>
      <c r="I68" s="428">
        <v>99</v>
      </c>
      <c r="J68" s="428">
        <v>107</v>
      </c>
      <c r="K68" s="428" t="s">
        <v>505</v>
      </c>
      <c r="L68" s="426">
        <v>34.130000000000003</v>
      </c>
      <c r="M68" s="426">
        <v>35</v>
      </c>
      <c r="N68" s="426">
        <v>52.33</v>
      </c>
      <c r="O68" s="429" t="s">
        <v>142</v>
      </c>
      <c r="P68" s="429" t="s">
        <v>142</v>
      </c>
      <c r="Q68" s="429" t="s">
        <v>142</v>
      </c>
      <c r="R68" s="429" t="s">
        <v>506</v>
      </c>
      <c r="S68" s="429">
        <v>61.8</v>
      </c>
      <c r="T68" s="430" t="s">
        <v>23</v>
      </c>
      <c r="U68" s="429" t="s">
        <v>466</v>
      </c>
      <c r="V68" s="431" t="s">
        <v>415</v>
      </c>
      <c r="W68" s="306"/>
      <c r="CM68" s="271"/>
      <c r="CN68" s="271"/>
      <c r="CO68" s="271"/>
      <c r="CP68" s="271"/>
      <c r="CQ68" s="271"/>
      <c r="CR68" s="271"/>
      <c r="CS68" s="271"/>
      <c r="CT68" s="271"/>
      <c r="CU68" s="271"/>
      <c r="CV68" s="271"/>
      <c r="CW68" s="271"/>
      <c r="CX68" s="271"/>
      <c r="CY68" s="271"/>
    </row>
    <row r="69" spans="1:103" s="273" customFormat="1" ht="27" customHeight="1" x14ac:dyDescent="0.35">
      <c r="A69" s="423" t="s">
        <v>381</v>
      </c>
      <c r="B69" s="424">
        <v>44324</v>
      </c>
      <c r="C69" s="422">
        <v>0.25</v>
      </c>
      <c r="D69" s="425">
        <v>52</v>
      </c>
      <c r="E69" s="426">
        <v>12.2</v>
      </c>
      <c r="F69" s="427">
        <v>16.2</v>
      </c>
      <c r="G69" s="428">
        <v>1078</v>
      </c>
      <c r="H69" s="428">
        <v>1964</v>
      </c>
      <c r="I69" s="428">
        <v>99</v>
      </c>
      <c r="J69" s="428">
        <v>107</v>
      </c>
      <c r="K69" s="428" t="s">
        <v>511</v>
      </c>
      <c r="L69" s="426">
        <v>34.21</v>
      </c>
      <c r="M69" s="426">
        <v>35</v>
      </c>
      <c r="N69" s="426">
        <v>52.02</v>
      </c>
      <c r="O69" s="429" t="s">
        <v>142</v>
      </c>
      <c r="P69" s="429" t="s">
        <v>142</v>
      </c>
      <c r="Q69" s="429" t="s">
        <v>142</v>
      </c>
      <c r="R69" s="429" t="s">
        <v>256</v>
      </c>
      <c r="S69" s="429">
        <v>60.3</v>
      </c>
      <c r="T69" s="430" t="s">
        <v>23</v>
      </c>
      <c r="U69" s="429" t="s">
        <v>466</v>
      </c>
      <c r="V69" s="431" t="s">
        <v>415</v>
      </c>
      <c r="W69" s="306"/>
      <c r="CM69" s="271"/>
      <c r="CN69" s="271"/>
      <c r="CO69" s="271"/>
      <c r="CP69" s="271"/>
      <c r="CQ69" s="271"/>
      <c r="CR69" s="271"/>
      <c r="CS69" s="271"/>
      <c r="CT69" s="271"/>
      <c r="CU69" s="271"/>
      <c r="CV69" s="271"/>
      <c r="CW69" s="271"/>
      <c r="CX69" s="271"/>
      <c r="CY69" s="271"/>
    </row>
    <row r="70" spans="1:103" s="273" customFormat="1" ht="27" customHeight="1" x14ac:dyDescent="0.35">
      <c r="A70" s="423" t="s">
        <v>381</v>
      </c>
      <c r="B70" s="424">
        <v>44325</v>
      </c>
      <c r="C70" s="422">
        <v>0.25</v>
      </c>
      <c r="D70" s="425">
        <v>52</v>
      </c>
      <c r="E70" s="426">
        <v>12</v>
      </c>
      <c r="F70" s="427">
        <v>16</v>
      </c>
      <c r="G70" s="428">
        <v>1086</v>
      </c>
      <c r="H70" s="428">
        <v>1972</v>
      </c>
      <c r="I70" s="428">
        <v>99</v>
      </c>
      <c r="J70" s="428">
        <v>107</v>
      </c>
      <c r="K70" s="428" t="s">
        <v>514</v>
      </c>
      <c r="L70" s="426">
        <v>35.31</v>
      </c>
      <c r="M70" s="426">
        <v>35</v>
      </c>
      <c r="N70" s="426">
        <v>51.3</v>
      </c>
      <c r="O70" s="429" t="s">
        <v>142</v>
      </c>
      <c r="P70" s="429" t="s">
        <v>142</v>
      </c>
      <c r="Q70" s="429" t="s">
        <v>142</v>
      </c>
      <c r="R70" s="429" t="s">
        <v>256</v>
      </c>
      <c r="S70" s="429">
        <v>61.3</v>
      </c>
      <c r="T70" s="430" t="s">
        <v>23</v>
      </c>
      <c r="U70" s="429" t="s">
        <v>466</v>
      </c>
      <c r="V70" s="431" t="s">
        <v>415</v>
      </c>
      <c r="W70" s="306"/>
      <c r="CM70" s="271"/>
      <c r="CN70" s="271"/>
      <c r="CO70" s="271"/>
      <c r="CP70" s="271"/>
      <c r="CQ70" s="271"/>
      <c r="CR70" s="271"/>
      <c r="CS70" s="271"/>
      <c r="CT70" s="271"/>
      <c r="CU70" s="271"/>
      <c r="CV70" s="271"/>
      <c r="CW70" s="271"/>
      <c r="CX70" s="271"/>
      <c r="CY70" s="271"/>
    </row>
    <row r="71" spans="1:103" s="273" customFormat="1" ht="27" customHeight="1" x14ac:dyDescent="0.35">
      <c r="A71" s="423" t="s">
        <v>381</v>
      </c>
      <c r="B71" s="424">
        <v>44326</v>
      </c>
      <c r="C71" s="422">
        <v>0.25</v>
      </c>
      <c r="D71" s="425">
        <v>52</v>
      </c>
      <c r="E71" s="426">
        <v>11.7</v>
      </c>
      <c r="F71" s="427">
        <v>15.9</v>
      </c>
      <c r="G71" s="428">
        <v>1089</v>
      </c>
      <c r="H71" s="428">
        <v>1890</v>
      </c>
      <c r="I71" s="428">
        <v>99</v>
      </c>
      <c r="J71" s="428">
        <v>108</v>
      </c>
      <c r="K71" s="428" t="s">
        <v>519</v>
      </c>
      <c r="L71" s="426">
        <v>33.6</v>
      </c>
      <c r="M71" s="426">
        <v>35</v>
      </c>
      <c r="N71" s="426">
        <v>52.3</v>
      </c>
      <c r="O71" s="429" t="s">
        <v>142</v>
      </c>
      <c r="P71" s="429" t="s">
        <v>142</v>
      </c>
      <c r="Q71" s="429" t="s">
        <v>142</v>
      </c>
      <c r="R71" s="429" t="s">
        <v>266</v>
      </c>
      <c r="S71" s="429">
        <v>59.3</v>
      </c>
      <c r="T71" s="430" t="s">
        <v>23</v>
      </c>
      <c r="U71" s="429" t="s">
        <v>466</v>
      </c>
      <c r="V71" s="431" t="s">
        <v>415</v>
      </c>
      <c r="W71" s="306"/>
      <c r="CM71" s="271"/>
      <c r="CN71" s="271"/>
      <c r="CO71" s="271"/>
      <c r="CP71" s="271"/>
      <c r="CQ71" s="271"/>
      <c r="CR71" s="271"/>
      <c r="CS71" s="271"/>
      <c r="CT71" s="271"/>
      <c r="CU71" s="271"/>
      <c r="CV71" s="271"/>
      <c r="CW71" s="271"/>
      <c r="CX71" s="271"/>
      <c r="CY71" s="271"/>
    </row>
    <row r="72" spans="1:103" s="273" customFormat="1" ht="27" customHeight="1" x14ac:dyDescent="0.35">
      <c r="A72" s="423" t="s">
        <v>381</v>
      </c>
      <c r="B72" s="424">
        <v>44327</v>
      </c>
      <c r="C72" s="422">
        <v>0.25</v>
      </c>
      <c r="D72" s="425">
        <v>52</v>
      </c>
      <c r="E72" s="426">
        <v>12.2</v>
      </c>
      <c r="F72" s="427">
        <v>16.2</v>
      </c>
      <c r="G72" s="428">
        <v>1099</v>
      </c>
      <c r="H72" s="428">
        <v>1985</v>
      </c>
      <c r="I72" s="428">
        <v>99</v>
      </c>
      <c r="J72" s="428">
        <v>107</v>
      </c>
      <c r="K72" s="428" t="s">
        <v>521</v>
      </c>
      <c r="L72" s="426">
        <v>35.36</v>
      </c>
      <c r="M72" s="426">
        <v>37</v>
      </c>
      <c r="N72" s="426">
        <v>51.18</v>
      </c>
      <c r="O72" s="429" t="s">
        <v>142</v>
      </c>
      <c r="P72" s="429" t="s">
        <v>142</v>
      </c>
      <c r="Q72" s="429" t="s">
        <v>142</v>
      </c>
      <c r="R72" s="429" t="s">
        <v>522</v>
      </c>
      <c r="S72" s="429">
        <v>59.8</v>
      </c>
      <c r="T72" s="430" t="s">
        <v>23</v>
      </c>
      <c r="U72" s="429" t="s">
        <v>466</v>
      </c>
      <c r="V72" s="431" t="s">
        <v>415</v>
      </c>
      <c r="W72" s="306"/>
      <c r="CM72" s="271"/>
      <c r="CN72" s="271"/>
      <c r="CO72" s="271"/>
      <c r="CP72" s="271"/>
      <c r="CQ72" s="271"/>
      <c r="CR72" s="271"/>
      <c r="CS72" s="271"/>
      <c r="CT72" s="271"/>
      <c r="CU72" s="271"/>
      <c r="CV72" s="271"/>
      <c r="CW72" s="271"/>
      <c r="CX72" s="271"/>
      <c r="CY72" s="271"/>
    </row>
    <row r="73" spans="1:103" s="273" customFormat="1" ht="27" customHeight="1" x14ac:dyDescent="0.35">
      <c r="A73" s="423" t="s">
        <v>381</v>
      </c>
      <c r="B73" s="424">
        <v>44328</v>
      </c>
      <c r="C73" s="422">
        <v>0.25</v>
      </c>
      <c r="D73" s="425">
        <v>52</v>
      </c>
      <c r="E73" s="426">
        <v>12.1</v>
      </c>
      <c r="F73" s="427">
        <v>16.100000000000001</v>
      </c>
      <c r="G73" s="428">
        <v>1108.3</v>
      </c>
      <c r="H73" s="428">
        <v>2021.5</v>
      </c>
      <c r="I73" s="428">
        <v>98</v>
      </c>
      <c r="J73" s="428">
        <v>108</v>
      </c>
      <c r="K73" s="428" t="s">
        <v>524</v>
      </c>
      <c r="L73" s="426">
        <v>35.5</v>
      </c>
      <c r="M73" s="426">
        <v>37</v>
      </c>
      <c r="N73" s="426">
        <v>52.06</v>
      </c>
      <c r="O73" s="429" t="s">
        <v>142</v>
      </c>
      <c r="P73" s="429" t="s">
        <v>142</v>
      </c>
      <c r="Q73" s="429" t="s">
        <v>142</v>
      </c>
      <c r="R73" s="429" t="s">
        <v>256</v>
      </c>
      <c r="S73" s="429">
        <v>61.3</v>
      </c>
      <c r="T73" s="430" t="s">
        <v>23</v>
      </c>
      <c r="U73" s="429" t="s">
        <v>466</v>
      </c>
      <c r="V73" s="431" t="s">
        <v>415</v>
      </c>
      <c r="W73" s="306"/>
      <c r="CM73" s="271"/>
      <c r="CN73" s="271"/>
      <c r="CO73" s="271"/>
      <c r="CP73" s="271"/>
      <c r="CQ73" s="271"/>
      <c r="CR73" s="271"/>
      <c r="CS73" s="271"/>
      <c r="CT73" s="271"/>
      <c r="CU73" s="271"/>
      <c r="CV73" s="271"/>
      <c r="CW73" s="271"/>
      <c r="CX73" s="271"/>
      <c r="CY73" s="271"/>
    </row>
    <row r="74" spans="1:103" s="273" customFormat="1" ht="27" customHeight="1" x14ac:dyDescent="0.35">
      <c r="A74" s="423" t="s">
        <v>381</v>
      </c>
      <c r="B74" s="424">
        <v>44329</v>
      </c>
      <c r="C74" s="422">
        <v>0.25</v>
      </c>
      <c r="D74" s="425">
        <v>52</v>
      </c>
      <c r="E74" s="426">
        <v>12.2</v>
      </c>
      <c r="F74" s="427">
        <v>16.2</v>
      </c>
      <c r="G74" s="428">
        <v>1097</v>
      </c>
      <c r="H74" s="428">
        <v>1940</v>
      </c>
      <c r="I74" s="428">
        <v>99</v>
      </c>
      <c r="J74" s="428">
        <v>108</v>
      </c>
      <c r="K74" s="428" t="s">
        <v>526</v>
      </c>
      <c r="L74" s="426">
        <v>35.6</v>
      </c>
      <c r="M74" s="426">
        <v>37</v>
      </c>
      <c r="N74" s="426">
        <v>52.1</v>
      </c>
      <c r="O74" s="429" t="s">
        <v>142</v>
      </c>
      <c r="P74" s="429" t="s">
        <v>142</v>
      </c>
      <c r="Q74" s="429" t="s">
        <v>142</v>
      </c>
      <c r="R74" s="429" t="s">
        <v>506</v>
      </c>
      <c r="S74" s="429">
        <v>60.3</v>
      </c>
      <c r="T74" s="430" t="s">
        <v>23</v>
      </c>
      <c r="U74" s="429" t="s">
        <v>466</v>
      </c>
      <c r="V74" s="431" t="s">
        <v>415</v>
      </c>
      <c r="W74" s="306"/>
      <c r="CM74" s="271"/>
      <c r="CN74" s="271"/>
      <c r="CO74" s="271"/>
      <c r="CP74" s="271"/>
      <c r="CQ74" s="271"/>
      <c r="CR74" s="271"/>
      <c r="CS74" s="271"/>
      <c r="CT74" s="271"/>
      <c r="CU74" s="271"/>
      <c r="CV74" s="271"/>
      <c r="CW74" s="271"/>
      <c r="CX74" s="271"/>
      <c r="CY74" s="271"/>
    </row>
    <row r="75" spans="1:103" s="273" customFormat="1" ht="27" customHeight="1" x14ac:dyDescent="0.35">
      <c r="A75" s="423" t="s">
        <v>381</v>
      </c>
      <c r="B75" s="424">
        <v>44330</v>
      </c>
      <c r="C75" s="422">
        <v>0.25</v>
      </c>
      <c r="D75" s="425">
        <v>52</v>
      </c>
      <c r="E75" s="426">
        <v>12</v>
      </c>
      <c r="F75" s="427">
        <v>16</v>
      </c>
      <c r="G75" s="428">
        <v>1100</v>
      </c>
      <c r="H75" s="428">
        <v>1961</v>
      </c>
      <c r="I75" s="428">
        <v>99</v>
      </c>
      <c r="J75" s="428">
        <v>107</v>
      </c>
      <c r="K75" s="428" t="s">
        <v>528</v>
      </c>
      <c r="L75" s="426">
        <v>34.5</v>
      </c>
      <c r="M75" s="426">
        <v>37</v>
      </c>
      <c r="N75" s="426">
        <v>52.2</v>
      </c>
      <c r="O75" s="429" t="s">
        <v>142</v>
      </c>
      <c r="P75" s="429" t="s">
        <v>142</v>
      </c>
      <c r="Q75" s="429" t="s">
        <v>142</v>
      </c>
      <c r="R75" s="429" t="s">
        <v>285</v>
      </c>
      <c r="S75" s="429">
        <v>59.8</v>
      </c>
      <c r="T75" s="430" t="s">
        <v>23</v>
      </c>
      <c r="U75" s="429" t="s">
        <v>466</v>
      </c>
      <c r="V75" s="431" t="s">
        <v>415</v>
      </c>
      <c r="W75" s="306"/>
      <c r="CM75" s="271"/>
      <c r="CN75" s="271"/>
      <c r="CO75" s="271"/>
      <c r="CP75" s="271"/>
      <c r="CQ75" s="271"/>
      <c r="CR75" s="271"/>
      <c r="CS75" s="271"/>
      <c r="CT75" s="271"/>
      <c r="CU75" s="271"/>
      <c r="CV75" s="271"/>
      <c r="CW75" s="271"/>
      <c r="CX75" s="271"/>
      <c r="CY75" s="271"/>
    </row>
    <row r="76" spans="1:103" s="273" customFormat="1" ht="27" customHeight="1" x14ac:dyDescent="0.35">
      <c r="A76" s="423" t="s">
        <v>381</v>
      </c>
      <c r="B76" s="424">
        <v>44331</v>
      </c>
      <c r="C76" s="422">
        <v>0.25</v>
      </c>
      <c r="D76" s="425">
        <v>52</v>
      </c>
      <c r="E76" s="426">
        <v>11.6</v>
      </c>
      <c r="F76" s="427">
        <v>15.8</v>
      </c>
      <c r="G76" s="428">
        <v>1084</v>
      </c>
      <c r="H76" s="428">
        <v>1893</v>
      </c>
      <c r="I76" s="428">
        <v>99</v>
      </c>
      <c r="J76" s="428">
        <v>107</v>
      </c>
      <c r="K76" s="428" t="s">
        <v>526</v>
      </c>
      <c r="L76" s="426">
        <v>33.799999999999997</v>
      </c>
      <c r="M76" s="426">
        <v>35</v>
      </c>
      <c r="N76" s="426">
        <v>51.9</v>
      </c>
      <c r="O76" s="429" t="s">
        <v>142</v>
      </c>
      <c r="P76" s="429" t="s">
        <v>142</v>
      </c>
      <c r="Q76" s="429" t="s">
        <v>142</v>
      </c>
      <c r="R76" s="429" t="s">
        <v>506</v>
      </c>
      <c r="S76" s="429">
        <v>59.8</v>
      </c>
      <c r="T76" s="430" t="s">
        <v>23</v>
      </c>
      <c r="U76" s="429" t="s">
        <v>466</v>
      </c>
      <c r="V76" s="431" t="s">
        <v>415</v>
      </c>
      <c r="W76" s="306"/>
      <c r="CM76" s="271"/>
      <c r="CN76" s="271"/>
      <c r="CO76" s="271"/>
      <c r="CP76" s="271"/>
      <c r="CQ76" s="271"/>
      <c r="CR76" s="271"/>
      <c r="CS76" s="271"/>
      <c r="CT76" s="271"/>
      <c r="CU76" s="271"/>
      <c r="CV76" s="271"/>
      <c r="CW76" s="271"/>
      <c r="CX76" s="271"/>
      <c r="CY76" s="271"/>
    </row>
    <row r="77" spans="1:103" s="273" customFormat="1" ht="27" customHeight="1" x14ac:dyDescent="0.35">
      <c r="A77" s="423" t="s">
        <v>381</v>
      </c>
      <c r="B77" s="424">
        <v>44332</v>
      </c>
      <c r="C77" s="422">
        <v>0.25</v>
      </c>
      <c r="D77" s="425">
        <v>52</v>
      </c>
      <c r="E77" s="426">
        <v>12.2</v>
      </c>
      <c r="F77" s="427">
        <v>16.100000000000001</v>
      </c>
      <c r="G77" s="428">
        <v>1086</v>
      </c>
      <c r="H77" s="428">
        <v>1936</v>
      </c>
      <c r="I77" s="428">
        <v>99</v>
      </c>
      <c r="J77" s="428">
        <v>100</v>
      </c>
      <c r="K77" s="428" t="s">
        <v>531</v>
      </c>
      <c r="L77" s="426">
        <v>33.4</v>
      </c>
      <c r="M77" s="426">
        <v>35</v>
      </c>
      <c r="N77" s="426">
        <v>51.45</v>
      </c>
      <c r="O77" s="429" t="s">
        <v>142</v>
      </c>
      <c r="P77" s="429" t="s">
        <v>142</v>
      </c>
      <c r="Q77" s="429" t="s">
        <v>142</v>
      </c>
      <c r="R77" s="429" t="s">
        <v>532</v>
      </c>
      <c r="S77" s="429">
        <v>61.3</v>
      </c>
      <c r="T77" s="430" t="s">
        <v>23</v>
      </c>
      <c r="U77" s="429" t="s">
        <v>466</v>
      </c>
      <c r="V77" s="431" t="s">
        <v>415</v>
      </c>
      <c r="W77" s="306"/>
      <c r="CM77" s="271"/>
      <c r="CN77" s="271"/>
      <c r="CO77" s="271"/>
      <c r="CP77" s="271"/>
      <c r="CQ77" s="271"/>
      <c r="CR77" s="271"/>
      <c r="CS77" s="271"/>
      <c r="CT77" s="271"/>
      <c r="CU77" s="271"/>
      <c r="CV77" s="271"/>
      <c r="CW77" s="271"/>
      <c r="CX77" s="271"/>
      <c r="CY77" s="271"/>
    </row>
    <row r="78" spans="1:103" s="273" customFormat="1" ht="27" customHeight="1" x14ac:dyDescent="0.35">
      <c r="A78" s="423" t="s">
        <v>381</v>
      </c>
      <c r="B78" s="424">
        <v>44333</v>
      </c>
      <c r="C78" s="422">
        <v>0.25</v>
      </c>
      <c r="D78" s="425">
        <v>52</v>
      </c>
      <c r="E78" s="426">
        <v>11.9</v>
      </c>
      <c r="F78" s="427">
        <v>15.8</v>
      </c>
      <c r="G78" s="428">
        <v>1090</v>
      </c>
      <c r="H78" s="428">
        <v>1958</v>
      </c>
      <c r="I78" s="428">
        <v>99</v>
      </c>
      <c r="J78" s="428">
        <v>99.7</v>
      </c>
      <c r="K78" s="428" t="s">
        <v>531</v>
      </c>
      <c r="L78" s="426">
        <v>35.4</v>
      </c>
      <c r="M78" s="426">
        <v>36.5</v>
      </c>
      <c r="N78" s="426">
        <v>49.1</v>
      </c>
      <c r="O78" s="429" t="s">
        <v>142</v>
      </c>
      <c r="P78" s="429" t="s">
        <v>142</v>
      </c>
      <c r="Q78" s="429" t="s">
        <v>142</v>
      </c>
      <c r="R78" s="429" t="s">
        <v>532</v>
      </c>
      <c r="S78" s="429">
        <v>59.8</v>
      </c>
      <c r="T78" s="430" t="s">
        <v>23</v>
      </c>
      <c r="U78" s="429" t="s">
        <v>466</v>
      </c>
      <c r="V78" s="431" t="s">
        <v>415</v>
      </c>
      <c r="W78" s="306"/>
      <c r="CM78" s="271"/>
      <c r="CN78" s="271"/>
      <c r="CO78" s="271"/>
      <c r="CP78" s="271"/>
      <c r="CQ78" s="271"/>
      <c r="CR78" s="271"/>
      <c r="CS78" s="271"/>
      <c r="CT78" s="271"/>
      <c r="CU78" s="271"/>
      <c r="CV78" s="271"/>
      <c r="CW78" s="271"/>
      <c r="CX78" s="271"/>
      <c r="CY78" s="271"/>
    </row>
    <row r="79" spans="1:103" s="273" customFormat="1" ht="69.75" customHeight="1" x14ac:dyDescent="0.35">
      <c r="A79" s="423" t="s">
        <v>381</v>
      </c>
      <c r="B79" s="424">
        <v>44334</v>
      </c>
      <c r="C79" s="422">
        <v>0.25</v>
      </c>
      <c r="D79" s="425">
        <v>52</v>
      </c>
      <c r="E79" s="426">
        <v>13.5</v>
      </c>
      <c r="F79" s="427">
        <v>17.100000000000001</v>
      </c>
      <c r="G79" s="428" t="s">
        <v>536</v>
      </c>
      <c r="H79" s="428" t="s">
        <v>536</v>
      </c>
      <c r="I79" s="428" t="s">
        <v>536</v>
      </c>
      <c r="J79" s="428" t="s">
        <v>536</v>
      </c>
      <c r="K79" s="428" t="s">
        <v>536</v>
      </c>
      <c r="L79" s="426">
        <v>34.4</v>
      </c>
      <c r="M79" s="426">
        <v>35</v>
      </c>
      <c r="N79" s="426">
        <v>52.8</v>
      </c>
      <c r="O79" s="429" t="s">
        <v>142</v>
      </c>
      <c r="P79" s="429" t="s">
        <v>142</v>
      </c>
      <c r="Q79" s="429" t="s">
        <v>142</v>
      </c>
      <c r="R79" s="429" t="s">
        <v>535</v>
      </c>
      <c r="S79" s="429">
        <v>67.3</v>
      </c>
      <c r="T79" s="430" t="s">
        <v>23</v>
      </c>
      <c r="U79" s="429" t="s">
        <v>466</v>
      </c>
      <c r="V79" s="431" t="s">
        <v>537</v>
      </c>
      <c r="W79" s="306"/>
      <c r="CM79" s="271"/>
      <c r="CN79" s="271"/>
      <c r="CO79" s="271"/>
      <c r="CP79" s="271"/>
      <c r="CQ79" s="271"/>
      <c r="CR79" s="271"/>
      <c r="CS79" s="271"/>
      <c r="CT79" s="271"/>
      <c r="CU79" s="271"/>
      <c r="CV79" s="271"/>
      <c r="CW79" s="271"/>
      <c r="CX79" s="271"/>
      <c r="CY79" s="271"/>
    </row>
    <row r="80" spans="1:103" s="273" customFormat="1" ht="27" customHeight="1" x14ac:dyDescent="0.35">
      <c r="A80" s="423" t="s">
        <v>381</v>
      </c>
      <c r="B80" s="424">
        <v>44335</v>
      </c>
      <c r="C80" s="422">
        <v>0.25</v>
      </c>
      <c r="D80" s="425">
        <v>52</v>
      </c>
      <c r="E80" s="426">
        <v>12.4</v>
      </c>
      <c r="F80" s="427">
        <v>16.3</v>
      </c>
      <c r="G80" s="428">
        <v>1083</v>
      </c>
      <c r="H80" s="428">
        <v>2046</v>
      </c>
      <c r="I80" s="428">
        <v>98.8</v>
      </c>
      <c r="J80" s="428">
        <v>107.3</v>
      </c>
      <c r="K80" s="428" t="s">
        <v>547</v>
      </c>
      <c r="L80" s="426">
        <v>35.4</v>
      </c>
      <c r="M80" s="426">
        <v>36.5</v>
      </c>
      <c r="N80" s="426">
        <v>49.6</v>
      </c>
      <c r="O80" s="429" t="s">
        <v>142</v>
      </c>
      <c r="P80" s="429" t="s">
        <v>142</v>
      </c>
      <c r="Q80" s="429" t="s">
        <v>142</v>
      </c>
      <c r="R80" s="429" t="s">
        <v>256</v>
      </c>
      <c r="S80" s="429">
        <v>62.3</v>
      </c>
      <c r="T80" s="430" t="s">
        <v>23</v>
      </c>
      <c r="U80" s="429" t="s">
        <v>466</v>
      </c>
      <c r="V80" s="431" t="s">
        <v>415</v>
      </c>
      <c r="W80" s="306"/>
      <c r="CM80" s="271"/>
      <c r="CN80" s="271"/>
      <c r="CO80" s="271"/>
      <c r="CP80" s="271"/>
      <c r="CQ80" s="271"/>
      <c r="CR80" s="271"/>
      <c r="CS80" s="271"/>
      <c r="CT80" s="271"/>
      <c r="CU80" s="271"/>
      <c r="CV80" s="271"/>
      <c r="CW80" s="271"/>
      <c r="CX80" s="271"/>
      <c r="CY80" s="271"/>
    </row>
    <row r="81" spans="1:103" s="273" customFormat="1" ht="27" customHeight="1" x14ac:dyDescent="0.35">
      <c r="A81" s="423" t="s">
        <v>381</v>
      </c>
      <c r="B81" s="424">
        <v>44336</v>
      </c>
      <c r="C81" s="422">
        <v>0.25</v>
      </c>
      <c r="D81" s="425">
        <v>52</v>
      </c>
      <c r="E81" s="426">
        <v>11.9</v>
      </c>
      <c r="F81" s="427">
        <v>16.100000000000001</v>
      </c>
      <c r="G81" s="428">
        <v>1093</v>
      </c>
      <c r="H81" s="428">
        <v>1946</v>
      </c>
      <c r="I81" s="428">
        <v>99</v>
      </c>
      <c r="J81" s="428">
        <v>107.6</v>
      </c>
      <c r="K81" s="428" t="s">
        <v>550</v>
      </c>
      <c r="L81" s="426">
        <v>35.299999999999997</v>
      </c>
      <c r="M81" s="426">
        <v>36.5</v>
      </c>
      <c r="N81" s="426">
        <v>53.2</v>
      </c>
      <c r="O81" s="429" t="s">
        <v>142</v>
      </c>
      <c r="P81" s="429" t="s">
        <v>142</v>
      </c>
      <c r="Q81" s="429" t="s">
        <v>142</v>
      </c>
      <c r="R81" s="429" t="s">
        <v>256</v>
      </c>
      <c r="S81" s="429">
        <v>61.3</v>
      </c>
      <c r="T81" s="430" t="s">
        <v>23</v>
      </c>
      <c r="U81" s="429" t="s">
        <v>466</v>
      </c>
      <c r="V81" s="431" t="s">
        <v>415</v>
      </c>
      <c r="W81" s="306"/>
      <c r="CM81" s="271"/>
      <c r="CN81" s="271"/>
      <c r="CO81" s="271"/>
      <c r="CP81" s="271"/>
      <c r="CQ81" s="271"/>
      <c r="CR81" s="271"/>
      <c r="CS81" s="271"/>
      <c r="CT81" s="271"/>
      <c r="CU81" s="271"/>
      <c r="CV81" s="271"/>
      <c r="CW81" s="271"/>
      <c r="CX81" s="271"/>
      <c r="CY81" s="271"/>
    </row>
    <row r="82" spans="1:103" s="273" customFormat="1" ht="27" customHeight="1" x14ac:dyDescent="0.35">
      <c r="A82" s="423" t="s">
        <v>381</v>
      </c>
      <c r="B82" s="424">
        <v>44337</v>
      </c>
      <c r="C82" s="422">
        <v>0.25</v>
      </c>
      <c r="D82" s="425">
        <v>52</v>
      </c>
      <c r="E82" s="426">
        <v>12.1</v>
      </c>
      <c r="F82" s="427">
        <v>16</v>
      </c>
      <c r="G82" s="428">
        <v>1096</v>
      </c>
      <c r="H82" s="428">
        <v>2005</v>
      </c>
      <c r="I82" s="428">
        <v>98.6</v>
      </c>
      <c r="J82" s="428">
        <v>107.6</v>
      </c>
      <c r="K82" s="428" t="s">
        <v>552</v>
      </c>
      <c r="L82" s="426">
        <v>36</v>
      </c>
      <c r="M82" s="426">
        <v>37</v>
      </c>
      <c r="N82" s="426">
        <v>51.4</v>
      </c>
      <c r="O82" s="429" t="s">
        <v>142</v>
      </c>
      <c r="P82" s="429" t="s">
        <v>142</v>
      </c>
      <c r="Q82" s="429" t="s">
        <v>142</v>
      </c>
      <c r="R82" s="429" t="s">
        <v>506</v>
      </c>
      <c r="S82" s="429">
        <v>60.3</v>
      </c>
      <c r="T82" s="430" t="s">
        <v>23</v>
      </c>
      <c r="U82" s="429" t="s">
        <v>466</v>
      </c>
      <c r="V82" s="431" t="s">
        <v>415</v>
      </c>
      <c r="W82" s="306"/>
      <c r="CM82" s="271"/>
      <c r="CN82" s="271"/>
      <c r="CO82" s="271"/>
      <c r="CP82" s="271"/>
      <c r="CQ82" s="271"/>
      <c r="CR82" s="271"/>
      <c r="CS82" s="271"/>
      <c r="CT82" s="271"/>
      <c r="CU82" s="271"/>
      <c r="CV82" s="271"/>
      <c r="CW82" s="271"/>
      <c r="CX82" s="271"/>
      <c r="CY82" s="271"/>
    </row>
    <row r="83" spans="1:103" s="273" customFormat="1" ht="27" customHeight="1" x14ac:dyDescent="0.35">
      <c r="A83" s="423" t="s">
        <v>381</v>
      </c>
      <c r="B83" s="424">
        <v>44338</v>
      </c>
      <c r="C83" s="422">
        <v>0.25</v>
      </c>
      <c r="D83" s="425">
        <v>52</v>
      </c>
      <c r="E83" s="426">
        <v>11.8</v>
      </c>
      <c r="F83" s="427">
        <v>15.8</v>
      </c>
      <c r="G83" s="428">
        <v>1102</v>
      </c>
      <c r="H83" s="428">
        <v>1946</v>
      </c>
      <c r="I83" s="428">
        <v>99.1</v>
      </c>
      <c r="J83" s="428">
        <v>107.6</v>
      </c>
      <c r="K83" s="428" t="s">
        <v>531</v>
      </c>
      <c r="L83" s="426">
        <v>36.6</v>
      </c>
      <c r="M83" s="426">
        <v>37.5</v>
      </c>
      <c r="N83" s="426">
        <v>51.9</v>
      </c>
      <c r="O83" s="429" t="s">
        <v>142</v>
      </c>
      <c r="P83" s="429" t="s">
        <v>142</v>
      </c>
      <c r="Q83" s="429" t="s">
        <v>142</v>
      </c>
      <c r="R83" s="429" t="s">
        <v>506</v>
      </c>
      <c r="S83" s="429">
        <v>59.8</v>
      </c>
      <c r="T83" s="430" t="s">
        <v>23</v>
      </c>
      <c r="U83" s="429" t="s">
        <v>466</v>
      </c>
      <c r="V83" s="431" t="s">
        <v>415</v>
      </c>
      <c r="W83" s="306"/>
      <c r="CM83" s="271"/>
      <c r="CN83" s="271"/>
      <c r="CO83" s="271"/>
      <c r="CP83" s="271"/>
      <c r="CQ83" s="271"/>
      <c r="CR83" s="271"/>
      <c r="CS83" s="271"/>
      <c r="CT83" s="271"/>
      <c r="CU83" s="271"/>
      <c r="CV83" s="271"/>
      <c r="CW83" s="271"/>
      <c r="CX83" s="271"/>
      <c r="CY83" s="271"/>
    </row>
    <row r="84" spans="1:103" s="273" customFormat="1" ht="27" customHeight="1" x14ac:dyDescent="0.35">
      <c r="A84" s="423" t="s">
        <v>381</v>
      </c>
      <c r="B84" s="424">
        <v>44339</v>
      </c>
      <c r="C84" s="422">
        <v>0.25</v>
      </c>
      <c r="D84" s="425">
        <v>52</v>
      </c>
      <c r="E84" s="426">
        <v>12.1</v>
      </c>
      <c r="F84" s="427">
        <v>15.9</v>
      </c>
      <c r="G84" s="428">
        <v>1098</v>
      </c>
      <c r="H84" s="428">
        <v>1950</v>
      </c>
      <c r="I84" s="428">
        <v>99.1</v>
      </c>
      <c r="J84" s="428">
        <v>107.6</v>
      </c>
      <c r="K84" s="428" t="s">
        <v>555</v>
      </c>
      <c r="L84" s="426">
        <v>36</v>
      </c>
      <c r="M84" s="426">
        <v>37</v>
      </c>
      <c r="N84" s="426">
        <v>52.1</v>
      </c>
      <c r="O84" s="429" t="s">
        <v>142</v>
      </c>
      <c r="P84" s="429" t="s">
        <v>142</v>
      </c>
      <c r="Q84" s="429" t="s">
        <v>142</v>
      </c>
      <c r="R84" s="429" t="s">
        <v>506</v>
      </c>
      <c r="S84" s="429">
        <v>60.3</v>
      </c>
      <c r="T84" s="430" t="s">
        <v>23</v>
      </c>
      <c r="U84" s="429" t="s">
        <v>466</v>
      </c>
      <c r="V84" s="431" t="s">
        <v>415</v>
      </c>
      <c r="W84" s="306"/>
      <c r="CM84" s="271"/>
      <c r="CN84" s="271"/>
      <c r="CO84" s="271"/>
      <c r="CP84" s="271"/>
      <c r="CQ84" s="271"/>
      <c r="CR84" s="271"/>
      <c r="CS84" s="271"/>
      <c r="CT84" s="271"/>
      <c r="CU84" s="271"/>
      <c r="CV84" s="271"/>
      <c r="CW84" s="271"/>
      <c r="CX84" s="271"/>
      <c r="CY84" s="271"/>
    </row>
    <row r="85" spans="1:103" s="273" customFormat="1" ht="27" customHeight="1" x14ac:dyDescent="0.35">
      <c r="A85" s="423" t="s">
        <v>381</v>
      </c>
      <c r="B85" s="424">
        <v>44340</v>
      </c>
      <c r="C85" s="422">
        <v>0.25</v>
      </c>
      <c r="D85" s="425">
        <v>52</v>
      </c>
      <c r="E85" s="426">
        <v>11.8</v>
      </c>
      <c r="F85" s="427">
        <v>15.9</v>
      </c>
      <c r="G85" s="428">
        <v>1126</v>
      </c>
      <c r="H85" s="428">
        <v>2036</v>
      </c>
      <c r="I85" s="428">
        <v>98.1</v>
      </c>
      <c r="J85" s="428">
        <v>111.3</v>
      </c>
      <c r="K85" s="428" t="s">
        <v>558</v>
      </c>
      <c r="L85" s="426">
        <v>37.299999999999997</v>
      </c>
      <c r="M85" s="426">
        <v>38</v>
      </c>
      <c r="N85" s="426">
        <v>50.7</v>
      </c>
      <c r="O85" s="429" t="s">
        <v>142</v>
      </c>
      <c r="P85" s="429" t="s">
        <v>142</v>
      </c>
      <c r="Q85" s="429" t="s">
        <v>142</v>
      </c>
      <c r="R85" s="429" t="s">
        <v>556</v>
      </c>
      <c r="S85" s="429">
        <v>60.3</v>
      </c>
      <c r="T85" s="430" t="s">
        <v>23</v>
      </c>
      <c r="U85" s="429" t="s">
        <v>466</v>
      </c>
      <c r="V85" s="431" t="s">
        <v>415</v>
      </c>
      <c r="W85" s="306"/>
      <c r="CM85" s="271"/>
      <c r="CN85" s="271"/>
      <c r="CO85" s="271"/>
      <c r="CP85" s="271"/>
      <c r="CQ85" s="271"/>
      <c r="CR85" s="271"/>
      <c r="CS85" s="271"/>
      <c r="CT85" s="271"/>
      <c r="CU85" s="271"/>
      <c r="CV85" s="271"/>
      <c r="CW85" s="271"/>
      <c r="CX85" s="271"/>
      <c r="CY85" s="271"/>
    </row>
    <row r="86" spans="1:103" s="273" customFormat="1" ht="27" customHeight="1" x14ac:dyDescent="0.35">
      <c r="A86" s="423" t="s">
        <v>381</v>
      </c>
      <c r="B86" s="424">
        <v>44341</v>
      </c>
      <c r="C86" s="422">
        <v>0.25</v>
      </c>
      <c r="D86" s="425">
        <v>52</v>
      </c>
      <c r="E86" s="426">
        <v>11.7</v>
      </c>
      <c r="F86" s="427">
        <v>15.8</v>
      </c>
      <c r="G86" s="428">
        <v>1146</v>
      </c>
      <c r="H86" s="428">
        <v>2022</v>
      </c>
      <c r="I86" s="428">
        <v>99</v>
      </c>
      <c r="J86" s="428">
        <v>107.6</v>
      </c>
      <c r="K86" s="428" t="s">
        <v>559</v>
      </c>
      <c r="L86" s="426">
        <v>38.1</v>
      </c>
      <c r="M86" s="426">
        <v>39</v>
      </c>
      <c r="N86" s="426">
        <v>49.9</v>
      </c>
      <c r="O86" s="429" t="s">
        <v>142</v>
      </c>
      <c r="P86" s="429" t="s">
        <v>142</v>
      </c>
      <c r="Q86" s="429" t="s">
        <v>142</v>
      </c>
      <c r="R86" s="429" t="s">
        <v>266</v>
      </c>
      <c r="S86" s="429">
        <v>60.8</v>
      </c>
      <c r="T86" s="430" t="s">
        <v>23</v>
      </c>
      <c r="U86" s="429" t="s">
        <v>466</v>
      </c>
      <c r="V86" s="431" t="s">
        <v>415</v>
      </c>
      <c r="W86" s="306"/>
      <c r="CM86" s="271"/>
      <c r="CN86" s="271"/>
      <c r="CO86" s="271"/>
      <c r="CP86" s="271"/>
      <c r="CQ86" s="271"/>
      <c r="CR86" s="271"/>
      <c r="CS86" s="271"/>
      <c r="CT86" s="271"/>
      <c r="CU86" s="271"/>
      <c r="CV86" s="271"/>
      <c r="CW86" s="271"/>
      <c r="CX86" s="271"/>
      <c r="CY86" s="271"/>
    </row>
    <row r="87" spans="1:103" s="273" customFormat="1" ht="27" customHeight="1" x14ac:dyDescent="0.35">
      <c r="A87" s="423" t="s">
        <v>381</v>
      </c>
      <c r="B87" s="424">
        <v>44342</v>
      </c>
      <c r="C87" s="422">
        <v>0.25</v>
      </c>
      <c r="D87" s="425">
        <v>52</v>
      </c>
      <c r="E87" s="426">
        <v>11.9</v>
      </c>
      <c r="F87" s="427">
        <v>15.6</v>
      </c>
      <c r="G87" s="428">
        <v>1066</v>
      </c>
      <c r="H87" s="428">
        <v>1767</v>
      </c>
      <c r="I87" s="428">
        <v>99</v>
      </c>
      <c r="J87" s="428">
        <v>107.2</v>
      </c>
      <c r="K87" s="428" t="s">
        <v>561</v>
      </c>
      <c r="L87" s="426">
        <v>33.5</v>
      </c>
      <c r="M87" s="426">
        <v>35</v>
      </c>
      <c r="N87" s="426">
        <v>53.7</v>
      </c>
      <c r="O87" s="429" t="s">
        <v>142</v>
      </c>
      <c r="P87" s="429" t="s">
        <v>142</v>
      </c>
      <c r="Q87" s="429" t="s">
        <v>142</v>
      </c>
      <c r="R87" s="429" t="s">
        <v>556</v>
      </c>
      <c r="S87" s="429">
        <v>58.8</v>
      </c>
      <c r="T87" s="430" t="s">
        <v>23</v>
      </c>
      <c r="U87" s="429" t="s">
        <v>466</v>
      </c>
      <c r="V87" s="431" t="s">
        <v>415</v>
      </c>
      <c r="W87" s="306"/>
      <c r="CM87" s="271"/>
      <c r="CN87" s="271"/>
      <c r="CO87" s="271"/>
      <c r="CP87" s="271"/>
      <c r="CQ87" s="271"/>
      <c r="CR87" s="271"/>
      <c r="CS87" s="271"/>
      <c r="CT87" s="271"/>
      <c r="CU87" s="271"/>
      <c r="CV87" s="271"/>
      <c r="CW87" s="271"/>
      <c r="CX87" s="271"/>
      <c r="CY87" s="271"/>
    </row>
    <row r="88" spans="1:103" s="273" customFormat="1" ht="27" customHeight="1" x14ac:dyDescent="0.35">
      <c r="A88" s="423" t="s">
        <v>381</v>
      </c>
      <c r="B88" s="424">
        <v>44343</v>
      </c>
      <c r="C88" s="422">
        <v>0.25</v>
      </c>
      <c r="D88" s="425">
        <v>52</v>
      </c>
      <c r="E88" s="426">
        <v>12.2</v>
      </c>
      <c r="F88" s="427">
        <v>16.100000000000001</v>
      </c>
      <c r="G88" s="428">
        <v>1063</v>
      </c>
      <c r="H88" s="428">
        <v>1972</v>
      </c>
      <c r="I88" s="428">
        <v>99.2</v>
      </c>
      <c r="J88" s="428">
        <v>108</v>
      </c>
      <c r="K88" s="428" t="s">
        <v>531</v>
      </c>
      <c r="L88" s="426">
        <v>35.1</v>
      </c>
      <c r="M88" s="426">
        <v>36</v>
      </c>
      <c r="N88" s="426">
        <v>51.5</v>
      </c>
      <c r="O88" s="429" t="s">
        <v>142</v>
      </c>
      <c r="P88" s="429" t="s">
        <v>142</v>
      </c>
      <c r="Q88" s="429" t="s">
        <v>142</v>
      </c>
      <c r="R88" s="429" t="s">
        <v>564</v>
      </c>
      <c r="S88" s="429">
        <v>61.3</v>
      </c>
      <c r="T88" s="430" t="s">
        <v>23</v>
      </c>
      <c r="U88" s="429" t="s">
        <v>466</v>
      </c>
      <c r="V88" s="431" t="s">
        <v>415</v>
      </c>
      <c r="W88" s="306"/>
      <c r="CM88" s="271"/>
      <c r="CN88" s="271"/>
      <c r="CO88" s="271"/>
      <c r="CP88" s="271"/>
      <c r="CQ88" s="271"/>
      <c r="CR88" s="271"/>
      <c r="CS88" s="271"/>
      <c r="CT88" s="271"/>
      <c r="CU88" s="271"/>
      <c r="CV88" s="271"/>
      <c r="CW88" s="271"/>
      <c r="CX88" s="271"/>
      <c r="CY88" s="271"/>
    </row>
    <row r="89" spans="1:103" s="273" customFormat="1" ht="27" customHeight="1" x14ac:dyDescent="0.35">
      <c r="A89" s="423" t="s">
        <v>381</v>
      </c>
      <c r="B89" s="424">
        <v>44344</v>
      </c>
      <c r="C89" s="422">
        <v>0.25</v>
      </c>
      <c r="D89" s="425">
        <v>52</v>
      </c>
      <c r="E89" s="426">
        <v>12.2</v>
      </c>
      <c r="F89" s="427">
        <v>16.100000000000001</v>
      </c>
      <c r="G89" s="428">
        <v>1098</v>
      </c>
      <c r="H89" s="428">
        <v>2028</v>
      </c>
      <c r="I89" s="428">
        <v>99.1</v>
      </c>
      <c r="J89" s="428">
        <v>107.8</v>
      </c>
      <c r="K89" s="428" t="s">
        <v>526</v>
      </c>
      <c r="L89" s="426">
        <v>35.5</v>
      </c>
      <c r="M89" s="426">
        <v>37</v>
      </c>
      <c r="N89" s="426">
        <v>51.3</v>
      </c>
      <c r="O89" s="429" t="s">
        <v>142</v>
      </c>
      <c r="P89" s="429" t="s">
        <v>142</v>
      </c>
      <c r="Q89" s="429" t="s">
        <v>142</v>
      </c>
      <c r="R89" s="429" t="s">
        <v>564</v>
      </c>
      <c r="S89" s="429">
        <v>61.3</v>
      </c>
      <c r="T89" s="430" t="s">
        <v>23</v>
      </c>
      <c r="U89" s="429" t="s">
        <v>466</v>
      </c>
      <c r="V89" s="431" t="s">
        <v>415</v>
      </c>
      <c r="W89" s="306"/>
      <c r="CM89" s="271"/>
      <c r="CN89" s="271"/>
      <c r="CO89" s="271"/>
      <c r="CP89" s="271"/>
      <c r="CQ89" s="271"/>
      <c r="CR89" s="271"/>
      <c r="CS89" s="271"/>
      <c r="CT89" s="271"/>
      <c r="CU89" s="271"/>
      <c r="CV89" s="271"/>
      <c r="CW89" s="271"/>
      <c r="CX89" s="271"/>
      <c r="CY89" s="271"/>
    </row>
    <row r="90" spans="1:103" s="273" customFormat="1" ht="27" customHeight="1" x14ac:dyDescent="0.35">
      <c r="A90" s="423" t="s">
        <v>381</v>
      </c>
      <c r="B90" s="424">
        <v>44345</v>
      </c>
      <c r="C90" s="422">
        <v>0.25</v>
      </c>
      <c r="D90" s="425">
        <v>52</v>
      </c>
      <c r="E90" s="426">
        <v>12.4</v>
      </c>
      <c r="F90" s="427">
        <v>16.2</v>
      </c>
      <c r="G90" s="428">
        <v>1081</v>
      </c>
      <c r="H90" s="428">
        <v>1895</v>
      </c>
      <c r="I90" s="428">
        <v>99</v>
      </c>
      <c r="J90" s="428">
        <v>107.6</v>
      </c>
      <c r="K90" s="428" t="s">
        <v>559</v>
      </c>
      <c r="L90" s="426">
        <v>34.4</v>
      </c>
      <c r="M90" s="426">
        <v>36</v>
      </c>
      <c r="N90" s="426">
        <v>53.5</v>
      </c>
      <c r="O90" s="429" t="s">
        <v>142</v>
      </c>
      <c r="P90" s="429" t="s">
        <v>142</v>
      </c>
      <c r="Q90" s="429" t="s">
        <v>142</v>
      </c>
      <c r="R90" s="429" t="s">
        <v>566</v>
      </c>
      <c r="S90" s="429">
        <v>60.3</v>
      </c>
      <c r="T90" s="430" t="s">
        <v>23</v>
      </c>
      <c r="U90" s="429" t="s">
        <v>466</v>
      </c>
      <c r="V90" s="431" t="s">
        <v>415</v>
      </c>
      <c r="W90" s="306"/>
      <c r="CM90" s="271"/>
      <c r="CN90" s="271"/>
      <c r="CO90" s="271"/>
      <c r="CP90" s="271"/>
      <c r="CQ90" s="271"/>
      <c r="CR90" s="271"/>
      <c r="CS90" s="271"/>
      <c r="CT90" s="271"/>
      <c r="CU90" s="271"/>
      <c r="CV90" s="271"/>
      <c r="CW90" s="271"/>
      <c r="CX90" s="271"/>
      <c r="CY90" s="271"/>
    </row>
    <row r="91" spans="1:103" s="273" customFormat="1" ht="27" customHeight="1" x14ac:dyDescent="0.35">
      <c r="A91" s="423" t="s">
        <v>381</v>
      </c>
      <c r="B91" s="424">
        <v>44346</v>
      </c>
      <c r="C91" s="422">
        <v>0.25</v>
      </c>
      <c r="D91" s="425">
        <v>52</v>
      </c>
      <c r="E91" s="426">
        <v>11.7</v>
      </c>
      <c r="F91" s="427">
        <v>15.3</v>
      </c>
      <c r="G91" s="428">
        <v>1063</v>
      </c>
      <c r="H91" s="428">
        <v>1836</v>
      </c>
      <c r="I91" s="428">
        <v>99</v>
      </c>
      <c r="J91" s="428">
        <v>107.5</v>
      </c>
      <c r="K91" s="428" t="s">
        <v>567</v>
      </c>
      <c r="L91" s="426">
        <v>31.4</v>
      </c>
      <c r="M91" s="426">
        <v>33</v>
      </c>
      <c r="N91" s="426">
        <v>54.6</v>
      </c>
      <c r="O91" s="429" t="s">
        <v>142</v>
      </c>
      <c r="P91" s="429" t="s">
        <v>142</v>
      </c>
      <c r="Q91" s="429" t="s">
        <v>142</v>
      </c>
      <c r="R91" s="429" t="s">
        <v>301</v>
      </c>
      <c r="S91" s="429">
        <v>61.8</v>
      </c>
      <c r="T91" s="430" t="s">
        <v>23</v>
      </c>
      <c r="U91" s="429" t="s">
        <v>466</v>
      </c>
      <c r="V91" s="431"/>
      <c r="W91" s="306"/>
      <c r="CM91" s="271"/>
      <c r="CN91" s="271"/>
      <c r="CO91" s="271"/>
      <c r="CP91" s="271"/>
      <c r="CQ91" s="271"/>
      <c r="CR91" s="271"/>
      <c r="CS91" s="271"/>
      <c r="CT91" s="271"/>
      <c r="CU91" s="271"/>
      <c r="CV91" s="271"/>
      <c r="CW91" s="271"/>
      <c r="CX91" s="271"/>
      <c r="CY91" s="271"/>
    </row>
    <row r="92" spans="1:103" s="273" customFormat="1" ht="27" customHeight="1" x14ac:dyDescent="0.35">
      <c r="A92" s="423" t="s">
        <v>381</v>
      </c>
      <c r="B92" s="424">
        <v>44347</v>
      </c>
      <c r="C92" s="422">
        <v>0.25</v>
      </c>
      <c r="D92" s="425">
        <v>52</v>
      </c>
      <c r="E92" s="426">
        <v>12.3</v>
      </c>
      <c r="F92" s="427">
        <v>15.5</v>
      </c>
      <c r="G92" s="428">
        <v>1019</v>
      </c>
      <c r="H92" s="428">
        <v>1794</v>
      </c>
      <c r="I92" s="428">
        <v>99.1</v>
      </c>
      <c r="J92" s="428">
        <v>107.8</v>
      </c>
      <c r="K92" s="428" t="s">
        <v>561</v>
      </c>
      <c r="L92" s="426">
        <v>30.5</v>
      </c>
      <c r="M92" s="426">
        <v>33</v>
      </c>
      <c r="N92" s="426">
        <v>54.4</v>
      </c>
      <c r="O92" s="429" t="s">
        <v>142</v>
      </c>
      <c r="P92" s="429" t="s">
        <v>142</v>
      </c>
      <c r="Q92" s="429" t="s">
        <v>142</v>
      </c>
      <c r="R92" s="429" t="s">
        <v>256</v>
      </c>
      <c r="S92" s="429">
        <v>60.3</v>
      </c>
      <c r="T92" s="430" t="s">
        <v>23</v>
      </c>
      <c r="U92" s="429" t="s">
        <v>466</v>
      </c>
      <c r="V92" s="431"/>
      <c r="W92" s="306"/>
      <c r="CM92" s="271"/>
      <c r="CN92" s="271"/>
      <c r="CO92" s="271"/>
      <c r="CP92" s="271"/>
      <c r="CQ92" s="271"/>
      <c r="CR92" s="271"/>
      <c r="CS92" s="271"/>
      <c r="CT92" s="271"/>
      <c r="CU92" s="271"/>
      <c r="CV92" s="271"/>
      <c r="CW92" s="271"/>
      <c r="CX92" s="271"/>
      <c r="CY92" s="271"/>
    </row>
    <row r="93" spans="1:103" s="273" customFormat="1" ht="27" customHeight="1" x14ac:dyDescent="0.35">
      <c r="A93" s="423" t="s">
        <v>381</v>
      </c>
      <c r="B93" s="424">
        <v>44348</v>
      </c>
      <c r="C93" s="422">
        <v>0.25</v>
      </c>
      <c r="D93" s="425">
        <v>52</v>
      </c>
      <c r="E93" s="426">
        <v>11.3</v>
      </c>
      <c r="F93" s="427">
        <v>15.5</v>
      </c>
      <c r="G93" s="428">
        <v>1013</v>
      </c>
      <c r="H93" s="428">
        <v>1790</v>
      </c>
      <c r="I93" s="428">
        <v>99</v>
      </c>
      <c r="J93" s="428">
        <v>107.6</v>
      </c>
      <c r="K93" s="428" t="s">
        <v>579</v>
      </c>
      <c r="L93" s="426">
        <v>30.2</v>
      </c>
      <c r="M93" s="426">
        <v>32</v>
      </c>
      <c r="N93" s="426">
        <v>54.3</v>
      </c>
      <c r="O93" s="429" t="s">
        <v>142</v>
      </c>
      <c r="P93" s="429" t="s">
        <v>142</v>
      </c>
      <c r="Q93" s="429" t="s">
        <v>142</v>
      </c>
      <c r="R93" s="429" t="s">
        <v>301</v>
      </c>
      <c r="S93" s="429">
        <v>60.3</v>
      </c>
      <c r="T93" s="430" t="s">
        <v>23</v>
      </c>
      <c r="U93" s="429" t="s">
        <v>466</v>
      </c>
      <c r="V93" s="431"/>
      <c r="W93" s="306"/>
      <c r="CM93" s="271"/>
      <c r="CN93" s="271"/>
      <c r="CO93" s="271"/>
      <c r="CP93" s="271"/>
      <c r="CQ93" s="271"/>
      <c r="CR93" s="271"/>
      <c r="CS93" s="271"/>
      <c r="CT93" s="271"/>
      <c r="CU93" s="271"/>
      <c r="CV93" s="271"/>
      <c r="CW93" s="271"/>
      <c r="CX93" s="271"/>
      <c r="CY93" s="271"/>
    </row>
    <row r="94" spans="1:103" s="273" customFormat="1" ht="27" customHeight="1" x14ac:dyDescent="0.35">
      <c r="A94" s="423" t="s">
        <v>381</v>
      </c>
      <c r="B94" s="424">
        <v>44349</v>
      </c>
      <c r="C94" s="422">
        <v>0.25</v>
      </c>
      <c r="D94" s="425">
        <v>52</v>
      </c>
      <c r="E94" s="426">
        <v>11.7</v>
      </c>
      <c r="F94" s="427">
        <v>15.7</v>
      </c>
      <c r="G94" s="428">
        <v>1022</v>
      </c>
      <c r="H94" s="428">
        <v>1884</v>
      </c>
      <c r="I94" s="428">
        <v>99.2</v>
      </c>
      <c r="J94" s="428">
        <v>108</v>
      </c>
      <c r="K94" s="428" t="s">
        <v>559</v>
      </c>
      <c r="L94" s="426">
        <v>31.29</v>
      </c>
      <c r="M94" s="426">
        <v>31.36</v>
      </c>
      <c r="N94" s="426">
        <v>52.8</v>
      </c>
      <c r="O94" s="429" t="s">
        <v>142</v>
      </c>
      <c r="P94" s="429" t="s">
        <v>142</v>
      </c>
      <c r="Q94" s="429" t="s">
        <v>142</v>
      </c>
      <c r="R94" s="429" t="s">
        <v>588</v>
      </c>
      <c r="S94" s="429">
        <v>58.8</v>
      </c>
      <c r="T94" s="430" t="s">
        <v>23</v>
      </c>
      <c r="U94" s="429" t="s">
        <v>466</v>
      </c>
      <c r="V94" s="431"/>
      <c r="W94" s="306"/>
      <c r="CM94" s="271"/>
      <c r="CN94" s="271"/>
      <c r="CO94" s="271"/>
      <c r="CP94" s="271"/>
      <c r="CQ94" s="271"/>
      <c r="CR94" s="271"/>
      <c r="CS94" s="271"/>
      <c r="CT94" s="271"/>
      <c r="CU94" s="271"/>
      <c r="CV94" s="271"/>
      <c r="CW94" s="271"/>
      <c r="CX94" s="271"/>
      <c r="CY94" s="271"/>
    </row>
    <row r="95" spans="1:103" s="273" customFormat="1" ht="27" customHeight="1" x14ac:dyDescent="0.35">
      <c r="A95" s="423" t="s">
        <v>381</v>
      </c>
      <c r="B95" s="424">
        <v>44350</v>
      </c>
      <c r="C95" s="422">
        <v>0.25</v>
      </c>
      <c r="D95" s="425">
        <v>52</v>
      </c>
      <c r="E95" s="426">
        <v>11.9</v>
      </c>
      <c r="F95" s="427">
        <v>15.8</v>
      </c>
      <c r="G95" s="428">
        <v>1008</v>
      </c>
      <c r="H95" s="428">
        <v>1776</v>
      </c>
      <c r="I95" s="428">
        <v>99.1</v>
      </c>
      <c r="J95" s="428">
        <v>107.8</v>
      </c>
      <c r="K95" s="428" t="s">
        <v>526</v>
      </c>
      <c r="L95" s="426">
        <v>30.41</v>
      </c>
      <c r="M95" s="426">
        <v>30.51</v>
      </c>
      <c r="N95" s="426">
        <v>53.3</v>
      </c>
      <c r="O95" s="429" t="s">
        <v>142</v>
      </c>
      <c r="P95" s="429" t="s">
        <v>142</v>
      </c>
      <c r="Q95" s="429" t="s">
        <v>142</v>
      </c>
      <c r="R95" s="429" t="s">
        <v>589</v>
      </c>
      <c r="S95" s="429">
        <v>56.8</v>
      </c>
      <c r="T95" s="430" t="s">
        <v>23</v>
      </c>
      <c r="U95" s="429" t="s">
        <v>466</v>
      </c>
      <c r="V95" s="431"/>
      <c r="W95" s="306"/>
      <c r="CM95" s="271"/>
      <c r="CN95" s="271"/>
      <c r="CO95" s="271"/>
      <c r="CP95" s="271"/>
      <c r="CQ95" s="271"/>
      <c r="CR95" s="271"/>
      <c r="CS95" s="271"/>
      <c r="CT95" s="271"/>
      <c r="CU95" s="271"/>
      <c r="CV95" s="271"/>
      <c r="CW95" s="271"/>
      <c r="CX95" s="271"/>
      <c r="CY95" s="271"/>
    </row>
    <row r="96" spans="1:103" s="273" customFormat="1" ht="27" customHeight="1" x14ac:dyDescent="0.35">
      <c r="A96" s="423" t="s">
        <v>381</v>
      </c>
      <c r="B96" s="424">
        <v>44351</v>
      </c>
      <c r="C96" s="422">
        <v>0.25</v>
      </c>
      <c r="D96" s="425">
        <v>52</v>
      </c>
      <c r="E96" s="426">
        <v>10.5</v>
      </c>
      <c r="F96" s="427">
        <v>15.3</v>
      </c>
      <c r="G96" s="428">
        <v>875</v>
      </c>
      <c r="H96" s="428">
        <v>2209</v>
      </c>
      <c r="I96" s="428">
        <v>103</v>
      </c>
      <c r="J96" s="428">
        <v>105</v>
      </c>
      <c r="K96" s="428" t="s">
        <v>592</v>
      </c>
      <c r="L96" s="426">
        <v>31.15</v>
      </c>
      <c r="M96" s="426">
        <v>31.6</v>
      </c>
      <c r="N96" s="426">
        <v>52.8</v>
      </c>
      <c r="O96" s="429" t="s">
        <v>142</v>
      </c>
      <c r="P96" s="429" t="s">
        <v>142</v>
      </c>
      <c r="Q96" s="429" t="s">
        <v>142</v>
      </c>
      <c r="R96" s="429" t="s">
        <v>593</v>
      </c>
      <c r="S96" s="429">
        <v>66.8</v>
      </c>
      <c r="T96" s="430" t="s">
        <v>23</v>
      </c>
      <c r="U96" s="429" t="s">
        <v>466</v>
      </c>
      <c r="V96" s="431"/>
      <c r="W96" s="306"/>
      <c r="CM96" s="271"/>
      <c r="CN96" s="271"/>
      <c r="CO96" s="271"/>
      <c r="CP96" s="271"/>
      <c r="CQ96" s="271"/>
      <c r="CR96" s="271"/>
      <c r="CS96" s="271"/>
      <c r="CT96" s="271"/>
      <c r="CU96" s="271"/>
      <c r="CV96" s="271"/>
      <c r="CW96" s="271"/>
      <c r="CX96" s="271"/>
      <c r="CY96" s="271"/>
    </row>
    <row r="97" spans="1:103" s="273" customFormat="1" ht="27" customHeight="1" x14ac:dyDescent="0.35">
      <c r="A97" s="423" t="s">
        <v>381</v>
      </c>
      <c r="B97" s="424">
        <v>44352</v>
      </c>
      <c r="C97" s="422">
        <v>0.25</v>
      </c>
      <c r="D97" s="425">
        <v>52</v>
      </c>
      <c r="E97" s="426">
        <v>11.6</v>
      </c>
      <c r="F97" s="427">
        <v>15.7</v>
      </c>
      <c r="G97" s="428">
        <v>1045</v>
      </c>
      <c r="H97" s="428">
        <v>1904</v>
      </c>
      <c r="I97" s="428">
        <v>99.1</v>
      </c>
      <c r="J97" s="428">
        <v>107</v>
      </c>
      <c r="K97" s="428" t="s">
        <v>597</v>
      </c>
      <c r="L97" s="426">
        <v>30.5</v>
      </c>
      <c r="M97" s="426">
        <v>30.74</v>
      </c>
      <c r="N97" s="426">
        <v>51.8</v>
      </c>
      <c r="O97" s="429" t="s">
        <v>142</v>
      </c>
      <c r="P97" s="429" t="s">
        <v>142</v>
      </c>
      <c r="Q97" s="429" t="s">
        <v>142</v>
      </c>
      <c r="R97" s="429" t="s">
        <v>256</v>
      </c>
      <c r="S97" s="429">
        <v>59.8</v>
      </c>
      <c r="T97" s="430" t="s">
        <v>23</v>
      </c>
      <c r="U97" s="429" t="s">
        <v>466</v>
      </c>
      <c r="V97" s="431"/>
      <c r="W97" s="306"/>
      <c r="CM97" s="271"/>
      <c r="CN97" s="271"/>
      <c r="CO97" s="271"/>
      <c r="CP97" s="271"/>
      <c r="CQ97" s="271"/>
      <c r="CR97" s="271"/>
      <c r="CS97" s="271"/>
      <c r="CT97" s="271"/>
      <c r="CU97" s="271"/>
      <c r="CV97" s="271"/>
      <c r="CW97" s="271"/>
      <c r="CX97" s="271"/>
      <c r="CY97" s="271"/>
    </row>
    <row r="98" spans="1:103" s="273" customFormat="1" ht="27" customHeight="1" x14ac:dyDescent="0.35">
      <c r="A98" s="423" t="s">
        <v>381</v>
      </c>
      <c r="B98" s="424">
        <v>44353</v>
      </c>
      <c r="C98" s="422">
        <v>0.25</v>
      </c>
      <c r="D98" s="425">
        <v>52</v>
      </c>
      <c r="E98" s="426">
        <v>12</v>
      </c>
      <c r="F98" s="427">
        <v>16</v>
      </c>
      <c r="G98" s="428">
        <v>1048</v>
      </c>
      <c r="H98" s="428">
        <v>1947</v>
      </c>
      <c r="I98" s="428">
        <v>99.1</v>
      </c>
      <c r="J98" s="428">
        <v>108</v>
      </c>
      <c r="K98" s="428" t="s">
        <v>603</v>
      </c>
      <c r="L98" s="426">
        <v>31.8</v>
      </c>
      <c r="M98" s="426">
        <v>30.56</v>
      </c>
      <c r="N98" s="426">
        <v>51.8</v>
      </c>
      <c r="O98" s="429" t="s">
        <v>142</v>
      </c>
      <c r="P98" s="429" t="s">
        <v>142</v>
      </c>
      <c r="Q98" s="429" t="s">
        <v>142</v>
      </c>
      <c r="R98" s="429" t="s">
        <v>256</v>
      </c>
      <c r="S98" s="429">
        <v>60.8</v>
      </c>
      <c r="T98" s="430" t="s">
        <v>23</v>
      </c>
      <c r="U98" s="429" t="s">
        <v>466</v>
      </c>
      <c r="V98" s="431"/>
      <c r="W98" s="306"/>
      <c r="CM98" s="271"/>
      <c r="CN98" s="271"/>
      <c r="CO98" s="271"/>
      <c r="CP98" s="271"/>
      <c r="CQ98" s="271"/>
      <c r="CR98" s="271"/>
      <c r="CS98" s="271"/>
      <c r="CT98" s="271"/>
      <c r="CU98" s="271"/>
      <c r="CV98" s="271"/>
      <c r="CW98" s="271"/>
      <c r="CX98" s="271"/>
      <c r="CY98" s="271"/>
    </row>
    <row r="99" spans="1:103" s="273" customFormat="1" ht="27" customHeight="1" x14ac:dyDescent="0.35">
      <c r="A99" s="423" t="s">
        <v>381</v>
      </c>
      <c r="B99" s="424">
        <v>44354</v>
      </c>
      <c r="C99" s="422">
        <v>0.25</v>
      </c>
      <c r="D99" s="425">
        <v>52</v>
      </c>
      <c r="E99" s="426">
        <v>11.6</v>
      </c>
      <c r="F99" s="427">
        <v>15.8</v>
      </c>
      <c r="G99" s="428">
        <v>1042</v>
      </c>
      <c r="H99" s="428">
        <v>1884</v>
      </c>
      <c r="I99" s="428">
        <v>99</v>
      </c>
      <c r="J99" s="428">
        <v>107</v>
      </c>
      <c r="K99" s="428" t="s">
        <v>558</v>
      </c>
      <c r="L99" s="426">
        <v>32.5</v>
      </c>
      <c r="M99" s="426">
        <v>32.78</v>
      </c>
      <c r="N99" s="426">
        <v>53</v>
      </c>
      <c r="O99" s="429" t="s">
        <v>142</v>
      </c>
      <c r="P99" s="429" t="s">
        <v>142</v>
      </c>
      <c r="Q99" s="429" t="s">
        <v>142</v>
      </c>
      <c r="R99" s="429" t="s">
        <v>564</v>
      </c>
      <c r="S99" s="429">
        <v>58.8</v>
      </c>
      <c r="T99" s="430" t="s">
        <v>23</v>
      </c>
      <c r="U99" s="429" t="s">
        <v>466</v>
      </c>
      <c r="V99" s="431"/>
      <c r="W99" s="306"/>
      <c r="CM99" s="271"/>
      <c r="CN99" s="271"/>
      <c r="CO99" s="271"/>
      <c r="CP99" s="271"/>
      <c r="CQ99" s="271"/>
      <c r="CR99" s="271"/>
      <c r="CS99" s="271"/>
      <c r="CT99" s="271"/>
      <c r="CU99" s="271"/>
      <c r="CV99" s="271"/>
      <c r="CW99" s="271"/>
      <c r="CX99" s="271"/>
      <c r="CY99" s="271"/>
    </row>
    <row r="100" spans="1:103" s="273" customFormat="1" ht="27" customHeight="1" x14ac:dyDescent="0.35">
      <c r="A100" s="423" t="s">
        <v>381</v>
      </c>
      <c r="B100" s="424">
        <v>44355</v>
      </c>
      <c r="C100" s="422">
        <v>0.25</v>
      </c>
      <c r="D100" s="425">
        <v>52</v>
      </c>
      <c r="E100" s="426">
        <v>11.8</v>
      </c>
      <c r="F100" s="427">
        <v>15.7</v>
      </c>
      <c r="G100" s="428">
        <v>1049</v>
      </c>
      <c r="H100" s="428">
        <v>1923.5</v>
      </c>
      <c r="I100" s="428">
        <v>99.1</v>
      </c>
      <c r="J100" s="428">
        <v>108.1</v>
      </c>
      <c r="K100" s="428" t="s">
        <v>526</v>
      </c>
      <c r="L100" s="426">
        <v>31.95</v>
      </c>
      <c r="M100" s="426">
        <v>32</v>
      </c>
      <c r="N100" s="426">
        <v>52.1</v>
      </c>
      <c r="O100" s="429" t="s">
        <v>142</v>
      </c>
      <c r="P100" s="429" t="s">
        <v>142</v>
      </c>
      <c r="Q100" s="429" t="s">
        <v>142</v>
      </c>
      <c r="R100" s="429" t="s">
        <v>256</v>
      </c>
      <c r="S100" s="429">
        <v>59.8</v>
      </c>
      <c r="T100" s="430" t="s">
        <v>23</v>
      </c>
      <c r="U100" s="429" t="s">
        <v>466</v>
      </c>
      <c r="V100" s="431"/>
      <c r="W100" s="306"/>
      <c r="CM100" s="271"/>
      <c r="CN100" s="271"/>
      <c r="CO100" s="271"/>
      <c r="CP100" s="271"/>
      <c r="CQ100" s="271"/>
      <c r="CR100" s="271"/>
      <c r="CS100" s="271"/>
      <c r="CT100" s="271"/>
      <c r="CU100" s="271"/>
      <c r="CV100" s="271"/>
      <c r="CW100" s="271"/>
      <c r="CX100" s="271"/>
      <c r="CY100" s="271"/>
    </row>
    <row r="101" spans="1:103" s="273" customFormat="1" ht="27" customHeight="1" x14ac:dyDescent="0.35">
      <c r="A101" s="423" t="s">
        <v>381</v>
      </c>
      <c r="B101" s="424">
        <v>44356</v>
      </c>
      <c r="C101" s="422">
        <v>0.25</v>
      </c>
      <c r="D101" s="425">
        <v>52</v>
      </c>
      <c r="E101" s="426">
        <v>11.5</v>
      </c>
      <c r="F101" s="427">
        <v>15.6</v>
      </c>
      <c r="G101" s="428">
        <v>1050</v>
      </c>
      <c r="H101" s="428">
        <v>1877</v>
      </c>
      <c r="I101" s="428">
        <v>99</v>
      </c>
      <c r="J101" s="428">
        <v>108</v>
      </c>
      <c r="K101" s="428" t="s">
        <v>603</v>
      </c>
      <c r="L101" s="426">
        <v>32.880000000000003</v>
      </c>
      <c r="M101" s="426">
        <v>32.909999999999997</v>
      </c>
      <c r="N101" s="426">
        <v>52.1</v>
      </c>
      <c r="O101" s="429" t="s">
        <v>142</v>
      </c>
      <c r="P101" s="429" t="s">
        <v>142</v>
      </c>
      <c r="Q101" s="429" t="s">
        <v>142</v>
      </c>
      <c r="R101" s="429" t="s">
        <v>556</v>
      </c>
      <c r="S101" s="429">
        <v>59.3</v>
      </c>
      <c r="T101" s="430" t="s">
        <v>23</v>
      </c>
      <c r="U101" s="429" t="s">
        <v>466</v>
      </c>
      <c r="V101" s="431"/>
      <c r="W101" s="306"/>
      <c r="CM101" s="271"/>
      <c r="CN101" s="271"/>
      <c r="CO101" s="271"/>
      <c r="CP101" s="271"/>
      <c r="CQ101" s="271"/>
      <c r="CR101" s="271"/>
      <c r="CS101" s="271"/>
      <c r="CT101" s="271"/>
      <c r="CU101" s="271"/>
      <c r="CV101" s="271"/>
      <c r="CW101" s="271"/>
      <c r="CX101" s="271"/>
      <c r="CY101" s="271"/>
    </row>
    <row r="102" spans="1:103" s="273" customFormat="1" ht="27" customHeight="1" x14ac:dyDescent="0.35">
      <c r="A102" s="423" t="s">
        <v>381</v>
      </c>
      <c r="B102" s="424">
        <v>44357</v>
      </c>
      <c r="C102" s="422">
        <v>0.25</v>
      </c>
      <c r="D102" s="425">
        <v>52</v>
      </c>
      <c r="E102" s="426">
        <v>11.6</v>
      </c>
      <c r="F102" s="427">
        <v>15.6</v>
      </c>
      <c r="G102" s="428">
        <v>1057</v>
      </c>
      <c r="H102" s="428">
        <v>1900</v>
      </c>
      <c r="I102" s="428">
        <v>99.2</v>
      </c>
      <c r="J102" s="428">
        <v>107.8</v>
      </c>
      <c r="K102" s="428" t="s">
        <v>531</v>
      </c>
      <c r="L102" s="426">
        <v>33.14</v>
      </c>
      <c r="M102" s="426">
        <v>33.17</v>
      </c>
      <c r="N102" s="426">
        <v>50.27</v>
      </c>
      <c r="O102" s="429" t="s">
        <v>142</v>
      </c>
      <c r="P102" s="429" t="s">
        <v>142</v>
      </c>
      <c r="Q102" s="429" t="s">
        <v>142</v>
      </c>
      <c r="R102" s="429" t="s">
        <v>556</v>
      </c>
      <c r="S102" s="429">
        <v>58.3</v>
      </c>
      <c r="T102" s="430" t="s">
        <v>23</v>
      </c>
      <c r="U102" s="429" t="s">
        <v>466</v>
      </c>
      <c r="V102" s="431"/>
      <c r="W102" s="306"/>
      <c r="CM102" s="271"/>
      <c r="CN102" s="271"/>
      <c r="CO102" s="271"/>
      <c r="CP102" s="271"/>
      <c r="CQ102" s="271"/>
      <c r="CR102" s="271"/>
      <c r="CS102" s="271"/>
      <c r="CT102" s="271"/>
      <c r="CU102" s="271"/>
      <c r="CV102" s="271"/>
      <c r="CW102" s="271"/>
      <c r="CX102" s="271"/>
      <c r="CY102" s="271"/>
    </row>
    <row r="103" spans="1:103" s="273" customFormat="1" ht="43.5" customHeight="1" x14ac:dyDescent="0.35">
      <c r="A103" s="423" t="s">
        <v>381</v>
      </c>
      <c r="B103" s="424">
        <v>44358</v>
      </c>
      <c r="C103" s="422">
        <v>0.25</v>
      </c>
      <c r="D103" s="425">
        <v>52</v>
      </c>
      <c r="E103" s="426">
        <v>0</v>
      </c>
      <c r="F103" s="427">
        <v>0</v>
      </c>
      <c r="G103" s="428" t="s">
        <v>16</v>
      </c>
      <c r="H103" s="428" t="s">
        <v>16</v>
      </c>
      <c r="I103" s="428" t="s">
        <v>16</v>
      </c>
      <c r="J103" s="428" t="s">
        <v>16</v>
      </c>
      <c r="K103" s="428" t="s">
        <v>16</v>
      </c>
      <c r="L103" s="426">
        <v>34.299999999999997</v>
      </c>
      <c r="M103" s="426" t="s">
        <v>16</v>
      </c>
      <c r="N103" s="426" t="s">
        <v>16</v>
      </c>
      <c r="O103" s="429" t="s">
        <v>142</v>
      </c>
      <c r="P103" s="429" t="s">
        <v>142</v>
      </c>
      <c r="Q103" s="429" t="s">
        <v>142</v>
      </c>
      <c r="R103" s="429">
        <v>0</v>
      </c>
      <c r="S103" s="429">
        <v>0</v>
      </c>
      <c r="T103" s="430" t="s">
        <v>23</v>
      </c>
      <c r="U103" s="429" t="s">
        <v>466</v>
      </c>
      <c r="V103" s="431" t="s">
        <v>626</v>
      </c>
      <c r="W103" s="306"/>
      <c r="CM103" s="271"/>
      <c r="CN103" s="271"/>
      <c r="CO103" s="271"/>
      <c r="CP103" s="271"/>
      <c r="CQ103" s="271"/>
      <c r="CR103" s="271"/>
      <c r="CS103" s="271"/>
      <c r="CT103" s="271"/>
      <c r="CU103" s="271"/>
      <c r="CV103" s="271"/>
      <c r="CW103" s="271"/>
      <c r="CX103" s="271"/>
      <c r="CY103" s="271"/>
    </row>
    <row r="104" spans="1:103" s="273" customFormat="1" ht="43.5" customHeight="1" x14ac:dyDescent="0.35">
      <c r="A104" s="423" t="s">
        <v>381</v>
      </c>
      <c r="B104" s="424">
        <v>44359</v>
      </c>
      <c r="C104" s="422">
        <v>0.25</v>
      </c>
      <c r="D104" s="425">
        <v>50</v>
      </c>
      <c r="E104" s="426">
        <v>13.6</v>
      </c>
      <c r="F104" s="427">
        <v>17.2</v>
      </c>
      <c r="G104" s="428">
        <v>1177</v>
      </c>
      <c r="H104" s="428">
        <v>1897</v>
      </c>
      <c r="I104" s="428">
        <v>97</v>
      </c>
      <c r="J104" s="428">
        <v>110.2</v>
      </c>
      <c r="K104" s="428" t="s">
        <v>623</v>
      </c>
      <c r="L104" s="426">
        <v>34.46</v>
      </c>
      <c r="M104" s="426">
        <v>34.57</v>
      </c>
      <c r="N104" s="426">
        <v>54.36</v>
      </c>
      <c r="O104" s="429" t="s">
        <v>142</v>
      </c>
      <c r="P104" s="429" t="s">
        <v>142</v>
      </c>
      <c r="Q104" s="429" t="s">
        <v>142</v>
      </c>
      <c r="R104" s="429" t="s">
        <v>339</v>
      </c>
      <c r="S104" s="429">
        <v>68.3</v>
      </c>
      <c r="T104" s="430" t="s">
        <v>23</v>
      </c>
      <c r="U104" s="429" t="s">
        <v>466</v>
      </c>
      <c r="V104" s="431"/>
      <c r="W104" s="306"/>
      <c r="CM104" s="271"/>
      <c r="CN104" s="271"/>
      <c r="CO104" s="271"/>
      <c r="CP104" s="271"/>
      <c r="CQ104" s="271"/>
      <c r="CR104" s="271"/>
      <c r="CS104" s="271"/>
      <c r="CT104" s="271"/>
      <c r="CU104" s="271"/>
      <c r="CV104" s="271"/>
      <c r="CW104" s="271"/>
      <c r="CX104" s="271"/>
      <c r="CY104" s="271"/>
    </row>
    <row r="105" spans="1:103" s="273" customFormat="1" ht="43.5" customHeight="1" x14ac:dyDescent="0.35">
      <c r="A105" s="423" t="s">
        <v>381</v>
      </c>
      <c r="B105" s="424">
        <v>44360</v>
      </c>
      <c r="C105" s="422">
        <v>0.25</v>
      </c>
      <c r="D105" s="425">
        <v>52</v>
      </c>
      <c r="E105" s="426">
        <v>12</v>
      </c>
      <c r="F105" s="427">
        <v>15.9</v>
      </c>
      <c r="G105" s="428">
        <v>1073</v>
      </c>
      <c r="H105" s="428">
        <v>1921</v>
      </c>
      <c r="I105" s="428">
        <v>99</v>
      </c>
      <c r="J105" s="428">
        <v>107</v>
      </c>
      <c r="K105" s="428" t="s">
        <v>632</v>
      </c>
      <c r="L105" s="426">
        <v>34.9</v>
      </c>
      <c r="M105" s="426">
        <v>35.39</v>
      </c>
      <c r="N105" s="426">
        <v>52.67</v>
      </c>
      <c r="O105" s="429" t="s">
        <v>142</v>
      </c>
      <c r="P105" s="429" t="s">
        <v>142</v>
      </c>
      <c r="Q105" s="429" t="s">
        <v>142</v>
      </c>
      <c r="R105" s="429" t="s">
        <v>256</v>
      </c>
      <c r="S105" s="429">
        <v>60.3</v>
      </c>
      <c r="T105" s="430" t="s">
        <v>23</v>
      </c>
      <c r="U105" s="429" t="s">
        <v>466</v>
      </c>
      <c r="V105" s="431"/>
      <c r="W105" s="306"/>
      <c r="CM105" s="271"/>
      <c r="CN105" s="271"/>
      <c r="CO105" s="271"/>
      <c r="CP105" s="271"/>
      <c r="CQ105" s="271"/>
      <c r="CR105" s="271"/>
      <c r="CS105" s="271"/>
      <c r="CT105" s="271"/>
      <c r="CU105" s="271"/>
      <c r="CV105" s="271"/>
      <c r="CW105" s="271"/>
      <c r="CX105" s="271"/>
      <c r="CY105" s="271"/>
    </row>
    <row r="106" spans="1:103" s="273" customFormat="1" ht="43.5" customHeight="1" x14ac:dyDescent="0.35">
      <c r="A106" s="423" t="s">
        <v>381</v>
      </c>
      <c r="B106" s="424">
        <v>44361</v>
      </c>
      <c r="C106" s="422">
        <v>0.25</v>
      </c>
      <c r="D106" s="425">
        <v>52</v>
      </c>
      <c r="E106" s="426">
        <v>12.3</v>
      </c>
      <c r="F106" s="427">
        <v>16.100000000000001</v>
      </c>
      <c r="G106" s="428">
        <v>1104</v>
      </c>
      <c r="H106" s="428">
        <v>2037</v>
      </c>
      <c r="I106" s="428">
        <v>98.8</v>
      </c>
      <c r="J106" s="428">
        <v>107</v>
      </c>
      <c r="K106" s="428" t="s">
        <v>555</v>
      </c>
      <c r="L106" s="426">
        <v>34.6</v>
      </c>
      <c r="M106" s="426">
        <v>34.74</v>
      </c>
      <c r="N106" s="426">
        <v>50.81</v>
      </c>
      <c r="O106" s="429" t="s">
        <v>142</v>
      </c>
      <c r="P106" s="429" t="s">
        <v>142</v>
      </c>
      <c r="Q106" s="429" t="s">
        <v>142</v>
      </c>
      <c r="R106" s="429" t="s">
        <v>532</v>
      </c>
      <c r="S106" s="429">
        <v>61.6</v>
      </c>
      <c r="T106" s="430" t="s">
        <v>23</v>
      </c>
      <c r="U106" s="429" t="s">
        <v>466</v>
      </c>
      <c r="V106" s="431"/>
      <c r="W106" s="306"/>
      <c r="CM106" s="271"/>
      <c r="CN106" s="271"/>
      <c r="CO106" s="271"/>
      <c r="CP106" s="271"/>
      <c r="CQ106" s="271"/>
      <c r="CR106" s="271"/>
      <c r="CS106" s="271"/>
      <c r="CT106" s="271"/>
      <c r="CU106" s="271"/>
      <c r="CV106" s="271"/>
      <c r="CW106" s="271"/>
      <c r="CX106" s="271"/>
      <c r="CY106" s="271"/>
    </row>
    <row r="107" spans="1:103" s="273" customFormat="1" ht="43.5" customHeight="1" x14ac:dyDescent="0.35">
      <c r="A107" s="423" t="s">
        <v>381</v>
      </c>
      <c r="B107" s="424">
        <v>44362</v>
      </c>
      <c r="C107" s="422">
        <v>0.25</v>
      </c>
      <c r="D107" s="425">
        <v>52</v>
      </c>
      <c r="E107" s="426">
        <v>11.9</v>
      </c>
      <c r="F107" s="427">
        <v>16</v>
      </c>
      <c r="G107" s="428">
        <v>1075</v>
      </c>
      <c r="H107" s="428">
        <v>1809</v>
      </c>
      <c r="I107" s="428">
        <v>98.8</v>
      </c>
      <c r="J107" s="428">
        <v>107</v>
      </c>
      <c r="K107" s="428" t="s">
        <v>561</v>
      </c>
      <c r="L107" s="426">
        <v>32.909999999999997</v>
      </c>
      <c r="M107" s="426">
        <v>32.94</v>
      </c>
      <c r="N107" s="426">
        <v>61.8</v>
      </c>
      <c r="O107" s="429" t="s">
        <v>142</v>
      </c>
      <c r="P107" s="429" t="s">
        <v>142</v>
      </c>
      <c r="Q107" s="429" t="s">
        <v>142</v>
      </c>
      <c r="R107" s="429" t="s">
        <v>564</v>
      </c>
      <c r="S107" s="429">
        <v>61.8</v>
      </c>
      <c r="T107" s="430" t="s">
        <v>23</v>
      </c>
      <c r="U107" s="429" t="s">
        <v>466</v>
      </c>
      <c r="V107" s="431"/>
      <c r="W107" s="306"/>
      <c r="CM107" s="271"/>
      <c r="CN107" s="271"/>
      <c r="CO107" s="271"/>
      <c r="CP107" s="271"/>
      <c r="CQ107" s="271"/>
      <c r="CR107" s="271"/>
      <c r="CS107" s="271"/>
      <c r="CT107" s="271"/>
      <c r="CU107" s="271"/>
      <c r="CV107" s="271"/>
      <c r="CW107" s="271"/>
      <c r="CX107" s="271"/>
      <c r="CY107" s="271"/>
    </row>
    <row r="108" spans="1:103" s="273" customFormat="1" ht="43.5" customHeight="1" x14ac:dyDescent="0.35">
      <c r="A108" s="423" t="s">
        <v>381</v>
      </c>
      <c r="B108" s="424">
        <v>44363</v>
      </c>
      <c r="C108" s="422">
        <v>0.25</v>
      </c>
      <c r="D108" s="425">
        <v>52</v>
      </c>
      <c r="E108" s="426">
        <v>12.2</v>
      </c>
      <c r="F108" s="427">
        <v>16</v>
      </c>
      <c r="G108" s="428">
        <v>1042</v>
      </c>
      <c r="H108" s="428">
        <v>1818</v>
      </c>
      <c r="I108" s="428">
        <v>99.2</v>
      </c>
      <c r="J108" s="428">
        <v>107</v>
      </c>
      <c r="K108" s="428" t="s">
        <v>561</v>
      </c>
      <c r="L108" s="426">
        <v>31.23</v>
      </c>
      <c r="M108" s="426">
        <v>32.94</v>
      </c>
      <c r="N108" s="426">
        <v>51.23</v>
      </c>
      <c r="O108" s="429" t="s">
        <v>142</v>
      </c>
      <c r="P108" s="429" t="s">
        <v>142</v>
      </c>
      <c r="Q108" s="429" t="s">
        <v>142</v>
      </c>
      <c r="R108" s="429" t="s">
        <v>564</v>
      </c>
      <c r="S108" s="429">
        <v>57.3</v>
      </c>
      <c r="T108" s="430" t="s">
        <v>23</v>
      </c>
      <c r="U108" s="429" t="s">
        <v>466</v>
      </c>
      <c r="V108" s="431"/>
      <c r="W108" s="306"/>
      <c r="CM108" s="271"/>
      <c r="CN108" s="271"/>
      <c r="CO108" s="271"/>
      <c r="CP108" s="271"/>
      <c r="CQ108" s="271"/>
      <c r="CR108" s="271"/>
      <c r="CS108" s="271"/>
      <c r="CT108" s="271"/>
      <c r="CU108" s="271"/>
      <c r="CV108" s="271"/>
      <c r="CW108" s="271"/>
      <c r="CX108" s="271"/>
      <c r="CY108" s="271"/>
    </row>
    <row r="109" spans="1:103" s="273" customFormat="1" ht="43.5" customHeight="1" x14ac:dyDescent="0.35">
      <c r="A109" s="423" t="s">
        <v>381</v>
      </c>
      <c r="B109" s="424">
        <v>44364</v>
      </c>
      <c r="C109" s="422">
        <v>0.25</v>
      </c>
      <c r="D109" s="425">
        <v>52</v>
      </c>
      <c r="E109" s="426">
        <v>12.1</v>
      </c>
      <c r="F109" s="427">
        <v>16</v>
      </c>
      <c r="G109" s="428">
        <v>1044</v>
      </c>
      <c r="H109" s="428">
        <v>1893</v>
      </c>
      <c r="I109" s="428">
        <v>99.2</v>
      </c>
      <c r="J109" s="428">
        <v>107</v>
      </c>
      <c r="K109" s="428" t="s">
        <v>623</v>
      </c>
      <c r="L109" s="426">
        <v>32.299999999999997</v>
      </c>
      <c r="M109" s="426">
        <v>33</v>
      </c>
      <c r="N109" s="426">
        <v>51.83</v>
      </c>
      <c r="O109" s="429" t="s">
        <v>142</v>
      </c>
      <c r="P109" s="429" t="s">
        <v>142</v>
      </c>
      <c r="Q109" s="429" t="s">
        <v>142</v>
      </c>
      <c r="R109" s="429" t="s">
        <v>564</v>
      </c>
      <c r="S109" s="429">
        <v>61.3</v>
      </c>
      <c r="T109" s="430" t="s">
        <v>23</v>
      </c>
      <c r="U109" s="429" t="s">
        <v>635</v>
      </c>
      <c r="V109" s="431"/>
      <c r="W109" s="306"/>
      <c r="CM109" s="271"/>
      <c r="CN109" s="271"/>
      <c r="CO109" s="271"/>
      <c r="CP109" s="271"/>
      <c r="CQ109" s="271"/>
      <c r="CR109" s="271"/>
      <c r="CS109" s="271"/>
      <c r="CT109" s="271"/>
      <c r="CU109" s="271"/>
      <c r="CV109" s="271"/>
      <c r="CW109" s="271"/>
      <c r="CX109" s="271"/>
      <c r="CY109" s="271"/>
    </row>
    <row r="110" spans="1:103" s="273" customFormat="1" ht="43.5" customHeight="1" x14ac:dyDescent="0.35">
      <c r="A110" s="423" t="s">
        <v>381</v>
      </c>
      <c r="B110" s="424">
        <v>44365</v>
      </c>
      <c r="C110" s="422">
        <v>0.25</v>
      </c>
      <c r="D110" s="1516" t="s">
        <v>642</v>
      </c>
      <c r="E110" s="1517"/>
      <c r="F110" s="1517"/>
      <c r="G110" s="1517"/>
      <c r="H110" s="1517"/>
      <c r="I110" s="1517"/>
      <c r="J110" s="1517"/>
      <c r="K110" s="1518"/>
      <c r="L110" s="426">
        <v>31.83</v>
      </c>
      <c r="M110" s="426"/>
      <c r="N110" s="426"/>
      <c r="O110" s="429" t="s">
        <v>142</v>
      </c>
      <c r="P110" s="429" t="s">
        <v>142</v>
      </c>
      <c r="Q110" s="429" t="s">
        <v>142</v>
      </c>
      <c r="R110" s="429"/>
      <c r="S110" s="429"/>
      <c r="T110" s="430" t="s">
        <v>23</v>
      </c>
      <c r="U110" s="429" t="s">
        <v>635</v>
      </c>
      <c r="V110" s="431"/>
      <c r="W110" s="306"/>
      <c r="CM110" s="271"/>
      <c r="CN110" s="271"/>
      <c r="CO110" s="271"/>
      <c r="CP110" s="271"/>
      <c r="CQ110" s="271"/>
      <c r="CR110" s="271"/>
      <c r="CS110" s="271"/>
      <c r="CT110" s="271"/>
      <c r="CU110" s="271"/>
      <c r="CV110" s="271"/>
      <c r="CW110" s="271"/>
      <c r="CX110" s="271"/>
      <c r="CY110" s="271"/>
    </row>
    <row r="111" spans="1:103" s="273" customFormat="1" ht="43.5" customHeight="1" x14ac:dyDescent="0.35">
      <c r="A111" s="423" t="s">
        <v>381</v>
      </c>
      <c r="B111" s="424">
        <v>44366</v>
      </c>
      <c r="C111" s="422">
        <v>0.25</v>
      </c>
      <c r="D111" s="1516" t="s">
        <v>650</v>
      </c>
      <c r="E111" s="1517"/>
      <c r="F111" s="1517"/>
      <c r="G111" s="1517"/>
      <c r="H111" s="1517"/>
      <c r="I111" s="1517"/>
      <c r="J111" s="1517"/>
      <c r="K111" s="1518"/>
      <c r="L111" s="426">
        <v>32.19</v>
      </c>
      <c r="M111" s="426"/>
      <c r="N111" s="426"/>
      <c r="O111" s="429" t="s">
        <v>142</v>
      </c>
      <c r="P111" s="429" t="s">
        <v>142</v>
      </c>
      <c r="Q111" s="429" t="s">
        <v>142</v>
      </c>
      <c r="R111" s="429"/>
      <c r="S111" s="429"/>
      <c r="T111" s="430" t="s">
        <v>23</v>
      </c>
      <c r="U111" s="429" t="s">
        <v>635</v>
      </c>
      <c r="V111" s="431"/>
      <c r="W111" s="306"/>
      <c r="CM111" s="271"/>
      <c r="CN111" s="271"/>
      <c r="CO111" s="271"/>
      <c r="CP111" s="271"/>
      <c r="CQ111" s="271"/>
      <c r="CR111" s="271"/>
      <c r="CS111" s="271"/>
      <c r="CT111" s="271"/>
      <c r="CU111" s="271"/>
      <c r="CV111" s="271"/>
      <c r="CW111" s="271"/>
      <c r="CX111" s="271"/>
      <c r="CY111" s="271"/>
    </row>
    <row r="112" spans="1:103" s="273" customFormat="1" ht="43.5" customHeight="1" x14ac:dyDescent="0.35">
      <c r="A112" s="423" t="s">
        <v>381</v>
      </c>
      <c r="B112" s="424">
        <v>44367</v>
      </c>
      <c r="C112" s="422">
        <v>0.25</v>
      </c>
      <c r="D112" s="1516" t="s">
        <v>650</v>
      </c>
      <c r="E112" s="1517"/>
      <c r="F112" s="1517"/>
      <c r="G112" s="1517"/>
      <c r="H112" s="1517"/>
      <c r="I112" s="1517"/>
      <c r="J112" s="1517"/>
      <c r="K112" s="1518"/>
      <c r="L112" s="426">
        <v>32.19</v>
      </c>
      <c r="M112" s="426"/>
      <c r="N112" s="426"/>
      <c r="O112" s="429" t="s">
        <v>142</v>
      </c>
      <c r="P112" s="429" t="s">
        <v>142</v>
      </c>
      <c r="Q112" s="429" t="s">
        <v>142</v>
      </c>
      <c r="R112" s="429"/>
      <c r="S112" s="429"/>
      <c r="T112" s="430" t="s">
        <v>23</v>
      </c>
      <c r="U112" s="429" t="s">
        <v>635</v>
      </c>
      <c r="V112" s="431"/>
      <c r="W112" s="306"/>
      <c r="CM112" s="271"/>
      <c r="CN112" s="271"/>
      <c r="CO112" s="271"/>
      <c r="CP112" s="271"/>
      <c r="CQ112" s="271"/>
      <c r="CR112" s="271"/>
      <c r="CS112" s="271"/>
      <c r="CT112" s="271"/>
      <c r="CU112" s="271"/>
      <c r="CV112" s="271"/>
      <c r="CW112" s="271"/>
      <c r="CX112" s="271"/>
      <c r="CY112" s="271"/>
    </row>
    <row r="113" spans="1:103" s="273" customFormat="1" ht="43.5" customHeight="1" x14ac:dyDescent="0.35">
      <c r="A113" s="423" t="s">
        <v>381</v>
      </c>
      <c r="B113" s="424">
        <v>44368</v>
      </c>
      <c r="C113" s="422">
        <v>0.25</v>
      </c>
      <c r="D113" s="425">
        <v>54</v>
      </c>
      <c r="E113" s="426">
        <v>12.7</v>
      </c>
      <c r="F113" s="427">
        <v>16.600000000000001</v>
      </c>
      <c r="G113" s="428">
        <v>1135.3</v>
      </c>
      <c r="H113" s="428">
        <v>1615</v>
      </c>
      <c r="I113" s="428">
        <v>97.7</v>
      </c>
      <c r="J113" s="428">
        <v>109.3</v>
      </c>
      <c r="K113" s="428" t="s">
        <v>652</v>
      </c>
      <c r="L113" s="426">
        <v>35.25</v>
      </c>
      <c r="M113" s="426">
        <v>35.94</v>
      </c>
      <c r="N113" s="426">
        <v>56.08</v>
      </c>
      <c r="O113" s="429" t="s">
        <v>142</v>
      </c>
      <c r="P113" s="429" t="s">
        <v>142</v>
      </c>
      <c r="Q113" s="429" t="s">
        <v>142</v>
      </c>
      <c r="R113" s="429" t="s">
        <v>535</v>
      </c>
      <c r="S113" s="429">
        <v>70.900000000000006</v>
      </c>
      <c r="T113" s="430" t="s">
        <v>653</v>
      </c>
      <c r="U113" s="429" t="s">
        <v>635</v>
      </c>
      <c r="V113" s="431"/>
      <c r="W113" s="306"/>
      <c r="CM113" s="271"/>
      <c r="CN113" s="271"/>
      <c r="CO113" s="271"/>
      <c r="CP113" s="271"/>
      <c r="CQ113" s="271"/>
      <c r="CR113" s="271"/>
      <c r="CS113" s="271"/>
      <c r="CT113" s="271"/>
      <c r="CU113" s="271"/>
      <c r="CV113" s="271"/>
      <c r="CW113" s="271"/>
      <c r="CX113" s="271"/>
      <c r="CY113" s="271"/>
    </row>
    <row r="114" spans="1:103" s="273" customFormat="1" ht="43.5" customHeight="1" x14ac:dyDescent="0.35">
      <c r="A114" s="423" t="s">
        <v>381</v>
      </c>
      <c r="B114" s="424">
        <v>44369</v>
      </c>
      <c r="C114" s="422">
        <v>0.25</v>
      </c>
      <c r="D114" s="425">
        <v>54</v>
      </c>
      <c r="E114" s="426">
        <v>13.3</v>
      </c>
      <c r="F114" s="427">
        <v>17</v>
      </c>
      <c r="G114" s="428">
        <v>1020.8</v>
      </c>
      <c r="H114" s="428">
        <v>1903</v>
      </c>
      <c r="I114" s="428">
        <v>99.2</v>
      </c>
      <c r="J114" s="428">
        <v>108.5</v>
      </c>
      <c r="K114" s="428" t="s">
        <v>665</v>
      </c>
      <c r="L114" s="426">
        <v>35.82</v>
      </c>
      <c r="M114" s="426">
        <v>37</v>
      </c>
      <c r="N114" s="426">
        <v>54.33</v>
      </c>
      <c r="O114" s="429" t="s">
        <v>142</v>
      </c>
      <c r="P114" s="429" t="s">
        <v>142</v>
      </c>
      <c r="Q114" s="429" t="s">
        <v>142</v>
      </c>
      <c r="R114" s="429" t="s">
        <v>666</v>
      </c>
      <c r="S114" s="429">
        <v>72.2</v>
      </c>
      <c r="T114" s="430" t="s">
        <v>653</v>
      </c>
      <c r="U114" s="429" t="s">
        <v>236</v>
      </c>
      <c r="V114" s="431"/>
      <c r="W114" s="306"/>
      <c r="CM114" s="271"/>
      <c r="CN114" s="271"/>
      <c r="CO114" s="271"/>
      <c r="CP114" s="271"/>
      <c r="CQ114" s="271"/>
      <c r="CR114" s="271"/>
      <c r="CS114" s="271"/>
      <c r="CT114" s="271"/>
      <c r="CU114" s="271"/>
      <c r="CV114" s="271"/>
      <c r="CW114" s="271"/>
      <c r="CX114" s="271"/>
      <c r="CY114" s="271"/>
    </row>
    <row r="115" spans="1:103" s="273" customFormat="1" ht="43.5" customHeight="1" x14ac:dyDescent="0.35">
      <c r="A115" s="423" t="s">
        <v>381</v>
      </c>
      <c r="B115" s="424">
        <v>44370</v>
      </c>
      <c r="C115" s="422">
        <v>0.25</v>
      </c>
      <c r="D115" s="425">
        <v>54</v>
      </c>
      <c r="E115" s="426">
        <v>13.1</v>
      </c>
      <c r="F115" s="427">
        <v>16.8</v>
      </c>
      <c r="G115" s="428">
        <v>1034</v>
      </c>
      <c r="H115" s="428">
        <v>1852</v>
      </c>
      <c r="I115" s="428">
        <v>99</v>
      </c>
      <c r="J115" s="428">
        <v>107.8</v>
      </c>
      <c r="K115" s="428" t="s">
        <v>670</v>
      </c>
      <c r="L115" s="426">
        <v>34.26</v>
      </c>
      <c r="M115" s="426">
        <v>37</v>
      </c>
      <c r="N115" s="426">
        <v>54.09</v>
      </c>
      <c r="O115" s="429" t="s">
        <v>142</v>
      </c>
      <c r="P115" s="429" t="s">
        <v>142</v>
      </c>
      <c r="Q115" s="429" t="s">
        <v>142</v>
      </c>
      <c r="R115" s="429" t="s">
        <v>666</v>
      </c>
      <c r="S115" s="429">
        <v>71.3</v>
      </c>
      <c r="T115" s="430" t="s">
        <v>653</v>
      </c>
      <c r="U115" s="429" t="s">
        <v>236</v>
      </c>
      <c r="V115" s="431"/>
      <c r="W115" s="306"/>
      <c r="CM115" s="271"/>
      <c r="CN115" s="271"/>
      <c r="CO115" s="271"/>
      <c r="CP115" s="271"/>
      <c r="CQ115" s="271"/>
      <c r="CR115" s="271"/>
      <c r="CS115" s="271"/>
      <c r="CT115" s="271"/>
      <c r="CU115" s="271"/>
      <c r="CV115" s="271"/>
      <c r="CW115" s="271"/>
      <c r="CX115" s="271"/>
      <c r="CY115" s="271"/>
    </row>
    <row r="116" spans="1:103" s="273" customFormat="1" ht="43.5" customHeight="1" x14ac:dyDescent="0.35">
      <c r="A116" s="423" t="s">
        <v>381</v>
      </c>
      <c r="B116" s="424">
        <v>44371</v>
      </c>
      <c r="C116" s="422">
        <v>0.25</v>
      </c>
      <c r="D116" s="425">
        <v>54</v>
      </c>
      <c r="E116" s="426">
        <v>13.1</v>
      </c>
      <c r="F116" s="427">
        <v>16.8</v>
      </c>
      <c r="G116" s="428">
        <v>1034</v>
      </c>
      <c r="H116" s="428">
        <v>1953</v>
      </c>
      <c r="I116" s="428">
        <v>99</v>
      </c>
      <c r="J116" s="428">
        <v>108</v>
      </c>
      <c r="K116" s="428" t="s">
        <v>672</v>
      </c>
      <c r="L116" s="426">
        <v>36.1</v>
      </c>
      <c r="M116" s="426">
        <v>38</v>
      </c>
      <c r="N116" s="426">
        <v>54</v>
      </c>
      <c r="O116" s="429" t="s">
        <v>142</v>
      </c>
      <c r="P116" s="429" t="s">
        <v>142</v>
      </c>
      <c r="Q116" s="429" t="s">
        <v>142</v>
      </c>
      <c r="R116" s="429" t="s">
        <v>666</v>
      </c>
      <c r="S116" s="429">
        <v>70.5</v>
      </c>
      <c r="T116" s="430" t="s">
        <v>653</v>
      </c>
      <c r="U116" s="429" t="s">
        <v>236</v>
      </c>
      <c r="V116" s="431"/>
      <c r="W116" s="306"/>
      <c r="CM116" s="271"/>
      <c r="CN116" s="271"/>
      <c r="CO116" s="271"/>
      <c r="CP116" s="271"/>
      <c r="CQ116" s="271"/>
      <c r="CR116" s="271"/>
      <c r="CS116" s="271"/>
      <c r="CT116" s="271"/>
      <c r="CU116" s="271"/>
      <c r="CV116" s="271"/>
      <c r="CW116" s="271"/>
      <c r="CX116" s="271"/>
      <c r="CY116" s="271"/>
    </row>
    <row r="117" spans="1:103" s="273" customFormat="1" ht="43.5" customHeight="1" x14ac:dyDescent="0.35">
      <c r="A117" s="423" t="s">
        <v>381</v>
      </c>
      <c r="B117" s="424">
        <v>44372</v>
      </c>
      <c r="C117" s="422">
        <v>0.25</v>
      </c>
      <c r="D117" s="425">
        <v>54</v>
      </c>
      <c r="E117" s="426">
        <v>12.6</v>
      </c>
      <c r="F117" s="427">
        <v>16.3</v>
      </c>
      <c r="G117" s="428">
        <v>1044</v>
      </c>
      <c r="H117" s="428">
        <v>1978</v>
      </c>
      <c r="I117" s="428">
        <v>99</v>
      </c>
      <c r="J117" s="428">
        <v>107</v>
      </c>
      <c r="K117" s="428" t="s">
        <v>674</v>
      </c>
      <c r="L117" s="426">
        <v>36.409999999999997</v>
      </c>
      <c r="M117" s="426">
        <v>38</v>
      </c>
      <c r="N117" s="426">
        <v>52.06</v>
      </c>
      <c r="O117" s="429" t="s">
        <v>142</v>
      </c>
      <c r="P117" s="429" t="s">
        <v>142</v>
      </c>
      <c r="Q117" s="429" t="s">
        <v>142</v>
      </c>
      <c r="R117" s="429" t="s">
        <v>666</v>
      </c>
      <c r="S117" s="429">
        <v>70.900000000000006</v>
      </c>
      <c r="T117" s="430" t="s">
        <v>653</v>
      </c>
      <c r="U117" s="429" t="s">
        <v>236</v>
      </c>
      <c r="V117" s="431"/>
      <c r="W117" s="306"/>
      <c r="CM117" s="271"/>
      <c r="CN117" s="271"/>
      <c r="CO117" s="271"/>
      <c r="CP117" s="271"/>
      <c r="CQ117" s="271"/>
      <c r="CR117" s="271"/>
      <c r="CS117" s="271"/>
      <c r="CT117" s="271"/>
      <c r="CU117" s="271"/>
      <c r="CV117" s="271"/>
      <c r="CW117" s="271"/>
      <c r="CX117" s="271"/>
      <c r="CY117" s="271"/>
    </row>
    <row r="118" spans="1:103" s="273" customFormat="1" ht="43.5" customHeight="1" x14ac:dyDescent="0.35">
      <c r="A118" s="423" t="s">
        <v>381</v>
      </c>
      <c r="B118" s="424">
        <v>44373</v>
      </c>
      <c r="C118" s="422">
        <v>0.25</v>
      </c>
      <c r="D118" s="425">
        <v>54</v>
      </c>
      <c r="E118" s="426">
        <v>12.7</v>
      </c>
      <c r="F118" s="427">
        <v>16.600000000000001</v>
      </c>
      <c r="G118" s="428">
        <v>1036</v>
      </c>
      <c r="H118" s="428">
        <v>1926</v>
      </c>
      <c r="I118" s="428">
        <v>99</v>
      </c>
      <c r="J118" s="428">
        <v>108</v>
      </c>
      <c r="K118" s="428" t="s">
        <v>675</v>
      </c>
      <c r="L118" s="426">
        <v>36.229999999999997</v>
      </c>
      <c r="M118" s="426">
        <v>38.5</v>
      </c>
      <c r="N118" s="426">
        <v>51.41</v>
      </c>
      <c r="O118" s="429" t="s">
        <v>142</v>
      </c>
      <c r="P118" s="429" t="s">
        <v>142</v>
      </c>
      <c r="Q118" s="429" t="s">
        <v>142</v>
      </c>
      <c r="R118" s="429" t="s">
        <v>666</v>
      </c>
      <c r="S118" s="429">
        <v>69.2</v>
      </c>
      <c r="T118" s="430" t="s">
        <v>653</v>
      </c>
      <c r="U118" s="429" t="s">
        <v>236</v>
      </c>
      <c r="V118" s="431"/>
      <c r="W118" s="306"/>
      <c r="CM118" s="271"/>
      <c r="CN118" s="271"/>
      <c r="CO118" s="271"/>
      <c r="CP118" s="271"/>
      <c r="CQ118" s="271"/>
      <c r="CR118" s="271"/>
      <c r="CS118" s="271"/>
      <c r="CT118" s="271"/>
      <c r="CU118" s="271"/>
      <c r="CV118" s="271"/>
      <c r="CW118" s="271"/>
      <c r="CX118" s="271"/>
      <c r="CY118" s="271"/>
    </row>
    <row r="119" spans="1:103" s="273" customFormat="1" ht="43.5" customHeight="1" x14ac:dyDescent="0.35">
      <c r="A119" s="423" t="s">
        <v>381</v>
      </c>
      <c r="B119" s="424">
        <v>44374</v>
      </c>
      <c r="C119" s="422">
        <v>0.25</v>
      </c>
      <c r="D119" s="425">
        <v>54</v>
      </c>
      <c r="E119" s="426">
        <v>12.2</v>
      </c>
      <c r="F119" s="427">
        <v>15.9</v>
      </c>
      <c r="G119" s="428">
        <v>1051</v>
      </c>
      <c r="H119" s="428">
        <v>1966</v>
      </c>
      <c r="I119" s="428">
        <v>99</v>
      </c>
      <c r="J119" s="428">
        <v>108</v>
      </c>
      <c r="K119" s="428" t="s">
        <v>679</v>
      </c>
      <c r="L119" s="426">
        <v>35.369999999999997</v>
      </c>
      <c r="M119" s="426">
        <v>38</v>
      </c>
      <c r="N119" s="426">
        <v>50.27</v>
      </c>
      <c r="O119" s="429" t="s">
        <v>142</v>
      </c>
      <c r="P119" s="429" t="s">
        <v>142</v>
      </c>
      <c r="Q119" s="429" t="s">
        <v>142</v>
      </c>
      <c r="R119" s="429" t="s">
        <v>666</v>
      </c>
      <c r="S119" s="429">
        <v>68.8</v>
      </c>
      <c r="T119" s="430" t="s">
        <v>653</v>
      </c>
      <c r="U119" s="429" t="s">
        <v>236</v>
      </c>
      <c r="V119" s="431"/>
      <c r="W119" s="306"/>
      <c r="CM119" s="271"/>
      <c r="CN119" s="271"/>
      <c r="CO119" s="271"/>
      <c r="CP119" s="271"/>
      <c r="CQ119" s="271"/>
      <c r="CR119" s="271"/>
      <c r="CS119" s="271"/>
      <c r="CT119" s="271"/>
      <c r="CU119" s="271"/>
      <c r="CV119" s="271"/>
      <c r="CW119" s="271"/>
      <c r="CX119" s="271"/>
      <c r="CY119" s="271"/>
    </row>
    <row r="120" spans="1:103" s="273" customFormat="1" ht="43.5" customHeight="1" x14ac:dyDescent="0.35">
      <c r="A120" s="423" t="s">
        <v>381</v>
      </c>
      <c r="B120" s="424">
        <v>44375</v>
      </c>
      <c r="C120" s="422">
        <v>0.25</v>
      </c>
      <c r="D120" s="425">
        <v>54</v>
      </c>
      <c r="E120" s="426">
        <v>12</v>
      </c>
      <c r="F120" s="427">
        <v>16.2</v>
      </c>
      <c r="G120" s="428">
        <v>1046</v>
      </c>
      <c r="H120" s="428">
        <v>1941.6</v>
      </c>
      <c r="I120" s="428">
        <v>98.8</v>
      </c>
      <c r="J120" s="428">
        <v>109.3</v>
      </c>
      <c r="K120" s="428" t="s">
        <v>681</v>
      </c>
      <c r="L120" s="426">
        <v>36.450000000000003</v>
      </c>
      <c r="M120" s="426">
        <v>38</v>
      </c>
      <c r="N120" s="426">
        <v>49.88</v>
      </c>
      <c r="O120" s="429" t="s">
        <v>142</v>
      </c>
      <c r="P120" s="429" t="s">
        <v>142</v>
      </c>
      <c r="Q120" s="429" t="s">
        <v>142</v>
      </c>
      <c r="R120" s="429" t="s">
        <v>666</v>
      </c>
      <c r="S120" s="429">
        <v>70</v>
      </c>
      <c r="T120" s="430" t="s">
        <v>653</v>
      </c>
      <c r="U120" s="429" t="s">
        <v>236</v>
      </c>
      <c r="V120" s="431"/>
      <c r="W120" s="306"/>
      <c r="CM120" s="271"/>
      <c r="CN120" s="271"/>
      <c r="CO120" s="271"/>
      <c r="CP120" s="271"/>
      <c r="CQ120" s="271"/>
      <c r="CR120" s="271"/>
      <c r="CS120" s="271"/>
      <c r="CT120" s="271"/>
      <c r="CU120" s="271"/>
      <c r="CV120" s="271"/>
      <c r="CW120" s="271"/>
      <c r="CX120" s="271"/>
      <c r="CY120" s="271"/>
    </row>
    <row r="121" spans="1:103" s="273" customFormat="1" ht="43.5" customHeight="1" x14ac:dyDescent="0.35">
      <c r="A121" s="423" t="s">
        <v>381</v>
      </c>
      <c r="B121" s="424">
        <v>44376</v>
      </c>
      <c r="C121" s="422">
        <v>0.25</v>
      </c>
      <c r="D121" s="425">
        <v>54</v>
      </c>
      <c r="E121" s="426">
        <v>12.3</v>
      </c>
      <c r="F121" s="427">
        <v>16.100000000000001</v>
      </c>
      <c r="G121" s="428">
        <v>1052.8</v>
      </c>
      <c r="H121" s="428">
        <v>1965.8</v>
      </c>
      <c r="I121" s="428">
        <v>97.9</v>
      </c>
      <c r="J121" s="428">
        <v>111.3</v>
      </c>
      <c r="K121" s="428" t="s">
        <v>683</v>
      </c>
      <c r="L121" s="426">
        <v>37.35</v>
      </c>
      <c r="M121" s="426">
        <v>38.5</v>
      </c>
      <c r="N121" s="426">
        <v>50.76</v>
      </c>
      <c r="O121" s="429" t="s">
        <v>142</v>
      </c>
      <c r="P121" s="429" t="s">
        <v>142</v>
      </c>
      <c r="Q121" s="429" t="s">
        <v>142</v>
      </c>
      <c r="R121" s="429" t="s">
        <v>666</v>
      </c>
      <c r="S121" s="429">
        <v>69.599999999999994</v>
      </c>
      <c r="T121" s="430" t="s">
        <v>653</v>
      </c>
      <c r="U121" s="429" t="s">
        <v>236</v>
      </c>
      <c r="V121" s="431"/>
      <c r="W121" s="306"/>
      <c r="CM121" s="271"/>
      <c r="CN121" s="271"/>
      <c r="CO121" s="271"/>
      <c r="CP121" s="271"/>
      <c r="CQ121" s="271"/>
      <c r="CR121" s="271"/>
      <c r="CS121" s="271"/>
      <c r="CT121" s="271"/>
      <c r="CU121" s="271"/>
      <c r="CV121" s="271"/>
      <c r="CW121" s="271"/>
      <c r="CX121" s="271"/>
      <c r="CY121" s="271"/>
    </row>
    <row r="122" spans="1:103" s="273" customFormat="1" ht="43.5" customHeight="1" x14ac:dyDescent="0.35">
      <c r="A122" s="423" t="s">
        <v>381</v>
      </c>
      <c r="B122" s="424">
        <v>44377</v>
      </c>
      <c r="C122" s="422">
        <v>0.25</v>
      </c>
      <c r="D122" s="425">
        <v>54</v>
      </c>
      <c r="E122" s="426">
        <v>12.2</v>
      </c>
      <c r="F122" s="427">
        <v>16.399999999999999</v>
      </c>
      <c r="G122" s="428">
        <v>1039.5999999999999</v>
      </c>
      <c r="H122" s="428">
        <v>1935.3</v>
      </c>
      <c r="I122" s="428">
        <v>98.6</v>
      </c>
      <c r="J122" s="428">
        <v>110.2</v>
      </c>
      <c r="K122" s="428" t="s">
        <v>685</v>
      </c>
      <c r="L122" s="426">
        <v>36.25</v>
      </c>
      <c r="M122" s="426">
        <v>38</v>
      </c>
      <c r="N122" s="426">
        <v>51.49</v>
      </c>
      <c r="O122" s="429" t="s">
        <v>142</v>
      </c>
      <c r="P122" s="429" t="s">
        <v>142</v>
      </c>
      <c r="Q122" s="429" t="s">
        <v>142</v>
      </c>
      <c r="R122" s="429" t="s">
        <v>666</v>
      </c>
      <c r="S122" s="429">
        <v>70</v>
      </c>
      <c r="T122" s="430" t="s">
        <v>653</v>
      </c>
      <c r="U122" s="429" t="s">
        <v>236</v>
      </c>
      <c r="V122" s="431"/>
      <c r="W122" s="306"/>
      <c r="CM122" s="271"/>
      <c r="CN122" s="271"/>
      <c r="CO122" s="271"/>
      <c r="CP122" s="271"/>
      <c r="CQ122" s="271"/>
      <c r="CR122" s="271"/>
      <c r="CS122" s="271"/>
      <c r="CT122" s="271"/>
      <c r="CU122" s="271"/>
      <c r="CV122" s="271"/>
      <c r="CW122" s="271"/>
      <c r="CX122" s="271"/>
      <c r="CY122" s="271"/>
    </row>
    <row r="123" spans="1:103" s="273" customFormat="1" ht="43.5" customHeight="1" x14ac:dyDescent="0.35">
      <c r="A123" s="423" t="s">
        <v>381</v>
      </c>
      <c r="B123" s="424">
        <v>44378</v>
      </c>
      <c r="C123" s="422">
        <v>0.25</v>
      </c>
      <c r="D123" s="425">
        <v>54</v>
      </c>
      <c r="E123" s="426">
        <v>12</v>
      </c>
      <c r="F123" s="427">
        <v>16.100000000000001</v>
      </c>
      <c r="G123" s="428">
        <v>1042</v>
      </c>
      <c r="H123" s="428">
        <v>1941.6</v>
      </c>
      <c r="I123" s="428">
        <v>98.3</v>
      </c>
      <c r="J123" s="428">
        <v>110.6</v>
      </c>
      <c r="K123" s="428" t="s">
        <v>687</v>
      </c>
      <c r="L123" s="426">
        <v>36.79</v>
      </c>
      <c r="M123" s="426">
        <v>37.5</v>
      </c>
      <c r="N123" s="426">
        <v>51.34</v>
      </c>
      <c r="O123" s="429" t="s">
        <v>142</v>
      </c>
      <c r="P123" s="429" t="s">
        <v>142</v>
      </c>
      <c r="Q123" s="429" t="s">
        <v>142</v>
      </c>
      <c r="R123" s="429" t="s">
        <v>666</v>
      </c>
      <c r="S123" s="429">
        <v>69.599999999999994</v>
      </c>
      <c r="T123" s="430" t="s">
        <v>653</v>
      </c>
      <c r="U123" s="429" t="s">
        <v>236</v>
      </c>
      <c r="V123" s="431"/>
      <c r="W123" s="306"/>
      <c r="CM123" s="271"/>
      <c r="CN123" s="271"/>
      <c r="CO123" s="271"/>
      <c r="CP123" s="271"/>
      <c r="CQ123" s="271"/>
      <c r="CR123" s="271"/>
      <c r="CS123" s="271"/>
      <c r="CT123" s="271"/>
      <c r="CU123" s="271"/>
      <c r="CV123" s="271"/>
      <c r="CW123" s="271"/>
      <c r="CX123" s="271"/>
      <c r="CY123" s="271"/>
    </row>
    <row r="124" spans="1:103" s="273" customFormat="1" ht="43.5" customHeight="1" x14ac:dyDescent="0.35">
      <c r="A124" s="423" t="s">
        <v>381</v>
      </c>
      <c r="B124" s="424">
        <v>44379</v>
      </c>
      <c r="C124" s="422">
        <v>0.25</v>
      </c>
      <c r="D124" s="425">
        <v>54</v>
      </c>
      <c r="E124" s="426">
        <v>12.8</v>
      </c>
      <c r="F124" s="427">
        <v>16.2</v>
      </c>
      <c r="G124" s="428">
        <v>1038</v>
      </c>
      <c r="H124" s="428">
        <v>1945</v>
      </c>
      <c r="I124" s="428">
        <v>99</v>
      </c>
      <c r="J124" s="428">
        <v>108</v>
      </c>
      <c r="K124" s="428" t="s">
        <v>692</v>
      </c>
      <c r="L124" s="426">
        <v>35.94</v>
      </c>
      <c r="M124" s="426">
        <v>37.5</v>
      </c>
      <c r="N124" s="426">
        <v>52.33</v>
      </c>
      <c r="O124" s="429" t="s">
        <v>142</v>
      </c>
      <c r="P124" s="429" t="s">
        <v>142</v>
      </c>
      <c r="Q124" s="429" t="s">
        <v>142</v>
      </c>
      <c r="R124" s="429" t="s">
        <v>666</v>
      </c>
      <c r="S124" s="429">
        <v>69.2</v>
      </c>
      <c r="T124" s="430" t="s">
        <v>653</v>
      </c>
      <c r="U124" s="429" t="s">
        <v>236</v>
      </c>
      <c r="V124" s="431"/>
      <c r="W124" s="306"/>
      <c r="CM124" s="271"/>
      <c r="CN124" s="271"/>
      <c r="CO124" s="271"/>
      <c r="CP124" s="271"/>
      <c r="CQ124" s="271"/>
      <c r="CR124" s="271"/>
      <c r="CS124" s="271"/>
      <c r="CT124" s="271"/>
      <c r="CU124" s="271"/>
      <c r="CV124" s="271"/>
      <c r="CW124" s="271"/>
      <c r="CX124" s="271"/>
      <c r="CY124" s="271"/>
    </row>
    <row r="125" spans="1:103" s="273" customFormat="1" ht="43.5" customHeight="1" x14ac:dyDescent="0.35">
      <c r="A125" s="423" t="s">
        <v>381</v>
      </c>
      <c r="B125" s="424">
        <v>44380</v>
      </c>
      <c r="C125" s="422">
        <v>0.25</v>
      </c>
      <c r="D125" s="425">
        <v>54</v>
      </c>
      <c r="E125" s="426">
        <v>12.5</v>
      </c>
      <c r="F125" s="427">
        <v>16.399999999999999</v>
      </c>
      <c r="G125" s="428">
        <v>1030</v>
      </c>
      <c r="H125" s="428">
        <v>1833</v>
      </c>
      <c r="I125" s="428">
        <v>99</v>
      </c>
      <c r="J125" s="428">
        <v>108</v>
      </c>
      <c r="K125" s="428" t="s">
        <v>698</v>
      </c>
      <c r="L125" s="426">
        <v>35.08</v>
      </c>
      <c r="M125" s="426">
        <v>36.5</v>
      </c>
      <c r="N125" s="426">
        <v>52.25</v>
      </c>
      <c r="O125" s="429" t="s">
        <v>142</v>
      </c>
      <c r="P125" s="429" t="s">
        <v>142</v>
      </c>
      <c r="Q125" s="429" t="s">
        <v>142</v>
      </c>
      <c r="R125" s="429" t="s">
        <v>666</v>
      </c>
      <c r="S125" s="429">
        <v>70.5</v>
      </c>
      <c r="T125" s="430" t="s">
        <v>653</v>
      </c>
      <c r="U125" s="429" t="s">
        <v>236</v>
      </c>
      <c r="V125" s="431"/>
      <c r="W125" s="306"/>
      <c r="CM125" s="271"/>
      <c r="CN125" s="271"/>
      <c r="CO125" s="271"/>
      <c r="CP125" s="271"/>
      <c r="CQ125" s="271"/>
      <c r="CR125" s="271"/>
      <c r="CS125" s="271"/>
      <c r="CT125" s="271"/>
      <c r="CU125" s="271"/>
      <c r="CV125" s="271"/>
      <c r="CW125" s="271"/>
      <c r="CX125" s="271"/>
      <c r="CY125" s="271"/>
    </row>
    <row r="126" spans="1:103" s="273" customFormat="1" ht="43.5" customHeight="1" x14ac:dyDescent="0.35">
      <c r="A126" s="423" t="s">
        <v>381</v>
      </c>
      <c r="B126" s="424">
        <v>44381</v>
      </c>
      <c r="C126" s="422">
        <v>0.25</v>
      </c>
      <c r="D126" s="425">
        <v>54</v>
      </c>
      <c r="E126" s="426">
        <v>12.2</v>
      </c>
      <c r="F126" s="427">
        <v>16</v>
      </c>
      <c r="G126" s="428">
        <v>1014.4</v>
      </c>
      <c r="H126" s="428">
        <v>1900.5</v>
      </c>
      <c r="I126" s="428">
        <v>99</v>
      </c>
      <c r="J126" s="428">
        <v>108.4</v>
      </c>
      <c r="K126" s="428" t="s">
        <v>702</v>
      </c>
      <c r="L126" s="426">
        <v>33.6</v>
      </c>
      <c r="M126" s="426">
        <v>35.5</v>
      </c>
      <c r="N126" s="426">
        <v>53.13</v>
      </c>
      <c r="O126" s="429" t="s">
        <v>142</v>
      </c>
      <c r="P126" s="429" t="s">
        <v>142</v>
      </c>
      <c r="Q126" s="429" t="s">
        <v>142</v>
      </c>
      <c r="R126" s="429" t="s">
        <v>666</v>
      </c>
      <c r="S126" s="429">
        <v>68.3</v>
      </c>
      <c r="T126" s="430" t="s">
        <v>653</v>
      </c>
      <c r="U126" s="429" t="s">
        <v>236</v>
      </c>
      <c r="V126" s="431"/>
      <c r="W126" s="306"/>
      <c r="CM126" s="271"/>
      <c r="CN126" s="271"/>
      <c r="CO126" s="271"/>
      <c r="CP126" s="271"/>
      <c r="CQ126" s="271"/>
      <c r="CR126" s="271"/>
      <c r="CS126" s="271"/>
      <c r="CT126" s="271"/>
      <c r="CU126" s="271"/>
      <c r="CV126" s="271"/>
      <c r="CW126" s="271"/>
      <c r="CX126" s="271"/>
      <c r="CY126" s="271"/>
    </row>
    <row r="127" spans="1:103" s="273" customFormat="1" ht="30" customHeight="1" x14ac:dyDescent="0.35">
      <c r="A127" s="423" t="s">
        <v>381</v>
      </c>
      <c r="B127" s="424">
        <v>44382</v>
      </c>
      <c r="C127" s="422">
        <v>0.25</v>
      </c>
      <c r="D127" s="425">
        <v>54</v>
      </c>
      <c r="E127" s="426">
        <v>12.2</v>
      </c>
      <c r="F127" s="427">
        <v>16.2</v>
      </c>
      <c r="G127" s="428">
        <v>1006</v>
      </c>
      <c r="H127" s="428">
        <v>1922</v>
      </c>
      <c r="I127" s="428">
        <v>99.08</v>
      </c>
      <c r="J127" s="428">
        <v>108.4</v>
      </c>
      <c r="K127" s="428" t="s">
        <v>707</v>
      </c>
      <c r="L127" s="426">
        <v>32.840000000000003</v>
      </c>
      <c r="M127" s="426">
        <v>35</v>
      </c>
      <c r="N127" s="426">
        <v>52.06</v>
      </c>
      <c r="O127" s="429"/>
      <c r="P127" s="429" t="s">
        <v>142</v>
      </c>
      <c r="Q127" s="429" t="s">
        <v>142</v>
      </c>
      <c r="R127" s="429" t="s">
        <v>666</v>
      </c>
      <c r="S127" s="429">
        <v>68.8</v>
      </c>
      <c r="T127" s="430" t="s">
        <v>653</v>
      </c>
      <c r="U127" s="429" t="s">
        <v>236</v>
      </c>
      <c r="V127" s="431"/>
      <c r="W127" s="306"/>
      <c r="CM127" s="271"/>
      <c r="CN127" s="271"/>
      <c r="CO127" s="271"/>
      <c r="CP127" s="271"/>
      <c r="CQ127" s="271"/>
      <c r="CR127" s="271"/>
      <c r="CS127" s="271"/>
      <c r="CT127" s="271"/>
      <c r="CU127" s="271"/>
      <c r="CV127" s="271"/>
      <c r="CW127" s="271"/>
      <c r="CX127" s="271"/>
      <c r="CY127" s="271"/>
    </row>
    <row r="128" spans="1:103" s="273" customFormat="1" ht="30" customHeight="1" x14ac:dyDescent="0.35">
      <c r="A128" s="423" t="s">
        <v>381</v>
      </c>
      <c r="B128" s="424">
        <v>44383</v>
      </c>
      <c r="C128" s="422">
        <v>0.25</v>
      </c>
      <c r="D128" s="425">
        <v>54</v>
      </c>
      <c r="E128" s="426">
        <v>12.8</v>
      </c>
      <c r="F128" s="427">
        <v>16.399999999999999</v>
      </c>
      <c r="G128" s="428" t="s">
        <v>713</v>
      </c>
      <c r="H128" s="428">
        <v>1918</v>
      </c>
      <c r="I128" s="428">
        <v>99.2</v>
      </c>
      <c r="J128" s="428">
        <v>108.2</v>
      </c>
      <c r="K128" s="428" t="s">
        <v>714</v>
      </c>
      <c r="L128" s="426">
        <v>33.74</v>
      </c>
      <c r="M128" s="426">
        <v>36</v>
      </c>
      <c r="N128" s="426">
        <v>52.95</v>
      </c>
      <c r="O128" s="429"/>
      <c r="P128" s="429" t="s">
        <v>142</v>
      </c>
      <c r="Q128" s="429" t="s">
        <v>142</v>
      </c>
      <c r="R128" s="429" t="s">
        <v>666</v>
      </c>
      <c r="S128" s="429">
        <v>70.5</v>
      </c>
      <c r="T128" s="430" t="s">
        <v>653</v>
      </c>
      <c r="U128" s="429" t="s">
        <v>236</v>
      </c>
      <c r="V128" s="431"/>
      <c r="W128" s="306"/>
      <c r="CM128" s="271"/>
      <c r="CN128" s="271"/>
      <c r="CO128" s="271"/>
      <c r="CP128" s="271"/>
      <c r="CQ128" s="271"/>
      <c r="CR128" s="271"/>
      <c r="CS128" s="271"/>
      <c r="CT128" s="271"/>
      <c r="CU128" s="271"/>
      <c r="CV128" s="271"/>
      <c r="CW128" s="271"/>
      <c r="CX128" s="271"/>
      <c r="CY128" s="271"/>
    </row>
    <row r="129" spans="1:103" s="273" customFormat="1" ht="30" customHeight="1" x14ac:dyDescent="0.35">
      <c r="A129" s="423" t="s">
        <v>381</v>
      </c>
      <c r="B129" s="424">
        <v>44384</v>
      </c>
      <c r="C129" s="422">
        <v>0.25</v>
      </c>
      <c r="D129" s="425">
        <v>54</v>
      </c>
      <c r="E129" s="426">
        <v>12.7</v>
      </c>
      <c r="F129" s="427">
        <v>16.3</v>
      </c>
      <c r="G129" s="428">
        <v>1005</v>
      </c>
      <c r="H129" s="428">
        <v>1912</v>
      </c>
      <c r="I129" s="428">
        <v>99.3</v>
      </c>
      <c r="J129" s="428">
        <v>108.2</v>
      </c>
      <c r="K129" s="428" t="s">
        <v>720</v>
      </c>
      <c r="L129" s="426">
        <v>34</v>
      </c>
      <c r="M129" s="426">
        <v>36</v>
      </c>
      <c r="N129" s="426">
        <v>52.83</v>
      </c>
      <c r="O129" s="429"/>
      <c r="P129" s="429" t="s">
        <v>142</v>
      </c>
      <c r="Q129" s="429" t="s">
        <v>142</v>
      </c>
      <c r="R129" s="429" t="s">
        <v>721</v>
      </c>
      <c r="S129" s="429">
        <v>71.7</v>
      </c>
      <c r="T129" s="430" t="s">
        <v>653</v>
      </c>
      <c r="U129" s="429" t="s">
        <v>236</v>
      </c>
      <c r="V129" s="431"/>
      <c r="W129" s="306"/>
      <c r="CM129" s="271"/>
      <c r="CN129" s="271"/>
      <c r="CO129" s="271"/>
      <c r="CP129" s="271"/>
      <c r="CQ129" s="271"/>
      <c r="CR129" s="271"/>
      <c r="CS129" s="271"/>
      <c r="CT129" s="271"/>
      <c r="CU129" s="271"/>
      <c r="CV129" s="271"/>
      <c r="CW129" s="271"/>
      <c r="CX129" s="271"/>
      <c r="CY129" s="271"/>
    </row>
    <row r="130" spans="1:103" s="273" customFormat="1" ht="30" customHeight="1" x14ac:dyDescent="0.35">
      <c r="A130" s="423" t="s">
        <v>381</v>
      </c>
      <c r="B130" s="424">
        <v>44385</v>
      </c>
      <c r="C130" s="422">
        <v>0.25</v>
      </c>
      <c r="D130" s="425">
        <v>54</v>
      </c>
      <c r="E130" s="426">
        <v>11.9</v>
      </c>
      <c r="F130" s="427">
        <v>16</v>
      </c>
      <c r="G130" s="428">
        <v>1005.9</v>
      </c>
      <c r="H130" s="428">
        <v>1903.2</v>
      </c>
      <c r="I130" s="428">
        <v>99.4</v>
      </c>
      <c r="J130" s="428">
        <v>108.6</v>
      </c>
      <c r="K130" s="428" t="s">
        <v>727</v>
      </c>
      <c r="L130" s="426" t="s">
        <v>728</v>
      </c>
      <c r="M130" s="426">
        <v>35.5</v>
      </c>
      <c r="N130" s="426">
        <v>52.86</v>
      </c>
      <c r="O130" s="429"/>
      <c r="P130" s="429" t="s">
        <v>142</v>
      </c>
      <c r="Q130" s="429" t="s">
        <v>142</v>
      </c>
      <c r="R130" s="429" t="s">
        <v>721</v>
      </c>
      <c r="S130" s="429">
        <v>68.3</v>
      </c>
      <c r="T130" s="430" t="s">
        <v>653</v>
      </c>
      <c r="U130" s="429" t="s">
        <v>236</v>
      </c>
      <c r="V130" s="431"/>
      <c r="W130" s="306"/>
      <c r="CM130" s="271"/>
      <c r="CN130" s="271"/>
      <c r="CO130" s="271"/>
      <c r="CP130" s="271"/>
      <c r="CQ130" s="271"/>
      <c r="CR130" s="271"/>
      <c r="CS130" s="271"/>
      <c r="CT130" s="271"/>
      <c r="CU130" s="271"/>
      <c r="CV130" s="271"/>
      <c r="CW130" s="271"/>
      <c r="CX130" s="271"/>
      <c r="CY130" s="271"/>
    </row>
    <row r="131" spans="1:103" s="273" customFormat="1" ht="30" customHeight="1" x14ac:dyDescent="0.35">
      <c r="A131" s="423" t="s">
        <v>381</v>
      </c>
      <c r="B131" s="424">
        <v>44386</v>
      </c>
      <c r="C131" s="422">
        <v>0.25</v>
      </c>
      <c r="D131" s="425">
        <v>54</v>
      </c>
      <c r="E131" s="426">
        <v>12.1</v>
      </c>
      <c r="F131" s="427">
        <v>16.3</v>
      </c>
      <c r="G131" s="428">
        <v>1004.5</v>
      </c>
      <c r="H131" s="428">
        <v>1889</v>
      </c>
      <c r="I131" s="428">
        <v>99.3</v>
      </c>
      <c r="J131" s="428">
        <v>108.6</v>
      </c>
      <c r="K131" s="428" t="s">
        <v>733</v>
      </c>
      <c r="L131" s="426">
        <v>33.950000000000003</v>
      </c>
      <c r="M131" s="426">
        <v>36</v>
      </c>
      <c r="N131" s="426">
        <v>52.37</v>
      </c>
      <c r="O131" s="429"/>
      <c r="P131" s="429" t="s">
        <v>142</v>
      </c>
      <c r="Q131" s="429" t="s">
        <v>142</v>
      </c>
      <c r="R131" s="429" t="s">
        <v>721</v>
      </c>
      <c r="S131" s="429">
        <v>70</v>
      </c>
      <c r="T131" s="430" t="s">
        <v>653</v>
      </c>
      <c r="U131" s="429" t="s">
        <v>236</v>
      </c>
      <c r="V131" s="431"/>
      <c r="W131" s="306"/>
      <c r="CM131" s="271"/>
      <c r="CN131" s="271"/>
      <c r="CO131" s="271"/>
      <c r="CP131" s="271"/>
      <c r="CQ131" s="271"/>
      <c r="CR131" s="271"/>
      <c r="CS131" s="271"/>
      <c r="CT131" s="271"/>
      <c r="CU131" s="271"/>
      <c r="CV131" s="271"/>
      <c r="CW131" s="271"/>
      <c r="CX131" s="271"/>
      <c r="CY131" s="271"/>
    </row>
    <row r="132" spans="1:103" s="273" customFormat="1" ht="24" customHeight="1" x14ac:dyDescent="0.35">
      <c r="A132" s="423" t="s">
        <v>381</v>
      </c>
      <c r="B132" s="424">
        <v>44387</v>
      </c>
      <c r="C132" s="422">
        <v>0.25</v>
      </c>
      <c r="D132" s="425">
        <v>54</v>
      </c>
      <c r="E132" s="426">
        <v>11.7</v>
      </c>
      <c r="F132" s="427">
        <v>15.8</v>
      </c>
      <c r="G132" s="428">
        <v>1005</v>
      </c>
      <c r="H132" s="428">
        <v>1859</v>
      </c>
      <c r="I132" s="428">
        <v>99.3</v>
      </c>
      <c r="J132" s="428">
        <v>108.6</v>
      </c>
      <c r="K132" s="428" t="s">
        <v>735</v>
      </c>
      <c r="L132" s="426">
        <v>33.65</v>
      </c>
      <c r="M132" s="426">
        <v>35.5</v>
      </c>
      <c r="N132" s="426">
        <v>52.02</v>
      </c>
      <c r="O132" s="429"/>
      <c r="P132" s="429" t="s">
        <v>142</v>
      </c>
      <c r="Q132" s="429" t="s">
        <v>142</v>
      </c>
      <c r="R132" s="429" t="s">
        <v>721</v>
      </c>
      <c r="S132" s="429">
        <v>67.3</v>
      </c>
      <c r="T132" s="430" t="s">
        <v>653</v>
      </c>
      <c r="U132" s="429" t="s">
        <v>236</v>
      </c>
      <c r="V132" s="431"/>
      <c r="W132" s="306"/>
      <c r="CM132" s="271"/>
      <c r="CN132" s="271"/>
      <c r="CO132" s="271"/>
      <c r="CP132" s="271"/>
      <c r="CQ132" s="271"/>
      <c r="CR132" s="271"/>
      <c r="CS132" s="271"/>
      <c r="CT132" s="271"/>
      <c r="CU132" s="271"/>
      <c r="CV132" s="271"/>
      <c r="CW132" s="271"/>
      <c r="CX132" s="271"/>
      <c r="CY132" s="271"/>
    </row>
    <row r="133" spans="1:103" s="273" customFormat="1" ht="30" customHeight="1" x14ac:dyDescent="0.35">
      <c r="A133" s="423" t="s">
        <v>381</v>
      </c>
      <c r="B133" s="424">
        <v>44388</v>
      </c>
      <c r="C133" s="422">
        <v>0.25</v>
      </c>
      <c r="D133" s="425">
        <v>54</v>
      </c>
      <c r="E133" s="426">
        <v>12.2</v>
      </c>
      <c r="F133" s="427">
        <v>16.2</v>
      </c>
      <c r="G133" s="428">
        <v>1006.2</v>
      </c>
      <c r="H133" s="428">
        <v>1910</v>
      </c>
      <c r="I133" s="428">
        <v>99.5</v>
      </c>
      <c r="J133" s="428">
        <v>108.7</v>
      </c>
      <c r="K133" s="428" t="s">
        <v>742</v>
      </c>
      <c r="L133" s="426">
        <v>34.03</v>
      </c>
      <c r="M133" s="426">
        <v>36</v>
      </c>
      <c r="N133" s="426">
        <v>50.88</v>
      </c>
      <c r="O133" s="429"/>
      <c r="P133" s="429" t="s">
        <v>142</v>
      </c>
      <c r="Q133" s="429" t="s">
        <v>142</v>
      </c>
      <c r="R133" s="429" t="s">
        <v>721</v>
      </c>
      <c r="S133" s="429">
        <v>70.599999999999994</v>
      </c>
      <c r="T133" s="430" t="s">
        <v>653</v>
      </c>
      <c r="U133" s="429" t="s">
        <v>236</v>
      </c>
      <c r="V133" s="431"/>
      <c r="W133" s="306"/>
      <c r="CM133" s="271"/>
      <c r="CN133" s="271"/>
      <c r="CO133" s="271"/>
      <c r="CP133" s="271"/>
      <c r="CQ133" s="271"/>
      <c r="CR133" s="271"/>
      <c r="CS133" s="271"/>
      <c r="CT133" s="271"/>
      <c r="CU133" s="271"/>
      <c r="CV133" s="271"/>
      <c r="CW133" s="271"/>
      <c r="CX133" s="271"/>
      <c r="CY133" s="271"/>
    </row>
    <row r="134" spans="1:103" s="273" customFormat="1" ht="30" customHeight="1" x14ac:dyDescent="0.35">
      <c r="A134" s="423" t="s">
        <v>381</v>
      </c>
      <c r="B134" s="424">
        <v>44389</v>
      </c>
      <c r="C134" s="422">
        <v>0.25</v>
      </c>
      <c r="D134" s="425">
        <v>54</v>
      </c>
      <c r="E134" s="426">
        <v>12</v>
      </c>
      <c r="F134" s="427">
        <v>16</v>
      </c>
      <c r="G134" s="428">
        <v>1014.6</v>
      </c>
      <c r="H134" s="428">
        <v>1895.2</v>
      </c>
      <c r="I134" s="428">
        <v>99.3</v>
      </c>
      <c r="J134" s="428">
        <v>108.1</v>
      </c>
      <c r="K134" s="428" t="s">
        <v>750</v>
      </c>
      <c r="L134" s="426">
        <v>33.74</v>
      </c>
      <c r="M134" s="426">
        <v>36</v>
      </c>
      <c r="N134" s="426">
        <v>52.9</v>
      </c>
      <c r="O134" s="429"/>
      <c r="P134" s="429" t="s">
        <v>142</v>
      </c>
      <c r="Q134" s="429" t="s">
        <v>142</v>
      </c>
      <c r="R134" s="429" t="s">
        <v>751</v>
      </c>
      <c r="S134" s="429">
        <v>68.3</v>
      </c>
      <c r="T134" s="430" t="s">
        <v>653</v>
      </c>
      <c r="U134" s="429" t="s">
        <v>236</v>
      </c>
      <c r="V134" s="431"/>
      <c r="W134" s="306"/>
      <c r="CM134" s="271"/>
      <c r="CN134" s="271"/>
      <c r="CO134" s="271"/>
      <c r="CP134" s="271"/>
      <c r="CQ134" s="271"/>
      <c r="CR134" s="271"/>
      <c r="CS134" s="271"/>
      <c r="CT134" s="271"/>
      <c r="CU134" s="271"/>
      <c r="CV134" s="271"/>
      <c r="CW134" s="271"/>
      <c r="CX134" s="271"/>
      <c r="CY134" s="271"/>
    </row>
    <row r="135" spans="1:103" s="273" customFormat="1" ht="30" customHeight="1" x14ac:dyDescent="0.35">
      <c r="A135" s="423" t="s">
        <v>381</v>
      </c>
      <c r="B135" s="424">
        <v>44390</v>
      </c>
      <c r="C135" s="422">
        <v>0.25</v>
      </c>
      <c r="D135" s="425">
        <v>54</v>
      </c>
      <c r="E135" s="426">
        <v>12.2</v>
      </c>
      <c r="F135" s="427">
        <v>15.5</v>
      </c>
      <c r="G135" s="428">
        <v>993</v>
      </c>
      <c r="H135" s="428">
        <v>1818</v>
      </c>
      <c r="I135" s="428">
        <v>99.4</v>
      </c>
      <c r="J135" s="428">
        <v>108.3</v>
      </c>
      <c r="K135" s="428" t="s">
        <v>754</v>
      </c>
      <c r="L135" s="426">
        <v>31.87</v>
      </c>
      <c r="M135" s="426">
        <v>35</v>
      </c>
      <c r="N135" s="426">
        <v>53.02</v>
      </c>
      <c r="O135" s="429"/>
      <c r="P135" s="429" t="s">
        <v>142</v>
      </c>
      <c r="Q135" s="429" t="s">
        <v>142</v>
      </c>
      <c r="R135" s="429" t="s">
        <v>751</v>
      </c>
      <c r="S135" s="429">
        <v>65.8</v>
      </c>
      <c r="T135" s="430" t="s">
        <v>653</v>
      </c>
      <c r="U135" s="429" t="s">
        <v>236</v>
      </c>
      <c r="V135" s="431"/>
      <c r="W135" s="306"/>
      <c r="CM135" s="271"/>
      <c r="CN135" s="271"/>
      <c r="CO135" s="271"/>
      <c r="CP135" s="271"/>
      <c r="CQ135" s="271"/>
      <c r="CR135" s="271"/>
      <c r="CS135" s="271"/>
      <c r="CT135" s="271"/>
      <c r="CU135" s="271"/>
      <c r="CV135" s="271"/>
      <c r="CW135" s="271"/>
      <c r="CX135" s="271"/>
      <c r="CY135" s="271"/>
    </row>
    <row r="136" spans="1:103" s="273" customFormat="1" ht="30" customHeight="1" x14ac:dyDescent="0.35">
      <c r="A136" s="423" t="s">
        <v>381</v>
      </c>
      <c r="B136" s="424">
        <v>44391</v>
      </c>
      <c r="C136" s="422">
        <v>0.25</v>
      </c>
      <c r="D136" s="425">
        <v>54</v>
      </c>
      <c r="E136" s="426">
        <v>12.3</v>
      </c>
      <c r="F136" s="427">
        <v>15.9</v>
      </c>
      <c r="G136" s="428">
        <v>979</v>
      </c>
      <c r="H136" s="428">
        <v>1811</v>
      </c>
      <c r="I136" s="428">
        <v>99.5</v>
      </c>
      <c r="J136" s="428">
        <v>108.4</v>
      </c>
      <c r="K136" s="428" t="s">
        <v>758</v>
      </c>
      <c r="L136" s="426">
        <v>32.07</v>
      </c>
      <c r="M136" s="426">
        <v>34.5</v>
      </c>
      <c r="N136" s="426">
        <v>51.52</v>
      </c>
      <c r="O136" s="429"/>
      <c r="P136" s="429" t="s">
        <v>142</v>
      </c>
      <c r="Q136" s="429" t="s">
        <v>142</v>
      </c>
      <c r="R136" s="429" t="s">
        <v>751</v>
      </c>
      <c r="S136" s="429">
        <v>67</v>
      </c>
      <c r="T136" s="430" t="s">
        <v>653</v>
      </c>
      <c r="U136" s="429" t="s">
        <v>236</v>
      </c>
      <c r="V136" s="431"/>
      <c r="W136" s="306"/>
      <c r="CM136" s="271"/>
      <c r="CN136" s="271"/>
      <c r="CO136" s="271"/>
      <c r="CP136" s="271"/>
      <c r="CQ136" s="271"/>
      <c r="CR136" s="271"/>
      <c r="CS136" s="271"/>
      <c r="CT136" s="271"/>
      <c r="CU136" s="271"/>
      <c r="CV136" s="271"/>
      <c r="CW136" s="271"/>
      <c r="CX136" s="271"/>
      <c r="CY136" s="271"/>
    </row>
    <row r="137" spans="1:103" s="273" customFormat="1" ht="30" customHeight="1" x14ac:dyDescent="0.35">
      <c r="A137" s="423" t="s">
        <v>381</v>
      </c>
      <c r="B137" s="424">
        <v>44392</v>
      </c>
      <c r="C137" s="422">
        <v>0.25</v>
      </c>
      <c r="D137" s="425">
        <v>54</v>
      </c>
      <c r="E137" s="426">
        <v>12.6</v>
      </c>
      <c r="F137" s="427">
        <v>16.5</v>
      </c>
      <c r="G137" s="428">
        <v>976.5</v>
      </c>
      <c r="H137" s="428">
        <v>1875</v>
      </c>
      <c r="I137" s="428">
        <v>99.5</v>
      </c>
      <c r="J137" s="428">
        <v>108.6</v>
      </c>
      <c r="K137" s="428" t="s">
        <v>762</v>
      </c>
      <c r="L137" s="426">
        <v>32.33</v>
      </c>
      <c r="M137" s="426">
        <v>34.5</v>
      </c>
      <c r="N137" s="426">
        <v>51</v>
      </c>
      <c r="O137" s="429"/>
      <c r="P137" s="429" t="s">
        <v>142</v>
      </c>
      <c r="Q137" s="429" t="s">
        <v>142</v>
      </c>
      <c r="R137" s="429" t="s">
        <v>751</v>
      </c>
      <c r="S137" s="429">
        <v>70.5</v>
      </c>
      <c r="T137" s="430" t="s">
        <v>653</v>
      </c>
      <c r="U137" s="429" t="s">
        <v>236</v>
      </c>
      <c r="V137" s="431"/>
      <c r="W137" s="306"/>
      <c r="CM137" s="271"/>
      <c r="CN137" s="271"/>
      <c r="CO137" s="271"/>
      <c r="CP137" s="271"/>
      <c r="CQ137" s="271"/>
      <c r="CR137" s="271"/>
      <c r="CS137" s="271"/>
      <c r="CT137" s="271"/>
      <c r="CU137" s="271"/>
      <c r="CV137" s="271"/>
      <c r="CW137" s="271"/>
      <c r="CX137" s="271"/>
      <c r="CY137" s="271"/>
    </row>
    <row r="138" spans="1:103" s="273" customFormat="1" ht="30" customHeight="1" x14ac:dyDescent="0.35">
      <c r="A138" s="423" t="s">
        <v>381</v>
      </c>
      <c r="B138" s="424">
        <v>44393</v>
      </c>
      <c r="C138" s="422">
        <v>0.25</v>
      </c>
      <c r="D138" s="425">
        <v>54</v>
      </c>
      <c r="E138" s="426">
        <v>11.8</v>
      </c>
      <c r="F138" s="427">
        <v>16.2</v>
      </c>
      <c r="G138" s="428">
        <v>975.6</v>
      </c>
      <c r="H138" s="428">
        <v>1836</v>
      </c>
      <c r="I138" s="428">
        <v>99.4</v>
      </c>
      <c r="J138" s="428">
        <v>108.6</v>
      </c>
      <c r="K138" s="428" t="s">
        <v>765</v>
      </c>
      <c r="L138" s="426">
        <v>32.03</v>
      </c>
      <c r="M138" s="426">
        <v>34.5</v>
      </c>
      <c r="N138" s="426">
        <v>51.11</v>
      </c>
      <c r="O138" s="429"/>
      <c r="P138" s="429" t="s">
        <v>142</v>
      </c>
      <c r="Q138" s="429" t="s">
        <v>142</v>
      </c>
      <c r="R138" s="429" t="s">
        <v>751</v>
      </c>
      <c r="S138" s="429">
        <v>70</v>
      </c>
      <c r="T138" s="430" t="s">
        <v>653</v>
      </c>
      <c r="U138" s="429" t="s">
        <v>236</v>
      </c>
      <c r="V138" s="431"/>
      <c r="W138" s="306"/>
      <c r="CM138" s="271"/>
      <c r="CN138" s="271"/>
      <c r="CO138" s="271"/>
      <c r="CP138" s="271"/>
      <c r="CQ138" s="271"/>
      <c r="CR138" s="271"/>
      <c r="CS138" s="271"/>
      <c r="CT138" s="271"/>
      <c r="CU138" s="271"/>
      <c r="CV138" s="271"/>
      <c r="CW138" s="271"/>
      <c r="CX138" s="271"/>
      <c r="CY138" s="271"/>
    </row>
    <row r="139" spans="1:103" s="273" customFormat="1" ht="30" customHeight="1" x14ac:dyDescent="0.35">
      <c r="A139" s="423" t="s">
        <v>381</v>
      </c>
      <c r="B139" s="424">
        <v>44393</v>
      </c>
      <c r="C139" s="422">
        <v>0.25</v>
      </c>
      <c r="D139" s="425">
        <v>54</v>
      </c>
      <c r="E139" s="426">
        <v>11.8</v>
      </c>
      <c r="F139" s="427">
        <v>16.2</v>
      </c>
      <c r="G139" s="428">
        <v>975.6</v>
      </c>
      <c r="H139" s="428">
        <v>1836</v>
      </c>
      <c r="I139" s="428">
        <v>99.4</v>
      </c>
      <c r="J139" s="428">
        <v>108.6</v>
      </c>
      <c r="K139" s="428" t="s">
        <v>765</v>
      </c>
      <c r="L139" s="426">
        <v>32.03</v>
      </c>
      <c r="M139" s="426">
        <v>34.5</v>
      </c>
      <c r="N139" s="426">
        <v>51.11</v>
      </c>
      <c r="O139" s="429"/>
      <c r="P139" s="429" t="s">
        <v>142</v>
      </c>
      <c r="Q139" s="429" t="s">
        <v>142</v>
      </c>
      <c r="R139" s="429" t="s">
        <v>751</v>
      </c>
      <c r="S139" s="429">
        <v>70</v>
      </c>
      <c r="T139" s="430" t="s">
        <v>653</v>
      </c>
      <c r="U139" s="429" t="s">
        <v>236</v>
      </c>
      <c r="V139" s="431"/>
      <c r="W139" s="306"/>
      <c r="CM139" s="271"/>
      <c r="CN139" s="271"/>
      <c r="CO139" s="271"/>
      <c r="CP139" s="271"/>
      <c r="CQ139" s="271"/>
      <c r="CR139" s="271"/>
      <c r="CS139" s="271"/>
      <c r="CT139" s="271"/>
      <c r="CU139" s="271"/>
      <c r="CV139" s="271"/>
      <c r="CW139" s="271"/>
      <c r="CX139" s="271"/>
      <c r="CY139" s="271"/>
    </row>
    <row r="140" spans="1:103" s="273" customFormat="1" ht="30" customHeight="1" x14ac:dyDescent="0.35">
      <c r="A140" s="423" t="s">
        <v>381</v>
      </c>
      <c r="B140" s="424">
        <v>44394</v>
      </c>
      <c r="C140" s="422">
        <v>0.25</v>
      </c>
      <c r="D140" s="425">
        <v>54</v>
      </c>
      <c r="E140" s="426">
        <v>12.6</v>
      </c>
      <c r="F140" s="427">
        <v>16.2</v>
      </c>
      <c r="G140" s="428">
        <v>996.5</v>
      </c>
      <c r="H140" s="428">
        <v>1956.7</v>
      </c>
      <c r="I140" s="428">
        <v>99.3</v>
      </c>
      <c r="J140" s="428">
        <v>108.3</v>
      </c>
      <c r="K140" s="428" t="s">
        <v>768</v>
      </c>
      <c r="L140" s="426">
        <v>31.95</v>
      </c>
      <c r="M140" s="426">
        <v>34.5</v>
      </c>
      <c r="N140" s="426">
        <v>50.95</v>
      </c>
      <c r="O140" s="429"/>
      <c r="P140" s="429" t="s">
        <v>142</v>
      </c>
      <c r="Q140" s="429" t="s">
        <v>142</v>
      </c>
      <c r="R140" s="429" t="s">
        <v>721</v>
      </c>
      <c r="S140" s="429">
        <v>70</v>
      </c>
      <c r="T140" s="430" t="s">
        <v>653</v>
      </c>
      <c r="U140" s="429" t="s">
        <v>236</v>
      </c>
      <c r="V140" s="431"/>
      <c r="W140" s="306"/>
      <c r="CM140" s="271"/>
      <c r="CN140" s="271"/>
      <c r="CO140" s="271"/>
      <c r="CP140" s="271"/>
      <c r="CQ140" s="271"/>
      <c r="CR140" s="271"/>
      <c r="CS140" s="271"/>
      <c r="CT140" s="271"/>
      <c r="CU140" s="271"/>
      <c r="CV140" s="271"/>
      <c r="CW140" s="271"/>
      <c r="CX140" s="271"/>
      <c r="CY140" s="271"/>
    </row>
    <row r="141" spans="1:103" s="273" customFormat="1" ht="30" customHeight="1" x14ac:dyDescent="0.35">
      <c r="A141" s="423" t="s">
        <v>381</v>
      </c>
      <c r="B141" s="424">
        <v>44395</v>
      </c>
      <c r="C141" s="422">
        <v>0.25</v>
      </c>
      <c r="D141" s="425">
        <v>54</v>
      </c>
      <c r="E141" s="426">
        <v>8.1</v>
      </c>
      <c r="F141" s="427">
        <v>13.4</v>
      </c>
      <c r="G141" s="428">
        <v>1051</v>
      </c>
      <c r="H141" s="428">
        <v>2010</v>
      </c>
      <c r="I141" s="428">
        <v>98.6</v>
      </c>
      <c r="J141" s="428">
        <v>112.6</v>
      </c>
      <c r="K141" s="428" t="s">
        <v>773</v>
      </c>
      <c r="L141" s="426">
        <v>34.61</v>
      </c>
      <c r="M141" s="426">
        <v>37</v>
      </c>
      <c r="N141" s="426">
        <v>45</v>
      </c>
      <c r="O141" s="429"/>
      <c r="P141" s="429" t="s">
        <v>142</v>
      </c>
      <c r="Q141" s="429" t="s">
        <v>142</v>
      </c>
      <c r="R141" s="429" t="s">
        <v>721</v>
      </c>
      <c r="S141" s="429">
        <v>68.8</v>
      </c>
      <c r="T141" s="430" t="s">
        <v>653</v>
      </c>
      <c r="U141" s="429" t="s">
        <v>236</v>
      </c>
      <c r="V141" s="431"/>
      <c r="W141" s="306"/>
      <c r="CM141" s="271"/>
      <c r="CN141" s="271"/>
      <c r="CO141" s="271"/>
      <c r="CP141" s="271"/>
      <c r="CQ141" s="271"/>
      <c r="CR141" s="271"/>
      <c r="CS141" s="271"/>
      <c r="CT141" s="271"/>
      <c r="CU141" s="271"/>
      <c r="CV141" s="271"/>
      <c r="CW141" s="271"/>
      <c r="CX141" s="271"/>
      <c r="CY141" s="271"/>
    </row>
    <row r="142" spans="1:103" s="273" customFormat="1" ht="30" customHeight="1" x14ac:dyDescent="0.35">
      <c r="A142" s="423" t="s">
        <v>381</v>
      </c>
      <c r="B142" s="424">
        <v>44396</v>
      </c>
      <c r="C142" s="422">
        <v>0.25</v>
      </c>
      <c r="D142" s="425">
        <v>54</v>
      </c>
      <c r="E142" s="426">
        <v>12.6</v>
      </c>
      <c r="F142" s="427">
        <v>16.3</v>
      </c>
      <c r="G142" s="428">
        <v>1001.6</v>
      </c>
      <c r="H142" s="428">
        <v>1809</v>
      </c>
      <c r="I142" s="428">
        <v>99.3</v>
      </c>
      <c r="J142" s="428">
        <v>107.8</v>
      </c>
      <c r="K142" s="428" t="s">
        <v>786</v>
      </c>
      <c r="L142" s="426">
        <v>34.729999999999997</v>
      </c>
      <c r="M142" s="426">
        <v>36.5</v>
      </c>
      <c r="N142" s="426">
        <v>53.66</v>
      </c>
      <c r="O142" s="429"/>
      <c r="P142" s="429" t="s">
        <v>142</v>
      </c>
      <c r="Q142" s="429" t="s">
        <v>142</v>
      </c>
      <c r="R142" s="429" t="s">
        <v>721</v>
      </c>
      <c r="S142" s="429">
        <v>70.5</v>
      </c>
      <c r="T142" s="430" t="s">
        <v>653</v>
      </c>
      <c r="U142" s="429" t="s">
        <v>236</v>
      </c>
      <c r="V142" s="431"/>
      <c r="W142" s="306"/>
      <c r="CM142" s="271"/>
      <c r="CN142" s="271"/>
      <c r="CO142" s="271"/>
      <c r="CP142" s="271"/>
      <c r="CQ142" s="271"/>
      <c r="CR142" s="271"/>
      <c r="CS142" s="271"/>
      <c r="CT142" s="271"/>
      <c r="CU142" s="271"/>
      <c r="CV142" s="271"/>
      <c r="CW142" s="271"/>
      <c r="CX142" s="271"/>
      <c r="CY142" s="271"/>
    </row>
    <row r="143" spans="1:103" s="273" customFormat="1" ht="30" customHeight="1" x14ac:dyDescent="0.35">
      <c r="A143" s="423" t="s">
        <v>381</v>
      </c>
      <c r="B143" s="424">
        <v>44397</v>
      </c>
      <c r="C143" s="422">
        <v>0.25</v>
      </c>
      <c r="D143" s="425">
        <v>54</v>
      </c>
      <c r="E143" s="426">
        <v>11.7</v>
      </c>
      <c r="F143" s="427">
        <v>15.1</v>
      </c>
      <c r="G143" s="428">
        <v>991</v>
      </c>
      <c r="H143" s="428">
        <v>1872.7</v>
      </c>
      <c r="I143" s="428">
        <v>99.6</v>
      </c>
      <c r="J143" s="428">
        <v>108.2</v>
      </c>
      <c r="K143" s="428" t="s">
        <v>788</v>
      </c>
      <c r="L143" s="426">
        <v>33.57</v>
      </c>
      <c r="M143" s="426">
        <v>36</v>
      </c>
      <c r="N143" s="426">
        <v>51.03</v>
      </c>
      <c r="O143" s="429"/>
      <c r="P143" s="429" t="s">
        <v>142</v>
      </c>
      <c r="Q143" s="429" t="s">
        <v>142</v>
      </c>
      <c r="R143" s="429" t="s">
        <v>789</v>
      </c>
      <c r="S143" s="429">
        <v>68.3</v>
      </c>
      <c r="T143" s="430" t="s">
        <v>653</v>
      </c>
      <c r="U143" s="429" t="s">
        <v>236</v>
      </c>
      <c r="V143" s="431"/>
      <c r="W143" s="306"/>
      <c r="CM143" s="271"/>
      <c r="CN143" s="271"/>
      <c r="CO143" s="271"/>
      <c r="CP143" s="271"/>
      <c r="CQ143" s="271"/>
      <c r="CR143" s="271"/>
      <c r="CS143" s="271"/>
      <c r="CT143" s="271"/>
      <c r="CU143" s="271"/>
      <c r="CV143" s="271"/>
      <c r="CW143" s="271"/>
      <c r="CX143" s="271"/>
      <c r="CY143" s="271"/>
    </row>
    <row r="144" spans="1:103" s="273" customFormat="1" ht="30" customHeight="1" x14ac:dyDescent="0.35">
      <c r="A144" s="423" t="s">
        <v>381</v>
      </c>
      <c r="B144" s="424">
        <v>44398</v>
      </c>
      <c r="C144" s="422">
        <v>0.25</v>
      </c>
      <c r="D144" s="425">
        <v>54</v>
      </c>
      <c r="E144" s="426">
        <v>12.3</v>
      </c>
      <c r="F144" s="427">
        <v>16.5</v>
      </c>
      <c r="G144" s="428">
        <v>1004.1</v>
      </c>
      <c r="H144" s="428">
        <v>1917</v>
      </c>
      <c r="I144" s="428">
        <v>99.5</v>
      </c>
      <c r="J144" s="428">
        <v>108.3</v>
      </c>
      <c r="K144" s="428" t="s">
        <v>791</v>
      </c>
      <c r="L144" s="426">
        <v>34.26</v>
      </c>
      <c r="M144" s="426">
        <v>36</v>
      </c>
      <c r="N144" s="426">
        <v>51.72</v>
      </c>
      <c r="O144" s="429"/>
      <c r="P144" s="429" t="s">
        <v>142</v>
      </c>
      <c r="Q144" s="429" t="s">
        <v>142</v>
      </c>
      <c r="R144" s="429" t="s">
        <v>789</v>
      </c>
      <c r="S144" s="429">
        <v>70.599999999999994</v>
      </c>
      <c r="T144" s="430" t="s">
        <v>653</v>
      </c>
      <c r="U144" s="429" t="s">
        <v>236</v>
      </c>
      <c r="V144" s="431"/>
      <c r="W144" s="306"/>
      <c r="CM144" s="271"/>
      <c r="CN144" s="271"/>
      <c r="CO144" s="271"/>
      <c r="CP144" s="271"/>
      <c r="CQ144" s="271"/>
      <c r="CR144" s="271"/>
      <c r="CS144" s="271"/>
      <c r="CT144" s="271"/>
      <c r="CU144" s="271"/>
      <c r="CV144" s="271"/>
      <c r="CW144" s="271"/>
      <c r="CX144" s="271"/>
      <c r="CY144" s="271"/>
    </row>
    <row r="145" spans="1:103" s="273" customFormat="1" ht="30" customHeight="1" x14ac:dyDescent="0.35">
      <c r="A145" s="423" t="s">
        <v>381</v>
      </c>
      <c r="B145" s="424">
        <v>44399</v>
      </c>
      <c r="C145" s="422">
        <v>0.25</v>
      </c>
      <c r="D145" s="425">
        <v>54</v>
      </c>
      <c r="E145" s="426">
        <v>14.2</v>
      </c>
      <c r="F145" s="427">
        <v>18</v>
      </c>
      <c r="G145" s="428">
        <v>1041</v>
      </c>
      <c r="H145" s="428">
        <v>1999</v>
      </c>
      <c r="I145" s="428">
        <v>99.3</v>
      </c>
      <c r="J145" s="428">
        <v>113.7</v>
      </c>
      <c r="K145" s="428" t="s">
        <v>794</v>
      </c>
      <c r="L145" s="426">
        <v>32.799999999999997</v>
      </c>
      <c r="M145" s="426">
        <v>34.5</v>
      </c>
      <c r="N145" s="426">
        <v>51.23</v>
      </c>
      <c r="O145" s="429"/>
      <c r="P145" s="429" t="s">
        <v>142</v>
      </c>
      <c r="Q145" s="429" t="s">
        <v>142</v>
      </c>
      <c r="R145" s="429" t="s">
        <v>795</v>
      </c>
      <c r="S145" s="429">
        <v>70.2</v>
      </c>
      <c r="T145" s="430" t="s">
        <v>653</v>
      </c>
      <c r="U145" s="429" t="s">
        <v>236</v>
      </c>
      <c r="V145" s="431"/>
      <c r="W145" s="306"/>
      <c r="CM145" s="271"/>
      <c r="CN145" s="271"/>
      <c r="CO145" s="271"/>
      <c r="CP145" s="271"/>
      <c r="CQ145" s="271"/>
      <c r="CR145" s="271"/>
      <c r="CS145" s="271"/>
      <c r="CT145" s="271"/>
      <c r="CU145" s="271"/>
      <c r="CV145" s="271"/>
      <c r="CW145" s="271"/>
      <c r="CX145" s="271"/>
      <c r="CY145" s="271"/>
    </row>
    <row r="146" spans="1:103" s="273" customFormat="1" ht="30" customHeight="1" x14ac:dyDescent="0.35">
      <c r="A146" s="423" t="s">
        <v>381</v>
      </c>
      <c r="B146" s="424">
        <v>44400</v>
      </c>
      <c r="C146" s="422">
        <v>0.25</v>
      </c>
      <c r="D146" s="425">
        <v>53</v>
      </c>
      <c r="E146" s="426">
        <v>12</v>
      </c>
      <c r="F146" s="427">
        <v>15.9</v>
      </c>
      <c r="G146" s="428">
        <v>989</v>
      </c>
      <c r="H146" s="428">
        <v>1726</v>
      </c>
      <c r="I146" s="428">
        <v>99</v>
      </c>
      <c r="J146" s="428">
        <v>107</v>
      </c>
      <c r="K146" s="428" t="s">
        <v>797</v>
      </c>
      <c r="L146" s="426">
        <v>31.87</v>
      </c>
      <c r="M146" s="426">
        <v>34</v>
      </c>
      <c r="N146" s="426">
        <v>54.02</v>
      </c>
      <c r="O146" s="429"/>
      <c r="P146" s="429" t="s">
        <v>142</v>
      </c>
      <c r="Q146" s="429" t="s">
        <v>142</v>
      </c>
      <c r="R146" s="429" t="s">
        <v>795</v>
      </c>
      <c r="S146" s="429">
        <v>68.3</v>
      </c>
      <c r="T146" s="430" t="s">
        <v>653</v>
      </c>
      <c r="U146" s="429" t="s">
        <v>236</v>
      </c>
      <c r="V146" s="431"/>
      <c r="W146" s="306"/>
      <c r="CM146" s="271"/>
      <c r="CN146" s="271"/>
      <c r="CO146" s="271"/>
      <c r="CP146" s="271"/>
      <c r="CQ146" s="271"/>
      <c r="CR146" s="271"/>
      <c r="CS146" s="271"/>
      <c r="CT146" s="271"/>
      <c r="CU146" s="271"/>
      <c r="CV146" s="271"/>
      <c r="CW146" s="271"/>
      <c r="CX146" s="271"/>
      <c r="CY146" s="271"/>
    </row>
    <row r="147" spans="1:103" s="273" customFormat="1" ht="30" customHeight="1" x14ac:dyDescent="0.35">
      <c r="A147" s="423" t="s">
        <v>381</v>
      </c>
      <c r="B147" s="424">
        <v>44401</v>
      </c>
      <c r="C147" s="422">
        <v>0.25</v>
      </c>
      <c r="D147" s="425">
        <v>53</v>
      </c>
      <c r="E147" s="426">
        <v>11.2</v>
      </c>
      <c r="F147" s="427">
        <v>15.8</v>
      </c>
      <c r="G147" s="428">
        <v>981</v>
      </c>
      <c r="H147" s="428">
        <v>1827</v>
      </c>
      <c r="I147" s="428">
        <v>99.2</v>
      </c>
      <c r="J147" s="428">
        <v>107</v>
      </c>
      <c r="K147" s="428" t="s">
        <v>799</v>
      </c>
      <c r="L147" s="426">
        <v>32.51</v>
      </c>
      <c r="M147" s="426">
        <v>34</v>
      </c>
      <c r="N147" s="426">
        <v>51.3</v>
      </c>
      <c r="O147" s="429"/>
      <c r="P147" s="429" t="s">
        <v>142</v>
      </c>
      <c r="Q147" s="429" t="s">
        <v>142</v>
      </c>
      <c r="R147" s="429" t="s">
        <v>795</v>
      </c>
      <c r="S147" s="429">
        <v>69.3</v>
      </c>
      <c r="T147" s="430" t="s">
        <v>653</v>
      </c>
      <c r="U147" s="429" t="s">
        <v>236</v>
      </c>
      <c r="V147" s="431"/>
      <c r="W147" s="306"/>
      <c r="CM147" s="271"/>
      <c r="CN147" s="271"/>
      <c r="CO147" s="271"/>
      <c r="CP147" s="271"/>
      <c r="CQ147" s="271"/>
      <c r="CR147" s="271"/>
      <c r="CS147" s="271"/>
      <c r="CT147" s="271"/>
      <c r="CU147" s="271"/>
      <c r="CV147" s="271"/>
      <c r="CW147" s="271"/>
      <c r="CX147" s="271"/>
      <c r="CY147" s="271"/>
    </row>
    <row r="148" spans="1:103" s="273" customFormat="1" ht="30" customHeight="1" x14ac:dyDescent="0.35">
      <c r="A148" s="423" t="s">
        <v>381</v>
      </c>
      <c r="B148" s="424">
        <v>44402</v>
      </c>
      <c r="C148" s="422">
        <v>0.25</v>
      </c>
      <c r="D148" s="425">
        <v>53</v>
      </c>
      <c r="E148" s="426">
        <v>11.5</v>
      </c>
      <c r="F148" s="427">
        <v>15.9</v>
      </c>
      <c r="G148" s="428">
        <v>1004</v>
      </c>
      <c r="H148" s="428">
        <v>1912</v>
      </c>
      <c r="I148" s="428">
        <v>99.5</v>
      </c>
      <c r="J148" s="428">
        <v>107</v>
      </c>
      <c r="K148" s="428" t="s">
        <v>801</v>
      </c>
      <c r="L148" s="426">
        <v>30.8</v>
      </c>
      <c r="M148" s="426">
        <v>34</v>
      </c>
      <c r="N148" s="426">
        <v>50</v>
      </c>
      <c r="O148" s="429"/>
      <c r="P148" s="429" t="s">
        <v>142</v>
      </c>
      <c r="Q148" s="429" t="s">
        <v>142</v>
      </c>
      <c r="R148" s="429" t="s">
        <v>795</v>
      </c>
      <c r="S148" s="429">
        <v>66.599999999999994</v>
      </c>
      <c r="T148" s="430" t="s">
        <v>653</v>
      </c>
      <c r="U148" s="429" t="s">
        <v>236</v>
      </c>
      <c r="V148" s="431"/>
      <c r="W148" s="306"/>
      <c r="CM148" s="271"/>
      <c r="CN148" s="271"/>
      <c r="CO148" s="271"/>
      <c r="CP148" s="271"/>
      <c r="CQ148" s="271"/>
      <c r="CR148" s="271"/>
      <c r="CS148" s="271"/>
      <c r="CT148" s="271"/>
      <c r="CU148" s="271"/>
      <c r="CV148" s="271"/>
      <c r="CW148" s="271"/>
      <c r="CX148" s="271"/>
      <c r="CY148" s="271"/>
    </row>
    <row r="149" spans="1:103" s="273" customFormat="1" ht="30" customHeight="1" x14ac:dyDescent="0.35">
      <c r="A149" s="423" t="s">
        <v>381</v>
      </c>
      <c r="B149" s="424">
        <v>44403</v>
      </c>
      <c r="C149" s="422">
        <v>0.25</v>
      </c>
      <c r="D149" s="425">
        <v>53</v>
      </c>
      <c r="E149" s="426">
        <v>12.2</v>
      </c>
      <c r="F149" s="427">
        <v>15.9</v>
      </c>
      <c r="G149" s="428">
        <v>1007</v>
      </c>
      <c r="H149" s="428">
        <v>1923</v>
      </c>
      <c r="I149" s="428">
        <v>99.5</v>
      </c>
      <c r="J149" s="428">
        <v>107</v>
      </c>
      <c r="K149" s="428" t="s">
        <v>803</v>
      </c>
      <c r="L149" s="426">
        <v>32.450000000000003</v>
      </c>
      <c r="M149" s="426">
        <v>34</v>
      </c>
      <c r="N149" s="426">
        <v>50.88</v>
      </c>
      <c r="O149" s="429"/>
      <c r="P149" s="429" t="s">
        <v>142</v>
      </c>
      <c r="Q149" s="429" t="s">
        <v>142</v>
      </c>
      <c r="R149" s="429" t="s">
        <v>795</v>
      </c>
      <c r="S149" s="429">
        <v>67.5</v>
      </c>
      <c r="T149" s="430" t="s">
        <v>653</v>
      </c>
      <c r="U149" s="429" t="s">
        <v>236</v>
      </c>
      <c r="V149" s="431"/>
      <c r="W149" s="306"/>
      <c r="CM149" s="271"/>
      <c r="CN149" s="271"/>
      <c r="CO149" s="271"/>
      <c r="CP149" s="271"/>
      <c r="CQ149" s="271"/>
      <c r="CR149" s="271"/>
      <c r="CS149" s="271"/>
      <c r="CT149" s="271"/>
      <c r="CU149" s="271"/>
      <c r="CV149" s="271"/>
      <c r="CW149" s="271"/>
      <c r="CX149" s="271"/>
      <c r="CY149" s="271"/>
    </row>
    <row r="150" spans="1:103" s="273" customFormat="1" ht="30" customHeight="1" x14ac:dyDescent="0.35">
      <c r="A150" s="423" t="s">
        <v>381</v>
      </c>
      <c r="B150" s="424">
        <v>44404</v>
      </c>
      <c r="C150" s="422">
        <v>0.25</v>
      </c>
      <c r="D150" s="425">
        <v>53</v>
      </c>
      <c r="E150" s="426">
        <v>11.3</v>
      </c>
      <c r="F150" s="427">
        <v>15.8</v>
      </c>
      <c r="G150" s="428">
        <v>998</v>
      </c>
      <c r="H150" s="428">
        <v>1841</v>
      </c>
      <c r="I150" s="428">
        <v>99.5</v>
      </c>
      <c r="J150" s="428">
        <v>107</v>
      </c>
      <c r="K150" s="428" t="s">
        <v>805</v>
      </c>
      <c r="L150" s="426">
        <v>31.84</v>
      </c>
      <c r="M150" s="426">
        <v>34</v>
      </c>
      <c r="N150" s="426">
        <v>51.03</v>
      </c>
      <c r="O150" s="429"/>
      <c r="P150" s="429" t="s">
        <v>142</v>
      </c>
      <c r="Q150" s="429" t="s">
        <v>142</v>
      </c>
      <c r="R150" s="429" t="s">
        <v>795</v>
      </c>
      <c r="S150" s="429">
        <v>68.3</v>
      </c>
      <c r="T150" s="430" t="s">
        <v>653</v>
      </c>
      <c r="U150" s="429" t="s">
        <v>236</v>
      </c>
      <c r="V150" s="431"/>
      <c r="W150" s="306"/>
      <c r="CM150" s="271"/>
      <c r="CN150" s="271"/>
      <c r="CO150" s="271"/>
      <c r="CP150" s="271"/>
      <c r="CQ150" s="271"/>
      <c r="CR150" s="271"/>
      <c r="CS150" s="271"/>
      <c r="CT150" s="271"/>
      <c r="CU150" s="271"/>
      <c r="CV150" s="271"/>
      <c r="CW150" s="271"/>
      <c r="CX150" s="271"/>
      <c r="CY150" s="271"/>
    </row>
    <row r="151" spans="1:103" s="273" customFormat="1" ht="30" customHeight="1" x14ac:dyDescent="0.35">
      <c r="A151" s="423" t="s">
        <v>381</v>
      </c>
      <c r="B151" s="424">
        <v>44405</v>
      </c>
      <c r="C151" s="422">
        <v>0.25</v>
      </c>
      <c r="D151" s="425">
        <v>53</v>
      </c>
      <c r="E151" s="426">
        <v>11.5</v>
      </c>
      <c r="F151" s="427">
        <v>15.8</v>
      </c>
      <c r="G151" s="428">
        <v>1004</v>
      </c>
      <c r="H151" s="428">
        <v>1885</v>
      </c>
      <c r="I151" s="428">
        <v>99</v>
      </c>
      <c r="J151" s="428">
        <v>107.2</v>
      </c>
      <c r="K151" s="428" t="s">
        <v>807</v>
      </c>
      <c r="L151" s="426">
        <v>30.9</v>
      </c>
      <c r="M151" s="426">
        <v>34</v>
      </c>
      <c r="N151" s="426">
        <v>52.4</v>
      </c>
      <c r="O151" s="429"/>
      <c r="P151" s="429" t="s">
        <v>142</v>
      </c>
      <c r="Q151" s="429" t="s">
        <v>142</v>
      </c>
      <c r="R151" s="429" t="s">
        <v>795</v>
      </c>
      <c r="S151" s="429">
        <v>67.2</v>
      </c>
      <c r="T151" s="430" t="s">
        <v>653</v>
      </c>
      <c r="U151" s="429" t="s">
        <v>236</v>
      </c>
      <c r="V151" s="431"/>
      <c r="W151" s="306"/>
      <c r="CM151" s="271"/>
      <c r="CN151" s="271"/>
      <c r="CO151" s="271"/>
      <c r="CP151" s="271"/>
      <c r="CQ151" s="271"/>
      <c r="CR151" s="271"/>
      <c r="CS151" s="271"/>
      <c r="CT151" s="271"/>
      <c r="CU151" s="271"/>
      <c r="CV151" s="271"/>
      <c r="CW151" s="271"/>
      <c r="CX151" s="271"/>
      <c r="CY151" s="271"/>
    </row>
    <row r="152" spans="1:103" s="273" customFormat="1" ht="30" customHeight="1" x14ac:dyDescent="0.35">
      <c r="A152" s="423" t="s">
        <v>381</v>
      </c>
      <c r="B152" s="424">
        <v>44406</v>
      </c>
      <c r="C152" s="422">
        <v>0.25</v>
      </c>
      <c r="D152" s="425">
        <v>53</v>
      </c>
      <c r="E152" s="426">
        <v>12.2</v>
      </c>
      <c r="F152" s="427">
        <v>15.6</v>
      </c>
      <c r="G152" s="428">
        <v>994</v>
      </c>
      <c r="H152" s="428">
        <v>1838</v>
      </c>
      <c r="I152" s="428">
        <v>99</v>
      </c>
      <c r="J152" s="428">
        <v>107</v>
      </c>
      <c r="K152" s="428" t="s">
        <v>809</v>
      </c>
      <c r="L152" s="426">
        <v>30.85</v>
      </c>
      <c r="M152" s="426">
        <v>34</v>
      </c>
      <c r="N152" s="426">
        <v>51.6</v>
      </c>
      <c r="O152" s="429"/>
      <c r="P152" s="429" t="s">
        <v>142</v>
      </c>
      <c r="Q152" s="429" t="s">
        <v>142</v>
      </c>
      <c r="R152" s="429" t="s">
        <v>795</v>
      </c>
      <c r="S152" s="429">
        <v>66.599999999999994</v>
      </c>
      <c r="T152" s="430" t="s">
        <v>653</v>
      </c>
      <c r="U152" s="429" t="s">
        <v>236</v>
      </c>
      <c r="V152" s="431"/>
      <c r="W152" s="306"/>
      <c r="CM152" s="271"/>
      <c r="CN152" s="271"/>
      <c r="CO152" s="271"/>
      <c r="CP152" s="271"/>
      <c r="CQ152" s="271"/>
      <c r="CR152" s="271"/>
      <c r="CS152" s="271"/>
      <c r="CT152" s="271"/>
      <c r="CU152" s="271"/>
      <c r="CV152" s="271"/>
      <c r="CW152" s="271"/>
      <c r="CX152" s="271"/>
      <c r="CY152" s="271"/>
    </row>
    <row r="153" spans="1:103" s="273" customFormat="1" ht="30" customHeight="1" x14ac:dyDescent="0.35">
      <c r="A153" s="423" t="s">
        <v>381</v>
      </c>
      <c r="B153" s="424">
        <v>44407</v>
      </c>
      <c r="C153" s="422">
        <v>0.25</v>
      </c>
      <c r="D153" s="425">
        <v>53</v>
      </c>
      <c r="E153" s="426">
        <v>11.2</v>
      </c>
      <c r="F153" s="427">
        <v>16.2</v>
      </c>
      <c r="G153" s="428">
        <v>987</v>
      </c>
      <c r="H153" s="428">
        <v>1808</v>
      </c>
      <c r="I153" s="428">
        <v>99</v>
      </c>
      <c r="J153" s="428">
        <v>104</v>
      </c>
      <c r="K153" s="428" t="s">
        <v>811</v>
      </c>
      <c r="L153" s="426">
        <v>29.82</v>
      </c>
      <c r="M153" s="426">
        <v>34</v>
      </c>
      <c r="N153" s="426">
        <v>51.7</v>
      </c>
      <c r="O153" s="429"/>
      <c r="P153" s="429" t="s">
        <v>142</v>
      </c>
      <c r="Q153" s="429" t="s">
        <v>142</v>
      </c>
      <c r="R153" s="429" t="s">
        <v>795</v>
      </c>
      <c r="S153" s="429">
        <v>67</v>
      </c>
      <c r="T153" s="430" t="s">
        <v>653</v>
      </c>
      <c r="U153" s="429" t="s">
        <v>236</v>
      </c>
      <c r="V153" s="431"/>
      <c r="W153" s="306"/>
      <c r="CM153" s="271"/>
      <c r="CN153" s="271"/>
      <c r="CO153" s="271"/>
      <c r="CP153" s="271"/>
      <c r="CQ153" s="271"/>
      <c r="CR153" s="271"/>
      <c r="CS153" s="271"/>
      <c r="CT153" s="271"/>
      <c r="CU153" s="271"/>
      <c r="CV153" s="271"/>
      <c r="CW153" s="271"/>
      <c r="CX153" s="271"/>
      <c r="CY153" s="271"/>
    </row>
    <row r="154" spans="1:103" s="273" customFormat="1" ht="30" customHeight="1" x14ac:dyDescent="0.35">
      <c r="A154" s="423" t="s">
        <v>381</v>
      </c>
      <c r="B154" s="424">
        <v>44408</v>
      </c>
      <c r="C154" s="422">
        <v>0.25</v>
      </c>
      <c r="D154" s="425">
        <v>53</v>
      </c>
      <c r="E154" s="426">
        <v>11.2</v>
      </c>
      <c r="F154" s="427">
        <v>16.399999999999999</v>
      </c>
      <c r="G154" s="428">
        <v>987</v>
      </c>
      <c r="H154" s="428">
        <v>1868</v>
      </c>
      <c r="I154" s="428">
        <v>99</v>
      </c>
      <c r="J154" s="428">
        <v>107</v>
      </c>
      <c r="K154" s="428" t="s">
        <v>813</v>
      </c>
      <c r="L154" s="426">
        <v>31.43</v>
      </c>
      <c r="M154" s="426">
        <v>34</v>
      </c>
      <c r="N154" s="426">
        <v>50.45</v>
      </c>
      <c r="O154" s="429"/>
      <c r="P154" s="429" t="s">
        <v>142</v>
      </c>
      <c r="Q154" s="429" t="s">
        <v>142</v>
      </c>
      <c r="R154" s="429" t="s">
        <v>795</v>
      </c>
      <c r="S154" s="429">
        <v>68.5</v>
      </c>
      <c r="T154" s="430" t="s">
        <v>653</v>
      </c>
      <c r="U154" s="429" t="s">
        <v>236</v>
      </c>
      <c r="V154" s="431"/>
      <c r="W154" s="306"/>
      <c r="CM154" s="271"/>
      <c r="CN154" s="271"/>
      <c r="CO154" s="271"/>
      <c r="CP154" s="271"/>
      <c r="CQ154" s="271"/>
      <c r="CR154" s="271"/>
      <c r="CS154" s="271"/>
      <c r="CT154" s="271"/>
      <c r="CU154" s="271"/>
      <c r="CV154" s="271"/>
      <c r="CW154" s="271"/>
      <c r="CX154" s="271"/>
      <c r="CY154" s="271"/>
    </row>
    <row r="155" spans="1:103" s="273" customFormat="1" ht="30" customHeight="1" x14ac:dyDescent="0.35">
      <c r="A155" s="423" t="s">
        <v>381</v>
      </c>
      <c r="B155" s="424">
        <v>44409</v>
      </c>
      <c r="C155" s="422">
        <v>0.25</v>
      </c>
      <c r="D155" s="425">
        <v>53</v>
      </c>
      <c r="E155" s="426">
        <v>11.9</v>
      </c>
      <c r="F155" s="427">
        <v>16.3</v>
      </c>
      <c r="G155" s="428">
        <v>994</v>
      </c>
      <c r="H155" s="428">
        <v>1887</v>
      </c>
      <c r="I155" s="428">
        <v>99</v>
      </c>
      <c r="J155" s="428">
        <v>107</v>
      </c>
      <c r="K155" s="428" t="s">
        <v>815</v>
      </c>
      <c r="L155" s="426">
        <v>31.52</v>
      </c>
      <c r="M155" s="426">
        <v>34</v>
      </c>
      <c r="N155" s="426">
        <v>50</v>
      </c>
      <c r="O155" s="429"/>
      <c r="P155" s="429" t="s">
        <v>142</v>
      </c>
      <c r="Q155" s="429" t="s">
        <v>142</v>
      </c>
      <c r="R155" s="429" t="s">
        <v>795</v>
      </c>
      <c r="S155" s="429">
        <v>69.900000000000006</v>
      </c>
      <c r="T155" s="430" t="s">
        <v>653</v>
      </c>
      <c r="U155" s="429" t="s">
        <v>236</v>
      </c>
      <c r="V155" s="431"/>
      <c r="W155" s="306"/>
      <c r="CM155" s="271"/>
      <c r="CN155" s="271"/>
      <c r="CO155" s="271"/>
      <c r="CP155" s="271"/>
      <c r="CQ155" s="271"/>
      <c r="CR155" s="271"/>
      <c r="CS155" s="271"/>
      <c r="CT155" s="271"/>
      <c r="CU155" s="271"/>
      <c r="CV155" s="271"/>
      <c r="CW155" s="271"/>
      <c r="CX155" s="271"/>
      <c r="CY155" s="271"/>
    </row>
    <row r="156" spans="1:103" s="273" customFormat="1" ht="30" customHeight="1" x14ac:dyDescent="0.35">
      <c r="A156" s="423" t="s">
        <v>381</v>
      </c>
      <c r="B156" s="424">
        <v>44410</v>
      </c>
      <c r="C156" s="422">
        <v>0.25</v>
      </c>
      <c r="D156" s="425">
        <v>53</v>
      </c>
      <c r="E156" s="426">
        <v>12.1</v>
      </c>
      <c r="F156" s="427">
        <v>15.9</v>
      </c>
      <c r="G156" s="428">
        <v>990</v>
      </c>
      <c r="H156" s="428">
        <v>1829</v>
      </c>
      <c r="I156" s="428">
        <v>99.4</v>
      </c>
      <c r="J156" s="428">
        <v>107.1</v>
      </c>
      <c r="K156" s="428" t="s">
        <v>843</v>
      </c>
      <c r="L156" s="426">
        <v>30.13</v>
      </c>
      <c r="M156" s="426">
        <v>33</v>
      </c>
      <c r="N156" s="426">
        <v>51.69</v>
      </c>
      <c r="O156" s="429"/>
      <c r="P156" s="429" t="s">
        <v>142</v>
      </c>
      <c r="Q156" s="429" t="s">
        <v>142</v>
      </c>
      <c r="R156" s="429" t="s">
        <v>795</v>
      </c>
      <c r="S156" s="429">
        <v>67.599999999999994</v>
      </c>
      <c r="T156" s="430" t="s">
        <v>653</v>
      </c>
      <c r="U156" s="429" t="s">
        <v>236</v>
      </c>
      <c r="V156" s="431"/>
      <c r="W156" s="306"/>
      <c r="CM156" s="271"/>
      <c r="CN156" s="271"/>
      <c r="CO156" s="271"/>
      <c r="CP156" s="271"/>
      <c r="CQ156" s="271"/>
      <c r="CR156" s="271"/>
      <c r="CS156" s="271"/>
      <c r="CT156" s="271"/>
      <c r="CU156" s="271"/>
      <c r="CV156" s="271"/>
      <c r="CW156" s="271"/>
      <c r="CX156" s="271"/>
      <c r="CY156" s="271"/>
    </row>
    <row r="157" spans="1:103" s="273" customFormat="1" ht="30" customHeight="1" x14ac:dyDescent="0.35">
      <c r="A157" s="423" t="s">
        <v>381</v>
      </c>
      <c r="B157" s="424">
        <v>44411</v>
      </c>
      <c r="C157" s="422">
        <v>0.25</v>
      </c>
      <c r="D157" s="425">
        <v>53</v>
      </c>
      <c r="E157" s="426">
        <v>11.1</v>
      </c>
      <c r="F157" s="427">
        <v>15.5</v>
      </c>
      <c r="G157" s="428">
        <v>993.8</v>
      </c>
      <c r="H157" s="428">
        <v>1864</v>
      </c>
      <c r="I157" s="428">
        <v>99.4</v>
      </c>
      <c r="J157" s="428">
        <v>107.2</v>
      </c>
      <c r="K157" s="428" t="s">
        <v>848</v>
      </c>
      <c r="L157" s="426">
        <v>31.3</v>
      </c>
      <c r="M157" s="426">
        <v>33</v>
      </c>
      <c r="N157" s="426">
        <v>48</v>
      </c>
      <c r="O157" s="429"/>
      <c r="P157" s="429" t="s">
        <v>142</v>
      </c>
      <c r="Q157" s="429" t="s">
        <v>142</v>
      </c>
      <c r="R157" s="429" t="s">
        <v>795</v>
      </c>
      <c r="S157" s="429">
        <v>66.5</v>
      </c>
      <c r="T157" s="430" t="s">
        <v>653</v>
      </c>
      <c r="U157" s="429" t="s">
        <v>236</v>
      </c>
      <c r="V157" s="431"/>
      <c r="W157" s="306"/>
      <c r="CM157" s="271"/>
      <c r="CN157" s="271"/>
      <c r="CO157" s="271"/>
      <c r="CP157" s="271"/>
      <c r="CQ157" s="271"/>
      <c r="CR157" s="271"/>
      <c r="CS157" s="271"/>
      <c r="CT157" s="271"/>
      <c r="CU157" s="271"/>
      <c r="CV157" s="271"/>
      <c r="CW157" s="271"/>
      <c r="CX157" s="271"/>
      <c r="CY157" s="271"/>
    </row>
    <row r="158" spans="1:103" s="273" customFormat="1" ht="96" customHeight="1" x14ac:dyDescent="0.35">
      <c r="A158" s="423" t="s">
        <v>381</v>
      </c>
      <c r="B158" s="424">
        <v>44412</v>
      </c>
      <c r="C158" s="422">
        <v>0.25</v>
      </c>
      <c r="D158" s="425">
        <v>53</v>
      </c>
      <c r="E158" s="426">
        <v>16</v>
      </c>
      <c r="F158" s="427">
        <v>19.3</v>
      </c>
      <c r="G158" s="428">
        <v>1095.5999999999999</v>
      </c>
      <c r="H158" s="428">
        <v>1985.8</v>
      </c>
      <c r="I158" s="428">
        <v>101</v>
      </c>
      <c r="J158" s="428">
        <v>110</v>
      </c>
      <c r="K158" s="428" t="s">
        <v>856</v>
      </c>
      <c r="L158" s="426">
        <v>29.13</v>
      </c>
      <c r="M158" s="426">
        <v>33</v>
      </c>
      <c r="N158" s="426">
        <v>55.46</v>
      </c>
      <c r="O158" s="429"/>
      <c r="P158" s="429" t="s">
        <v>142</v>
      </c>
      <c r="Q158" s="429" t="s">
        <v>142</v>
      </c>
      <c r="R158" s="429" t="s">
        <v>795</v>
      </c>
      <c r="S158" s="429">
        <v>82</v>
      </c>
      <c r="T158" s="430" t="s">
        <v>653</v>
      </c>
      <c r="U158" s="429" t="s">
        <v>236</v>
      </c>
      <c r="V158" s="431" t="s">
        <v>862</v>
      </c>
      <c r="W158" s="306"/>
      <c r="CM158" s="271"/>
      <c r="CN158" s="271"/>
      <c r="CO158" s="271"/>
      <c r="CP158" s="271"/>
      <c r="CQ158" s="271"/>
      <c r="CR158" s="271"/>
      <c r="CS158" s="271"/>
      <c r="CT158" s="271"/>
      <c r="CU158" s="271"/>
      <c r="CV158" s="271"/>
      <c r="CW158" s="271"/>
      <c r="CX158" s="271"/>
      <c r="CY158" s="271"/>
    </row>
    <row r="159" spans="1:103" s="273" customFormat="1" ht="67.5" customHeight="1" x14ac:dyDescent="0.35">
      <c r="A159" s="423" t="s">
        <v>381</v>
      </c>
      <c r="B159" s="424">
        <v>44413</v>
      </c>
      <c r="C159" s="422">
        <v>0.25</v>
      </c>
      <c r="D159" s="425">
        <v>53</v>
      </c>
      <c r="E159" s="426">
        <v>12.8</v>
      </c>
      <c r="F159" s="427">
        <v>15.5</v>
      </c>
      <c r="G159" s="428">
        <v>1022</v>
      </c>
      <c r="H159" s="428">
        <v>1874.4</v>
      </c>
      <c r="I159" s="428">
        <v>97.8</v>
      </c>
      <c r="J159" s="428">
        <v>110.6</v>
      </c>
      <c r="K159" s="428" t="s">
        <v>864</v>
      </c>
      <c r="L159" s="426">
        <v>33.65</v>
      </c>
      <c r="M159" s="426">
        <v>35.5</v>
      </c>
      <c r="N159" s="426">
        <v>51.91</v>
      </c>
      <c r="O159" s="429"/>
      <c r="P159" s="429" t="s">
        <v>142</v>
      </c>
      <c r="Q159" s="429" t="s">
        <v>142</v>
      </c>
      <c r="R159" s="429" t="s">
        <v>865</v>
      </c>
      <c r="S159" s="429">
        <v>67.5</v>
      </c>
      <c r="T159" s="430" t="s">
        <v>653</v>
      </c>
      <c r="U159" s="429" t="s">
        <v>236</v>
      </c>
      <c r="V159" s="431" t="s">
        <v>880</v>
      </c>
      <c r="W159" s="306"/>
      <c r="CM159" s="271"/>
      <c r="CN159" s="271"/>
      <c r="CO159" s="271"/>
      <c r="CP159" s="271"/>
      <c r="CQ159" s="271"/>
      <c r="CR159" s="271"/>
      <c r="CS159" s="271"/>
      <c r="CT159" s="271"/>
      <c r="CU159" s="271"/>
      <c r="CV159" s="271"/>
      <c r="CW159" s="271"/>
      <c r="CX159" s="271"/>
      <c r="CY159" s="271"/>
    </row>
    <row r="160" spans="1:103" s="273" customFormat="1" ht="33.75" customHeight="1" x14ac:dyDescent="0.35">
      <c r="A160" s="423" t="s">
        <v>381</v>
      </c>
      <c r="B160" s="424">
        <v>44414</v>
      </c>
      <c r="C160" s="422">
        <v>0.25</v>
      </c>
      <c r="D160" s="425">
        <v>53</v>
      </c>
      <c r="E160" s="426">
        <v>11.5</v>
      </c>
      <c r="F160" s="427">
        <v>15.1</v>
      </c>
      <c r="G160" s="428">
        <v>1036</v>
      </c>
      <c r="H160" s="428">
        <v>1919</v>
      </c>
      <c r="I160" s="428">
        <v>97</v>
      </c>
      <c r="J160" s="428">
        <v>109</v>
      </c>
      <c r="K160" s="428" t="s">
        <v>876</v>
      </c>
      <c r="L160" s="426">
        <v>35.24</v>
      </c>
      <c r="M160" s="426">
        <v>37</v>
      </c>
      <c r="N160" s="426">
        <v>51.72</v>
      </c>
      <c r="O160" s="429"/>
      <c r="P160" s="429" t="s">
        <v>142</v>
      </c>
      <c r="Q160" s="429" t="s">
        <v>142</v>
      </c>
      <c r="R160" s="429" t="s">
        <v>865</v>
      </c>
      <c r="S160" s="429">
        <v>69.8</v>
      </c>
      <c r="T160" s="430" t="s">
        <v>653</v>
      </c>
      <c r="U160" s="429" t="s">
        <v>236</v>
      </c>
      <c r="V160" s="431"/>
      <c r="W160" s="306"/>
      <c r="CM160" s="271"/>
      <c r="CN160" s="271"/>
      <c r="CO160" s="271"/>
      <c r="CP160" s="271"/>
      <c r="CQ160" s="271"/>
      <c r="CR160" s="271"/>
      <c r="CS160" s="271"/>
      <c r="CT160" s="271"/>
      <c r="CU160" s="271"/>
      <c r="CV160" s="271"/>
      <c r="CW160" s="271"/>
      <c r="CX160" s="271"/>
      <c r="CY160" s="271"/>
    </row>
    <row r="161" spans="1:103" s="273" customFormat="1" ht="33.75" customHeight="1" x14ac:dyDescent="0.35">
      <c r="A161" s="423" t="s">
        <v>381</v>
      </c>
      <c r="B161" s="424">
        <v>44415</v>
      </c>
      <c r="C161" s="422">
        <v>0.25</v>
      </c>
      <c r="D161" s="425">
        <v>53</v>
      </c>
      <c r="E161" s="426">
        <v>13.1</v>
      </c>
      <c r="F161" s="427">
        <v>17.899999999999999</v>
      </c>
      <c r="G161" s="428">
        <v>1047</v>
      </c>
      <c r="H161" s="428">
        <v>2004</v>
      </c>
      <c r="I161" s="428">
        <v>101</v>
      </c>
      <c r="J161" s="428">
        <v>110</v>
      </c>
      <c r="K161" s="428" t="s">
        <v>882</v>
      </c>
      <c r="L161" s="426">
        <v>30.77</v>
      </c>
      <c r="M161" s="426">
        <v>37</v>
      </c>
      <c r="N161" s="426">
        <v>54.58</v>
      </c>
      <c r="O161" s="429"/>
      <c r="P161" s="429" t="s">
        <v>142</v>
      </c>
      <c r="Q161" s="429" t="s">
        <v>142</v>
      </c>
      <c r="R161" s="429" t="s">
        <v>865</v>
      </c>
      <c r="S161" s="429">
        <v>72.2</v>
      </c>
      <c r="T161" s="430" t="s">
        <v>653</v>
      </c>
      <c r="U161" s="429" t="s">
        <v>236</v>
      </c>
      <c r="V161" s="431"/>
      <c r="W161" s="306"/>
      <c r="CM161" s="271"/>
      <c r="CN161" s="271"/>
      <c r="CO161" s="271"/>
      <c r="CP161" s="271"/>
      <c r="CQ161" s="271"/>
      <c r="CR161" s="271"/>
      <c r="CS161" s="271"/>
      <c r="CT161" s="271"/>
      <c r="CU161" s="271"/>
      <c r="CV161" s="271"/>
      <c r="CW161" s="271"/>
      <c r="CX161" s="271"/>
      <c r="CY161" s="271"/>
    </row>
    <row r="162" spans="1:103" s="273" customFormat="1" ht="33.75" customHeight="1" x14ac:dyDescent="0.35">
      <c r="A162" s="423" t="s">
        <v>381</v>
      </c>
      <c r="B162" s="424">
        <v>44416</v>
      </c>
      <c r="C162" s="422">
        <v>0.25</v>
      </c>
      <c r="D162" s="425">
        <v>53</v>
      </c>
      <c r="E162" s="426">
        <v>11.2</v>
      </c>
      <c r="F162" s="427">
        <v>15.8</v>
      </c>
      <c r="G162" s="428">
        <v>991</v>
      </c>
      <c r="H162" s="428">
        <v>1666</v>
      </c>
      <c r="I162" s="428">
        <v>99</v>
      </c>
      <c r="J162" s="428">
        <v>106</v>
      </c>
      <c r="K162" s="428" t="s">
        <v>885</v>
      </c>
      <c r="L162" s="426">
        <v>31.64</v>
      </c>
      <c r="M162" s="426">
        <v>37</v>
      </c>
      <c r="N162" s="426">
        <v>55.39</v>
      </c>
      <c r="O162" s="429"/>
      <c r="P162" s="429" t="s">
        <v>142</v>
      </c>
      <c r="Q162" s="429" t="s">
        <v>142</v>
      </c>
      <c r="R162" s="429" t="s">
        <v>865</v>
      </c>
      <c r="S162" s="429">
        <v>66</v>
      </c>
      <c r="T162" s="430" t="s">
        <v>653</v>
      </c>
      <c r="U162" s="429" t="s">
        <v>236</v>
      </c>
      <c r="V162" s="431"/>
      <c r="W162" s="306"/>
      <c r="CM162" s="271"/>
      <c r="CN162" s="271"/>
      <c r="CO162" s="271"/>
      <c r="CP162" s="271"/>
      <c r="CQ162" s="271"/>
      <c r="CR162" s="271"/>
      <c r="CS162" s="271"/>
      <c r="CT162" s="271"/>
      <c r="CU162" s="271"/>
      <c r="CV162" s="271"/>
      <c r="CW162" s="271"/>
      <c r="CX162" s="271"/>
      <c r="CY162" s="271"/>
    </row>
    <row r="163" spans="1:103" s="273" customFormat="1" ht="33.75" customHeight="1" x14ac:dyDescent="0.35">
      <c r="A163" s="423" t="s">
        <v>381</v>
      </c>
      <c r="B163" s="424">
        <v>44417</v>
      </c>
      <c r="C163" s="422">
        <v>0.25</v>
      </c>
      <c r="D163" s="1481" t="s">
        <v>901</v>
      </c>
      <c r="E163" s="1482"/>
      <c r="F163" s="1482"/>
      <c r="G163" s="1482"/>
      <c r="H163" s="1482"/>
      <c r="I163" s="1482"/>
      <c r="J163" s="1482"/>
      <c r="K163" s="1482"/>
      <c r="L163" s="1482"/>
      <c r="M163" s="1482"/>
      <c r="N163" s="1482"/>
      <c r="O163" s="1482"/>
      <c r="P163" s="1482"/>
      <c r="Q163" s="1482"/>
      <c r="R163" s="1482"/>
      <c r="S163" s="1483"/>
      <c r="T163" s="430" t="s">
        <v>23</v>
      </c>
      <c r="U163" s="429" t="s">
        <v>236</v>
      </c>
      <c r="V163" s="431"/>
      <c r="W163" s="306"/>
      <c r="CM163" s="271"/>
      <c r="CN163" s="271"/>
      <c r="CO163" s="271"/>
      <c r="CP163" s="271"/>
      <c r="CQ163" s="271"/>
      <c r="CR163" s="271"/>
      <c r="CS163" s="271"/>
      <c r="CT163" s="271"/>
      <c r="CU163" s="271"/>
      <c r="CV163" s="271"/>
      <c r="CW163" s="271"/>
      <c r="CX163" s="271"/>
      <c r="CY163" s="271"/>
    </row>
    <row r="164" spans="1:103" s="273" customFormat="1" ht="33.75" customHeight="1" x14ac:dyDescent="0.35">
      <c r="A164" s="423" t="s">
        <v>381</v>
      </c>
      <c r="B164" s="424">
        <v>44418</v>
      </c>
      <c r="C164" s="422">
        <v>0.25</v>
      </c>
      <c r="D164" s="425">
        <v>53</v>
      </c>
      <c r="E164" s="426">
        <v>12.1</v>
      </c>
      <c r="F164" s="427">
        <v>15.1</v>
      </c>
      <c r="G164" s="428">
        <v>1029</v>
      </c>
      <c r="H164" s="428">
        <v>1815</v>
      </c>
      <c r="I164" s="428">
        <v>99.4</v>
      </c>
      <c r="J164" s="428">
        <v>106.6</v>
      </c>
      <c r="K164" s="428" t="s">
        <v>912</v>
      </c>
      <c r="L164" s="426">
        <v>37.94</v>
      </c>
      <c r="M164" s="426">
        <v>42</v>
      </c>
      <c r="N164" s="426">
        <v>53.52</v>
      </c>
      <c r="O164" s="429"/>
      <c r="P164" s="429" t="s">
        <v>142</v>
      </c>
      <c r="Q164" s="429" t="s">
        <v>142</v>
      </c>
      <c r="R164" s="429" t="s">
        <v>865</v>
      </c>
      <c r="S164" s="429">
        <v>68.599999999999994</v>
      </c>
      <c r="T164" s="430" t="s">
        <v>23</v>
      </c>
      <c r="U164" s="429" t="s">
        <v>236</v>
      </c>
      <c r="V164" s="431" t="s">
        <v>914</v>
      </c>
      <c r="W164" s="306"/>
      <c r="CM164" s="271"/>
      <c r="CN164" s="271"/>
      <c r="CO164" s="271"/>
      <c r="CP164" s="271"/>
      <c r="CQ164" s="271"/>
      <c r="CR164" s="271"/>
      <c r="CS164" s="271"/>
      <c r="CT164" s="271"/>
      <c r="CU164" s="271"/>
      <c r="CV164" s="271"/>
      <c r="CW164" s="271"/>
      <c r="CX164" s="271"/>
      <c r="CY164" s="271"/>
    </row>
    <row r="165" spans="1:103" s="273" customFormat="1" ht="61.5" customHeight="1" x14ac:dyDescent="0.35">
      <c r="A165" s="423" t="s">
        <v>381</v>
      </c>
      <c r="B165" s="424">
        <v>44419</v>
      </c>
      <c r="C165" s="422">
        <v>0.25</v>
      </c>
      <c r="D165" s="425">
        <v>53</v>
      </c>
      <c r="E165" s="426">
        <v>12.5</v>
      </c>
      <c r="F165" s="427">
        <v>16.2</v>
      </c>
      <c r="G165" s="428">
        <v>1050.7</v>
      </c>
      <c r="H165" s="428">
        <v>1945.3</v>
      </c>
      <c r="I165" s="428">
        <v>99.3</v>
      </c>
      <c r="J165" s="428">
        <v>106.5</v>
      </c>
      <c r="K165" s="428" t="s">
        <v>916</v>
      </c>
      <c r="L165" s="426">
        <v>37.380000000000003</v>
      </c>
      <c r="M165" s="426">
        <v>42</v>
      </c>
      <c r="N165" s="426">
        <v>52.48</v>
      </c>
      <c r="O165" s="429"/>
      <c r="P165" s="429" t="s">
        <v>142</v>
      </c>
      <c r="Q165" s="429" t="s">
        <v>142</v>
      </c>
      <c r="R165" s="429" t="s">
        <v>865</v>
      </c>
      <c r="S165" s="429">
        <v>69.900000000000006</v>
      </c>
      <c r="T165" s="430" t="s">
        <v>23</v>
      </c>
      <c r="U165" s="429" t="s">
        <v>236</v>
      </c>
      <c r="V165" s="431" t="s">
        <v>914</v>
      </c>
      <c r="W165" s="306"/>
      <c r="CM165" s="271"/>
      <c r="CN165" s="271"/>
      <c r="CO165" s="271"/>
      <c r="CP165" s="271"/>
      <c r="CQ165" s="271"/>
      <c r="CR165" s="271"/>
      <c r="CS165" s="271"/>
      <c r="CT165" s="271"/>
      <c r="CU165" s="271"/>
      <c r="CV165" s="271"/>
      <c r="CW165" s="271"/>
      <c r="CX165" s="271"/>
      <c r="CY165" s="271"/>
    </row>
    <row r="166" spans="1:103" s="273" customFormat="1" ht="61.5" customHeight="1" x14ac:dyDescent="0.35">
      <c r="A166" s="423" t="s">
        <v>381</v>
      </c>
      <c r="B166" s="424">
        <v>44420</v>
      </c>
      <c r="C166" s="422">
        <v>0.25</v>
      </c>
      <c r="D166" s="425">
        <v>53</v>
      </c>
      <c r="E166" s="426">
        <v>12.8</v>
      </c>
      <c r="F166" s="427">
        <v>14.5</v>
      </c>
      <c r="G166" s="428">
        <v>1095</v>
      </c>
      <c r="H166" s="428">
        <v>1799</v>
      </c>
      <c r="I166" s="428">
        <v>97.3</v>
      </c>
      <c r="J166" s="428">
        <v>108.5</v>
      </c>
      <c r="K166" s="428" t="s">
        <v>921</v>
      </c>
      <c r="L166" s="426">
        <v>35.799999999999997</v>
      </c>
      <c r="M166" s="426">
        <v>42</v>
      </c>
      <c r="N166" s="426">
        <v>49</v>
      </c>
      <c r="O166" s="429"/>
      <c r="P166" s="429" t="s">
        <v>142</v>
      </c>
      <c r="Q166" s="429" t="s">
        <v>142</v>
      </c>
      <c r="R166" s="429" t="s">
        <v>865</v>
      </c>
      <c r="S166" s="429">
        <v>58.9</v>
      </c>
      <c r="T166" s="430" t="s">
        <v>23</v>
      </c>
      <c r="U166" s="429" t="s">
        <v>236</v>
      </c>
      <c r="V166" s="431" t="s">
        <v>914</v>
      </c>
      <c r="W166" s="306"/>
      <c r="CM166" s="271"/>
      <c r="CN166" s="271"/>
      <c r="CO166" s="271"/>
      <c r="CP166" s="271"/>
      <c r="CQ166" s="271"/>
      <c r="CR166" s="271"/>
      <c r="CS166" s="271"/>
      <c r="CT166" s="271"/>
      <c r="CU166" s="271"/>
      <c r="CV166" s="271"/>
      <c r="CW166" s="271"/>
      <c r="CX166" s="271"/>
      <c r="CY166" s="271"/>
    </row>
    <row r="167" spans="1:103" s="273" customFormat="1" ht="60.75" customHeight="1" x14ac:dyDescent="0.35">
      <c r="A167" s="423"/>
      <c r="B167" s="424">
        <v>44421</v>
      </c>
      <c r="C167" s="422">
        <v>0.97916666666666663</v>
      </c>
      <c r="D167" s="425">
        <v>53</v>
      </c>
      <c r="E167" s="426">
        <v>11.9</v>
      </c>
      <c r="F167" s="427">
        <v>16</v>
      </c>
      <c r="G167" s="428">
        <v>1073</v>
      </c>
      <c r="H167" s="428">
        <v>1847</v>
      </c>
      <c r="I167" s="428">
        <v>99.3</v>
      </c>
      <c r="J167" s="428">
        <v>110</v>
      </c>
      <c r="K167" s="428" t="s">
        <v>926</v>
      </c>
      <c r="L167" s="426">
        <v>35.799999999999997</v>
      </c>
      <c r="M167" s="426">
        <v>40</v>
      </c>
      <c r="N167" s="426">
        <v>49</v>
      </c>
      <c r="O167" s="429"/>
      <c r="P167" s="429" t="s">
        <v>142</v>
      </c>
      <c r="Q167" s="429" t="s">
        <v>142</v>
      </c>
      <c r="R167" s="429" t="s">
        <v>927</v>
      </c>
      <c r="S167" s="429">
        <v>69.2</v>
      </c>
      <c r="T167" s="430" t="s">
        <v>23</v>
      </c>
      <c r="U167" s="429" t="s">
        <v>928</v>
      </c>
      <c r="V167" s="432" t="s">
        <v>948</v>
      </c>
      <c r="W167" s="306"/>
      <c r="CM167" s="271"/>
      <c r="CN167" s="271"/>
      <c r="CO167" s="271"/>
      <c r="CP167" s="271"/>
      <c r="CQ167" s="271"/>
      <c r="CR167" s="271"/>
      <c r="CS167" s="271"/>
      <c r="CT167" s="271"/>
      <c r="CU167" s="271"/>
      <c r="CV167" s="271"/>
      <c r="CW167" s="271"/>
      <c r="CX167" s="271"/>
      <c r="CY167" s="271"/>
    </row>
    <row r="168" spans="1:103" s="273" customFormat="1" ht="31.5" customHeight="1" x14ac:dyDescent="0.35">
      <c r="A168" s="423"/>
      <c r="B168" s="424">
        <v>44422</v>
      </c>
      <c r="C168" s="422">
        <v>0.95833333333333337</v>
      </c>
      <c r="D168" s="425">
        <v>53</v>
      </c>
      <c r="E168" s="426">
        <v>12</v>
      </c>
      <c r="F168" s="427">
        <v>15.9</v>
      </c>
      <c r="G168" s="428">
        <v>1048</v>
      </c>
      <c r="H168" s="428">
        <v>1909</v>
      </c>
      <c r="I168" s="428">
        <v>99.5</v>
      </c>
      <c r="J168" s="428">
        <v>110.6</v>
      </c>
      <c r="K168" s="428" t="s">
        <v>942</v>
      </c>
      <c r="L168" s="426">
        <v>35.97</v>
      </c>
      <c r="M168" s="426">
        <v>37</v>
      </c>
      <c r="N168" s="426">
        <v>49.51</v>
      </c>
      <c r="O168" s="429"/>
      <c r="P168" s="429" t="s">
        <v>142</v>
      </c>
      <c r="Q168" s="429" t="s">
        <v>142</v>
      </c>
      <c r="R168" s="429" t="s">
        <v>943</v>
      </c>
      <c r="S168" s="429">
        <v>66.599999999999994</v>
      </c>
      <c r="T168" s="430" t="s">
        <v>23</v>
      </c>
      <c r="U168" s="429" t="s">
        <v>928</v>
      </c>
      <c r="V168" s="433"/>
      <c r="W168" s="306"/>
      <c r="CM168" s="271"/>
      <c r="CN168" s="271"/>
      <c r="CO168" s="271"/>
      <c r="CP168" s="271"/>
      <c r="CQ168" s="271"/>
      <c r="CR168" s="271"/>
      <c r="CS168" s="271"/>
      <c r="CT168" s="271"/>
      <c r="CU168" s="271"/>
      <c r="CV168" s="271"/>
      <c r="CW168" s="271"/>
      <c r="CX168" s="271"/>
      <c r="CY168" s="271"/>
    </row>
    <row r="169" spans="1:103" s="273" customFormat="1" ht="41.25" customHeight="1" x14ac:dyDescent="0.35">
      <c r="A169" s="423"/>
      <c r="B169" s="424">
        <v>44423</v>
      </c>
      <c r="C169" s="422">
        <v>0.95833333333333337</v>
      </c>
      <c r="D169" s="425">
        <v>53</v>
      </c>
      <c r="E169" s="426">
        <v>10.199999999999999</v>
      </c>
      <c r="F169" s="427">
        <v>15.6</v>
      </c>
      <c r="G169" s="428">
        <v>1126</v>
      </c>
      <c r="H169" s="428">
        <v>2129</v>
      </c>
      <c r="I169" s="428">
        <v>97.5</v>
      </c>
      <c r="J169" s="428">
        <v>109</v>
      </c>
      <c r="K169" s="436" t="s">
        <v>942</v>
      </c>
      <c r="L169" s="426">
        <v>36.17</v>
      </c>
      <c r="M169" s="426">
        <v>37</v>
      </c>
      <c r="N169" s="426">
        <v>41.7</v>
      </c>
      <c r="O169" s="429"/>
      <c r="P169" s="429" t="s">
        <v>142</v>
      </c>
      <c r="Q169" s="429" t="s">
        <v>142</v>
      </c>
      <c r="R169" s="429" t="s">
        <v>951</v>
      </c>
      <c r="S169" s="429">
        <v>66.400000000000006</v>
      </c>
      <c r="T169" s="430" t="s">
        <v>23</v>
      </c>
      <c r="U169" s="429" t="s">
        <v>928</v>
      </c>
      <c r="V169" s="434" t="s">
        <v>952</v>
      </c>
      <c r="W169" s="306"/>
      <c r="CM169" s="271"/>
      <c r="CN169" s="271"/>
      <c r="CO169" s="271"/>
      <c r="CP169" s="271"/>
      <c r="CQ169" s="271"/>
      <c r="CR169" s="271"/>
      <c r="CS169" s="271"/>
      <c r="CT169" s="271"/>
      <c r="CU169" s="271"/>
      <c r="CV169" s="271"/>
      <c r="CW169" s="271"/>
      <c r="CX169" s="271"/>
      <c r="CY169" s="271"/>
    </row>
    <row r="170" spans="1:103" s="273" customFormat="1" ht="33.75" customHeight="1" x14ac:dyDescent="0.35">
      <c r="A170" s="423"/>
      <c r="B170" s="424">
        <v>44424</v>
      </c>
      <c r="C170" s="422">
        <v>0.95833333333333337</v>
      </c>
      <c r="D170" s="425">
        <v>53</v>
      </c>
      <c r="E170" s="426">
        <v>12.6</v>
      </c>
      <c r="F170" s="427">
        <v>16.399999999999999</v>
      </c>
      <c r="G170" s="428">
        <v>1042</v>
      </c>
      <c r="H170" s="428">
        <v>1806</v>
      </c>
      <c r="I170" s="428">
        <v>99.4</v>
      </c>
      <c r="J170" s="428">
        <v>110</v>
      </c>
      <c r="K170" s="436" t="s">
        <v>958</v>
      </c>
      <c r="L170" s="426">
        <v>36.090000000000003</v>
      </c>
      <c r="M170" s="426">
        <v>37</v>
      </c>
      <c r="N170" s="426">
        <v>52.67</v>
      </c>
      <c r="O170" s="429"/>
      <c r="P170" s="429" t="s">
        <v>142</v>
      </c>
      <c r="Q170" s="429" t="s">
        <v>142</v>
      </c>
      <c r="R170" s="429" t="s">
        <v>757</v>
      </c>
      <c r="S170" s="429">
        <v>70</v>
      </c>
      <c r="T170" s="430" t="s">
        <v>23</v>
      </c>
      <c r="U170" s="429" t="s">
        <v>928</v>
      </c>
      <c r="V170" s="433"/>
      <c r="W170" s="306"/>
      <c r="CM170" s="271"/>
      <c r="CN170" s="271"/>
      <c r="CO170" s="271"/>
      <c r="CP170" s="271"/>
      <c r="CQ170" s="271"/>
      <c r="CR170" s="271"/>
      <c r="CS170" s="271"/>
      <c r="CT170" s="271"/>
      <c r="CU170" s="271"/>
      <c r="CV170" s="271"/>
      <c r="CW170" s="271"/>
      <c r="CX170" s="271"/>
      <c r="CY170" s="271"/>
    </row>
    <row r="171" spans="1:103" s="273" customFormat="1" ht="37.5" customHeight="1" x14ac:dyDescent="0.35">
      <c r="A171" s="423"/>
      <c r="B171" s="424">
        <v>44425</v>
      </c>
      <c r="C171" s="422">
        <v>0.95833333333333337</v>
      </c>
      <c r="D171" s="425">
        <v>53</v>
      </c>
      <c r="E171" s="426">
        <v>12.3</v>
      </c>
      <c r="F171" s="427">
        <v>16.2</v>
      </c>
      <c r="G171" s="428">
        <v>1043</v>
      </c>
      <c r="H171" s="428">
        <v>1984</v>
      </c>
      <c r="I171" s="428">
        <v>99.3</v>
      </c>
      <c r="J171" s="428">
        <v>106.6</v>
      </c>
      <c r="K171" s="436" t="s">
        <v>964</v>
      </c>
      <c r="L171" s="426">
        <v>36.380000000000003</v>
      </c>
      <c r="M171" s="426">
        <v>38</v>
      </c>
      <c r="N171" s="426">
        <v>51.23</v>
      </c>
      <c r="O171" s="429"/>
      <c r="P171" s="429" t="s">
        <v>142</v>
      </c>
      <c r="Q171" s="429" t="s">
        <v>142</v>
      </c>
      <c r="R171" s="429" t="s">
        <v>965</v>
      </c>
      <c r="S171" s="429">
        <v>68.8</v>
      </c>
      <c r="T171" s="430" t="s">
        <v>23</v>
      </c>
      <c r="U171" s="429" t="s">
        <v>928</v>
      </c>
      <c r="V171" s="435" t="s">
        <v>966</v>
      </c>
      <c r="W171" s="306"/>
      <c r="CM171" s="271"/>
      <c r="CN171" s="271"/>
      <c r="CO171" s="271"/>
      <c r="CP171" s="271"/>
      <c r="CQ171" s="271"/>
      <c r="CR171" s="271"/>
      <c r="CS171" s="271"/>
      <c r="CT171" s="271"/>
      <c r="CU171" s="271"/>
      <c r="CV171" s="271"/>
      <c r="CW171" s="271"/>
      <c r="CX171" s="271"/>
      <c r="CY171" s="271"/>
    </row>
    <row r="172" spans="1:103" s="273" customFormat="1" ht="54" customHeight="1" x14ac:dyDescent="0.35">
      <c r="A172" s="423"/>
      <c r="B172" s="424">
        <v>44426</v>
      </c>
      <c r="C172" s="422">
        <v>0.95833333333333337</v>
      </c>
      <c r="D172" s="425">
        <v>53</v>
      </c>
      <c r="E172" s="426">
        <v>11.8</v>
      </c>
      <c r="F172" s="427">
        <v>15.8</v>
      </c>
      <c r="G172" s="428">
        <v>1117</v>
      </c>
      <c r="H172" s="428">
        <v>2140</v>
      </c>
      <c r="I172" s="428">
        <v>97.3</v>
      </c>
      <c r="J172" s="428">
        <v>108</v>
      </c>
      <c r="K172" s="436" t="s">
        <v>971</v>
      </c>
      <c r="L172" s="426">
        <v>37.5</v>
      </c>
      <c r="M172" s="426">
        <v>40</v>
      </c>
      <c r="N172" s="426">
        <v>47.37</v>
      </c>
      <c r="O172" s="429"/>
      <c r="P172" s="429" t="s">
        <v>142</v>
      </c>
      <c r="Q172" s="429" t="s">
        <v>142</v>
      </c>
      <c r="R172" s="429" t="s">
        <v>970</v>
      </c>
      <c r="S172" s="429">
        <v>67.5</v>
      </c>
      <c r="T172" s="430" t="s">
        <v>23</v>
      </c>
      <c r="U172" s="429" t="s">
        <v>928</v>
      </c>
      <c r="V172" s="435" t="s">
        <v>973</v>
      </c>
      <c r="W172" s="306"/>
      <c r="CM172" s="271"/>
      <c r="CN172" s="271"/>
      <c r="CO172" s="271"/>
      <c r="CP172" s="271"/>
      <c r="CQ172" s="271"/>
      <c r="CR172" s="271"/>
      <c r="CS172" s="271"/>
      <c r="CT172" s="271"/>
      <c r="CU172" s="271"/>
      <c r="CV172" s="271"/>
      <c r="CW172" s="271"/>
      <c r="CX172" s="271"/>
      <c r="CY172" s="271"/>
    </row>
    <row r="173" spans="1:103" s="273" customFormat="1" ht="30" customHeight="1" x14ac:dyDescent="0.35">
      <c r="A173" s="423"/>
      <c r="B173" s="424">
        <v>44427</v>
      </c>
      <c r="C173" s="422">
        <v>0.91666666666666663</v>
      </c>
      <c r="D173" s="425">
        <v>53</v>
      </c>
      <c r="E173" s="426">
        <v>11.3</v>
      </c>
      <c r="F173" s="427">
        <v>15.6</v>
      </c>
      <c r="G173" s="428">
        <v>1069</v>
      </c>
      <c r="H173" s="428">
        <v>1919</v>
      </c>
      <c r="I173" s="428">
        <v>99.3</v>
      </c>
      <c r="J173" s="428">
        <v>110</v>
      </c>
      <c r="K173" s="436" t="s">
        <v>975</v>
      </c>
      <c r="L173" s="426">
        <v>35.53</v>
      </c>
      <c r="M173" s="426">
        <v>40</v>
      </c>
      <c r="N173" s="426">
        <v>50.3</v>
      </c>
      <c r="O173" s="429"/>
      <c r="P173" s="429" t="s">
        <v>142</v>
      </c>
      <c r="Q173" s="429" t="s">
        <v>142</v>
      </c>
      <c r="R173" s="429" t="s">
        <v>974</v>
      </c>
      <c r="S173" s="429">
        <v>66.599999999999994</v>
      </c>
      <c r="T173" s="430" t="s">
        <v>23</v>
      </c>
      <c r="U173" s="429" t="s">
        <v>928</v>
      </c>
      <c r="V173" s="433"/>
      <c r="W173" s="306"/>
      <c r="CM173" s="271"/>
      <c r="CN173" s="271"/>
      <c r="CO173" s="271"/>
      <c r="CP173" s="271"/>
      <c r="CQ173" s="271"/>
      <c r="CR173" s="271"/>
      <c r="CS173" s="271"/>
      <c r="CT173" s="271"/>
      <c r="CU173" s="271"/>
      <c r="CV173" s="271"/>
      <c r="CW173" s="271"/>
      <c r="CX173" s="271"/>
      <c r="CY173" s="271"/>
    </row>
    <row r="174" spans="1:103" s="273" customFormat="1" ht="65.25" customHeight="1" x14ac:dyDescent="0.35">
      <c r="A174" s="423"/>
      <c r="B174" s="424">
        <v>44428</v>
      </c>
      <c r="C174" s="422">
        <v>0.91666666666666663</v>
      </c>
      <c r="D174" s="425">
        <v>53</v>
      </c>
      <c r="E174" s="426">
        <v>12</v>
      </c>
      <c r="F174" s="427">
        <v>15.9</v>
      </c>
      <c r="G174" s="428">
        <v>1082</v>
      </c>
      <c r="H174" s="428">
        <v>2078</v>
      </c>
      <c r="I174" s="428">
        <v>99.4</v>
      </c>
      <c r="J174" s="428">
        <v>110</v>
      </c>
      <c r="K174" s="436" t="s">
        <v>982</v>
      </c>
      <c r="L174" s="426">
        <v>39.270000000000003</v>
      </c>
      <c r="M174" s="426">
        <v>40</v>
      </c>
      <c r="N174" s="426">
        <v>46.98</v>
      </c>
      <c r="O174" s="429"/>
      <c r="P174" s="429" t="s">
        <v>142</v>
      </c>
      <c r="Q174" s="429" t="s">
        <v>142</v>
      </c>
      <c r="R174" s="429" t="s">
        <v>981</v>
      </c>
      <c r="S174" s="429">
        <v>67.900000000000006</v>
      </c>
      <c r="T174" s="430" t="s">
        <v>23</v>
      </c>
      <c r="U174" s="429" t="s">
        <v>928</v>
      </c>
      <c r="V174" s="434" t="s">
        <v>986</v>
      </c>
      <c r="W174" s="306"/>
      <c r="CM174" s="271"/>
      <c r="CN174" s="271"/>
      <c r="CO174" s="271"/>
      <c r="CP174" s="271"/>
      <c r="CQ174" s="271"/>
      <c r="CR174" s="271"/>
      <c r="CS174" s="271"/>
      <c r="CT174" s="271"/>
      <c r="CU174" s="271"/>
      <c r="CV174" s="271"/>
      <c r="CW174" s="271"/>
      <c r="CX174" s="271"/>
      <c r="CY174" s="271"/>
    </row>
    <row r="175" spans="1:103" s="273" customFormat="1" ht="40.5" customHeight="1" x14ac:dyDescent="0.35">
      <c r="A175" s="423"/>
      <c r="B175" s="424">
        <v>44429</v>
      </c>
      <c r="C175" s="422">
        <v>0.97916666666666663</v>
      </c>
      <c r="D175" s="425">
        <v>53</v>
      </c>
      <c r="E175" s="426">
        <v>11.6</v>
      </c>
      <c r="F175" s="427">
        <v>16</v>
      </c>
      <c r="G175" s="428">
        <v>1056</v>
      </c>
      <c r="H175" s="428">
        <v>1865</v>
      </c>
      <c r="I175" s="428">
        <v>99.65</v>
      </c>
      <c r="J175" s="428">
        <v>109</v>
      </c>
      <c r="K175" s="436" t="s">
        <v>989</v>
      </c>
      <c r="L175" s="426">
        <v>35.590000000000003</v>
      </c>
      <c r="M175" s="426">
        <v>40</v>
      </c>
      <c r="N175" s="426">
        <v>53.37</v>
      </c>
      <c r="O175" s="429"/>
      <c r="P175" s="429" t="s">
        <v>142</v>
      </c>
      <c r="Q175" s="429" t="s">
        <v>142</v>
      </c>
      <c r="R175" s="429" t="s">
        <v>981</v>
      </c>
      <c r="S175" s="429">
        <v>68.3</v>
      </c>
      <c r="T175" s="430" t="s">
        <v>23</v>
      </c>
      <c r="U175" s="429" t="s">
        <v>928</v>
      </c>
      <c r="V175" s="434" t="s">
        <v>992</v>
      </c>
      <c r="W175" s="306"/>
      <c r="CM175" s="271"/>
      <c r="CN175" s="271"/>
      <c r="CO175" s="271"/>
      <c r="CP175" s="271"/>
      <c r="CQ175" s="271"/>
      <c r="CR175" s="271"/>
      <c r="CS175" s="271"/>
      <c r="CT175" s="271"/>
      <c r="CU175" s="271"/>
      <c r="CV175" s="271"/>
      <c r="CW175" s="271"/>
      <c r="CX175" s="271"/>
      <c r="CY175" s="271"/>
    </row>
    <row r="176" spans="1:103" s="273" customFormat="1" ht="32.25" customHeight="1" x14ac:dyDescent="0.35">
      <c r="A176" s="423"/>
      <c r="B176" s="424">
        <v>44430</v>
      </c>
      <c r="C176" s="422">
        <v>0.9375</v>
      </c>
      <c r="D176" s="425">
        <v>53</v>
      </c>
      <c r="E176" s="426">
        <v>12.3</v>
      </c>
      <c r="F176" s="427">
        <v>16.100000000000001</v>
      </c>
      <c r="G176" s="428">
        <v>1048</v>
      </c>
      <c r="H176" s="428">
        <v>1934</v>
      </c>
      <c r="I176" s="428">
        <v>99.6</v>
      </c>
      <c r="J176" s="428">
        <v>110</v>
      </c>
      <c r="K176" s="436" t="s">
        <v>1001</v>
      </c>
      <c r="L176" s="426">
        <v>35.130000000000003</v>
      </c>
      <c r="M176" s="426">
        <v>40</v>
      </c>
      <c r="N176" s="426">
        <v>52.25</v>
      </c>
      <c r="O176" s="429"/>
      <c r="P176" s="429" t="s">
        <v>142</v>
      </c>
      <c r="Q176" s="429" t="s">
        <v>142</v>
      </c>
      <c r="R176" s="429" t="s">
        <v>1000</v>
      </c>
      <c r="S176" s="429">
        <v>68.8</v>
      </c>
      <c r="T176" s="430" t="s">
        <v>23</v>
      </c>
      <c r="U176" s="429" t="s">
        <v>928</v>
      </c>
      <c r="V176" s="434"/>
      <c r="W176" s="306"/>
      <c r="CM176" s="271"/>
      <c r="CN176" s="271"/>
      <c r="CO176" s="271"/>
      <c r="CP176" s="271"/>
      <c r="CQ176" s="271"/>
      <c r="CR176" s="271"/>
      <c r="CS176" s="271"/>
      <c r="CT176" s="271"/>
      <c r="CU176" s="271"/>
      <c r="CV176" s="271"/>
      <c r="CW176" s="271"/>
      <c r="CX176" s="271"/>
      <c r="CY176" s="271"/>
    </row>
    <row r="177" spans="1:103" s="273" customFormat="1" ht="24.75" customHeight="1" x14ac:dyDescent="0.35">
      <c r="A177" s="423"/>
      <c r="B177" s="424">
        <v>44431</v>
      </c>
      <c r="C177" s="422">
        <v>0.9375</v>
      </c>
      <c r="D177" s="425">
        <v>53</v>
      </c>
      <c r="E177" s="426">
        <v>11.9</v>
      </c>
      <c r="F177" s="427">
        <v>15.9</v>
      </c>
      <c r="G177" s="428">
        <v>1070</v>
      </c>
      <c r="H177" s="428">
        <v>2025</v>
      </c>
      <c r="I177" s="428">
        <v>99.7</v>
      </c>
      <c r="J177" s="428">
        <v>108</v>
      </c>
      <c r="K177" s="436" t="s">
        <v>1007</v>
      </c>
      <c r="L177" s="426">
        <v>36.590000000000003</v>
      </c>
      <c r="M177" s="426">
        <v>40</v>
      </c>
      <c r="N177" s="426">
        <v>49.92</v>
      </c>
      <c r="O177" s="429"/>
      <c r="P177" s="429" t="s">
        <v>142</v>
      </c>
      <c r="Q177" s="429" t="s">
        <v>142</v>
      </c>
      <c r="R177" s="429" t="s">
        <v>1008</v>
      </c>
      <c r="S177" s="429">
        <v>67</v>
      </c>
      <c r="T177" s="430" t="s">
        <v>23</v>
      </c>
      <c r="U177" s="429" t="s">
        <v>928</v>
      </c>
      <c r="V177" s="433"/>
      <c r="W177" s="306"/>
      <c r="CM177" s="271"/>
      <c r="CN177" s="271"/>
      <c r="CO177" s="271"/>
      <c r="CP177" s="271"/>
      <c r="CQ177" s="271"/>
      <c r="CR177" s="271"/>
      <c r="CS177" s="271"/>
      <c r="CT177" s="271"/>
      <c r="CU177" s="271"/>
      <c r="CV177" s="271"/>
      <c r="CW177" s="271"/>
      <c r="CX177" s="271"/>
      <c r="CY177" s="271"/>
    </row>
    <row r="178" spans="1:103" s="273" customFormat="1" ht="51" customHeight="1" x14ac:dyDescent="0.35">
      <c r="A178" s="423"/>
      <c r="B178" s="424">
        <v>44432</v>
      </c>
      <c r="C178" s="422">
        <v>0.97916666666666663</v>
      </c>
      <c r="D178" s="425">
        <v>53</v>
      </c>
      <c r="E178" s="426">
        <v>14.8</v>
      </c>
      <c r="F178" s="427">
        <v>18.100000000000001</v>
      </c>
      <c r="G178" s="428">
        <v>1070</v>
      </c>
      <c r="H178" s="428">
        <v>2025</v>
      </c>
      <c r="I178" s="428">
        <v>99.7</v>
      </c>
      <c r="J178" s="428">
        <v>108</v>
      </c>
      <c r="K178" s="436" t="s">
        <v>1007</v>
      </c>
      <c r="L178" s="426">
        <v>35.71</v>
      </c>
      <c r="M178" s="426">
        <v>40</v>
      </c>
      <c r="N178" s="426">
        <v>57.07</v>
      </c>
      <c r="O178" s="429"/>
      <c r="P178" s="429" t="s">
        <v>142</v>
      </c>
      <c r="Q178" s="429" t="s">
        <v>142</v>
      </c>
      <c r="R178" s="429" t="s">
        <v>1017</v>
      </c>
      <c r="S178" s="429">
        <v>77</v>
      </c>
      <c r="T178" s="430" t="s">
        <v>23</v>
      </c>
      <c r="U178" s="429" t="s">
        <v>928</v>
      </c>
      <c r="V178" s="435" t="s">
        <v>1016</v>
      </c>
      <c r="W178" s="306"/>
      <c r="CM178" s="271"/>
      <c r="CN178" s="271"/>
      <c r="CO178" s="271"/>
      <c r="CP178" s="271"/>
      <c r="CQ178" s="271"/>
      <c r="CR178" s="271"/>
      <c r="CS178" s="271"/>
      <c r="CT178" s="271"/>
      <c r="CU178" s="271"/>
      <c r="CV178" s="271"/>
      <c r="CW178" s="271"/>
      <c r="CX178" s="271"/>
      <c r="CY178" s="271"/>
    </row>
    <row r="179" spans="1:103" s="273" customFormat="1" ht="63" x14ac:dyDescent="0.35">
      <c r="A179" s="423"/>
      <c r="B179" s="424">
        <v>44433</v>
      </c>
      <c r="C179" s="422" t="s">
        <v>1020</v>
      </c>
      <c r="D179" s="425">
        <v>53</v>
      </c>
      <c r="E179" s="426">
        <v>12.6</v>
      </c>
      <c r="F179" s="427">
        <v>16.399999999999999</v>
      </c>
      <c r="G179" s="428">
        <v>1037</v>
      </c>
      <c r="H179" s="428">
        <v>1785</v>
      </c>
      <c r="I179" s="428">
        <v>99.5</v>
      </c>
      <c r="J179" s="428">
        <v>110</v>
      </c>
      <c r="K179" s="436" t="s">
        <v>1021</v>
      </c>
      <c r="L179" s="426">
        <v>32.21</v>
      </c>
      <c r="M179" s="426">
        <v>40</v>
      </c>
      <c r="N179" s="426">
        <v>53.25</v>
      </c>
      <c r="O179" s="429"/>
      <c r="P179" s="429" t="s">
        <v>142</v>
      </c>
      <c r="Q179" s="429" t="s">
        <v>142</v>
      </c>
      <c r="R179" s="429" t="s">
        <v>1022</v>
      </c>
      <c r="S179" s="429">
        <v>68.3</v>
      </c>
      <c r="T179" s="430" t="s">
        <v>23</v>
      </c>
      <c r="U179" s="429" t="s">
        <v>928</v>
      </c>
      <c r="V179" s="440" t="s">
        <v>1032</v>
      </c>
      <c r="W179" s="306"/>
      <c r="CM179" s="271"/>
      <c r="CN179" s="271"/>
      <c r="CO179" s="271"/>
      <c r="CP179" s="271"/>
      <c r="CQ179" s="271"/>
      <c r="CR179" s="271"/>
      <c r="CS179" s="271"/>
      <c r="CT179" s="271"/>
      <c r="CU179" s="271"/>
      <c r="CV179" s="271"/>
      <c r="CW179" s="271"/>
      <c r="CX179" s="271"/>
      <c r="CY179" s="271"/>
    </row>
    <row r="180" spans="1:103" s="273" customFormat="1" ht="49.5" customHeight="1" x14ac:dyDescent="0.35">
      <c r="A180" s="423"/>
      <c r="B180" s="424">
        <v>44434</v>
      </c>
      <c r="C180" s="422">
        <v>0.97916666666666663</v>
      </c>
      <c r="D180" s="425">
        <v>51</v>
      </c>
      <c r="E180" s="426">
        <v>11.5</v>
      </c>
      <c r="F180" s="427">
        <v>15.2</v>
      </c>
      <c r="G180" s="428">
        <v>1080</v>
      </c>
      <c r="H180" s="428">
        <v>1924</v>
      </c>
      <c r="I180" s="428">
        <v>97.2</v>
      </c>
      <c r="J180" s="428">
        <v>110</v>
      </c>
      <c r="K180" s="436" t="s">
        <v>1028</v>
      </c>
      <c r="L180" s="426">
        <v>32.35</v>
      </c>
      <c r="M180" s="426">
        <v>40</v>
      </c>
      <c r="N180" s="426">
        <v>50</v>
      </c>
      <c r="O180" s="429"/>
      <c r="P180" s="429" t="s">
        <v>142</v>
      </c>
      <c r="Q180" s="429" t="s">
        <v>142</v>
      </c>
      <c r="R180" s="429" t="s">
        <v>1029</v>
      </c>
      <c r="S180" s="429">
        <v>65.3</v>
      </c>
      <c r="T180" s="430" t="s">
        <v>23</v>
      </c>
      <c r="U180" s="429" t="s">
        <v>928</v>
      </c>
      <c r="V180" s="441" t="s">
        <v>1038</v>
      </c>
      <c r="W180" s="306"/>
      <c r="CM180" s="271"/>
      <c r="CN180" s="271"/>
      <c r="CO180" s="271"/>
      <c r="CP180" s="271"/>
      <c r="CQ180" s="271"/>
      <c r="CR180" s="271"/>
      <c r="CS180" s="271"/>
      <c r="CT180" s="271"/>
      <c r="CU180" s="271"/>
      <c r="CV180" s="271"/>
      <c r="CW180" s="271"/>
      <c r="CX180" s="271"/>
      <c r="CY180" s="271"/>
    </row>
    <row r="181" spans="1:103" s="273" customFormat="1" ht="29.25" customHeight="1" x14ac:dyDescent="0.35">
      <c r="A181" s="423"/>
      <c r="B181" s="424">
        <v>44435</v>
      </c>
      <c r="C181" s="422">
        <v>0.97916666666666663</v>
      </c>
      <c r="D181" s="425">
        <v>51</v>
      </c>
      <c r="E181" s="426">
        <v>12.5</v>
      </c>
      <c r="F181" s="427">
        <v>16.3</v>
      </c>
      <c r="G181" s="428">
        <v>1108</v>
      </c>
      <c r="H181" s="428">
        <v>1993</v>
      </c>
      <c r="I181" s="428">
        <v>97.3</v>
      </c>
      <c r="J181" s="428">
        <v>109</v>
      </c>
      <c r="K181" s="436" t="s">
        <v>1042</v>
      </c>
      <c r="L181" s="426">
        <v>33.83</v>
      </c>
      <c r="M181" s="426">
        <v>40</v>
      </c>
      <c r="N181" s="426">
        <v>49</v>
      </c>
      <c r="O181" s="429"/>
      <c r="P181" s="429" t="s">
        <v>142</v>
      </c>
      <c r="Q181" s="429" t="s">
        <v>142</v>
      </c>
      <c r="R181" s="429" t="s">
        <v>1043</v>
      </c>
      <c r="S181" s="429">
        <v>66.3</v>
      </c>
      <c r="T181" s="430" t="s">
        <v>23</v>
      </c>
      <c r="U181" s="429" t="s">
        <v>928</v>
      </c>
      <c r="V181" s="433"/>
      <c r="W181" s="306"/>
      <c r="CM181" s="271"/>
      <c r="CN181" s="271"/>
      <c r="CO181" s="271"/>
      <c r="CP181" s="271"/>
      <c r="CQ181" s="271"/>
      <c r="CR181" s="271"/>
      <c r="CS181" s="271"/>
      <c r="CT181" s="271"/>
      <c r="CU181" s="271"/>
      <c r="CV181" s="271"/>
      <c r="CW181" s="271"/>
      <c r="CX181" s="271"/>
      <c r="CY181" s="271"/>
    </row>
    <row r="182" spans="1:103" s="273" customFormat="1" ht="49.5" customHeight="1" x14ac:dyDescent="0.25">
      <c r="B182" s="424">
        <v>44436</v>
      </c>
      <c r="C182" s="422">
        <v>0.9375</v>
      </c>
      <c r="D182" s="425">
        <v>51</v>
      </c>
      <c r="E182" s="426">
        <v>11.2</v>
      </c>
      <c r="F182" s="427">
        <v>15.2</v>
      </c>
      <c r="G182" s="428">
        <v>1147</v>
      </c>
      <c r="H182" s="428">
        <v>1911</v>
      </c>
      <c r="I182" s="428">
        <v>96.8</v>
      </c>
      <c r="J182" s="428">
        <v>108</v>
      </c>
      <c r="K182" s="436" t="s">
        <v>1047</v>
      </c>
      <c r="L182" s="426">
        <v>35.18</v>
      </c>
      <c r="M182" s="426">
        <v>38</v>
      </c>
      <c r="N182" s="426">
        <v>50</v>
      </c>
      <c r="O182" s="429"/>
      <c r="P182" s="429" t="s">
        <v>142</v>
      </c>
      <c r="Q182" s="429" t="s">
        <v>142</v>
      </c>
      <c r="R182" s="429" t="s">
        <v>1048</v>
      </c>
      <c r="S182" s="429">
        <v>64.900000000000006</v>
      </c>
      <c r="T182" s="430" t="s">
        <v>23</v>
      </c>
      <c r="U182" s="429" t="s">
        <v>928</v>
      </c>
      <c r="V182" s="323" t="s">
        <v>1055</v>
      </c>
      <c r="W182" s="306"/>
      <c r="CM182" s="271"/>
      <c r="CN182" s="271"/>
      <c r="CO182" s="271"/>
      <c r="CP182" s="271"/>
      <c r="CQ182" s="271"/>
      <c r="CR182" s="271"/>
      <c r="CS182" s="271"/>
      <c r="CT182" s="271"/>
      <c r="CU182" s="271"/>
      <c r="CV182" s="271"/>
      <c r="CW182" s="271"/>
      <c r="CX182" s="271"/>
      <c r="CY182" s="271"/>
    </row>
    <row r="183" spans="1:103" s="273" customFormat="1" ht="63" customHeight="1" x14ac:dyDescent="0.25">
      <c r="B183" s="424">
        <v>44437</v>
      </c>
      <c r="C183" s="422">
        <v>0.9375</v>
      </c>
      <c r="D183" s="425">
        <v>52</v>
      </c>
      <c r="E183" s="426">
        <v>11.3</v>
      </c>
      <c r="F183" s="427">
        <v>15.2</v>
      </c>
      <c r="G183" s="428">
        <v>1170</v>
      </c>
      <c r="H183" s="428">
        <v>1951</v>
      </c>
      <c r="I183" s="428">
        <v>97.7</v>
      </c>
      <c r="J183" s="428">
        <v>106.7</v>
      </c>
      <c r="K183" s="436" t="s">
        <v>1052</v>
      </c>
      <c r="L183" s="426">
        <v>33.15</v>
      </c>
      <c r="M183" s="426">
        <v>38</v>
      </c>
      <c r="N183" s="426">
        <v>52</v>
      </c>
      <c r="O183" s="429"/>
      <c r="P183" s="429" t="s">
        <v>142</v>
      </c>
      <c r="Q183" s="429" t="s">
        <v>142</v>
      </c>
      <c r="R183" s="429" t="s">
        <v>1051</v>
      </c>
      <c r="S183" s="429">
        <v>64.099999999999994</v>
      </c>
      <c r="T183" s="430" t="s">
        <v>23</v>
      </c>
      <c r="U183" s="429" t="s">
        <v>928</v>
      </c>
      <c r="V183" s="319" t="s">
        <v>1062</v>
      </c>
      <c r="W183" s="306"/>
      <c r="CM183" s="271"/>
      <c r="CN183" s="271"/>
      <c r="CO183" s="271"/>
      <c r="CP183" s="271"/>
      <c r="CQ183" s="271"/>
      <c r="CR183" s="271"/>
      <c r="CS183" s="271"/>
      <c r="CT183" s="271"/>
      <c r="CU183" s="271"/>
      <c r="CV183" s="271"/>
      <c r="CW183" s="271"/>
      <c r="CX183" s="271"/>
      <c r="CY183" s="271"/>
    </row>
    <row r="184" spans="1:103" s="273" customFormat="1" ht="28.5" customHeight="1" x14ac:dyDescent="0.25">
      <c r="B184" s="424">
        <v>44438</v>
      </c>
      <c r="C184" s="422">
        <v>0.9375</v>
      </c>
      <c r="D184" s="425">
        <v>52</v>
      </c>
      <c r="E184" s="426">
        <v>12.2</v>
      </c>
      <c r="F184" s="427">
        <v>15.6</v>
      </c>
      <c r="G184" s="428">
        <v>1029</v>
      </c>
      <c r="H184" s="428">
        <v>1740</v>
      </c>
      <c r="I184" s="428">
        <v>99.4</v>
      </c>
      <c r="J184" s="428">
        <v>105.9</v>
      </c>
      <c r="K184" s="436" t="s">
        <v>1058</v>
      </c>
      <c r="L184" s="426">
        <v>33.15</v>
      </c>
      <c r="M184" s="426">
        <v>38</v>
      </c>
      <c r="N184" s="426">
        <v>52</v>
      </c>
      <c r="O184" s="429"/>
      <c r="P184" s="429" t="s">
        <v>142</v>
      </c>
      <c r="Q184" s="429" t="s">
        <v>142</v>
      </c>
      <c r="R184" s="429" t="s">
        <v>1059</v>
      </c>
      <c r="S184" s="429">
        <v>69.2</v>
      </c>
      <c r="T184" s="430" t="s">
        <v>23</v>
      </c>
      <c r="U184" s="429" t="s">
        <v>928</v>
      </c>
      <c r="V184" s="317"/>
      <c r="W184" s="306"/>
      <c r="CM184" s="271"/>
      <c r="CN184" s="271"/>
      <c r="CO184" s="271"/>
      <c r="CP184" s="271"/>
      <c r="CQ184" s="271"/>
      <c r="CR184" s="271"/>
      <c r="CS184" s="271"/>
      <c r="CT184" s="271"/>
      <c r="CU184" s="271"/>
      <c r="CV184" s="271"/>
      <c r="CW184" s="271"/>
      <c r="CX184" s="271"/>
      <c r="CY184" s="271"/>
    </row>
    <row r="185" spans="1:103" s="273" customFormat="1" ht="26.25" customHeight="1" x14ac:dyDescent="0.25">
      <c r="B185" s="424">
        <v>44439</v>
      </c>
      <c r="C185" s="422">
        <v>0.91666666666666663</v>
      </c>
      <c r="D185" s="425">
        <v>52</v>
      </c>
      <c r="E185" s="426">
        <v>11.1</v>
      </c>
      <c r="F185" s="427">
        <v>15.6</v>
      </c>
      <c r="G185" s="428">
        <v>1028</v>
      </c>
      <c r="H185" s="428">
        <v>1836</v>
      </c>
      <c r="I185" s="428">
        <v>99.4</v>
      </c>
      <c r="J185" s="428">
        <v>105.9</v>
      </c>
      <c r="K185" s="436" t="s">
        <v>1066</v>
      </c>
      <c r="L185" s="426">
        <v>32.21</v>
      </c>
      <c r="M185" s="426">
        <v>38</v>
      </c>
      <c r="N185" s="426">
        <v>50.34</v>
      </c>
      <c r="O185" s="429"/>
      <c r="P185" s="429" t="s">
        <v>142</v>
      </c>
      <c r="Q185" s="429" t="s">
        <v>142</v>
      </c>
      <c r="R185" s="429" t="s">
        <v>1067</v>
      </c>
      <c r="S185" s="429">
        <v>67</v>
      </c>
      <c r="T185" s="430" t="s">
        <v>23</v>
      </c>
      <c r="U185" s="429" t="s">
        <v>928</v>
      </c>
      <c r="V185" s="317"/>
      <c r="W185" s="306"/>
      <c r="CM185" s="271"/>
      <c r="CN185" s="271"/>
      <c r="CO185" s="271"/>
      <c r="CP185" s="271"/>
      <c r="CQ185" s="271"/>
      <c r="CR185" s="271"/>
      <c r="CS185" s="271"/>
      <c r="CT185" s="271"/>
      <c r="CU185" s="271"/>
      <c r="CV185" s="271"/>
      <c r="CW185" s="271"/>
      <c r="CX185" s="271"/>
      <c r="CY185" s="271"/>
    </row>
    <row r="186" spans="1:103" s="273" customFormat="1" ht="26.25" customHeight="1" x14ac:dyDescent="0.25">
      <c r="B186" s="424">
        <v>44440</v>
      </c>
      <c r="C186" s="422">
        <v>0.91666666666666663</v>
      </c>
      <c r="D186" s="425">
        <v>52</v>
      </c>
      <c r="E186" s="426">
        <v>11.7</v>
      </c>
      <c r="F186" s="427">
        <v>15.6</v>
      </c>
      <c r="G186" s="428">
        <v>1041</v>
      </c>
      <c r="H186" s="428">
        <v>1891</v>
      </c>
      <c r="I186" s="428">
        <v>99.5</v>
      </c>
      <c r="J186" s="428">
        <v>110</v>
      </c>
      <c r="K186" s="436" t="s">
        <v>1079</v>
      </c>
      <c r="L186" s="426">
        <v>32.68</v>
      </c>
      <c r="M186" s="426">
        <v>38</v>
      </c>
      <c r="N186" s="426">
        <v>50.27</v>
      </c>
      <c r="O186" s="429"/>
      <c r="P186" s="429" t="s">
        <v>142</v>
      </c>
      <c r="Q186" s="429" t="s">
        <v>142</v>
      </c>
      <c r="R186" s="429" t="s">
        <v>1080</v>
      </c>
      <c r="S186" s="429">
        <v>65</v>
      </c>
      <c r="T186" s="430" t="s">
        <v>23</v>
      </c>
      <c r="U186" s="429" t="s">
        <v>928</v>
      </c>
      <c r="V186" s="317"/>
      <c r="W186" s="306"/>
      <c r="CM186" s="271"/>
      <c r="CN186" s="271"/>
      <c r="CO186" s="271"/>
      <c r="CP186" s="271"/>
      <c r="CQ186" s="271"/>
      <c r="CR186" s="271"/>
      <c r="CS186" s="271"/>
      <c r="CT186" s="271"/>
      <c r="CU186" s="271"/>
      <c r="CV186" s="271"/>
      <c r="CW186" s="271"/>
      <c r="CX186" s="271"/>
      <c r="CY186" s="271"/>
    </row>
    <row r="187" spans="1:103" s="273" customFormat="1" ht="28.5" customHeight="1" x14ac:dyDescent="0.25">
      <c r="B187" s="424">
        <v>44441</v>
      </c>
      <c r="C187" s="422">
        <v>0.91666666666666663</v>
      </c>
      <c r="D187" s="425">
        <v>52</v>
      </c>
      <c r="E187" s="426">
        <v>11.2</v>
      </c>
      <c r="F187" s="427">
        <v>15.6</v>
      </c>
      <c r="G187" s="428">
        <v>1048</v>
      </c>
      <c r="H187" s="428">
        <v>1889</v>
      </c>
      <c r="I187" s="428">
        <v>99.5</v>
      </c>
      <c r="J187" s="428">
        <v>109</v>
      </c>
      <c r="K187" s="436" t="s">
        <v>1084</v>
      </c>
      <c r="L187" s="426">
        <v>33.28</v>
      </c>
      <c r="M187" s="426">
        <v>38</v>
      </c>
      <c r="N187" s="426">
        <v>50.64</v>
      </c>
      <c r="O187" s="429"/>
      <c r="P187" s="429" t="s">
        <v>142</v>
      </c>
      <c r="Q187" s="429" t="s">
        <v>142</v>
      </c>
      <c r="R187" s="429" t="s">
        <v>1085</v>
      </c>
      <c r="S187" s="429">
        <v>66.599999999999994</v>
      </c>
      <c r="T187" s="430" t="s">
        <v>23</v>
      </c>
      <c r="U187" s="429" t="s">
        <v>928</v>
      </c>
      <c r="V187" s="317"/>
      <c r="W187" s="306"/>
      <c r="CM187" s="271"/>
      <c r="CN187" s="271"/>
      <c r="CO187" s="271"/>
      <c r="CP187" s="271"/>
      <c r="CQ187" s="271"/>
      <c r="CR187" s="271"/>
      <c r="CS187" s="271"/>
      <c r="CT187" s="271"/>
      <c r="CU187" s="271"/>
      <c r="CV187" s="271"/>
      <c r="CW187" s="271"/>
      <c r="CX187" s="271"/>
      <c r="CY187" s="271"/>
    </row>
    <row r="188" spans="1:103" s="273" customFormat="1" ht="26.25" customHeight="1" x14ac:dyDescent="0.25">
      <c r="B188" s="424">
        <v>44442</v>
      </c>
      <c r="C188" s="422">
        <v>0.95833333333333337</v>
      </c>
      <c r="D188" s="425">
        <v>52</v>
      </c>
      <c r="E188" s="426">
        <v>11.6</v>
      </c>
      <c r="F188" s="427">
        <v>15.6</v>
      </c>
      <c r="G188" s="428">
        <v>1098</v>
      </c>
      <c r="H188" s="428">
        <v>2048</v>
      </c>
      <c r="I188" s="428">
        <v>97.1</v>
      </c>
      <c r="J188" s="428">
        <v>109</v>
      </c>
      <c r="K188" s="436" t="s">
        <v>1089</v>
      </c>
      <c r="L188" s="426">
        <v>33.89</v>
      </c>
      <c r="M188" s="426">
        <v>38</v>
      </c>
      <c r="N188" s="426">
        <v>49.54</v>
      </c>
      <c r="O188" s="429"/>
      <c r="P188" s="429" t="s">
        <v>142</v>
      </c>
      <c r="Q188" s="429" t="s">
        <v>142</v>
      </c>
      <c r="R188" s="429" t="s">
        <v>943</v>
      </c>
      <c r="S188" s="429">
        <v>67</v>
      </c>
      <c r="T188" s="430" t="s">
        <v>23</v>
      </c>
      <c r="U188" s="429" t="s">
        <v>928</v>
      </c>
      <c r="V188" s="417" t="s">
        <v>1093</v>
      </c>
      <c r="W188" s="306"/>
      <c r="CM188" s="271"/>
      <c r="CN188" s="271"/>
      <c r="CO188" s="271"/>
      <c r="CP188" s="271"/>
      <c r="CQ188" s="271"/>
      <c r="CR188" s="271"/>
      <c r="CS188" s="271"/>
      <c r="CT188" s="271"/>
      <c r="CU188" s="271"/>
      <c r="CV188" s="271"/>
      <c r="CW188" s="271"/>
      <c r="CX188" s="271"/>
      <c r="CY188" s="271"/>
    </row>
    <row r="189" spans="1:103" s="273" customFormat="1" ht="29.25" customHeight="1" x14ac:dyDescent="0.25">
      <c r="B189" s="424">
        <v>44443</v>
      </c>
      <c r="C189" s="422">
        <v>0.91666666666666663</v>
      </c>
      <c r="D189" s="425">
        <v>52</v>
      </c>
      <c r="E189" s="426">
        <v>12.2</v>
      </c>
      <c r="F189" s="427">
        <v>16.100000000000001</v>
      </c>
      <c r="G189" s="428">
        <v>1036</v>
      </c>
      <c r="H189" s="428">
        <v>1773</v>
      </c>
      <c r="I189" s="428">
        <v>99.3</v>
      </c>
      <c r="J189" s="428">
        <v>108</v>
      </c>
      <c r="K189" s="436" t="s">
        <v>1095</v>
      </c>
      <c r="L189" s="426">
        <v>32.99</v>
      </c>
      <c r="M189" s="426">
        <v>38</v>
      </c>
      <c r="N189" s="426">
        <v>52.79</v>
      </c>
      <c r="O189" s="429"/>
      <c r="P189" s="429" t="s">
        <v>142</v>
      </c>
      <c r="Q189" s="429" t="s">
        <v>142</v>
      </c>
      <c r="R189" s="429" t="s">
        <v>1094</v>
      </c>
      <c r="S189" s="429">
        <v>68.8</v>
      </c>
      <c r="T189" s="430" t="s">
        <v>23</v>
      </c>
      <c r="U189" s="429" t="s">
        <v>928</v>
      </c>
      <c r="V189" s="317"/>
      <c r="W189" s="306"/>
      <c r="CM189" s="271"/>
      <c r="CN189" s="271"/>
      <c r="CO189" s="271"/>
      <c r="CP189" s="271"/>
      <c r="CQ189" s="271"/>
      <c r="CR189" s="271"/>
      <c r="CS189" s="271"/>
      <c r="CT189" s="271"/>
      <c r="CU189" s="271"/>
      <c r="CV189" s="271"/>
      <c r="CW189" s="271"/>
      <c r="CX189" s="271"/>
      <c r="CY189" s="271"/>
    </row>
    <row r="190" spans="1:103" s="273" customFormat="1" ht="28.5" customHeight="1" x14ac:dyDescent="0.25">
      <c r="B190" s="424">
        <v>44444</v>
      </c>
      <c r="C190" s="422">
        <v>0.91666666666666663</v>
      </c>
      <c r="D190" s="425">
        <v>52</v>
      </c>
      <c r="E190" s="426">
        <v>12.2</v>
      </c>
      <c r="F190" s="427">
        <v>16.2</v>
      </c>
      <c r="G190" s="428">
        <v>1056</v>
      </c>
      <c r="H190" s="428">
        <v>1832</v>
      </c>
      <c r="I190" s="428">
        <v>99.3</v>
      </c>
      <c r="J190" s="428">
        <v>109</v>
      </c>
      <c r="K190" s="436" t="s">
        <v>1102</v>
      </c>
      <c r="L190" s="426">
        <v>32.82</v>
      </c>
      <c r="M190" s="426">
        <v>38</v>
      </c>
      <c r="N190" s="426">
        <v>49.85</v>
      </c>
      <c r="O190" s="429"/>
      <c r="P190" s="429" t="s">
        <v>142</v>
      </c>
      <c r="Q190" s="429" t="s">
        <v>142</v>
      </c>
      <c r="R190" s="429" t="s">
        <v>1103</v>
      </c>
      <c r="S190" s="429">
        <v>69.2</v>
      </c>
      <c r="T190" s="430" t="s">
        <v>23</v>
      </c>
      <c r="U190" s="429" t="s">
        <v>928</v>
      </c>
      <c r="V190" s="317"/>
      <c r="W190" s="306"/>
      <c r="CM190" s="271"/>
      <c r="CN190" s="271"/>
      <c r="CO190" s="271"/>
      <c r="CP190" s="271"/>
      <c r="CQ190" s="271"/>
      <c r="CR190" s="271"/>
      <c r="CS190" s="271"/>
      <c r="CT190" s="271"/>
      <c r="CU190" s="271"/>
      <c r="CV190" s="271"/>
      <c r="CW190" s="271"/>
      <c r="CX190" s="271"/>
      <c r="CY190" s="271"/>
    </row>
    <row r="191" spans="1:103" s="273" customFormat="1" ht="30" customHeight="1" x14ac:dyDescent="0.25">
      <c r="B191" s="424">
        <v>44445</v>
      </c>
      <c r="C191" s="422">
        <v>0.95833333333333337</v>
      </c>
      <c r="D191" s="425">
        <v>52</v>
      </c>
      <c r="E191" s="426">
        <v>11.8</v>
      </c>
      <c r="F191" s="427">
        <v>15.8</v>
      </c>
      <c r="G191" s="428">
        <v>1038</v>
      </c>
      <c r="H191" s="428">
        <v>1867</v>
      </c>
      <c r="I191" s="428">
        <v>99.5</v>
      </c>
      <c r="J191" s="428">
        <v>106</v>
      </c>
      <c r="K191" s="436" t="s">
        <v>1105</v>
      </c>
      <c r="L191" s="426">
        <v>34.33</v>
      </c>
      <c r="M191" s="426">
        <v>38</v>
      </c>
      <c r="N191" s="426">
        <v>50</v>
      </c>
      <c r="O191" s="429"/>
      <c r="P191" s="429" t="s">
        <v>142</v>
      </c>
      <c r="Q191" s="429" t="s">
        <v>142</v>
      </c>
      <c r="R191" s="429" t="s">
        <v>1108</v>
      </c>
      <c r="S191" s="429">
        <v>68.3</v>
      </c>
      <c r="T191" s="430" t="s">
        <v>23</v>
      </c>
      <c r="U191" s="429" t="s">
        <v>928</v>
      </c>
      <c r="V191" s="317"/>
      <c r="W191" s="306"/>
      <c r="CM191" s="271"/>
      <c r="CN191" s="271"/>
      <c r="CO191" s="271"/>
      <c r="CP191" s="271"/>
      <c r="CQ191" s="271"/>
      <c r="CR191" s="271"/>
      <c r="CS191" s="271"/>
      <c r="CT191" s="271"/>
      <c r="CU191" s="271"/>
      <c r="CV191" s="271"/>
      <c r="CW191" s="271"/>
      <c r="CX191" s="271"/>
      <c r="CY191" s="271"/>
    </row>
    <row r="192" spans="1:103" s="273" customFormat="1" ht="43.5" customHeight="1" x14ac:dyDescent="0.25">
      <c r="B192" s="424">
        <v>44446</v>
      </c>
      <c r="C192" s="422">
        <v>0.9375</v>
      </c>
      <c r="D192" s="425">
        <v>52</v>
      </c>
      <c r="E192" s="426">
        <v>8.6999999999999993</v>
      </c>
      <c r="F192" s="427">
        <v>13.8</v>
      </c>
      <c r="G192" s="428">
        <v>1122</v>
      </c>
      <c r="H192" s="428">
        <v>2065</v>
      </c>
      <c r="I192" s="428">
        <v>97.1</v>
      </c>
      <c r="J192" s="428">
        <v>110</v>
      </c>
      <c r="K192" s="436" t="s">
        <v>1110</v>
      </c>
      <c r="L192" s="426">
        <v>34.89</v>
      </c>
      <c r="M192" s="426">
        <v>38</v>
      </c>
      <c r="N192" s="426">
        <v>42</v>
      </c>
      <c r="O192" s="429"/>
      <c r="P192" s="429" t="s">
        <v>142</v>
      </c>
      <c r="Q192" s="429" t="s">
        <v>142</v>
      </c>
      <c r="R192" s="429" t="s">
        <v>943</v>
      </c>
      <c r="S192" s="429">
        <v>67</v>
      </c>
      <c r="T192" s="430" t="s">
        <v>23</v>
      </c>
      <c r="U192" s="429" t="s">
        <v>928</v>
      </c>
      <c r="V192" s="320" t="s">
        <v>1113</v>
      </c>
      <c r="W192" s="306"/>
      <c r="CM192" s="271"/>
      <c r="CN192" s="271"/>
      <c r="CO192" s="271"/>
      <c r="CP192" s="271"/>
      <c r="CQ192" s="271"/>
      <c r="CR192" s="271"/>
      <c r="CS192" s="271"/>
      <c r="CT192" s="271"/>
      <c r="CU192" s="271"/>
      <c r="CV192" s="271"/>
      <c r="CW192" s="271"/>
      <c r="CX192" s="271"/>
      <c r="CY192" s="271"/>
    </row>
    <row r="193" spans="2:103" s="273" customFormat="1" ht="49.5" customHeight="1" x14ac:dyDescent="0.25">
      <c r="B193" s="424">
        <v>44447</v>
      </c>
      <c r="C193" s="422">
        <v>0.97916666666666663</v>
      </c>
      <c r="D193" s="425">
        <v>52</v>
      </c>
      <c r="E193" s="426">
        <v>10.7</v>
      </c>
      <c r="F193" s="427">
        <v>15</v>
      </c>
      <c r="G193" s="428">
        <v>1148</v>
      </c>
      <c r="H193" s="428">
        <v>1964</v>
      </c>
      <c r="I193" s="428">
        <v>97.6</v>
      </c>
      <c r="J193" s="428">
        <v>109.3</v>
      </c>
      <c r="K193" s="436" t="s">
        <v>1116</v>
      </c>
      <c r="L193" s="426">
        <v>33.74</v>
      </c>
      <c r="M193" s="426">
        <v>38</v>
      </c>
      <c r="N193" s="426">
        <v>50</v>
      </c>
      <c r="O193" s="429"/>
      <c r="P193" s="429" t="s">
        <v>142</v>
      </c>
      <c r="Q193" s="429" t="s">
        <v>142</v>
      </c>
      <c r="R193" s="429" t="s">
        <v>1117</v>
      </c>
      <c r="S193" s="429">
        <v>64</v>
      </c>
      <c r="T193" s="430" t="s">
        <v>23</v>
      </c>
      <c r="U193" s="429" t="s">
        <v>928</v>
      </c>
      <c r="V193" s="320" t="s">
        <v>1131</v>
      </c>
      <c r="W193" s="306"/>
      <c r="CM193" s="271"/>
      <c r="CN193" s="271"/>
      <c r="CO193" s="271"/>
      <c r="CP193" s="271"/>
      <c r="CQ193" s="271"/>
      <c r="CR193" s="271"/>
      <c r="CS193" s="271"/>
      <c r="CT193" s="271"/>
      <c r="CU193" s="271"/>
      <c r="CV193" s="271"/>
      <c r="CW193" s="271"/>
      <c r="CX193" s="271"/>
      <c r="CY193" s="271"/>
    </row>
    <row r="194" spans="2:103" s="273" customFormat="1" ht="38.25" customHeight="1" x14ac:dyDescent="0.25">
      <c r="B194" s="424">
        <v>44448</v>
      </c>
      <c r="C194" s="422">
        <v>0.91666666666666663</v>
      </c>
      <c r="D194" s="425">
        <v>52</v>
      </c>
      <c r="E194" s="426">
        <v>11.4</v>
      </c>
      <c r="F194" s="427">
        <v>15.4</v>
      </c>
      <c r="G194" s="428">
        <v>1026</v>
      </c>
      <c r="H194" s="428">
        <v>1674</v>
      </c>
      <c r="I194" s="428">
        <v>99.3</v>
      </c>
      <c r="J194" s="428">
        <v>105.6</v>
      </c>
      <c r="K194" s="436" t="s">
        <v>1125</v>
      </c>
      <c r="L194" s="426">
        <v>32.299999999999997</v>
      </c>
      <c r="M194" s="426">
        <v>38</v>
      </c>
      <c r="N194" s="426">
        <v>54</v>
      </c>
      <c r="O194" s="429"/>
      <c r="P194" s="429" t="s">
        <v>142</v>
      </c>
      <c r="Q194" s="429" t="s">
        <v>142</v>
      </c>
      <c r="R194" s="429" t="s">
        <v>1126</v>
      </c>
      <c r="S194" s="429">
        <v>65.8</v>
      </c>
      <c r="T194" s="430" t="s">
        <v>23</v>
      </c>
      <c r="U194" s="429" t="s">
        <v>928</v>
      </c>
      <c r="V194" s="320" t="s">
        <v>1132</v>
      </c>
      <c r="W194" s="306"/>
      <c r="CM194" s="271"/>
      <c r="CN194" s="271"/>
      <c r="CO194" s="271"/>
      <c r="CP194" s="271"/>
      <c r="CQ194" s="271"/>
      <c r="CR194" s="271"/>
      <c r="CS194" s="271"/>
      <c r="CT194" s="271"/>
      <c r="CU194" s="271"/>
      <c r="CV194" s="271"/>
      <c r="CW194" s="271"/>
      <c r="CX194" s="271"/>
      <c r="CY194" s="271"/>
    </row>
    <row r="195" spans="2:103" s="273" customFormat="1" ht="23.25" customHeight="1" x14ac:dyDescent="0.25">
      <c r="B195" s="424">
        <v>44449</v>
      </c>
      <c r="C195" s="422">
        <v>0.97916666666666663</v>
      </c>
      <c r="D195" s="425">
        <v>52</v>
      </c>
      <c r="E195" s="426">
        <v>12.1</v>
      </c>
      <c r="F195" s="427">
        <v>15.9</v>
      </c>
      <c r="G195" s="428">
        <v>1021</v>
      </c>
      <c r="H195" s="428">
        <v>1876</v>
      </c>
      <c r="I195" s="428">
        <v>99.5</v>
      </c>
      <c r="J195" s="428">
        <v>106</v>
      </c>
      <c r="K195" s="436" t="s">
        <v>1139</v>
      </c>
      <c r="L195" s="426">
        <v>33.54</v>
      </c>
      <c r="M195" s="426">
        <v>38</v>
      </c>
      <c r="N195" s="426">
        <v>50.57</v>
      </c>
      <c r="O195" s="429"/>
      <c r="P195" s="429" t="s">
        <v>142</v>
      </c>
      <c r="Q195" s="429" t="s">
        <v>142</v>
      </c>
      <c r="R195" s="429" t="s">
        <v>1138</v>
      </c>
      <c r="S195" s="429">
        <v>67.900000000000006</v>
      </c>
      <c r="T195" s="430" t="s">
        <v>23</v>
      </c>
      <c r="U195" s="429" t="s">
        <v>928</v>
      </c>
      <c r="V195" s="320"/>
      <c r="W195" s="306"/>
      <c r="CM195" s="271"/>
      <c r="CN195" s="271"/>
      <c r="CO195" s="271"/>
      <c r="CP195" s="271"/>
      <c r="CQ195" s="271"/>
      <c r="CR195" s="271"/>
      <c r="CS195" s="271"/>
      <c r="CT195" s="271"/>
      <c r="CU195" s="271"/>
      <c r="CV195" s="271"/>
      <c r="CW195" s="271"/>
      <c r="CX195" s="271"/>
      <c r="CY195" s="271"/>
    </row>
    <row r="196" spans="2:103" s="273" customFormat="1" ht="23.25" customHeight="1" x14ac:dyDescent="0.25">
      <c r="B196" s="424">
        <v>44450</v>
      </c>
      <c r="C196" s="422">
        <v>0.91666666666666663</v>
      </c>
      <c r="D196" s="425">
        <v>52</v>
      </c>
      <c r="E196" s="426">
        <v>11.5</v>
      </c>
      <c r="F196" s="427">
        <v>15.5</v>
      </c>
      <c r="G196" s="428">
        <v>1065</v>
      </c>
      <c r="H196" s="428">
        <v>1998</v>
      </c>
      <c r="I196" s="428">
        <v>99.7</v>
      </c>
      <c r="J196" s="428">
        <v>106.2</v>
      </c>
      <c r="K196" s="436" t="s">
        <v>1146</v>
      </c>
      <c r="L196" s="426">
        <v>34.299999999999997</v>
      </c>
      <c r="M196" s="426">
        <v>38</v>
      </c>
      <c r="N196" s="426">
        <v>48.5</v>
      </c>
      <c r="O196" s="429"/>
      <c r="P196" s="429" t="s">
        <v>142</v>
      </c>
      <c r="Q196" s="429" t="s">
        <v>142</v>
      </c>
      <c r="R196" s="429" t="s">
        <v>1145</v>
      </c>
      <c r="S196" s="429">
        <v>66.2</v>
      </c>
      <c r="T196" s="430" t="s">
        <v>23</v>
      </c>
      <c r="U196" s="429" t="s">
        <v>928</v>
      </c>
      <c r="V196" s="320" t="s">
        <v>1148</v>
      </c>
      <c r="W196" s="306"/>
      <c r="CM196" s="271"/>
      <c r="CN196" s="271"/>
      <c r="CO196" s="271"/>
      <c r="CP196" s="271"/>
      <c r="CQ196" s="271"/>
      <c r="CR196" s="271"/>
      <c r="CS196" s="271"/>
      <c r="CT196" s="271"/>
      <c r="CU196" s="271"/>
      <c r="CV196" s="271"/>
      <c r="CW196" s="271"/>
      <c r="CX196" s="271"/>
      <c r="CY196" s="271"/>
    </row>
    <row r="197" spans="2:103" s="273" customFormat="1" ht="26.25" customHeight="1" x14ac:dyDescent="0.25">
      <c r="B197" s="424">
        <v>44451</v>
      </c>
      <c r="C197" s="422">
        <v>0.91666666666666663</v>
      </c>
      <c r="D197" s="425">
        <v>52</v>
      </c>
      <c r="E197" s="426">
        <v>11.9</v>
      </c>
      <c r="F197" s="427">
        <v>15.8</v>
      </c>
      <c r="G197" s="428">
        <v>1064</v>
      </c>
      <c r="H197" s="428">
        <v>1794</v>
      </c>
      <c r="I197" s="428">
        <v>99.1</v>
      </c>
      <c r="J197" s="428">
        <v>105.8</v>
      </c>
      <c r="K197" s="436" t="s">
        <v>1150</v>
      </c>
      <c r="L197" s="426">
        <v>33.909999999999997</v>
      </c>
      <c r="M197" s="426">
        <v>38</v>
      </c>
      <c r="N197" s="426">
        <v>54.25</v>
      </c>
      <c r="O197" s="429"/>
      <c r="P197" s="429" t="s">
        <v>142</v>
      </c>
      <c r="Q197" s="429" t="s">
        <v>142</v>
      </c>
      <c r="R197" s="429" t="s">
        <v>1149</v>
      </c>
      <c r="S197" s="429">
        <v>66.599999999999994</v>
      </c>
      <c r="T197" s="430" t="s">
        <v>23</v>
      </c>
      <c r="U197" s="429" t="s">
        <v>928</v>
      </c>
      <c r="V197" s="320" t="s">
        <v>1157</v>
      </c>
      <c r="W197" s="306"/>
      <c r="CM197" s="271"/>
      <c r="CN197" s="271"/>
      <c r="CO197" s="271"/>
      <c r="CP197" s="271"/>
      <c r="CQ197" s="271"/>
      <c r="CR197" s="271"/>
      <c r="CS197" s="271"/>
      <c r="CT197" s="271"/>
      <c r="CU197" s="271"/>
      <c r="CV197" s="271"/>
      <c r="CW197" s="271"/>
      <c r="CX197" s="271"/>
      <c r="CY197" s="271"/>
    </row>
    <row r="198" spans="2:103" s="273" customFormat="1" ht="23.25" customHeight="1" x14ac:dyDescent="0.25">
      <c r="B198" s="424">
        <v>44452</v>
      </c>
      <c r="C198" s="422">
        <v>0.9375</v>
      </c>
      <c r="D198" s="425">
        <v>52</v>
      </c>
      <c r="E198" s="426">
        <v>11.9</v>
      </c>
      <c r="F198" s="427">
        <v>15.8</v>
      </c>
      <c r="G198" s="428">
        <v>1047</v>
      </c>
      <c r="H198" s="428">
        <v>1967</v>
      </c>
      <c r="I198" s="428">
        <v>99.6</v>
      </c>
      <c r="J198" s="428">
        <v>106.3</v>
      </c>
      <c r="K198" s="436" t="s">
        <v>1161</v>
      </c>
      <c r="L198" s="426">
        <v>35.020000000000003</v>
      </c>
      <c r="M198" s="426">
        <v>38</v>
      </c>
      <c r="N198" s="426">
        <v>48.89</v>
      </c>
      <c r="O198" s="429"/>
      <c r="P198" s="429" t="s">
        <v>142</v>
      </c>
      <c r="Q198" s="429" t="s">
        <v>142</v>
      </c>
      <c r="R198" s="429" t="s">
        <v>1160</v>
      </c>
      <c r="S198" s="429">
        <v>67.5</v>
      </c>
      <c r="T198" s="430" t="s">
        <v>23</v>
      </c>
      <c r="U198" s="429" t="s">
        <v>928</v>
      </c>
      <c r="V198" s="318" t="s">
        <v>1167</v>
      </c>
      <c r="W198" s="306"/>
      <c r="CM198" s="271"/>
      <c r="CN198" s="271"/>
      <c r="CO198" s="271"/>
      <c r="CP198" s="271"/>
      <c r="CQ198" s="271"/>
      <c r="CR198" s="271"/>
      <c r="CS198" s="271"/>
      <c r="CT198" s="271"/>
      <c r="CU198" s="271"/>
      <c r="CV198" s="271"/>
      <c r="CW198" s="271"/>
      <c r="CX198" s="271"/>
      <c r="CY198" s="271"/>
    </row>
    <row r="199" spans="2:103" s="273" customFormat="1" ht="24.75" customHeight="1" x14ac:dyDescent="0.25">
      <c r="B199" s="424">
        <v>44453</v>
      </c>
      <c r="C199" s="422">
        <v>0.91666666666666663</v>
      </c>
      <c r="D199" s="425">
        <v>52</v>
      </c>
      <c r="E199" s="426">
        <v>11.3</v>
      </c>
      <c r="F199" s="427">
        <v>15.5</v>
      </c>
      <c r="G199" s="428">
        <v>1051</v>
      </c>
      <c r="H199" s="428">
        <v>1932</v>
      </c>
      <c r="I199" s="428">
        <v>99.4</v>
      </c>
      <c r="J199" s="428">
        <v>106.1</v>
      </c>
      <c r="K199" s="436" t="s">
        <v>1171</v>
      </c>
      <c r="L199" s="426">
        <v>33.479999999999997</v>
      </c>
      <c r="M199" s="426">
        <v>38</v>
      </c>
      <c r="N199" s="426">
        <v>49.62</v>
      </c>
      <c r="O199" s="429"/>
      <c r="P199" s="429" t="s">
        <v>142</v>
      </c>
      <c r="Q199" s="429" t="s">
        <v>142</v>
      </c>
      <c r="R199" s="429" t="s">
        <v>1170</v>
      </c>
      <c r="S199" s="429">
        <v>66.2</v>
      </c>
      <c r="T199" s="430" t="s">
        <v>23</v>
      </c>
      <c r="U199" s="429" t="s">
        <v>928</v>
      </c>
      <c r="V199" s="318"/>
      <c r="W199" s="306"/>
      <c r="CM199" s="271"/>
      <c r="CN199" s="271"/>
      <c r="CO199" s="271"/>
      <c r="CP199" s="271"/>
      <c r="CQ199" s="271"/>
      <c r="CR199" s="271"/>
      <c r="CS199" s="271"/>
      <c r="CT199" s="271"/>
      <c r="CU199" s="271"/>
      <c r="CV199" s="271"/>
      <c r="CW199" s="271"/>
      <c r="CX199" s="271"/>
      <c r="CY199" s="271"/>
    </row>
    <row r="200" spans="2:103" s="273" customFormat="1" ht="39.75" customHeight="1" x14ac:dyDescent="0.25">
      <c r="B200" s="424">
        <v>44454</v>
      </c>
      <c r="C200" s="422">
        <v>0.9375</v>
      </c>
      <c r="D200" s="425">
        <v>52</v>
      </c>
      <c r="E200" s="426">
        <v>7.3</v>
      </c>
      <c r="F200" s="427">
        <v>13</v>
      </c>
      <c r="G200" s="428">
        <v>1194</v>
      </c>
      <c r="H200" s="428">
        <v>1898</v>
      </c>
      <c r="I200" s="428">
        <v>96.3</v>
      </c>
      <c r="J200" s="428">
        <v>111.3</v>
      </c>
      <c r="K200" s="436" t="s">
        <v>1174</v>
      </c>
      <c r="L200" s="426">
        <v>33.25</v>
      </c>
      <c r="M200" s="426">
        <v>38</v>
      </c>
      <c r="N200" s="426">
        <v>34.28</v>
      </c>
      <c r="O200" s="429"/>
      <c r="P200" s="429" t="s">
        <v>142</v>
      </c>
      <c r="Q200" s="429" t="s">
        <v>142</v>
      </c>
      <c r="R200" s="429" t="s">
        <v>1175</v>
      </c>
      <c r="S200" s="429">
        <v>55.9</v>
      </c>
      <c r="T200" s="430" t="s">
        <v>23</v>
      </c>
      <c r="U200" s="429" t="s">
        <v>928</v>
      </c>
      <c r="V200" s="318" t="s">
        <v>1181</v>
      </c>
      <c r="W200" s="306"/>
      <c r="CM200" s="271"/>
      <c r="CN200" s="271"/>
      <c r="CO200" s="271"/>
      <c r="CP200" s="271"/>
      <c r="CQ200" s="271"/>
      <c r="CR200" s="271"/>
      <c r="CS200" s="271"/>
      <c r="CT200" s="271"/>
      <c r="CU200" s="271"/>
      <c r="CV200" s="271"/>
      <c r="CW200" s="271"/>
      <c r="CX200" s="271"/>
      <c r="CY200" s="271"/>
    </row>
    <row r="201" spans="2:103" s="273" customFormat="1" ht="21.75" customHeight="1" x14ac:dyDescent="0.25">
      <c r="B201" s="424">
        <v>44455</v>
      </c>
      <c r="C201" s="422">
        <v>0.91666666666666663</v>
      </c>
      <c r="D201" s="425">
        <v>52</v>
      </c>
      <c r="E201" s="426">
        <v>12.1</v>
      </c>
      <c r="F201" s="427">
        <v>16</v>
      </c>
      <c r="G201" s="428">
        <v>1049</v>
      </c>
      <c r="H201" s="428">
        <v>1869</v>
      </c>
      <c r="I201" s="428">
        <v>99.4</v>
      </c>
      <c r="J201" s="428">
        <v>106</v>
      </c>
      <c r="K201" s="436" t="s">
        <v>1189</v>
      </c>
      <c r="L201" s="426">
        <v>33.25</v>
      </c>
      <c r="M201" s="426">
        <v>38</v>
      </c>
      <c r="N201" s="426">
        <v>48</v>
      </c>
      <c r="O201" s="429"/>
      <c r="P201" s="429" t="s">
        <v>142</v>
      </c>
      <c r="Q201" s="429" t="s">
        <v>142</v>
      </c>
      <c r="R201" s="429" t="s">
        <v>1185</v>
      </c>
      <c r="S201" s="429">
        <v>68.3</v>
      </c>
      <c r="T201" s="430" t="s">
        <v>23</v>
      </c>
      <c r="U201" s="429" t="s">
        <v>928</v>
      </c>
      <c r="V201" s="318" t="s">
        <v>1192</v>
      </c>
      <c r="W201" s="306"/>
      <c r="CM201" s="271"/>
      <c r="CN201" s="271"/>
      <c r="CO201" s="271"/>
      <c r="CP201" s="271"/>
      <c r="CQ201" s="271"/>
      <c r="CR201" s="271"/>
      <c r="CS201" s="271"/>
      <c r="CT201" s="271"/>
      <c r="CU201" s="271"/>
      <c r="CV201" s="271"/>
      <c r="CW201" s="271"/>
      <c r="CX201" s="271"/>
      <c r="CY201" s="271"/>
    </row>
    <row r="202" spans="2:103" s="273" customFormat="1" ht="21.75" customHeight="1" x14ac:dyDescent="0.25">
      <c r="B202" s="424">
        <v>44456</v>
      </c>
      <c r="C202" s="422">
        <v>0.91666666666666663</v>
      </c>
      <c r="D202" s="425">
        <v>52</v>
      </c>
      <c r="E202" s="426">
        <v>11.7</v>
      </c>
      <c r="F202" s="427">
        <v>15.6</v>
      </c>
      <c r="G202" s="428">
        <v>1066</v>
      </c>
      <c r="H202" s="428">
        <v>1978</v>
      </c>
      <c r="I202" s="428">
        <v>99.5</v>
      </c>
      <c r="J202" s="428">
        <v>100.2</v>
      </c>
      <c r="K202" s="436" t="s">
        <v>1186</v>
      </c>
      <c r="L202" s="426">
        <v>33.049999999999997</v>
      </c>
      <c r="M202" s="426">
        <v>38</v>
      </c>
      <c r="N202" s="426">
        <v>50.88</v>
      </c>
      <c r="O202" s="429"/>
      <c r="P202" s="429" t="s">
        <v>142</v>
      </c>
      <c r="Q202" s="429" t="s">
        <v>142</v>
      </c>
      <c r="R202" s="429" t="s">
        <v>1185</v>
      </c>
      <c r="S202" s="429">
        <v>66.599999999999994</v>
      </c>
      <c r="T202" s="430" t="s">
        <v>23</v>
      </c>
      <c r="U202" s="429" t="s">
        <v>928</v>
      </c>
      <c r="V202" s="318"/>
      <c r="W202" s="306"/>
      <c r="CM202" s="271"/>
      <c r="CN202" s="271"/>
      <c r="CO202" s="271"/>
      <c r="CP202" s="271"/>
      <c r="CQ202" s="271"/>
      <c r="CR202" s="271"/>
      <c r="CS202" s="271"/>
      <c r="CT202" s="271"/>
      <c r="CU202" s="271"/>
      <c r="CV202" s="271"/>
      <c r="CW202" s="271"/>
      <c r="CX202" s="271"/>
      <c r="CY202" s="271"/>
    </row>
    <row r="203" spans="2:103" s="273" customFormat="1" ht="30" customHeight="1" x14ac:dyDescent="0.25">
      <c r="B203" s="424">
        <v>44457</v>
      </c>
      <c r="C203" s="422">
        <v>0.91666666666666663</v>
      </c>
      <c r="D203" s="425">
        <v>52</v>
      </c>
      <c r="E203" s="426">
        <v>13</v>
      </c>
      <c r="F203" s="427">
        <v>16</v>
      </c>
      <c r="G203" s="428">
        <v>1106</v>
      </c>
      <c r="H203" s="428">
        <v>1888</v>
      </c>
      <c r="I203" s="428">
        <v>97.5</v>
      </c>
      <c r="J203" s="428">
        <v>99.3</v>
      </c>
      <c r="K203" s="436" t="s">
        <v>1200</v>
      </c>
      <c r="L203" s="426">
        <v>34.5</v>
      </c>
      <c r="M203" s="426">
        <v>38</v>
      </c>
      <c r="N203" s="426">
        <v>50.61</v>
      </c>
      <c r="O203" s="429"/>
      <c r="P203" s="429" t="s">
        <v>142</v>
      </c>
      <c r="Q203" s="429" t="s">
        <v>142</v>
      </c>
      <c r="R203" s="429" t="s">
        <v>1201</v>
      </c>
      <c r="S203" s="429">
        <v>70</v>
      </c>
      <c r="T203" s="430" t="s">
        <v>23</v>
      </c>
      <c r="U203" s="429" t="s">
        <v>928</v>
      </c>
      <c r="V203" s="321"/>
      <c r="W203" s="306"/>
      <c r="CM203" s="271"/>
      <c r="CN203" s="271"/>
      <c r="CO203" s="271"/>
      <c r="CP203" s="271"/>
      <c r="CQ203" s="271"/>
      <c r="CR203" s="271"/>
      <c r="CS203" s="271"/>
      <c r="CT203" s="271"/>
      <c r="CU203" s="271"/>
      <c r="CV203" s="271"/>
      <c r="CW203" s="271"/>
      <c r="CX203" s="271"/>
      <c r="CY203" s="271"/>
    </row>
    <row r="204" spans="2:103" s="273" customFormat="1" ht="63.75" customHeight="1" x14ac:dyDescent="0.25">
      <c r="B204" s="424">
        <v>44458</v>
      </c>
      <c r="C204" s="422">
        <v>0.97916666666666663</v>
      </c>
      <c r="D204" s="425">
        <v>52</v>
      </c>
      <c r="E204" s="426">
        <v>14.6</v>
      </c>
      <c r="F204" s="427">
        <v>18</v>
      </c>
      <c r="G204" s="428">
        <v>1170</v>
      </c>
      <c r="H204" s="428">
        <v>2080</v>
      </c>
      <c r="I204" s="428">
        <v>100.2</v>
      </c>
      <c r="J204" s="428">
        <v>100.1</v>
      </c>
      <c r="K204" s="436" t="s">
        <v>1212</v>
      </c>
      <c r="L204" s="426">
        <v>35.130000000000003</v>
      </c>
      <c r="M204" s="426">
        <v>38</v>
      </c>
      <c r="N204" s="426">
        <v>52.64</v>
      </c>
      <c r="O204" s="429"/>
      <c r="P204" s="429" t="s">
        <v>142</v>
      </c>
      <c r="Q204" s="429" t="s">
        <v>142</v>
      </c>
      <c r="R204" s="429" t="s">
        <v>1211</v>
      </c>
      <c r="S204" s="429">
        <v>75</v>
      </c>
      <c r="T204" s="430" t="s">
        <v>23</v>
      </c>
      <c r="U204" s="429" t="s">
        <v>928</v>
      </c>
      <c r="V204" s="318" t="s">
        <v>1210</v>
      </c>
      <c r="W204" s="306"/>
      <c r="CM204" s="271"/>
      <c r="CN204" s="271"/>
      <c r="CO204" s="271"/>
      <c r="CP204" s="271"/>
      <c r="CQ204" s="271"/>
      <c r="CR204" s="271"/>
      <c r="CS204" s="271"/>
      <c r="CT204" s="271"/>
      <c r="CU204" s="271"/>
      <c r="CV204" s="271"/>
      <c r="CW204" s="271"/>
      <c r="CX204" s="271"/>
      <c r="CY204" s="271"/>
    </row>
    <row r="205" spans="2:103" s="273" customFormat="1" ht="53.25" customHeight="1" x14ac:dyDescent="0.25">
      <c r="B205" s="424">
        <v>44459</v>
      </c>
      <c r="C205" s="422">
        <v>0.9375</v>
      </c>
      <c r="D205" s="425">
        <v>52</v>
      </c>
      <c r="E205" s="426">
        <v>11.9</v>
      </c>
      <c r="F205" s="427">
        <v>16</v>
      </c>
      <c r="G205" s="428">
        <v>1088</v>
      </c>
      <c r="H205" s="428">
        <v>1832</v>
      </c>
      <c r="I205" s="428">
        <v>99.3</v>
      </c>
      <c r="J205" s="428">
        <v>100</v>
      </c>
      <c r="K205" s="436" t="s">
        <v>1218</v>
      </c>
      <c r="L205" s="426">
        <v>35.78</v>
      </c>
      <c r="M205" s="426">
        <v>39</v>
      </c>
      <c r="N205" s="426">
        <v>53.9</v>
      </c>
      <c r="O205" s="429"/>
      <c r="P205" s="429" t="s">
        <v>142</v>
      </c>
      <c r="Q205" s="429" t="s">
        <v>142</v>
      </c>
      <c r="R205" s="429" t="s">
        <v>1217</v>
      </c>
      <c r="S205" s="429">
        <v>68.3</v>
      </c>
      <c r="T205" s="430" t="s">
        <v>23</v>
      </c>
      <c r="U205" s="429" t="s">
        <v>928</v>
      </c>
      <c r="V205" s="318" t="s">
        <v>1220</v>
      </c>
      <c r="W205" s="306"/>
      <c r="CM205" s="271"/>
      <c r="CN205" s="271"/>
      <c r="CO205" s="271"/>
      <c r="CP205" s="271"/>
      <c r="CQ205" s="271"/>
      <c r="CR205" s="271"/>
      <c r="CS205" s="271"/>
      <c r="CT205" s="271"/>
      <c r="CU205" s="271"/>
      <c r="CV205" s="271"/>
      <c r="CW205" s="271"/>
      <c r="CX205" s="271"/>
      <c r="CY205" s="271"/>
    </row>
    <row r="206" spans="2:103" s="273" customFormat="1" ht="26.25" customHeight="1" x14ac:dyDescent="0.25">
      <c r="B206" s="424">
        <v>44460</v>
      </c>
      <c r="C206" s="422">
        <v>0.91666666666666663</v>
      </c>
      <c r="D206" s="425">
        <v>52</v>
      </c>
      <c r="E206" s="426">
        <v>11.6</v>
      </c>
      <c r="F206" s="427">
        <v>15.6</v>
      </c>
      <c r="G206" s="428">
        <v>1060</v>
      </c>
      <c r="H206" s="428">
        <v>1940</v>
      </c>
      <c r="I206" s="428">
        <v>99.6</v>
      </c>
      <c r="J206" s="428">
        <v>110</v>
      </c>
      <c r="K206" s="436" t="s">
        <v>1224</v>
      </c>
      <c r="L206" s="426">
        <v>34.75</v>
      </c>
      <c r="M206" s="426">
        <v>39</v>
      </c>
      <c r="N206" s="426">
        <v>50</v>
      </c>
      <c r="O206" s="429"/>
      <c r="P206" s="429" t="s">
        <v>142</v>
      </c>
      <c r="Q206" s="429" t="s">
        <v>142</v>
      </c>
      <c r="R206" s="429" t="s">
        <v>1223</v>
      </c>
      <c r="S206" s="429">
        <v>66.599999999999994</v>
      </c>
      <c r="T206" s="430" t="s">
        <v>23</v>
      </c>
      <c r="U206" s="429" t="s">
        <v>928</v>
      </c>
      <c r="V206" s="318"/>
      <c r="W206" s="306"/>
      <c r="CM206" s="271"/>
      <c r="CN206" s="271"/>
      <c r="CO206" s="271"/>
      <c r="CP206" s="271"/>
      <c r="CQ206" s="271"/>
      <c r="CR206" s="271"/>
      <c r="CS206" s="271"/>
      <c r="CT206" s="271"/>
      <c r="CU206" s="271"/>
      <c r="CV206" s="271"/>
      <c r="CW206" s="271"/>
      <c r="CX206" s="271"/>
      <c r="CY206" s="271"/>
    </row>
    <row r="207" spans="2:103" s="273" customFormat="1" ht="69.75" customHeight="1" x14ac:dyDescent="0.25">
      <c r="B207" s="424">
        <v>44461</v>
      </c>
      <c r="C207" s="422">
        <v>0.9375</v>
      </c>
      <c r="D207" s="425">
        <v>52</v>
      </c>
      <c r="E207" s="426">
        <v>12</v>
      </c>
      <c r="F207" s="427">
        <v>16</v>
      </c>
      <c r="G207" s="428">
        <v>1180</v>
      </c>
      <c r="H207" s="428">
        <v>2129</v>
      </c>
      <c r="I207" s="428">
        <v>98.8</v>
      </c>
      <c r="J207" s="428">
        <v>111</v>
      </c>
      <c r="K207" s="436" t="s">
        <v>1229</v>
      </c>
      <c r="L207" s="426">
        <v>34.700000000000003</v>
      </c>
      <c r="M207" s="426">
        <v>40</v>
      </c>
      <c r="N207" s="426">
        <v>50.64</v>
      </c>
      <c r="O207" s="429"/>
      <c r="P207" s="429" t="s">
        <v>142</v>
      </c>
      <c r="Q207" s="429" t="s">
        <v>142</v>
      </c>
      <c r="R207" s="429" t="s">
        <v>855</v>
      </c>
      <c r="S207" s="429">
        <v>68.3</v>
      </c>
      <c r="T207" s="430" t="s">
        <v>451</v>
      </c>
      <c r="U207" s="429" t="s">
        <v>928</v>
      </c>
      <c r="V207" s="318" t="s">
        <v>1236</v>
      </c>
      <c r="W207" s="306"/>
      <c r="CM207" s="271"/>
      <c r="CN207" s="271"/>
      <c r="CO207" s="271"/>
      <c r="CP207" s="271"/>
      <c r="CQ207" s="271"/>
      <c r="CR207" s="271"/>
      <c r="CS207" s="271"/>
      <c r="CT207" s="271"/>
      <c r="CU207" s="271"/>
      <c r="CV207" s="271"/>
      <c r="CW207" s="271"/>
      <c r="CX207" s="271"/>
      <c r="CY207" s="271"/>
    </row>
    <row r="208" spans="2:103" s="273" customFormat="1" ht="57" customHeight="1" x14ac:dyDescent="0.25">
      <c r="B208" s="424">
        <v>44462</v>
      </c>
      <c r="C208" s="422">
        <v>0.95833333333333337</v>
      </c>
      <c r="D208" s="425">
        <v>52</v>
      </c>
      <c r="E208" s="426">
        <v>12</v>
      </c>
      <c r="F208" s="427">
        <v>16</v>
      </c>
      <c r="G208" s="428">
        <v>1180</v>
      </c>
      <c r="H208" s="428">
        <v>2129</v>
      </c>
      <c r="I208" s="428">
        <v>98.8</v>
      </c>
      <c r="J208" s="428">
        <v>100.1</v>
      </c>
      <c r="K208" s="436" t="s">
        <v>1229</v>
      </c>
      <c r="L208" s="426">
        <v>34.700000000000003</v>
      </c>
      <c r="M208" s="426">
        <v>40</v>
      </c>
      <c r="N208" s="426">
        <v>51</v>
      </c>
      <c r="O208" s="429"/>
      <c r="P208" s="429" t="s">
        <v>142</v>
      </c>
      <c r="Q208" s="429" t="s">
        <v>142</v>
      </c>
      <c r="R208" s="429" t="s">
        <v>855</v>
      </c>
      <c r="S208" s="429">
        <v>68.3</v>
      </c>
      <c r="T208" s="430" t="s">
        <v>352</v>
      </c>
      <c r="U208" s="429" t="s">
        <v>928</v>
      </c>
      <c r="V208" s="318" t="s">
        <v>1241</v>
      </c>
      <c r="W208" s="306"/>
      <c r="CM208" s="271"/>
      <c r="CN208" s="271"/>
      <c r="CO208" s="271"/>
      <c r="CP208" s="271"/>
      <c r="CQ208" s="271"/>
      <c r="CR208" s="271"/>
      <c r="CS208" s="271"/>
      <c r="CT208" s="271"/>
      <c r="CU208" s="271"/>
      <c r="CV208" s="271"/>
      <c r="CW208" s="271"/>
      <c r="CX208" s="271"/>
      <c r="CY208" s="271"/>
    </row>
    <row r="209" spans="2:103" s="273" customFormat="1" ht="27.75" customHeight="1" x14ac:dyDescent="0.25">
      <c r="B209" s="424">
        <v>44463</v>
      </c>
      <c r="C209" s="422">
        <v>0.9375</v>
      </c>
      <c r="D209" s="425">
        <v>52</v>
      </c>
      <c r="E209" s="426">
        <v>14</v>
      </c>
      <c r="F209" s="427">
        <v>15.9</v>
      </c>
      <c r="G209" s="428">
        <v>1245</v>
      </c>
      <c r="H209" s="428">
        <v>2150</v>
      </c>
      <c r="I209" s="428">
        <v>100.6</v>
      </c>
      <c r="J209" s="428">
        <v>100.5</v>
      </c>
      <c r="K209" s="436" t="s">
        <v>1248</v>
      </c>
      <c r="L209" s="426">
        <v>34</v>
      </c>
      <c r="M209" s="426">
        <v>40</v>
      </c>
      <c r="N209" s="426">
        <v>50</v>
      </c>
      <c r="O209" s="429"/>
      <c r="P209" s="429" t="s">
        <v>142</v>
      </c>
      <c r="Q209" s="429" t="s">
        <v>142</v>
      </c>
      <c r="R209" s="429" t="s">
        <v>981</v>
      </c>
      <c r="S209" s="429">
        <v>66</v>
      </c>
      <c r="T209" s="430" t="s">
        <v>352</v>
      </c>
      <c r="U209" s="429" t="s">
        <v>928</v>
      </c>
      <c r="V209" s="318"/>
      <c r="W209" s="306"/>
      <c r="CM209" s="271"/>
      <c r="CN209" s="271"/>
      <c r="CO209" s="271"/>
      <c r="CP209" s="271"/>
      <c r="CQ209" s="271"/>
      <c r="CR209" s="271"/>
      <c r="CS209" s="271"/>
      <c r="CT209" s="271"/>
      <c r="CU209" s="271"/>
      <c r="CV209" s="271"/>
      <c r="CW209" s="271"/>
      <c r="CX209" s="271"/>
      <c r="CY209" s="271"/>
    </row>
    <row r="210" spans="2:103" s="273" customFormat="1" ht="21" x14ac:dyDescent="0.25">
      <c r="B210" s="424">
        <v>44464</v>
      </c>
      <c r="C210" s="422">
        <v>0.91666666666666663</v>
      </c>
      <c r="D210" s="425">
        <v>52</v>
      </c>
      <c r="E210" s="426">
        <v>12.1</v>
      </c>
      <c r="F210" s="427">
        <v>16.100000000000001</v>
      </c>
      <c r="G210" s="428">
        <v>1117</v>
      </c>
      <c r="H210" s="428">
        <v>1936</v>
      </c>
      <c r="I210" s="428">
        <v>99.3</v>
      </c>
      <c r="J210" s="428">
        <v>100.1</v>
      </c>
      <c r="K210" s="436" t="s">
        <v>1250</v>
      </c>
      <c r="L210" s="426">
        <v>35.42</v>
      </c>
      <c r="M210" s="426">
        <v>40</v>
      </c>
      <c r="N210" s="426">
        <v>52.61</v>
      </c>
      <c r="O210" s="429"/>
      <c r="P210" s="429" t="s">
        <v>142</v>
      </c>
      <c r="Q210" s="429" t="s">
        <v>142</v>
      </c>
      <c r="R210" s="429" t="s">
        <v>1103</v>
      </c>
      <c r="S210" s="429">
        <v>68.8</v>
      </c>
      <c r="T210" s="430" t="s">
        <v>352</v>
      </c>
      <c r="U210" s="429" t="s">
        <v>928</v>
      </c>
      <c r="V210" s="318"/>
      <c r="W210" s="306"/>
      <c r="CM210" s="271"/>
      <c r="CN210" s="271"/>
      <c r="CO210" s="271"/>
      <c r="CP210" s="271"/>
      <c r="CQ210" s="271"/>
      <c r="CR210" s="271"/>
      <c r="CS210" s="271"/>
      <c r="CT210" s="271"/>
      <c r="CU210" s="271"/>
      <c r="CV210" s="271"/>
      <c r="CW210" s="271"/>
      <c r="CX210" s="271"/>
      <c r="CY210" s="271"/>
    </row>
    <row r="211" spans="2:103" s="273" customFormat="1" ht="21.75" customHeight="1" x14ac:dyDescent="0.25">
      <c r="B211" s="424">
        <v>44465</v>
      </c>
      <c r="C211" s="422">
        <v>0.9375</v>
      </c>
      <c r="D211" s="425">
        <v>52</v>
      </c>
      <c r="E211" s="426">
        <v>11.9</v>
      </c>
      <c r="F211" s="427">
        <v>15.8</v>
      </c>
      <c r="G211" s="428">
        <v>1093</v>
      </c>
      <c r="H211" s="428">
        <v>1971</v>
      </c>
      <c r="I211" s="428">
        <v>99.5</v>
      </c>
      <c r="J211" s="428">
        <v>100.2</v>
      </c>
      <c r="K211" s="436" t="s">
        <v>1257</v>
      </c>
      <c r="L211" s="426">
        <v>35.58</v>
      </c>
      <c r="M211" s="426">
        <v>40</v>
      </c>
      <c r="N211" s="426">
        <v>50.84</v>
      </c>
      <c r="O211" s="429"/>
      <c r="P211" s="429" t="s">
        <v>142</v>
      </c>
      <c r="Q211" s="429" t="s">
        <v>142</v>
      </c>
      <c r="R211" s="429" t="s">
        <v>1256</v>
      </c>
      <c r="S211" s="429">
        <v>67.5</v>
      </c>
      <c r="T211" s="430" t="s">
        <v>352</v>
      </c>
      <c r="U211" s="429" t="s">
        <v>928</v>
      </c>
      <c r="V211" s="318"/>
      <c r="W211" s="306"/>
      <c r="CM211" s="271"/>
      <c r="CN211" s="271"/>
      <c r="CO211" s="271"/>
      <c r="CP211" s="271"/>
      <c r="CQ211" s="271"/>
      <c r="CR211" s="271"/>
      <c r="CS211" s="271"/>
      <c r="CT211" s="271"/>
      <c r="CU211" s="271"/>
      <c r="CV211" s="271"/>
      <c r="CW211" s="271"/>
      <c r="CX211" s="271"/>
      <c r="CY211" s="271"/>
    </row>
    <row r="212" spans="2:103" s="273" customFormat="1" ht="23.25" customHeight="1" x14ac:dyDescent="0.25">
      <c r="B212" s="424">
        <v>44466</v>
      </c>
      <c r="C212" s="422">
        <v>0.9375</v>
      </c>
      <c r="D212" s="425">
        <v>52</v>
      </c>
      <c r="E212" s="426">
        <v>9.5</v>
      </c>
      <c r="F212" s="427">
        <v>14.3</v>
      </c>
      <c r="G212" s="428">
        <v>1159</v>
      </c>
      <c r="H212" s="428">
        <v>2026</v>
      </c>
      <c r="I212" s="428">
        <v>97.7</v>
      </c>
      <c r="J212" s="428">
        <v>110.8</v>
      </c>
      <c r="K212" s="436" t="s">
        <v>1257</v>
      </c>
      <c r="L212" s="426">
        <v>36.11</v>
      </c>
      <c r="M212" s="426">
        <v>40</v>
      </c>
      <c r="N212" s="426">
        <v>49</v>
      </c>
      <c r="O212" s="429"/>
      <c r="P212" s="429" t="s">
        <v>142</v>
      </c>
      <c r="Q212" s="429" t="s">
        <v>142</v>
      </c>
      <c r="R212" s="429" t="s">
        <v>1261</v>
      </c>
      <c r="S212" s="429">
        <v>60.2</v>
      </c>
      <c r="T212" s="430" t="s">
        <v>352</v>
      </c>
      <c r="U212" s="429" t="s">
        <v>928</v>
      </c>
      <c r="V212" s="318" t="s">
        <v>1262</v>
      </c>
      <c r="W212" s="306"/>
      <c r="CM212" s="271"/>
      <c r="CN212" s="271"/>
      <c r="CO212" s="271"/>
      <c r="CP212" s="271"/>
      <c r="CQ212" s="271"/>
      <c r="CR212" s="271"/>
      <c r="CS212" s="271"/>
      <c r="CT212" s="271"/>
      <c r="CU212" s="271"/>
      <c r="CV212" s="271"/>
      <c r="CW212" s="271"/>
      <c r="CX212" s="271"/>
      <c r="CY212" s="271"/>
    </row>
    <row r="213" spans="2:103" s="273" customFormat="1" ht="21" customHeight="1" x14ac:dyDescent="0.25">
      <c r="B213" s="424">
        <v>44467</v>
      </c>
      <c r="C213" s="422">
        <v>0.91666666666666663</v>
      </c>
      <c r="D213" s="425">
        <v>53</v>
      </c>
      <c r="E213" s="426">
        <v>12.3</v>
      </c>
      <c r="F213" s="427">
        <v>16.2</v>
      </c>
      <c r="G213" s="428">
        <v>1107</v>
      </c>
      <c r="H213" s="428">
        <v>1976</v>
      </c>
      <c r="I213" s="428">
        <v>99.4</v>
      </c>
      <c r="J213" s="428">
        <v>111</v>
      </c>
      <c r="K213" s="436" t="s">
        <v>1267</v>
      </c>
      <c r="L213" s="426">
        <v>37.840000000000003</v>
      </c>
      <c r="M213" s="426">
        <v>40</v>
      </c>
      <c r="N213" s="426">
        <v>51.18</v>
      </c>
      <c r="O213" s="429"/>
      <c r="P213" s="429" t="s">
        <v>142</v>
      </c>
      <c r="Q213" s="429" t="s">
        <v>142</v>
      </c>
      <c r="R213" s="429" t="s">
        <v>1000</v>
      </c>
      <c r="S213" s="429">
        <v>69.2</v>
      </c>
      <c r="T213" s="430" t="s">
        <v>352</v>
      </c>
      <c r="U213" s="429" t="s">
        <v>928</v>
      </c>
      <c r="V213" s="318" t="s">
        <v>1273</v>
      </c>
      <c r="W213" s="306"/>
      <c r="CM213" s="271"/>
      <c r="CN213" s="271"/>
      <c r="CO213" s="271"/>
      <c r="CP213" s="271"/>
      <c r="CQ213" s="271"/>
      <c r="CR213" s="271"/>
      <c r="CS213" s="271"/>
      <c r="CT213" s="271"/>
      <c r="CU213" s="271"/>
      <c r="CV213" s="271"/>
      <c r="CW213" s="271"/>
      <c r="CX213" s="271"/>
      <c r="CY213" s="271"/>
    </row>
    <row r="214" spans="2:103" s="273" customFormat="1" ht="23.25" customHeight="1" x14ac:dyDescent="0.25">
      <c r="B214" s="424">
        <v>44468</v>
      </c>
      <c r="C214" s="422">
        <v>0.91666666666666663</v>
      </c>
      <c r="D214" s="425">
        <v>53</v>
      </c>
      <c r="E214" s="426">
        <v>12.3</v>
      </c>
      <c r="F214" s="427">
        <v>16.2</v>
      </c>
      <c r="G214" s="428">
        <v>1107</v>
      </c>
      <c r="H214" s="428">
        <v>1976</v>
      </c>
      <c r="I214" s="428">
        <v>99.4</v>
      </c>
      <c r="J214" s="428">
        <v>110</v>
      </c>
      <c r="K214" s="436" t="s">
        <v>1267</v>
      </c>
      <c r="L214" s="426">
        <v>37.840000000000003</v>
      </c>
      <c r="M214" s="426">
        <v>40</v>
      </c>
      <c r="N214" s="426">
        <v>51.18</v>
      </c>
      <c r="O214" s="429"/>
      <c r="P214" s="429" t="s">
        <v>142</v>
      </c>
      <c r="Q214" s="429" t="s">
        <v>142</v>
      </c>
      <c r="R214" s="429" t="s">
        <v>1000</v>
      </c>
      <c r="S214" s="429">
        <v>69.2</v>
      </c>
      <c r="T214" s="430" t="s">
        <v>352</v>
      </c>
      <c r="U214" s="429" t="s">
        <v>928</v>
      </c>
      <c r="V214" s="318"/>
      <c r="CM214" s="271"/>
      <c r="CN214" s="271"/>
      <c r="CO214" s="271"/>
      <c r="CP214" s="271"/>
      <c r="CQ214" s="271"/>
      <c r="CR214" s="271"/>
      <c r="CS214" s="271"/>
      <c r="CT214" s="271"/>
      <c r="CU214" s="271"/>
      <c r="CV214" s="271"/>
      <c r="CW214" s="271"/>
      <c r="CX214" s="271"/>
      <c r="CY214" s="271"/>
    </row>
    <row r="215" spans="2:103" s="273" customFormat="1" ht="21.75" customHeight="1" x14ac:dyDescent="0.25">
      <c r="B215" s="424">
        <v>44469</v>
      </c>
      <c r="C215" s="422">
        <v>0.9375</v>
      </c>
      <c r="D215" s="425">
        <v>53</v>
      </c>
      <c r="E215" s="426">
        <v>9.1999999999999993</v>
      </c>
      <c r="F215" s="427">
        <v>14</v>
      </c>
      <c r="G215" s="428">
        <v>1169</v>
      </c>
      <c r="H215" s="428">
        <v>2047</v>
      </c>
      <c r="I215" s="428">
        <v>96.9</v>
      </c>
      <c r="J215" s="428">
        <v>111.3</v>
      </c>
      <c r="K215" s="436" t="s">
        <v>1279</v>
      </c>
      <c r="L215" s="426">
        <v>35.96</v>
      </c>
      <c r="M215" s="426">
        <v>40</v>
      </c>
      <c r="N215" s="426">
        <v>48</v>
      </c>
      <c r="O215" s="429"/>
      <c r="P215" s="429" t="s">
        <v>142</v>
      </c>
      <c r="Q215" s="429" t="s">
        <v>142</v>
      </c>
      <c r="R215" s="429" t="s">
        <v>1278</v>
      </c>
      <c r="S215" s="429">
        <v>59.8</v>
      </c>
      <c r="T215" s="430" t="s">
        <v>352</v>
      </c>
      <c r="U215" s="429" t="s">
        <v>928</v>
      </c>
      <c r="V215" s="318" t="s">
        <v>1262</v>
      </c>
      <c r="CM215" s="271"/>
      <c r="CN215" s="271"/>
      <c r="CO215" s="271"/>
      <c r="CP215" s="271"/>
      <c r="CQ215" s="271"/>
      <c r="CR215" s="271"/>
      <c r="CS215" s="271"/>
      <c r="CT215" s="271"/>
      <c r="CU215" s="271"/>
      <c r="CV215" s="271"/>
      <c r="CW215" s="271"/>
      <c r="CX215" s="271"/>
      <c r="CY215" s="271"/>
    </row>
    <row r="216" spans="2:103" s="273" customFormat="1" ht="23.25" customHeight="1" x14ac:dyDescent="0.25">
      <c r="B216" s="424">
        <v>44470</v>
      </c>
      <c r="C216" s="422">
        <v>0.9375</v>
      </c>
      <c r="D216" s="425">
        <v>53</v>
      </c>
      <c r="E216" s="426">
        <v>11.9</v>
      </c>
      <c r="F216" s="427">
        <v>16</v>
      </c>
      <c r="G216" s="428">
        <v>1180</v>
      </c>
      <c r="H216" s="428">
        <v>2063</v>
      </c>
      <c r="I216" s="428">
        <v>97.7</v>
      </c>
      <c r="J216" s="428">
        <v>99.1</v>
      </c>
      <c r="K216" s="436" t="s">
        <v>1287</v>
      </c>
      <c r="L216" s="426">
        <v>36.700000000000003</v>
      </c>
      <c r="M216" s="426">
        <v>40</v>
      </c>
      <c r="N216" s="426">
        <v>50.5</v>
      </c>
      <c r="O216" s="429"/>
      <c r="P216" s="429" t="s">
        <v>142</v>
      </c>
      <c r="Q216" s="429" t="s">
        <v>142</v>
      </c>
      <c r="R216" s="429" t="s">
        <v>1286</v>
      </c>
      <c r="S216" s="429">
        <v>70</v>
      </c>
      <c r="T216" s="430" t="s">
        <v>352</v>
      </c>
      <c r="U216" s="429" t="s">
        <v>928</v>
      </c>
      <c r="V216" s="417" t="s">
        <v>1290</v>
      </c>
      <c r="CM216" s="271"/>
      <c r="CN216" s="271"/>
      <c r="CO216" s="271"/>
      <c r="CP216" s="271"/>
      <c r="CQ216" s="271"/>
      <c r="CR216" s="271"/>
      <c r="CS216" s="271"/>
      <c r="CT216" s="271"/>
      <c r="CU216" s="271"/>
      <c r="CV216" s="271"/>
      <c r="CW216" s="271"/>
      <c r="CX216" s="271"/>
      <c r="CY216" s="271"/>
    </row>
    <row r="217" spans="2:103" s="273" customFormat="1" ht="23.25" customHeight="1" x14ac:dyDescent="0.25">
      <c r="B217" s="424">
        <v>44471</v>
      </c>
      <c r="C217" s="422">
        <v>0.9375</v>
      </c>
      <c r="D217" s="425">
        <v>53</v>
      </c>
      <c r="E217" s="426">
        <v>12.4</v>
      </c>
      <c r="F217" s="427">
        <v>16.3</v>
      </c>
      <c r="G217" s="428">
        <v>1180</v>
      </c>
      <c r="H217" s="428">
        <v>2063</v>
      </c>
      <c r="I217" s="428">
        <v>97.7</v>
      </c>
      <c r="J217" s="428">
        <v>99.1</v>
      </c>
      <c r="K217" s="436" t="s">
        <v>1287</v>
      </c>
      <c r="L217" s="426">
        <v>38.18</v>
      </c>
      <c r="M217" s="426">
        <v>40</v>
      </c>
      <c r="N217" s="426">
        <v>50</v>
      </c>
      <c r="O217" s="429"/>
      <c r="P217" s="429" t="s">
        <v>142</v>
      </c>
      <c r="Q217" s="429" t="s">
        <v>142</v>
      </c>
      <c r="R217" s="429" t="s">
        <v>1292</v>
      </c>
      <c r="S217" s="429">
        <v>72</v>
      </c>
      <c r="T217" s="430" t="s">
        <v>352</v>
      </c>
      <c r="U217" s="429" t="s">
        <v>928</v>
      </c>
      <c r="V217" s="318"/>
      <c r="CM217" s="271"/>
      <c r="CN217" s="271"/>
      <c r="CO217" s="271"/>
      <c r="CP217" s="271"/>
      <c r="CQ217" s="271"/>
      <c r="CR217" s="271"/>
      <c r="CS217" s="271"/>
      <c r="CT217" s="271"/>
      <c r="CU217" s="271"/>
      <c r="CV217" s="271"/>
      <c r="CW217" s="271"/>
      <c r="CX217" s="271"/>
      <c r="CY217" s="271"/>
    </row>
    <row r="218" spans="2:103" s="273" customFormat="1" ht="36.75" customHeight="1" x14ac:dyDescent="0.25">
      <c r="B218" s="424">
        <v>44472</v>
      </c>
      <c r="C218" s="422">
        <v>0.91666666666666663</v>
      </c>
      <c r="D218" s="425">
        <v>53</v>
      </c>
      <c r="E218" s="426">
        <v>11.4</v>
      </c>
      <c r="F218" s="427">
        <v>15.5</v>
      </c>
      <c r="G218" s="428">
        <v>1180</v>
      </c>
      <c r="H218" s="428">
        <v>2063</v>
      </c>
      <c r="I218" s="428">
        <v>97.7</v>
      </c>
      <c r="J218" s="428">
        <v>99.1</v>
      </c>
      <c r="K218" s="436" t="s">
        <v>1287</v>
      </c>
      <c r="L218" s="426">
        <v>40</v>
      </c>
      <c r="M218" s="426">
        <v>40</v>
      </c>
      <c r="N218" s="426">
        <v>50.42</v>
      </c>
      <c r="O218" s="429"/>
      <c r="P218" s="429" t="s">
        <v>142</v>
      </c>
      <c r="Q218" s="429" t="s">
        <v>142</v>
      </c>
      <c r="R218" s="429" t="s">
        <v>974</v>
      </c>
      <c r="S218" s="429">
        <v>72</v>
      </c>
      <c r="T218" s="430" t="s">
        <v>352</v>
      </c>
      <c r="U218" s="429" t="s">
        <v>928</v>
      </c>
      <c r="V218" s="318" t="s">
        <v>1303</v>
      </c>
      <c r="CM218" s="271"/>
      <c r="CN218" s="271"/>
      <c r="CO218" s="271"/>
      <c r="CP218" s="271"/>
      <c r="CQ218" s="271"/>
      <c r="CR218" s="271"/>
      <c r="CS218" s="271"/>
      <c r="CT218" s="271"/>
      <c r="CU218" s="271"/>
      <c r="CV218" s="271"/>
      <c r="CW218" s="271"/>
      <c r="CX218" s="271"/>
      <c r="CY218" s="271"/>
    </row>
    <row r="219" spans="2:103" s="273" customFormat="1" ht="46.5" customHeight="1" x14ac:dyDescent="0.25">
      <c r="B219" s="424">
        <v>44473</v>
      </c>
      <c r="C219" s="422">
        <v>0.9375</v>
      </c>
      <c r="D219" s="425">
        <v>53</v>
      </c>
      <c r="E219" s="426">
        <v>11.5</v>
      </c>
      <c r="F219" s="427">
        <v>15.6</v>
      </c>
      <c r="G219" s="428">
        <v>1121</v>
      </c>
      <c r="H219" s="428">
        <v>2049</v>
      </c>
      <c r="I219" s="428">
        <v>99.5</v>
      </c>
      <c r="J219" s="428">
        <v>100.3</v>
      </c>
      <c r="K219" s="436" t="s">
        <v>1307</v>
      </c>
      <c r="L219" s="426">
        <v>37.630000000000003</v>
      </c>
      <c r="M219" s="426">
        <v>40</v>
      </c>
      <c r="N219" s="426">
        <v>50.15</v>
      </c>
      <c r="O219" s="429"/>
      <c r="P219" s="429" t="s">
        <v>142</v>
      </c>
      <c r="Q219" s="429" t="s">
        <v>142</v>
      </c>
      <c r="R219" s="429" t="s">
        <v>974</v>
      </c>
      <c r="S219" s="429">
        <v>66.599999999999994</v>
      </c>
      <c r="T219" s="430" t="s">
        <v>352</v>
      </c>
      <c r="U219" s="429" t="s">
        <v>928</v>
      </c>
      <c r="V219" s="417" t="s">
        <v>1290</v>
      </c>
      <c r="CM219" s="271"/>
      <c r="CN219" s="271"/>
      <c r="CO219" s="271"/>
      <c r="CP219" s="271"/>
      <c r="CQ219" s="271"/>
      <c r="CR219" s="271"/>
      <c r="CS219" s="271"/>
      <c r="CT219" s="271"/>
      <c r="CU219" s="271"/>
      <c r="CV219" s="271"/>
      <c r="CW219" s="271"/>
      <c r="CX219" s="271"/>
      <c r="CY219" s="271"/>
    </row>
    <row r="220" spans="2:103" s="273" customFormat="1" ht="23.25" customHeight="1" x14ac:dyDescent="0.25">
      <c r="B220" s="424">
        <v>44474</v>
      </c>
      <c r="C220" s="422">
        <v>0.9375</v>
      </c>
      <c r="D220" s="425">
        <v>53</v>
      </c>
      <c r="E220" s="426">
        <v>12</v>
      </c>
      <c r="F220" s="427">
        <v>15.9</v>
      </c>
      <c r="G220" s="428">
        <v>1154</v>
      </c>
      <c r="H220" s="428">
        <v>2111</v>
      </c>
      <c r="I220" s="428">
        <v>97</v>
      </c>
      <c r="J220" s="428">
        <v>99.6</v>
      </c>
      <c r="K220" s="436" t="s">
        <v>1315</v>
      </c>
      <c r="L220" s="426">
        <v>38.270000000000003</v>
      </c>
      <c r="M220" s="426">
        <v>40</v>
      </c>
      <c r="N220" s="426">
        <v>50.27</v>
      </c>
      <c r="O220" s="429"/>
      <c r="P220" s="429" t="s">
        <v>142</v>
      </c>
      <c r="Q220" s="429" t="s">
        <v>142</v>
      </c>
      <c r="R220" s="429" t="s">
        <v>981</v>
      </c>
      <c r="S220" s="429">
        <v>67.900000000000006</v>
      </c>
      <c r="T220" s="430" t="s">
        <v>352</v>
      </c>
      <c r="U220" s="429" t="s">
        <v>928</v>
      </c>
      <c r="V220" s="417" t="s">
        <v>1290</v>
      </c>
      <c r="CM220" s="271"/>
      <c r="CN220" s="271"/>
      <c r="CO220" s="271"/>
      <c r="CP220" s="271"/>
      <c r="CQ220" s="271"/>
      <c r="CR220" s="271"/>
      <c r="CS220" s="271"/>
      <c r="CT220" s="271"/>
      <c r="CU220" s="271"/>
      <c r="CV220" s="271"/>
      <c r="CW220" s="271"/>
      <c r="CX220" s="271"/>
      <c r="CY220" s="271"/>
    </row>
    <row r="221" spans="2:103" s="273" customFormat="1" ht="54.75" customHeight="1" x14ac:dyDescent="0.25">
      <c r="B221" s="424">
        <v>44475</v>
      </c>
      <c r="C221" s="422">
        <v>0.9375</v>
      </c>
      <c r="D221" s="425">
        <v>53</v>
      </c>
      <c r="E221" s="426">
        <v>13.6</v>
      </c>
      <c r="F221" s="427">
        <v>17.3</v>
      </c>
      <c r="G221" s="428">
        <v>1209</v>
      </c>
      <c r="H221" s="428">
        <v>2146</v>
      </c>
      <c r="I221" s="428">
        <v>97.3</v>
      </c>
      <c r="J221" s="428">
        <v>99.4</v>
      </c>
      <c r="K221" s="436" t="s">
        <v>1318</v>
      </c>
      <c r="L221" s="426">
        <v>38.65</v>
      </c>
      <c r="M221" s="426">
        <v>42</v>
      </c>
      <c r="N221" s="426">
        <v>49</v>
      </c>
      <c r="O221" s="429"/>
      <c r="P221" s="429" t="s">
        <v>142</v>
      </c>
      <c r="Q221" s="429" t="s">
        <v>142</v>
      </c>
      <c r="R221" s="429" t="s">
        <v>1317</v>
      </c>
      <c r="S221" s="429">
        <v>73.900000000000006</v>
      </c>
      <c r="T221" s="430" t="s">
        <v>352</v>
      </c>
      <c r="U221" s="429" t="s">
        <v>928</v>
      </c>
      <c r="V221" s="517" t="s">
        <v>1321</v>
      </c>
      <c r="CM221" s="271"/>
      <c r="CN221" s="271"/>
      <c r="CO221" s="271"/>
      <c r="CP221" s="271"/>
      <c r="CQ221" s="271"/>
      <c r="CR221" s="271"/>
      <c r="CS221" s="271"/>
      <c r="CT221" s="271"/>
      <c r="CU221" s="271"/>
      <c r="CV221" s="271"/>
      <c r="CW221" s="271"/>
      <c r="CX221" s="271"/>
      <c r="CY221" s="271"/>
    </row>
    <row r="222" spans="2:103" s="273" customFormat="1" ht="23.25" customHeight="1" x14ac:dyDescent="0.25">
      <c r="B222" s="424">
        <v>44476</v>
      </c>
      <c r="C222" s="422">
        <v>0.9375</v>
      </c>
      <c r="D222" s="425">
        <v>53</v>
      </c>
      <c r="E222" s="426">
        <v>14.5</v>
      </c>
      <c r="F222" s="427">
        <v>17.899999999999999</v>
      </c>
      <c r="G222" s="428">
        <v>1212</v>
      </c>
      <c r="H222" s="428">
        <v>2079</v>
      </c>
      <c r="I222" s="428">
        <v>97.7</v>
      </c>
      <c r="J222" s="428">
        <v>100.4</v>
      </c>
      <c r="K222" s="436" t="s">
        <v>1325</v>
      </c>
      <c r="L222" s="426">
        <v>38.83</v>
      </c>
      <c r="M222" s="426">
        <v>42</v>
      </c>
      <c r="N222" s="426">
        <v>50</v>
      </c>
      <c r="O222" s="429"/>
      <c r="P222" s="429" t="s">
        <v>142</v>
      </c>
      <c r="Q222" s="429" t="s">
        <v>142</v>
      </c>
      <c r="R222" s="429" t="s">
        <v>1324</v>
      </c>
      <c r="S222" s="429">
        <v>76.400000000000006</v>
      </c>
      <c r="T222" s="430" t="s">
        <v>352</v>
      </c>
      <c r="U222" s="429" t="s">
        <v>928</v>
      </c>
      <c r="V222" s="417" t="s">
        <v>1290</v>
      </c>
      <c r="CM222" s="271"/>
      <c r="CN222" s="271"/>
      <c r="CO222" s="271"/>
      <c r="CP222" s="271"/>
      <c r="CQ222" s="271"/>
      <c r="CR222" s="271"/>
      <c r="CS222" s="271"/>
      <c r="CT222" s="271"/>
      <c r="CU222" s="271"/>
      <c r="CV222" s="271"/>
      <c r="CW222" s="271"/>
      <c r="CX222" s="271"/>
      <c r="CY222" s="271"/>
    </row>
    <row r="223" spans="2:103" s="273" customFormat="1" ht="23.25" customHeight="1" x14ac:dyDescent="0.25">
      <c r="B223" s="424">
        <v>44477</v>
      </c>
      <c r="C223" s="422">
        <v>0.9375</v>
      </c>
      <c r="D223" s="425">
        <v>53</v>
      </c>
      <c r="E223" s="426">
        <v>11.3</v>
      </c>
      <c r="F223" s="427">
        <v>15.5</v>
      </c>
      <c r="G223" s="428">
        <v>1227</v>
      </c>
      <c r="H223" s="428">
        <v>2073</v>
      </c>
      <c r="I223" s="428">
        <v>97.2</v>
      </c>
      <c r="J223" s="428">
        <v>99.3</v>
      </c>
      <c r="K223" s="436" t="s">
        <v>1330</v>
      </c>
      <c r="L223" s="426">
        <v>37.840000000000003</v>
      </c>
      <c r="M223" s="426">
        <v>42</v>
      </c>
      <c r="N223" s="426">
        <v>49</v>
      </c>
      <c r="O223" s="429"/>
      <c r="P223" s="429" t="s">
        <v>142</v>
      </c>
      <c r="Q223" s="429" t="s">
        <v>142</v>
      </c>
      <c r="R223" s="429" t="s">
        <v>974</v>
      </c>
      <c r="S223" s="429">
        <v>65.3</v>
      </c>
      <c r="T223" s="430" t="s">
        <v>352</v>
      </c>
      <c r="U223" s="429" t="s">
        <v>928</v>
      </c>
      <c r="V223" s="417" t="s">
        <v>1290</v>
      </c>
      <c r="CM223" s="271"/>
      <c r="CN223" s="271"/>
      <c r="CO223" s="271"/>
      <c r="CP223" s="271"/>
      <c r="CQ223" s="271"/>
      <c r="CR223" s="271"/>
      <c r="CS223" s="271"/>
      <c r="CT223" s="271"/>
      <c r="CU223" s="271"/>
      <c r="CV223" s="271"/>
      <c r="CW223" s="271"/>
      <c r="CX223" s="271"/>
      <c r="CY223" s="271"/>
    </row>
    <row r="224" spans="2:103" s="273" customFormat="1" ht="23.25" customHeight="1" x14ac:dyDescent="0.25">
      <c r="B224" s="424">
        <v>44478</v>
      </c>
      <c r="C224" s="422">
        <v>0.95833333333333337</v>
      </c>
      <c r="D224" s="425">
        <v>53</v>
      </c>
      <c r="E224" s="426">
        <v>11.4</v>
      </c>
      <c r="F224" s="427">
        <v>15.5</v>
      </c>
      <c r="G224" s="428">
        <v>1090</v>
      </c>
      <c r="H224" s="428">
        <v>1881</v>
      </c>
      <c r="I224" s="428">
        <v>99.4</v>
      </c>
      <c r="J224" s="428">
        <v>100.1</v>
      </c>
      <c r="K224" s="436" t="s">
        <v>1337</v>
      </c>
      <c r="L224" s="426">
        <v>34.35</v>
      </c>
      <c r="M224" s="426">
        <v>42</v>
      </c>
      <c r="N224" s="426">
        <v>53.52</v>
      </c>
      <c r="O224" s="429"/>
      <c r="P224" s="429" t="s">
        <v>142</v>
      </c>
      <c r="Q224" s="429" t="s">
        <v>142</v>
      </c>
      <c r="R224" s="429" t="s">
        <v>1043</v>
      </c>
      <c r="S224" s="429">
        <v>68.3</v>
      </c>
      <c r="T224" s="430" t="s">
        <v>352</v>
      </c>
      <c r="U224" s="429" t="s">
        <v>928</v>
      </c>
      <c r="V224" s="417"/>
      <c r="CM224" s="271"/>
      <c r="CN224" s="271"/>
      <c r="CO224" s="271"/>
      <c r="CP224" s="271"/>
      <c r="CQ224" s="271"/>
      <c r="CR224" s="271"/>
      <c r="CS224" s="271"/>
      <c r="CT224" s="271"/>
      <c r="CU224" s="271"/>
      <c r="CV224" s="271"/>
      <c r="CW224" s="271"/>
      <c r="CX224" s="271"/>
      <c r="CY224" s="271"/>
    </row>
    <row r="225" spans="2:103" s="273" customFormat="1" ht="62.25" customHeight="1" x14ac:dyDescent="0.25">
      <c r="B225" s="424">
        <v>44479</v>
      </c>
      <c r="C225" s="422">
        <v>0.97916666666666663</v>
      </c>
      <c r="D225" s="425">
        <v>53</v>
      </c>
      <c r="E225" s="426">
        <v>12</v>
      </c>
      <c r="F225" s="427">
        <v>16</v>
      </c>
      <c r="G225" s="428">
        <v>1049</v>
      </c>
      <c r="H225" s="428">
        <v>1852</v>
      </c>
      <c r="I225" s="428">
        <v>99.4</v>
      </c>
      <c r="J225" s="428">
        <v>100.1</v>
      </c>
      <c r="K225" s="436" t="s">
        <v>1341</v>
      </c>
      <c r="L225" s="426">
        <v>34.35</v>
      </c>
      <c r="M225" s="426">
        <v>42</v>
      </c>
      <c r="N225" s="426">
        <v>53.52</v>
      </c>
      <c r="O225" s="429"/>
      <c r="P225" s="429" t="s">
        <v>142</v>
      </c>
      <c r="Q225" s="429" t="s">
        <v>142</v>
      </c>
      <c r="R225" s="429" t="s">
        <v>981</v>
      </c>
      <c r="S225" s="429">
        <v>68.3</v>
      </c>
      <c r="T225" s="430" t="s">
        <v>352</v>
      </c>
      <c r="U225" s="429" t="s">
        <v>928</v>
      </c>
      <c r="V225" s="318"/>
      <c r="CM225" s="271"/>
      <c r="CN225" s="271"/>
      <c r="CO225" s="271"/>
      <c r="CP225" s="271"/>
      <c r="CQ225" s="271"/>
      <c r="CR225" s="271"/>
      <c r="CS225" s="271"/>
      <c r="CT225" s="271"/>
      <c r="CU225" s="271"/>
      <c r="CV225" s="271"/>
      <c r="CW225" s="271"/>
      <c r="CX225" s="271"/>
      <c r="CY225" s="271"/>
    </row>
    <row r="226" spans="2:103" s="273" customFormat="1" ht="23.25" customHeight="1" x14ac:dyDescent="0.25">
      <c r="B226" s="424">
        <v>44480</v>
      </c>
      <c r="C226" s="422">
        <v>0.9375</v>
      </c>
      <c r="D226" s="425">
        <v>53</v>
      </c>
      <c r="E226" s="426">
        <v>12.1</v>
      </c>
      <c r="F226" s="427">
        <v>16.100000000000001</v>
      </c>
      <c r="G226" s="428">
        <v>1043</v>
      </c>
      <c r="H226" s="428">
        <v>1948</v>
      </c>
      <c r="I226" s="428">
        <v>99.5</v>
      </c>
      <c r="J226" s="428">
        <v>100.3</v>
      </c>
      <c r="K226" s="436" t="s">
        <v>1346</v>
      </c>
      <c r="L226" s="426">
        <v>34.22</v>
      </c>
      <c r="M226" s="426">
        <v>42</v>
      </c>
      <c r="N226" s="426">
        <v>50.55</v>
      </c>
      <c r="O226" s="429"/>
      <c r="P226" s="429" t="s">
        <v>142</v>
      </c>
      <c r="Q226" s="429" t="s">
        <v>142</v>
      </c>
      <c r="R226" s="429" t="s">
        <v>1103</v>
      </c>
      <c r="S226" s="429">
        <v>68.8</v>
      </c>
      <c r="T226" s="430" t="s">
        <v>352</v>
      </c>
      <c r="U226" s="429" t="s">
        <v>928</v>
      </c>
      <c r="V226" s="318"/>
      <c r="CM226" s="271"/>
      <c r="CN226" s="271"/>
      <c r="CO226" s="271"/>
      <c r="CP226" s="271"/>
      <c r="CQ226" s="271"/>
      <c r="CR226" s="271"/>
      <c r="CS226" s="271"/>
      <c r="CT226" s="271"/>
      <c r="CU226" s="271"/>
      <c r="CV226" s="271"/>
      <c r="CW226" s="271"/>
      <c r="CX226" s="271"/>
      <c r="CY226" s="271"/>
    </row>
    <row r="227" spans="2:103" s="273" customFormat="1" ht="39" customHeight="1" x14ac:dyDescent="0.25">
      <c r="B227" s="424">
        <v>44481</v>
      </c>
      <c r="C227" s="422">
        <v>0.89583333333333337</v>
      </c>
      <c r="D227" s="425">
        <v>53</v>
      </c>
      <c r="E227" s="426">
        <v>7.2</v>
      </c>
      <c r="F227" s="427">
        <v>14</v>
      </c>
      <c r="G227" s="428">
        <v>1196</v>
      </c>
      <c r="H227" s="428">
        <v>1922</v>
      </c>
      <c r="I227" s="428">
        <v>96.4</v>
      </c>
      <c r="J227" s="428">
        <v>113.5</v>
      </c>
      <c r="K227" s="436" t="s">
        <v>1351</v>
      </c>
      <c r="L227" s="426">
        <v>34.22</v>
      </c>
      <c r="M227" s="426">
        <v>42</v>
      </c>
      <c r="N227" s="426">
        <v>50.55</v>
      </c>
      <c r="O227" s="429"/>
      <c r="P227" s="429" t="s">
        <v>142</v>
      </c>
      <c r="Q227" s="429" t="s">
        <v>142</v>
      </c>
      <c r="R227" s="429" t="s">
        <v>1352</v>
      </c>
      <c r="S227" s="429">
        <v>58</v>
      </c>
      <c r="T227" s="430" t="s">
        <v>352</v>
      </c>
      <c r="U227" s="429" t="s">
        <v>928</v>
      </c>
      <c r="V227" s="318" t="s">
        <v>1353</v>
      </c>
      <c r="CM227" s="271"/>
      <c r="CN227" s="271"/>
      <c r="CO227" s="271"/>
      <c r="CP227" s="271"/>
      <c r="CQ227" s="271"/>
      <c r="CR227" s="271"/>
      <c r="CS227" s="271"/>
      <c r="CT227" s="271"/>
      <c r="CU227" s="271"/>
      <c r="CV227" s="271"/>
      <c r="CW227" s="271"/>
      <c r="CX227" s="271"/>
      <c r="CY227" s="271"/>
    </row>
    <row r="228" spans="2:103" s="273" customFormat="1" ht="21.75" customHeight="1" x14ac:dyDescent="0.25">
      <c r="B228" s="424">
        <v>44482</v>
      </c>
      <c r="C228" s="422">
        <v>0.89583333333333337</v>
      </c>
      <c r="D228" s="425">
        <v>53</v>
      </c>
      <c r="E228" s="426">
        <v>10.7</v>
      </c>
      <c r="F228" s="427">
        <v>15.1</v>
      </c>
      <c r="G228" s="428">
        <v>1047</v>
      </c>
      <c r="H228" s="428">
        <v>1838</v>
      </c>
      <c r="I228" s="428">
        <v>99.4</v>
      </c>
      <c r="J228" s="428">
        <v>100.1</v>
      </c>
      <c r="K228" s="436" t="s">
        <v>1351</v>
      </c>
      <c r="L228" s="426">
        <v>30.47</v>
      </c>
      <c r="M228" s="426">
        <v>42</v>
      </c>
      <c r="N228" s="426">
        <v>52.79</v>
      </c>
      <c r="O228" s="429"/>
      <c r="P228" s="429" t="s">
        <v>142</v>
      </c>
      <c r="Q228" s="429" t="s">
        <v>142</v>
      </c>
      <c r="R228" s="429" t="s">
        <v>1029</v>
      </c>
      <c r="S228" s="429">
        <v>64.5</v>
      </c>
      <c r="T228" s="430" t="s">
        <v>352</v>
      </c>
      <c r="U228" s="429" t="s">
        <v>928</v>
      </c>
      <c r="V228" s="441" t="s">
        <v>1356</v>
      </c>
      <c r="CM228" s="271"/>
      <c r="CN228" s="271"/>
      <c r="CO228" s="271"/>
      <c r="CP228" s="271"/>
      <c r="CQ228" s="271"/>
      <c r="CR228" s="271"/>
      <c r="CS228" s="271"/>
      <c r="CT228" s="271"/>
      <c r="CU228" s="271"/>
      <c r="CV228" s="271"/>
      <c r="CW228" s="271"/>
      <c r="CX228" s="271"/>
      <c r="CY228" s="271"/>
    </row>
    <row r="229" spans="2:103" s="273" customFormat="1" ht="21" x14ac:dyDescent="0.25">
      <c r="B229" s="424">
        <v>44483</v>
      </c>
      <c r="C229" s="422">
        <v>0.9375</v>
      </c>
      <c r="D229" s="425">
        <v>51.5</v>
      </c>
      <c r="E229" s="426">
        <v>11.8</v>
      </c>
      <c r="F229" s="427">
        <v>15.6</v>
      </c>
      <c r="G229" s="428">
        <v>1058</v>
      </c>
      <c r="H229" s="428">
        <v>1828</v>
      </c>
      <c r="I229" s="428">
        <v>99.3</v>
      </c>
      <c r="J229" s="428">
        <v>107</v>
      </c>
      <c r="K229" s="436" t="s">
        <v>1360</v>
      </c>
      <c r="L229" s="426">
        <v>29.09</v>
      </c>
      <c r="M229" s="426">
        <v>42</v>
      </c>
      <c r="N229" s="426">
        <v>53.25</v>
      </c>
      <c r="O229" s="429"/>
      <c r="P229" s="429" t="s">
        <v>142</v>
      </c>
      <c r="Q229" s="429" t="s">
        <v>142</v>
      </c>
      <c r="R229" s="429" t="s">
        <v>1361</v>
      </c>
      <c r="S229" s="429">
        <v>66.2</v>
      </c>
      <c r="T229" s="430" t="s">
        <v>352</v>
      </c>
      <c r="U229" s="429" t="s">
        <v>928</v>
      </c>
      <c r="V229" s="318"/>
      <c r="CM229" s="271"/>
      <c r="CN229" s="271"/>
      <c r="CO229" s="271"/>
      <c r="CP229" s="271"/>
      <c r="CQ229" s="271"/>
      <c r="CR229" s="271"/>
      <c r="CS229" s="271"/>
      <c r="CT229" s="271"/>
      <c r="CU229" s="271"/>
      <c r="CV229" s="271"/>
      <c r="CW229" s="271"/>
      <c r="CX229" s="271"/>
      <c r="CY229" s="271"/>
    </row>
    <row r="230" spans="2:103" s="273" customFormat="1" ht="24.75" customHeight="1" x14ac:dyDescent="0.25">
      <c r="B230" s="424">
        <v>44484</v>
      </c>
      <c r="C230" s="422">
        <v>0.9375</v>
      </c>
      <c r="D230" s="425">
        <v>51.5</v>
      </c>
      <c r="E230" s="426">
        <v>10.8</v>
      </c>
      <c r="F230" s="427">
        <v>15.1</v>
      </c>
      <c r="G230" s="428">
        <v>1053</v>
      </c>
      <c r="H230" s="428">
        <v>1926</v>
      </c>
      <c r="I230" s="428">
        <v>99.4</v>
      </c>
      <c r="J230" s="428">
        <v>107.2</v>
      </c>
      <c r="K230" s="436" t="s">
        <v>1369</v>
      </c>
      <c r="L230" s="426">
        <v>31.06</v>
      </c>
      <c r="M230" s="426">
        <v>42</v>
      </c>
      <c r="N230" s="426">
        <v>49.31</v>
      </c>
      <c r="O230" s="429"/>
      <c r="P230" s="429" t="s">
        <v>142</v>
      </c>
      <c r="Q230" s="429" t="s">
        <v>142</v>
      </c>
      <c r="R230" s="429" t="s">
        <v>1370</v>
      </c>
      <c r="S230" s="429">
        <v>67</v>
      </c>
      <c r="T230" s="430" t="s">
        <v>352</v>
      </c>
      <c r="U230" s="429" t="s">
        <v>928</v>
      </c>
      <c r="V230" s="318"/>
      <c r="CM230" s="271"/>
      <c r="CN230" s="271"/>
      <c r="CO230" s="271"/>
      <c r="CP230" s="271"/>
      <c r="CQ230" s="271"/>
      <c r="CR230" s="271"/>
      <c r="CS230" s="271"/>
      <c r="CT230" s="271"/>
      <c r="CU230" s="271"/>
      <c r="CV230" s="271"/>
      <c r="CW230" s="271"/>
      <c r="CX230" s="271"/>
      <c r="CY230" s="271"/>
    </row>
    <row r="231" spans="2:103" s="273" customFormat="1" ht="27" customHeight="1" x14ac:dyDescent="0.25">
      <c r="B231" s="424">
        <v>44485</v>
      </c>
      <c r="C231" s="422">
        <v>0.9375</v>
      </c>
      <c r="D231" s="425">
        <v>53</v>
      </c>
      <c r="E231" s="426">
        <v>11.6</v>
      </c>
      <c r="F231" s="427">
        <v>15.8</v>
      </c>
      <c r="G231" s="428">
        <v>1062</v>
      </c>
      <c r="H231" s="428">
        <v>1951</v>
      </c>
      <c r="I231" s="428">
        <v>99.3</v>
      </c>
      <c r="J231" s="428">
        <v>100.1</v>
      </c>
      <c r="K231" s="436" t="s">
        <v>1374</v>
      </c>
      <c r="L231" s="426">
        <v>33.340000000000003</v>
      </c>
      <c r="M231" s="426">
        <v>42</v>
      </c>
      <c r="N231" s="426">
        <v>51.65</v>
      </c>
      <c r="O231" s="429"/>
      <c r="P231" s="429" t="s">
        <v>142</v>
      </c>
      <c r="Q231" s="429" t="s">
        <v>142</v>
      </c>
      <c r="R231" s="429" t="s">
        <v>1375</v>
      </c>
      <c r="S231" s="429">
        <v>65.3</v>
      </c>
      <c r="T231" s="430" t="s">
        <v>352</v>
      </c>
      <c r="U231" s="429" t="s">
        <v>928</v>
      </c>
      <c r="V231" s="318"/>
      <c r="CM231" s="271"/>
      <c r="CN231" s="271"/>
      <c r="CO231" s="271"/>
      <c r="CP231" s="271"/>
      <c r="CQ231" s="271"/>
      <c r="CR231" s="271"/>
      <c r="CS231" s="271"/>
      <c r="CT231" s="271"/>
      <c r="CU231" s="271"/>
      <c r="CV231" s="271"/>
      <c r="CW231" s="271"/>
      <c r="CX231" s="271"/>
      <c r="CY231" s="271"/>
    </row>
    <row r="232" spans="2:103" s="273" customFormat="1" ht="24.75" customHeight="1" x14ac:dyDescent="0.25">
      <c r="B232" s="424">
        <v>44486</v>
      </c>
      <c r="C232" s="422">
        <v>0.97916666666666663</v>
      </c>
      <c r="D232" s="425">
        <v>53</v>
      </c>
      <c r="E232" s="426">
        <v>11.9</v>
      </c>
      <c r="F232" s="427">
        <v>16</v>
      </c>
      <c r="G232" s="428">
        <v>1053</v>
      </c>
      <c r="H232" s="428">
        <v>1934</v>
      </c>
      <c r="I232" s="428">
        <v>99.4</v>
      </c>
      <c r="J232" s="428">
        <v>100.1</v>
      </c>
      <c r="K232" s="436" t="s">
        <v>1380</v>
      </c>
      <c r="L232" s="426">
        <v>33.54</v>
      </c>
      <c r="M232" s="426">
        <v>42</v>
      </c>
      <c r="N232" s="426">
        <v>49.88</v>
      </c>
      <c r="O232" s="429"/>
      <c r="P232" s="429" t="s">
        <v>142</v>
      </c>
      <c r="Q232" s="429" t="s">
        <v>142</v>
      </c>
      <c r="R232" s="429" t="s">
        <v>981</v>
      </c>
      <c r="S232" s="429">
        <v>68.3</v>
      </c>
      <c r="T232" s="430" t="s">
        <v>352</v>
      </c>
      <c r="U232" s="429" t="s">
        <v>928</v>
      </c>
      <c r="V232" s="318"/>
      <c r="CM232" s="271"/>
      <c r="CN232" s="271"/>
      <c r="CO232" s="271"/>
      <c r="CP232" s="271"/>
      <c r="CQ232" s="271"/>
      <c r="CR232" s="271"/>
      <c r="CS232" s="271"/>
      <c r="CT232" s="271"/>
      <c r="CU232" s="271"/>
      <c r="CV232" s="271"/>
      <c r="CW232" s="271"/>
      <c r="CX232" s="271"/>
      <c r="CY232" s="271"/>
    </row>
    <row r="233" spans="2:103" s="273" customFormat="1" ht="21" customHeight="1" x14ac:dyDescent="0.25">
      <c r="B233" s="424">
        <v>44487</v>
      </c>
      <c r="C233" s="422">
        <v>0.91666666666666663</v>
      </c>
      <c r="D233" s="425">
        <v>53</v>
      </c>
      <c r="E233" s="426">
        <v>11.9</v>
      </c>
      <c r="F233" s="427">
        <v>16</v>
      </c>
      <c r="G233" s="428">
        <v>1074</v>
      </c>
      <c r="H233" s="428">
        <v>1901</v>
      </c>
      <c r="I233" s="428">
        <v>97.3</v>
      </c>
      <c r="J233" s="428">
        <v>111</v>
      </c>
      <c r="K233" s="436" t="s">
        <v>1384</v>
      </c>
      <c r="L233" s="426">
        <v>34.549999999999997</v>
      </c>
      <c r="M233" s="426">
        <v>42</v>
      </c>
      <c r="N233" s="426">
        <v>49.35</v>
      </c>
      <c r="O233" s="429"/>
      <c r="P233" s="429" t="s">
        <v>142</v>
      </c>
      <c r="Q233" s="429" t="s">
        <v>142</v>
      </c>
      <c r="R233" s="429" t="s">
        <v>1385</v>
      </c>
      <c r="S233" s="429">
        <v>66.599999999999994</v>
      </c>
      <c r="T233" s="430" t="s">
        <v>352</v>
      </c>
      <c r="U233" s="429" t="s">
        <v>928</v>
      </c>
      <c r="V233" s="531" t="s">
        <v>1166</v>
      </c>
      <c r="CM233" s="271"/>
      <c r="CN233" s="271"/>
      <c r="CO233" s="271"/>
      <c r="CP233" s="271"/>
      <c r="CQ233" s="271"/>
      <c r="CR233" s="271"/>
      <c r="CS233" s="271"/>
      <c r="CT233" s="271"/>
      <c r="CU233" s="271"/>
      <c r="CV233" s="271"/>
      <c r="CW233" s="271"/>
      <c r="CX233" s="271"/>
      <c r="CY233" s="271"/>
    </row>
    <row r="234" spans="2:103" s="273" customFormat="1" ht="22.5" customHeight="1" x14ac:dyDescent="0.25">
      <c r="B234" s="424">
        <v>44488</v>
      </c>
      <c r="C234" s="422">
        <v>0.95833333333333337</v>
      </c>
      <c r="D234" s="425">
        <v>53</v>
      </c>
      <c r="E234" s="426">
        <v>12.8</v>
      </c>
      <c r="F234" s="427">
        <v>16.7</v>
      </c>
      <c r="G234" s="428">
        <v>1123</v>
      </c>
      <c r="H234" s="428">
        <v>2089</v>
      </c>
      <c r="I234" s="428">
        <v>96.7</v>
      </c>
      <c r="J234" s="428">
        <v>114</v>
      </c>
      <c r="K234" s="436" t="s">
        <v>1390</v>
      </c>
      <c r="L234" s="426">
        <v>34.22</v>
      </c>
      <c r="M234" s="426">
        <v>42</v>
      </c>
      <c r="N234" s="426">
        <v>50.15</v>
      </c>
      <c r="O234" s="429"/>
      <c r="P234" s="429" t="s">
        <v>142</v>
      </c>
      <c r="Q234" s="429" t="s">
        <v>142</v>
      </c>
      <c r="R234" s="429" t="s">
        <v>1389</v>
      </c>
      <c r="S234" s="429">
        <v>71.3</v>
      </c>
      <c r="T234" s="430" t="s">
        <v>352</v>
      </c>
      <c r="U234" s="429" t="s">
        <v>928</v>
      </c>
      <c r="V234" s="531" t="s">
        <v>1166</v>
      </c>
      <c r="CM234" s="271"/>
      <c r="CN234" s="271"/>
      <c r="CO234" s="271"/>
      <c r="CP234" s="271"/>
      <c r="CQ234" s="271"/>
      <c r="CR234" s="271"/>
      <c r="CS234" s="271"/>
      <c r="CT234" s="271"/>
      <c r="CU234" s="271"/>
      <c r="CV234" s="271"/>
      <c r="CW234" s="271"/>
      <c r="CX234" s="271"/>
      <c r="CY234" s="271"/>
    </row>
    <row r="235" spans="2:103" s="273" customFormat="1" ht="25.5" customHeight="1" x14ac:dyDescent="0.25">
      <c r="B235" s="424">
        <v>44489</v>
      </c>
      <c r="C235" s="422">
        <v>0.97916666666666663</v>
      </c>
      <c r="D235" s="425">
        <v>53</v>
      </c>
      <c r="E235" s="426">
        <v>11.1</v>
      </c>
      <c r="F235" s="427">
        <v>15.7</v>
      </c>
      <c r="G235" s="428">
        <v>1054</v>
      </c>
      <c r="H235" s="428">
        <v>1888</v>
      </c>
      <c r="I235" s="428">
        <v>99.4</v>
      </c>
      <c r="J235" s="428">
        <v>100.1</v>
      </c>
      <c r="K235" s="436" t="s">
        <v>1395</v>
      </c>
      <c r="L235" s="426">
        <v>33.590000000000003</v>
      </c>
      <c r="M235" s="426">
        <v>42</v>
      </c>
      <c r="N235" s="426">
        <v>51.07</v>
      </c>
      <c r="O235" s="429"/>
      <c r="P235" s="429" t="s">
        <v>142</v>
      </c>
      <c r="Q235" s="429" t="s">
        <v>142</v>
      </c>
      <c r="R235" s="429" t="s">
        <v>1185</v>
      </c>
      <c r="S235" s="429">
        <v>67</v>
      </c>
      <c r="T235" s="430" t="s">
        <v>352</v>
      </c>
      <c r="U235" s="429" t="s">
        <v>928</v>
      </c>
      <c r="V235" s="531" t="s">
        <v>1166</v>
      </c>
      <c r="CM235" s="271"/>
      <c r="CN235" s="271"/>
      <c r="CO235" s="271"/>
      <c r="CP235" s="271"/>
      <c r="CQ235" s="271"/>
      <c r="CR235" s="271"/>
      <c r="CS235" s="271"/>
      <c r="CT235" s="271"/>
      <c r="CU235" s="271"/>
      <c r="CV235" s="271"/>
      <c r="CW235" s="271"/>
      <c r="CX235" s="271"/>
      <c r="CY235" s="271"/>
    </row>
    <row r="236" spans="2:103" s="273" customFormat="1" ht="21" customHeight="1" x14ac:dyDescent="0.25">
      <c r="B236" s="424">
        <v>44490</v>
      </c>
      <c r="C236" s="422">
        <v>0.9375</v>
      </c>
      <c r="D236" s="425">
        <v>53</v>
      </c>
      <c r="E236" s="426">
        <v>11.8</v>
      </c>
      <c r="F236" s="427">
        <v>15.8</v>
      </c>
      <c r="G236" s="428">
        <v>1088</v>
      </c>
      <c r="H236" s="428">
        <v>1959</v>
      </c>
      <c r="I236" s="428">
        <v>97.7</v>
      </c>
      <c r="J236" s="428">
        <v>99.6</v>
      </c>
      <c r="K236" s="436" t="s">
        <v>1402</v>
      </c>
      <c r="L236" s="426">
        <v>34.54</v>
      </c>
      <c r="M236" s="426">
        <v>42</v>
      </c>
      <c r="N236" s="426">
        <v>50.3</v>
      </c>
      <c r="O236" s="429"/>
      <c r="P236" s="429" t="s">
        <v>142</v>
      </c>
      <c r="Q236" s="429" t="s">
        <v>142</v>
      </c>
      <c r="R236" s="429" t="s">
        <v>1160</v>
      </c>
      <c r="S236" s="429">
        <v>67.5</v>
      </c>
      <c r="T236" s="430" t="s">
        <v>352</v>
      </c>
      <c r="U236" s="429" t="s">
        <v>928</v>
      </c>
      <c r="V236" s="531" t="s">
        <v>1166</v>
      </c>
      <c r="CM236" s="271"/>
      <c r="CN236" s="271"/>
      <c r="CO236" s="271"/>
      <c r="CP236" s="271"/>
      <c r="CQ236" s="271"/>
      <c r="CR236" s="271"/>
      <c r="CS236" s="271"/>
      <c r="CT236" s="271"/>
      <c r="CU236" s="271"/>
      <c r="CV236" s="271"/>
      <c r="CW236" s="271"/>
      <c r="CX236" s="271"/>
      <c r="CY236" s="271"/>
    </row>
    <row r="237" spans="2:103" s="273" customFormat="1" ht="42.75" customHeight="1" x14ac:dyDescent="0.25">
      <c r="B237" s="424">
        <v>44491</v>
      </c>
      <c r="C237" s="422">
        <v>0.9375</v>
      </c>
      <c r="D237" s="425">
        <v>53</v>
      </c>
      <c r="E237" s="426">
        <v>11.8</v>
      </c>
      <c r="F237" s="427">
        <v>15.9</v>
      </c>
      <c r="G237" s="428">
        <v>1087</v>
      </c>
      <c r="H237" s="428">
        <v>1974</v>
      </c>
      <c r="I237" s="428">
        <v>99.3</v>
      </c>
      <c r="J237" s="428">
        <v>100.1</v>
      </c>
      <c r="K237" s="436" t="s">
        <v>1406</v>
      </c>
      <c r="L237" s="426">
        <v>34.35</v>
      </c>
      <c r="M237" s="426">
        <v>42</v>
      </c>
      <c r="N237" s="426">
        <v>51.6</v>
      </c>
      <c r="O237" s="429"/>
      <c r="P237" s="429" t="s">
        <v>142</v>
      </c>
      <c r="Q237" s="429" t="s">
        <v>142</v>
      </c>
      <c r="R237" s="429" t="s">
        <v>1405</v>
      </c>
      <c r="S237" s="429">
        <v>67.900000000000006</v>
      </c>
      <c r="T237" s="430" t="s">
        <v>352</v>
      </c>
      <c r="U237" s="429" t="s">
        <v>928</v>
      </c>
      <c r="V237" s="318" t="s">
        <v>1411</v>
      </c>
      <c r="CM237" s="271"/>
      <c r="CN237" s="271"/>
      <c r="CO237" s="271"/>
      <c r="CP237" s="271"/>
      <c r="CQ237" s="271"/>
      <c r="CR237" s="271"/>
      <c r="CS237" s="271"/>
      <c r="CT237" s="271"/>
      <c r="CU237" s="271"/>
      <c r="CV237" s="271"/>
      <c r="CW237" s="271"/>
      <c r="CX237" s="271"/>
      <c r="CY237" s="271"/>
    </row>
    <row r="238" spans="2:103" s="273" customFormat="1" ht="39.75" customHeight="1" x14ac:dyDescent="0.25">
      <c r="B238" s="424">
        <v>44492</v>
      </c>
      <c r="C238" s="422">
        <v>0.9375</v>
      </c>
      <c r="D238" s="425">
        <v>50</v>
      </c>
      <c r="E238" s="426">
        <v>16.100000000000001</v>
      </c>
      <c r="F238" s="427">
        <v>19</v>
      </c>
      <c r="G238" s="428">
        <v>1087</v>
      </c>
      <c r="H238" s="428">
        <v>1974</v>
      </c>
      <c r="I238" s="428">
        <v>99.3</v>
      </c>
      <c r="J238" s="428">
        <v>100.1</v>
      </c>
      <c r="K238" s="436" t="s">
        <v>1406</v>
      </c>
      <c r="L238" s="426">
        <v>34.35</v>
      </c>
      <c r="M238" s="426">
        <v>42</v>
      </c>
      <c r="N238" s="426">
        <v>50</v>
      </c>
      <c r="O238" s="429"/>
      <c r="P238" s="429" t="s">
        <v>142</v>
      </c>
      <c r="Q238" s="429" t="s">
        <v>142</v>
      </c>
      <c r="R238" s="429" t="s">
        <v>1413</v>
      </c>
      <c r="S238" s="429">
        <v>81.099999999999994</v>
      </c>
      <c r="T238" s="430" t="s">
        <v>352</v>
      </c>
      <c r="U238" s="429" t="s">
        <v>928</v>
      </c>
      <c r="V238" s="318" t="s">
        <v>1417</v>
      </c>
      <c r="CM238" s="271"/>
      <c r="CN238" s="271"/>
      <c r="CO238" s="271"/>
      <c r="CP238" s="271"/>
      <c r="CQ238" s="271"/>
      <c r="CR238" s="271"/>
      <c r="CS238" s="271"/>
      <c r="CT238" s="271"/>
      <c r="CU238" s="271"/>
      <c r="CV238" s="271"/>
      <c r="CW238" s="271"/>
      <c r="CX238" s="271"/>
      <c r="CY238" s="271"/>
    </row>
    <row r="239" spans="2:103" s="273" customFormat="1" ht="21" customHeight="1" x14ac:dyDescent="0.25">
      <c r="B239" s="424">
        <v>44493</v>
      </c>
      <c r="C239" s="422">
        <v>0.97916666666666663</v>
      </c>
      <c r="D239" s="425">
        <v>53</v>
      </c>
      <c r="E239" s="426">
        <v>11.6</v>
      </c>
      <c r="F239" s="427">
        <v>15.6</v>
      </c>
      <c r="G239" s="428">
        <v>1066</v>
      </c>
      <c r="H239" s="428">
        <v>1935</v>
      </c>
      <c r="I239" s="428">
        <v>98.5</v>
      </c>
      <c r="J239" s="428">
        <v>100.1</v>
      </c>
      <c r="K239" s="436" t="s">
        <v>1422</v>
      </c>
      <c r="L239" s="426">
        <v>29.1</v>
      </c>
      <c r="M239" s="426">
        <v>42</v>
      </c>
      <c r="N239" s="426">
        <v>50</v>
      </c>
      <c r="O239" s="429"/>
      <c r="P239" s="429" t="s">
        <v>142</v>
      </c>
      <c r="Q239" s="429" t="s">
        <v>142</v>
      </c>
      <c r="R239" s="429" t="s">
        <v>865</v>
      </c>
      <c r="S239" s="429">
        <v>66.599999999999994</v>
      </c>
      <c r="T239" s="430" t="s">
        <v>352</v>
      </c>
      <c r="U239" s="429" t="s">
        <v>928</v>
      </c>
      <c r="V239" s="318"/>
      <c r="CM239" s="271"/>
      <c r="CN239" s="271"/>
      <c r="CO239" s="271"/>
      <c r="CP239" s="271"/>
      <c r="CQ239" s="271"/>
      <c r="CR239" s="271"/>
      <c r="CS239" s="271"/>
      <c r="CT239" s="271"/>
      <c r="CU239" s="271"/>
      <c r="CV239" s="271"/>
      <c r="CW239" s="271"/>
      <c r="CX239" s="271"/>
      <c r="CY239" s="271"/>
    </row>
    <row r="240" spans="2:103" s="273" customFormat="1" ht="55.5" customHeight="1" x14ac:dyDescent="0.25">
      <c r="B240" s="424">
        <v>44494</v>
      </c>
      <c r="C240" s="422">
        <v>0.9375</v>
      </c>
      <c r="D240" s="425">
        <v>51</v>
      </c>
      <c r="E240" s="426">
        <v>14</v>
      </c>
      <c r="F240" s="427">
        <v>17.600000000000001</v>
      </c>
      <c r="G240" s="428">
        <v>1142</v>
      </c>
      <c r="H240" s="428">
        <v>2047</v>
      </c>
      <c r="I240" s="428">
        <v>100.5</v>
      </c>
      <c r="J240" s="428">
        <v>100.8</v>
      </c>
      <c r="K240" s="436" t="s">
        <v>1426</v>
      </c>
      <c r="L240" s="426">
        <v>29.1</v>
      </c>
      <c r="M240" s="426">
        <v>42</v>
      </c>
      <c r="N240" s="426">
        <v>50</v>
      </c>
      <c r="O240" s="429"/>
      <c r="P240" s="429" t="s">
        <v>142</v>
      </c>
      <c r="Q240" s="429" t="s">
        <v>142</v>
      </c>
      <c r="R240" s="429" t="s">
        <v>1427</v>
      </c>
      <c r="S240" s="429">
        <v>75.2</v>
      </c>
      <c r="T240" s="430" t="s">
        <v>352</v>
      </c>
      <c r="U240" s="429" t="s">
        <v>928</v>
      </c>
      <c r="V240" s="318" t="s">
        <v>1428</v>
      </c>
      <c r="CM240" s="271"/>
      <c r="CN240" s="271"/>
      <c r="CO240" s="271"/>
      <c r="CP240" s="271"/>
      <c r="CQ240" s="271"/>
      <c r="CR240" s="271"/>
      <c r="CS240" s="271"/>
      <c r="CT240" s="271"/>
      <c r="CU240" s="271"/>
      <c r="CV240" s="271"/>
      <c r="CW240" s="271"/>
      <c r="CX240" s="271"/>
      <c r="CY240" s="271"/>
    </row>
    <row r="241" spans="2:103" s="273" customFormat="1" ht="78" customHeight="1" x14ac:dyDescent="0.25">
      <c r="B241" s="424">
        <v>44495</v>
      </c>
      <c r="C241" s="422">
        <v>0.89583333333333337</v>
      </c>
      <c r="D241" s="425">
        <v>52</v>
      </c>
      <c r="E241" s="426">
        <v>10.4</v>
      </c>
      <c r="F241" s="427">
        <v>13.8</v>
      </c>
      <c r="G241" s="428">
        <v>1171</v>
      </c>
      <c r="H241" s="428">
        <v>1911</v>
      </c>
      <c r="I241" s="428">
        <v>97.5</v>
      </c>
      <c r="J241" s="428">
        <v>100.3</v>
      </c>
      <c r="K241" s="436" t="s">
        <v>1435</v>
      </c>
      <c r="L241" s="426">
        <v>30.8</v>
      </c>
      <c r="M241" s="426">
        <v>40</v>
      </c>
      <c r="N241" s="426">
        <v>48.5</v>
      </c>
      <c r="O241" s="429"/>
      <c r="P241" s="429" t="s">
        <v>142</v>
      </c>
      <c r="Q241" s="429" t="s">
        <v>142</v>
      </c>
      <c r="R241" s="429" t="s">
        <v>1436</v>
      </c>
      <c r="S241" s="429">
        <v>58.6</v>
      </c>
      <c r="T241" s="430" t="s">
        <v>352</v>
      </c>
      <c r="U241" s="429" t="s">
        <v>236</v>
      </c>
      <c r="V241" s="318" t="s">
        <v>1442</v>
      </c>
      <c r="CM241" s="271"/>
      <c r="CN241" s="271"/>
      <c r="CO241" s="271"/>
      <c r="CP241" s="271"/>
      <c r="CQ241" s="271"/>
      <c r="CR241" s="271"/>
      <c r="CS241" s="271"/>
      <c r="CT241" s="271"/>
      <c r="CU241" s="271"/>
      <c r="CV241" s="271"/>
      <c r="CW241" s="271"/>
      <c r="CX241" s="271"/>
      <c r="CY241" s="271"/>
    </row>
    <row r="242" spans="2:103" s="273" customFormat="1" ht="67.5" customHeight="1" x14ac:dyDescent="0.25">
      <c r="B242" s="424">
        <v>44496</v>
      </c>
      <c r="C242" s="422">
        <v>0.9375</v>
      </c>
      <c r="D242" s="425">
        <v>51</v>
      </c>
      <c r="E242" s="426">
        <v>11</v>
      </c>
      <c r="F242" s="427">
        <v>15.1</v>
      </c>
      <c r="G242" s="428">
        <v>1094.2</v>
      </c>
      <c r="H242" s="428">
        <v>1926</v>
      </c>
      <c r="I242" s="428">
        <v>99.4</v>
      </c>
      <c r="J242" s="428">
        <v>100.1</v>
      </c>
      <c r="K242" s="436" t="s">
        <v>1447</v>
      </c>
      <c r="L242" s="426">
        <v>34.840000000000003</v>
      </c>
      <c r="M242" s="426">
        <v>37</v>
      </c>
      <c r="N242" s="426">
        <v>52.42</v>
      </c>
      <c r="O242" s="429"/>
      <c r="P242" s="429" t="s">
        <v>142</v>
      </c>
      <c r="Q242" s="429" t="s">
        <v>142</v>
      </c>
      <c r="R242" s="429" t="s">
        <v>1448</v>
      </c>
      <c r="S242" s="429">
        <v>66.2</v>
      </c>
      <c r="T242" s="430" t="s">
        <v>352</v>
      </c>
      <c r="U242" s="429" t="s">
        <v>236</v>
      </c>
      <c r="V242" s="318" t="s">
        <v>1452</v>
      </c>
      <c r="CM242" s="271"/>
      <c r="CN242" s="271"/>
      <c r="CO242" s="271"/>
      <c r="CP242" s="271"/>
      <c r="CQ242" s="271"/>
      <c r="CR242" s="271"/>
      <c r="CS242" s="271"/>
      <c r="CT242" s="271"/>
      <c r="CU242" s="271"/>
      <c r="CV242" s="271"/>
      <c r="CW242" s="271"/>
      <c r="CX242" s="271"/>
      <c r="CY242" s="271"/>
    </row>
    <row r="243" spans="2:103" s="273" customFormat="1" ht="74.25" customHeight="1" x14ac:dyDescent="0.25">
      <c r="B243" s="424">
        <v>44497</v>
      </c>
      <c r="C243" s="422">
        <v>0.9375</v>
      </c>
      <c r="D243" s="425">
        <v>51</v>
      </c>
      <c r="E243" s="426">
        <v>9.1</v>
      </c>
      <c r="F243" s="427">
        <v>14.1</v>
      </c>
      <c r="G243" s="428">
        <v>1159</v>
      </c>
      <c r="H243" s="428">
        <v>1807</v>
      </c>
      <c r="I243" s="428">
        <v>98.2</v>
      </c>
      <c r="J243" s="428">
        <v>101</v>
      </c>
      <c r="K243" s="436" t="s">
        <v>1454</v>
      </c>
      <c r="L243" s="426">
        <v>33.72</v>
      </c>
      <c r="M243" s="426">
        <v>37</v>
      </c>
      <c r="N243" s="426">
        <v>47.5</v>
      </c>
      <c r="O243" s="429"/>
      <c r="P243" s="429" t="s">
        <v>142</v>
      </c>
      <c r="Q243" s="429" t="s">
        <v>142</v>
      </c>
      <c r="R243" s="429" t="s">
        <v>1455</v>
      </c>
      <c r="S243" s="429">
        <v>58.9</v>
      </c>
      <c r="T243" s="430" t="s">
        <v>352</v>
      </c>
      <c r="U243" s="429" t="s">
        <v>236</v>
      </c>
      <c r="V243" s="318" t="s">
        <v>1459</v>
      </c>
      <c r="CM243" s="271"/>
      <c r="CN243" s="271"/>
      <c r="CO243" s="271"/>
      <c r="CP243" s="271"/>
      <c r="CQ243" s="271"/>
      <c r="CR243" s="271"/>
      <c r="CS243" s="271"/>
      <c r="CT243" s="271"/>
      <c r="CU243" s="271"/>
      <c r="CV243" s="271"/>
      <c r="CW243" s="271"/>
      <c r="CX243" s="271"/>
      <c r="CY243" s="271"/>
    </row>
    <row r="244" spans="2:103" s="273" customFormat="1" ht="74.25" customHeight="1" x14ac:dyDescent="0.25">
      <c r="B244" s="424">
        <v>44498</v>
      </c>
      <c r="C244" s="422">
        <v>0.95833333333333337</v>
      </c>
      <c r="D244" s="425">
        <v>51</v>
      </c>
      <c r="E244" s="426">
        <v>11.4</v>
      </c>
      <c r="F244" s="427">
        <v>15.5</v>
      </c>
      <c r="G244" s="428">
        <v>1201</v>
      </c>
      <c r="H244" s="428">
        <v>2024</v>
      </c>
      <c r="I244" s="428">
        <v>99.3</v>
      </c>
      <c r="J244" s="428">
        <v>99.6</v>
      </c>
      <c r="K244" s="436" t="s">
        <v>1462</v>
      </c>
      <c r="L244" s="426">
        <v>34</v>
      </c>
      <c r="M244" s="426">
        <v>40</v>
      </c>
      <c r="N244" s="426">
        <v>53.37</v>
      </c>
      <c r="O244" s="429"/>
      <c r="P244" s="429" t="s">
        <v>142</v>
      </c>
      <c r="Q244" s="429" t="s">
        <v>142</v>
      </c>
      <c r="R244" s="429" t="s">
        <v>1463</v>
      </c>
      <c r="S244" s="429">
        <v>66.2</v>
      </c>
      <c r="T244" s="430" t="s">
        <v>352</v>
      </c>
      <c r="U244" s="429" t="s">
        <v>236</v>
      </c>
      <c r="V244" s="318" t="s">
        <v>1468</v>
      </c>
      <c r="CM244" s="271"/>
      <c r="CN244" s="271"/>
      <c r="CO244" s="271"/>
      <c r="CP244" s="271"/>
      <c r="CQ244" s="271"/>
      <c r="CR244" s="271"/>
      <c r="CS244" s="271"/>
      <c r="CT244" s="271"/>
      <c r="CU244" s="271"/>
      <c r="CV244" s="271"/>
      <c r="CW244" s="271"/>
      <c r="CX244" s="271"/>
      <c r="CY244" s="271"/>
    </row>
    <row r="245" spans="2:103" s="273" customFormat="1" ht="80.25" customHeight="1" x14ac:dyDescent="0.25">
      <c r="B245" s="424">
        <v>44499</v>
      </c>
      <c r="C245" s="422">
        <v>0.91666666666666663</v>
      </c>
      <c r="D245" s="425">
        <v>51</v>
      </c>
      <c r="E245" s="426">
        <v>12.8</v>
      </c>
      <c r="F245" s="427">
        <v>16.600000000000001</v>
      </c>
      <c r="G245" s="428">
        <v>1221</v>
      </c>
      <c r="H245" s="428">
        <v>2081</v>
      </c>
      <c r="I245" s="428">
        <v>97.2</v>
      </c>
      <c r="J245" s="428">
        <v>99.2</v>
      </c>
      <c r="K245" s="436" t="s">
        <v>1469</v>
      </c>
      <c r="L245" s="426">
        <v>33.78</v>
      </c>
      <c r="M245" s="426">
        <v>37</v>
      </c>
      <c r="N245" s="426">
        <v>48.54</v>
      </c>
      <c r="O245" s="429"/>
      <c r="P245" s="429" t="s">
        <v>142</v>
      </c>
      <c r="Q245" s="429" t="s">
        <v>142</v>
      </c>
      <c r="R245" s="429" t="s">
        <v>1470</v>
      </c>
      <c r="S245" s="429">
        <v>65.8</v>
      </c>
      <c r="T245" s="430" t="s">
        <v>352</v>
      </c>
      <c r="U245" s="429" t="s">
        <v>236</v>
      </c>
      <c r="V245" s="318" t="s">
        <v>1476</v>
      </c>
      <c r="CM245" s="271"/>
      <c r="CN245" s="271"/>
      <c r="CO245" s="271"/>
      <c r="CP245" s="271"/>
      <c r="CQ245" s="271"/>
      <c r="CR245" s="271"/>
      <c r="CS245" s="271"/>
      <c r="CT245" s="271"/>
      <c r="CU245" s="271"/>
      <c r="CV245" s="271"/>
      <c r="CW245" s="271"/>
      <c r="CX245" s="271"/>
      <c r="CY245" s="271"/>
    </row>
    <row r="246" spans="2:103" s="273" customFormat="1" ht="159" customHeight="1" x14ac:dyDescent="0.25">
      <c r="B246" s="424">
        <v>44500</v>
      </c>
      <c r="C246" s="422">
        <v>0.91666666666666663</v>
      </c>
      <c r="D246" s="425">
        <v>50</v>
      </c>
      <c r="E246" s="426">
        <v>13</v>
      </c>
      <c r="F246" s="427">
        <v>16.600000000000001</v>
      </c>
      <c r="G246" s="428">
        <v>1263</v>
      </c>
      <c r="H246" s="428">
        <v>2040</v>
      </c>
      <c r="I246" s="428">
        <v>97.1</v>
      </c>
      <c r="J246" s="428">
        <v>99.7</v>
      </c>
      <c r="K246" s="436" t="s">
        <v>1480</v>
      </c>
      <c r="L246" s="426">
        <v>35.86</v>
      </c>
      <c r="M246" s="426">
        <v>39</v>
      </c>
      <c r="N246" s="426">
        <v>46.54</v>
      </c>
      <c r="O246" s="429"/>
      <c r="P246" s="429" t="s">
        <v>142</v>
      </c>
      <c r="Q246" s="429" t="s">
        <v>142</v>
      </c>
      <c r="R246" s="429" t="s">
        <v>1470</v>
      </c>
      <c r="S246" s="429">
        <v>70.900000000000006</v>
      </c>
      <c r="T246" s="430" t="s">
        <v>352</v>
      </c>
      <c r="U246" s="429" t="s">
        <v>236</v>
      </c>
      <c r="V246" s="318" t="s">
        <v>1484</v>
      </c>
      <c r="CM246" s="271"/>
      <c r="CN246" s="271"/>
      <c r="CO246" s="271"/>
      <c r="CP246" s="271"/>
      <c r="CQ246" s="271"/>
      <c r="CR246" s="271"/>
      <c r="CS246" s="271"/>
      <c r="CT246" s="271"/>
      <c r="CU246" s="271"/>
      <c r="CV246" s="271"/>
      <c r="CW246" s="271"/>
      <c r="CX246" s="271"/>
      <c r="CY246" s="271"/>
    </row>
    <row r="247" spans="2:103" s="273" customFormat="1" ht="42.75" customHeight="1" x14ac:dyDescent="0.25">
      <c r="B247" s="424">
        <v>44501</v>
      </c>
      <c r="C247" s="422">
        <v>0.89583333333333337</v>
      </c>
      <c r="D247" s="425">
        <v>51</v>
      </c>
      <c r="E247" s="426">
        <v>11.7</v>
      </c>
      <c r="F247" s="427">
        <v>15.7</v>
      </c>
      <c r="G247" s="428">
        <v>1115</v>
      </c>
      <c r="H247" s="428">
        <v>1901</v>
      </c>
      <c r="I247" s="428">
        <v>99.3</v>
      </c>
      <c r="J247" s="428">
        <v>107.5</v>
      </c>
      <c r="K247" s="436" t="s">
        <v>1493</v>
      </c>
      <c r="L247" s="426">
        <v>33.090000000000003</v>
      </c>
      <c r="M247" s="426">
        <v>37</v>
      </c>
      <c r="N247" s="426">
        <v>52.53</v>
      </c>
      <c r="O247" s="429"/>
      <c r="P247" s="429" t="s">
        <v>142</v>
      </c>
      <c r="Q247" s="429" t="s">
        <v>142</v>
      </c>
      <c r="R247" s="429" t="s">
        <v>1405</v>
      </c>
      <c r="S247" s="429">
        <v>67</v>
      </c>
      <c r="T247" s="430" t="s">
        <v>352</v>
      </c>
      <c r="U247" s="429" t="s">
        <v>236</v>
      </c>
      <c r="V247" s="318"/>
      <c r="CM247" s="271"/>
      <c r="CN247" s="271"/>
      <c r="CO247" s="271"/>
      <c r="CP247" s="271"/>
      <c r="CQ247" s="271"/>
      <c r="CR247" s="271"/>
      <c r="CS247" s="271"/>
      <c r="CT247" s="271"/>
      <c r="CU247" s="271"/>
      <c r="CV247" s="271"/>
      <c r="CW247" s="271"/>
      <c r="CX247" s="271"/>
      <c r="CY247" s="271"/>
    </row>
    <row r="248" spans="2:103" s="273" customFormat="1" ht="42.75" customHeight="1" x14ac:dyDescent="0.25">
      <c r="B248" s="424">
        <v>44502</v>
      </c>
      <c r="C248" s="422">
        <v>0.9375</v>
      </c>
      <c r="D248" s="425">
        <v>51</v>
      </c>
      <c r="E248" s="426">
        <v>10.7</v>
      </c>
      <c r="F248" s="427">
        <v>15</v>
      </c>
      <c r="G248" s="428">
        <v>1110</v>
      </c>
      <c r="H248" s="428">
        <v>1948</v>
      </c>
      <c r="I248" s="428">
        <v>99.4</v>
      </c>
      <c r="J248" s="428">
        <v>107.4</v>
      </c>
      <c r="K248" s="436" t="s">
        <v>1498</v>
      </c>
      <c r="L248" s="426">
        <v>33.43</v>
      </c>
      <c r="M248" s="426">
        <v>37</v>
      </c>
      <c r="N248" s="426">
        <v>50.1</v>
      </c>
      <c r="O248" s="429"/>
      <c r="P248" s="429" t="s">
        <v>142</v>
      </c>
      <c r="Q248" s="429" t="s">
        <v>142</v>
      </c>
      <c r="R248" s="429" t="s">
        <v>1405</v>
      </c>
      <c r="S248" s="429">
        <v>64.099999999999994</v>
      </c>
      <c r="T248" s="430" t="s">
        <v>352</v>
      </c>
      <c r="U248" s="429" t="s">
        <v>236</v>
      </c>
      <c r="V248" s="318"/>
      <c r="CM248" s="271"/>
      <c r="CN248" s="271"/>
      <c r="CO248" s="271"/>
      <c r="CP248" s="271"/>
      <c r="CQ248" s="271"/>
      <c r="CR248" s="271"/>
      <c r="CS248" s="271"/>
      <c r="CT248" s="271"/>
      <c r="CU248" s="271"/>
      <c r="CV248" s="271"/>
      <c r="CW248" s="271"/>
      <c r="CX248" s="271"/>
      <c r="CY248" s="271"/>
    </row>
    <row r="249" spans="2:103" s="273" customFormat="1" ht="42.75" customHeight="1" x14ac:dyDescent="0.25">
      <c r="B249" s="424">
        <v>44503</v>
      </c>
      <c r="C249" s="422">
        <v>0.89583333333333337</v>
      </c>
      <c r="D249" s="425">
        <v>51</v>
      </c>
      <c r="E249" s="426">
        <v>10.8</v>
      </c>
      <c r="F249" s="427">
        <v>14.9</v>
      </c>
      <c r="G249" s="428">
        <v>1117</v>
      </c>
      <c r="H249" s="428">
        <v>1958</v>
      </c>
      <c r="I249" s="428">
        <v>99.3</v>
      </c>
      <c r="J249" s="428">
        <v>100</v>
      </c>
      <c r="K249" s="436" t="s">
        <v>1503</v>
      </c>
      <c r="L249" s="426">
        <v>33.15</v>
      </c>
      <c r="M249" s="426">
        <v>37</v>
      </c>
      <c r="N249" s="426">
        <v>49.38</v>
      </c>
      <c r="O249" s="429"/>
      <c r="P249" s="429" t="s">
        <v>142</v>
      </c>
      <c r="Q249" s="429" t="s">
        <v>142</v>
      </c>
      <c r="R249" s="429" t="s">
        <v>1405</v>
      </c>
      <c r="S249" s="429">
        <v>63.6</v>
      </c>
      <c r="T249" s="430" t="s">
        <v>352</v>
      </c>
      <c r="U249" s="429" t="s">
        <v>236</v>
      </c>
      <c r="V249" s="318"/>
      <c r="CM249" s="271"/>
      <c r="CN249" s="271"/>
      <c r="CO249" s="271"/>
      <c r="CP249" s="271"/>
      <c r="CQ249" s="271"/>
      <c r="CR249" s="271"/>
      <c r="CS249" s="271"/>
      <c r="CT249" s="271"/>
      <c r="CU249" s="271"/>
      <c r="CV249" s="271"/>
      <c r="CW249" s="271"/>
      <c r="CX249" s="271"/>
      <c r="CY249" s="271"/>
    </row>
    <row r="250" spans="2:103" s="273" customFormat="1" ht="42.75" customHeight="1" x14ac:dyDescent="0.25">
      <c r="B250" s="424">
        <v>44504</v>
      </c>
      <c r="C250" s="422">
        <v>0.9375</v>
      </c>
      <c r="D250" s="425">
        <v>51</v>
      </c>
      <c r="E250" s="426">
        <v>11.3</v>
      </c>
      <c r="F250" s="427">
        <v>15.3</v>
      </c>
      <c r="G250" s="428">
        <v>1088</v>
      </c>
      <c r="H250" s="428">
        <v>1896</v>
      </c>
      <c r="I250" s="428">
        <v>99.3</v>
      </c>
      <c r="J250" s="428">
        <v>100</v>
      </c>
      <c r="K250" s="436" t="s">
        <v>1510</v>
      </c>
      <c r="L250" s="426">
        <v>31.7</v>
      </c>
      <c r="M250" s="426">
        <v>36</v>
      </c>
      <c r="N250" s="426">
        <v>50.99</v>
      </c>
      <c r="O250" s="429"/>
      <c r="P250" s="429" t="s">
        <v>142</v>
      </c>
      <c r="Q250" s="429" t="s">
        <v>142</v>
      </c>
      <c r="R250" s="429" t="s">
        <v>1511</v>
      </c>
      <c r="S250" s="429">
        <v>63.6</v>
      </c>
      <c r="T250" s="430" t="s">
        <v>352</v>
      </c>
      <c r="U250" s="429" t="s">
        <v>236</v>
      </c>
      <c r="V250" s="318"/>
      <c r="CM250" s="271"/>
      <c r="CN250" s="271"/>
      <c r="CO250" s="271"/>
      <c r="CP250" s="271"/>
      <c r="CQ250" s="271"/>
      <c r="CR250" s="271"/>
      <c r="CS250" s="271"/>
      <c r="CT250" s="271"/>
      <c r="CU250" s="271"/>
      <c r="CV250" s="271"/>
      <c r="CW250" s="271"/>
      <c r="CX250" s="271"/>
      <c r="CY250" s="271"/>
    </row>
    <row r="251" spans="2:103" s="273" customFormat="1" ht="57.75" customHeight="1" x14ac:dyDescent="0.25">
      <c r="B251" s="424">
        <v>44505</v>
      </c>
      <c r="C251" s="422">
        <v>0.97916666666666663</v>
      </c>
      <c r="D251" s="425">
        <v>51</v>
      </c>
      <c r="E251" s="426">
        <v>13.1</v>
      </c>
      <c r="F251" s="427">
        <v>16.899999999999999</v>
      </c>
      <c r="G251" s="428">
        <v>1165</v>
      </c>
      <c r="H251" s="428">
        <v>2039</v>
      </c>
      <c r="I251" s="428">
        <v>97.8</v>
      </c>
      <c r="J251" s="428">
        <v>98.8</v>
      </c>
      <c r="K251" s="436" t="s">
        <v>1516</v>
      </c>
      <c r="L251" s="426">
        <v>28.99</v>
      </c>
      <c r="M251" s="426">
        <v>36</v>
      </c>
      <c r="N251" s="426">
        <v>52.1</v>
      </c>
      <c r="O251" s="429"/>
      <c r="P251" s="429" t="s">
        <v>142</v>
      </c>
      <c r="Q251" s="429" t="s">
        <v>142</v>
      </c>
      <c r="R251" s="429" t="s">
        <v>1517</v>
      </c>
      <c r="S251" s="429">
        <v>72.2</v>
      </c>
      <c r="T251" s="430" t="s">
        <v>352</v>
      </c>
      <c r="U251" s="429" t="s">
        <v>236</v>
      </c>
      <c r="V251" s="318" t="s">
        <v>1527</v>
      </c>
      <c r="CM251" s="271"/>
      <c r="CN251" s="271"/>
      <c r="CO251" s="271"/>
      <c r="CP251" s="271"/>
      <c r="CQ251" s="271"/>
      <c r="CR251" s="271"/>
      <c r="CS251" s="271"/>
      <c r="CT251" s="271"/>
      <c r="CU251" s="271"/>
      <c r="CV251" s="271"/>
      <c r="CW251" s="271"/>
      <c r="CX251" s="271"/>
      <c r="CY251" s="271"/>
    </row>
    <row r="252" spans="2:103" s="273" customFormat="1" ht="42.75" customHeight="1" x14ac:dyDescent="0.25">
      <c r="B252" s="424">
        <v>44506</v>
      </c>
      <c r="C252" s="422">
        <v>0.89583333333333337</v>
      </c>
      <c r="D252" s="1516" t="s">
        <v>1530</v>
      </c>
      <c r="E252" s="1517"/>
      <c r="F252" s="1517"/>
      <c r="G252" s="1517"/>
      <c r="H252" s="1517"/>
      <c r="I252" s="1517"/>
      <c r="J252" s="1517"/>
      <c r="K252" s="1517"/>
      <c r="L252" s="1517"/>
      <c r="M252" s="1517"/>
      <c r="N252" s="1517"/>
      <c r="O252" s="1517"/>
      <c r="P252" s="1517"/>
      <c r="Q252" s="1517"/>
      <c r="R252" s="1517"/>
      <c r="S252" s="1518"/>
      <c r="T252" s="430" t="s">
        <v>352</v>
      </c>
      <c r="U252" s="429" t="s">
        <v>236</v>
      </c>
      <c r="V252" s="318"/>
      <c r="CM252" s="271"/>
      <c r="CN252" s="271"/>
      <c r="CO252" s="271"/>
      <c r="CP252" s="271"/>
      <c r="CQ252" s="271"/>
      <c r="CR252" s="271"/>
      <c r="CS252" s="271"/>
      <c r="CT252" s="271"/>
      <c r="CU252" s="271"/>
      <c r="CV252" s="271"/>
      <c r="CW252" s="271"/>
      <c r="CX252" s="271"/>
      <c r="CY252" s="271"/>
    </row>
    <row r="253" spans="2:103" s="273" customFormat="1" ht="40.5" customHeight="1" x14ac:dyDescent="0.25">
      <c r="B253" s="424">
        <v>44507</v>
      </c>
      <c r="C253" s="422">
        <v>0.75</v>
      </c>
      <c r="D253" s="425">
        <v>51</v>
      </c>
      <c r="E253" s="426">
        <v>11.6</v>
      </c>
      <c r="F253" s="427">
        <v>15.5</v>
      </c>
      <c r="G253" s="428">
        <v>1114</v>
      </c>
      <c r="H253" s="428">
        <v>1826</v>
      </c>
      <c r="I253" s="428">
        <v>98</v>
      </c>
      <c r="J253" s="428">
        <v>107</v>
      </c>
      <c r="K253" s="436" t="s">
        <v>1533</v>
      </c>
      <c r="L253" s="426">
        <v>28.26</v>
      </c>
      <c r="M253" s="426">
        <v>38</v>
      </c>
      <c r="N253" s="426">
        <v>53.9</v>
      </c>
      <c r="O253" s="429"/>
      <c r="P253" s="429" t="s">
        <v>142</v>
      </c>
      <c r="Q253" s="429" t="s">
        <v>142</v>
      </c>
      <c r="R253" s="429" t="s">
        <v>1359</v>
      </c>
      <c r="S253" s="429">
        <v>66.8</v>
      </c>
      <c r="T253" s="430" t="s">
        <v>352</v>
      </c>
      <c r="U253" s="429" t="s">
        <v>236</v>
      </c>
      <c r="V253" s="318"/>
      <c r="CM253" s="271"/>
      <c r="CN253" s="271"/>
      <c r="CO253" s="271"/>
      <c r="CP253" s="271"/>
      <c r="CQ253" s="271"/>
      <c r="CR253" s="271"/>
      <c r="CS253" s="271"/>
      <c r="CT253" s="271"/>
      <c r="CU253" s="271"/>
      <c r="CV253" s="271"/>
      <c r="CW253" s="271"/>
      <c r="CX253" s="271"/>
      <c r="CY253" s="271"/>
    </row>
    <row r="254" spans="2:103" s="273" customFormat="1" ht="40.5" customHeight="1" x14ac:dyDescent="0.25">
      <c r="B254" s="424">
        <v>44508</v>
      </c>
      <c r="C254" s="422">
        <v>0.91666666666666663</v>
      </c>
      <c r="D254" s="425">
        <v>51</v>
      </c>
      <c r="E254" s="426">
        <v>10.7</v>
      </c>
      <c r="F254" s="427">
        <v>15</v>
      </c>
      <c r="G254" s="428">
        <v>1053</v>
      </c>
      <c r="H254" s="428">
        <v>1853</v>
      </c>
      <c r="I254" s="428">
        <v>99.3</v>
      </c>
      <c r="J254" s="428">
        <v>100</v>
      </c>
      <c r="K254" s="436" t="s">
        <v>1541</v>
      </c>
      <c r="L254" s="426">
        <v>30.06</v>
      </c>
      <c r="M254" s="426">
        <v>37</v>
      </c>
      <c r="N254" s="426">
        <v>51.23</v>
      </c>
      <c r="O254" s="429"/>
      <c r="P254" s="429" t="s">
        <v>142</v>
      </c>
      <c r="Q254" s="429" t="s">
        <v>142</v>
      </c>
      <c r="R254" s="429" t="s">
        <v>1542</v>
      </c>
      <c r="S254" s="429">
        <v>63.6</v>
      </c>
      <c r="T254" s="430" t="s">
        <v>352</v>
      </c>
      <c r="U254" s="429" t="s">
        <v>236</v>
      </c>
      <c r="V254" s="318"/>
      <c r="CM254" s="271"/>
      <c r="CN254" s="271"/>
      <c r="CO254" s="271"/>
      <c r="CP254" s="271"/>
      <c r="CQ254" s="271"/>
      <c r="CR254" s="271"/>
      <c r="CS254" s="271"/>
      <c r="CT254" s="271"/>
      <c r="CU254" s="271"/>
      <c r="CV254" s="271"/>
      <c r="CW254" s="271"/>
      <c r="CX254" s="271"/>
      <c r="CY254" s="271"/>
    </row>
    <row r="255" spans="2:103" s="273" customFormat="1" ht="40.5" customHeight="1" x14ac:dyDescent="0.25">
      <c r="B255" s="424">
        <v>44509</v>
      </c>
      <c r="C255" s="422">
        <v>0.91666666666666663</v>
      </c>
      <c r="D255" s="425">
        <v>51</v>
      </c>
      <c r="E255" s="426">
        <v>10.9</v>
      </c>
      <c r="F255" s="427">
        <v>15.1</v>
      </c>
      <c r="G255" s="428">
        <v>1061.7</v>
      </c>
      <c r="H255" s="428">
        <v>1935</v>
      </c>
      <c r="I255" s="428">
        <v>99.3</v>
      </c>
      <c r="J255" s="428">
        <v>100.1</v>
      </c>
      <c r="K255" s="436" t="s">
        <v>1547</v>
      </c>
      <c r="L255" s="426">
        <v>30.34</v>
      </c>
      <c r="M255" s="426">
        <v>35</v>
      </c>
      <c r="N255" s="426">
        <v>49.54</v>
      </c>
      <c r="O255" s="429"/>
      <c r="P255" s="429" t="s">
        <v>142</v>
      </c>
      <c r="Q255" s="429" t="s">
        <v>142</v>
      </c>
      <c r="R255" s="429" t="s">
        <v>1542</v>
      </c>
      <c r="S255" s="429">
        <v>64.099999999999994</v>
      </c>
      <c r="T255" s="430" t="s">
        <v>352</v>
      </c>
      <c r="U255" s="429" t="s">
        <v>236</v>
      </c>
      <c r="V255" s="318"/>
      <c r="CM255" s="271"/>
      <c r="CN255" s="271"/>
      <c r="CO255" s="271"/>
      <c r="CP255" s="271"/>
      <c r="CQ255" s="271"/>
      <c r="CR255" s="271"/>
      <c r="CS255" s="271"/>
      <c r="CT255" s="271"/>
      <c r="CU255" s="271"/>
      <c r="CV255" s="271"/>
      <c r="CW255" s="271"/>
      <c r="CX255" s="271"/>
      <c r="CY255" s="271"/>
    </row>
    <row r="256" spans="2:103" s="273" customFormat="1" ht="40.5" customHeight="1" x14ac:dyDescent="0.25">
      <c r="B256" s="424">
        <v>44510</v>
      </c>
      <c r="C256" s="422">
        <v>0.91666666666666663</v>
      </c>
      <c r="D256" s="425">
        <v>51</v>
      </c>
      <c r="E256" s="426">
        <v>11</v>
      </c>
      <c r="F256" s="427">
        <v>15.1</v>
      </c>
      <c r="G256" s="428">
        <v>1055</v>
      </c>
      <c r="H256" s="428">
        <v>1856</v>
      </c>
      <c r="I256" s="428">
        <v>99.3</v>
      </c>
      <c r="J256" s="428">
        <v>100</v>
      </c>
      <c r="K256" s="436" t="s">
        <v>1550</v>
      </c>
      <c r="L256" s="426">
        <v>30.25</v>
      </c>
      <c r="M256" s="426">
        <v>35</v>
      </c>
      <c r="N256" s="426">
        <v>50.15</v>
      </c>
      <c r="O256" s="429"/>
      <c r="P256" s="429" t="s">
        <v>142</v>
      </c>
      <c r="Q256" s="429" t="s">
        <v>142</v>
      </c>
      <c r="R256" s="429" t="s">
        <v>1542</v>
      </c>
      <c r="S256" s="429">
        <v>63.6</v>
      </c>
      <c r="T256" s="430" t="s">
        <v>352</v>
      </c>
      <c r="U256" s="429" t="s">
        <v>236</v>
      </c>
      <c r="V256" s="318"/>
      <c r="CM256" s="271"/>
      <c r="CN256" s="271"/>
      <c r="CO256" s="271"/>
      <c r="CP256" s="271"/>
      <c r="CQ256" s="271"/>
      <c r="CR256" s="271"/>
      <c r="CS256" s="271"/>
      <c r="CT256" s="271"/>
      <c r="CU256" s="271"/>
      <c r="CV256" s="271"/>
      <c r="CW256" s="271"/>
      <c r="CX256" s="271"/>
      <c r="CY256" s="271"/>
    </row>
    <row r="257" spans="2:103" s="273" customFormat="1" ht="40.5" customHeight="1" x14ac:dyDescent="0.25">
      <c r="B257" s="424">
        <v>44511</v>
      </c>
      <c r="C257" s="422">
        <v>0.91666666666666663</v>
      </c>
      <c r="D257" s="425">
        <v>51</v>
      </c>
      <c r="E257" s="426">
        <v>11.5</v>
      </c>
      <c r="F257" s="427">
        <v>15.6</v>
      </c>
      <c r="G257" s="428">
        <v>1048</v>
      </c>
      <c r="H257" s="428">
        <v>1890</v>
      </c>
      <c r="I257" s="428">
        <v>99.3</v>
      </c>
      <c r="J257" s="428">
        <v>100.1</v>
      </c>
      <c r="K257" s="436" t="s">
        <v>1555</v>
      </c>
      <c r="L257" s="426">
        <v>29.81</v>
      </c>
      <c r="M257" s="426">
        <v>34</v>
      </c>
      <c r="N257" s="426">
        <v>49.68</v>
      </c>
      <c r="O257" s="429"/>
      <c r="P257" s="429" t="s">
        <v>142</v>
      </c>
      <c r="Q257" s="429" t="s">
        <v>142</v>
      </c>
      <c r="R257" s="429" t="s">
        <v>1542</v>
      </c>
      <c r="S257" s="429">
        <v>63.2</v>
      </c>
      <c r="T257" s="430" t="s">
        <v>352</v>
      </c>
      <c r="U257" s="429" t="s">
        <v>236</v>
      </c>
      <c r="V257" s="318"/>
      <c r="CM257" s="271"/>
      <c r="CN257" s="271"/>
      <c r="CO257" s="271"/>
      <c r="CP257" s="271"/>
      <c r="CQ257" s="271"/>
      <c r="CR257" s="271"/>
      <c r="CS257" s="271"/>
      <c r="CT257" s="271"/>
      <c r="CU257" s="271"/>
      <c r="CV257" s="271"/>
      <c r="CW257" s="271"/>
      <c r="CX257" s="271"/>
      <c r="CY257" s="271"/>
    </row>
    <row r="258" spans="2:103" s="273" customFormat="1" ht="33" customHeight="1" x14ac:dyDescent="0.25">
      <c r="B258" s="424">
        <v>44512</v>
      </c>
      <c r="C258" s="422">
        <v>0.95833333333333337</v>
      </c>
      <c r="D258" s="425">
        <v>51</v>
      </c>
      <c r="E258" s="426">
        <v>10.6</v>
      </c>
      <c r="F258" s="427">
        <v>14.9</v>
      </c>
      <c r="G258" s="428">
        <v>1058</v>
      </c>
      <c r="H258" s="428">
        <v>1887</v>
      </c>
      <c r="I258" s="428">
        <v>99.3</v>
      </c>
      <c r="J258" s="428">
        <v>100.1</v>
      </c>
      <c r="K258" s="436" t="s">
        <v>1558</v>
      </c>
      <c r="L258" s="426">
        <v>30.58</v>
      </c>
      <c r="M258" s="426">
        <v>34</v>
      </c>
      <c r="N258" s="426">
        <v>49.54</v>
      </c>
      <c r="O258" s="429"/>
      <c r="P258" s="429" t="s">
        <v>142</v>
      </c>
      <c r="Q258" s="429" t="s">
        <v>142</v>
      </c>
      <c r="R258" s="429" t="s">
        <v>1542</v>
      </c>
      <c r="S258" s="429">
        <v>63.2</v>
      </c>
      <c r="T258" s="430" t="s">
        <v>352</v>
      </c>
      <c r="U258" s="429" t="s">
        <v>236</v>
      </c>
      <c r="V258" s="417"/>
      <c r="CM258" s="271"/>
      <c r="CN258" s="271"/>
      <c r="CO258" s="271"/>
      <c r="CP258" s="271"/>
      <c r="CQ258" s="271"/>
      <c r="CR258" s="271"/>
      <c r="CS258" s="271"/>
      <c r="CT258" s="271"/>
      <c r="CU258" s="271"/>
      <c r="CV258" s="271"/>
      <c r="CW258" s="271"/>
      <c r="CX258" s="271"/>
      <c r="CY258" s="271"/>
    </row>
    <row r="259" spans="2:103" s="273" customFormat="1" ht="78" customHeight="1" x14ac:dyDescent="0.25">
      <c r="B259" s="424">
        <v>44513</v>
      </c>
      <c r="C259" s="422">
        <v>0.95833333333333337</v>
      </c>
      <c r="D259" s="425">
        <v>51</v>
      </c>
      <c r="E259" s="426">
        <v>11.3</v>
      </c>
      <c r="F259" s="427">
        <v>15.5</v>
      </c>
      <c r="G259" s="428">
        <v>1118</v>
      </c>
      <c r="H259" s="428">
        <v>1968</v>
      </c>
      <c r="I259" s="428">
        <v>98.1</v>
      </c>
      <c r="J259" s="428">
        <v>99</v>
      </c>
      <c r="K259" s="436" t="s">
        <v>1561</v>
      </c>
      <c r="L259" s="426">
        <v>31.83</v>
      </c>
      <c r="M259" s="426">
        <v>35</v>
      </c>
      <c r="N259" s="426">
        <v>51.6</v>
      </c>
      <c r="O259" s="429"/>
      <c r="P259" s="429" t="s">
        <v>142</v>
      </c>
      <c r="Q259" s="429" t="s">
        <v>142</v>
      </c>
      <c r="R259" s="429" t="s">
        <v>1385</v>
      </c>
      <c r="S259" s="429">
        <v>66.599999999999994</v>
      </c>
      <c r="T259" s="430" t="s">
        <v>352</v>
      </c>
      <c r="U259" s="429" t="s">
        <v>236</v>
      </c>
      <c r="V259" s="582" t="s">
        <v>1566</v>
      </c>
      <c r="CM259" s="271"/>
      <c r="CN259" s="271"/>
      <c r="CO259" s="271"/>
      <c r="CP259" s="271"/>
      <c r="CQ259" s="271"/>
      <c r="CR259" s="271"/>
      <c r="CS259" s="271"/>
      <c r="CT259" s="271"/>
      <c r="CU259" s="271"/>
      <c r="CV259" s="271"/>
      <c r="CW259" s="271"/>
      <c r="CX259" s="271"/>
      <c r="CY259" s="271"/>
    </row>
    <row r="260" spans="2:103" s="273" customFormat="1" ht="51.75" customHeight="1" x14ac:dyDescent="0.25">
      <c r="B260" s="424">
        <v>44514</v>
      </c>
      <c r="C260" s="422">
        <v>0.9375</v>
      </c>
      <c r="D260" s="425">
        <v>52</v>
      </c>
      <c r="E260" s="426">
        <v>8.5</v>
      </c>
      <c r="F260" s="427">
        <v>13.6</v>
      </c>
      <c r="G260" s="428">
        <v>1141</v>
      </c>
      <c r="H260" s="428">
        <v>1985</v>
      </c>
      <c r="I260" s="428">
        <v>97.3</v>
      </c>
      <c r="J260" s="428">
        <v>101.2</v>
      </c>
      <c r="K260" s="436" t="s">
        <v>1569</v>
      </c>
      <c r="L260" s="426">
        <v>36.42</v>
      </c>
      <c r="M260" s="426">
        <v>40</v>
      </c>
      <c r="N260" s="426">
        <v>47.56</v>
      </c>
      <c r="O260" s="429"/>
      <c r="P260" s="429" t="s">
        <v>142</v>
      </c>
      <c r="Q260" s="429" t="s">
        <v>142</v>
      </c>
      <c r="R260" s="429" t="s">
        <v>1570</v>
      </c>
      <c r="S260" s="429">
        <v>55.5</v>
      </c>
      <c r="T260" s="430" t="s">
        <v>352</v>
      </c>
      <c r="U260" s="429" t="s">
        <v>236</v>
      </c>
      <c r="V260" s="583" t="s">
        <v>1571</v>
      </c>
      <c r="CM260" s="271"/>
      <c r="CN260" s="271"/>
      <c r="CO260" s="271"/>
      <c r="CP260" s="271"/>
      <c r="CQ260" s="271"/>
      <c r="CR260" s="271"/>
      <c r="CS260" s="271"/>
      <c r="CT260" s="271"/>
      <c r="CU260" s="271"/>
      <c r="CV260" s="271"/>
      <c r="CW260" s="271"/>
      <c r="CX260" s="271"/>
      <c r="CY260" s="271"/>
    </row>
    <row r="261" spans="2:103" s="273" customFormat="1" ht="30.75" customHeight="1" x14ac:dyDescent="0.25">
      <c r="B261" s="424">
        <v>44515</v>
      </c>
      <c r="C261" s="422">
        <v>0.9375</v>
      </c>
      <c r="D261" s="425">
        <v>51</v>
      </c>
      <c r="E261" s="426">
        <v>11.1</v>
      </c>
      <c r="F261" s="427">
        <v>15.2</v>
      </c>
      <c r="G261" s="428">
        <v>1067</v>
      </c>
      <c r="H261" s="428">
        <v>1905</v>
      </c>
      <c r="I261" s="428">
        <v>99.4</v>
      </c>
      <c r="J261" s="428">
        <v>100.1</v>
      </c>
      <c r="K261" s="436" t="s">
        <v>1576</v>
      </c>
      <c r="L261" s="426">
        <v>31.72</v>
      </c>
      <c r="M261" s="426">
        <v>35</v>
      </c>
      <c r="N261" s="426">
        <v>49.27</v>
      </c>
      <c r="O261" s="429"/>
      <c r="P261" s="429" t="s">
        <v>142</v>
      </c>
      <c r="Q261" s="429" t="s">
        <v>142</v>
      </c>
      <c r="R261" s="429" t="s">
        <v>1577</v>
      </c>
      <c r="S261" s="429">
        <v>64.900000000000006</v>
      </c>
      <c r="T261" s="430" t="s">
        <v>352</v>
      </c>
      <c r="U261" s="429" t="s">
        <v>236</v>
      </c>
      <c r="V261" s="583" t="s">
        <v>1578</v>
      </c>
      <c r="CM261" s="271"/>
      <c r="CN261" s="271"/>
      <c r="CO261" s="271"/>
      <c r="CP261" s="271"/>
      <c r="CQ261" s="271"/>
      <c r="CR261" s="271"/>
      <c r="CS261" s="271"/>
      <c r="CT261" s="271"/>
      <c r="CU261" s="271"/>
      <c r="CV261" s="271"/>
      <c r="CW261" s="271"/>
      <c r="CX261" s="271"/>
      <c r="CY261" s="271"/>
    </row>
    <row r="262" spans="2:103" s="273" customFormat="1" ht="54.75" customHeight="1" x14ac:dyDescent="0.25">
      <c r="B262" s="424">
        <v>44516</v>
      </c>
      <c r="C262" s="422">
        <v>0.9375</v>
      </c>
      <c r="D262" s="1525" t="s">
        <v>1585</v>
      </c>
      <c r="E262" s="1526"/>
      <c r="F262" s="1526"/>
      <c r="G262" s="1526"/>
      <c r="H262" s="1526"/>
      <c r="I262" s="1526"/>
      <c r="J262" s="1526"/>
      <c r="K262" s="1526"/>
      <c r="L262" s="1526"/>
      <c r="M262" s="1526"/>
      <c r="N262" s="1526"/>
      <c r="O262" s="1526"/>
      <c r="P262" s="1526"/>
      <c r="Q262" s="1526"/>
      <c r="R262" s="1526"/>
      <c r="S262" s="1527"/>
      <c r="T262" s="430" t="s">
        <v>352</v>
      </c>
      <c r="U262" s="429" t="s">
        <v>236</v>
      </c>
      <c r="V262" s="583"/>
      <c r="CM262" s="271"/>
      <c r="CN262" s="271"/>
      <c r="CO262" s="271"/>
      <c r="CP262" s="271"/>
      <c r="CQ262" s="271"/>
      <c r="CR262" s="271"/>
      <c r="CS262" s="271"/>
      <c r="CT262" s="271"/>
      <c r="CU262" s="271"/>
      <c r="CV262" s="271"/>
      <c r="CW262" s="271"/>
      <c r="CX262" s="271"/>
      <c r="CY262" s="271"/>
    </row>
    <row r="263" spans="2:103" s="273" customFormat="1" ht="30.75" customHeight="1" x14ac:dyDescent="0.25">
      <c r="B263" s="424">
        <v>44517</v>
      </c>
      <c r="C263" s="422">
        <v>0.89583333333333337</v>
      </c>
      <c r="D263" s="425">
        <v>52</v>
      </c>
      <c r="E263" s="426">
        <v>10.199999999999999</v>
      </c>
      <c r="F263" s="427">
        <v>14.8</v>
      </c>
      <c r="G263" s="428">
        <v>1089</v>
      </c>
      <c r="H263" s="428">
        <v>1889</v>
      </c>
      <c r="I263" s="428">
        <v>99</v>
      </c>
      <c r="J263" s="428">
        <v>101.2</v>
      </c>
      <c r="K263" s="436" t="s">
        <v>1588</v>
      </c>
      <c r="L263" s="426">
        <v>31.43</v>
      </c>
      <c r="M263" s="426">
        <v>35</v>
      </c>
      <c r="N263" s="426">
        <v>48.01</v>
      </c>
      <c r="O263" s="429"/>
      <c r="P263" s="429" t="s">
        <v>142</v>
      </c>
      <c r="Q263" s="429" t="s">
        <v>142</v>
      </c>
      <c r="R263" s="429" t="s">
        <v>1589</v>
      </c>
      <c r="S263" s="429">
        <v>64.900000000000006</v>
      </c>
      <c r="T263" s="430" t="s">
        <v>352</v>
      </c>
      <c r="U263" s="429" t="s">
        <v>236</v>
      </c>
      <c r="V263" s="583"/>
      <c r="CM263" s="271"/>
      <c r="CN263" s="271"/>
      <c r="CO263" s="271"/>
      <c r="CP263" s="271"/>
      <c r="CQ263" s="271"/>
      <c r="CR263" s="271"/>
      <c r="CS263" s="271"/>
      <c r="CT263" s="271"/>
      <c r="CU263" s="271"/>
      <c r="CV263" s="271"/>
      <c r="CW263" s="271"/>
      <c r="CX263" s="271"/>
      <c r="CY263" s="271"/>
    </row>
    <row r="264" spans="2:103" s="273" customFormat="1" ht="40.5" customHeight="1" x14ac:dyDescent="0.25">
      <c r="B264" s="424">
        <v>44518</v>
      </c>
      <c r="C264" s="422">
        <v>0.9375</v>
      </c>
      <c r="D264" s="425">
        <v>52</v>
      </c>
      <c r="E264" s="426">
        <v>11.3</v>
      </c>
      <c r="F264" s="427">
        <v>15.7</v>
      </c>
      <c r="G264" s="428">
        <v>1132</v>
      </c>
      <c r="H264" s="428">
        <v>1876</v>
      </c>
      <c r="I264" s="428">
        <v>98.7</v>
      </c>
      <c r="J264" s="428">
        <v>99.4</v>
      </c>
      <c r="K264" s="436" t="s">
        <v>1595</v>
      </c>
      <c r="L264" s="426">
        <v>31</v>
      </c>
      <c r="M264" s="426">
        <v>35</v>
      </c>
      <c r="N264" s="426">
        <v>53.17</v>
      </c>
      <c r="O264" s="429"/>
      <c r="P264" s="429" t="s">
        <v>142</v>
      </c>
      <c r="Q264" s="429" t="s">
        <v>142</v>
      </c>
      <c r="R264" s="429" t="s">
        <v>1596</v>
      </c>
      <c r="S264" s="429">
        <v>67</v>
      </c>
      <c r="T264" s="430" t="s">
        <v>352</v>
      </c>
      <c r="U264" s="429" t="s">
        <v>236</v>
      </c>
      <c r="V264" s="583" t="s">
        <v>1602</v>
      </c>
      <c r="CM264" s="271"/>
      <c r="CN264" s="271"/>
      <c r="CO264" s="271"/>
      <c r="CP264" s="271"/>
      <c r="CQ264" s="271"/>
      <c r="CR264" s="271"/>
      <c r="CS264" s="271"/>
      <c r="CT264" s="271"/>
      <c r="CU264" s="271"/>
      <c r="CV264" s="271"/>
      <c r="CW264" s="271"/>
      <c r="CX264" s="271"/>
      <c r="CY264" s="271"/>
    </row>
    <row r="265" spans="2:103" s="273" customFormat="1" ht="40.5" customHeight="1" x14ac:dyDescent="0.25">
      <c r="B265" s="424">
        <v>44519</v>
      </c>
      <c r="C265" s="422">
        <v>0.89583333333333337</v>
      </c>
      <c r="D265" s="425">
        <v>52</v>
      </c>
      <c r="E265" s="426">
        <v>10.8</v>
      </c>
      <c r="F265" s="427">
        <v>14.9</v>
      </c>
      <c r="G265" s="428">
        <v>1070</v>
      </c>
      <c r="H265" s="428">
        <v>1879</v>
      </c>
      <c r="I265" s="428">
        <v>99.3</v>
      </c>
      <c r="J265" s="428">
        <v>100</v>
      </c>
      <c r="K265" s="436" t="s">
        <v>1604</v>
      </c>
      <c r="L265" s="426">
        <v>30.94</v>
      </c>
      <c r="M265" s="426">
        <v>34</v>
      </c>
      <c r="N265" s="426">
        <v>51.11</v>
      </c>
      <c r="O265" s="429"/>
      <c r="P265" s="429" t="s">
        <v>142</v>
      </c>
      <c r="Q265" s="429" t="s">
        <v>142</v>
      </c>
      <c r="R265" s="429" t="s">
        <v>1605</v>
      </c>
      <c r="S265" s="429">
        <v>62.8</v>
      </c>
      <c r="T265" s="430" t="s">
        <v>352</v>
      </c>
      <c r="U265" s="429" t="s">
        <v>236</v>
      </c>
      <c r="V265" s="583"/>
      <c r="CM265" s="271"/>
      <c r="CN265" s="271"/>
      <c r="CO265" s="271"/>
      <c r="CP265" s="271"/>
      <c r="CQ265" s="271"/>
      <c r="CR265" s="271"/>
      <c r="CS265" s="271"/>
      <c r="CT265" s="271"/>
      <c r="CU265" s="271"/>
      <c r="CV265" s="271"/>
      <c r="CW265" s="271"/>
      <c r="CX265" s="271"/>
      <c r="CY265" s="271"/>
    </row>
    <row r="266" spans="2:103" s="273" customFormat="1" ht="40.5" customHeight="1" x14ac:dyDescent="0.25">
      <c r="B266" s="424">
        <v>44520</v>
      </c>
      <c r="C266" s="58">
        <v>0.91666666666666663</v>
      </c>
      <c r="D266" s="1516" t="s">
        <v>1616</v>
      </c>
      <c r="E266" s="1517"/>
      <c r="F266" s="1517"/>
      <c r="G266" s="1517"/>
      <c r="H266" s="1517"/>
      <c r="I266" s="1517"/>
      <c r="J266" s="1517"/>
      <c r="K266" s="1517"/>
      <c r="L266" s="1517"/>
      <c r="M266" s="1517"/>
      <c r="N266" s="1517"/>
      <c r="O266" s="1517"/>
      <c r="P266" s="1517"/>
      <c r="Q266" s="1517"/>
      <c r="R266" s="1517"/>
      <c r="S266" s="1518"/>
      <c r="T266" s="430" t="s">
        <v>352</v>
      </c>
      <c r="U266" s="429" t="s">
        <v>236</v>
      </c>
      <c r="V266" s="583"/>
      <c r="CM266" s="271"/>
      <c r="CN266" s="271"/>
      <c r="CO266" s="271"/>
      <c r="CP266" s="271"/>
      <c r="CQ266" s="271"/>
      <c r="CR266" s="271"/>
      <c r="CS266" s="271"/>
      <c r="CT266" s="271"/>
      <c r="CU266" s="271"/>
      <c r="CV266" s="271"/>
      <c r="CW266" s="271"/>
      <c r="CX266" s="271"/>
      <c r="CY266" s="271"/>
    </row>
    <row r="267" spans="2:103" s="273" customFormat="1" ht="40.5" customHeight="1" x14ac:dyDescent="0.25">
      <c r="B267" s="424">
        <v>44521</v>
      </c>
      <c r="C267" s="58">
        <v>0.91666666666666663</v>
      </c>
      <c r="D267" s="1516" t="s">
        <v>1621</v>
      </c>
      <c r="E267" s="1517"/>
      <c r="F267" s="1517"/>
      <c r="G267" s="1517"/>
      <c r="H267" s="1517"/>
      <c r="I267" s="1517"/>
      <c r="J267" s="1517"/>
      <c r="K267" s="1517"/>
      <c r="L267" s="1517"/>
      <c r="M267" s="1517"/>
      <c r="N267" s="1517"/>
      <c r="O267" s="1517"/>
      <c r="P267" s="1517"/>
      <c r="Q267" s="1517"/>
      <c r="R267" s="1517"/>
      <c r="S267" s="1518"/>
      <c r="T267" s="430" t="s">
        <v>352</v>
      </c>
      <c r="U267" s="429" t="s">
        <v>236</v>
      </c>
      <c r="V267" s="583"/>
      <c r="CM267" s="271"/>
      <c r="CN267" s="271"/>
      <c r="CO267" s="271"/>
      <c r="CP267" s="271"/>
      <c r="CQ267" s="271"/>
      <c r="CR267" s="271"/>
      <c r="CS267" s="271"/>
      <c r="CT267" s="271"/>
      <c r="CU267" s="271"/>
      <c r="CV267" s="271"/>
      <c r="CW267" s="271"/>
      <c r="CX267" s="271"/>
      <c r="CY267" s="271"/>
    </row>
    <row r="268" spans="2:103" s="273" customFormat="1" ht="40.5" customHeight="1" x14ac:dyDescent="0.25">
      <c r="B268" s="424">
        <v>44522</v>
      </c>
      <c r="C268" s="422">
        <v>0.91666666666666663</v>
      </c>
      <c r="D268" s="425">
        <v>52</v>
      </c>
      <c r="E268" s="426">
        <v>11.9</v>
      </c>
      <c r="F268" s="427">
        <v>15.8</v>
      </c>
      <c r="G268" s="428">
        <v>1070</v>
      </c>
      <c r="H268" s="428">
        <v>1850</v>
      </c>
      <c r="I268" s="428">
        <v>99.3</v>
      </c>
      <c r="J268" s="428">
        <v>100</v>
      </c>
      <c r="K268" s="436" t="s">
        <v>1623</v>
      </c>
      <c r="L268" s="426">
        <v>31.17</v>
      </c>
      <c r="M268" s="426">
        <v>35</v>
      </c>
      <c r="N268" s="426">
        <v>53.9</v>
      </c>
      <c r="O268" s="429"/>
      <c r="P268" s="429" t="s">
        <v>142</v>
      </c>
      <c r="Q268" s="429" t="s">
        <v>142</v>
      </c>
      <c r="R268" s="429" t="s">
        <v>1624</v>
      </c>
      <c r="S268" s="429">
        <v>67</v>
      </c>
      <c r="T268" s="430" t="s">
        <v>352</v>
      </c>
      <c r="U268" s="429" t="s">
        <v>236</v>
      </c>
      <c r="V268" s="583" t="s">
        <v>1631</v>
      </c>
      <c r="CM268" s="271"/>
      <c r="CN268" s="271"/>
      <c r="CO268" s="271"/>
      <c r="CP268" s="271"/>
      <c r="CQ268" s="271"/>
      <c r="CR268" s="271"/>
      <c r="CS268" s="271"/>
      <c r="CT268" s="271"/>
      <c r="CU268" s="271"/>
      <c r="CV268" s="271"/>
      <c r="CW268" s="271"/>
      <c r="CX268" s="271"/>
      <c r="CY268" s="271"/>
    </row>
    <row r="269" spans="2:103" s="273" customFormat="1" ht="40.5" customHeight="1" x14ac:dyDescent="0.25">
      <c r="B269" s="424">
        <v>44523</v>
      </c>
      <c r="C269" s="422">
        <v>0.91666666666666663</v>
      </c>
      <c r="D269" s="425">
        <v>52</v>
      </c>
      <c r="E269" s="426">
        <v>10.7</v>
      </c>
      <c r="F269" s="427">
        <v>15.1</v>
      </c>
      <c r="G269" s="428">
        <v>1046</v>
      </c>
      <c r="H269" s="428">
        <v>1865</v>
      </c>
      <c r="I269" s="428">
        <v>99.3</v>
      </c>
      <c r="J269" s="428">
        <v>100.1</v>
      </c>
      <c r="K269" s="436" t="s">
        <v>1633</v>
      </c>
      <c r="L269" s="426">
        <v>27.62</v>
      </c>
      <c r="M269" s="426">
        <v>33</v>
      </c>
      <c r="N269" s="426">
        <v>50.92</v>
      </c>
      <c r="O269" s="429"/>
      <c r="P269" s="429" t="s">
        <v>142</v>
      </c>
      <c r="Q269" s="429" t="s">
        <v>142</v>
      </c>
      <c r="R269" s="429" t="s">
        <v>1634</v>
      </c>
      <c r="S269" s="429">
        <v>67.5</v>
      </c>
      <c r="T269" s="430" t="s">
        <v>352</v>
      </c>
      <c r="U269" s="429" t="s">
        <v>236</v>
      </c>
      <c r="V269" s="583"/>
      <c r="CM269" s="271"/>
      <c r="CN269" s="271"/>
      <c r="CO269" s="271"/>
      <c r="CP269" s="271"/>
      <c r="CQ269" s="271"/>
      <c r="CR269" s="271"/>
      <c r="CS269" s="271"/>
      <c r="CT269" s="271"/>
      <c r="CU269" s="271"/>
      <c r="CV269" s="271"/>
      <c r="CW269" s="271"/>
      <c r="CX269" s="271"/>
      <c r="CY269" s="271"/>
    </row>
    <row r="270" spans="2:103" s="273" customFormat="1" ht="40.5" customHeight="1" x14ac:dyDescent="0.25">
      <c r="B270" s="424">
        <v>44524</v>
      </c>
      <c r="C270" s="422">
        <v>0.91666666666666663</v>
      </c>
      <c r="D270" s="425">
        <v>52</v>
      </c>
      <c r="E270" s="426">
        <v>10.8</v>
      </c>
      <c r="F270" s="427">
        <v>15</v>
      </c>
      <c r="G270" s="428">
        <v>1047</v>
      </c>
      <c r="H270" s="428">
        <v>1918</v>
      </c>
      <c r="I270" s="428">
        <v>99.3</v>
      </c>
      <c r="J270" s="428">
        <v>100.1</v>
      </c>
      <c r="K270" s="436" t="s">
        <v>1637</v>
      </c>
      <c r="L270" s="426">
        <v>26.99</v>
      </c>
      <c r="M270" s="426">
        <v>33</v>
      </c>
      <c r="N270" s="426">
        <v>50.39</v>
      </c>
      <c r="O270" s="429"/>
      <c r="P270" s="429" t="s">
        <v>142</v>
      </c>
      <c r="Q270" s="429" t="s">
        <v>142</v>
      </c>
      <c r="R270" s="429" t="s">
        <v>1638</v>
      </c>
      <c r="S270" s="429">
        <v>64.099999999999994</v>
      </c>
      <c r="T270" s="430" t="s">
        <v>352</v>
      </c>
      <c r="U270" s="429" t="s">
        <v>236</v>
      </c>
      <c r="V270" s="583"/>
      <c r="CM270" s="271"/>
      <c r="CN270" s="271"/>
      <c r="CO270" s="271"/>
      <c r="CP270" s="271"/>
      <c r="CQ270" s="271"/>
      <c r="CR270" s="271"/>
      <c r="CS270" s="271"/>
      <c r="CT270" s="271"/>
      <c r="CU270" s="271"/>
      <c r="CV270" s="271"/>
      <c r="CW270" s="271"/>
      <c r="CX270" s="271"/>
      <c r="CY270" s="271"/>
    </row>
    <row r="271" spans="2:103" s="273" customFormat="1" ht="40.5" customHeight="1" x14ac:dyDescent="0.25">
      <c r="B271" s="424">
        <v>44525</v>
      </c>
      <c r="C271" s="422">
        <v>0.91666666666666663</v>
      </c>
      <c r="D271" s="1481" t="s">
        <v>1641</v>
      </c>
      <c r="E271" s="1482"/>
      <c r="F271" s="1482"/>
      <c r="G271" s="1482"/>
      <c r="H271" s="1482"/>
      <c r="I271" s="1482"/>
      <c r="J271" s="1482"/>
      <c r="K271" s="1482"/>
      <c r="L271" s="1482"/>
      <c r="M271" s="1482"/>
      <c r="N271" s="1482"/>
      <c r="O271" s="1482"/>
      <c r="P271" s="1482"/>
      <c r="Q271" s="1482"/>
      <c r="R271" s="1482"/>
      <c r="S271" s="1483"/>
      <c r="T271" s="430" t="s">
        <v>352</v>
      </c>
      <c r="U271" s="429" t="s">
        <v>236</v>
      </c>
      <c r="V271" s="583"/>
      <c r="CM271" s="271"/>
      <c r="CN271" s="271"/>
      <c r="CO271" s="271"/>
      <c r="CP271" s="271"/>
      <c r="CQ271" s="271"/>
      <c r="CR271" s="271"/>
      <c r="CS271" s="271"/>
      <c r="CT271" s="271"/>
      <c r="CU271" s="271"/>
      <c r="CV271" s="271"/>
      <c r="CW271" s="271"/>
      <c r="CX271" s="271"/>
      <c r="CY271" s="271"/>
    </row>
    <row r="272" spans="2:103" s="273" customFormat="1" ht="40.5" customHeight="1" x14ac:dyDescent="0.25">
      <c r="B272" s="424">
        <v>44526</v>
      </c>
      <c r="C272" s="422">
        <v>0.91666666666666663</v>
      </c>
      <c r="D272" s="425">
        <v>52</v>
      </c>
      <c r="E272" s="426">
        <v>12.1</v>
      </c>
      <c r="F272" s="427">
        <v>16</v>
      </c>
      <c r="G272" s="428">
        <v>1218</v>
      </c>
      <c r="H272" s="428">
        <v>2155</v>
      </c>
      <c r="I272" s="428">
        <v>96.8</v>
      </c>
      <c r="J272" s="428">
        <v>99.3</v>
      </c>
      <c r="K272" s="436" t="s">
        <v>1644</v>
      </c>
      <c r="L272" s="426">
        <v>31.55</v>
      </c>
      <c r="M272" s="426">
        <v>40</v>
      </c>
      <c r="N272" s="426">
        <v>49.8</v>
      </c>
      <c r="O272" s="429"/>
      <c r="P272" s="429" t="s">
        <v>142</v>
      </c>
      <c r="Q272" s="429" t="s">
        <v>142</v>
      </c>
      <c r="R272" s="429" t="s">
        <v>1103</v>
      </c>
      <c r="S272" s="429">
        <v>68.8</v>
      </c>
      <c r="T272" s="430" t="s">
        <v>451</v>
      </c>
      <c r="U272" s="429" t="s">
        <v>236</v>
      </c>
      <c r="V272" s="583" t="s">
        <v>1646</v>
      </c>
      <c r="CM272" s="271"/>
      <c r="CN272" s="271"/>
      <c r="CO272" s="271"/>
      <c r="CP272" s="271"/>
      <c r="CQ272" s="271"/>
      <c r="CR272" s="271"/>
      <c r="CS272" s="271"/>
      <c r="CT272" s="271"/>
      <c r="CU272" s="271"/>
      <c r="CV272" s="271"/>
      <c r="CW272" s="271"/>
      <c r="CX272" s="271"/>
      <c r="CY272" s="271"/>
    </row>
    <row r="273" spans="2:103" s="273" customFormat="1" ht="40.5" customHeight="1" x14ac:dyDescent="0.25">
      <c r="B273" s="424">
        <v>44527</v>
      </c>
      <c r="C273" s="422">
        <v>0.91666666666666663</v>
      </c>
      <c r="D273" s="425">
        <v>52</v>
      </c>
      <c r="E273" s="426">
        <v>11.3</v>
      </c>
      <c r="F273" s="427">
        <v>15.4</v>
      </c>
      <c r="G273" s="428">
        <v>1163</v>
      </c>
      <c r="H273" s="428">
        <v>2072</v>
      </c>
      <c r="I273" s="428">
        <v>99.3</v>
      </c>
      <c r="J273" s="428">
        <v>100.1</v>
      </c>
      <c r="K273" s="436" t="s">
        <v>1648</v>
      </c>
      <c r="L273" s="426">
        <v>32.53</v>
      </c>
      <c r="M273" s="426">
        <v>40</v>
      </c>
      <c r="N273" s="426">
        <v>48.05</v>
      </c>
      <c r="O273" s="429"/>
      <c r="P273" s="429" t="s">
        <v>142</v>
      </c>
      <c r="Q273" s="429" t="s">
        <v>142</v>
      </c>
      <c r="R273" s="429" t="s">
        <v>1649</v>
      </c>
      <c r="S273" s="429">
        <v>65.3</v>
      </c>
      <c r="T273" s="430" t="s">
        <v>451</v>
      </c>
      <c r="U273" s="429" t="s">
        <v>236</v>
      </c>
      <c r="V273" s="583"/>
      <c r="CM273" s="271"/>
      <c r="CN273" s="271"/>
      <c r="CO273" s="271"/>
      <c r="CP273" s="271"/>
      <c r="CQ273" s="271"/>
      <c r="CR273" s="271"/>
      <c r="CS273" s="271"/>
      <c r="CT273" s="271"/>
      <c r="CU273" s="271"/>
      <c r="CV273" s="271"/>
      <c r="CW273" s="271"/>
      <c r="CX273" s="271"/>
      <c r="CY273" s="271"/>
    </row>
    <row r="274" spans="2:103" s="273" customFormat="1" ht="40.5" customHeight="1" x14ac:dyDescent="0.25">
      <c r="B274" s="424">
        <v>44528</v>
      </c>
      <c r="C274" s="422">
        <v>0.97916666666666663</v>
      </c>
      <c r="D274" s="425">
        <v>52</v>
      </c>
      <c r="E274" s="426">
        <v>12.9</v>
      </c>
      <c r="F274" s="427">
        <v>16.5</v>
      </c>
      <c r="G274" s="428">
        <v>1224</v>
      </c>
      <c r="H274" s="428">
        <v>2214</v>
      </c>
      <c r="I274" s="428">
        <v>97.3</v>
      </c>
      <c r="J274" s="428">
        <v>99</v>
      </c>
      <c r="K274" s="436" t="s">
        <v>1653</v>
      </c>
      <c r="L274" s="426">
        <v>32.58</v>
      </c>
      <c r="M274" s="426">
        <v>40</v>
      </c>
      <c r="N274" s="426">
        <v>46.1</v>
      </c>
      <c r="O274" s="429"/>
      <c r="P274" s="429" t="s">
        <v>142</v>
      </c>
      <c r="Q274" s="429" t="s">
        <v>142</v>
      </c>
      <c r="R274" s="429" t="s">
        <v>1654</v>
      </c>
      <c r="S274" s="429">
        <v>67</v>
      </c>
      <c r="T274" s="430" t="s">
        <v>451</v>
      </c>
      <c r="U274" s="429" t="s">
        <v>236</v>
      </c>
      <c r="V274" s="583"/>
      <c r="CM274" s="271"/>
      <c r="CN274" s="271"/>
      <c r="CO274" s="271"/>
      <c r="CP274" s="271"/>
      <c r="CQ274" s="271"/>
      <c r="CR274" s="271"/>
      <c r="CS274" s="271"/>
      <c r="CT274" s="271"/>
      <c r="CU274" s="271"/>
      <c r="CV274" s="271"/>
      <c r="CW274" s="271"/>
      <c r="CX274" s="271"/>
      <c r="CY274" s="271"/>
    </row>
    <row r="275" spans="2:103" s="273" customFormat="1" ht="40.5" customHeight="1" x14ac:dyDescent="0.25">
      <c r="B275" s="424">
        <v>44529</v>
      </c>
      <c r="C275" s="422">
        <v>0.95833333333333337</v>
      </c>
      <c r="D275" s="425">
        <v>50</v>
      </c>
      <c r="E275" s="426">
        <v>8.1</v>
      </c>
      <c r="F275" s="427">
        <v>13.7</v>
      </c>
      <c r="G275" s="428">
        <v>1315</v>
      </c>
      <c r="H275" s="428">
        <v>1942</v>
      </c>
      <c r="I275" s="428">
        <v>96.5</v>
      </c>
      <c r="J275" s="428">
        <v>100</v>
      </c>
      <c r="K275" s="436" t="s">
        <v>1655</v>
      </c>
      <c r="L275" s="426">
        <v>32.97</v>
      </c>
      <c r="M275" s="426">
        <v>40</v>
      </c>
      <c r="N275" s="426">
        <v>43.4</v>
      </c>
      <c r="O275" s="429"/>
      <c r="P275" s="429" t="s">
        <v>142</v>
      </c>
      <c r="Q275" s="429" t="s">
        <v>142</v>
      </c>
      <c r="R275" s="429" t="s">
        <v>1656</v>
      </c>
      <c r="S275" s="429">
        <v>56.8</v>
      </c>
      <c r="T275" s="430" t="s">
        <v>451</v>
      </c>
      <c r="U275" s="429" t="s">
        <v>236</v>
      </c>
      <c r="V275" s="583" t="s">
        <v>1657</v>
      </c>
      <c r="CM275" s="271"/>
      <c r="CN275" s="271"/>
      <c r="CO275" s="271"/>
      <c r="CP275" s="271"/>
      <c r="CQ275" s="271"/>
      <c r="CR275" s="271"/>
      <c r="CS275" s="271"/>
      <c r="CT275" s="271"/>
      <c r="CU275" s="271"/>
      <c r="CV275" s="271"/>
      <c r="CW275" s="271"/>
      <c r="CX275" s="271"/>
      <c r="CY275" s="271"/>
    </row>
    <row r="276" spans="2:103" s="273" customFormat="1" ht="40.5" customHeight="1" x14ac:dyDescent="0.25">
      <c r="B276" s="424">
        <v>44530</v>
      </c>
      <c r="C276" s="422">
        <v>0.75</v>
      </c>
      <c r="D276" s="425">
        <v>51</v>
      </c>
      <c r="E276" s="426">
        <v>12</v>
      </c>
      <c r="F276" s="427">
        <v>15.3</v>
      </c>
      <c r="G276" s="428">
        <v>1320</v>
      </c>
      <c r="H276" s="428">
        <v>2115</v>
      </c>
      <c r="I276" s="428">
        <v>99</v>
      </c>
      <c r="J276" s="428">
        <v>107</v>
      </c>
      <c r="K276" s="436" t="s">
        <v>1664</v>
      </c>
      <c r="L276" s="426">
        <v>32.450000000000003</v>
      </c>
      <c r="M276" s="426">
        <v>40</v>
      </c>
      <c r="N276" s="426" t="s">
        <v>1665</v>
      </c>
      <c r="O276" s="429"/>
      <c r="P276" s="429" t="s">
        <v>142</v>
      </c>
      <c r="Q276" s="429" t="s">
        <v>142</v>
      </c>
      <c r="R276" s="429" t="s">
        <v>1666</v>
      </c>
      <c r="S276" s="429">
        <v>62.3</v>
      </c>
      <c r="T276" s="430" t="s">
        <v>451</v>
      </c>
      <c r="U276" s="429" t="s">
        <v>236</v>
      </c>
      <c r="V276" s="583"/>
      <c r="CM276" s="271"/>
      <c r="CN276" s="271"/>
      <c r="CO276" s="271"/>
      <c r="CP276" s="271"/>
      <c r="CQ276" s="271"/>
      <c r="CR276" s="271"/>
      <c r="CS276" s="271"/>
      <c r="CT276" s="271"/>
      <c r="CU276" s="271"/>
      <c r="CV276" s="271"/>
      <c r="CW276" s="271"/>
      <c r="CX276" s="271"/>
      <c r="CY276" s="271"/>
    </row>
    <row r="277" spans="2:103" s="273" customFormat="1" ht="40.5" customHeight="1" x14ac:dyDescent="0.25">
      <c r="B277" s="424">
        <v>44531</v>
      </c>
      <c r="C277" s="422">
        <v>0.25</v>
      </c>
      <c r="D277" s="425">
        <v>51</v>
      </c>
      <c r="E277" s="426">
        <v>12</v>
      </c>
      <c r="F277" s="427">
        <v>15.3</v>
      </c>
      <c r="G277" s="428">
        <v>1320</v>
      </c>
      <c r="H277" s="428">
        <v>2115</v>
      </c>
      <c r="I277" s="428">
        <v>99</v>
      </c>
      <c r="J277" s="428">
        <v>107</v>
      </c>
      <c r="K277" s="436" t="s">
        <v>1664</v>
      </c>
      <c r="L277" s="426">
        <v>31.62</v>
      </c>
      <c r="M277" s="426">
        <v>40</v>
      </c>
      <c r="N277" s="426">
        <v>48.24</v>
      </c>
      <c r="O277" s="429"/>
      <c r="P277" s="429" t="s">
        <v>142</v>
      </c>
      <c r="Q277" s="429" t="s">
        <v>142</v>
      </c>
      <c r="R277" s="429" t="s">
        <v>1666</v>
      </c>
      <c r="S277" s="429">
        <v>62.3</v>
      </c>
      <c r="T277" s="430" t="s">
        <v>451</v>
      </c>
      <c r="U277" s="429" t="s">
        <v>236</v>
      </c>
      <c r="V277" s="583"/>
      <c r="CM277" s="271"/>
      <c r="CN277" s="271"/>
      <c r="CO277" s="271"/>
      <c r="CP277" s="271"/>
      <c r="CQ277" s="271"/>
      <c r="CR277" s="271"/>
      <c r="CS277" s="271"/>
      <c r="CT277" s="271"/>
      <c r="CU277" s="271"/>
      <c r="CV277" s="271"/>
      <c r="CW277" s="271"/>
      <c r="CX277" s="271"/>
      <c r="CY277" s="271"/>
    </row>
    <row r="278" spans="2:103" s="273" customFormat="1" ht="40.5" customHeight="1" x14ac:dyDescent="0.25">
      <c r="B278" s="424">
        <v>44532</v>
      </c>
      <c r="C278" s="422">
        <v>0.25</v>
      </c>
      <c r="D278" s="425">
        <v>52</v>
      </c>
      <c r="E278" s="426">
        <v>13.8</v>
      </c>
      <c r="F278" s="427">
        <v>17.399999999999999</v>
      </c>
      <c r="G278" s="428">
        <v>1367</v>
      </c>
      <c r="H278" s="428">
        <v>2026</v>
      </c>
      <c r="I278" s="428">
        <v>97</v>
      </c>
      <c r="J278" s="428">
        <v>106</v>
      </c>
      <c r="K278" s="436" t="s">
        <v>1673</v>
      </c>
      <c r="L278" s="426">
        <v>31.43</v>
      </c>
      <c r="M278" s="426">
        <v>40</v>
      </c>
      <c r="N278" s="426">
        <v>47.64</v>
      </c>
      <c r="O278" s="429"/>
      <c r="P278" s="429" t="s">
        <v>142</v>
      </c>
      <c r="Q278" s="429" t="s">
        <v>142</v>
      </c>
      <c r="R278" s="429" t="s">
        <v>1666</v>
      </c>
      <c r="S278" s="429">
        <v>74.400000000000006</v>
      </c>
      <c r="T278" s="430" t="s">
        <v>451</v>
      </c>
      <c r="U278" s="429" t="s">
        <v>236</v>
      </c>
      <c r="V278" s="583"/>
      <c r="CM278" s="271"/>
      <c r="CN278" s="271"/>
      <c r="CO278" s="271"/>
      <c r="CP278" s="271"/>
      <c r="CQ278" s="271"/>
      <c r="CR278" s="271"/>
      <c r="CS278" s="271"/>
      <c r="CT278" s="271"/>
      <c r="CU278" s="271"/>
      <c r="CV278" s="271"/>
      <c r="CW278" s="271"/>
      <c r="CX278" s="271"/>
      <c r="CY278" s="271"/>
    </row>
    <row r="279" spans="2:103" s="273" customFormat="1" ht="40.5" customHeight="1" x14ac:dyDescent="0.25">
      <c r="B279" s="424">
        <v>44533</v>
      </c>
      <c r="C279" s="422">
        <v>0.75</v>
      </c>
      <c r="D279" s="425">
        <v>52</v>
      </c>
      <c r="E279" s="426">
        <v>13.8</v>
      </c>
      <c r="F279" s="427">
        <v>17.399999999999999</v>
      </c>
      <c r="G279" s="428">
        <v>1367</v>
      </c>
      <c r="H279" s="428">
        <v>2026</v>
      </c>
      <c r="I279" s="428">
        <v>97</v>
      </c>
      <c r="J279" s="428">
        <v>106</v>
      </c>
      <c r="K279" s="436" t="s">
        <v>1673</v>
      </c>
      <c r="L279" s="426">
        <v>33.42</v>
      </c>
      <c r="M279" s="426">
        <v>40</v>
      </c>
      <c r="N279" s="426">
        <v>48.35</v>
      </c>
      <c r="O279" s="429"/>
      <c r="P279" s="429" t="s">
        <v>142</v>
      </c>
      <c r="Q279" s="429" t="s">
        <v>142</v>
      </c>
      <c r="R279" s="429" t="s">
        <v>865</v>
      </c>
      <c r="S279" s="429">
        <v>74.400000000000006</v>
      </c>
      <c r="T279" s="430" t="s">
        <v>451</v>
      </c>
      <c r="U279" s="429" t="s">
        <v>236</v>
      </c>
      <c r="V279" s="583"/>
      <c r="CM279" s="271"/>
      <c r="CN279" s="271"/>
      <c r="CO279" s="271"/>
      <c r="CP279" s="271"/>
      <c r="CQ279" s="271"/>
      <c r="CR279" s="271"/>
      <c r="CS279" s="271"/>
      <c r="CT279" s="271"/>
      <c r="CU279" s="271"/>
      <c r="CV279" s="271"/>
      <c r="CW279" s="271"/>
      <c r="CX279" s="271"/>
      <c r="CY279" s="271"/>
    </row>
    <row r="280" spans="2:103" s="273" customFormat="1" ht="40.5" customHeight="1" x14ac:dyDescent="0.25">
      <c r="B280" s="424">
        <v>44534</v>
      </c>
      <c r="C280" s="422">
        <v>0.75</v>
      </c>
      <c r="D280" s="1481" t="s">
        <v>1692</v>
      </c>
      <c r="E280" s="1482"/>
      <c r="F280" s="1482"/>
      <c r="G280" s="1482"/>
      <c r="H280" s="1482"/>
      <c r="I280" s="1482"/>
      <c r="J280" s="1482"/>
      <c r="K280" s="1482"/>
      <c r="L280" s="1482"/>
      <c r="M280" s="1482"/>
      <c r="N280" s="1482"/>
      <c r="O280" s="1482"/>
      <c r="P280" s="1482"/>
      <c r="Q280" s="1482"/>
      <c r="R280" s="1482"/>
      <c r="S280" s="1483"/>
      <c r="T280" s="430" t="s">
        <v>451</v>
      </c>
      <c r="U280" s="429" t="s">
        <v>236</v>
      </c>
      <c r="V280" s="583"/>
      <c r="CM280" s="271"/>
      <c r="CN280" s="271"/>
      <c r="CO280" s="271"/>
      <c r="CP280" s="271"/>
      <c r="CQ280" s="271"/>
      <c r="CR280" s="271"/>
      <c r="CS280" s="271"/>
      <c r="CT280" s="271"/>
      <c r="CU280" s="271"/>
      <c r="CV280" s="271"/>
      <c r="CW280" s="271"/>
      <c r="CX280" s="271"/>
      <c r="CY280" s="271"/>
    </row>
    <row r="281" spans="2:103" s="273" customFormat="1" ht="75.75" customHeight="1" x14ac:dyDescent="0.25">
      <c r="B281" s="424">
        <v>44535</v>
      </c>
      <c r="C281" s="422">
        <v>0.89583333333333337</v>
      </c>
      <c r="D281" s="1516" t="s">
        <v>1693</v>
      </c>
      <c r="E281" s="1517"/>
      <c r="F281" s="1517"/>
      <c r="G281" s="1517"/>
      <c r="H281" s="1517"/>
      <c r="I281" s="1517"/>
      <c r="J281" s="1517"/>
      <c r="K281" s="1517"/>
      <c r="L281" s="1517"/>
      <c r="M281" s="1517"/>
      <c r="N281" s="1517"/>
      <c r="O281" s="1517"/>
      <c r="P281" s="1517"/>
      <c r="Q281" s="1517"/>
      <c r="R281" s="1517"/>
      <c r="S281" s="1518"/>
      <c r="T281" s="430" t="s">
        <v>451</v>
      </c>
      <c r="U281" s="429" t="s">
        <v>236</v>
      </c>
      <c r="V281" s="583"/>
      <c r="CM281" s="271"/>
      <c r="CN281" s="271"/>
      <c r="CO281" s="271"/>
      <c r="CP281" s="271"/>
      <c r="CQ281" s="271"/>
      <c r="CR281" s="271"/>
      <c r="CS281" s="271"/>
      <c r="CT281" s="271"/>
      <c r="CU281" s="271"/>
      <c r="CV281" s="271"/>
      <c r="CW281" s="271"/>
      <c r="CX281" s="271"/>
      <c r="CY281" s="271"/>
    </row>
    <row r="282" spans="2:103" s="273" customFormat="1" ht="40.5" customHeight="1" x14ac:dyDescent="0.25">
      <c r="B282" s="424">
        <v>44536</v>
      </c>
      <c r="C282" s="422">
        <v>0.97916666666666663</v>
      </c>
      <c r="D282" s="425">
        <v>47</v>
      </c>
      <c r="E282" s="426">
        <v>11.8</v>
      </c>
      <c r="F282" s="427">
        <v>14.1</v>
      </c>
      <c r="G282" s="428">
        <v>1425</v>
      </c>
      <c r="H282" s="428">
        <v>2003</v>
      </c>
      <c r="I282" s="428">
        <v>97.5</v>
      </c>
      <c r="J282" s="428">
        <v>98.6</v>
      </c>
      <c r="K282" s="436" t="s">
        <v>1695</v>
      </c>
      <c r="L282" s="426">
        <v>31.82</v>
      </c>
      <c r="M282" s="426">
        <v>40</v>
      </c>
      <c r="N282" s="426">
        <v>44.1</v>
      </c>
      <c r="O282" s="429"/>
      <c r="P282" s="429" t="s">
        <v>142</v>
      </c>
      <c r="Q282" s="429" t="s">
        <v>142</v>
      </c>
      <c r="R282" s="429" t="s">
        <v>1697</v>
      </c>
      <c r="S282" s="429">
        <v>61.2</v>
      </c>
      <c r="T282" s="430" t="s">
        <v>451</v>
      </c>
      <c r="U282" s="429" t="s">
        <v>236</v>
      </c>
      <c r="V282" s="583"/>
      <c r="CM282" s="271"/>
      <c r="CN282" s="271"/>
      <c r="CO282" s="271"/>
      <c r="CP282" s="271"/>
      <c r="CQ282" s="271"/>
      <c r="CR282" s="271"/>
      <c r="CS282" s="271"/>
      <c r="CT282" s="271"/>
      <c r="CU282" s="271"/>
      <c r="CV282" s="271"/>
      <c r="CW282" s="271"/>
      <c r="CX282" s="271"/>
      <c r="CY282" s="271"/>
    </row>
    <row r="283" spans="2:103" s="273" customFormat="1" ht="40.5" customHeight="1" x14ac:dyDescent="0.25">
      <c r="B283" s="424">
        <v>44537</v>
      </c>
      <c r="C283" s="422">
        <v>0.97916666666666663</v>
      </c>
      <c r="D283" s="425">
        <v>56</v>
      </c>
      <c r="E283" s="426">
        <v>8.3000000000000007</v>
      </c>
      <c r="F283" s="427">
        <v>13.6</v>
      </c>
      <c r="G283" s="428">
        <v>1459</v>
      </c>
      <c r="H283" s="428">
        <v>1985</v>
      </c>
      <c r="I283" s="428">
        <v>95.8</v>
      </c>
      <c r="J283" s="428">
        <v>99.6</v>
      </c>
      <c r="K283" s="436" t="s">
        <v>1704</v>
      </c>
      <c r="L283" s="426">
        <v>32.42</v>
      </c>
      <c r="M283" s="426">
        <v>38</v>
      </c>
      <c r="N283" s="426">
        <v>40.25</v>
      </c>
      <c r="O283" s="429"/>
      <c r="P283" s="429" t="s">
        <v>142</v>
      </c>
      <c r="Q283" s="429" t="s">
        <v>142</v>
      </c>
      <c r="R283" s="429" t="s">
        <v>1697</v>
      </c>
      <c r="S283" s="429">
        <v>58.1</v>
      </c>
      <c r="T283" s="430" t="s">
        <v>451</v>
      </c>
      <c r="U283" s="429" t="s">
        <v>236</v>
      </c>
      <c r="V283" s="583"/>
      <c r="CM283" s="271"/>
      <c r="CN283" s="271"/>
      <c r="CO283" s="271"/>
      <c r="CP283" s="271"/>
      <c r="CQ283" s="271"/>
      <c r="CR283" s="271"/>
      <c r="CS283" s="271"/>
      <c r="CT283" s="271"/>
      <c r="CU283" s="271"/>
      <c r="CV283" s="271"/>
      <c r="CW283" s="271"/>
      <c r="CX283" s="271"/>
      <c r="CY283" s="271"/>
    </row>
    <row r="284" spans="2:103" s="273" customFormat="1" ht="40.5" customHeight="1" x14ac:dyDescent="0.25">
      <c r="B284" s="424">
        <v>44538</v>
      </c>
      <c r="C284" s="422">
        <v>0.91666666666666663</v>
      </c>
      <c r="D284" s="1516" t="s">
        <v>1710</v>
      </c>
      <c r="E284" s="1517"/>
      <c r="F284" s="1517"/>
      <c r="G284" s="1517"/>
      <c r="H284" s="1517"/>
      <c r="I284" s="1517"/>
      <c r="J284" s="1517"/>
      <c r="K284" s="1517"/>
      <c r="L284" s="1517"/>
      <c r="M284" s="1517"/>
      <c r="N284" s="1517"/>
      <c r="O284" s="1517"/>
      <c r="P284" s="1517"/>
      <c r="Q284" s="1517"/>
      <c r="R284" s="1517"/>
      <c r="S284" s="1518"/>
      <c r="T284" s="430" t="s">
        <v>451</v>
      </c>
      <c r="U284" s="429" t="s">
        <v>236</v>
      </c>
      <c r="V284" s="583"/>
      <c r="CM284" s="271"/>
      <c r="CN284" s="271"/>
      <c r="CO284" s="271"/>
      <c r="CP284" s="271"/>
      <c r="CQ284" s="271"/>
      <c r="CR284" s="271"/>
      <c r="CS284" s="271"/>
      <c r="CT284" s="271"/>
      <c r="CU284" s="271"/>
      <c r="CV284" s="271"/>
      <c r="CW284" s="271"/>
      <c r="CX284" s="271"/>
      <c r="CY284" s="271"/>
    </row>
    <row r="285" spans="2:103" s="273" customFormat="1" ht="40.5" customHeight="1" x14ac:dyDescent="0.25">
      <c r="B285" s="424">
        <v>44539</v>
      </c>
      <c r="C285" s="422">
        <v>0.91666666666666663</v>
      </c>
      <c r="D285" s="1516" t="s">
        <v>1710</v>
      </c>
      <c r="E285" s="1517"/>
      <c r="F285" s="1517"/>
      <c r="G285" s="1517"/>
      <c r="H285" s="1517"/>
      <c r="I285" s="1517"/>
      <c r="J285" s="1517"/>
      <c r="K285" s="1517"/>
      <c r="L285" s="1517"/>
      <c r="M285" s="1517"/>
      <c r="N285" s="1517"/>
      <c r="O285" s="1517"/>
      <c r="P285" s="1517"/>
      <c r="Q285" s="1517"/>
      <c r="R285" s="1517"/>
      <c r="S285" s="1518"/>
      <c r="T285" s="430" t="s">
        <v>451</v>
      </c>
      <c r="U285" s="429" t="s">
        <v>236</v>
      </c>
      <c r="V285" s="583"/>
      <c r="CM285" s="271"/>
      <c r="CN285" s="271"/>
      <c r="CO285" s="271"/>
      <c r="CP285" s="271"/>
      <c r="CQ285" s="271"/>
      <c r="CR285" s="271"/>
      <c r="CS285" s="271"/>
      <c r="CT285" s="271"/>
      <c r="CU285" s="271"/>
      <c r="CV285" s="271"/>
      <c r="CW285" s="271"/>
      <c r="CX285" s="271"/>
      <c r="CY285" s="271"/>
    </row>
    <row r="286" spans="2:103" s="273" customFormat="1" ht="40.5" customHeight="1" x14ac:dyDescent="0.25">
      <c r="B286" s="424">
        <v>44540</v>
      </c>
      <c r="C286" s="422">
        <v>0.91666666666666663</v>
      </c>
      <c r="D286" s="1516" t="s">
        <v>1710</v>
      </c>
      <c r="E286" s="1517"/>
      <c r="F286" s="1517"/>
      <c r="G286" s="1517"/>
      <c r="H286" s="1517"/>
      <c r="I286" s="1517"/>
      <c r="J286" s="1517"/>
      <c r="K286" s="1517"/>
      <c r="L286" s="1517"/>
      <c r="M286" s="1517"/>
      <c r="N286" s="1517"/>
      <c r="O286" s="1517"/>
      <c r="P286" s="1517"/>
      <c r="Q286" s="1517"/>
      <c r="R286" s="1517"/>
      <c r="S286" s="1518"/>
      <c r="T286" s="430" t="s">
        <v>451</v>
      </c>
      <c r="U286" s="429" t="s">
        <v>236</v>
      </c>
      <c r="V286" s="583"/>
      <c r="CM286" s="271"/>
      <c r="CN286" s="271"/>
      <c r="CO286" s="271"/>
      <c r="CP286" s="271"/>
      <c r="CQ286" s="271"/>
      <c r="CR286" s="271"/>
      <c r="CS286" s="271"/>
      <c r="CT286" s="271"/>
      <c r="CU286" s="271"/>
      <c r="CV286" s="271"/>
      <c r="CW286" s="271"/>
      <c r="CX286" s="271"/>
      <c r="CY286" s="271"/>
    </row>
    <row r="287" spans="2:103" s="273" customFormat="1" ht="40.5" customHeight="1" x14ac:dyDescent="0.25">
      <c r="B287" s="424">
        <v>44541</v>
      </c>
      <c r="C287" s="422">
        <v>0.9375</v>
      </c>
      <c r="D287" s="1516" t="s">
        <v>1710</v>
      </c>
      <c r="E287" s="1517"/>
      <c r="F287" s="1517"/>
      <c r="G287" s="1517"/>
      <c r="H287" s="1517"/>
      <c r="I287" s="1517"/>
      <c r="J287" s="1517"/>
      <c r="K287" s="1517"/>
      <c r="L287" s="1517"/>
      <c r="M287" s="1517"/>
      <c r="N287" s="1517"/>
      <c r="O287" s="1517"/>
      <c r="P287" s="1517"/>
      <c r="Q287" s="1517"/>
      <c r="R287" s="1517"/>
      <c r="S287" s="1518"/>
      <c r="T287" s="430" t="s">
        <v>451</v>
      </c>
      <c r="U287" s="429" t="s">
        <v>236</v>
      </c>
      <c r="V287" s="583"/>
      <c r="CM287" s="271"/>
      <c r="CN287" s="271"/>
      <c r="CO287" s="271"/>
      <c r="CP287" s="271"/>
      <c r="CQ287" s="271"/>
      <c r="CR287" s="271"/>
      <c r="CS287" s="271"/>
      <c r="CT287" s="271"/>
      <c r="CU287" s="271"/>
      <c r="CV287" s="271"/>
      <c r="CW287" s="271"/>
      <c r="CX287" s="271"/>
      <c r="CY287" s="271"/>
    </row>
    <row r="288" spans="2:103" s="273" customFormat="1" ht="40.5" customHeight="1" x14ac:dyDescent="0.25">
      <c r="B288" s="424">
        <v>44542</v>
      </c>
      <c r="C288" s="422">
        <v>0.9375</v>
      </c>
      <c r="D288" s="1516" t="s">
        <v>1710</v>
      </c>
      <c r="E288" s="1517"/>
      <c r="F288" s="1517"/>
      <c r="G288" s="1517"/>
      <c r="H288" s="1517"/>
      <c r="I288" s="1517"/>
      <c r="J288" s="1517"/>
      <c r="K288" s="1517"/>
      <c r="L288" s="1517"/>
      <c r="M288" s="1517"/>
      <c r="N288" s="1517"/>
      <c r="O288" s="1517"/>
      <c r="P288" s="1517"/>
      <c r="Q288" s="1517"/>
      <c r="R288" s="1517"/>
      <c r="S288" s="1518"/>
      <c r="T288" s="430" t="s">
        <v>451</v>
      </c>
      <c r="U288" s="429" t="s">
        <v>236</v>
      </c>
      <c r="V288" s="583"/>
      <c r="CM288" s="271"/>
      <c r="CN288" s="271"/>
      <c r="CO288" s="271"/>
      <c r="CP288" s="271"/>
      <c r="CQ288" s="271"/>
      <c r="CR288" s="271"/>
      <c r="CS288" s="271"/>
      <c r="CT288" s="271"/>
      <c r="CU288" s="271"/>
      <c r="CV288" s="271"/>
      <c r="CW288" s="271"/>
      <c r="CX288" s="271"/>
      <c r="CY288" s="271"/>
    </row>
    <row r="289" spans="2:103" s="273" customFormat="1" ht="40.5" customHeight="1" x14ac:dyDescent="0.25">
      <c r="B289" s="424">
        <v>44543</v>
      </c>
      <c r="C289" s="422">
        <v>0.91666666666666663</v>
      </c>
      <c r="D289" s="1516" t="s">
        <v>1710</v>
      </c>
      <c r="E289" s="1517"/>
      <c r="F289" s="1517"/>
      <c r="G289" s="1517"/>
      <c r="H289" s="1517"/>
      <c r="I289" s="1517"/>
      <c r="J289" s="1517"/>
      <c r="K289" s="1517"/>
      <c r="L289" s="1517"/>
      <c r="M289" s="1517"/>
      <c r="N289" s="1517"/>
      <c r="O289" s="1517"/>
      <c r="P289" s="1517"/>
      <c r="Q289" s="1517"/>
      <c r="R289" s="1517"/>
      <c r="S289" s="1518"/>
      <c r="T289" s="430" t="s">
        <v>451</v>
      </c>
      <c r="U289" s="429" t="s">
        <v>236</v>
      </c>
      <c r="V289" s="583"/>
      <c r="CM289" s="271"/>
      <c r="CN289" s="271"/>
      <c r="CO289" s="271"/>
      <c r="CP289" s="271"/>
      <c r="CQ289" s="271"/>
      <c r="CR289" s="271"/>
      <c r="CS289" s="271"/>
      <c r="CT289" s="271"/>
      <c r="CU289" s="271"/>
      <c r="CV289" s="271"/>
      <c r="CW289" s="271"/>
      <c r="CX289" s="271"/>
      <c r="CY289" s="271"/>
    </row>
    <row r="290" spans="2:103" s="273" customFormat="1" ht="40.5" customHeight="1" x14ac:dyDescent="0.25">
      <c r="B290" s="424">
        <v>44544</v>
      </c>
      <c r="C290" s="422">
        <v>0.91666666666666663</v>
      </c>
      <c r="D290" s="1516" t="s">
        <v>1710</v>
      </c>
      <c r="E290" s="1517"/>
      <c r="F290" s="1517"/>
      <c r="G290" s="1517"/>
      <c r="H290" s="1517"/>
      <c r="I290" s="1517"/>
      <c r="J290" s="1517"/>
      <c r="K290" s="1517"/>
      <c r="L290" s="1517"/>
      <c r="M290" s="1517"/>
      <c r="N290" s="1517"/>
      <c r="O290" s="1517"/>
      <c r="P290" s="1517"/>
      <c r="Q290" s="1517"/>
      <c r="R290" s="1517"/>
      <c r="S290" s="1518"/>
      <c r="T290" s="430" t="s">
        <v>451</v>
      </c>
      <c r="U290" s="429" t="s">
        <v>236</v>
      </c>
      <c r="V290" s="583"/>
      <c r="CM290" s="271"/>
      <c r="CN290" s="271"/>
      <c r="CO290" s="271"/>
      <c r="CP290" s="271"/>
      <c r="CQ290" s="271"/>
      <c r="CR290" s="271"/>
      <c r="CS290" s="271"/>
      <c r="CT290" s="271"/>
      <c r="CU290" s="271"/>
      <c r="CV290" s="271"/>
      <c r="CW290" s="271"/>
      <c r="CX290" s="271"/>
      <c r="CY290" s="271"/>
    </row>
    <row r="291" spans="2:103" s="273" customFormat="1" ht="40.5" customHeight="1" x14ac:dyDescent="0.25">
      <c r="B291" s="424">
        <v>44545</v>
      </c>
      <c r="C291" s="422">
        <v>0.95833333333333337</v>
      </c>
      <c r="D291" s="1516" t="s">
        <v>1710</v>
      </c>
      <c r="E291" s="1517"/>
      <c r="F291" s="1517"/>
      <c r="G291" s="1517"/>
      <c r="H291" s="1517"/>
      <c r="I291" s="1517"/>
      <c r="J291" s="1517"/>
      <c r="K291" s="1517"/>
      <c r="L291" s="1517"/>
      <c r="M291" s="1517"/>
      <c r="N291" s="1517"/>
      <c r="O291" s="1517"/>
      <c r="P291" s="1517"/>
      <c r="Q291" s="1517"/>
      <c r="R291" s="1517"/>
      <c r="S291" s="1518"/>
      <c r="T291" s="430" t="s">
        <v>451</v>
      </c>
      <c r="U291" s="429" t="s">
        <v>236</v>
      </c>
      <c r="V291" s="583"/>
      <c r="CM291" s="271"/>
      <c r="CN291" s="271"/>
      <c r="CO291" s="271"/>
      <c r="CP291" s="271"/>
      <c r="CQ291" s="271"/>
      <c r="CR291" s="271"/>
      <c r="CS291" s="271"/>
      <c r="CT291" s="271"/>
      <c r="CU291" s="271"/>
      <c r="CV291" s="271"/>
      <c r="CW291" s="271"/>
      <c r="CX291" s="271"/>
      <c r="CY291" s="271"/>
    </row>
    <row r="292" spans="2:103" s="273" customFormat="1" ht="40.5" customHeight="1" x14ac:dyDescent="0.25">
      <c r="B292" s="424">
        <v>44546</v>
      </c>
      <c r="C292" s="422">
        <v>0.9375</v>
      </c>
      <c r="D292" s="1516" t="s">
        <v>1710</v>
      </c>
      <c r="E292" s="1517"/>
      <c r="F292" s="1517"/>
      <c r="G292" s="1517"/>
      <c r="H292" s="1517"/>
      <c r="I292" s="1517"/>
      <c r="J292" s="1517"/>
      <c r="K292" s="1517"/>
      <c r="L292" s="1517"/>
      <c r="M292" s="1517"/>
      <c r="N292" s="1517"/>
      <c r="O292" s="1517"/>
      <c r="P292" s="1517"/>
      <c r="Q292" s="1517"/>
      <c r="R292" s="1517"/>
      <c r="S292" s="1518"/>
      <c r="T292" s="430" t="s">
        <v>451</v>
      </c>
      <c r="U292" s="429" t="s">
        <v>236</v>
      </c>
      <c r="V292" s="583"/>
      <c r="CM292" s="271"/>
      <c r="CN292" s="271"/>
      <c r="CO292" s="271"/>
      <c r="CP292" s="271"/>
      <c r="CQ292" s="271"/>
      <c r="CR292" s="271"/>
      <c r="CS292" s="271"/>
      <c r="CT292" s="271"/>
      <c r="CU292" s="271"/>
      <c r="CV292" s="271"/>
      <c r="CW292" s="271"/>
      <c r="CX292" s="271"/>
      <c r="CY292" s="271"/>
    </row>
    <row r="293" spans="2:103" s="273" customFormat="1" ht="40.5" customHeight="1" x14ac:dyDescent="0.25">
      <c r="B293" s="424">
        <v>44547</v>
      </c>
      <c r="C293" s="422">
        <v>0.9375</v>
      </c>
      <c r="D293" s="425">
        <v>46</v>
      </c>
      <c r="E293" s="426">
        <v>10.6</v>
      </c>
      <c r="F293" s="427">
        <v>14.8</v>
      </c>
      <c r="G293" s="428">
        <v>1530</v>
      </c>
      <c r="H293" s="428">
        <v>2229</v>
      </c>
      <c r="I293" s="428">
        <v>95.6</v>
      </c>
      <c r="J293" s="428">
        <v>97.1</v>
      </c>
      <c r="K293" s="436" t="s">
        <v>1725</v>
      </c>
      <c r="L293" s="426">
        <v>33.56</v>
      </c>
      <c r="M293" s="426">
        <v>41</v>
      </c>
      <c r="N293" s="426">
        <v>46.75</v>
      </c>
      <c r="O293" s="429"/>
      <c r="P293" s="429" t="s">
        <v>142</v>
      </c>
      <c r="Q293" s="429" t="s">
        <v>142</v>
      </c>
      <c r="R293" s="429" t="s">
        <v>1726</v>
      </c>
      <c r="S293" s="429">
        <v>63.2</v>
      </c>
      <c r="T293" s="430" t="s">
        <v>451</v>
      </c>
      <c r="U293" s="429" t="s">
        <v>236</v>
      </c>
      <c r="V293" s="583"/>
      <c r="CM293" s="271"/>
      <c r="CN293" s="271"/>
      <c r="CO293" s="271"/>
      <c r="CP293" s="271"/>
      <c r="CQ293" s="271"/>
      <c r="CR293" s="271"/>
      <c r="CS293" s="271"/>
      <c r="CT293" s="271"/>
      <c r="CU293" s="271"/>
      <c r="CV293" s="271"/>
      <c r="CW293" s="271"/>
      <c r="CX293" s="271"/>
      <c r="CY293" s="271"/>
    </row>
    <row r="294" spans="2:103" s="273" customFormat="1" ht="40.5" customHeight="1" x14ac:dyDescent="0.25">
      <c r="B294" s="424">
        <v>44548</v>
      </c>
      <c r="C294" s="422">
        <v>0.9375</v>
      </c>
      <c r="D294" s="425">
        <v>46</v>
      </c>
      <c r="E294" s="426">
        <v>9.5</v>
      </c>
      <c r="F294" s="427">
        <v>14</v>
      </c>
      <c r="G294" s="428">
        <v>1340</v>
      </c>
      <c r="H294" s="428">
        <v>2025</v>
      </c>
      <c r="I294" s="428">
        <v>96.6</v>
      </c>
      <c r="J294" s="428">
        <v>98.3</v>
      </c>
      <c r="K294" s="436" t="s">
        <v>1735</v>
      </c>
      <c r="L294" s="426">
        <v>33.4</v>
      </c>
      <c r="M294" s="426">
        <v>41</v>
      </c>
      <c r="N294" s="426">
        <v>46.9</v>
      </c>
      <c r="O294" s="429"/>
      <c r="P294" s="429" t="s">
        <v>142</v>
      </c>
      <c r="Q294" s="429" t="s">
        <v>142</v>
      </c>
      <c r="R294" s="429" t="s">
        <v>1736</v>
      </c>
      <c r="S294" s="429">
        <v>59.8</v>
      </c>
      <c r="T294" s="430" t="s">
        <v>451</v>
      </c>
      <c r="U294" s="429" t="s">
        <v>236</v>
      </c>
      <c r="V294" s="583"/>
      <c r="CM294" s="271"/>
      <c r="CN294" s="271"/>
      <c r="CO294" s="271"/>
      <c r="CP294" s="271"/>
      <c r="CQ294" s="271"/>
      <c r="CR294" s="271"/>
      <c r="CS294" s="271"/>
      <c r="CT294" s="271"/>
      <c r="CU294" s="271"/>
      <c r="CV294" s="271"/>
      <c r="CW294" s="271"/>
      <c r="CX294" s="271"/>
      <c r="CY294" s="271"/>
    </row>
    <row r="295" spans="2:103" s="273" customFormat="1" ht="40.5" customHeight="1" x14ac:dyDescent="0.25">
      <c r="B295" s="424">
        <v>44549</v>
      </c>
      <c r="C295" s="422">
        <v>0.89583333333333337</v>
      </c>
      <c r="D295" s="425">
        <v>46</v>
      </c>
      <c r="E295" s="426">
        <v>9.6</v>
      </c>
      <c r="F295" s="427">
        <v>14.2</v>
      </c>
      <c r="G295" s="428">
        <v>1289</v>
      </c>
      <c r="H295" s="428">
        <v>2001</v>
      </c>
      <c r="I295" s="428">
        <v>98.3</v>
      </c>
      <c r="J295" s="428">
        <v>99</v>
      </c>
      <c r="K295" s="436" t="s">
        <v>1740</v>
      </c>
      <c r="L295" s="426">
        <v>34.119999999999997</v>
      </c>
      <c r="M295" s="426">
        <v>41</v>
      </c>
      <c r="N295" s="426">
        <v>47.2</v>
      </c>
      <c r="O295" s="429"/>
      <c r="P295" s="429" t="s">
        <v>142</v>
      </c>
      <c r="Q295" s="429" t="s">
        <v>142</v>
      </c>
      <c r="R295" s="429" t="s">
        <v>1261</v>
      </c>
      <c r="S295" s="429">
        <v>60.2</v>
      </c>
      <c r="T295" s="430" t="s">
        <v>451</v>
      </c>
      <c r="U295" s="429" t="s">
        <v>236</v>
      </c>
      <c r="V295" s="583"/>
      <c r="CM295" s="271"/>
      <c r="CN295" s="271"/>
      <c r="CO295" s="271"/>
      <c r="CP295" s="271"/>
      <c r="CQ295" s="271"/>
      <c r="CR295" s="271"/>
      <c r="CS295" s="271"/>
      <c r="CT295" s="271"/>
      <c r="CU295" s="271"/>
      <c r="CV295" s="271"/>
      <c r="CW295" s="271"/>
      <c r="CX295" s="271"/>
      <c r="CY295" s="271"/>
    </row>
    <row r="296" spans="2:103" s="273" customFormat="1" ht="40.5" customHeight="1" x14ac:dyDescent="0.25">
      <c r="B296" s="424">
        <v>44550</v>
      </c>
      <c r="C296" s="422">
        <v>0.9375</v>
      </c>
      <c r="D296" s="425">
        <v>46</v>
      </c>
      <c r="E296" s="426">
        <v>9.6</v>
      </c>
      <c r="F296" s="427">
        <v>14.2</v>
      </c>
      <c r="G296" s="428">
        <v>1289</v>
      </c>
      <c r="H296" s="428">
        <v>2016</v>
      </c>
      <c r="I296" s="428">
        <v>98.5</v>
      </c>
      <c r="J296" s="428">
        <v>99.1</v>
      </c>
      <c r="K296" s="436" t="s">
        <v>1745</v>
      </c>
      <c r="L296" s="426">
        <v>34.33</v>
      </c>
      <c r="M296" s="426">
        <v>40</v>
      </c>
      <c r="N296" s="426">
        <v>46.4</v>
      </c>
      <c r="O296" s="429"/>
      <c r="P296" s="429" t="s">
        <v>142</v>
      </c>
      <c r="Q296" s="429" t="s">
        <v>142</v>
      </c>
      <c r="R296" s="429" t="s">
        <v>1746</v>
      </c>
      <c r="S296" s="429">
        <v>61.1</v>
      </c>
      <c r="T296" s="430" t="s">
        <v>451</v>
      </c>
      <c r="U296" s="429" t="s">
        <v>236</v>
      </c>
      <c r="V296" s="583"/>
      <c r="CM296" s="271"/>
      <c r="CN296" s="271"/>
      <c r="CO296" s="271"/>
      <c r="CP296" s="271"/>
      <c r="CQ296" s="271"/>
      <c r="CR296" s="271"/>
      <c r="CS296" s="271"/>
      <c r="CT296" s="271"/>
      <c r="CU296" s="271"/>
      <c r="CV296" s="271"/>
      <c r="CW296" s="271"/>
      <c r="CX296" s="271"/>
      <c r="CY296" s="271"/>
    </row>
    <row r="297" spans="2:103" s="273" customFormat="1" ht="40.5" customHeight="1" x14ac:dyDescent="0.25">
      <c r="B297" s="424">
        <v>44551</v>
      </c>
      <c r="C297" s="422">
        <v>0.9375</v>
      </c>
      <c r="D297" s="425">
        <v>46</v>
      </c>
      <c r="E297" s="426">
        <v>9.5</v>
      </c>
      <c r="F297" s="427">
        <v>14</v>
      </c>
      <c r="G297" s="428">
        <v>1301</v>
      </c>
      <c r="H297" s="428">
        <v>2048</v>
      </c>
      <c r="I297" s="428">
        <v>98.6</v>
      </c>
      <c r="J297" s="428">
        <v>99.2</v>
      </c>
      <c r="K297" s="436" t="s">
        <v>1751</v>
      </c>
      <c r="L297" s="426">
        <v>35.700000000000003</v>
      </c>
      <c r="M297" s="426">
        <v>41</v>
      </c>
      <c r="N297" s="426">
        <v>45.41</v>
      </c>
      <c r="O297" s="429"/>
      <c r="P297" s="429" t="s">
        <v>142</v>
      </c>
      <c r="Q297" s="429" t="s">
        <v>142</v>
      </c>
      <c r="R297" s="429" t="s">
        <v>1752</v>
      </c>
      <c r="S297" s="429">
        <v>60.2</v>
      </c>
      <c r="T297" s="430" t="s">
        <v>451</v>
      </c>
      <c r="U297" s="429" t="s">
        <v>236</v>
      </c>
      <c r="V297" s="583"/>
      <c r="CM297" s="271"/>
      <c r="CN297" s="271"/>
      <c r="CO297" s="271"/>
      <c r="CP297" s="271"/>
      <c r="CQ297" s="271"/>
      <c r="CR297" s="271"/>
      <c r="CS297" s="271"/>
      <c r="CT297" s="271"/>
      <c r="CU297" s="271"/>
      <c r="CV297" s="271"/>
      <c r="CW297" s="271"/>
      <c r="CX297" s="271"/>
      <c r="CY297" s="271"/>
    </row>
    <row r="298" spans="2:103" s="273" customFormat="1" ht="40.5" customHeight="1" x14ac:dyDescent="0.25">
      <c r="B298" s="424">
        <v>44552</v>
      </c>
      <c r="C298" s="422">
        <v>0.91666666666666663</v>
      </c>
      <c r="D298" s="425">
        <v>47</v>
      </c>
      <c r="E298" s="426">
        <v>8.1</v>
      </c>
      <c r="F298" s="427">
        <v>13.3</v>
      </c>
      <c r="G298" s="428">
        <v>1351</v>
      </c>
      <c r="H298" s="428">
        <v>2050</v>
      </c>
      <c r="I298" s="428">
        <v>97.2</v>
      </c>
      <c r="J298" s="428">
        <v>98.2</v>
      </c>
      <c r="K298" s="436" t="s">
        <v>1760</v>
      </c>
      <c r="L298" s="426">
        <v>35.369999999999997</v>
      </c>
      <c r="M298" s="426">
        <v>40</v>
      </c>
      <c r="N298" s="426">
        <v>43.19</v>
      </c>
      <c r="O298" s="429"/>
      <c r="P298" s="429" t="s">
        <v>142</v>
      </c>
      <c r="Q298" s="429" t="s">
        <v>142</v>
      </c>
      <c r="R298" s="429" t="s">
        <v>1761</v>
      </c>
      <c r="S298" s="429">
        <v>56.8</v>
      </c>
      <c r="T298" s="430" t="s">
        <v>451</v>
      </c>
      <c r="U298" s="429" t="s">
        <v>236</v>
      </c>
      <c r="V298" s="583"/>
      <c r="CM298" s="271"/>
      <c r="CN298" s="271"/>
      <c r="CO298" s="271"/>
      <c r="CP298" s="271"/>
      <c r="CQ298" s="271"/>
      <c r="CR298" s="271"/>
      <c r="CS298" s="271"/>
      <c r="CT298" s="271"/>
      <c r="CU298" s="271"/>
      <c r="CV298" s="271"/>
      <c r="CW298" s="271"/>
      <c r="CX298" s="271"/>
      <c r="CY298" s="271"/>
    </row>
    <row r="299" spans="2:103" s="273" customFormat="1" ht="40.5" customHeight="1" x14ac:dyDescent="0.25">
      <c r="B299" s="424">
        <v>44553</v>
      </c>
      <c r="C299" s="422">
        <v>0.95833333333333337</v>
      </c>
      <c r="D299" s="425">
        <v>47</v>
      </c>
      <c r="E299" s="426">
        <v>7.3</v>
      </c>
      <c r="F299" s="427">
        <v>12.9</v>
      </c>
      <c r="G299" s="428">
        <v>1397</v>
      </c>
      <c r="H299" s="428">
        <v>2045</v>
      </c>
      <c r="I299" s="428">
        <v>96.6</v>
      </c>
      <c r="J299" s="428">
        <v>98.7</v>
      </c>
      <c r="K299" s="436" t="s">
        <v>1765</v>
      </c>
      <c r="L299" s="426">
        <v>34.06</v>
      </c>
      <c r="M299" s="426">
        <v>40</v>
      </c>
      <c r="N299" s="426">
        <v>42.28</v>
      </c>
      <c r="O299" s="429"/>
      <c r="P299" s="429" t="s">
        <v>142</v>
      </c>
      <c r="Q299" s="429" t="s">
        <v>142</v>
      </c>
      <c r="R299" s="429" t="s">
        <v>1766</v>
      </c>
      <c r="S299" s="429">
        <v>56.4</v>
      </c>
      <c r="T299" s="430" t="s">
        <v>451</v>
      </c>
      <c r="U299" s="429" t="s">
        <v>236</v>
      </c>
      <c r="V299" s="583"/>
      <c r="CM299" s="271"/>
      <c r="CN299" s="271"/>
      <c r="CO299" s="271"/>
      <c r="CP299" s="271"/>
      <c r="CQ299" s="271"/>
      <c r="CR299" s="271"/>
      <c r="CS299" s="271"/>
      <c r="CT299" s="271"/>
      <c r="CU299" s="271"/>
      <c r="CV299" s="271"/>
      <c r="CW299" s="271"/>
      <c r="CX299" s="271"/>
      <c r="CY299" s="271"/>
    </row>
    <row r="300" spans="2:103" s="273" customFormat="1" ht="40.5" customHeight="1" x14ac:dyDescent="0.25">
      <c r="B300" s="424">
        <v>44554</v>
      </c>
      <c r="C300" s="422">
        <v>0.9375</v>
      </c>
      <c r="D300" s="425">
        <v>47</v>
      </c>
      <c r="E300" s="426">
        <v>7.7</v>
      </c>
      <c r="F300" s="427">
        <v>13.2</v>
      </c>
      <c r="G300" s="428">
        <v>1412</v>
      </c>
      <c r="H300" s="428">
        <v>2048</v>
      </c>
      <c r="I300" s="428">
        <v>97.5</v>
      </c>
      <c r="J300" s="428">
        <v>99</v>
      </c>
      <c r="K300" s="436" t="s">
        <v>1770</v>
      </c>
      <c r="L300" s="426">
        <v>33.020000000000003</v>
      </c>
      <c r="M300" s="426">
        <v>40</v>
      </c>
      <c r="N300" s="426">
        <v>42.39</v>
      </c>
      <c r="O300" s="429"/>
      <c r="P300" s="429" t="s">
        <v>142</v>
      </c>
      <c r="Q300" s="429" t="s">
        <v>142</v>
      </c>
      <c r="R300" s="429" t="s">
        <v>1771</v>
      </c>
      <c r="S300" s="429">
        <v>55.5</v>
      </c>
      <c r="T300" s="430" t="s">
        <v>451</v>
      </c>
      <c r="U300" s="429" t="s">
        <v>236</v>
      </c>
      <c r="V300" s="583"/>
      <c r="CM300" s="271"/>
      <c r="CN300" s="271"/>
      <c r="CO300" s="271"/>
      <c r="CP300" s="271"/>
      <c r="CQ300" s="271"/>
      <c r="CR300" s="271"/>
      <c r="CS300" s="271"/>
      <c r="CT300" s="271"/>
      <c r="CU300" s="271"/>
      <c r="CV300" s="271"/>
      <c r="CW300" s="271"/>
      <c r="CX300" s="271"/>
      <c r="CY300" s="271"/>
    </row>
    <row r="301" spans="2:103" s="273" customFormat="1" ht="40.5" customHeight="1" x14ac:dyDescent="0.25">
      <c r="B301" s="424">
        <v>44555</v>
      </c>
      <c r="C301" s="422">
        <v>0.91666666666666663</v>
      </c>
      <c r="D301" s="425">
        <v>47</v>
      </c>
      <c r="E301" s="426">
        <v>7</v>
      </c>
      <c r="F301" s="427">
        <v>12.8</v>
      </c>
      <c r="G301" s="428">
        <v>1442</v>
      </c>
      <c r="H301" s="428">
        <v>2029</v>
      </c>
      <c r="I301" s="428">
        <v>96.2</v>
      </c>
      <c r="J301" s="428">
        <v>98.6</v>
      </c>
      <c r="K301" s="436" t="s">
        <v>1779</v>
      </c>
      <c r="L301" s="426">
        <v>31.18</v>
      </c>
      <c r="M301" s="426">
        <v>39</v>
      </c>
      <c r="N301" s="426">
        <v>41.28</v>
      </c>
      <c r="O301" s="429"/>
      <c r="P301" s="429" t="s">
        <v>142</v>
      </c>
      <c r="Q301" s="429" t="s">
        <v>142</v>
      </c>
      <c r="R301" s="429" t="s">
        <v>1780</v>
      </c>
      <c r="S301" s="429">
        <v>55.1</v>
      </c>
      <c r="T301" s="430" t="s">
        <v>451</v>
      </c>
      <c r="U301" s="429" t="s">
        <v>236</v>
      </c>
      <c r="V301" s="583"/>
      <c r="CM301" s="271"/>
      <c r="CN301" s="271"/>
      <c r="CO301" s="271"/>
      <c r="CP301" s="271"/>
      <c r="CQ301" s="271"/>
      <c r="CR301" s="271"/>
      <c r="CS301" s="271"/>
      <c r="CT301" s="271"/>
      <c r="CU301" s="271"/>
      <c r="CV301" s="271"/>
      <c r="CW301" s="271"/>
      <c r="CX301" s="271"/>
      <c r="CY301" s="271"/>
    </row>
    <row r="302" spans="2:103" s="273" customFormat="1" ht="40.5" customHeight="1" x14ac:dyDescent="0.25">
      <c r="B302" s="424">
        <v>44556</v>
      </c>
      <c r="C302" s="422">
        <v>0.9375</v>
      </c>
      <c r="D302" s="425">
        <v>47</v>
      </c>
      <c r="E302" s="426">
        <v>11.7</v>
      </c>
      <c r="F302" s="427">
        <v>15.5</v>
      </c>
      <c r="G302" s="428">
        <v>1547</v>
      </c>
      <c r="H302" s="428">
        <v>2112</v>
      </c>
      <c r="I302" s="428">
        <v>95.1</v>
      </c>
      <c r="J302" s="428">
        <v>98.3</v>
      </c>
      <c r="K302" s="436" t="s">
        <v>1785</v>
      </c>
      <c r="L302" s="426">
        <v>34.54</v>
      </c>
      <c r="M302" s="426">
        <v>41</v>
      </c>
      <c r="N302" s="426">
        <v>40.869999999999997</v>
      </c>
      <c r="O302" s="429"/>
      <c r="P302" s="429" t="s">
        <v>142</v>
      </c>
      <c r="Q302" s="429" t="s">
        <v>142</v>
      </c>
      <c r="R302" s="429" t="s">
        <v>865</v>
      </c>
      <c r="S302" s="429">
        <v>66.2</v>
      </c>
      <c r="T302" s="430" t="s">
        <v>451</v>
      </c>
      <c r="U302" s="429" t="s">
        <v>236</v>
      </c>
      <c r="V302" s="583"/>
      <c r="CM302" s="271"/>
      <c r="CN302" s="271"/>
      <c r="CO302" s="271"/>
      <c r="CP302" s="271"/>
      <c r="CQ302" s="271"/>
      <c r="CR302" s="271"/>
      <c r="CS302" s="271"/>
      <c r="CT302" s="271"/>
      <c r="CU302" s="271"/>
      <c r="CV302" s="271"/>
      <c r="CW302" s="271"/>
      <c r="CX302" s="271"/>
      <c r="CY302" s="271"/>
    </row>
    <row r="303" spans="2:103" s="273" customFormat="1" ht="40.5" customHeight="1" x14ac:dyDescent="0.25">
      <c r="B303" s="424">
        <v>44557</v>
      </c>
      <c r="C303" s="422">
        <v>0.85416666666666663</v>
      </c>
      <c r="D303" s="425">
        <v>47</v>
      </c>
      <c r="E303" s="426">
        <v>7.4</v>
      </c>
      <c r="F303" s="427">
        <v>13</v>
      </c>
      <c r="G303" s="428">
        <v>1478</v>
      </c>
      <c r="H303" s="428">
        <v>1962</v>
      </c>
      <c r="I303" s="428">
        <v>95.7</v>
      </c>
      <c r="J303" s="428">
        <v>98.6</v>
      </c>
      <c r="K303" s="436" t="s">
        <v>1788</v>
      </c>
      <c r="L303" s="426">
        <v>32.630000000000003</v>
      </c>
      <c r="M303" s="426">
        <v>40</v>
      </c>
      <c r="N303" s="426">
        <v>41.43</v>
      </c>
      <c r="O303" s="429"/>
      <c r="P303" s="429" t="s">
        <v>142</v>
      </c>
      <c r="Q303" s="429" t="s">
        <v>142</v>
      </c>
      <c r="R303" s="429" t="s">
        <v>1789</v>
      </c>
      <c r="S303" s="429">
        <v>55.5</v>
      </c>
      <c r="T303" s="430" t="s">
        <v>451</v>
      </c>
      <c r="U303" s="429" t="s">
        <v>236</v>
      </c>
      <c r="V303" s="583"/>
      <c r="CM303" s="271"/>
      <c r="CN303" s="271"/>
      <c r="CO303" s="271"/>
      <c r="CP303" s="271"/>
      <c r="CQ303" s="271"/>
      <c r="CR303" s="271"/>
      <c r="CS303" s="271"/>
      <c r="CT303" s="271"/>
      <c r="CU303" s="271"/>
      <c r="CV303" s="271"/>
      <c r="CW303" s="271"/>
      <c r="CX303" s="271"/>
      <c r="CY303" s="271"/>
    </row>
    <row r="304" spans="2:103" s="273" customFormat="1" ht="40.5" customHeight="1" x14ac:dyDescent="0.25">
      <c r="B304" s="424">
        <v>44558</v>
      </c>
      <c r="C304" s="422">
        <v>0.9375</v>
      </c>
      <c r="D304" s="425">
        <v>47</v>
      </c>
      <c r="E304" s="426">
        <v>7.3</v>
      </c>
      <c r="F304" s="427">
        <v>13.1</v>
      </c>
      <c r="G304" s="428">
        <v>1488</v>
      </c>
      <c r="H304" s="428">
        <v>1942</v>
      </c>
      <c r="I304" s="428">
        <v>95.7</v>
      </c>
      <c r="J304" s="428">
        <v>98.1</v>
      </c>
      <c r="K304" s="436" t="s">
        <v>1791</v>
      </c>
      <c r="L304" s="426">
        <v>33.25</v>
      </c>
      <c r="M304" s="426">
        <v>40</v>
      </c>
      <c r="N304" s="426">
        <v>45.98</v>
      </c>
      <c r="O304" s="429"/>
      <c r="P304" s="429" t="s">
        <v>142</v>
      </c>
      <c r="Q304" s="429" t="s">
        <v>142</v>
      </c>
      <c r="R304" s="429" t="s">
        <v>1792</v>
      </c>
      <c r="S304" s="429">
        <v>55.9</v>
      </c>
      <c r="T304" s="430" t="s">
        <v>451</v>
      </c>
      <c r="U304" s="429" t="s">
        <v>236</v>
      </c>
      <c r="V304" s="583"/>
      <c r="CM304" s="271"/>
      <c r="CN304" s="271"/>
      <c r="CO304" s="271"/>
      <c r="CP304" s="271"/>
      <c r="CQ304" s="271"/>
      <c r="CR304" s="271"/>
      <c r="CS304" s="271"/>
      <c r="CT304" s="271"/>
      <c r="CU304" s="271"/>
      <c r="CV304" s="271"/>
      <c r="CW304" s="271"/>
      <c r="CX304" s="271"/>
      <c r="CY304" s="271"/>
    </row>
    <row r="305" spans="2:103" s="273" customFormat="1" ht="40.5" customHeight="1" x14ac:dyDescent="0.25">
      <c r="B305" s="424">
        <v>44559</v>
      </c>
      <c r="C305" s="422">
        <v>0.97916666666666663</v>
      </c>
      <c r="D305" s="1481" t="s">
        <v>1803</v>
      </c>
      <c r="E305" s="1482"/>
      <c r="F305" s="1482"/>
      <c r="G305" s="1482"/>
      <c r="H305" s="1482"/>
      <c r="I305" s="1482"/>
      <c r="J305" s="1482"/>
      <c r="K305" s="1482"/>
      <c r="L305" s="1482"/>
      <c r="M305" s="1482"/>
      <c r="N305" s="1482"/>
      <c r="O305" s="1482"/>
      <c r="P305" s="1482"/>
      <c r="Q305" s="1482"/>
      <c r="R305" s="1482"/>
      <c r="S305" s="1483"/>
      <c r="T305" s="430" t="s">
        <v>352</v>
      </c>
      <c r="U305" s="429" t="s">
        <v>236</v>
      </c>
      <c r="V305" s="583"/>
      <c r="CM305" s="271"/>
      <c r="CN305" s="271"/>
      <c r="CO305" s="271"/>
      <c r="CP305" s="271"/>
      <c r="CQ305" s="271"/>
      <c r="CR305" s="271"/>
      <c r="CS305" s="271"/>
      <c r="CT305" s="271"/>
      <c r="CU305" s="271"/>
      <c r="CV305" s="271"/>
      <c r="CW305" s="271"/>
      <c r="CX305" s="271"/>
      <c r="CY305" s="271"/>
    </row>
    <row r="306" spans="2:103" s="273" customFormat="1" ht="40.5" customHeight="1" x14ac:dyDescent="0.25">
      <c r="B306" s="424">
        <v>44560</v>
      </c>
      <c r="C306" s="422">
        <v>0.95833333333333337</v>
      </c>
      <c r="D306" s="425">
        <v>50</v>
      </c>
      <c r="E306" s="426">
        <v>11.6</v>
      </c>
      <c r="F306" s="427">
        <v>15.5</v>
      </c>
      <c r="G306" s="428">
        <v>1184</v>
      </c>
      <c r="H306" s="428">
        <v>1920</v>
      </c>
      <c r="I306" s="428">
        <v>99</v>
      </c>
      <c r="J306" s="428">
        <v>99.5</v>
      </c>
      <c r="K306" s="436" t="s">
        <v>1806</v>
      </c>
      <c r="L306" s="426">
        <v>32.01</v>
      </c>
      <c r="M306" s="426">
        <v>37</v>
      </c>
      <c r="N306" s="426">
        <v>53.02</v>
      </c>
      <c r="O306" s="429"/>
      <c r="P306" s="429" t="s">
        <v>142</v>
      </c>
      <c r="Q306" s="429" t="s">
        <v>142</v>
      </c>
      <c r="R306" s="429" t="s">
        <v>1256</v>
      </c>
      <c r="S306" s="429">
        <v>67</v>
      </c>
      <c r="T306" s="430" t="s">
        <v>352</v>
      </c>
      <c r="U306" s="429" t="s">
        <v>236</v>
      </c>
      <c r="V306" s="583"/>
      <c r="CM306" s="271"/>
      <c r="CN306" s="271"/>
      <c r="CO306" s="271"/>
      <c r="CP306" s="271"/>
      <c r="CQ306" s="271"/>
      <c r="CR306" s="271"/>
      <c r="CS306" s="271"/>
      <c r="CT306" s="271"/>
      <c r="CU306" s="271"/>
      <c r="CV306" s="271"/>
      <c r="CW306" s="271"/>
      <c r="CX306" s="271"/>
      <c r="CY306" s="271"/>
    </row>
    <row r="307" spans="2:103" s="273" customFormat="1" ht="40.5" customHeight="1" x14ac:dyDescent="0.25">
      <c r="B307" s="424">
        <v>44561</v>
      </c>
      <c r="C307" s="422">
        <v>0.85416666666666663</v>
      </c>
      <c r="D307" s="425">
        <v>50</v>
      </c>
      <c r="E307" s="426">
        <v>11.5</v>
      </c>
      <c r="F307" s="427">
        <v>15.5</v>
      </c>
      <c r="G307" s="428">
        <v>1132</v>
      </c>
      <c r="H307" s="428">
        <v>1925</v>
      </c>
      <c r="I307" s="428">
        <v>98.8</v>
      </c>
      <c r="J307" s="428">
        <v>99.6</v>
      </c>
      <c r="K307" s="436" t="s">
        <v>1815</v>
      </c>
      <c r="L307" s="426">
        <v>33.46</v>
      </c>
      <c r="M307" s="426">
        <v>36.5</v>
      </c>
      <c r="N307" s="426">
        <v>51.41</v>
      </c>
      <c r="O307" s="429"/>
      <c r="P307" s="429" t="s">
        <v>142</v>
      </c>
      <c r="Q307" s="429" t="s">
        <v>142</v>
      </c>
      <c r="R307" s="429" t="s">
        <v>1816</v>
      </c>
      <c r="S307" s="429">
        <v>66.2</v>
      </c>
      <c r="T307" s="430" t="s">
        <v>352</v>
      </c>
      <c r="U307" s="429" t="s">
        <v>236</v>
      </c>
      <c r="V307" s="583"/>
      <c r="CM307" s="271"/>
      <c r="CN307" s="271"/>
      <c r="CO307" s="271"/>
      <c r="CP307" s="271"/>
      <c r="CQ307" s="271"/>
      <c r="CR307" s="271"/>
      <c r="CS307" s="271"/>
      <c r="CT307" s="271"/>
      <c r="CU307" s="271"/>
      <c r="CV307" s="271"/>
      <c r="CW307" s="271"/>
      <c r="CX307" s="271"/>
      <c r="CY307" s="271"/>
    </row>
    <row r="308" spans="2:103" s="273" customFormat="1" ht="36.75" customHeight="1" x14ac:dyDescent="0.25">
      <c r="B308" s="424">
        <v>44562</v>
      </c>
      <c r="C308" s="422">
        <v>0.95833333333333337</v>
      </c>
      <c r="D308" s="425">
        <v>50</v>
      </c>
      <c r="E308" s="426">
        <v>11.1</v>
      </c>
      <c r="F308" s="427">
        <v>15.2</v>
      </c>
      <c r="G308" s="428">
        <v>1130</v>
      </c>
      <c r="H308" s="428">
        <v>1926</v>
      </c>
      <c r="I308" s="428">
        <v>99</v>
      </c>
      <c r="J308" s="428">
        <v>99.7</v>
      </c>
      <c r="K308" s="436" t="s">
        <v>1819</v>
      </c>
      <c r="L308" s="426">
        <v>32.56</v>
      </c>
      <c r="M308" s="426">
        <v>36</v>
      </c>
      <c r="N308" s="426">
        <v>51.18</v>
      </c>
      <c r="O308" s="429"/>
      <c r="P308" s="429" t="s">
        <v>142</v>
      </c>
      <c r="Q308" s="429" t="s">
        <v>142</v>
      </c>
      <c r="R308" s="429" t="s">
        <v>1820</v>
      </c>
      <c r="S308" s="429">
        <v>64.900000000000006</v>
      </c>
      <c r="T308" s="430" t="s">
        <v>352</v>
      </c>
      <c r="U308" s="429" t="s">
        <v>236</v>
      </c>
      <c r="V308" s="583"/>
      <c r="CM308" s="271"/>
      <c r="CN308" s="271"/>
      <c r="CO308" s="271"/>
      <c r="CP308" s="271"/>
      <c r="CQ308" s="271"/>
      <c r="CR308" s="271"/>
      <c r="CS308" s="271"/>
      <c r="CT308" s="271"/>
      <c r="CU308" s="271"/>
      <c r="CV308" s="271"/>
      <c r="CW308" s="271"/>
      <c r="CX308" s="271"/>
      <c r="CY308" s="271"/>
    </row>
    <row r="309" spans="2:103" s="273" customFormat="1" ht="40.5" customHeight="1" x14ac:dyDescent="0.25">
      <c r="B309" s="424">
        <v>44563</v>
      </c>
      <c r="C309" s="422">
        <v>0.75</v>
      </c>
      <c r="D309" s="425">
        <v>50</v>
      </c>
      <c r="E309" s="426">
        <v>10.8</v>
      </c>
      <c r="F309" s="427">
        <v>14.8</v>
      </c>
      <c r="G309" s="428">
        <v>1189</v>
      </c>
      <c r="H309" s="428">
        <v>1921</v>
      </c>
      <c r="I309" s="428">
        <v>99.3</v>
      </c>
      <c r="J309" s="428">
        <v>100</v>
      </c>
      <c r="K309" s="436" t="s">
        <v>1827</v>
      </c>
      <c r="L309" s="426">
        <v>30.91</v>
      </c>
      <c r="M309" s="426">
        <v>35</v>
      </c>
      <c r="N309" s="426">
        <v>50.89</v>
      </c>
      <c r="O309" s="429"/>
      <c r="P309" s="429" t="s">
        <v>142</v>
      </c>
      <c r="Q309" s="429" t="s">
        <v>142</v>
      </c>
      <c r="R309" s="429" t="s">
        <v>1828</v>
      </c>
      <c r="S309" s="429">
        <v>64.3</v>
      </c>
      <c r="T309" s="430" t="s">
        <v>352</v>
      </c>
      <c r="U309" s="429" t="s">
        <v>236</v>
      </c>
      <c r="V309" s="583"/>
      <c r="CM309" s="271"/>
      <c r="CN309" s="271"/>
      <c r="CO309" s="271"/>
      <c r="CP309" s="271"/>
      <c r="CQ309" s="271"/>
      <c r="CR309" s="271"/>
      <c r="CS309" s="271"/>
      <c r="CT309" s="271"/>
      <c r="CU309" s="271"/>
      <c r="CV309" s="271"/>
      <c r="CW309" s="271"/>
      <c r="CX309" s="271"/>
      <c r="CY309" s="271"/>
    </row>
    <row r="310" spans="2:103" s="273" customFormat="1" ht="40.5" customHeight="1" x14ac:dyDescent="0.25">
      <c r="B310" s="424">
        <v>44564</v>
      </c>
      <c r="C310" s="422">
        <v>0.97916666666666663</v>
      </c>
      <c r="D310" s="425">
        <v>50</v>
      </c>
      <c r="E310" s="426">
        <v>11</v>
      </c>
      <c r="F310" s="427">
        <v>15.2</v>
      </c>
      <c r="G310" s="428">
        <v>1129</v>
      </c>
      <c r="H310" s="428">
        <v>1990</v>
      </c>
      <c r="I310" s="428">
        <v>99</v>
      </c>
      <c r="J310" s="428">
        <v>99.7</v>
      </c>
      <c r="K310" s="436" t="s">
        <v>1831</v>
      </c>
      <c r="L310" s="426">
        <v>33.770000000000003</v>
      </c>
      <c r="M310" s="426">
        <v>36.5</v>
      </c>
      <c r="N310" s="426">
        <v>49.31</v>
      </c>
      <c r="O310" s="429"/>
      <c r="P310" s="429" t="s">
        <v>142</v>
      </c>
      <c r="Q310" s="429" t="s">
        <v>142</v>
      </c>
      <c r="R310" s="429" t="s">
        <v>1832</v>
      </c>
      <c r="S310" s="429">
        <v>64.900000000000006</v>
      </c>
      <c r="T310" s="430" t="s">
        <v>352</v>
      </c>
      <c r="U310" s="429" t="s">
        <v>236</v>
      </c>
      <c r="V310" s="583"/>
      <c r="CM310" s="271"/>
      <c r="CN310" s="271"/>
      <c r="CO310" s="271"/>
      <c r="CP310" s="271"/>
      <c r="CQ310" s="271"/>
      <c r="CR310" s="271"/>
      <c r="CS310" s="271"/>
      <c r="CT310" s="271"/>
      <c r="CU310" s="271"/>
      <c r="CV310" s="271"/>
      <c r="CW310" s="271"/>
      <c r="CX310" s="271"/>
      <c r="CY310" s="271"/>
    </row>
    <row r="311" spans="2:103" s="273" customFormat="1" ht="40.5" customHeight="1" x14ac:dyDescent="0.25">
      <c r="B311" s="424">
        <v>44565</v>
      </c>
      <c r="C311" s="422">
        <v>0.75</v>
      </c>
      <c r="D311" s="425">
        <v>50</v>
      </c>
      <c r="E311" s="426">
        <v>10.5</v>
      </c>
      <c r="F311" s="427">
        <v>15.1</v>
      </c>
      <c r="G311" s="428">
        <v>1131.4000000000001</v>
      </c>
      <c r="H311" s="428">
        <v>1944</v>
      </c>
      <c r="I311" s="428">
        <v>95</v>
      </c>
      <c r="J311" s="428">
        <v>100</v>
      </c>
      <c r="K311" s="436" t="s">
        <v>1844</v>
      </c>
      <c r="L311" s="426">
        <v>33.770000000000003</v>
      </c>
      <c r="M311" s="426">
        <v>36.5</v>
      </c>
      <c r="N311" s="426">
        <v>51.1</v>
      </c>
      <c r="O311" s="429"/>
      <c r="P311" s="429" t="s">
        <v>142</v>
      </c>
      <c r="Q311" s="429" t="s">
        <v>142</v>
      </c>
      <c r="R311" s="429" t="s">
        <v>1832</v>
      </c>
      <c r="S311" s="429">
        <v>65</v>
      </c>
      <c r="T311" s="430" t="s">
        <v>352</v>
      </c>
      <c r="U311" s="429" t="s">
        <v>236</v>
      </c>
      <c r="V311" s="583"/>
      <c r="CM311" s="271"/>
      <c r="CN311" s="271"/>
      <c r="CO311" s="271"/>
      <c r="CP311" s="271"/>
      <c r="CQ311" s="271"/>
      <c r="CR311" s="271"/>
      <c r="CS311" s="271"/>
      <c r="CT311" s="271"/>
      <c r="CU311" s="271"/>
      <c r="CV311" s="271"/>
      <c r="CW311" s="271"/>
      <c r="CX311" s="271"/>
      <c r="CY311" s="271"/>
    </row>
    <row r="312" spans="2:103" s="273" customFormat="1" ht="40.5" customHeight="1" x14ac:dyDescent="0.25">
      <c r="B312" s="424">
        <v>44566</v>
      </c>
      <c r="C312" s="422">
        <v>0.75</v>
      </c>
      <c r="D312" s="425">
        <v>50</v>
      </c>
      <c r="E312" s="426">
        <v>10.5</v>
      </c>
      <c r="F312" s="427">
        <v>15.1</v>
      </c>
      <c r="G312" s="428">
        <v>1134.4000000000001</v>
      </c>
      <c r="H312" s="428">
        <v>1944</v>
      </c>
      <c r="I312" s="428">
        <v>95</v>
      </c>
      <c r="J312" s="428">
        <v>100</v>
      </c>
      <c r="K312" s="436" t="s">
        <v>1844</v>
      </c>
      <c r="L312" s="426">
        <v>34.76</v>
      </c>
      <c r="M312" s="426">
        <v>37</v>
      </c>
      <c r="N312" s="426">
        <v>50.53</v>
      </c>
      <c r="O312" s="429"/>
      <c r="P312" s="429" t="s">
        <v>142</v>
      </c>
      <c r="Q312" s="429" t="s">
        <v>142</v>
      </c>
      <c r="R312" s="429" t="s">
        <v>1832</v>
      </c>
      <c r="S312" s="429">
        <v>64.5</v>
      </c>
      <c r="T312" s="430" t="s">
        <v>352</v>
      </c>
      <c r="U312" s="429" t="s">
        <v>236</v>
      </c>
      <c r="V312" s="583"/>
      <c r="CM312" s="271"/>
      <c r="CN312" s="271"/>
      <c r="CO312" s="271"/>
      <c r="CP312" s="271"/>
      <c r="CQ312" s="271"/>
      <c r="CR312" s="271"/>
      <c r="CS312" s="271"/>
      <c r="CT312" s="271"/>
      <c r="CU312" s="271"/>
      <c r="CV312" s="271"/>
      <c r="CW312" s="271"/>
      <c r="CX312" s="271"/>
      <c r="CY312" s="271"/>
    </row>
    <row r="313" spans="2:103" s="273" customFormat="1" ht="40.5" customHeight="1" x14ac:dyDescent="0.25">
      <c r="B313" s="424">
        <v>44567</v>
      </c>
      <c r="C313" s="422">
        <v>0.75</v>
      </c>
      <c r="D313" s="425">
        <v>50</v>
      </c>
      <c r="E313" s="426">
        <v>11.1</v>
      </c>
      <c r="F313" s="427">
        <v>15.1</v>
      </c>
      <c r="G313" s="428">
        <v>1234</v>
      </c>
      <c r="H313" s="428">
        <v>1981</v>
      </c>
      <c r="I313" s="428">
        <v>95</v>
      </c>
      <c r="J313" s="428">
        <v>100</v>
      </c>
      <c r="K313" s="436" t="s">
        <v>1846</v>
      </c>
      <c r="L313" s="426">
        <v>31.4</v>
      </c>
      <c r="M313" s="426">
        <v>36.5</v>
      </c>
      <c r="N313" s="426">
        <v>52.44</v>
      </c>
      <c r="O313" s="429"/>
      <c r="P313" s="429" t="s">
        <v>142</v>
      </c>
      <c r="Q313" s="429" t="s">
        <v>142</v>
      </c>
      <c r="R313" s="429" t="s">
        <v>1832</v>
      </c>
      <c r="S313" s="429">
        <v>64.5</v>
      </c>
      <c r="T313" s="430" t="s">
        <v>352</v>
      </c>
      <c r="U313" s="429" t="s">
        <v>236</v>
      </c>
      <c r="V313" s="583"/>
      <c r="CM313" s="271"/>
      <c r="CN313" s="271"/>
      <c r="CO313" s="271"/>
      <c r="CP313" s="271"/>
      <c r="CQ313" s="271"/>
      <c r="CR313" s="271"/>
      <c r="CS313" s="271"/>
      <c r="CT313" s="271"/>
      <c r="CU313" s="271"/>
      <c r="CV313" s="271"/>
      <c r="CW313" s="271"/>
      <c r="CX313" s="271"/>
      <c r="CY313" s="271"/>
    </row>
    <row r="314" spans="2:103" s="273" customFormat="1" ht="40.5" customHeight="1" x14ac:dyDescent="0.25">
      <c r="B314" s="424">
        <v>44568</v>
      </c>
      <c r="C314" s="422">
        <v>0.75</v>
      </c>
      <c r="D314" s="425">
        <v>50</v>
      </c>
      <c r="E314" s="426">
        <v>10.7</v>
      </c>
      <c r="F314" s="427">
        <v>14.9</v>
      </c>
      <c r="G314" s="428">
        <v>1159</v>
      </c>
      <c r="H314" s="428">
        <v>2027</v>
      </c>
      <c r="I314" s="428">
        <v>99.1</v>
      </c>
      <c r="J314" s="428">
        <v>99.8</v>
      </c>
      <c r="K314" s="436" t="s">
        <v>1850</v>
      </c>
      <c r="L314" s="426">
        <v>36.32</v>
      </c>
      <c r="M314" s="426">
        <v>39</v>
      </c>
      <c r="N314" s="426">
        <v>49.27</v>
      </c>
      <c r="O314" s="429"/>
      <c r="P314" s="429" t="s">
        <v>142</v>
      </c>
      <c r="Q314" s="429" t="s">
        <v>142</v>
      </c>
      <c r="R314" s="429" t="s">
        <v>1851</v>
      </c>
      <c r="S314" s="429">
        <v>64.099999999999994</v>
      </c>
      <c r="T314" s="430" t="s">
        <v>352</v>
      </c>
      <c r="U314" s="429" t="s">
        <v>236</v>
      </c>
      <c r="V314" s="583"/>
      <c r="CM314" s="271"/>
      <c r="CN314" s="271"/>
      <c r="CO314" s="271"/>
      <c r="CP314" s="271"/>
      <c r="CQ314" s="271"/>
      <c r="CR314" s="271"/>
      <c r="CS314" s="271"/>
      <c r="CT314" s="271"/>
      <c r="CU314" s="271"/>
      <c r="CV314" s="271"/>
      <c r="CW314" s="271"/>
      <c r="CX314" s="271"/>
      <c r="CY314" s="271"/>
    </row>
    <row r="315" spans="2:103" s="273" customFormat="1" ht="40.5" customHeight="1" x14ac:dyDescent="0.25">
      <c r="B315" s="424">
        <v>44569</v>
      </c>
      <c r="C315" s="422">
        <v>0.95833333333333337</v>
      </c>
      <c r="D315" s="425">
        <v>50</v>
      </c>
      <c r="E315" s="426">
        <v>7.9</v>
      </c>
      <c r="F315" s="427">
        <v>13.3</v>
      </c>
      <c r="G315" s="428">
        <v>1245</v>
      </c>
      <c r="H315" s="428">
        <v>1984</v>
      </c>
      <c r="I315" s="428">
        <v>96.7</v>
      </c>
      <c r="J315" s="428">
        <v>100</v>
      </c>
      <c r="K315" s="436" t="s">
        <v>1860</v>
      </c>
      <c r="L315" s="426">
        <v>35.619999999999997</v>
      </c>
      <c r="M315" s="426">
        <v>39</v>
      </c>
      <c r="N315" s="426">
        <v>45.26</v>
      </c>
      <c r="O315" s="429"/>
      <c r="P315" s="429" t="s">
        <v>142</v>
      </c>
      <c r="Q315" s="429" t="s">
        <v>142</v>
      </c>
      <c r="R315" s="429" t="s">
        <v>1861</v>
      </c>
      <c r="S315" s="429">
        <v>56.8</v>
      </c>
      <c r="T315" s="430" t="s">
        <v>352</v>
      </c>
      <c r="U315" s="429" t="s">
        <v>236</v>
      </c>
      <c r="V315" s="583"/>
      <c r="CM315" s="271"/>
      <c r="CN315" s="271"/>
      <c r="CO315" s="271"/>
      <c r="CP315" s="271"/>
      <c r="CQ315" s="271"/>
      <c r="CR315" s="271"/>
      <c r="CS315" s="271"/>
      <c r="CT315" s="271"/>
      <c r="CU315" s="271"/>
      <c r="CV315" s="271"/>
      <c r="CW315" s="271"/>
      <c r="CX315" s="271"/>
      <c r="CY315" s="271"/>
    </row>
    <row r="316" spans="2:103" s="273" customFormat="1" ht="40.5" customHeight="1" x14ac:dyDescent="0.25">
      <c r="B316" s="424">
        <v>44570</v>
      </c>
      <c r="C316" s="422">
        <v>0</v>
      </c>
      <c r="D316" s="425">
        <v>48</v>
      </c>
      <c r="E316" s="426">
        <v>11.3</v>
      </c>
      <c r="F316" s="427">
        <v>15.3</v>
      </c>
      <c r="G316" s="428">
        <v>1283</v>
      </c>
      <c r="H316" s="428">
        <v>2056</v>
      </c>
      <c r="I316" s="428">
        <v>99.2</v>
      </c>
      <c r="J316" s="428">
        <v>99.1</v>
      </c>
      <c r="K316" s="436" t="s">
        <v>1876</v>
      </c>
      <c r="L316" s="426">
        <v>36.14</v>
      </c>
      <c r="M316" s="426">
        <v>39</v>
      </c>
      <c r="N316" s="426">
        <v>46.18</v>
      </c>
      <c r="O316" s="429"/>
      <c r="P316" s="429" t="s">
        <v>142</v>
      </c>
      <c r="Q316" s="429" t="s">
        <v>142</v>
      </c>
      <c r="R316" s="429" t="s">
        <v>1877</v>
      </c>
      <c r="S316" s="429">
        <v>67.900000000000006</v>
      </c>
      <c r="T316" s="430" t="s">
        <v>352</v>
      </c>
      <c r="U316" s="429" t="s">
        <v>236</v>
      </c>
      <c r="V316" s="583" t="s">
        <v>1875</v>
      </c>
      <c r="CM316" s="271"/>
      <c r="CN316" s="271"/>
      <c r="CO316" s="271"/>
      <c r="CP316" s="271"/>
      <c r="CQ316" s="271"/>
      <c r="CR316" s="271"/>
      <c r="CS316" s="271"/>
      <c r="CT316" s="271"/>
      <c r="CU316" s="271"/>
      <c r="CV316" s="271"/>
      <c r="CW316" s="271"/>
      <c r="CX316" s="271"/>
      <c r="CY316" s="271"/>
    </row>
    <row r="317" spans="2:103" s="273" customFormat="1" ht="40.5" customHeight="1" x14ac:dyDescent="0.25">
      <c r="B317" s="424">
        <v>44571</v>
      </c>
      <c r="C317" s="422">
        <v>0.91666666666666663</v>
      </c>
      <c r="D317" s="425">
        <v>51</v>
      </c>
      <c r="E317" s="426">
        <v>13.6</v>
      </c>
      <c r="F317" s="427">
        <v>17.100000000000001</v>
      </c>
      <c r="G317" s="428">
        <v>1277</v>
      </c>
      <c r="H317" s="428">
        <v>1923</v>
      </c>
      <c r="I317" s="428">
        <v>97</v>
      </c>
      <c r="J317" s="428">
        <v>99.7</v>
      </c>
      <c r="K317" s="436" t="s">
        <v>1880</v>
      </c>
      <c r="L317" s="426">
        <v>35.880000000000003</v>
      </c>
      <c r="M317" s="426">
        <v>39</v>
      </c>
      <c r="N317" s="426">
        <v>45.06</v>
      </c>
      <c r="O317" s="429"/>
      <c r="P317" s="429" t="s">
        <v>142</v>
      </c>
      <c r="Q317" s="429" t="s">
        <v>142</v>
      </c>
      <c r="R317" s="429" t="s">
        <v>1881</v>
      </c>
      <c r="S317" s="429">
        <v>73</v>
      </c>
      <c r="T317" s="430" t="s">
        <v>352</v>
      </c>
      <c r="U317" s="429" t="s">
        <v>236</v>
      </c>
      <c r="V317" s="583"/>
      <c r="CM317" s="271"/>
      <c r="CN317" s="271"/>
      <c r="CO317" s="271"/>
      <c r="CP317" s="271"/>
      <c r="CQ317" s="271"/>
      <c r="CR317" s="271"/>
      <c r="CS317" s="271"/>
      <c r="CT317" s="271"/>
      <c r="CU317" s="271"/>
      <c r="CV317" s="271"/>
      <c r="CW317" s="271"/>
      <c r="CX317" s="271"/>
      <c r="CY317" s="271"/>
    </row>
    <row r="318" spans="2:103" s="273" customFormat="1" ht="40.5" customHeight="1" x14ac:dyDescent="0.25">
      <c r="B318" s="424">
        <v>44572</v>
      </c>
      <c r="C318" s="422">
        <v>0.9375</v>
      </c>
      <c r="D318" s="425">
        <v>50</v>
      </c>
      <c r="E318" s="426">
        <v>12.9</v>
      </c>
      <c r="F318" s="427">
        <v>16.600000000000001</v>
      </c>
      <c r="G318" s="428">
        <v>1279</v>
      </c>
      <c r="H318" s="428">
        <v>2042</v>
      </c>
      <c r="I318" s="428">
        <v>96.8</v>
      </c>
      <c r="J318" s="428">
        <v>98.8</v>
      </c>
      <c r="K318" s="436" t="s">
        <v>1896</v>
      </c>
      <c r="L318" s="426">
        <v>36.28</v>
      </c>
      <c r="M318" s="426">
        <v>39</v>
      </c>
      <c r="N318" s="426">
        <v>47.87</v>
      </c>
      <c r="O318" s="429"/>
      <c r="P318" s="429" t="s">
        <v>142</v>
      </c>
      <c r="Q318" s="429" t="s">
        <v>142</v>
      </c>
      <c r="R318" s="429" t="s">
        <v>1897</v>
      </c>
      <c r="S318" s="429">
        <v>64.5</v>
      </c>
      <c r="T318" s="430" t="s">
        <v>352</v>
      </c>
      <c r="U318" s="429" t="s">
        <v>236</v>
      </c>
      <c r="V318" s="583" t="s">
        <v>415</v>
      </c>
      <c r="CM318" s="271"/>
      <c r="CN318" s="271"/>
      <c r="CO318" s="271"/>
      <c r="CP318" s="271"/>
      <c r="CQ318" s="271"/>
      <c r="CR318" s="271"/>
      <c r="CS318" s="271"/>
      <c r="CT318" s="271"/>
      <c r="CU318" s="271"/>
      <c r="CV318" s="271"/>
      <c r="CW318" s="271"/>
      <c r="CX318" s="271"/>
      <c r="CY318" s="271"/>
    </row>
    <row r="319" spans="2:103" s="273" customFormat="1" ht="55.5" customHeight="1" x14ac:dyDescent="0.25">
      <c r="B319" s="424">
        <v>44573</v>
      </c>
      <c r="C319" s="422">
        <v>0.97916666666666663</v>
      </c>
      <c r="D319" s="425">
        <v>54</v>
      </c>
      <c r="E319" s="426">
        <v>8.9</v>
      </c>
      <c r="F319" s="427">
        <v>13.8</v>
      </c>
      <c r="G319" s="428">
        <v>1338</v>
      </c>
      <c r="H319" s="428">
        <v>2144</v>
      </c>
      <c r="I319" s="428">
        <v>96.4</v>
      </c>
      <c r="J319" s="428">
        <v>99</v>
      </c>
      <c r="K319" s="436" t="s">
        <v>1900</v>
      </c>
      <c r="L319" s="426">
        <v>36.19</v>
      </c>
      <c r="M319" s="426">
        <v>39</v>
      </c>
      <c r="N319" s="426">
        <v>45.67</v>
      </c>
      <c r="O319" s="429"/>
      <c r="P319" s="429" t="s">
        <v>142</v>
      </c>
      <c r="Q319" s="429" t="s">
        <v>142</v>
      </c>
      <c r="R319" s="429" t="s">
        <v>1901</v>
      </c>
      <c r="S319" s="429">
        <v>58.9</v>
      </c>
      <c r="T319" s="430" t="s">
        <v>352</v>
      </c>
      <c r="U319" s="429" t="s">
        <v>236</v>
      </c>
      <c r="V319" s="583" t="s">
        <v>1904</v>
      </c>
      <c r="CM319" s="271"/>
      <c r="CN319" s="271"/>
      <c r="CO319" s="271"/>
      <c r="CP319" s="271"/>
      <c r="CQ319" s="271"/>
      <c r="CR319" s="271"/>
      <c r="CS319" s="271"/>
      <c r="CT319" s="271"/>
      <c r="CU319" s="271"/>
      <c r="CV319" s="271"/>
      <c r="CW319" s="271"/>
      <c r="CX319" s="271"/>
      <c r="CY319" s="271"/>
    </row>
    <row r="320" spans="2:103" s="273" customFormat="1" ht="55.5" customHeight="1" x14ac:dyDescent="0.25">
      <c r="B320" s="424">
        <v>44574</v>
      </c>
      <c r="C320" s="422">
        <v>0.97916666666666663</v>
      </c>
      <c r="D320" s="425">
        <v>50</v>
      </c>
      <c r="E320" s="426">
        <v>7.8</v>
      </c>
      <c r="F320" s="427">
        <v>13.2</v>
      </c>
      <c r="G320" s="428">
        <v>1392</v>
      </c>
      <c r="H320" s="428">
        <v>1957</v>
      </c>
      <c r="I320" s="428">
        <v>96.1</v>
      </c>
      <c r="J320" s="428">
        <v>98.6</v>
      </c>
      <c r="K320" s="436" t="s">
        <v>1908</v>
      </c>
      <c r="L320" s="426">
        <v>37.22</v>
      </c>
      <c r="M320" s="426">
        <v>39.5</v>
      </c>
      <c r="N320" s="426">
        <v>48.76</v>
      </c>
      <c r="O320" s="429"/>
      <c r="P320" s="429" t="s">
        <v>142</v>
      </c>
      <c r="Q320" s="429" t="s">
        <v>142</v>
      </c>
      <c r="R320" s="429" t="s">
        <v>1909</v>
      </c>
      <c r="S320" s="429">
        <v>55.6</v>
      </c>
      <c r="T320" s="430" t="s">
        <v>352</v>
      </c>
      <c r="U320" s="429" t="s">
        <v>236</v>
      </c>
      <c r="V320" s="583" t="s">
        <v>1918</v>
      </c>
      <c r="CM320" s="271"/>
      <c r="CN320" s="271"/>
      <c r="CO320" s="271"/>
      <c r="CP320" s="271"/>
      <c r="CQ320" s="271"/>
      <c r="CR320" s="271"/>
      <c r="CS320" s="271"/>
      <c r="CT320" s="271"/>
      <c r="CU320" s="271"/>
      <c r="CV320" s="271"/>
      <c r="CW320" s="271"/>
      <c r="CX320" s="271"/>
      <c r="CY320" s="271"/>
    </row>
    <row r="321" spans="2:103" s="273" customFormat="1" ht="136.5" customHeight="1" x14ac:dyDescent="0.25">
      <c r="B321" s="424">
        <v>44575</v>
      </c>
      <c r="C321" s="422">
        <v>0.95833333333333337</v>
      </c>
      <c r="D321" s="425">
        <v>50</v>
      </c>
      <c r="E321" s="426">
        <v>8.1</v>
      </c>
      <c r="F321" s="427">
        <v>13.3</v>
      </c>
      <c r="G321" s="428">
        <v>1397</v>
      </c>
      <c r="H321" s="428">
        <v>2086</v>
      </c>
      <c r="I321" s="428">
        <v>97</v>
      </c>
      <c r="J321" s="428">
        <v>98.5</v>
      </c>
      <c r="K321" s="436" t="s">
        <v>1922</v>
      </c>
      <c r="L321" s="426">
        <v>36.479999999999997</v>
      </c>
      <c r="M321" s="426">
        <v>40</v>
      </c>
      <c r="N321" s="426">
        <v>50.5</v>
      </c>
      <c r="O321" s="429"/>
      <c r="P321" s="429" t="s">
        <v>142</v>
      </c>
      <c r="Q321" s="429" t="s">
        <v>142</v>
      </c>
      <c r="R321" s="429" t="s">
        <v>1761</v>
      </c>
      <c r="S321" s="429">
        <v>56.8</v>
      </c>
      <c r="T321" s="430" t="s">
        <v>352</v>
      </c>
      <c r="U321" s="429" t="s">
        <v>236</v>
      </c>
      <c r="V321" s="583" t="s">
        <v>1930</v>
      </c>
      <c r="CM321" s="271"/>
      <c r="CN321" s="271"/>
      <c r="CO321" s="271"/>
      <c r="CP321" s="271"/>
      <c r="CQ321" s="271"/>
      <c r="CR321" s="271"/>
      <c r="CS321" s="271"/>
      <c r="CT321" s="271"/>
      <c r="CU321" s="271"/>
      <c r="CV321" s="271"/>
      <c r="CW321" s="271"/>
      <c r="CX321" s="271"/>
      <c r="CY321" s="271"/>
    </row>
    <row r="322" spans="2:103" s="273" customFormat="1" ht="138" customHeight="1" x14ac:dyDescent="0.25">
      <c r="B322" s="424">
        <v>44576</v>
      </c>
      <c r="C322" s="422">
        <v>0.97916666666666663</v>
      </c>
      <c r="D322" s="1516" t="s">
        <v>1941</v>
      </c>
      <c r="E322" s="1517"/>
      <c r="F322" s="1517"/>
      <c r="G322" s="1517"/>
      <c r="H322" s="1517"/>
      <c r="I322" s="1517"/>
      <c r="J322" s="1517"/>
      <c r="K322" s="1517"/>
      <c r="L322" s="1517"/>
      <c r="M322" s="1517"/>
      <c r="N322" s="1517"/>
      <c r="O322" s="1517"/>
      <c r="P322" s="1517"/>
      <c r="Q322" s="1517"/>
      <c r="R322" s="1517"/>
      <c r="S322" s="1518"/>
      <c r="T322" s="430" t="s">
        <v>352</v>
      </c>
      <c r="U322" s="429" t="s">
        <v>236</v>
      </c>
      <c r="V322" s="583" t="s">
        <v>415</v>
      </c>
      <c r="CM322" s="271"/>
      <c r="CN322" s="271"/>
      <c r="CO322" s="271"/>
      <c r="CP322" s="271"/>
      <c r="CQ322" s="271"/>
      <c r="CR322" s="271"/>
      <c r="CS322" s="271"/>
      <c r="CT322" s="271"/>
      <c r="CU322" s="271"/>
      <c r="CV322" s="271"/>
      <c r="CW322" s="271"/>
      <c r="CX322" s="271"/>
      <c r="CY322" s="271"/>
    </row>
    <row r="323" spans="2:103" s="273" customFormat="1" ht="40.5" customHeight="1" x14ac:dyDescent="0.25">
      <c r="B323" s="424">
        <v>44577</v>
      </c>
      <c r="C323" s="422">
        <v>0</v>
      </c>
      <c r="D323" s="425">
        <v>52</v>
      </c>
      <c r="E323" s="426">
        <v>7.1</v>
      </c>
      <c r="F323" s="427">
        <v>12.8</v>
      </c>
      <c r="G323" s="428">
        <v>1466</v>
      </c>
      <c r="H323" s="428">
        <v>2034</v>
      </c>
      <c r="I323" s="428">
        <v>98.1</v>
      </c>
      <c r="J323" s="428">
        <v>100.3</v>
      </c>
      <c r="K323" s="436" t="s">
        <v>1944</v>
      </c>
      <c r="L323" s="426">
        <v>37.78</v>
      </c>
      <c r="M323" s="426">
        <v>39</v>
      </c>
      <c r="N323" s="426">
        <v>45.36</v>
      </c>
      <c r="O323" s="429"/>
      <c r="P323" s="429" t="s">
        <v>142</v>
      </c>
      <c r="Q323" s="429" t="s">
        <v>142</v>
      </c>
      <c r="R323" s="429" t="s">
        <v>1945</v>
      </c>
      <c r="S323" s="429">
        <v>54.5</v>
      </c>
      <c r="T323" s="430" t="s">
        <v>23</v>
      </c>
      <c r="U323" s="429" t="s">
        <v>236</v>
      </c>
      <c r="V323" s="583" t="s">
        <v>415</v>
      </c>
      <c r="CM323" s="271"/>
      <c r="CN323" s="271"/>
      <c r="CO323" s="271"/>
      <c r="CP323" s="271"/>
      <c r="CQ323" s="271"/>
      <c r="CR323" s="271"/>
      <c r="CS323" s="271"/>
      <c r="CT323" s="271"/>
      <c r="CU323" s="271"/>
      <c r="CV323" s="271"/>
      <c r="CW323" s="271"/>
      <c r="CX323" s="271"/>
      <c r="CY323" s="271"/>
    </row>
    <row r="324" spans="2:103" s="273" customFormat="1" ht="40.5" customHeight="1" x14ac:dyDescent="0.25">
      <c r="B324" s="424">
        <v>44578</v>
      </c>
      <c r="C324" s="422">
        <v>0.9375</v>
      </c>
      <c r="D324" s="425">
        <v>50</v>
      </c>
      <c r="E324" s="426">
        <v>11.6</v>
      </c>
      <c r="F324" s="427">
        <v>15.5</v>
      </c>
      <c r="G324" s="428">
        <v>1155</v>
      </c>
      <c r="H324" s="428">
        <v>1879</v>
      </c>
      <c r="I324" s="428">
        <v>99.1</v>
      </c>
      <c r="J324" s="428">
        <v>99.7</v>
      </c>
      <c r="K324" s="436" t="s">
        <v>1962</v>
      </c>
      <c r="L324" s="426">
        <v>38.35</v>
      </c>
      <c r="M324" s="426">
        <v>40.5</v>
      </c>
      <c r="N324" s="426">
        <v>53.48</v>
      </c>
      <c r="O324" s="429"/>
      <c r="P324" s="429" t="s">
        <v>142</v>
      </c>
      <c r="Q324" s="429" t="s">
        <v>142</v>
      </c>
      <c r="R324" s="429" t="s">
        <v>1043</v>
      </c>
      <c r="S324" s="429">
        <v>66.2</v>
      </c>
      <c r="T324" s="430" t="s">
        <v>23</v>
      </c>
      <c r="U324" s="429" t="s">
        <v>236</v>
      </c>
      <c r="V324" s="583" t="s">
        <v>415</v>
      </c>
      <c r="CM324" s="271"/>
      <c r="CN324" s="271"/>
      <c r="CO324" s="271"/>
      <c r="CP324" s="271"/>
      <c r="CQ324" s="271"/>
      <c r="CR324" s="271"/>
      <c r="CS324" s="271"/>
      <c r="CT324" s="271"/>
      <c r="CU324" s="271"/>
      <c r="CV324" s="271"/>
      <c r="CW324" s="271"/>
      <c r="CX324" s="271"/>
      <c r="CY324" s="271"/>
    </row>
    <row r="325" spans="2:103" s="273" customFormat="1" ht="40.5" customHeight="1" x14ac:dyDescent="0.25">
      <c r="B325" s="424">
        <v>44579</v>
      </c>
      <c r="C325" s="422">
        <v>0.9375</v>
      </c>
      <c r="D325" s="425">
        <v>50</v>
      </c>
      <c r="E325" s="426">
        <v>10.8</v>
      </c>
      <c r="F325" s="427">
        <v>15.1</v>
      </c>
      <c r="G325" s="428">
        <v>1141</v>
      </c>
      <c r="H325" s="428">
        <v>1991</v>
      </c>
      <c r="I325" s="428">
        <v>98.9</v>
      </c>
      <c r="J325" s="428">
        <v>99.7</v>
      </c>
      <c r="K325" s="436" t="s">
        <v>1972</v>
      </c>
      <c r="L325" s="426">
        <v>36.85</v>
      </c>
      <c r="M325" s="426">
        <v>38.5</v>
      </c>
      <c r="N325" s="426">
        <v>50.53</v>
      </c>
      <c r="O325" s="429"/>
      <c r="P325" s="429" t="s">
        <v>142</v>
      </c>
      <c r="Q325" s="429" t="s">
        <v>142</v>
      </c>
      <c r="R325" s="429" t="s">
        <v>1973</v>
      </c>
      <c r="S325" s="429">
        <v>64.5</v>
      </c>
      <c r="T325" s="430" t="s">
        <v>23</v>
      </c>
      <c r="U325" s="429" t="s">
        <v>236</v>
      </c>
      <c r="V325" s="583" t="s">
        <v>415</v>
      </c>
      <c r="CM325" s="271"/>
      <c r="CN325" s="271"/>
      <c r="CO325" s="271"/>
      <c r="CP325" s="271"/>
      <c r="CQ325" s="271"/>
      <c r="CR325" s="271"/>
      <c r="CS325" s="271"/>
      <c r="CT325" s="271"/>
      <c r="CU325" s="271"/>
      <c r="CV325" s="271"/>
      <c r="CW325" s="271"/>
      <c r="CX325" s="271"/>
      <c r="CY325" s="271"/>
    </row>
    <row r="326" spans="2:103" s="273" customFormat="1" ht="40.5" customHeight="1" x14ac:dyDescent="0.25">
      <c r="B326" s="424">
        <v>44580</v>
      </c>
      <c r="C326" s="422">
        <v>0.9375</v>
      </c>
      <c r="D326" s="425">
        <v>50</v>
      </c>
      <c r="E326" s="426">
        <v>10.1</v>
      </c>
      <c r="F326" s="427">
        <v>14.5</v>
      </c>
      <c r="G326" s="428">
        <v>1210</v>
      </c>
      <c r="H326" s="428">
        <v>1992</v>
      </c>
      <c r="I326" s="428">
        <v>97.3</v>
      </c>
      <c r="J326" s="428">
        <v>99.2</v>
      </c>
      <c r="K326" s="436" t="s">
        <v>1978</v>
      </c>
      <c r="L326" s="426">
        <v>36.51</v>
      </c>
      <c r="M326" s="426">
        <v>39</v>
      </c>
      <c r="N326" s="426">
        <v>48.62</v>
      </c>
      <c r="O326" s="429"/>
      <c r="P326" s="429" t="s">
        <v>142</v>
      </c>
      <c r="Q326" s="429" t="s">
        <v>142</v>
      </c>
      <c r="R326" s="429" t="s">
        <v>1979</v>
      </c>
      <c r="S326" s="429">
        <v>62.3</v>
      </c>
      <c r="T326" s="430" t="s">
        <v>23</v>
      </c>
      <c r="U326" s="429" t="s">
        <v>236</v>
      </c>
      <c r="V326" s="583" t="s">
        <v>415</v>
      </c>
      <c r="CM326" s="271"/>
      <c r="CN326" s="271"/>
      <c r="CO326" s="271"/>
      <c r="CP326" s="271"/>
      <c r="CQ326" s="271"/>
      <c r="CR326" s="271"/>
      <c r="CS326" s="271"/>
      <c r="CT326" s="271"/>
      <c r="CU326" s="271"/>
      <c r="CV326" s="271"/>
      <c r="CW326" s="271"/>
      <c r="CX326" s="271"/>
      <c r="CY326" s="271"/>
    </row>
    <row r="327" spans="2:103" s="273" customFormat="1" ht="40.5" customHeight="1" x14ac:dyDescent="0.25">
      <c r="B327" s="424">
        <v>44581</v>
      </c>
      <c r="C327" s="422">
        <v>0.9375</v>
      </c>
      <c r="D327" s="425">
        <v>50</v>
      </c>
      <c r="E327" s="426">
        <v>11</v>
      </c>
      <c r="F327" s="427">
        <v>15.1</v>
      </c>
      <c r="G327" s="428">
        <v>1122</v>
      </c>
      <c r="H327" s="428">
        <v>1961</v>
      </c>
      <c r="I327" s="428">
        <v>98.8</v>
      </c>
      <c r="J327" s="428">
        <v>99.5</v>
      </c>
      <c r="K327" s="436" t="s">
        <v>1992</v>
      </c>
      <c r="L327" s="426">
        <v>37.01</v>
      </c>
      <c r="M327" s="426">
        <v>39.5</v>
      </c>
      <c r="N327" s="426">
        <v>50.53</v>
      </c>
      <c r="O327" s="429"/>
      <c r="P327" s="429" t="s">
        <v>142</v>
      </c>
      <c r="Q327" s="429" t="s">
        <v>142</v>
      </c>
      <c r="R327" s="429" t="s">
        <v>1993</v>
      </c>
      <c r="S327" s="429">
        <v>64.5</v>
      </c>
      <c r="T327" s="430" t="s">
        <v>23</v>
      </c>
      <c r="U327" s="429" t="s">
        <v>236</v>
      </c>
      <c r="V327" s="583" t="s">
        <v>415</v>
      </c>
      <c r="CM327" s="271"/>
      <c r="CN327" s="271"/>
      <c r="CO327" s="271"/>
      <c r="CP327" s="271"/>
      <c r="CQ327" s="271"/>
      <c r="CR327" s="271"/>
      <c r="CS327" s="271"/>
      <c r="CT327" s="271"/>
      <c r="CU327" s="271"/>
      <c r="CV327" s="271"/>
      <c r="CW327" s="271"/>
      <c r="CX327" s="271"/>
      <c r="CY327" s="271"/>
    </row>
    <row r="328" spans="2:103" s="273" customFormat="1" ht="40.5" customHeight="1" x14ac:dyDescent="0.25">
      <c r="B328" s="424">
        <v>44582</v>
      </c>
      <c r="C328" s="422">
        <v>0.9375</v>
      </c>
      <c r="D328" s="425">
        <v>50</v>
      </c>
      <c r="E328" s="426">
        <v>11.2</v>
      </c>
      <c r="F328" s="427">
        <v>15.3</v>
      </c>
      <c r="G328" s="428">
        <v>1127</v>
      </c>
      <c r="H328" s="428">
        <v>1931</v>
      </c>
      <c r="I328" s="428">
        <v>99</v>
      </c>
      <c r="J328" s="428">
        <v>99.7</v>
      </c>
      <c r="K328" s="436" t="s">
        <v>1996</v>
      </c>
      <c r="L328" s="426">
        <v>36.81</v>
      </c>
      <c r="M328" s="426">
        <v>38.5</v>
      </c>
      <c r="N328" s="426">
        <v>51.41</v>
      </c>
      <c r="O328" s="429"/>
      <c r="P328" s="429" t="s">
        <v>142</v>
      </c>
      <c r="Q328" s="429" t="s">
        <v>142</v>
      </c>
      <c r="R328" s="429" t="s">
        <v>1997</v>
      </c>
      <c r="S328" s="429">
        <v>63.6</v>
      </c>
      <c r="T328" s="430" t="s">
        <v>23</v>
      </c>
      <c r="U328" s="429" t="s">
        <v>236</v>
      </c>
      <c r="V328" s="583" t="s">
        <v>415</v>
      </c>
      <c r="CM328" s="271"/>
      <c r="CN328" s="271"/>
      <c r="CO328" s="271"/>
      <c r="CP328" s="271"/>
      <c r="CQ328" s="271"/>
      <c r="CR328" s="271"/>
      <c r="CS328" s="271"/>
      <c r="CT328" s="271"/>
      <c r="CU328" s="271"/>
      <c r="CV328" s="271"/>
      <c r="CW328" s="271"/>
      <c r="CX328" s="271"/>
      <c r="CY328" s="271"/>
    </row>
    <row r="329" spans="2:103" s="273" customFormat="1" ht="40.5" customHeight="1" x14ac:dyDescent="0.25">
      <c r="B329" s="424">
        <v>44583</v>
      </c>
      <c r="C329" s="422">
        <v>0.9375</v>
      </c>
      <c r="D329" s="425">
        <v>50</v>
      </c>
      <c r="E329" s="426">
        <v>8.9</v>
      </c>
      <c r="F329" s="427">
        <v>13.6</v>
      </c>
      <c r="G329" s="428">
        <v>1154</v>
      </c>
      <c r="H329" s="428">
        <v>1951</v>
      </c>
      <c r="I329" s="428">
        <v>98.7</v>
      </c>
      <c r="J329" s="428">
        <v>100.2</v>
      </c>
      <c r="K329" s="436" t="s">
        <v>2000</v>
      </c>
      <c r="L329" s="426">
        <v>36.11</v>
      </c>
      <c r="M329" s="426">
        <v>38.5</v>
      </c>
      <c r="N329" s="426">
        <v>48.55</v>
      </c>
      <c r="O329" s="429"/>
      <c r="P329" s="429" t="s">
        <v>142</v>
      </c>
      <c r="Q329" s="429" t="s">
        <v>142</v>
      </c>
      <c r="R329" s="429" t="s">
        <v>1436</v>
      </c>
      <c r="S329" s="429">
        <v>58.5</v>
      </c>
      <c r="T329" s="430" t="s">
        <v>23</v>
      </c>
      <c r="U329" s="429" t="s">
        <v>236</v>
      </c>
      <c r="V329" s="583" t="s">
        <v>415</v>
      </c>
      <c r="CM329" s="271"/>
      <c r="CN329" s="271"/>
      <c r="CO329" s="271"/>
      <c r="CP329" s="271"/>
      <c r="CQ329" s="271"/>
      <c r="CR329" s="271"/>
      <c r="CS329" s="271"/>
      <c r="CT329" s="271"/>
      <c r="CU329" s="271"/>
      <c r="CV329" s="271"/>
      <c r="CW329" s="271"/>
      <c r="CX329" s="271"/>
      <c r="CY329" s="271"/>
    </row>
    <row r="330" spans="2:103" s="273" customFormat="1" ht="40.5" customHeight="1" x14ac:dyDescent="0.25">
      <c r="B330" s="424">
        <v>44584</v>
      </c>
      <c r="C330" s="422">
        <v>0.9375</v>
      </c>
      <c r="D330" s="425">
        <v>50</v>
      </c>
      <c r="E330" s="426">
        <v>10.7</v>
      </c>
      <c r="F330" s="427">
        <v>15</v>
      </c>
      <c r="G330" s="428">
        <v>1130</v>
      </c>
      <c r="H330" s="428">
        <v>2007</v>
      </c>
      <c r="I330" s="428">
        <v>98.2</v>
      </c>
      <c r="J330" s="428">
        <v>99.6</v>
      </c>
      <c r="K330" s="436" t="s">
        <v>2009</v>
      </c>
      <c r="L330" s="426">
        <v>37.72</v>
      </c>
      <c r="M330" s="426">
        <v>39.5</v>
      </c>
      <c r="N330" s="426">
        <v>48.01</v>
      </c>
      <c r="O330" s="429"/>
      <c r="P330" s="429" t="s">
        <v>142</v>
      </c>
      <c r="Q330" s="429" t="s">
        <v>142</v>
      </c>
      <c r="R330" s="429" t="s">
        <v>2010</v>
      </c>
      <c r="S330" s="429">
        <v>64.099999999999994</v>
      </c>
      <c r="T330" s="430" t="s">
        <v>23</v>
      </c>
      <c r="U330" s="429" t="s">
        <v>236</v>
      </c>
      <c r="V330" s="583" t="s">
        <v>415</v>
      </c>
      <c r="CM330" s="271"/>
      <c r="CN330" s="271"/>
      <c r="CO330" s="271"/>
      <c r="CP330" s="271"/>
      <c r="CQ330" s="271"/>
      <c r="CR330" s="271"/>
      <c r="CS330" s="271"/>
      <c r="CT330" s="271"/>
      <c r="CU330" s="271"/>
      <c r="CV330" s="271"/>
      <c r="CW330" s="271"/>
      <c r="CX330" s="271"/>
      <c r="CY330" s="271"/>
    </row>
    <row r="331" spans="2:103" s="273" customFormat="1" ht="40.5" customHeight="1" x14ac:dyDescent="0.25">
      <c r="B331" s="424">
        <v>44585</v>
      </c>
      <c r="C331" s="422">
        <v>0.9375</v>
      </c>
      <c r="D331" s="425">
        <v>50</v>
      </c>
      <c r="E331" s="426">
        <v>10.4</v>
      </c>
      <c r="F331" s="427">
        <v>14.7</v>
      </c>
      <c r="G331" s="428">
        <v>1104.7</v>
      </c>
      <c r="H331" s="428">
        <v>1887</v>
      </c>
      <c r="I331" s="428">
        <v>99.1</v>
      </c>
      <c r="J331" s="428">
        <v>99.7</v>
      </c>
      <c r="K331" s="436" t="s">
        <v>2018</v>
      </c>
      <c r="L331" s="426">
        <v>35.93</v>
      </c>
      <c r="M331" s="426">
        <v>38</v>
      </c>
      <c r="N331" s="426">
        <v>50.27</v>
      </c>
      <c r="O331" s="429"/>
      <c r="P331" s="429" t="s">
        <v>142</v>
      </c>
      <c r="Q331" s="429" t="s">
        <v>142</v>
      </c>
      <c r="R331" s="429" t="s">
        <v>2019</v>
      </c>
      <c r="S331" s="429">
        <v>63.2</v>
      </c>
      <c r="T331" s="430" t="s">
        <v>23</v>
      </c>
      <c r="U331" s="429" t="s">
        <v>236</v>
      </c>
      <c r="V331" s="583" t="s">
        <v>415</v>
      </c>
      <c r="CM331" s="271"/>
      <c r="CN331" s="271"/>
      <c r="CO331" s="271"/>
      <c r="CP331" s="271"/>
      <c r="CQ331" s="271"/>
      <c r="CR331" s="271"/>
      <c r="CS331" s="271"/>
      <c r="CT331" s="271"/>
      <c r="CU331" s="271"/>
      <c r="CV331" s="271"/>
      <c r="CW331" s="271"/>
      <c r="CX331" s="271"/>
      <c r="CY331" s="271"/>
    </row>
    <row r="332" spans="2:103" s="273" customFormat="1" ht="40.5" customHeight="1" x14ac:dyDescent="0.25">
      <c r="B332" s="424">
        <v>44586</v>
      </c>
      <c r="C332" s="422">
        <v>0.95833333333333337</v>
      </c>
      <c r="D332" s="425">
        <v>50</v>
      </c>
      <c r="E332" s="426">
        <v>9.8000000000000007</v>
      </c>
      <c r="F332" s="427">
        <v>13.6</v>
      </c>
      <c r="G332" s="428">
        <v>1182</v>
      </c>
      <c r="H332" s="428">
        <v>1910</v>
      </c>
      <c r="I332" s="428">
        <v>96.1</v>
      </c>
      <c r="J332" s="428">
        <v>100.5</v>
      </c>
      <c r="K332" s="436" t="s">
        <v>2029</v>
      </c>
      <c r="L332" s="426">
        <v>35.630000000000003</v>
      </c>
      <c r="M332" s="426">
        <v>37.5</v>
      </c>
      <c r="N332" s="426">
        <v>50.11</v>
      </c>
      <c r="O332" s="429"/>
      <c r="P332" s="429" t="s">
        <v>142</v>
      </c>
      <c r="Q332" s="429" t="s">
        <v>142</v>
      </c>
      <c r="R332" s="429" t="s">
        <v>2030</v>
      </c>
      <c r="S332" s="429">
        <v>59.2</v>
      </c>
      <c r="T332" s="430" t="s">
        <v>23</v>
      </c>
      <c r="U332" s="429" t="s">
        <v>236</v>
      </c>
      <c r="V332" s="583" t="s">
        <v>415</v>
      </c>
      <c r="CM332" s="271"/>
      <c r="CN332" s="271"/>
      <c r="CO332" s="271"/>
      <c r="CP332" s="271"/>
      <c r="CQ332" s="271"/>
      <c r="CR332" s="271"/>
      <c r="CS332" s="271"/>
      <c r="CT332" s="271"/>
      <c r="CU332" s="271"/>
      <c r="CV332" s="271"/>
      <c r="CW332" s="271"/>
      <c r="CX332" s="271"/>
      <c r="CY332" s="271"/>
    </row>
    <row r="333" spans="2:103" s="273" customFormat="1" ht="40.5" customHeight="1" x14ac:dyDescent="0.25">
      <c r="B333" s="424">
        <v>44587</v>
      </c>
      <c r="C333" s="422">
        <v>0.95833333333333337</v>
      </c>
      <c r="D333" s="425">
        <v>51</v>
      </c>
      <c r="E333" s="426">
        <v>11.3</v>
      </c>
      <c r="F333" s="427">
        <v>15.5</v>
      </c>
      <c r="G333" s="428">
        <v>1108</v>
      </c>
      <c r="H333" s="428">
        <v>1857</v>
      </c>
      <c r="I333" s="428">
        <v>99.1</v>
      </c>
      <c r="J333" s="428">
        <v>99.7</v>
      </c>
      <c r="K333" s="436" t="s">
        <v>2040</v>
      </c>
      <c r="L333" s="426">
        <v>37.270000000000003</v>
      </c>
      <c r="M333" s="426">
        <v>39.5</v>
      </c>
      <c r="N333" s="426">
        <v>53.27</v>
      </c>
      <c r="O333" s="429"/>
      <c r="P333" s="429" t="s">
        <v>142</v>
      </c>
      <c r="Q333" s="429" t="s">
        <v>142</v>
      </c>
      <c r="R333" s="429" t="s">
        <v>2041</v>
      </c>
      <c r="S333" s="429">
        <v>65.8</v>
      </c>
      <c r="T333" s="430" t="s">
        <v>23</v>
      </c>
      <c r="U333" s="429" t="s">
        <v>236</v>
      </c>
      <c r="V333" s="583" t="s">
        <v>415</v>
      </c>
      <c r="CM333" s="271"/>
      <c r="CN333" s="271"/>
      <c r="CO333" s="271"/>
      <c r="CP333" s="271"/>
      <c r="CQ333" s="271"/>
      <c r="CR333" s="271"/>
      <c r="CS333" s="271"/>
      <c r="CT333" s="271"/>
      <c r="CU333" s="271"/>
      <c r="CV333" s="271"/>
      <c r="CW333" s="271"/>
      <c r="CX333" s="271"/>
      <c r="CY333" s="271"/>
    </row>
    <row r="334" spans="2:103" s="273" customFormat="1" ht="40.5" customHeight="1" x14ac:dyDescent="0.25">
      <c r="B334" s="424">
        <v>44588</v>
      </c>
      <c r="C334" s="422">
        <v>0.95833333333333337</v>
      </c>
      <c r="D334" s="425">
        <v>51</v>
      </c>
      <c r="E334" s="426">
        <v>11</v>
      </c>
      <c r="F334" s="427">
        <v>15.5</v>
      </c>
      <c r="G334" s="428">
        <v>1099</v>
      </c>
      <c r="H334" s="428">
        <v>2009</v>
      </c>
      <c r="I334" s="428">
        <v>99.2</v>
      </c>
      <c r="J334" s="428">
        <v>99.9</v>
      </c>
      <c r="K334" s="436" t="s">
        <v>2052</v>
      </c>
      <c r="L334" s="426">
        <v>35.97</v>
      </c>
      <c r="M334" s="426">
        <v>38</v>
      </c>
      <c r="N334" s="426">
        <v>49.16</v>
      </c>
      <c r="O334" s="429"/>
      <c r="P334" s="429" t="s">
        <v>142</v>
      </c>
      <c r="Q334" s="429" t="s">
        <v>142</v>
      </c>
      <c r="R334" s="429" t="s">
        <v>2053</v>
      </c>
      <c r="S334" s="429">
        <v>64.900000000000006</v>
      </c>
      <c r="T334" s="430" t="s">
        <v>23</v>
      </c>
      <c r="U334" s="429" t="s">
        <v>236</v>
      </c>
      <c r="V334" s="583" t="s">
        <v>415</v>
      </c>
      <c r="CM334" s="271"/>
      <c r="CN334" s="271"/>
      <c r="CO334" s="271"/>
      <c r="CP334" s="271"/>
      <c r="CQ334" s="271"/>
      <c r="CR334" s="271"/>
      <c r="CS334" s="271"/>
      <c r="CT334" s="271"/>
      <c r="CU334" s="271"/>
      <c r="CV334" s="271"/>
      <c r="CW334" s="271"/>
      <c r="CX334" s="271"/>
      <c r="CY334" s="271"/>
    </row>
    <row r="335" spans="2:103" s="273" customFormat="1" ht="40.5" customHeight="1" x14ac:dyDescent="0.25">
      <c r="B335" s="424">
        <v>44589</v>
      </c>
      <c r="C335" s="422">
        <v>0.95833333333333337</v>
      </c>
      <c r="D335" s="425">
        <v>51</v>
      </c>
      <c r="E335" s="426">
        <v>14.6</v>
      </c>
      <c r="F335" s="427">
        <v>18.100000000000001</v>
      </c>
      <c r="G335" s="428">
        <v>1140</v>
      </c>
      <c r="H335" s="428">
        <v>2061</v>
      </c>
      <c r="I335" s="428">
        <v>99.1</v>
      </c>
      <c r="J335" s="428">
        <v>98.9</v>
      </c>
      <c r="K335" s="436" t="s">
        <v>2059</v>
      </c>
      <c r="L335" s="426">
        <v>35.18</v>
      </c>
      <c r="M335" s="426">
        <v>37.5</v>
      </c>
      <c r="N335" s="426">
        <v>50.22</v>
      </c>
      <c r="O335" s="429"/>
      <c r="P335" s="429" t="s">
        <v>142</v>
      </c>
      <c r="Q335" s="429" t="s">
        <v>142</v>
      </c>
      <c r="R335" s="429" t="s">
        <v>2060</v>
      </c>
      <c r="S335" s="429">
        <v>75.099999999999994</v>
      </c>
      <c r="T335" s="430" t="s">
        <v>23</v>
      </c>
      <c r="U335" s="429" t="s">
        <v>236</v>
      </c>
      <c r="V335" s="583" t="s">
        <v>415</v>
      </c>
      <c r="CM335" s="271"/>
      <c r="CN335" s="271"/>
      <c r="CO335" s="271"/>
      <c r="CP335" s="271"/>
      <c r="CQ335" s="271"/>
      <c r="CR335" s="271"/>
      <c r="CS335" s="271"/>
      <c r="CT335" s="271"/>
      <c r="CU335" s="271"/>
      <c r="CV335" s="271"/>
      <c r="CW335" s="271"/>
      <c r="CX335" s="271"/>
      <c r="CY335" s="271"/>
    </row>
    <row r="336" spans="2:103" ht="66" customHeight="1" x14ac:dyDescent="0.25">
      <c r="B336" s="424">
        <v>44590</v>
      </c>
      <c r="C336" s="422">
        <v>0.97916666666666663</v>
      </c>
      <c r="D336" s="425">
        <v>51</v>
      </c>
      <c r="E336" s="426">
        <v>11.4</v>
      </c>
      <c r="F336" s="427">
        <v>15.5</v>
      </c>
      <c r="G336" s="428">
        <v>1083</v>
      </c>
      <c r="H336" s="428">
        <v>1796</v>
      </c>
      <c r="I336" s="428">
        <v>99.1</v>
      </c>
      <c r="J336" s="428">
        <v>108.6</v>
      </c>
      <c r="K336" s="436" t="s">
        <v>2068</v>
      </c>
      <c r="L336" s="426">
        <v>34.869999999999997</v>
      </c>
      <c r="M336" s="426">
        <v>37.5</v>
      </c>
      <c r="N336" s="426">
        <v>52.37</v>
      </c>
      <c r="O336" s="429"/>
      <c r="P336" s="429" t="s">
        <v>142</v>
      </c>
      <c r="Q336" s="429" t="s">
        <v>142</v>
      </c>
      <c r="R336" s="429" t="s">
        <v>1043</v>
      </c>
      <c r="S336" s="429">
        <v>66.2</v>
      </c>
      <c r="T336" s="430" t="s">
        <v>23</v>
      </c>
      <c r="U336" s="429" t="s">
        <v>928</v>
      </c>
      <c r="V336" s="698" t="s">
        <v>2070</v>
      </c>
    </row>
    <row r="337" spans="2:103" ht="21" x14ac:dyDescent="0.25">
      <c r="B337" s="424">
        <v>44591</v>
      </c>
      <c r="C337" s="422">
        <v>0.97916666666666663</v>
      </c>
      <c r="D337" s="425">
        <v>53</v>
      </c>
      <c r="E337" s="426">
        <v>11.4</v>
      </c>
      <c r="F337" s="427">
        <v>15.6</v>
      </c>
      <c r="G337" s="428">
        <v>1115</v>
      </c>
      <c r="H337" s="428">
        <v>2138</v>
      </c>
      <c r="I337" s="428">
        <v>97.1</v>
      </c>
      <c r="J337" s="428">
        <v>115.1</v>
      </c>
      <c r="K337" s="436" t="s">
        <v>2072</v>
      </c>
      <c r="L337" s="426">
        <v>40</v>
      </c>
      <c r="M337" s="426">
        <v>37.5</v>
      </c>
      <c r="N337" s="426">
        <v>48</v>
      </c>
      <c r="O337" s="429"/>
      <c r="P337" s="429" t="s">
        <v>142</v>
      </c>
      <c r="Q337" s="429" t="s">
        <v>142</v>
      </c>
      <c r="R337" s="429" t="s">
        <v>2073</v>
      </c>
      <c r="S337" s="429">
        <v>66.2</v>
      </c>
      <c r="T337" s="430" t="s">
        <v>23</v>
      </c>
      <c r="U337" s="429" t="s">
        <v>928</v>
      </c>
      <c r="V337" s="698" t="s">
        <v>2076</v>
      </c>
    </row>
    <row r="338" spans="2:103" ht="51.75" customHeight="1" x14ac:dyDescent="0.25">
      <c r="B338" s="424">
        <v>44592</v>
      </c>
      <c r="C338" s="422">
        <v>0.98958333333333337</v>
      </c>
      <c r="D338" s="425">
        <v>51</v>
      </c>
      <c r="E338" s="426">
        <v>13</v>
      </c>
      <c r="F338" s="427">
        <v>16.8</v>
      </c>
      <c r="G338" s="428">
        <v>1180</v>
      </c>
      <c r="H338" s="428">
        <v>1802</v>
      </c>
      <c r="I338" s="428">
        <v>97.6</v>
      </c>
      <c r="J338" s="428">
        <v>99.5</v>
      </c>
      <c r="K338" s="436" t="s">
        <v>2088</v>
      </c>
      <c r="L338" s="426">
        <v>36.479999999999997</v>
      </c>
      <c r="M338" s="426">
        <v>37.5</v>
      </c>
      <c r="N338" s="426">
        <v>50.92</v>
      </c>
      <c r="O338" s="429"/>
      <c r="P338" s="429" t="s">
        <v>142</v>
      </c>
      <c r="Q338" s="429" t="s">
        <v>142</v>
      </c>
      <c r="R338" s="429" t="s">
        <v>2089</v>
      </c>
      <c r="S338" s="429">
        <v>70</v>
      </c>
      <c r="T338" s="430" t="s">
        <v>23</v>
      </c>
      <c r="U338" s="429" t="s">
        <v>928</v>
      </c>
      <c r="V338" s="698" t="s">
        <v>2090</v>
      </c>
    </row>
    <row r="339" spans="2:103" ht="21" x14ac:dyDescent="0.25">
      <c r="B339" s="424">
        <v>44593</v>
      </c>
      <c r="C339" s="422">
        <v>0.9375</v>
      </c>
      <c r="D339" s="425">
        <v>51</v>
      </c>
      <c r="E339" s="426">
        <v>10.8</v>
      </c>
      <c r="F339" s="427">
        <v>15</v>
      </c>
      <c r="G339" s="428">
        <v>1074</v>
      </c>
      <c r="H339" s="428">
        <v>1909</v>
      </c>
      <c r="I339" s="428">
        <v>99.3</v>
      </c>
      <c r="J339" s="428">
        <v>99.9</v>
      </c>
      <c r="K339" s="436" t="s">
        <v>2099</v>
      </c>
      <c r="L339" s="426">
        <v>36.31</v>
      </c>
      <c r="M339" s="426">
        <v>37</v>
      </c>
      <c r="N339" s="426">
        <v>50.92</v>
      </c>
      <c r="O339" s="429"/>
      <c r="P339" s="429" t="s">
        <v>142</v>
      </c>
      <c r="Q339" s="429" t="s">
        <v>142</v>
      </c>
      <c r="R339" s="429" t="s">
        <v>1029</v>
      </c>
      <c r="S339" s="429">
        <v>64.099999999999994</v>
      </c>
      <c r="T339" s="430" t="s">
        <v>23</v>
      </c>
      <c r="U339" s="429" t="s">
        <v>928</v>
      </c>
      <c r="V339" s="328" t="s">
        <v>415</v>
      </c>
    </row>
    <row r="340" spans="2:103" ht="21" x14ac:dyDescent="0.25">
      <c r="B340" s="424">
        <v>44594</v>
      </c>
      <c r="C340" s="422">
        <v>0.9375</v>
      </c>
      <c r="D340" s="425">
        <v>51</v>
      </c>
      <c r="E340" s="426">
        <v>11.2</v>
      </c>
      <c r="F340" s="427">
        <v>15.2</v>
      </c>
      <c r="G340" s="428">
        <v>1153</v>
      </c>
      <c r="H340" s="428">
        <v>2069</v>
      </c>
      <c r="I340" s="428">
        <v>97.2</v>
      </c>
      <c r="J340" s="428">
        <v>112.7</v>
      </c>
      <c r="K340" s="436" t="s">
        <v>2106</v>
      </c>
      <c r="L340" s="426">
        <v>36.659999999999997</v>
      </c>
      <c r="M340" s="426">
        <v>37</v>
      </c>
      <c r="N340" s="426">
        <v>48</v>
      </c>
      <c r="O340" s="429"/>
      <c r="P340" s="429" t="s">
        <v>142</v>
      </c>
      <c r="Q340" s="429" t="s">
        <v>142</v>
      </c>
      <c r="R340" s="429" t="s">
        <v>2107</v>
      </c>
      <c r="S340" s="429">
        <v>64.900000000000006</v>
      </c>
      <c r="T340" s="430" t="s">
        <v>23</v>
      </c>
      <c r="U340" s="429" t="s">
        <v>928</v>
      </c>
      <c r="V340" s="328"/>
    </row>
    <row r="341" spans="2:103" ht="21" x14ac:dyDescent="0.25">
      <c r="B341" s="424">
        <v>44595</v>
      </c>
      <c r="C341" s="422">
        <v>0.91666666666666663</v>
      </c>
      <c r="D341" s="425">
        <v>51</v>
      </c>
      <c r="E341" s="426">
        <v>10.8</v>
      </c>
      <c r="F341" s="427">
        <v>15.1</v>
      </c>
      <c r="G341" s="428">
        <v>1086.5</v>
      </c>
      <c r="H341" s="428">
        <v>1906</v>
      </c>
      <c r="I341" s="428">
        <v>99.1</v>
      </c>
      <c r="J341" s="428">
        <v>109.4</v>
      </c>
      <c r="K341" s="436" t="s">
        <v>2113</v>
      </c>
      <c r="L341" s="426">
        <v>36.61</v>
      </c>
      <c r="M341" s="426">
        <v>37</v>
      </c>
      <c r="N341" s="426">
        <v>51.11</v>
      </c>
      <c r="O341" s="429"/>
      <c r="P341" s="429" t="s">
        <v>142</v>
      </c>
      <c r="Q341" s="429" t="s">
        <v>142</v>
      </c>
      <c r="R341" s="429" t="s">
        <v>1638</v>
      </c>
      <c r="S341" s="429">
        <v>64.5</v>
      </c>
      <c r="T341" s="430" t="s">
        <v>23</v>
      </c>
      <c r="U341" s="429" t="s">
        <v>928</v>
      </c>
      <c r="V341" s="328"/>
    </row>
    <row r="342" spans="2:103" ht="21" x14ac:dyDescent="0.25">
      <c r="B342" s="424">
        <v>44596</v>
      </c>
      <c r="C342" s="422">
        <v>0.9375</v>
      </c>
      <c r="D342" s="425">
        <v>51</v>
      </c>
      <c r="E342" s="426">
        <v>10.8</v>
      </c>
      <c r="F342" s="427">
        <v>15.1</v>
      </c>
      <c r="G342" s="428">
        <v>1086.5</v>
      </c>
      <c r="H342" s="428">
        <v>1906</v>
      </c>
      <c r="I342" s="428">
        <v>99.1</v>
      </c>
      <c r="J342" s="428">
        <v>109.4</v>
      </c>
      <c r="K342" s="436" t="s">
        <v>2113</v>
      </c>
      <c r="L342" s="426">
        <v>36.61</v>
      </c>
      <c r="M342" s="426">
        <v>37</v>
      </c>
      <c r="N342" s="426">
        <v>51.11</v>
      </c>
      <c r="O342" s="429"/>
      <c r="P342" s="429" t="s">
        <v>142</v>
      </c>
      <c r="Q342" s="429" t="s">
        <v>142</v>
      </c>
      <c r="R342" s="429" t="s">
        <v>1638</v>
      </c>
      <c r="S342" s="429">
        <v>64.5</v>
      </c>
      <c r="T342" s="430" t="s">
        <v>23</v>
      </c>
      <c r="U342" s="429" t="s">
        <v>928</v>
      </c>
      <c r="V342" s="698" t="s">
        <v>2123</v>
      </c>
    </row>
    <row r="343" spans="2:103" ht="21" x14ac:dyDescent="0.25">
      <c r="B343" s="424">
        <v>44597</v>
      </c>
      <c r="C343" s="422">
        <v>0.98958333333333337</v>
      </c>
      <c r="D343" s="425">
        <v>52</v>
      </c>
      <c r="E343" s="426">
        <v>11.3</v>
      </c>
      <c r="F343" s="427">
        <v>15.4</v>
      </c>
      <c r="G343" s="428">
        <v>1067</v>
      </c>
      <c r="H343" s="428">
        <v>2032</v>
      </c>
      <c r="I343" s="428">
        <v>98.2</v>
      </c>
      <c r="J343" s="428">
        <v>113.2</v>
      </c>
      <c r="K343" s="436" t="s">
        <v>2113</v>
      </c>
      <c r="L343" s="426">
        <v>36.61</v>
      </c>
      <c r="M343" s="426">
        <v>37</v>
      </c>
      <c r="N343" s="426">
        <v>51.11</v>
      </c>
      <c r="O343" s="429"/>
      <c r="P343" s="429" t="s">
        <v>142</v>
      </c>
      <c r="Q343" s="429" t="s">
        <v>142</v>
      </c>
      <c r="R343" s="429" t="s">
        <v>2127</v>
      </c>
      <c r="S343" s="429">
        <v>65.8</v>
      </c>
      <c r="T343" s="430" t="s">
        <v>23</v>
      </c>
      <c r="U343" s="429" t="s">
        <v>928</v>
      </c>
      <c r="V343" s="328"/>
    </row>
    <row r="344" spans="2:103" ht="31.5" x14ac:dyDescent="0.25">
      <c r="B344" s="424">
        <v>44598</v>
      </c>
      <c r="C344" s="422">
        <v>0.98958333333333337</v>
      </c>
      <c r="D344" s="425">
        <v>53</v>
      </c>
      <c r="E344" s="426">
        <v>11.3</v>
      </c>
      <c r="F344" s="427">
        <v>15.4</v>
      </c>
      <c r="G344" s="428">
        <v>1051</v>
      </c>
      <c r="H344" s="428">
        <v>1903</v>
      </c>
      <c r="I344" s="428">
        <v>99.3</v>
      </c>
      <c r="J344" s="428">
        <v>110.4</v>
      </c>
      <c r="K344" s="436" t="s">
        <v>2131</v>
      </c>
      <c r="L344" s="426">
        <v>36.520000000000003</v>
      </c>
      <c r="M344" s="426">
        <v>37</v>
      </c>
      <c r="N344" s="426">
        <v>51.94</v>
      </c>
      <c r="O344" s="429"/>
      <c r="P344" s="429" t="s">
        <v>142</v>
      </c>
      <c r="Q344" s="429" t="s">
        <v>142</v>
      </c>
      <c r="R344" s="429" t="s">
        <v>1043</v>
      </c>
      <c r="S344" s="429">
        <v>65.8</v>
      </c>
      <c r="T344" s="430" t="s">
        <v>23</v>
      </c>
      <c r="U344" s="429" t="s">
        <v>928</v>
      </c>
      <c r="V344" s="698" t="s">
        <v>2135</v>
      </c>
    </row>
    <row r="345" spans="2:103" ht="21" x14ac:dyDescent="0.25">
      <c r="B345" s="424">
        <v>44599</v>
      </c>
      <c r="C345" s="422">
        <v>0.9375</v>
      </c>
      <c r="D345" s="425">
        <v>53</v>
      </c>
      <c r="E345" s="426">
        <v>11.3</v>
      </c>
      <c r="F345" s="427">
        <v>15.5</v>
      </c>
      <c r="G345" s="428">
        <v>1052</v>
      </c>
      <c r="H345" s="428">
        <v>1941</v>
      </c>
      <c r="I345" s="428">
        <v>99.1</v>
      </c>
      <c r="J345" s="428">
        <v>110.5</v>
      </c>
      <c r="K345" s="436" t="s">
        <v>2137</v>
      </c>
      <c r="L345" s="426">
        <v>36.520000000000003</v>
      </c>
      <c r="M345" s="426">
        <v>37</v>
      </c>
      <c r="N345" s="426">
        <v>51.94</v>
      </c>
      <c r="O345" s="429"/>
      <c r="P345" s="429" t="s">
        <v>142</v>
      </c>
      <c r="Q345" s="429" t="s">
        <v>142</v>
      </c>
      <c r="R345" s="429" t="s">
        <v>1375</v>
      </c>
      <c r="S345" s="429">
        <v>66.2</v>
      </c>
      <c r="T345" s="430" t="s">
        <v>23</v>
      </c>
      <c r="U345" s="429" t="s">
        <v>928</v>
      </c>
      <c r="V345" s="328"/>
    </row>
    <row r="346" spans="2:103" ht="21" x14ac:dyDescent="0.25">
      <c r="B346" s="424">
        <v>44600</v>
      </c>
      <c r="C346" s="422">
        <v>0.91666666666666663</v>
      </c>
      <c r="D346" s="425">
        <v>53</v>
      </c>
      <c r="E346" s="426">
        <v>12</v>
      </c>
      <c r="F346" s="427">
        <v>16</v>
      </c>
      <c r="G346" s="428">
        <v>1063</v>
      </c>
      <c r="H346" s="428">
        <v>1857</v>
      </c>
      <c r="I346" s="428">
        <v>98.7</v>
      </c>
      <c r="J346" s="428">
        <v>110.1</v>
      </c>
      <c r="K346" s="436" t="s">
        <v>2140</v>
      </c>
      <c r="L346" s="426">
        <v>35.909999999999997</v>
      </c>
      <c r="M346" s="426">
        <v>37</v>
      </c>
      <c r="N346" s="426">
        <v>53.02</v>
      </c>
      <c r="O346" s="429"/>
      <c r="P346" s="429" t="s">
        <v>142</v>
      </c>
      <c r="Q346" s="429" t="s">
        <v>142</v>
      </c>
      <c r="R346" s="429" t="s">
        <v>2141</v>
      </c>
      <c r="S346" s="429">
        <v>68.3</v>
      </c>
      <c r="T346" s="430" t="s">
        <v>23</v>
      </c>
      <c r="U346" s="429" t="s">
        <v>928</v>
      </c>
      <c r="V346" s="698" t="s">
        <v>2145</v>
      </c>
    </row>
    <row r="347" spans="2:103" ht="31.5" x14ac:dyDescent="0.25">
      <c r="B347" s="424">
        <v>44601</v>
      </c>
      <c r="C347" s="422">
        <v>0.91666666666666663</v>
      </c>
      <c r="D347" s="425">
        <v>53</v>
      </c>
      <c r="E347" s="426">
        <v>11.3</v>
      </c>
      <c r="F347" s="427">
        <v>15.6</v>
      </c>
      <c r="G347" s="428">
        <v>1031</v>
      </c>
      <c r="H347" s="428">
        <v>1884</v>
      </c>
      <c r="I347" s="428">
        <v>99.3</v>
      </c>
      <c r="J347" s="428">
        <v>111</v>
      </c>
      <c r="K347" s="436" t="s">
        <v>2149</v>
      </c>
      <c r="L347" s="426">
        <v>36.69</v>
      </c>
      <c r="M347" s="426">
        <v>37</v>
      </c>
      <c r="N347" s="426">
        <v>49.92</v>
      </c>
      <c r="O347" s="429"/>
      <c r="P347" s="429" t="s">
        <v>142</v>
      </c>
      <c r="Q347" s="429" t="s">
        <v>142</v>
      </c>
      <c r="R347" s="429" t="s">
        <v>1043</v>
      </c>
      <c r="S347" s="429">
        <v>66.599999999999994</v>
      </c>
      <c r="T347" s="430" t="s">
        <v>23</v>
      </c>
      <c r="U347" s="429" t="s">
        <v>928</v>
      </c>
      <c r="V347" s="698" t="s">
        <v>2161</v>
      </c>
    </row>
    <row r="348" spans="2:103" ht="21" x14ac:dyDescent="0.25">
      <c r="B348" s="424">
        <v>44602</v>
      </c>
      <c r="C348" s="422">
        <v>0.91666666666666663</v>
      </c>
      <c r="D348" s="425">
        <v>53</v>
      </c>
      <c r="E348" s="426">
        <v>10.7</v>
      </c>
      <c r="F348" s="427">
        <v>14.9</v>
      </c>
      <c r="G348" s="428">
        <v>1051.9000000000001</v>
      </c>
      <c r="H348" s="428">
        <v>1962</v>
      </c>
      <c r="I348" s="428">
        <v>99.2</v>
      </c>
      <c r="J348" s="428">
        <v>111.6</v>
      </c>
      <c r="K348" s="436" t="s">
        <v>2155</v>
      </c>
      <c r="L348" s="426">
        <v>36.69</v>
      </c>
      <c r="M348" s="426">
        <v>37</v>
      </c>
      <c r="N348" s="426">
        <v>49.92</v>
      </c>
      <c r="O348" s="429"/>
      <c r="P348" s="429" t="s">
        <v>142</v>
      </c>
      <c r="Q348" s="429" t="s">
        <v>142</v>
      </c>
      <c r="R348" s="429" t="s">
        <v>2156</v>
      </c>
      <c r="S348" s="429">
        <v>63.6</v>
      </c>
      <c r="T348" s="430" t="s">
        <v>23</v>
      </c>
      <c r="U348" s="429" t="s">
        <v>928</v>
      </c>
      <c r="V348" s="318"/>
    </row>
    <row r="349" spans="2:103" s="329" customFormat="1" ht="21" x14ac:dyDescent="0.25">
      <c r="B349" s="424">
        <v>44603</v>
      </c>
      <c r="C349" s="422">
        <v>0.9375</v>
      </c>
      <c r="D349" s="425">
        <v>53</v>
      </c>
      <c r="E349" s="426">
        <v>11.7</v>
      </c>
      <c r="F349" s="427">
        <v>15.7</v>
      </c>
      <c r="G349" s="428">
        <v>1051</v>
      </c>
      <c r="H349" s="428">
        <v>1932</v>
      </c>
      <c r="I349" s="428">
        <v>99.3</v>
      </c>
      <c r="J349" s="428">
        <v>111.6</v>
      </c>
      <c r="K349" s="436" t="s">
        <v>2165</v>
      </c>
      <c r="L349" s="426">
        <v>36.69</v>
      </c>
      <c r="M349" s="426">
        <v>37</v>
      </c>
      <c r="N349" s="426">
        <v>49.92</v>
      </c>
      <c r="O349" s="429"/>
      <c r="P349" s="429" t="s">
        <v>142</v>
      </c>
      <c r="Q349" s="429" t="s">
        <v>142</v>
      </c>
      <c r="R349" s="429" t="s">
        <v>2166</v>
      </c>
      <c r="S349" s="429">
        <v>64.900000000000006</v>
      </c>
      <c r="T349" s="430" t="s">
        <v>23</v>
      </c>
      <c r="U349" s="429" t="s">
        <v>928</v>
      </c>
      <c r="V349" s="401" t="s">
        <v>415</v>
      </c>
      <c r="W349" s="330"/>
      <c r="X349" s="330"/>
      <c r="Y349" s="330"/>
      <c r="Z349" s="330"/>
      <c r="AA349" s="330"/>
      <c r="AB349" s="330"/>
      <c r="AC349" s="330"/>
      <c r="AD349" s="330"/>
      <c r="AE349" s="330"/>
      <c r="AF349" s="330"/>
      <c r="AG349" s="330"/>
      <c r="AH349" s="330"/>
      <c r="AI349" s="330"/>
      <c r="AJ349" s="330"/>
      <c r="AK349" s="330"/>
      <c r="AL349" s="330"/>
      <c r="AM349" s="330"/>
      <c r="AN349" s="330"/>
      <c r="AO349" s="330"/>
      <c r="AP349" s="330"/>
      <c r="AQ349" s="330"/>
      <c r="AR349" s="330"/>
      <c r="AS349" s="330"/>
      <c r="AT349" s="330"/>
      <c r="AU349" s="330"/>
      <c r="AV349" s="330"/>
      <c r="AW349" s="330"/>
      <c r="AX349" s="330"/>
      <c r="AY349" s="330"/>
      <c r="AZ349" s="330"/>
      <c r="BA349" s="330"/>
      <c r="BB349" s="330"/>
      <c r="BC349" s="330"/>
      <c r="BD349" s="330"/>
      <c r="BE349" s="330"/>
      <c r="BF349" s="330"/>
      <c r="BG349" s="330"/>
      <c r="BH349" s="330"/>
      <c r="BI349" s="330"/>
      <c r="BJ349" s="330"/>
      <c r="BK349" s="330"/>
      <c r="BL349" s="330"/>
      <c r="BM349" s="330"/>
      <c r="BN349" s="330"/>
      <c r="BO349" s="330"/>
      <c r="BP349" s="330"/>
      <c r="BQ349" s="330"/>
      <c r="BR349" s="330"/>
      <c r="BS349" s="330"/>
      <c r="BT349" s="330"/>
      <c r="BU349" s="330"/>
      <c r="BV349" s="330"/>
      <c r="BW349" s="330"/>
      <c r="BX349" s="330"/>
      <c r="BY349" s="330"/>
      <c r="BZ349" s="330"/>
      <c r="CA349" s="330"/>
      <c r="CB349" s="330"/>
      <c r="CC349" s="330"/>
      <c r="CD349" s="330"/>
      <c r="CE349" s="330"/>
      <c r="CF349" s="330"/>
      <c r="CG349" s="330"/>
      <c r="CH349" s="330"/>
      <c r="CI349" s="330"/>
      <c r="CJ349" s="330"/>
      <c r="CK349" s="330"/>
      <c r="CL349" s="330"/>
    </row>
    <row r="350" spans="2:103" ht="21" x14ac:dyDescent="0.25">
      <c r="B350" s="424">
        <v>44604</v>
      </c>
      <c r="C350" s="422">
        <v>0.9375</v>
      </c>
      <c r="D350" s="425">
        <v>53</v>
      </c>
      <c r="E350" s="426">
        <v>13.8</v>
      </c>
      <c r="F350" s="427">
        <v>17.5</v>
      </c>
      <c r="G350" s="428">
        <v>1116</v>
      </c>
      <c r="H350" s="428">
        <v>2010</v>
      </c>
      <c r="I350" s="428">
        <v>97</v>
      </c>
      <c r="J350" s="428">
        <v>118</v>
      </c>
      <c r="K350" s="436" t="s">
        <v>2171</v>
      </c>
      <c r="L350" s="426">
        <v>38.15</v>
      </c>
      <c r="M350" s="426">
        <v>37</v>
      </c>
      <c r="N350" s="426">
        <v>49.28</v>
      </c>
      <c r="O350" s="429"/>
      <c r="P350" s="429" t="s">
        <v>142</v>
      </c>
      <c r="Q350" s="429" t="s">
        <v>142</v>
      </c>
      <c r="R350" s="429" t="s">
        <v>2172</v>
      </c>
      <c r="S350" s="429">
        <v>74.7</v>
      </c>
      <c r="T350" s="430" t="s">
        <v>23</v>
      </c>
      <c r="U350" s="429" t="s">
        <v>928</v>
      </c>
      <c r="V350" s="401" t="s">
        <v>415</v>
      </c>
    </row>
    <row r="351" spans="2:103" s="329" customFormat="1" ht="21" x14ac:dyDescent="0.25">
      <c r="B351" s="424">
        <v>44605</v>
      </c>
      <c r="C351" s="422">
        <v>0.95833333333333337</v>
      </c>
      <c r="D351" s="425">
        <v>53</v>
      </c>
      <c r="E351" s="426">
        <v>12</v>
      </c>
      <c r="F351" s="427">
        <v>16.100000000000001</v>
      </c>
      <c r="G351" s="428">
        <v>1035</v>
      </c>
      <c r="H351" s="428">
        <v>1890</v>
      </c>
      <c r="I351" s="428">
        <v>99.4</v>
      </c>
      <c r="J351" s="428">
        <v>111.3</v>
      </c>
      <c r="K351" s="436" t="s">
        <v>2178</v>
      </c>
      <c r="L351" s="426">
        <v>37.85</v>
      </c>
      <c r="M351" s="426">
        <v>37</v>
      </c>
      <c r="N351" s="426">
        <v>50.69</v>
      </c>
      <c r="O351" s="429"/>
      <c r="P351" s="429" t="s">
        <v>142</v>
      </c>
      <c r="Q351" s="429" t="s">
        <v>142</v>
      </c>
      <c r="R351" s="429" t="s">
        <v>2179</v>
      </c>
      <c r="S351" s="429">
        <v>74.7</v>
      </c>
      <c r="T351" s="430" t="s">
        <v>23</v>
      </c>
      <c r="U351" s="429" t="s">
        <v>928</v>
      </c>
      <c r="V351" s="331" t="s">
        <v>2183</v>
      </c>
      <c r="W351" s="330"/>
      <c r="X351" s="330"/>
      <c r="Y351" s="330"/>
      <c r="Z351" s="330"/>
      <c r="AA351" s="330"/>
      <c r="AB351" s="330"/>
      <c r="AC351" s="330"/>
      <c r="AD351" s="330"/>
      <c r="AE351" s="330"/>
      <c r="AF351" s="330"/>
      <c r="AG351" s="330"/>
      <c r="AH351" s="330"/>
      <c r="AI351" s="330"/>
      <c r="AJ351" s="330"/>
      <c r="AK351" s="330"/>
      <c r="AL351" s="330"/>
      <c r="AM351" s="330"/>
      <c r="AN351" s="330"/>
      <c r="AO351" s="330"/>
      <c r="AP351" s="330"/>
      <c r="AQ351" s="330"/>
      <c r="AR351" s="330"/>
      <c r="AS351" s="330"/>
      <c r="AT351" s="330"/>
      <c r="AU351" s="330"/>
      <c r="AV351" s="330"/>
      <c r="AW351" s="330"/>
      <c r="AX351" s="330"/>
      <c r="AY351" s="330"/>
      <c r="AZ351" s="330"/>
      <c r="BA351" s="330"/>
      <c r="BB351" s="330"/>
      <c r="BC351" s="330"/>
      <c r="BD351" s="330"/>
      <c r="BE351" s="330"/>
      <c r="BF351" s="330"/>
      <c r="BG351" s="330"/>
      <c r="BH351" s="330"/>
      <c r="BI351" s="330"/>
      <c r="BJ351" s="330"/>
      <c r="BK351" s="330"/>
      <c r="BL351" s="330"/>
      <c r="BM351" s="330"/>
      <c r="BN351" s="330"/>
      <c r="BO351" s="330"/>
      <c r="BP351" s="330"/>
      <c r="BQ351" s="330"/>
      <c r="BR351" s="330"/>
      <c r="BS351" s="330"/>
      <c r="BT351" s="330"/>
      <c r="BU351" s="330"/>
      <c r="BV351" s="330"/>
      <c r="BW351" s="330"/>
      <c r="BX351" s="330"/>
      <c r="BY351" s="330"/>
      <c r="BZ351" s="330"/>
      <c r="CA351" s="330"/>
      <c r="CB351" s="330"/>
      <c r="CC351" s="330"/>
      <c r="CD351" s="330"/>
      <c r="CE351" s="330"/>
      <c r="CF351" s="330"/>
      <c r="CG351" s="330"/>
      <c r="CH351" s="330"/>
      <c r="CI351" s="330"/>
      <c r="CJ351" s="330"/>
      <c r="CK351" s="330"/>
      <c r="CL351" s="330"/>
    </row>
    <row r="352" spans="2:103" s="273" customFormat="1" ht="21" x14ac:dyDescent="0.25">
      <c r="B352" s="424">
        <v>44606</v>
      </c>
      <c r="C352" s="422">
        <v>0.95833333333333337</v>
      </c>
      <c r="D352" s="425">
        <v>53</v>
      </c>
      <c r="E352" s="426">
        <v>12.1</v>
      </c>
      <c r="F352" s="427">
        <v>16.100000000000001</v>
      </c>
      <c r="G352" s="428">
        <v>1091</v>
      </c>
      <c r="H352" s="428">
        <v>1971</v>
      </c>
      <c r="I352" s="428">
        <v>97.6</v>
      </c>
      <c r="J352" s="428">
        <v>114.3</v>
      </c>
      <c r="K352" s="436" t="s">
        <v>2186</v>
      </c>
      <c r="L352" s="426">
        <v>39.08</v>
      </c>
      <c r="M352" s="426">
        <v>37</v>
      </c>
      <c r="N352" s="426">
        <v>48.15</v>
      </c>
      <c r="O352" s="429"/>
      <c r="P352" s="429" t="s">
        <v>142</v>
      </c>
      <c r="Q352" s="429" t="s">
        <v>142</v>
      </c>
      <c r="R352" s="429" t="s">
        <v>1103</v>
      </c>
      <c r="S352" s="429">
        <v>68.8</v>
      </c>
      <c r="T352" s="430" t="s">
        <v>23</v>
      </c>
      <c r="U352" s="429" t="s">
        <v>928</v>
      </c>
      <c r="V352" s="332"/>
      <c r="CM352" s="271"/>
      <c r="CN352" s="271"/>
      <c r="CO352" s="271"/>
      <c r="CP352" s="271"/>
      <c r="CQ352" s="271"/>
      <c r="CR352" s="271"/>
      <c r="CS352" s="271"/>
      <c r="CT352" s="271"/>
      <c r="CU352" s="271"/>
      <c r="CV352" s="271"/>
      <c r="CW352" s="271"/>
      <c r="CX352" s="271"/>
      <c r="CY352" s="271"/>
    </row>
    <row r="353" spans="2:103" s="273" customFormat="1" ht="59.25" customHeight="1" x14ac:dyDescent="0.25">
      <c r="B353" s="424">
        <v>44607</v>
      </c>
      <c r="C353" s="422">
        <v>0.9375</v>
      </c>
      <c r="D353" s="425">
        <v>54</v>
      </c>
      <c r="E353" s="426">
        <v>12.3</v>
      </c>
      <c r="F353" s="427">
        <v>16.3</v>
      </c>
      <c r="G353" s="428">
        <v>1045</v>
      </c>
      <c r="H353" s="428">
        <v>1951</v>
      </c>
      <c r="I353" s="428">
        <v>99.4</v>
      </c>
      <c r="J353" s="428">
        <v>111.8</v>
      </c>
      <c r="K353" s="436" t="s">
        <v>2189</v>
      </c>
      <c r="L353" s="426">
        <v>38.270000000000003</v>
      </c>
      <c r="M353" s="426">
        <v>37</v>
      </c>
      <c r="N353" s="426">
        <v>50.81</v>
      </c>
      <c r="O353" s="429"/>
      <c r="P353" s="429" t="s">
        <v>142</v>
      </c>
      <c r="Q353" s="429" t="s">
        <v>142</v>
      </c>
      <c r="R353" s="429" t="s">
        <v>1286</v>
      </c>
      <c r="S353" s="429">
        <v>69.599999999999994</v>
      </c>
      <c r="T353" s="430" t="s">
        <v>23</v>
      </c>
      <c r="U353" s="429" t="s">
        <v>928</v>
      </c>
      <c r="V353" s="704" t="s">
        <v>2197</v>
      </c>
      <c r="CM353" s="271"/>
      <c r="CN353" s="271"/>
      <c r="CO353" s="271"/>
      <c r="CP353" s="271"/>
      <c r="CQ353" s="271"/>
      <c r="CR353" s="271"/>
      <c r="CS353" s="271"/>
      <c r="CT353" s="271"/>
      <c r="CU353" s="271"/>
      <c r="CV353" s="271"/>
      <c r="CW353" s="271"/>
      <c r="CX353" s="271"/>
      <c r="CY353" s="271"/>
    </row>
    <row r="354" spans="2:103" s="273" customFormat="1" ht="21" x14ac:dyDescent="0.25">
      <c r="B354" s="424">
        <v>44608</v>
      </c>
      <c r="C354" s="422">
        <v>0.95833333333333337</v>
      </c>
      <c r="D354" s="425">
        <v>54</v>
      </c>
      <c r="E354" s="426">
        <v>10.9</v>
      </c>
      <c r="F354" s="427">
        <v>15.1</v>
      </c>
      <c r="G354" s="428">
        <v>1092</v>
      </c>
      <c r="H354" s="428">
        <v>1954</v>
      </c>
      <c r="I354" s="428">
        <v>97.7</v>
      </c>
      <c r="J354" s="428">
        <v>117</v>
      </c>
      <c r="K354" s="436" t="s">
        <v>2201</v>
      </c>
      <c r="L354" s="426">
        <v>38.270000000000003</v>
      </c>
      <c r="M354" s="426">
        <v>37</v>
      </c>
      <c r="N354" s="426">
        <v>50.81</v>
      </c>
      <c r="O354" s="429"/>
      <c r="P354" s="429" t="s">
        <v>142</v>
      </c>
      <c r="Q354" s="429" t="s">
        <v>142</v>
      </c>
      <c r="R354" s="429" t="s">
        <v>2202</v>
      </c>
      <c r="S354" s="429">
        <v>64.5</v>
      </c>
      <c r="T354" s="430" t="s">
        <v>23</v>
      </c>
      <c r="U354" s="429" t="s">
        <v>928</v>
      </c>
      <c r="V354" s="328"/>
      <c r="CM354" s="271"/>
      <c r="CN354" s="271"/>
      <c r="CO354" s="271"/>
      <c r="CP354" s="271"/>
      <c r="CQ354" s="271"/>
      <c r="CR354" s="271"/>
      <c r="CS354" s="271"/>
      <c r="CT354" s="271"/>
      <c r="CU354" s="271"/>
      <c r="CV354" s="271"/>
      <c r="CW354" s="271"/>
      <c r="CX354" s="271"/>
      <c r="CY354" s="271"/>
    </row>
    <row r="355" spans="2:103" s="273" customFormat="1" ht="21" x14ac:dyDescent="0.25">
      <c r="B355" s="424">
        <v>44609</v>
      </c>
      <c r="C355" s="422">
        <v>0.9375</v>
      </c>
      <c r="D355" s="425">
        <v>54</v>
      </c>
      <c r="E355" s="426">
        <v>11.5</v>
      </c>
      <c r="F355" s="427">
        <v>15.7</v>
      </c>
      <c r="G355" s="428">
        <v>1039</v>
      </c>
      <c r="H355" s="428">
        <v>1924</v>
      </c>
      <c r="I355" s="428">
        <v>99.4</v>
      </c>
      <c r="J355" s="428">
        <v>112.3</v>
      </c>
      <c r="K355" s="436" t="s">
        <v>2210</v>
      </c>
      <c r="L355" s="426">
        <v>37.01</v>
      </c>
      <c r="M355" s="426">
        <v>37</v>
      </c>
      <c r="N355" s="426">
        <v>52.33</v>
      </c>
      <c r="O355" s="429"/>
      <c r="P355" s="429" t="s">
        <v>142</v>
      </c>
      <c r="Q355" s="429" t="s">
        <v>142</v>
      </c>
      <c r="R355" s="429" t="s">
        <v>1085</v>
      </c>
      <c r="S355" s="429">
        <v>67</v>
      </c>
      <c r="T355" s="430" t="s">
        <v>23</v>
      </c>
      <c r="U355" s="429" t="s">
        <v>928</v>
      </c>
      <c r="V355" s="328"/>
      <c r="CM355" s="271"/>
      <c r="CN355" s="271"/>
      <c r="CO355" s="271"/>
      <c r="CP355" s="271"/>
      <c r="CQ355" s="271"/>
      <c r="CR355" s="271"/>
      <c r="CS355" s="271"/>
      <c r="CT355" s="271"/>
      <c r="CU355" s="271"/>
      <c r="CV355" s="271"/>
      <c r="CW355" s="271"/>
      <c r="CX355" s="271"/>
      <c r="CY355" s="271"/>
    </row>
    <row r="356" spans="2:103" s="273" customFormat="1" ht="21" x14ac:dyDescent="0.25">
      <c r="B356" s="424">
        <v>44610</v>
      </c>
      <c r="C356" s="422">
        <v>0.9375</v>
      </c>
      <c r="D356" s="425">
        <v>52</v>
      </c>
      <c r="E356" s="426">
        <v>12</v>
      </c>
      <c r="F356" s="427">
        <v>16</v>
      </c>
      <c r="G356" s="428">
        <v>1155</v>
      </c>
      <c r="H356" s="428">
        <v>2087</v>
      </c>
      <c r="I356" s="428">
        <v>97</v>
      </c>
      <c r="J356" s="428">
        <v>118.1</v>
      </c>
      <c r="K356" s="436" t="s">
        <v>2217</v>
      </c>
      <c r="L356" s="426">
        <v>37.01</v>
      </c>
      <c r="M356" s="426">
        <v>37</v>
      </c>
      <c r="N356" s="426">
        <v>52.33</v>
      </c>
      <c r="O356" s="429"/>
      <c r="P356" s="429" t="s">
        <v>142</v>
      </c>
      <c r="Q356" s="429" t="s">
        <v>142</v>
      </c>
      <c r="R356" s="429" t="s">
        <v>981</v>
      </c>
      <c r="S356" s="430" t="s">
        <v>2218</v>
      </c>
      <c r="T356" s="430" t="s">
        <v>23</v>
      </c>
      <c r="U356" s="429" t="s">
        <v>928</v>
      </c>
      <c r="V356" s="328"/>
      <c r="CM356" s="271"/>
      <c r="CN356" s="271"/>
      <c r="CO356" s="271"/>
      <c r="CP356" s="271"/>
      <c r="CQ356" s="271"/>
      <c r="CR356" s="271"/>
      <c r="CS356" s="271"/>
      <c r="CT356" s="271"/>
      <c r="CU356" s="271"/>
      <c r="CV356" s="271"/>
      <c r="CW356" s="271"/>
      <c r="CX356" s="271"/>
      <c r="CY356" s="271"/>
    </row>
    <row r="357" spans="2:103" s="273" customFormat="1" ht="21" x14ac:dyDescent="0.25">
      <c r="B357" s="424">
        <v>44611</v>
      </c>
      <c r="C357" s="422">
        <v>0.95833333333333337</v>
      </c>
      <c r="D357" s="425">
        <v>53</v>
      </c>
      <c r="E357" s="426">
        <v>11.3</v>
      </c>
      <c r="F357" s="427">
        <v>15.4</v>
      </c>
      <c r="G357" s="428">
        <v>1054</v>
      </c>
      <c r="H357" s="428">
        <v>1903</v>
      </c>
      <c r="I357" s="428">
        <v>99.3</v>
      </c>
      <c r="J357" s="428">
        <v>111.8</v>
      </c>
      <c r="K357" s="436" t="s">
        <v>2223</v>
      </c>
      <c r="L357" s="426">
        <v>37.590000000000003</v>
      </c>
      <c r="M357" s="426">
        <v>37</v>
      </c>
      <c r="N357" s="426">
        <v>52.11</v>
      </c>
      <c r="O357" s="429"/>
      <c r="P357" s="429" t="s">
        <v>142</v>
      </c>
      <c r="Q357" s="429" t="s">
        <v>142</v>
      </c>
      <c r="R357" s="429" t="s">
        <v>2224</v>
      </c>
      <c r="S357" s="430" t="s">
        <v>2225</v>
      </c>
      <c r="T357" s="430" t="s">
        <v>23</v>
      </c>
      <c r="U357" s="429" t="s">
        <v>928</v>
      </c>
      <c r="V357" s="328"/>
      <c r="CM357" s="271"/>
      <c r="CN357" s="271"/>
      <c r="CO357" s="271"/>
      <c r="CP357" s="271"/>
      <c r="CQ357" s="271"/>
      <c r="CR357" s="271"/>
      <c r="CS357" s="271"/>
      <c r="CT357" s="271"/>
      <c r="CU357" s="271"/>
      <c r="CV357" s="271"/>
      <c r="CW357" s="271"/>
      <c r="CX357" s="271"/>
      <c r="CY357" s="271"/>
    </row>
    <row r="358" spans="2:103" s="273" customFormat="1" ht="21" x14ac:dyDescent="0.25">
      <c r="B358" s="424">
        <v>44612</v>
      </c>
      <c r="C358" s="422">
        <v>0.95833333333333337</v>
      </c>
      <c r="D358" s="425">
        <v>51</v>
      </c>
      <c r="E358" s="426">
        <v>11.4</v>
      </c>
      <c r="F358" s="427">
        <v>15.4</v>
      </c>
      <c r="G358" s="428">
        <v>1154</v>
      </c>
      <c r="H358" s="428">
        <v>2067</v>
      </c>
      <c r="I358" s="428">
        <v>96.6</v>
      </c>
      <c r="J358" s="428">
        <v>116.7</v>
      </c>
      <c r="K358" s="436" t="s">
        <v>2229</v>
      </c>
      <c r="L358" s="426">
        <v>37.590000000000003</v>
      </c>
      <c r="M358" s="426">
        <v>37</v>
      </c>
      <c r="N358" s="426">
        <v>52.11</v>
      </c>
      <c r="O358" s="429"/>
      <c r="P358" s="429" t="s">
        <v>142</v>
      </c>
      <c r="Q358" s="429" t="s">
        <v>142</v>
      </c>
      <c r="R358" s="429" t="s">
        <v>865</v>
      </c>
      <c r="S358" s="430" t="s">
        <v>2230</v>
      </c>
      <c r="T358" s="430" t="s">
        <v>23</v>
      </c>
      <c r="U358" s="429" t="s">
        <v>928</v>
      </c>
      <c r="V358" s="328"/>
      <c r="CM358" s="271"/>
      <c r="CN358" s="271"/>
      <c r="CO358" s="271"/>
      <c r="CP358" s="271"/>
      <c r="CQ358" s="271"/>
      <c r="CR358" s="271"/>
      <c r="CS358" s="271"/>
      <c r="CT358" s="271"/>
      <c r="CU358" s="271"/>
      <c r="CV358" s="271"/>
      <c r="CW358" s="271"/>
      <c r="CX358" s="271"/>
      <c r="CY358" s="271"/>
    </row>
    <row r="359" spans="2:103" s="273" customFormat="1" ht="21" x14ac:dyDescent="0.25">
      <c r="B359" s="424">
        <v>44613</v>
      </c>
      <c r="C359" s="422">
        <v>0.95833333333333337</v>
      </c>
      <c r="D359" s="425">
        <v>51</v>
      </c>
      <c r="E359" s="426">
        <v>11.4</v>
      </c>
      <c r="F359" s="427">
        <v>15.4</v>
      </c>
      <c r="G359" s="428">
        <v>1154</v>
      </c>
      <c r="H359" s="428">
        <v>2067</v>
      </c>
      <c r="I359" s="428">
        <v>96.6</v>
      </c>
      <c r="J359" s="428">
        <v>116.7</v>
      </c>
      <c r="K359" s="436" t="s">
        <v>2229</v>
      </c>
      <c r="L359" s="426">
        <v>36.520000000000003</v>
      </c>
      <c r="M359" s="426">
        <v>37</v>
      </c>
      <c r="N359" s="426">
        <v>48</v>
      </c>
      <c r="O359" s="429"/>
      <c r="P359" s="429" t="s">
        <v>142</v>
      </c>
      <c r="Q359" s="429" t="s">
        <v>142</v>
      </c>
      <c r="R359" s="429" t="s">
        <v>865</v>
      </c>
      <c r="S359" s="430" t="s">
        <v>2230</v>
      </c>
      <c r="T359" s="430" t="s">
        <v>23</v>
      </c>
      <c r="U359" s="429" t="s">
        <v>928</v>
      </c>
      <c r="V359" s="328"/>
      <c r="CM359" s="271"/>
      <c r="CN359" s="271"/>
      <c r="CO359" s="271"/>
      <c r="CP359" s="271"/>
      <c r="CQ359" s="271"/>
      <c r="CR359" s="271"/>
      <c r="CS359" s="271"/>
      <c r="CT359" s="271"/>
      <c r="CU359" s="271"/>
      <c r="CV359" s="271"/>
      <c r="CW359" s="271"/>
      <c r="CX359" s="271"/>
      <c r="CY359" s="271"/>
    </row>
    <row r="360" spans="2:103" s="273" customFormat="1" ht="21" x14ac:dyDescent="0.25">
      <c r="B360" s="424">
        <v>44614</v>
      </c>
      <c r="C360" s="710">
        <v>0.9375</v>
      </c>
      <c r="D360" s="425">
        <v>53</v>
      </c>
      <c r="E360" s="426">
        <v>11.2</v>
      </c>
      <c r="F360" s="427">
        <v>15.4</v>
      </c>
      <c r="G360" s="428">
        <v>1034</v>
      </c>
      <c r="H360" s="428">
        <v>1863</v>
      </c>
      <c r="I360" s="428">
        <v>99.3</v>
      </c>
      <c r="J360" s="428">
        <v>111.4</v>
      </c>
      <c r="K360" s="436" t="s">
        <v>2236</v>
      </c>
      <c r="L360" s="426">
        <v>36.65</v>
      </c>
      <c r="M360" s="426">
        <v>37</v>
      </c>
      <c r="N360" s="426">
        <v>51.49</v>
      </c>
      <c r="O360" s="429"/>
      <c r="P360" s="429" t="s">
        <v>142</v>
      </c>
      <c r="Q360" s="429" t="s">
        <v>142</v>
      </c>
      <c r="R360" s="429" t="s">
        <v>2041</v>
      </c>
      <c r="S360" s="430" t="s">
        <v>2225</v>
      </c>
      <c r="T360" s="430" t="s">
        <v>23</v>
      </c>
      <c r="U360" s="429" t="s">
        <v>928</v>
      </c>
      <c r="V360" s="328"/>
      <c r="CM360" s="271"/>
      <c r="CN360" s="271"/>
      <c r="CO360" s="271"/>
      <c r="CP360" s="271"/>
      <c r="CQ360" s="271"/>
      <c r="CR360" s="271"/>
      <c r="CS360" s="271"/>
      <c r="CT360" s="271"/>
      <c r="CU360" s="271"/>
      <c r="CV360" s="271"/>
      <c r="CW360" s="271"/>
      <c r="CX360" s="271"/>
      <c r="CY360" s="271"/>
    </row>
    <row r="361" spans="2:103" s="273" customFormat="1" ht="21" x14ac:dyDescent="0.25">
      <c r="B361" s="424">
        <v>44615</v>
      </c>
      <c r="C361" s="710">
        <v>0.95833333333333337</v>
      </c>
      <c r="D361" s="425">
        <v>53</v>
      </c>
      <c r="E361" s="426">
        <v>7.1</v>
      </c>
      <c r="F361" s="427">
        <v>13.1</v>
      </c>
      <c r="G361" s="428">
        <v>1148</v>
      </c>
      <c r="H361" s="428">
        <v>1929</v>
      </c>
      <c r="I361" s="428">
        <v>96.7</v>
      </c>
      <c r="J361" s="428">
        <v>118.3</v>
      </c>
      <c r="K361" s="436" t="s">
        <v>2242</v>
      </c>
      <c r="L361" s="426">
        <v>36.65</v>
      </c>
      <c r="M361" s="426">
        <v>37</v>
      </c>
      <c r="N361" s="426">
        <v>51.49</v>
      </c>
      <c r="O361" s="429"/>
      <c r="P361" s="429" t="s">
        <v>142</v>
      </c>
      <c r="Q361" s="429" t="s">
        <v>142</v>
      </c>
      <c r="R361" s="429" t="s">
        <v>2243</v>
      </c>
      <c r="S361" s="430" t="s">
        <v>2244</v>
      </c>
      <c r="T361" s="430" t="s">
        <v>23</v>
      </c>
      <c r="U361" s="429" t="s">
        <v>928</v>
      </c>
      <c r="V361" s="328" t="s">
        <v>2245</v>
      </c>
      <c r="CM361" s="271"/>
      <c r="CN361" s="271"/>
      <c r="CO361" s="271"/>
      <c r="CP361" s="271"/>
      <c r="CQ361" s="271"/>
      <c r="CR361" s="271"/>
      <c r="CS361" s="271"/>
      <c r="CT361" s="271"/>
      <c r="CU361" s="271"/>
      <c r="CV361" s="271"/>
      <c r="CW361" s="271"/>
      <c r="CX361" s="271"/>
      <c r="CY361" s="271"/>
    </row>
    <row r="362" spans="2:103" s="273" customFormat="1" ht="21" x14ac:dyDescent="0.25">
      <c r="B362" s="424">
        <v>44616</v>
      </c>
      <c r="C362" s="710">
        <v>0.95833333333333337</v>
      </c>
      <c r="D362" s="425">
        <v>53</v>
      </c>
      <c r="E362" s="426">
        <v>11.5</v>
      </c>
      <c r="F362" s="427">
        <v>15.7</v>
      </c>
      <c r="G362" s="428">
        <v>1075</v>
      </c>
      <c r="H362" s="428">
        <v>2073</v>
      </c>
      <c r="I362" s="428">
        <v>99.3</v>
      </c>
      <c r="J362" s="428">
        <v>112.2</v>
      </c>
      <c r="K362" s="436" t="s">
        <v>2247</v>
      </c>
      <c r="L362" s="426">
        <v>40</v>
      </c>
      <c r="M362" s="426">
        <v>37</v>
      </c>
      <c r="N362" s="426">
        <v>49.23</v>
      </c>
      <c r="O362" s="429"/>
      <c r="P362" s="429" t="s">
        <v>142</v>
      </c>
      <c r="Q362" s="429" t="s">
        <v>142</v>
      </c>
      <c r="R362" s="429" t="s">
        <v>1185</v>
      </c>
      <c r="S362" s="430" t="s">
        <v>2248</v>
      </c>
      <c r="T362" s="430" t="s">
        <v>23</v>
      </c>
      <c r="U362" s="429" t="s">
        <v>928</v>
      </c>
      <c r="V362" s="711" t="s">
        <v>415</v>
      </c>
      <c r="CM362" s="271"/>
      <c r="CN362" s="271"/>
      <c r="CO362" s="271"/>
      <c r="CP362" s="271"/>
      <c r="CQ362" s="271"/>
      <c r="CR362" s="271"/>
      <c r="CS362" s="271"/>
      <c r="CT362" s="271"/>
      <c r="CU362" s="271"/>
      <c r="CV362" s="271"/>
      <c r="CW362" s="271"/>
      <c r="CX362" s="271"/>
      <c r="CY362" s="271"/>
    </row>
    <row r="363" spans="2:103" s="273" customFormat="1" ht="21" x14ac:dyDescent="0.25">
      <c r="B363" s="424">
        <v>44617</v>
      </c>
      <c r="C363" s="710">
        <v>0.95833333333333337</v>
      </c>
      <c r="D363" s="425">
        <v>53</v>
      </c>
      <c r="E363" s="426">
        <v>11.8</v>
      </c>
      <c r="F363" s="427">
        <v>15.9</v>
      </c>
      <c r="G363" s="428">
        <v>1082</v>
      </c>
      <c r="H363" s="428">
        <v>1891</v>
      </c>
      <c r="I363" s="428">
        <v>99</v>
      </c>
      <c r="J363" s="428">
        <v>111.4</v>
      </c>
      <c r="K363" s="436" t="s">
        <v>2254</v>
      </c>
      <c r="L363" s="426">
        <v>37.56</v>
      </c>
      <c r="M363" s="426">
        <v>37</v>
      </c>
      <c r="N363" s="426">
        <v>53.32</v>
      </c>
      <c r="O363" s="429"/>
      <c r="P363" s="429" t="s">
        <v>142</v>
      </c>
      <c r="Q363" s="429" t="s">
        <v>142</v>
      </c>
      <c r="R363" s="429" t="s">
        <v>2255</v>
      </c>
      <c r="S363" s="430" t="s">
        <v>2256</v>
      </c>
      <c r="T363" s="430" t="s">
        <v>23</v>
      </c>
      <c r="U363" s="429" t="s">
        <v>928</v>
      </c>
      <c r="V363" s="318"/>
      <c r="CM363" s="271"/>
      <c r="CN363" s="271"/>
      <c r="CO363" s="271"/>
      <c r="CP363" s="271"/>
      <c r="CQ363" s="271"/>
      <c r="CR363" s="271"/>
      <c r="CS363" s="271"/>
      <c r="CT363" s="271"/>
      <c r="CU363" s="271"/>
      <c r="CV363" s="271"/>
      <c r="CW363" s="271"/>
      <c r="CX363" s="271"/>
      <c r="CY363" s="271"/>
    </row>
    <row r="364" spans="2:103" s="273" customFormat="1" ht="31.5" x14ac:dyDescent="0.25">
      <c r="B364" s="424">
        <v>44618</v>
      </c>
      <c r="C364" s="710">
        <v>0.9375</v>
      </c>
      <c r="D364" s="425">
        <v>53</v>
      </c>
      <c r="E364" s="426">
        <v>12</v>
      </c>
      <c r="F364" s="427">
        <v>16</v>
      </c>
      <c r="G364" s="428">
        <v>1088</v>
      </c>
      <c r="H364" s="428">
        <v>1914</v>
      </c>
      <c r="I364" s="428">
        <v>98.6</v>
      </c>
      <c r="J364" s="428">
        <v>111.1</v>
      </c>
      <c r="K364" s="436" t="s">
        <v>2262</v>
      </c>
      <c r="L364" s="426">
        <v>37.92</v>
      </c>
      <c r="M364" s="426">
        <v>37</v>
      </c>
      <c r="N364" s="426">
        <v>50.92</v>
      </c>
      <c r="O364" s="429"/>
      <c r="P364" s="429" t="s">
        <v>142</v>
      </c>
      <c r="Q364" s="429" t="s">
        <v>142</v>
      </c>
      <c r="R364" s="429" t="s">
        <v>981</v>
      </c>
      <c r="S364" s="430" t="s">
        <v>2218</v>
      </c>
      <c r="T364" s="430" t="s">
        <v>23</v>
      </c>
      <c r="U364" s="429" t="s">
        <v>928</v>
      </c>
      <c r="V364" s="712" t="s">
        <v>2266</v>
      </c>
      <c r="CM364" s="271"/>
      <c r="CN364" s="271"/>
      <c r="CO364" s="271"/>
      <c r="CP364" s="271"/>
      <c r="CQ364" s="271"/>
      <c r="CR364" s="271"/>
      <c r="CS364" s="271"/>
      <c r="CT364" s="271"/>
      <c r="CU364" s="271"/>
      <c r="CV364" s="271"/>
      <c r="CW364" s="271"/>
      <c r="CX364" s="271"/>
      <c r="CY364" s="271"/>
    </row>
    <row r="365" spans="2:103" s="273" customFormat="1" ht="21" x14ac:dyDescent="0.25">
      <c r="B365" s="424">
        <v>44619</v>
      </c>
      <c r="C365" s="710">
        <v>0.95833333333333337</v>
      </c>
      <c r="D365" s="425">
        <v>53</v>
      </c>
      <c r="E365" s="426">
        <v>11.7</v>
      </c>
      <c r="F365" s="427">
        <v>15.8</v>
      </c>
      <c r="G365" s="428">
        <v>1081</v>
      </c>
      <c r="H365" s="428">
        <v>1904</v>
      </c>
      <c r="I365" s="428">
        <v>98.8</v>
      </c>
      <c r="J365" s="428">
        <v>110</v>
      </c>
      <c r="K365" s="436" t="s">
        <v>2269</v>
      </c>
      <c r="L365" s="426">
        <v>37.67</v>
      </c>
      <c r="M365" s="426">
        <v>37</v>
      </c>
      <c r="N365" s="426">
        <v>52.95</v>
      </c>
      <c r="O365" s="429"/>
      <c r="P365" s="429" t="s">
        <v>142</v>
      </c>
      <c r="Q365" s="429" t="s">
        <v>142</v>
      </c>
      <c r="R365" s="429" t="s">
        <v>1256</v>
      </c>
      <c r="S365" s="430" t="s">
        <v>2248</v>
      </c>
      <c r="T365" s="430" t="s">
        <v>23</v>
      </c>
      <c r="U365" s="429" t="s">
        <v>928</v>
      </c>
      <c r="V365" s="335"/>
      <c r="CM365" s="271"/>
      <c r="CN365" s="271"/>
      <c r="CO365" s="271"/>
      <c r="CP365" s="271"/>
      <c r="CQ365" s="271"/>
      <c r="CR365" s="271"/>
      <c r="CS365" s="271"/>
      <c r="CT365" s="271"/>
      <c r="CU365" s="271"/>
      <c r="CV365" s="271"/>
      <c r="CW365" s="271"/>
      <c r="CX365" s="271"/>
      <c r="CY365" s="271"/>
    </row>
    <row r="366" spans="2:103" s="273" customFormat="1" ht="21" x14ac:dyDescent="0.25">
      <c r="B366" s="424">
        <v>44620</v>
      </c>
      <c r="C366" s="710">
        <v>0.95833333333333337</v>
      </c>
      <c r="D366" s="425">
        <v>53</v>
      </c>
      <c r="E366" s="426">
        <v>11.7</v>
      </c>
      <c r="F366" s="427">
        <v>15.6</v>
      </c>
      <c r="G366" s="428">
        <v>1108</v>
      </c>
      <c r="H366" s="428">
        <v>2046</v>
      </c>
      <c r="I366" s="428">
        <v>98.2</v>
      </c>
      <c r="J366" s="428">
        <v>111.6</v>
      </c>
      <c r="K366" s="436" t="s">
        <v>2272</v>
      </c>
      <c r="L366" s="426">
        <v>38.130000000000003</v>
      </c>
      <c r="M366" s="426">
        <v>37</v>
      </c>
      <c r="N366" s="426">
        <v>50.95</v>
      </c>
      <c r="O366" s="429"/>
      <c r="P366" s="429" t="s">
        <v>142</v>
      </c>
      <c r="Q366" s="429" t="s">
        <v>142</v>
      </c>
      <c r="R366" s="429" t="s">
        <v>1185</v>
      </c>
      <c r="S366" s="430" t="s">
        <v>2230</v>
      </c>
      <c r="T366" s="430" t="s">
        <v>23</v>
      </c>
      <c r="U366" s="429" t="s">
        <v>928</v>
      </c>
      <c r="V366" s="335"/>
      <c r="CM366" s="271"/>
      <c r="CN366" s="271"/>
      <c r="CO366" s="271"/>
      <c r="CP366" s="271"/>
      <c r="CQ366" s="271"/>
      <c r="CR366" s="271"/>
      <c r="CS366" s="271"/>
      <c r="CT366" s="271"/>
      <c r="CU366" s="271"/>
      <c r="CV366" s="271"/>
      <c r="CW366" s="271"/>
      <c r="CX366" s="271"/>
      <c r="CY366" s="271"/>
    </row>
    <row r="367" spans="2:103" s="273" customFormat="1" ht="21" x14ac:dyDescent="0.25">
      <c r="B367" s="424">
        <v>44621</v>
      </c>
      <c r="C367" s="710">
        <v>0.95833333333333337</v>
      </c>
      <c r="D367" s="425">
        <v>53</v>
      </c>
      <c r="E367" s="426">
        <v>11.5</v>
      </c>
      <c r="F367" s="427">
        <v>15.6</v>
      </c>
      <c r="G367" s="428">
        <v>1097</v>
      </c>
      <c r="H367" s="428">
        <v>1855</v>
      </c>
      <c r="I367" s="428">
        <v>98.7</v>
      </c>
      <c r="J367" s="428">
        <v>112.1</v>
      </c>
      <c r="K367" s="436" t="s">
        <v>2272</v>
      </c>
      <c r="L367" s="426">
        <v>38.270000000000003</v>
      </c>
      <c r="M367" s="426">
        <v>37</v>
      </c>
      <c r="N367" s="426">
        <v>53.21</v>
      </c>
      <c r="O367" s="429"/>
      <c r="P367" s="429" t="s">
        <v>142</v>
      </c>
      <c r="Q367" s="429" t="s">
        <v>142</v>
      </c>
      <c r="R367" s="429" t="s">
        <v>1185</v>
      </c>
      <c r="S367" s="430" t="s">
        <v>2230</v>
      </c>
      <c r="T367" s="430" t="s">
        <v>23</v>
      </c>
      <c r="U367" s="429" t="s">
        <v>928</v>
      </c>
      <c r="V367" s="328"/>
      <c r="CM367" s="271"/>
      <c r="CN367" s="271"/>
      <c r="CO367" s="271"/>
      <c r="CP367" s="271"/>
      <c r="CQ367" s="271"/>
      <c r="CR367" s="271"/>
      <c r="CS367" s="271"/>
      <c r="CT367" s="271"/>
      <c r="CU367" s="271"/>
      <c r="CV367" s="271"/>
      <c r="CW367" s="271"/>
      <c r="CX367" s="271"/>
      <c r="CY367" s="271"/>
    </row>
    <row r="368" spans="2:103" s="273" customFormat="1" ht="21" x14ac:dyDescent="0.25">
      <c r="B368" s="424">
        <v>44622</v>
      </c>
      <c r="C368" s="710">
        <v>0.95833333333333337</v>
      </c>
      <c r="D368" s="425">
        <v>53</v>
      </c>
      <c r="E368" s="426">
        <v>11.5</v>
      </c>
      <c r="F368" s="427">
        <v>15.6</v>
      </c>
      <c r="G368" s="428">
        <v>1097</v>
      </c>
      <c r="H368" s="428">
        <v>1855</v>
      </c>
      <c r="I368" s="428">
        <v>98.7</v>
      </c>
      <c r="J368" s="428">
        <v>112.1</v>
      </c>
      <c r="K368" s="436" t="s">
        <v>2272</v>
      </c>
      <c r="L368" s="426">
        <v>38.270000000000003</v>
      </c>
      <c r="M368" s="426">
        <v>37</v>
      </c>
      <c r="N368" s="426">
        <v>53.21</v>
      </c>
      <c r="O368" s="429"/>
      <c r="P368" s="429" t="s">
        <v>142</v>
      </c>
      <c r="Q368" s="429" t="s">
        <v>142</v>
      </c>
      <c r="R368" s="429" t="s">
        <v>1185</v>
      </c>
      <c r="S368" s="430" t="s">
        <v>2230</v>
      </c>
      <c r="T368" s="430" t="s">
        <v>23</v>
      </c>
      <c r="U368" s="429" t="s">
        <v>928</v>
      </c>
      <c r="V368" s="328"/>
      <c r="CM368" s="271"/>
      <c r="CN368" s="271"/>
      <c r="CO368" s="271"/>
      <c r="CP368" s="271"/>
      <c r="CQ368" s="271"/>
      <c r="CR368" s="271"/>
      <c r="CS368" s="271"/>
      <c r="CT368" s="271"/>
      <c r="CU368" s="271"/>
      <c r="CV368" s="271"/>
      <c r="CW368" s="271"/>
      <c r="CX368" s="271"/>
      <c r="CY368" s="271"/>
    </row>
    <row r="369" spans="2:103" s="273" customFormat="1" ht="21" x14ac:dyDescent="0.25">
      <c r="B369" s="424">
        <v>44623</v>
      </c>
      <c r="C369" s="710">
        <v>0.97916666666666663</v>
      </c>
      <c r="D369" s="425">
        <v>53</v>
      </c>
      <c r="E369" s="426">
        <v>13.7</v>
      </c>
      <c r="F369" s="427">
        <v>17.399999999999999</v>
      </c>
      <c r="G369" s="428">
        <v>1116</v>
      </c>
      <c r="H369" s="428">
        <v>2056</v>
      </c>
      <c r="I369" s="428">
        <v>98.6</v>
      </c>
      <c r="J369" s="428">
        <v>114.6</v>
      </c>
      <c r="K369" s="436" t="s">
        <v>2285</v>
      </c>
      <c r="L369" s="426">
        <v>36.479999999999997</v>
      </c>
      <c r="M369" s="426">
        <v>37</v>
      </c>
      <c r="N369" s="426">
        <v>55.39</v>
      </c>
      <c r="O369" s="429"/>
      <c r="P369" s="429" t="s">
        <v>142</v>
      </c>
      <c r="Q369" s="429" t="s">
        <v>142</v>
      </c>
      <c r="R369" s="429" t="s">
        <v>2286</v>
      </c>
      <c r="S369" s="430" t="s">
        <v>2287</v>
      </c>
      <c r="T369" s="430" t="s">
        <v>23</v>
      </c>
      <c r="U369" s="429" t="s">
        <v>928</v>
      </c>
      <c r="V369" s="328"/>
      <c r="CM369" s="271"/>
      <c r="CN369" s="271"/>
      <c r="CO369" s="271"/>
      <c r="CP369" s="271"/>
      <c r="CQ369" s="271"/>
      <c r="CR369" s="271"/>
      <c r="CS369" s="271"/>
      <c r="CT369" s="271"/>
      <c r="CU369" s="271"/>
      <c r="CV369" s="271"/>
      <c r="CW369" s="271"/>
      <c r="CX369" s="271"/>
      <c r="CY369" s="271"/>
    </row>
    <row r="370" spans="2:103" s="273" customFormat="1" ht="21" x14ac:dyDescent="0.25">
      <c r="B370" s="424">
        <v>44624</v>
      </c>
      <c r="C370" s="710">
        <v>0.91666666666666663</v>
      </c>
      <c r="D370" s="425">
        <v>53</v>
      </c>
      <c r="E370" s="426">
        <v>11</v>
      </c>
      <c r="F370" s="427">
        <v>15.2</v>
      </c>
      <c r="G370" s="428">
        <v>1073</v>
      </c>
      <c r="H370" s="428">
        <v>1846</v>
      </c>
      <c r="I370" s="428">
        <v>98.8</v>
      </c>
      <c r="J370" s="428">
        <v>111</v>
      </c>
      <c r="K370" s="436" t="s">
        <v>2296</v>
      </c>
      <c r="L370" s="426">
        <v>36.479999999999997</v>
      </c>
      <c r="M370" s="426">
        <v>37</v>
      </c>
      <c r="N370" s="426">
        <v>55.39</v>
      </c>
      <c r="O370" s="429"/>
      <c r="P370" s="429" t="s">
        <v>142</v>
      </c>
      <c r="Q370" s="429" t="s">
        <v>142</v>
      </c>
      <c r="R370" s="429" t="s">
        <v>2053</v>
      </c>
      <c r="S370" s="430" t="s">
        <v>2297</v>
      </c>
      <c r="T370" s="430" t="s">
        <v>23</v>
      </c>
      <c r="U370" s="429" t="s">
        <v>928</v>
      </c>
      <c r="V370" s="322"/>
      <c r="CM370" s="271"/>
      <c r="CN370" s="271"/>
      <c r="CO370" s="271"/>
      <c r="CP370" s="271"/>
      <c r="CQ370" s="271"/>
      <c r="CR370" s="271"/>
      <c r="CS370" s="271"/>
      <c r="CT370" s="271"/>
      <c r="CU370" s="271"/>
      <c r="CV370" s="271"/>
      <c r="CW370" s="271"/>
      <c r="CX370" s="271"/>
      <c r="CY370" s="271"/>
    </row>
    <row r="371" spans="2:103" s="273" customFormat="1" ht="21" x14ac:dyDescent="0.25">
      <c r="B371" s="424">
        <v>44625</v>
      </c>
      <c r="C371" s="710">
        <v>0.9375</v>
      </c>
      <c r="D371" s="425">
        <v>53</v>
      </c>
      <c r="E371" s="426">
        <v>11.6</v>
      </c>
      <c r="F371" s="427">
        <v>15.7</v>
      </c>
      <c r="G371" s="428">
        <v>1083</v>
      </c>
      <c r="H371" s="428">
        <v>1859</v>
      </c>
      <c r="I371" s="428">
        <v>98.8</v>
      </c>
      <c r="J371" s="428">
        <v>111.7</v>
      </c>
      <c r="K371" s="436" t="s">
        <v>2302</v>
      </c>
      <c r="L371" s="426">
        <v>38.85</v>
      </c>
      <c r="M371" s="426">
        <v>37</v>
      </c>
      <c r="N371" s="426">
        <v>53.13</v>
      </c>
      <c r="O371" s="429"/>
      <c r="P371" s="429" t="s">
        <v>142</v>
      </c>
      <c r="Q371" s="429" t="s">
        <v>142</v>
      </c>
      <c r="R371" s="429" t="s">
        <v>1385</v>
      </c>
      <c r="S371" s="430" t="s">
        <v>2303</v>
      </c>
      <c r="T371" s="430" t="s">
        <v>23</v>
      </c>
      <c r="U371" s="429" t="s">
        <v>928</v>
      </c>
      <c r="V371" s="322"/>
      <c r="CM371" s="271"/>
      <c r="CN371" s="271"/>
      <c r="CO371" s="271"/>
      <c r="CP371" s="271"/>
      <c r="CQ371" s="271"/>
      <c r="CR371" s="271"/>
      <c r="CS371" s="271"/>
      <c r="CT371" s="271"/>
      <c r="CU371" s="271"/>
      <c r="CV371" s="271"/>
      <c r="CW371" s="271"/>
      <c r="CX371" s="271"/>
      <c r="CY371" s="271"/>
    </row>
    <row r="372" spans="2:103" s="273" customFormat="1" ht="21" x14ac:dyDescent="0.25">
      <c r="B372" s="424">
        <v>44626</v>
      </c>
      <c r="C372" s="710">
        <v>0.9375</v>
      </c>
      <c r="D372" s="425">
        <v>53</v>
      </c>
      <c r="E372" s="426">
        <v>11.4</v>
      </c>
      <c r="F372" s="427">
        <v>15.5</v>
      </c>
      <c r="G372" s="428">
        <v>1066</v>
      </c>
      <c r="H372" s="428">
        <v>1912</v>
      </c>
      <c r="I372" s="428">
        <v>99.1</v>
      </c>
      <c r="J372" s="428">
        <v>112.2</v>
      </c>
      <c r="K372" s="436" t="s">
        <v>2307</v>
      </c>
      <c r="L372" s="426">
        <v>37.76</v>
      </c>
      <c r="M372" s="426">
        <v>37</v>
      </c>
      <c r="N372" s="426">
        <v>51.41</v>
      </c>
      <c r="O372" s="429"/>
      <c r="P372" s="429" t="s">
        <v>142</v>
      </c>
      <c r="Q372" s="429" t="s">
        <v>142</v>
      </c>
      <c r="R372" s="429" t="s">
        <v>974</v>
      </c>
      <c r="S372" s="430" t="s">
        <v>2308</v>
      </c>
      <c r="T372" s="430" t="s">
        <v>23</v>
      </c>
      <c r="U372" s="429" t="s">
        <v>928</v>
      </c>
      <c r="V372" s="322"/>
      <c r="CM372" s="271"/>
      <c r="CN372" s="271"/>
      <c r="CO372" s="271"/>
      <c r="CP372" s="271"/>
      <c r="CQ372" s="271"/>
      <c r="CR372" s="271"/>
      <c r="CS372" s="271"/>
      <c r="CT372" s="271"/>
      <c r="CU372" s="271"/>
      <c r="CV372" s="271"/>
      <c r="CW372" s="271"/>
      <c r="CX372" s="271"/>
      <c r="CY372" s="271"/>
    </row>
    <row r="373" spans="2:103" s="273" customFormat="1" ht="21" x14ac:dyDescent="0.25">
      <c r="B373" s="424">
        <v>44627</v>
      </c>
      <c r="C373" s="710">
        <v>0.9375</v>
      </c>
      <c r="D373" s="425">
        <v>53</v>
      </c>
      <c r="E373" s="426">
        <v>14.6</v>
      </c>
      <c r="F373" s="427">
        <v>17.899999999999999</v>
      </c>
      <c r="G373" s="428">
        <v>1125</v>
      </c>
      <c r="H373" s="428">
        <v>2062</v>
      </c>
      <c r="I373" s="428">
        <v>99</v>
      </c>
      <c r="J373" s="428">
        <v>115.8</v>
      </c>
      <c r="K373" s="436" t="s">
        <v>2314</v>
      </c>
      <c r="L373" s="426">
        <v>38.479999999999997</v>
      </c>
      <c r="M373" s="426">
        <v>37</v>
      </c>
      <c r="N373" s="426">
        <v>52.42</v>
      </c>
      <c r="O373" s="429"/>
      <c r="P373" s="429" t="s">
        <v>142</v>
      </c>
      <c r="Q373" s="429" t="s">
        <v>142</v>
      </c>
      <c r="R373" s="429" t="s">
        <v>2315</v>
      </c>
      <c r="S373" s="430" t="s">
        <v>2316</v>
      </c>
      <c r="T373" s="430" t="s">
        <v>23</v>
      </c>
      <c r="U373" s="429" t="s">
        <v>928</v>
      </c>
      <c r="V373" s="322"/>
      <c r="CM373" s="271"/>
      <c r="CN373" s="271"/>
      <c r="CO373" s="271"/>
      <c r="CP373" s="271"/>
      <c r="CQ373" s="271"/>
      <c r="CR373" s="271"/>
      <c r="CS373" s="271"/>
      <c r="CT373" s="271"/>
      <c r="CU373" s="271"/>
      <c r="CV373" s="271"/>
      <c r="CW373" s="271"/>
      <c r="CX373" s="271"/>
      <c r="CY373" s="271"/>
    </row>
    <row r="374" spans="2:103" s="273" customFormat="1" ht="21" x14ac:dyDescent="0.25">
      <c r="B374" s="424">
        <v>44628</v>
      </c>
      <c r="C374" s="710">
        <v>0.9375</v>
      </c>
      <c r="D374" s="425">
        <v>53</v>
      </c>
      <c r="E374" s="426">
        <v>11.9</v>
      </c>
      <c r="F374" s="427">
        <v>15.8</v>
      </c>
      <c r="G374" s="428">
        <v>1054</v>
      </c>
      <c r="H374" s="428">
        <v>1882</v>
      </c>
      <c r="I374" s="428">
        <v>99.3</v>
      </c>
      <c r="J374" s="428">
        <v>114.7</v>
      </c>
      <c r="K374" s="436" t="s">
        <v>2324</v>
      </c>
      <c r="L374" s="426">
        <v>36.08</v>
      </c>
      <c r="M374" s="426">
        <v>37</v>
      </c>
      <c r="N374" s="426">
        <v>52.33</v>
      </c>
      <c r="O374" s="429"/>
      <c r="P374" s="429" t="s">
        <v>142</v>
      </c>
      <c r="Q374" s="429" t="s">
        <v>142</v>
      </c>
      <c r="R374" s="429" t="s">
        <v>2325</v>
      </c>
      <c r="S374" s="430" t="s">
        <v>2248</v>
      </c>
      <c r="T374" s="430" t="s">
        <v>23</v>
      </c>
      <c r="U374" s="429" t="s">
        <v>928</v>
      </c>
      <c r="V374" s="322"/>
      <c r="CM374" s="271"/>
      <c r="CN374" s="271"/>
      <c r="CO374" s="271"/>
      <c r="CP374" s="271"/>
      <c r="CQ374" s="271"/>
      <c r="CR374" s="271"/>
      <c r="CS374" s="271"/>
      <c r="CT374" s="271"/>
      <c r="CU374" s="271"/>
      <c r="CV374" s="271"/>
      <c r="CW374" s="271"/>
      <c r="CX374" s="271"/>
      <c r="CY374" s="271"/>
    </row>
    <row r="375" spans="2:103" s="273" customFormat="1" ht="21" x14ac:dyDescent="0.25">
      <c r="B375" s="424">
        <v>44629</v>
      </c>
      <c r="C375" s="710">
        <v>0.9375</v>
      </c>
      <c r="D375" s="425">
        <v>53</v>
      </c>
      <c r="E375" s="426">
        <v>9</v>
      </c>
      <c r="F375" s="427">
        <v>13.8</v>
      </c>
      <c r="G375" s="428">
        <v>1125</v>
      </c>
      <c r="H375" s="428">
        <v>2025</v>
      </c>
      <c r="I375" s="428">
        <v>97.3</v>
      </c>
      <c r="J375" s="428">
        <v>119.3</v>
      </c>
      <c r="K375" s="436" t="s">
        <v>2330</v>
      </c>
      <c r="L375" s="426">
        <v>37.729999999999997</v>
      </c>
      <c r="M375" s="426">
        <v>37</v>
      </c>
      <c r="N375" s="426">
        <v>50.3</v>
      </c>
      <c r="O375" s="429"/>
      <c r="P375" s="429" t="s">
        <v>142</v>
      </c>
      <c r="Q375" s="429" t="s">
        <v>142</v>
      </c>
      <c r="R375" s="429" t="s">
        <v>2331</v>
      </c>
      <c r="S375" s="430" t="s">
        <v>2332</v>
      </c>
      <c r="T375" s="430" t="s">
        <v>23</v>
      </c>
      <c r="U375" s="429" t="s">
        <v>928</v>
      </c>
      <c r="V375" s="322"/>
      <c r="CM375" s="271"/>
      <c r="CN375" s="271"/>
      <c r="CO375" s="271"/>
      <c r="CP375" s="271"/>
      <c r="CQ375" s="271"/>
      <c r="CR375" s="271"/>
      <c r="CS375" s="271"/>
      <c r="CT375" s="271"/>
      <c r="CU375" s="271"/>
      <c r="CV375" s="271"/>
      <c r="CW375" s="271"/>
      <c r="CX375" s="271"/>
      <c r="CY375" s="271"/>
    </row>
    <row r="376" spans="2:103" s="273" customFormat="1" ht="21" x14ac:dyDescent="0.25">
      <c r="B376" s="424">
        <v>44630</v>
      </c>
      <c r="C376" s="710">
        <v>0.9375</v>
      </c>
      <c r="D376" s="425">
        <v>53</v>
      </c>
      <c r="E376" s="426">
        <v>14.1</v>
      </c>
      <c r="F376" s="427">
        <v>17.7</v>
      </c>
      <c r="G376" s="428">
        <v>1068</v>
      </c>
      <c r="H376" s="428">
        <v>1931</v>
      </c>
      <c r="I376" s="428">
        <v>98.3</v>
      </c>
      <c r="J376" s="428">
        <v>119.3</v>
      </c>
      <c r="K376" s="436" t="s">
        <v>2335</v>
      </c>
      <c r="L376" s="426">
        <v>36.950000000000003</v>
      </c>
      <c r="M376" s="426">
        <v>37</v>
      </c>
      <c r="N376" s="426">
        <v>49.38</v>
      </c>
      <c r="O376" s="429"/>
      <c r="P376" s="429" t="s">
        <v>142</v>
      </c>
      <c r="Q376" s="429" t="s">
        <v>142</v>
      </c>
      <c r="R376" s="429" t="s">
        <v>1427</v>
      </c>
      <c r="S376" s="430" t="s">
        <v>2336</v>
      </c>
      <c r="T376" s="430" t="s">
        <v>23</v>
      </c>
      <c r="U376" s="429" t="s">
        <v>928</v>
      </c>
      <c r="V376" s="322"/>
      <c r="CM376" s="271"/>
      <c r="CN376" s="271"/>
      <c r="CO376" s="271"/>
      <c r="CP376" s="271"/>
      <c r="CQ376" s="271"/>
      <c r="CR376" s="271"/>
      <c r="CS376" s="271"/>
      <c r="CT376" s="271"/>
      <c r="CU376" s="271"/>
      <c r="CV376" s="271"/>
      <c r="CW376" s="271"/>
      <c r="CX376" s="271"/>
      <c r="CY376" s="271"/>
    </row>
    <row r="377" spans="2:103" s="273" customFormat="1" ht="21" x14ac:dyDescent="0.25">
      <c r="B377" s="424">
        <v>44631</v>
      </c>
      <c r="C377" s="710">
        <v>0.9375</v>
      </c>
      <c r="D377" s="425">
        <v>53</v>
      </c>
      <c r="E377" s="426">
        <v>14.1</v>
      </c>
      <c r="F377" s="427">
        <v>17.7</v>
      </c>
      <c r="G377" s="428">
        <v>1068</v>
      </c>
      <c r="H377" s="428">
        <v>1931</v>
      </c>
      <c r="I377" s="428">
        <v>98.3</v>
      </c>
      <c r="J377" s="428">
        <v>119.3</v>
      </c>
      <c r="K377" s="436" t="s">
        <v>2335</v>
      </c>
      <c r="L377" s="426">
        <v>36.950000000000003</v>
      </c>
      <c r="M377" s="426">
        <v>37</v>
      </c>
      <c r="N377" s="426">
        <v>49.38</v>
      </c>
      <c r="O377" s="429"/>
      <c r="P377" s="429" t="s">
        <v>142</v>
      </c>
      <c r="Q377" s="429" t="s">
        <v>142</v>
      </c>
      <c r="R377" s="429" t="s">
        <v>1427</v>
      </c>
      <c r="S377" s="430" t="s">
        <v>2336</v>
      </c>
      <c r="T377" s="430" t="s">
        <v>23</v>
      </c>
      <c r="U377" s="429" t="s">
        <v>928</v>
      </c>
      <c r="V377" s="322"/>
      <c r="CM377" s="271"/>
      <c r="CN377" s="271"/>
      <c r="CO377" s="271"/>
      <c r="CP377" s="271"/>
      <c r="CQ377" s="271"/>
      <c r="CR377" s="271"/>
      <c r="CS377" s="271"/>
      <c r="CT377" s="271"/>
      <c r="CU377" s="271"/>
      <c r="CV377" s="271"/>
      <c r="CW377" s="271"/>
      <c r="CX377" s="271"/>
      <c r="CY377" s="271"/>
    </row>
    <row r="378" spans="2:103" s="273" customFormat="1" ht="21" x14ac:dyDescent="0.25">
      <c r="B378" s="424">
        <v>44632</v>
      </c>
      <c r="C378" s="710">
        <v>0.95833333333333337</v>
      </c>
      <c r="D378" s="425">
        <v>53</v>
      </c>
      <c r="E378" s="426">
        <v>14.1</v>
      </c>
      <c r="F378" s="427">
        <v>17.7</v>
      </c>
      <c r="G378" s="428">
        <v>1068</v>
      </c>
      <c r="H378" s="428">
        <v>1931</v>
      </c>
      <c r="I378" s="428">
        <v>98.3</v>
      </c>
      <c r="J378" s="428">
        <v>119.3</v>
      </c>
      <c r="K378" s="436" t="s">
        <v>2335</v>
      </c>
      <c r="L378" s="426">
        <v>36.950000000000003</v>
      </c>
      <c r="M378" s="426">
        <v>37</v>
      </c>
      <c r="N378" s="426">
        <v>49.38</v>
      </c>
      <c r="O378" s="429"/>
      <c r="P378" s="429" t="s">
        <v>142</v>
      </c>
      <c r="Q378" s="429" t="s">
        <v>142</v>
      </c>
      <c r="R378" s="429" t="s">
        <v>1427</v>
      </c>
      <c r="S378" s="430" t="s">
        <v>2336</v>
      </c>
      <c r="T378" s="430" t="s">
        <v>23</v>
      </c>
      <c r="U378" s="429" t="s">
        <v>928</v>
      </c>
      <c r="V378" s="322"/>
      <c r="CM378" s="271"/>
      <c r="CN378" s="271"/>
      <c r="CO378" s="271"/>
      <c r="CP378" s="271"/>
      <c r="CQ378" s="271"/>
      <c r="CR378" s="271"/>
      <c r="CS378" s="271"/>
      <c r="CT378" s="271"/>
      <c r="CU378" s="271"/>
      <c r="CV378" s="271"/>
      <c r="CW378" s="271"/>
      <c r="CX378" s="271"/>
      <c r="CY378" s="271"/>
    </row>
    <row r="379" spans="2:103" s="273" customFormat="1" ht="21" x14ac:dyDescent="0.25">
      <c r="B379" s="424">
        <v>44633</v>
      </c>
      <c r="C379" s="710">
        <v>0.95833333333333337</v>
      </c>
      <c r="D379" s="425">
        <v>53</v>
      </c>
      <c r="E379" s="426">
        <v>13.6</v>
      </c>
      <c r="F379" s="427">
        <v>17.2</v>
      </c>
      <c r="G379" s="428">
        <v>1087</v>
      </c>
      <c r="H379" s="428">
        <v>2008</v>
      </c>
      <c r="I379" s="428">
        <v>97.5</v>
      </c>
      <c r="J379" s="428">
        <v>126.3</v>
      </c>
      <c r="K379" s="436" t="s">
        <v>2348</v>
      </c>
      <c r="L379" s="426">
        <v>33.25</v>
      </c>
      <c r="M379" s="426">
        <v>37</v>
      </c>
      <c r="N379" s="426">
        <v>53.52</v>
      </c>
      <c r="O379" s="429"/>
      <c r="P379" s="429" t="s">
        <v>142</v>
      </c>
      <c r="Q379" s="429" t="s">
        <v>142</v>
      </c>
      <c r="R379" s="429" t="s">
        <v>1286</v>
      </c>
      <c r="S379" s="430" t="s">
        <v>2345</v>
      </c>
      <c r="T379" s="430" t="s">
        <v>23</v>
      </c>
      <c r="U379" s="429" t="s">
        <v>928</v>
      </c>
      <c r="V379" s="322" t="s">
        <v>2346</v>
      </c>
      <c r="CM379" s="271"/>
      <c r="CN379" s="271"/>
      <c r="CO379" s="271"/>
      <c r="CP379" s="271"/>
      <c r="CQ379" s="271"/>
      <c r="CR379" s="271"/>
      <c r="CS379" s="271"/>
      <c r="CT379" s="271"/>
      <c r="CU379" s="271"/>
      <c r="CV379" s="271"/>
      <c r="CW379" s="271"/>
      <c r="CX379" s="271"/>
      <c r="CY379" s="271"/>
    </row>
    <row r="380" spans="2:103" s="273" customFormat="1" ht="21" x14ac:dyDescent="0.25">
      <c r="B380" s="424">
        <v>44634</v>
      </c>
      <c r="C380" s="710">
        <v>0.97916666666666663</v>
      </c>
      <c r="D380" s="425">
        <v>53</v>
      </c>
      <c r="E380" s="426">
        <v>7.5</v>
      </c>
      <c r="F380" s="427">
        <v>13.2</v>
      </c>
      <c r="G380" s="428">
        <v>1082</v>
      </c>
      <c r="H380" s="428">
        <v>1953</v>
      </c>
      <c r="I380" s="428">
        <v>98.3</v>
      </c>
      <c r="J380" s="428">
        <v>120.5</v>
      </c>
      <c r="K380" s="436" t="s">
        <v>2355</v>
      </c>
      <c r="L380" s="426">
        <v>37.49</v>
      </c>
      <c r="M380" s="426">
        <v>37</v>
      </c>
      <c r="N380" s="426">
        <v>48</v>
      </c>
      <c r="O380" s="429"/>
      <c r="P380" s="429" t="s">
        <v>142</v>
      </c>
      <c r="Q380" s="429" t="s">
        <v>142</v>
      </c>
      <c r="R380" s="429" t="s">
        <v>2356</v>
      </c>
      <c r="S380" s="430" t="s">
        <v>2357</v>
      </c>
      <c r="T380" s="430" t="s">
        <v>23</v>
      </c>
      <c r="U380" s="429" t="s">
        <v>928</v>
      </c>
      <c r="V380" s="322"/>
      <c r="CM380" s="271"/>
      <c r="CN380" s="271"/>
      <c r="CO380" s="271"/>
      <c r="CP380" s="271"/>
      <c r="CQ380" s="271"/>
      <c r="CR380" s="271"/>
      <c r="CS380" s="271"/>
      <c r="CT380" s="271"/>
      <c r="CU380" s="271"/>
      <c r="CV380" s="271"/>
      <c r="CW380" s="271"/>
      <c r="CX380" s="271"/>
      <c r="CY380" s="271"/>
    </row>
    <row r="381" spans="2:103" s="273" customFormat="1" ht="21" x14ac:dyDescent="0.25">
      <c r="B381" s="424">
        <v>44635</v>
      </c>
      <c r="C381" s="710">
        <v>0.97916666666666663</v>
      </c>
      <c r="D381" s="425">
        <v>53</v>
      </c>
      <c r="E381" s="426">
        <v>7.5</v>
      </c>
      <c r="F381" s="427">
        <v>13.2</v>
      </c>
      <c r="G381" s="428">
        <v>1082</v>
      </c>
      <c r="H381" s="428">
        <v>1953</v>
      </c>
      <c r="I381" s="428">
        <v>98.3</v>
      </c>
      <c r="J381" s="428">
        <v>120.5</v>
      </c>
      <c r="K381" s="436" t="s">
        <v>2355</v>
      </c>
      <c r="L381" s="426">
        <v>37.49</v>
      </c>
      <c r="M381" s="426">
        <v>37</v>
      </c>
      <c r="N381" s="426">
        <v>48</v>
      </c>
      <c r="O381" s="429"/>
      <c r="P381" s="429" t="s">
        <v>142</v>
      </c>
      <c r="Q381" s="429" t="s">
        <v>142</v>
      </c>
      <c r="R381" s="429" t="s">
        <v>2356</v>
      </c>
      <c r="S381" s="430" t="s">
        <v>2357</v>
      </c>
      <c r="T381" s="430" t="s">
        <v>23</v>
      </c>
      <c r="U381" s="429" t="s">
        <v>928</v>
      </c>
      <c r="V381" s="322"/>
      <c r="CM381" s="271"/>
      <c r="CN381" s="271"/>
      <c r="CO381" s="271"/>
      <c r="CP381" s="271"/>
      <c r="CQ381" s="271"/>
      <c r="CR381" s="271"/>
      <c r="CS381" s="271"/>
      <c r="CT381" s="271"/>
      <c r="CU381" s="271"/>
      <c r="CV381" s="271"/>
      <c r="CW381" s="271"/>
      <c r="CX381" s="271"/>
      <c r="CY381" s="271"/>
    </row>
    <row r="382" spans="2:103" s="273" customFormat="1" ht="21" x14ac:dyDescent="0.25">
      <c r="B382" s="424">
        <v>44636</v>
      </c>
      <c r="C382" s="710">
        <v>0.95833333333333337</v>
      </c>
      <c r="D382" s="425">
        <v>53</v>
      </c>
      <c r="E382" s="426">
        <v>11.4</v>
      </c>
      <c r="F382" s="427">
        <v>15.5</v>
      </c>
      <c r="G382" s="428">
        <v>1069</v>
      </c>
      <c r="H382" s="428">
        <v>1860</v>
      </c>
      <c r="I382" s="428">
        <v>98.6</v>
      </c>
      <c r="J382" s="428">
        <v>116.1</v>
      </c>
      <c r="K382" s="436" t="s">
        <v>2366</v>
      </c>
      <c r="L382" s="426">
        <v>37.26</v>
      </c>
      <c r="M382" s="426">
        <v>37</v>
      </c>
      <c r="N382" s="426">
        <v>52.75</v>
      </c>
      <c r="O382" s="429"/>
      <c r="P382" s="429" t="s">
        <v>142</v>
      </c>
      <c r="Q382" s="429" t="s">
        <v>142</v>
      </c>
      <c r="R382" s="429" t="s">
        <v>2041</v>
      </c>
      <c r="S382" s="430" t="s">
        <v>2308</v>
      </c>
      <c r="T382" s="430" t="s">
        <v>23</v>
      </c>
      <c r="U382" s="429" t="s">
        <v>928</v>
      </c>
      <c r="V382" s="322"/>
      <c r="CM382" s="271"/>
      <c r="CN382" s="271"/>
      <c r="CO382" s="271"/>
      <c r="CP382" s="271"/>
      <c r="CQ382" s="271"/>
      <c r="CR382" s="271"/>
      <c r="CS382" s="271"/>
      <c r="CT382" s="271"/>
      <c r="CU382" s="271"/>
      <c r="CV382" s="271"/>
      <c r="CW382" s="271"/>
      <c r="CX382" s="271"/>
      <c r="CY382" s="271"/>
    </row>
    <row r="383" spans="2:103" s="273" customFormat="1" ht="21" x14ac:dyDescent="0.25">
      <c r="B383" s="424">
        <v>44637</v>
      </c>
      <c r="C383" s="710">
        <v>0.95833333333333337</v>
      </c>
      <c r="D383" s="425">
        <v>53</v>
      </c>
      <c r="E383" s="426">
        <v>11.7</v>
      </c>
      <c r="F383" s="427">
        <v>15.8</v>
      </c>
      <c r="G383" s="428">
        <v>1057</v>
      </c>
      <c r="H383" s="428">
        <v>1938</v>
      </c>
      <c r="I383" s="428">
        <v>99.1</v>
      </c>
      <c r="J383" s="428">
        <v>116.1</v>
      </c>
      <c r="K383" s="436" t="s">
        <v>2370</v>
      </c>
      <c r="L383" s="426">
        <v>37.33</v>
      </c>
      <c r="M383" s="426">
        <v>37</v>
      </c>
      <c r="N383" s="426">
        <v>52.72</v>
      </c>
      <c r="O383" s="429"/>
      <c r="P383" s="429" t="s">
        <v>142</v>
      </c>
      <c r="Q383" s="429" t="s">
        <v>142</v>
      </c>
      <c r="R383" s="429" t="s">
        <v>2371</v>
      </c>
      <c r="S383" s="430" t="s">
        <v>2248</v>
      </c>
      <c r="T383" s="430" t="s">
        <v>23</v>
      </c>
      <c r="U383" s="429" t="s">
        <v>928</v>
      </c>
      <c r="V383" s="322"/>
      <c r="CM383" s="271"/>
      <c r="CN383" s="271"/>
      <c r="CO383" s="271"/>
      <c r="CP383" s="271"/>
      <c r="CQ383" s="271"/>
      <c r="CR383" s="271"/>
      <c r="CS383" s="271"/>
      <c r="CT383" s="271"/>
      <c r="CU383" s="271"/>
      <c r="CV383" s="271"/>
      <c r="CW383" s="271"/>
      <c r="CX383" s="271"/>
      <c r="CY383" s="271"/>
    </row>
    <row r="384" spans="2:103" s="273" customFormat="1" ht="21" x14ac:dyDescent="0.25">
      <c r="B384" s="424">
        <v>44638</v>
      </c>
      <c r="C384" s="710">
        <v>0.95833333333333337</v>
      </c>
      <c r="D384" s="425">
        <v>53</v>
      </c>
      <c r="E384" s="426">
        <v>10.5</v>
      </c>
      <c r="F384" s="427">
        <v>14.9</v>
      </c>
      <c r="G384" s="428">
        <v>1047</v>
      </c>
      <c r="H384" s="428">
        <v>1882</v>
      </c>
      <c r="I384" s="428">
        <v>99.3</v>
      </c>
      <c r="J384" s="428">
        <v>116.3</v>
      </c>
      <c r="K384" s="436" t="s">
        <v>2375</v>
      </c>
      <c r="L384" s="426">
        <v>36.76</v>
      </c>
      <c r="M384" s="426">
        <v>37</v>
      </c>
      <c r="N384" s="426">
        <v>51.65</v>
      </c>
      <c r="O384" s="429"/>
      <c r="P384" s="429" t="s">
        <v>142</v>
      </c>
      <c r="Q384" s="429" t="s">
        <v>142</v>
      </c>
      <c r="R384" s="429" t="s">
        <v>2376</v>
      </c>
      <c r="S384" s="430" t="s">
        <v>2377</v>
      </c>
      <c r="T384" s="430" t="s">
        <v>23</v>
      </c>
      <c r="U384" s="429" t="s">
        <v>928</v>
      </c>
      <c r="V384" s="322"/>
      <c r="CM384" s="271"/>
      <c r="CN384" s="271"/>
      <c r="CO384" s="271"/>
      <c r="CP384" s="271"/>
      <c r="CQ384" s="271"/>
      <c r="CR384" s="271"/>
      <c r="CS384" s="271"/>
      <c r="CT384" s="271"/>
      <c r="CU384" s="271"/>
      <c r="CV384" s="271"/>
      <c r="CW384" s="271"/>
      <c r="CX384" s="271"/>
      <c r="CY384" s="271"/>
    </row>
    <row r="385" spans="2:103" s="273" customFormat="1" ht="21" x14ac:dyDescent="0.25">
      <c r="B385" s="424">
        <v>44639</v>
      </c>
      <c r="C385" s="710">
        <v>0.95833333333333337</v>
      </c>
      <c r="D385" s="425">
        <v>53</v>
      </c>
      <c r="E385" s="426">
        <v>7.1</v>
      </c>
      <c r="F385" s="427">
        <v>13</v>
      </c>
      <c r="G385" s="428">
        <v>1079</v>
      </c>
      <c r="H385" s="428">
        <v>1872</v>
      </c>
      <c r="I385" s="428">
        <v>98.7</v>
      </c>
      <c r="J385" s="428">
        <v>118.8</v>
      </c>
      <c r="K385" s="436" t="s">
        <v>2384</v>
      </c>
      <c r="L385" s="426">
        <v>37.78</v>
      </c>
      <c r="M385" s="426">
        <v>37</v>
      </c>
      <c r="N385" s="426">
        <v>47.17</v>
      </c>
      <c r="O385" s="429"/>
      <c r="P385" s="429" t="s">
        <v>142</v>
      </c>
      <c r="Q385" s="429" t="s">
        <v>142</v>
      </c>
      <c r="R385" s="429" t="s">
        <v>1544</v>
      </c>
      <c r="S385" s="430" t="s">
        <v>2385</v>
      </c>
      <c r="T385" s="430" t="s">
        <v>23</v>
      </c>
      <c r="U385" s="429" t="s">
        <v>928</v>
      </c>
      <c r="V385" s="322"/>
      <c r="CM385" s="271"/>
      <c r="CN385" s="271"/>
      <c r="CO385" s="271"/>
      <c r="CP385" s="271"/>
      <c r="CQ385" s="271"/>
      <c r="CR385" s="271"/>
      <c r="CS385" s="271"/>
      <c r="CT385" s="271"/>
      <c r="CU385" s="271"/>
      <c r="CV385" s="271"/>
      <c r="CW385" s="271"/>
      <c r="CX385" s="271"/>
      <c r="CY385" s="271"/>
    </row>
    <row r="386" spans="2:103" s="273" customFormat="1" ht="21" x14ac:dyDescent="0.25">
      <c r="B386" s="424">
        <v>44640</v>
      </c>
      <c r="C386" s="710">
        <v>0.9375</v>
      </c>
      <c r="D386" s="425">
        <v>53</v>
      </c>
      <c r="E386" s="426">
        <v>10.9</v>
      </c>
      <c r="F386" s="427">
        <v>15.2</v>
      </c>
      <c r="G386" s="428">
        <v>1047</v>
      </c>
      <c r="H386" s="428">
        <v>1911</v>
      </c>
      <c r="I386" s="428">
        <v>99.3</v>
      </c>
      <c r="J386" s="428">
        <v>116.6</v>
      </c>
      <c r="K386" s="436" t="s">
        <v>2388</v>
      </c>
      <c r="L386" s="426">
        <v>35.909999999999997</v>
      </c>
      <c r="M386" s="426">
        <v>37</v>
      </c>
      <c r="N386" s="426">
        <v>50.99</v>
      </c>
      <c r="O386" s="429"/>
      <c r="P386" s="429" t="s">
        <v>142</v>
      </c>
      <c r="Q386" s="429" t="s">
        <v>142</v>
      </c>
      <c r="R386" s="429" t="s">
        <v>789</v>
      </c>
      <c r="S386" s="430" t="s">
        <v>2297</v>
      </c>
      <c r="T386" s="430" t="s">
        <v>23</v>
      </c>
      <c r="U386" s="429" t="s">
        <v>928</v>
      </c>
      <c r="V386" s="322"/>
      <c r="CM386" s="271"/>
      <c r="CN386" s="271"/>
      <c r="CO386" s="271"/>
      <c r="CP386" s="271"/>
      <c r="CQ386" s="271"/>
      <c r="CR386" s="271"/>
      <c r="CS386" s="271"/>
      <c r="CT386" s="271"/>
      <c r="CU386" s="271"/>
      <c r="CV386" s="271"/>
      <c r="CW386" s="271"/>
      <c r="CX386" s="271"/>
      <c r="CY386" s="271"/>
    </row>
    <row r="387" spans="2:103" s="273" customFormat="1" ht="21" x14ac:dyDescent="0.25">
      <c r="B387" s="424">
        <v>44641</v>
      </c>
      <c r="C387" s="710">
        <v>0.9375</v>
      </c>
      <c r="D387" s="425">
        <v>53</v>
      </c>
      <c r="E387" s="426">
        <v>8.4</v>
      </c>
      <c r="F387" s="427">
        <v>13.6</v>
      </c>
      <c r="G387" s="428">
        <v>1060</v>
      </c>
      <c r="H387" s="428">
        <v>1804</v>
      </c>
      <c r="I387" s="428">
        <v>99.3</v>
      </c>
      <c r="J387" s="428">
        <v>116</v>
      </c>
      <c r="K387" s="436" t="s">
        <v>2392</v>
      </c>
      <c r="L387" s="426">
        <v>35.83</v>
      </c>
      <c r="M387" s="426">
        <v>37</v>
      </c>
      <c r="N387" s="426">
        <v>42.77</v>
      </c>
      <c r="O387" s="429"/>
      <c r="P387" s="429" t="s">
        <v>142</v>
      </c>
      <c r="Q387" s="429" t="s">
        <v>142</v>
      </c>
      <c r="R387" s="429" t="s">
        <v>2393</v>
      </c>
      <c r="S387" s="430" t="s">
        <v>2297</v>
      </c>
      <c r="T387" s="430" t="s">
        <v>23</v>
      </c>
      <c r="U387" s="429" t="s">
        <v>928</v>
      </c>
      <c r="V387" s="322"/>
      <c r="CM387" s="271"/>
      <c r="CN387" s="271"/>
      <c r="CO387" s="271"/>
      <c r="CP387" s="271"/>
      <c r="CQ387" s="271"/>
      <c r="CR387" s="271"/>
      <c r="CS387" s="271"/>
      <c r="CT387" s="271"/>
      <c r="CU387" s="271"/>
      <c r="CV387" s="271"/>
      <c r="CW387" s="271"/>
      <c r="CX387" s="271"/>
      <c r="CY387" s="271"/>
    </row>
    <row r="388" spans="2:103" s="273" customFormat="1" ht="21" x14ac:dyDescent="0.25">
      <c r="B388" s="424">
        <v>44642</v>
      </c>
      <c r="C388" s="710">
        <v>0.95833333333333337</v>
      </c>
      <c r="D388" s="425">
        <v>53</v>
      </c>
      <c r="E388" s="426">
        <v>8.4</v>
      </c>
      <c r="F388" s="427">
        <v>13.6</v>
      </c>
      <c r="G388" s="428">
        <v>1060</v>
      </c>
      <c r="H388" s="428">
        <v>1804</v>
      </c>
      <c r="I388" s="428">
        <v>99.3</v>
      </c>
      <c r="J388" s="428">
        <v>116</v>
      </c>
      <c r="K388" s="436" t="s">
        <v>2392</v>
      </c>
      <c r="L388" s="426">
        <v>35.83</v>
      </c>
      <c r="M388" s="426">
        <v>37</v>
      </c>
      <c r="N388" s="426">
        <v>42.77</v>
      </c>
      <c r="O388" s="429"/>
      <c r="P388" s="429" t="s">
        <v>142</v>
      </c>
      <c r="Q388" s="429" t="s">
        <v>142</v>
      </c>
      <c r="R388" s="429" t="s">
        <v>2393</v>
      </c>
      <c r="S388" s="430" t="s">
        <v>2297</v>
      </c>
      <c r="T388" s="430" t="s">
        <v>23</v>
      </c>
      <c r="U388" s="429" t="s">
        <v>928</v>
      </c>
      <c r="V388" s="322"/>
      <c r="CM388" s="271"/>
      <c r="CN388" s="271"/>
      <c r="CO388" s="271"/>
      <c r="CP388" s="271"/>
      <c r="CQ388" s="271"/>
      <c r="CR388" s="271"/>
      <c r="CS388" s="271"/>
      <c r="CT388" s="271"/>
      <c r="CU388" s="271"/>
      <c r="CV388" s="271"/>
      <c r="CW388" s="271"/>
      <c r="CX388" s="271"/>
      <c r="CY388" s="271"/>
    </row>
    <row r="389" spans="2:103" s="273" customFormat="1" ht="21" x14ac:dyDescent="0.25">
      <c r="B389" s="424">
        <v>44643</v>
      </c>
      <c r="C389" s="710">
        <v>0.9375</v>
      </c>
      <c r="D389" s="425">
        <v>53</v>
      </c>
      <c r="E389" s="426">
        <v>11.8</v>
      </c>
      <c r="F389" s="427">
        <v>15.8</v>
      </c>
      <c r="G389" s="428">
        <v>1066</v>
      </c>
      <c r="H389" s="428">
        <v>2010</v>
      </c>
      <c r="I389" s="428">
        <v>98.8</v>
      </c>
      <c r="J389" s="428">
        <v>117.2</v>
      </c>
      <c r="K389" s="436" t="s">
        <v>2397</v>
      </c>
      <c r="L389" s="426">
        <v>38.79</v>
      </c>
      <c r="M389" s="426">
        <v>37</v>
      </c>
      <c r="N389" s="426">
        <v>50.95</v>
      </c>
      <c r="O389" s="429"/>
      <c r="P389" s="429" t="s">
        <v>142</v>
      </c>
      <c r="Q389" s="429" t="s">
        <v>142</v>
      </c>
      <c r="R389" s="429" t="s">
        <v>2398</v>
      </c>
      <c r="S389" s="430" t="s">
        <v>2303</v>
      </c>
      <c r="T389" s="430" t="s">
        <v>23</v>
      </c>
      <c r="U389" s="429" t="s">
        <v>928</v>
      </c>
      <c r="V389" s="322"/>
      <c r="CM389" s="271"/>
      <c r="CN389" s="271"/>
      <c r="CO389" s="271"/>
      <c r="CP389" s="271"/>
      <c r="CQ389" s="271"/>
      <c r="CR389" s="271"/>
      <c r="CS389" s="271"/>
      <c r="CT389" s="271"/>
      <c r="CU389" s="271"/>
      <c r="CV389" s="271"/>
      <c r="CW389" s="271"/>
      <c r="CX389" s="271"/>
      <c r="CY389" s="271"/>
    </row>
    <row r="390" spans="2:103" s="273" customFormat="1" ht="21" x14ac:dyDescent="0.25">
      <c r="B390" s="424">
        <v>44644</v>
      </c>
      <c r="C390" s="710">
        <v>0.95833333333333337</v>
      </c>
      <c r="D390" s="425">
        <v>53</v>
      </c>
      <c r="E390" s="426">
        <v>12.1</v>
      </c>
      <c r="F390" s="427">
        <v>16</v>
      </c>
      <c r="G390" s="428">
        <v>1108</v>
      </c>
      <c r="H390" s="428">
        <v>1930</v>
      </c>
      <c r="I390" s="428">
        <v>98.3</v>
      </c>
      <c r="J390" s="428">
        <v>99.6</v>
      </c>
      <c r="K390" s="436" t="s">
        <v>2401</v>
      </c>
      <c r="L390" s="426">
        <v>37.24</v>
      </c>
      <c r="M390" s="426">
        <v>37</v>
      </c>
      <c r="N390" s="426">
        <v>54.55</v>
      </c>
      <c r="O390" s="429"/>
      <c r="P390" s="429" t="s">
        <v>142</v>
      </c>
      <c r="Q390" s="429" t="s">
        <v>142</v>
      </c>
      <c r="R390" s="429" t="s">
        <v>855</v>
      </c>
      <c r="S390" s="430" t="s">
        <v>2218</v>
      </c>
      <c r="T390" s="430" t="s">
        <v>23</v>
      </c>
      <c r="U390" s="429" t="s">
        <v>928</v>
      </c>
      <c r="V390" s="322"/>
      <c r="CM390" s="271"/>
      <c r="CN390" s="271"/>
      <c r="CO390" s="271"/>
      <c r="CP390" s="271"/>
      <c r="CQ390" s="271"/>
      <c r="CR390" s="271"/>
      <c r="CS390" s="271"/>
      <c r="CT390" s="271"/>
      <c r="CU390" s="271"/>
      <c r="CV390" s="271"/>
      <c r="CW390" s="271"/>
      <c r="CX390" s="271"/>
      <c r="CY390" s="271"/>
    </row>
    <row r="391" spans="2:103" s="273" customFormat="1" ht="21" x14ac:dyDescent="0.25">
      <c r="B391" s="424">
        <v>44645</v>
      </c>
      <c r="C391" s="710">
        <v>0.95833333333333337</v>
      </c>
      <c r="D391" s="425">
        <v>53</v>
      </c>
      <c r="E391" s="426">
        <v>7.8</v>
      </c>
      <c r="F391" s="427">
        <v>13.3</v>
      </c>
      <c r="G391" s="428">
        <v>1081</v>
      </c>
      <c r="H391" s="428">
        <v>1914</v>
      </c>
      <c r="I391" s="428">
        <v>98.6</v>
      </c>
      <c r="J391" s="428">
        <v>119.9</v>
      </c>
      <c r="K391" s="436" t="s">
        <v>2404</v>
      </c>
      <c r="L391" s="426">
        <v>37.43</v>
      </c>
      <c r="M391" s="426">
        <v>37</v>
      </c>
      <c r="N391" s="426">
        <v>49.85</v>
      </c>
      <c r="O391" s="429"/>
      <c r="P391" s="429" t="s">
        <v>142</v>
      </c>
      <c r="Q391" s="429" t="s">
        <v>142</v>
      </c>
      <c r="R391" s="429" t="s">
        <v>2405</v>
      </c>
      <c r="S391" s="430" t="s">
        <v>2406</v>
      </c>
      <c r="T391" s="430" t="s">
        <v>23</v>
      </c>
      <c r="U391" s="429" t="s">
        <v>928</v>
      </c>
      <c r="V391" s="322"/>
      <c r="CM391" s="271"/>
      <c r="CN391" s="271"/>
      <c r="CO391" s="271"/>
      <c r="CP391" s="271"/>
      <c r="CQ391" s="271"/>
      <c r="CR391" s="271"/>
      <c r="CS391" s="271"/>
      <c r="CT391" s="271"/>
      <c r="CU391" s="271"/>
      <c r="CV391" s="271"/>
      <c r="CW391" s="271"/>
      <c r="CX391" s="271"/>
      <c r="CY391" s="271"/>
    </row>
    <row r="392" spans="2:103" s="273" customFormat="1" ht="21" x14ac:dyDescent="0.25">
      <c r="B392" s="424">
        <v>44646</v>
      </c>
      <c r="C392" s="710">
        <v>0.95833333333333337</v>
      </c>
      <c r="D392" s="425">
        <v>53</v>
      </c>
      <c r="E392" s="426">
        <v>7.8</v>
      </c>
      <c r="F392" s="427">
        <v>13.3</v>
      </c>
      <c r="G392" s="428">
        <v>1081</v>
      </c>
      <c r="H392" s="428">
        <v>1914</v>
      </c>
      <c r="I392" s="428">
        <v>98.6</v>
      </c>
      <c r="J392" s="428">
        <v>119.9</v>
      </c>
      <c r="K392" s="436" t="s">
        <v>2404</v>
      </c>
      <c r="L392" s="426">
        <v>37.43</v>
      </c>
      <c r="M392" s="426">
        <v>37</v>
      </c>
      <c r="N392" s="426">
        <v>49.85</v>
      </c>
      <c r="O392" s="429"/>
      <c r="P392" s="429" t="s">
        <v>142</v>
      </c>
      <c r="Q392" s="429" t="s">
        <v>142</v>
      </c>
      <c r="R392" s="429" t="s">
        <v>2405</v>
      </c>
      <c r="S392" s="430" t="s">
        <v>2406</v>
      </c>
      <c r="T392" s="430" t="s">
        <v>23</v>
      </c>
      <c r="U392" s="429" t="s">
        <v>928</v>
      </c>
      <c r="V392" s="322"/>
      <c r="CM392" s="271"/>
      <c r="CN392" s="271"/>
      <c r="CO392" s="271"/>
      <c r="CP392" s="271"/>
      <c r="CQ392" s="271"/>
      <c r="CR392" s="271"/>
      <c r="CS392" s="271"/>
      <c r="CT392" s="271"/>
      <c r="CU392" s="271"/>
      <c r="CV392" s="271"/>
      <c r="CW392" s="271"/>
      <c r="CX392" s="271"/>
      <c r="CY392" s="271"/>
    </row>
    <row r="393" spans="2:103" s="273" customFormat="1" ht="21" x14ac:dyDescent="0.25">
      <c r="B393" s="424">
        <v>44647</v>
      </c>
      <c r="C393" s="710">
        <v>0.89583333333333337</v>
      </c>
      <c r="D393" s="425">
        <v>53</v>
      </c>
      <c r="E393" s="426">
        <v>11.7</v>
      </c>
      <c r="F393" s="427">
        <v>15.8</v>
      </c>
      <c r="G393" s="428">
        <v>1041</v>
      </c>
      <c r="H393" s="428">
        <v>1894</v>
      </c>
      <c r="I393" s="428">
        <v>99.3</v>
      </c>
      <c r="J393" s="428">
        <v>117.3</v>
      </c>
      <c r="K393" s="436" t="s">
        <v>2410</v>
      </c>
      <c r="L393" s="426">
        <v>38.049999999999997</v>
      </c>
      <c r="M393" s="426">
        <v>37</v>
      </c>
      <c r="N393" s="426">
        <v>52.9</v>
      </c>
      <c r="O393" s="429"/>
      <c r="P393" s="429" t="s">
        <v>142</v>
      </c>
      <c r="Q393" s="429" t="s">
        <v>142</v>
      </c>
      <c r="R393" s="429" t="s">
        <v>2405</v>
      </c>
      <c r="S393" s="430" t="s">
        <v>2406</v>
      </c>
      <c r="T393" s="430" t="s">
        <v>23</v>
      </c>
      <c r="U393" s="429" t="s">
        <v>928</v>
      </c>
      <c r="V393" s="322"/>
      <c r="CM393" s="271"/>
      <c r="CN393" s="271"/>
      <c r="CO393" s="271"/>
      <c r="CP393" s="271"/>
      <c r="CQ393" s="271"/>
      <c r="CR393" s="271"/>
      <c r="CS393" s="271"/>
      <c r="CT393" s="271"/>
      <c r="CU393" s="271"/>
      <c r="CV393" s="271"/>
      <c r="CW393" s="271"/>
      <c r="CX393" s="271"/>
      <c r="CY393" s="271"/>
    </row>
    <row r="394" spans="2:103" s="273" customFormat="1" ht="21" x14ac:dyDescent="0.25">
      <c r="B394" s="424">
        <v>44648</v>
      </c>
      <c r="C394" s="710">
        <v>0.91666666666666663</v>
      </c>
      <c r="D394" s="425">
        <v>54.5</v>
      </c>
      <c r="E394" s="426">
        <v>11.4</v>
      </c>
      <c r="F394" s="427">
        <v>15.5</v>
      </c>
      <c r="G394" s="428">
        <v>1058</v>
      </c>
      <c r="H394" s="428">
        <v>1946</v>
      </c>
      <c r="I394" s="428">
        <v>99.1</v>
      </c>
      <c r="J394" s="428">
        <v>117.2</v>
      </c>
      <c r="K394" s="436" t="s">
        <v>2418</v>
      </c>
      <c r="L394" s="426">
        <v>39.270000000000003</v>
      </c>
      <c r="M394" s="426">
        <v>37</v>
      </c>
      <c r="N394" s="426">
        <v>52.14</v>
      </c>
      <c r="O394" s="429"/>
      <c r="P394" s="429" t="s">
        <v>142</v>
      </c>
      <c r="Q394" s="429" t="s">
        <v>142</v>
      </c>
      <c r="R394" s="429" t="s">
        <v>1085</v>
      </c>
      <c r="S394" s="430" t="s">
        <v>2308</v>
      </c>
      <c r="T394" s="430" t="s">
        <v>23</v>
      </c>
      <c r="U394" s="429" t="s">
        <v>928</v>
      </c>
      <c r="V394" s="724" t="s">
        <v>2419</v>
      </c>
      <c r="CM394" s="271"/>
      <c r="CN394" s="271"/>
      <c r="CO394" s="271"/>
      <c r="CP394" s="271"/>
      <c r="CQ394" s="271"/>
      <c r="CR394" s="271"/>
      <c r="CS394" s="271"/>
      <c r="CT394" s="271"/>
      <c r="CU394" s="271"/>
      <c r="CV394" s="271"/>
      <c r="CW394" s="271"/>
      <c r="CX394" s="271"/>
      <c r="CY394" s="271"/>
    </row>
    <row r="395" spans="2:103" s="273" customFormat="1" ht="21" x14ac:dyDescent="0.25">
      <c r="B395" s="424">
        <v>44649</v>
      </c>
      <c r="C395" s="710">
        <v>0.91666666666666663</v>
      </c>
      <c r="D395" s="425">
        <v>54.5</v>
      </c>
      <c r="E395" s="426">
        <v>11.4</v>
      </c>
      <c r="F395" s="427">
        <v>15.5</v>
      </c>
      <c r="G395" s="428">
        <v>1058</v>
      </c>
      <c r="H395" s="428">
        <v>1946</v>
      </c>
      <c r="I395" s="428">
        <v>99.1</v>
      </c>
      <c r="J395" s="428">
        <v>117.2</v>
      </c>
      <c r="K395" s="436" t="s">
        <v>2418</v>
      </c>
      <c r="L395" s="426">
        <v>39.270000000000003</v>
      </c>
      <c r="M395" s="426">
        <v>37</v>
      </c>
      <c r="N395" s="426">
        <v>52.14</v>
      </c>
      <c r="O395" s="429"/>
      <c r="P395" s="429" t="s">
        <v>142</v>
      </c>
      <c r="Q395" s="429" t="s">
        <v>142</v>
      </c>
      <c r="R395" s="429" t="s">
        <v>1085</v>
      </c>
      <c r="S395" s="430" t="s">
        <v>2308</v>
      </c>
      <c r="T395" s="430" t="s">
        <v>23</v>
      </c>
      <c r="U395" s="429" t="s">
        <v>928</v>
      </c>
      <c r="V395" s="322"/>
      <c r="CM395" s="271"/>
      <c r="CN395" s="271"/>
      <c r="CO395" s="271"/>
      <c r="CP395" s="271"/>
      <c r="CQ395" s="271"/>
      <c r="CR395" s="271"/>
      <c r="CS395" s="271"/>
      <c r="CT395" s="271"/>
      <c r="CU395" s="271"/>
      <c r="CV395" s="271"/>
      <c r="CW395" s="271"/>
      <c r="CX395" s="271"/>
      <c r="CY395" s="271"/>
    </row>
    <row r="396" spans="2:103" s="273" customFormat="1" ht="21" x14ac:dyDescent="0.25">
      <c r="B396" s="424">
        <v>44650</v>
      </c>
      <c r="C396" s="710">
        <v>0.9375</v>
      </c>
      <c r="D396" s="425">
        <v>53</v>
      </c>
      <c r="E396" s="426">
        <v>11.4</v>
      </c>
      <c r="F396" s="427">
        <v>15.6</v>
      </c>
      <c r="G396" s="428">
        <v>1060</v>
      </c>
      <c r="H396" s="428">
        <v>2004</v>
      </c>
      <c r="I396" s="428">
        <v>98.8</v>
      </c>
      <c r="J396" s="428">
        <v>118.5</v>
      </c>
      <c r="K396" s="436" t="s">
        <v>2431</v>
      </c>
      <c r="L396" s="426">
        <v>39.869999999999997</v>
      </c>
      <c r="M396" s="426">
        <v>37</v>
      </c>
      <c r="N396" s="426">
        <v>49.2</v>
      </c>
      <c r="O396" s="429"/>
      <c r="P396" s="429" t="s">
        <v>142</v>
      </c>
      <c r="Q396" s="429" t="s">
        <v>142</v>
      </c>
      <c r="R396" s="429" t="s">
        <v>1085</v>
      </c>
      <c r="S396" s="430" t="s">
        <v>2230</v>
      </c>
      <c r="T396" s="430" t="s">
        <v>23</v>
      </c>
      <c r="U396" s="429" t="s">
        <v>928</v>
      </c>
      <c r="V396" s="322"/>
      <c r="CM396" s="271"/>
      <c r="CN396" s="271"/>
      <c r="CO396" s="271"/>
      <c r="CP396" s="271"/>
      <c r="CQ396" s="271"/>
      <c r="CR396" s="271"/>
      <c r="CS396" s="271"/>
      <c r="CT396" s="271"/>
      <c r="CU396" s="271"/>
      <c r="CV396" s="271"/>
      <c r="CW396" s="271"/>
      <c r="CX396" s="271"/>
      <c r="CY396" s="271"/>
    </row>
    <row r="397" spans="2:103" s="273" customFormat="1" ht="21" x14ac:dyDescent="0.25">
      <c r="B397" s="424">
        <v>44651</v>
      </c>
      <c r="C397" s="710">
        <v>0.9375</v>
      </c>
      <c r="D397" s="425">
        <v>53</v>
      </c>
      <c r="E397" s="426">
        <v>11.4</v>
      </c>
      <c r="F397" s="427">
        <v>15.6</v>
      </c>
      <c r="G397" s="428">
        <v>1060</v>
      </c>
      <c r="H397" s="428">
        <v>2004</v>
      </c>
      <c r="I397" s="428">
        <v>98.8</v>
      </c>
      <c r="J397" s="428">
        <v>118.5</v>
      </c>
      <c r="K397" s="436" t="s">
        <v>2431</v>
      </c>
      <c r="L397" s="426">
        <v>39.869999999999997</v>
      </c>
      <c r="M397" s="426">
        <v>37</v>
      </c>
      <c r="N397" s="426">
        <v>49.2</v>
      </c>
      <c r="O397" s="429"/>
      <c r="P397" s="429" t="s">
        <v>142</v>
      </c>
      <c r="Q397" s="429" t="s">
        <v>142</v>
      </c>
      <c r="R397" s="429" t="s">
        <v>1085</v>
      </c>
      <c r="S397" s="430" t="s">
        <v>2230</v>
      </c>
      <c r="T397" s="430" t="s">
        <v>23</v>
      </c>
      <c r="U397" s="429" t="s">
        <v>928</v>
      </c>
      <c r="V397" s="322"/>
      <c r="CM397" s="271"/>
      <c r="CN397" s="271"/>
      <c r="CO397" s="271"/>
      <c r="CP397" s="271"/>
      <c r="CQ397" s="271"/>
      <c r="CR397" s="271"/>
      <c r="CS397" s="271"/>
      <c r="CT397" s="271"/>
      <c r="CU397" s="271"/>
      <c r="CV397" s="271"/>
      <c r="CW397" s="271"/>
      <c r="CX397" s="271"/>
      <c r="CY397" s="271"/>
    </row>
    <row r="398" spans="2:103" s="273" customFormat="1" ht="21" x14ac:dyDescent="0.25">
      <c r="B398" s="424">
        <v>44652</v>
      </c>
      <c r="C398" s="710">
        <v>0.97916666666666663</v>
      </c>
      <c r="D398" s="425">
        <v>53</v>
      </c>
      <c r="E398" s="426">
        <v>11.8</v>
      </c>
      <c r="F398" s="427">
        <v>15.9</v>
      </c>
      <c r="G398" s="428">
        <v>1104</v>
      </c>
      <c r="H398" s="428">
        <v>2102</v>
      </c>
      <c r="I398" s="428">
        <v>97.5</v>
      </c>
      <c r="J398" s="428">
        <v>124.2</v>
      </c>
      <c r="K398" s="436" t="s">
        <v>2451</v>
      </c>
      <c r="L398" s="426">
        <v>38.200000000000003</v>
      </c>
      <c r="M398" s="426">
        <v>37</v>
      </c>
      <c r="N398" s="426">
        <v>48.36</v>
      </c>
      <c r="O398" s="429"/>
      <c r="P398" s="429" t="s">
        <v>142</v>
      </c>
      <c r="Q398" s="429" t="s">
        <v>142</v>
      </c>
      <c r="R398" s="429" t="s">
        <v>2452</v>
      </c>
      <c r="S398" s="430" t="s">
        <v>2218</v>
      </c>
      <c r="T398" s="430" t="s">
        <v>23</v>
      </c>
      <c r="U398" s="429" t="s">
        <v>928</v>
      </c>
      <c r="V398" s="322"/>
      <c r="CM398" s="271"/>
      <c r="CN398" s="271"/>
      <c r="CO398" s="271"/>
      <c r="CP398" s="271"/>
      <c r="CQ398" s="271"/>
      <c r="CR398" s="271"/>
      <c r="CS398" s="271"/>
      <c r="CT398" s="271"/>
      <c r="CU398" s="271"/>
      <c r="CV398" s="271"/>
      <c r="CW398" s="271"/>
      <c r="CX398" s="271"/>
      <c r="CY398" s="271"/>
    </row>
    <row r="399" spans="2:103" s="273" customFormat="1" ht="31.5" x14ac:dyDescent="0.25">
      <c r="B399" s="424">
        <v>44653</v>
      </c>
      <c r="C399" s="710">
        <v>0.89583333333333337</v>
      </c>
      <c r="D399" s="425">
        <v>54</v>
      </c>
      <c r="E399" s="426">
        <v>12</v>
      </c>
      <c r="F399" s="427">
        <v>16</v>
      </c>
      <c r="G399" s="428">
        <v>1138</v>
      </c>
      <c r="H399" s="428">
        <v>2125</v>
      </c>
      <c r="I399" s="428">
        <v>97.7</v>
      </c>
      <c r="J399" s="428">
        <v>120.9</v>
      </c>
      <c r="K399" s="436" t="s">
        <v>2457</v>
      </c>
      <c r="L399" s="426">
        <v>36.81</v>
      </c>
      <c r="M399" s="426">
        <v>39</v>
      </c>
      <c r="N399" s="426">
        <v>51.49</v>
      </c>
      <c r="O399" s="429"/>
      <c r="P399" s="429" t="s">
        <v>142</v>
      </c>
      <c r="Q399" s="429" t="s">
        <v>142</v>
      </c>
      <c r="R399" s="429" t="s">
        <v>1217</v>
      </c>
      <c r="S399" s="430" t="s">
        <v>2218</v>
      </c>
      <c r="T399" s="430" t="s">
        <v>23</v>
      </c>
      <c r="U399" s="429" t="s">
        <v>236</v>
      </c>
      <c r="V399" s="724" t="s">
        <v>2465</v>
      </c>
      <c r="CM399" s="271"/>
      <c r="CN399" s="271"/>
      <c r="CO399" s="271"/>
      <c r="CP399" s="271"/>
      <c r="CQ399" s="271"/>
      <c r="CR399" s="271"/>
      <c r="CS399" s="271"/>
      <c r="CT399" s="271"/>
      <c r="CU399" s="271"/>
      <c r="CV399" s="271"/>
      <c r="CW399" s="271"/>
      <c r="CX399" s="271"/>
      <c r="CY399" s="271"/>
    </row>
    <row r="400" spans="2:103" s="273" customFormat="1" ht="49.5" customHeight="1" x14ac:dyDescent="0.25">
      <c r="B400" s="424">
        <v>44654</v>
      </c>
      <c r="C400" s="710">
        <v>0.89583333333333337</v>
      </c>
      <c r="D400" s="425">
        <v>53</v>
      </c>
      <c r="E400" s="426">
        <v>8.1</v>
      </c>
      <c r="F400" s="427">
        <v>13.5</v>
      </c>
      <c r="G400" s="428">
        <v>1194</v>
      </c>
      <c r="H400" s="428">
        <v>1970</v>
      </c>
      <c r="I400" s="428">
        <v>97.2</v>
      </c>
      <c r="J400" s="428">
        <v>118.2</v>
      </c>
      <c r="K400" s="436" t="s">
        <v>2468</v>
      </c>
      <c r="L400" s="426">
        <v>36.25</v>
      </c>
      <c r="M400" s="426">
        <v>38</v>
      </c>
      <c r="N400" s="426">
        <v>50.15</v>
      </c>
      <c r="O400" s="429"/>
      <c r="P400" s="429" t="s">
        <v>142</v>
      </c>
      <c r="Q400" s="429" t="s">
        <v>142</v>
      </c>
      <c r="R400" s="429" t="s">
        <v>2469</v>
      </c>
      <c r="S400" s="430" t="s">
        <v>2470</v>
      </c>
      <c r="T400" s="430" t="s">
        <v>23</v>
      </c>
      <c r="U400" s="429" t="s">
        <v>236</v>
      </c>
      <c r="V400" s="724" t="s">
        <v>2473</v>
      </c>
      <c r="CM400" s="271"/>
      <c r="CN400" s="271"/>
      <c r="CO400" s="271"/>
      <c r="CP400" s="271"/>
      <c r="CQ400" s="271"/>
      <c r="CR400" s="271"/>
      <c r="CS400" s="271"/>
      <c r="CT400" s="271"/>
      <c r="CU400" s="271"/>
      <c r="CV400" s="271"/>
      <c r="CW400" s="271"/>
      <c r="CX400" s="271"/>
      <c r="CY400" s="271"/>
    </row>
    <row r="401" spans="2:103" s="273" customFormat="1" ht="49.5" customHeight="1" x14ac:dyDescent="0.25">
      <c r="B401" s="424">
        <v>44655</v>
      </c>
      <c r="C401" s="710">
        <v>0.89583333333333337</v>
      </c>
      <c r="D401" s="425">
        <v>48</v>
      </c>
      <c r="E401" s="426">
        <v>9.4</v>
      </c>
      <c r="F401" s="427">
        <v>13.7</v>
      </c>
      <c r="G401" s="428">
        <v>1207</v>
      </c>
      <c r="H401" s="428">
        <v>2015</v>
      </c>
      <c r="I401" s="428">
        <v>97</v>
      </c>
      <c r="J401" s="428">
        <v>118.4</v>
      </c>
      <c r="K401" s="436" t="s">
        <v>2482</v>
      </c>
      <c r="L401" s="426">
        <v>35.08</v>
      </c>
      <c r="M401" s="426">
        <v>37</v>
      </c>
      <c r="N401" s="426">
        <v>46.8</v>
      </c>
      <c r="O401" s="429"/>
      <c r="P401" s="429" t="s">
        <v>142</v>
      </c>
      <c r="Q401" s="429" t="s">
        <v>142</v>
      </c>
      <c r="R401" s="429" t="s">
        <v>2483</v>
      </c>
      <c r="S401" s="430" t="s">
        <v>2484</v>
      </c>
      <c r="T401" s="430" t="s">
        <v>23</v>
      </c>
      <c r="U401" s="429" t="s">
        <v>236</v>
      </c>
      <c r="V401" s="724" t="s">
        <v>2485</v>
      </c>
      <c r="CM401" s="271"/>
      <c r="CN401" s="271"/>
      <c r="CO401" s="271"/>
      <c r="CP401" s="271"/>
      <c r="CQ401" s="271"/>
      <c r="CR401" s="271"/>
      <c r="CS401" s="271"/>
      <c r="CT401" s="271"/>
      <c r="CU401" s="271"/>
      <c r="CV401" s="271"/>
      <c r="CW401" s="271"/>
      <c r="CX401" s="271"/>
      <c r="CY401" s="271"/>
    </row>
    <row r="402" spans="2:103" s="273" customFormat="1" ht="49.5" customHeight="1" x14ac:dyDescent="0.25">
      <c r="B402" s="424">
        <v>44656</v>
      </c>
      <c r="C402" s="710">
        <v>0.95833333333333337</v>
      </c>
      <c r="D402" s="1516" t="s">
        <v>2504</v>
      </c>
      <c r="E402" s="1517"/>
      <c r="F402" s="1517"/>
      <c r="G402" s="1517"/>
      <c r="H402" s="1517"/>
      <c r="I402" s="1517"/>
      <c r="J402" s="1517"/>
      <c r="K402" s="1517"/>
      <c r="L402" s="1517"/>
      <c r="M402" s="1517"/>
      <c r="N402" s="1517"/>
      <c r="O402" s="1517"/>
      <c r="P402" s="1517"/>
      <c r="Q402" s="1517"/>
      <c r="R402" s="1517"/>
      <c r="S402" s="1518"/>
      <c r="T402" s="430" t="s">
        <v>23</v>
      </c>
      <c r="U402" s="429" t="s">
        <v>236</v>
      </c>
      <c r="V402" s="724"/>
      <c r="CM402" s="271"/>
      <c r="CN402" s="271"/>
      <c r="CO402" s="271"/>
      <c r="CP402" s="271"/>
      <c r="CQ402" s="271"/>
      <c r="CR402" s="271"/>
      <c r="CS402" s="271"/>
      <c r="CT402" s="271"/>
      <c r="CU402" s="271"/>
      <c r="CV402" s="271"/>
      <c r="CW402" s="271"/>
      <c r="CX402" s="271"/>
      <c r="CY402" s="271"/>
    </row>
    <row r="403" spans="2:103" s="273" customFormat="1" ht="49.5" customHeight="1" x14ac:dyDescent="0.25">
      <c r="B403" s="424">
        <v>44657</v>
      </c>
      <c r="C403" s="710">
        <v>0.89583333333333337</v>
      </c>
      <c r="D403" s="425">
        <v>50</v>
      </c>
      <c r="E403" s="426">
        <v>10.4</v>
      </c>
      <c r="F403" s="427">
        <v>14.6</v>
      </c>
      <c r="G403" s="428">
        <v>1141</v>
      </c>
      <c r="H403" s="428">
        <v>1992</v>
      </c>
      <c r="I403" s="428">
        <v>99</v>
      </c>
      <c r="J403" s="428">
        <v>114.5</v>
      </c>
      <c r="K403" s="436" t="s">
        <v>2506</v>
      </c>
      <c r="L403" s="426">
        <v>38.369999999999997</v>
      </c>
      <c r="M403" s="426">
        <v>40</v>
      </c>
      <c r="N403" s="426">
        <v>49.77</v>
      </c>
      <c r="O403" s="429"/>
      <c r="P403" s="429" t="s">
        <v>142</v>
      </c>
      <c r="Q403" s="429" t="s">
        <v>142</v>
      </c>
      <c r="R403" s="429" t="s">
        <v>2507</v>
      </c>
      <c r="S403" s="430" t="s">
        <v>2508</v>
      </c>
      <c r="T403" s="430" t="s">
        <v>23</v>
      </c>
      <c r="U403" s="429" t="s">
        <v>236</v>
      </c>
      <c r="V403" s="724"/>
      <c r="CM403" s="271"/>
      <c r="CN403" s="271"/>
      <c r="CO403" s="271"/>
      <c r="CP403" s="271"/>
      <c r="CQ403" s="271"/>
      <c r="CR403" s="271"/>
      <c r="CS403" s="271"/>
      <c r="CT403" s="271"/>
      <c r="CU403" s="271"/>
      <c r="CV403" s="271"/>
      <c r="CW403" s="271"/>
      <c r="CX403" s="271"/>
      <c r="CY403" s="271"/>
    </row>
    <row r="404" spans="2:103" s="273" customFormat="1" ht="66.75" customHeight="1" x14ac:dyDescent="0.25">
      <c r="B404" s="424">
        <v>44658</v>
      </c>
      <c r="C404" s="710">
        <v>0.95833333333333337</v>
      </c>
      <c r="D404" s="425">
        <v>48</v>
      </c>
      <c r="E404" s="426">
        <v>12.3</v>
      </c>
      <c r="F404" s="427">
        <v>16</v>
      </c>
      <c r="G404" s="428">
        <v>1263</v>
      </c>
      <c r="H404" s="428">
        <v>2024</v>
      </c>
      <c r="I404" s="428">
        <v>97.1</v>
      </c>
      <c r="J404" s="428">
        <v>113.7</v>
      </c>
      <c r="K404" s="436" t="s">
        <v>2514</v>
      </c>
      <c r="L404" s="426">
        <v>37.68</v>
      </c>
      <c r="M404" s="426">
        <v>40</v>
      </c>
      <c r="N404" s="426"/>
      <c r="O404" s="429"/>
      <c r="P404" s="429" t="s">
        <v>142</v>
      </c>
      <c r="Q404" s="429" t="s">
        <v>142</v>
      </c>
      <c r="R404" s="429" t="s">
        <v>1103</v>
      </c>
      <c r="S404" s="430" t="s">
        <v>2515</v>
      </c>
      <c r="T404" s="430" t="s">
        <v>23</v>
      </c>
      <c r="U404" s="429" t="s">
        <v>236</v>
      </c>
      <c r="V404" s="724" t="s">
        <v>2522</v>
      </c>
      <c r="CM404" s="271"/>
      <c r="CN404" s="271"/>
      <c r="CO404" s="271"/>
      <c r="CP404" s="271"/>
      <c r="CQ404" s="271"/>
      <c r="CR404" s="271"/>
      <c r="CS404" s="271"/>
      <c r="CT404" s="271"/>
      <c r="CU404" s="271"/>
      <c r="CV404" s="271"/>
      <c r="CW404" s="271"/>
      <c r="CX404" s="271"/>
      <c r="CY404" s="271"/>
    </row>
    <row r="405" spans="2:103" s="273" customFormat="1" ht="42" customHeight="1" x14ac:dyDescent="0.25">
      <c r="B405" s="424">
        <v>44659</v>
      </c>
      <c r="C405" s="710">
        <v>2.0833333333333332E-2</v>
      </c>
      <c r="D405" s="425">
        <v>50</v>
      </c>
      <c r="E405" s="426">
        <v>13.2</v>
      </c>
      <c r="F405" s="427">
        <v>16.8</v>
      </c>
      <c r="G405" s="428">
        <v>1253</v>
      </c>
      <c r="H405" s="428">
        <v>2106</v>
      </c>
      <c r="I405" s="428">
        <v>98.9</v>
      </c>
      <c r="J405" s="428">
        <v>116</v>
      </c>
      <c r="K405" s="436" t="s">
        <v>2531</v>
      </c>
      <c r="L405" s="426">
        <v>36.119999999999997</v>
      </c>
      <c r="M405" s="426">
        <v>39.5</v>
      </c>
      <c r="N405" s="426">
        <v>47.2</v>
      </c>
      <c r="O405" s="429" t="s">
        <v>142</v>
      </c>
      <c r="P405" s="429" t="s">
        <v>142</v>
      </c>
      <c r="Q405" s="306" t="s">
        <v>142</v>
      </c>
      <c r="R405" s="429" t="s">
        <v>2532</v>
      </c>
      <c r="S405" s="430" t="s">
        <v>2533</v>
      </c>
      <c r="T405" s="430" t="s">
        <v>23</v>
      </c>
      <c r="U405" s="429" t="s">
        <v>236</v>
      </c>
      <c r="V405" s="724"/>
      <c r="CM405" s="271"/>
      <c r="CN405" s="271"/>
      <c r="CO405" s="271"/>
      <c r="CP405" s="271"/>
      <c r="CQ405" s="271"/>
      <c r="CR405" s="271"/>
      <c r="CS405" s="271"/>
      <c r="CT405" s="271"/>
      <c r="CU405" s="271"/>
      <c r="CV405" s="271"/>
      <c r="CW405" s="271"/>
      <c r="CX405" s="271"/>
      <c r="CY405" s="271"/>
    </row>
    <row r="406" spans="2:103" s="273" customFormat="1" ht="42" customHeight="1" x14ac:dyDescent="0.25">
      <c r="B406" s="424">
        <v>44660</v>
      </c>
      <c r="C406" s="710">
        <v>0.98611111111111116</v>
      </c>
      <c r="D406" s="425">
        <v>50</v>
      </c>
      <c r="E406" s="426">
        <v>14</v>
      </c>
      <c r="F406" s="427">
        <v>17.399999999999999</v>
      </c>
      <c r="G406" s="428">
        <v>1291</v>
      </c>
      <c r="H406" s="428">
        <v>2074</v>
      </c>
      <c r="I406" s="428">
        <v>99.9</v>
      </c>
      <c r="J406" s="428">
        <v>120.5</v>
      </c>
      <c r="K406" s="436" t="s">
        <v>2541</v>
      </c>
      <c r="L406" s="426">
        <v>38.049999999999997</v>
      </c>
      <c r="M406" s="426">
        <v>40.5</v>
      </c>
      <c r="N406" s="426">
        <v>47.2</v>
      </c>
      <c r="O406" s="429" t="s">
        <v>142</v>
      </c>
      <c r="P406" s="429" t="s">
        <v>142</v>
      </c>
      <c r="Q406" s="306" t="s">
        <v>142</v>
      </c>
      <c r="R406" s="429" t="s">
        <v>2286</v>
      </c>
      <c r="S406" s="430" t="s">
        <v>2287</v>
      </c>
      <c r="T406" s="430" t="s">
        <v>23</v>
      </c>
      <c r="U406" s="429" t="s">
        <v>236</v>
      </c>
      <c r="V406" s="724"/>
      <c r="CM406" s="271"/>
      <c r="CN406" s="271"/>
      <c r="CO406" s="271"/>
      <c r="CP406" s="271"/>
      <c r="CQ406" s="271"/>
      <c r="CR406" s="271"/>
      <c r="CS406" s="271"/>
      <c r="CT406" s="271"/>
      <c r="CU406" s="271"/>
      <c r="CV406" s="271"/>
      <c r="CW406" s="271"/>
      <c r="CX406" s="271"/>
      <c r="CY406" s="271"/>
    </row>
    <row r="407" spans="2:103" s="273" customFormat="1" ht="42" customHeight="1" x14ac:dyDescent="0.25">
      <c r="B407" s="424">
        <v>44661</v>
      </c>
      <c r="C407" s="710">
        <v>0</v>
      </c>
      <c r="D407" s="425">
        <v>50</v>
      </c>
      <c r="E407" s="426">
        <v>13.6</v>
      </c>
      <c r="F407" s="427">
        <v>17.100000000000001</v>
      </c>
      <c r="G407" s="428">
        <v>1358</v>
      </c>
      <c r="H407" s="428">
        <v>2057</v>
      </c>
      <c r="I407" s="428">
        <v>96.6</v>
      </c>
      <c r="J407" s="428">
        <v>116.7</v>
      </c>
      <c r="K407" s="436" t="s">
        <v>2557</v>
      </c>
      <c r="L407" s="426">
        <v>37.76</v>
      </c>
      <c r="M407" s="426">
        <v>40.5</v>
      </c>
      <c r="N407" s="426">
        <v>53.4</v>
      </c>
      <c r="O407" s="429" t="s">
        <v>142</v>
      </c>
      <c r="P407" s="429" t="s">
        <v>142</v>
      </c>
      <c r="Q407" s="306" t="s">
        <v>142</v>
      </c>
      <c r="R407" s="429" t="s">
        <v>2558</v>
      </c>
      <c r="S407" s="430" t="s">
        <v>2559</v>
      </c>
      <c r="T407" s="430" t="s">
        <v>23</v>
      </c>
      <c r="U407" s="429" t="s">
        <v>236</v>
      </c>
      <c r="V407" s="724"/>
      <c r="CM407" s="271"/>
      <c r="CN407" s="271"/>
      <c r="CO407" s="271"/>
      <c r="CP407" s="271"/>
      <c r="CQ407" s="271"/>
      <c r="CR407" s="271"/>
      <c r="CS407" s="271"/>
      <c r="CT407" s="271"/>
      <c r="CU407" s="271"/>
      <c r="CV407" s="271"/>
      <c r="CW407" s="271"/>
      <c r="CX407" s="271"/>
      <c r="CY407" s="271"/>
    </row>
    <row r="408" spans="2:103" s="273" customFormat="1" ht="42" customHeight="1" x14ac:dyDescent="0.25">
      <c r="B408" s="424">
        <v>44662</v>
      </c>
      <c r="C408" s="710">
        <v>0.75</v>
      </c>
      <c r="D408" s="425">
        <v>50</v>
      </c>
      <c r="E408" s="426">
        <v>10.6</v>
      </c>
      <c r="F408" s="427">
        <v>15</v>
      </c>
      <c r="G408" s="428">
        <v>1144</v>
      </c>
      <c r="H408" s="428">
        <v>1972</v>
      </c>
      <c r="I408" s="428">
        <v>98.6</v>
      </c>
      <c r="J408" s="428">
        <v>114.6</v>
      </c>
      <c r="K408" s="436" t="s">
        <v>2582</v>
      </c>
      <c r="L408" s="426">
        <v>37.9</v>
      </c>
      <c r="M408" s="426">
        <v>40.5</v>
      </c>
      <c r="N408" s="426">
        <v>49.7</v>
      </c>
      <c r="O408" s="429" t="s">
        <v>142</v>
      </c>
      <c r="P408" s="429" t="s">
        <v>142</v>
      </c>
      <c r="Q408" s="306" t="s">
        <v>142</v>
      </c>
      <c r="R408" s="429" t="s">
        <v>2583</v>
      </c>
      <c r="S408" s="430" t="s">
        <v>2377</v>
      </c>
      <c r="T408" s="430" t="s">
        <v>23</v>
      </c>
      <c r="U408" s="429" t="s">
        <v>236</v>
      </c>
      <c r="V408" s="724"/>
      <c r="CM408" s="271"/>
      <c r="CN408" s="271"/>
      <c r="CO408" s="271"/>
      <c r="CP408" s="271"/>
      <c r="CQ408" s="271"/>
      <c r="CR408" s="271"/>
      <c r="CS408" s="271"/>
      <c r="CT408" s="271"/>
      <c r="CU408" s="271"/>
      <c r="CV408" s="271"/>
      <c r="CW408" s="271"/>
      <c r="CX408" s="271"/>
      <c r="CY408" s="271"/>
    </row>
    <row r="409" spans="2:103" s="273" customFormat="1" ht="42" customHeight="1" x14ac:dyDescent="0.25">
      <c r="B409" s="424">
        <v>44663</v>
      </c>
      <c r="C409" s="710">
        <v>0.25</v>
      </c>
      <c r="D409" s="425">
        <v>50</v>
      </c>
      <c r="E409" s="426">
        <v>10.6</v>
      </c>
      <c r="F409" s="427">
        <v>14.8</v>
      </c>
      <c r="G409" s="428">
        <v>1127</v>
      </c>
      <c r="H409" s="428">
        <v>1970</v>
      </c>
      <c r="I409" s="428">
        <v>99</v>
      </c>
      <c r="J409" s="428">
        <v>114.6</v>
      </c>
      <c r="K409" s="436" t="s">
        <v>2589</v>
      </c>
      <c r="L409" s="426">
        <v>37.33</v>
      </c>
      <c r="M409" s="426">
        <v>39.5</v>
      </c>
      <c r="N409" s="426">
        <v>50</v>
      </c>
      <c r="O409" s="429" t="s">
        <v>142</v>
      </c>
      <c r="P409" s="429" t="s">
        <v>142</v>
      </c>
      <c r="Q409" s="314" t="s">
        <v>142</v>
      </c>
      <c r="R409" s="429" t="s">
        <v>2590</v>
      </c>
      <c r="S409" s="430" t="s">
        <v>2377</v>
      </c>
      <c r="T409" s="430" t="s">
        <v>23</v>
      </c>
      <c r="U409" s="429" t="s">
        <v>236</v>
      </c>
      <c r="V409" s="724"/>
      <c r="CM409" s="271"/>
      <c r="CN409" s="271"/>
      <c r="CO409" s="271"/>
      <c r="CP409" s="271"/>
      <c r="CQ409" s="271"/>
      <c r="CR409" s="271"/>
      <c r="CS409" s="271"/>
      <c r="CT409" s="271"/>
      <c r="CU409" s="271"/>
      <c r="CV409" s="271"/>
      <c r="CW409" s="271"/>
      <c r="CX409" s="271"/>
      <c r="CY409" s="271"/>
    </row>
    <row r="410" spans="2:103" s="273" customFormat="1" ht="42" customHeight="1" x14ac:dyDescent="0.25">
      <c r="B410" s="424">
        <v>44664</v>
      </c>
      <c r="C410" s="1535" t="s">
        <v>2598</v>
      </c>
      <c r="D410" s="1536"/>
      <c r="E410" s="1536"/>
      <c r="F410" s="1536"/>
      <c r="G410" s="1536"/>
      <c r="H410" s="1536"/>
      <c r="I410" s="1536"/>
      <c r="J410" s="1536"/>
      <c r="K410" s="1536"/>
      <c r="L410" s="1536"/>
      <c r="M410" s="1536"/>
      <c r="N410" s="1536"/>
      <c r="O410" s="1536"/>
      <c r="P410" s="1536"/>
      <c r="Q410" s="1536"/>
      <c r="R410" s="1536"/>
      <c r="S410" s="1537"/>
      <c r="T410" s="430" t="s">
        <v>23</v>
      </c>
      <c r="U410" s="429" t="s">
        <v>236</v>
      </c>
      <c r="V410" s="724"/>
      <c r="CM410" s="271"/>
      <c r="CN410" s="271"/>
      <c r="CO410" s="271"/>
      <c r="CP410" s="271"/>
      <c r="CQ410" s="271"/>
      <c r="CR410" s="271"/>
      <c r="CS410" s="271"/>
      <c r="CT410" s="271"/>
      <c r="CU410" s="271"/>
      <c r="CV410" s="271"/>
      <c r="CW410" s="271"/>
      <c r="CX410" s="271"/>
      <c r="CY410" s="271"/>
    </row>
    <row r="411" spans="2:103" s="273" customFormat="1" ht="42" customHeight="1" x14ac:dyDescent="0.25">
      <c r="B411" s="424">
        <v>44665</v>
      </c>
      <c r="C411" s="710">
        <v>0</v>
      </c>
      <c r="D411" s="425">
        <v>48</v>
      </c>
      <c r="E411" s="426">
        <v>12.6</v>
      </c>
      <c r="F411" s="427">
        <v>16.2</v>
      </c>
      <c r="G411" s="428">
        <v>1298</v>
      </c>
      <c r="H411" s="428">
        <v>1987</v>
      </c>
      <c r="I411" s="428">
        <v>97.5</v>
      </c>
      <c r="J411" s="428">
        <v>114.9</v>
      </c>
      <c r="K411" s="436" t="s">
        <v>2605</v>
      </c>
      <c r="L411" s="426">
        <v>34.409999999999997</v>
      </c>
      <c r="M411" s="426">
        <v>37</v>
      </c>
      <c r="N411" s="426">
        <v>51.1</v>
      </c>
      <c r="O411" s="429" t="s">
        <v>142</v>
      </c>
      <c r="P411" s="429" t="s">
        <v>142</v>
      </c>
      <c r="Q411" s="314" t="s">
        <v>142</v>
      </c>
      <c r="R411" s="429" t="s">
        <v>2606</v>
      </c>
      <c r="S411" s="430" t="s">
        <v>2515</v>
      </c>
      <c r="T411" s="430" t="s">
        <v>23</v>
      </c>
      <c r="U411" s="429" t="s">
        <v>236</v>
      </c>
      <c r="V411" s="724"/>
      <c r="CM411" s="271"/>
      <c r="CN411" s="271"/>
      <c r="CO411" s="271"/>
      <c r="CP411" s="271"/>
      <c r="CQ411" s="271"/>
      <c r="CR411" s="271"/>
      <c r="CS411" s="271"/>
      <c r="CT411" s="271"/>
      <c r="CU411" s="271"/>
      <c r="CV411" s="271"/>
      <c r="CW411" s="271"/>
      <c r="CX411" s="271"/>
      <c r="CY411" s="271"/>
    </row>
    <row r="412" spans="2:103" s="273" customFormat="1" ht="42" customHeight="1" x14ac:dyDescent="0.25">
      <c r="B412" s="424">
        <v>44666</v>
      </c>
      <c r="C412" s="710">
        <v>0.9375</v>
      </c>
      <c r="D412" s="1481"/>
      <c r="E412" s="1482"/>
      <c r="F412" s="1482"/>
      <c r="G412" s="1482"/>
      <c r="H412" s="1482"/>
      <c r="I412" s="1482"/>
      <c r="J412" s="1482"/>
      <c r="K412" s="1482"/>
      <c r="L412" s="1482"/>
      <c r="M412" s="1482"/>
      <c r="N412" s="1482"/>
      <c r="O412" s="1482"/>
      <c r="P412" s="1482"/>
      <c r="Q412" s="1482"/>
      <c r="R412" s="1482"/>
      <c r="S412" s="1483"/>
      <c r="T412" s="430" t="s">
        <v>23</v>
      </c>
      <c r="U412" s="429" t="s">
        <v>236</v>
      </c>
      <c r="V412" s="724"/>
      <c r="CM412" s="271"/>
      <c r="CN412" s="271"/>
      <c r="CO412" s="271"/>
      <c r="CP412" s="271"/>
      <c r="CQ412" s="271"/>
      <c r="CR412" s="271"/>
      <c r="CS412" s="271"/>
      <c r="CT412" s="271"/>
      <c r="CU412" s="271"/>
      <c r="CV412" s="271"/>
      <c r="CW412" s="271"/>
      <c r="CX412" s="271"/>
      <c r="CY412" s="271"/>
    </row>
    <row r="413" spans="2:103" s="273" customFormat="1" ht="42" customHeight="1" x14ac:dyDescent="0.25">
      <c r="B413" s="424">
        <v>44667</v>
      </c>
      <c r="C413" s="710">
        <v>0</v>
      </c>
      <c r="D413" s="425">
        <v>48</v>
      </c>
      <c r="E413" s="426">
        <v>13.8</v>
      </c>
      <c r="F413" s="427">
        <v>17.3</v>
      </c>
      <c r="G413" s="428">
        <v>1367</v>
      </c>
      <c r="H413" s="428">
        <v>1929</v>
      </c>
      <c r="I413" s="428">
        <v>97.3</v>
      </c>
      <c r="J413" s="428">
        <v>113.3</v>
      </c>
      <c r="K413" s="436" t="s">
        <v>2621</v>
      </c>
      <c r="L413" s="426">
        <v>37.65</v>
      </c>
      <c r="M413" s="426">
        <v>40</v>
      </c>
      <c r="N413" s="426">
        <v>40</v>
      </c>
      <c r="O413" s="429" t="s">
        <v>142</v>
      </c>
      <c r="P413" s="429" t="s">
        <v>142</v>
      </c>
      <c r="Q413" s="314" t="s">
        <v>142</v>
      </c>
      <c r="R413" s="429" t="s">
        <v>2622</v>
      </c>
      <c r="S413" s="430" t="s">
        <v>2623</v>
      </c>
      <c r="T413" s="430" t="s">
        <v>23</v>
      </c>
      <c r="U413" s="429" t="s">
        <v>236</v>
      </c>
      <c r="V413" s="724" t="s">
        <v>2625</v>
      </c>
      <c r="CM413" s="271"/>
      <c r="CN413" s="271"/>
      <c r="CO413" s="271"/>
      <c r="CP413" s="271"/>
      <c r="CQ413" s="271"/>
      <c r="CR413" s="271"/>
      <c r="CS413" s="271"/>
      <c r="CT413" s="271"/>
      <c r="CU413" s="271"/>
      <c r="CV413" s="271"/>
      <c r="CW413" s="271"/>
      <c r="CX413" s="271"/>
      <c r="CY413" s="271"/>
    </row>
    <row r="414" spans="2:103" s="273" customFormat="1" ht="42" customHeight="1" x14ac:dyDescent="0.25">
      <c r="B414" s="424">
        <v>44668</v>
      </c>
      <c r="C414" s="710">
        <v>0.97916666666666663</v>
      </c>
      <c r="D414" s="425">
        <v>48</v>
      </c>
      <c r="E414" s="426">
        <v>7</v>
      </c>
      <c r="F414" s="427">
        <v>12.8</v>
      </c>
      <c r="G414" s="428">
        <v>1261</v>
      </c>
      <c r="H414" s="428">
        <v>1787</v>
      </c>
      <c r="I414" s="428">
        <v>97.1</v>
      </c>
      <c r="J414" s="428">
        <v>119.2</v>
      </c>
      <c r="K414" s="436" t="s">
        <v>2627</v>
      </c>
      <c r="L414" s="426">
        <v>37.450000000000003</v>
      </c>
      <c r="M414" s="426">
        <v>40</v>
      </c>
      <c r="N414" s="426">
        <v>47.62</v>
      </c>
      <c r="O414" s="429" t="s">
        <v>142</v>
      </c>
      <c r="P414" s="429" t="s">
        <v>142</v>
      </c>
      <c r="Q414" s="314" t="s">
        <v>142</v>
      </c>
      <c r="R414" s="429" t="s">
        <v>2628</v>
      </c>
      <c r="S414" s="430" t="s">
        <v>2629</v>
      </c>
      <c r="T414" s="430" t="s">
        <v>23</v>
      </c>
      <c r="U414" s="429" t="s">
        <v>236</v>
      </c>
      <c r="V414" s="724"/>
      <c r="CM414" s="271"/>
      <c r="CN414" s="271"/>
      <c r="CO414" s="271"/>
      <c r="CP414" s="271"/>
      <c r="CQ414" s="271"/>
      <c r="CR414" s="271"/>
      <c r="CS414" s="271"/>
      <c r="CT414" s="271"/>
      <c r="CU414" s="271"/>
      <c r="CV414" s="271"/>
      <c r="CW414" s="271"/>
      <c r="CX414" s="271"/>
      <c r="CY414" s="271"/>
    </row>
    <row r="415" spans="2:103" s="273" customFormat="1" ht="42" customHeight="1" x14ac:dyDescent="0.25">
      <c r="B415" s="424">
        <v>44669</v>
      </c>
      <c r="C415" s="1535" t="s">
        <v>2641</v>
      </c>
      <c r="D415" s="1536"/>
      <c r="E415" s="1536"/>
      <c r="F415" s="1536"/>
      <c r="G415" s="1536"/>
      <c r="H415" s="1536"/>
      <c r="I415" s="1536"/>
      <c r="J415" s="1536"/>
      <c r="K415" s="1536"/>
      <c r="L415" s="1536"/>
      <c r="M415" s="1536"/>
      <c r="N415" s="1536"/>
      <c r="O415" s="1536"/>
      <c r="P415" s="1536"/>
      <c r="Q415" s="1536"/>
      <c r="R415" s="1536"/>
      <c r="S415" s="1537"/>
      <c r="T415" s="430" t="s">
        <v>23</v>
      </c>
      <c r="U415" s="429" t="s">
        <v>236</v>
      </c>
      <c r="V415" s="724"/>
      <c r="CM415" s="271"/>
      <c r="CN415" s="271"/>
      <c r="CO415" s="271"/>
      <c r="CP415" s="271"/>
      <c r="CQ415" s="271"/>
      <c r="CR415" s="271"/>
      <c r="CS415" s="271"/>
      <c r="CT415" s="271"/>
      <c r="CU415" s="271"/>
      <c r="CV415" s="271"/>
      <c r="CW415" s="271"/>
      <c r="CX415" s="271"/>
      <c r="CY415" s="271"/>
    </row>
    <row r="416" spans="2:103" s="273" customFormat="1" ht="42" customHeight="1" x14ac:dyDescent="0.25">
      <c r="B416" s="424">
        <v>44670</v>
      </c>
      <c r="C416" s="710">
        <v>0.85416666666666663</v>
      </c>
      <c r="D416" s="425">
        <v>49</v>
      </c>
      <c r="E416" s="426">
        <v>10.7</v>
      </c>
      <c r="F416" s="427">
        <v>15</v>
      </c>
      <c r="G416" s="428">
        <v>1128</v>
      </c>
      <c r="H416" s="428">
        <v>1871</v>
      </c>
      <c r="I416" s="428">
        <v>99</v>
      </c>
      <c r="J416" s="428">
        <v>113.7</v>
      </c>
      <c r="K416" s="436" t="s">
        <v>2643</v>
      </c>
      <c r="L416" s="426">
        <v>36.869999999999997</v>
      </c>
      <c r="M416" s="426">
        <v>39.299999999999997</v>
      </c>
      <c r="N416" s="426">
        <v>52.14</v>
      </c>
      <c r="O416" s="429" t="s">
        <v>142</v>
      </c>
      <c r="P416" s="429" t="s">
        <v>142</v>
      </c>
      <c r="Q416" s="314" t="s">
        <v>142</v>
      </c>
      <c r="R416" s="429" t="s">
        <v>2644</v>
      </c>
      <c r="S416" s="430" t="s">
        <v>2645</v>
      </c>
      <c r="T416" s="430" t="s">
        <v>23</v>
      </c>
      <c r="U416" s="429" t="s">
        <v>236</v>
      </c>
      <c r="V416" s="767" t="s">
        <v>2646</v>
      </c>
      <c r="CM416" s="271"/>
      <c r="CN416" s="271"/>
      <c r="CO416" s="271"/>
      <c r="CP416" s="271"/>
      <c r="CQ416" s="271"/>
      <c r="CR416" s="271"/>
      <c r="CS416" s="271"/>
      <c r="CT416" s="271"/>
      <c r="CU416" s="271"/>
      <c r="CV416" s="271"/>
      <c r="CW416" s="271"/>
      <c r="CX416" s="271"/>
      <c r="CY416" s="271"/>
    </row>
    <row r="417" spans="2:103" s="273" customFormat="1" ht="42" customHeight="1" x14ac:dyDescent="0.25">
      <c r="B417" s="424">
        <v>44671</v>
      </c>
      <c r="C417" s="710">
        <v>0.95833333333333337</v>
      </c>
      <c r="D417" s="425">
        <v>49</v>
      </c>
      <c r="E417" s="426">
        <v>12.6</v>
      </c>
      <c r="F417" s="427">
        <v>16.3</v>
      </c>
      <c r="G417" s="428">
        <v>1210</v>
      </c>
      <c r="H417" s="428">
        <v>2021</v>
      </c>
      <c r="I417" s="428">
        <v>98.3</v>
      </c>
      <c r="J417" s="428">
        <v>116.7</v>
      </c>
      <c r="K417" s="436" t="s">
        <v>2657</v>
      </c>
      <c r="L417" s="426">
        <v>35.450000000000003</v>
      </c>
      <c r="M417" s="426">
        <v>38</v>
      </c>
      <c r="N417" s="426">
        <v>52.11</v>
      </c>
      <c r="O417" s="429" t="s">
        <v>142</v>
      </c>
      <c r="P417" s="429" t="s">
        <v>142</v>
      </c>
      <c r="Q417" s="314" t="s">
        <v>142</v>
      </c>
      <c r="R417" s="429" t="s">
        <v>2658</v>
      </c>
      <c r="S417" s="430" t="s">
        <v>2508</v>
      </c>
      <c r="T417" s="430" t="s">
        <v>23</v>
      </c>
      <c r="U417" s="429" t="s">
        <v>236</v>
      </c>
      <c r="V417" s="767" t="s">
        <v>2646</v>
      </c>
      <c r="CM417" s="271"/>
      <c r="CN417" s="271"/>
      <c r="CO417" s="271"/>
      <c r="CP417" s="271"/>
      <c r="CQ417" s="271"/>
      <c r="CR417" s="271"/>
      <c r="CS417" s="271"/>
      <c r="CT417" s="271"/>
      <c r="CU417" s="271"/>
      <c r="CV417" s="271"/>
      <c r="CW417" s="271"/>
      <c r="CX417" s="271"/>
      <c r="CY417" s="271"/>
    </row>
    <row r="418" spans="2:103" s="273" customFormat="1" ht="42" customHeight="1" x14ac:dyDescent="0.25">
      <c r="B418" s="424">
        <v>44672</v>
      </c>
      <c r="C418" s="710">
        <v>0.95833333333333337</v>
      </c>
      <c r="D418" s="1481" t="s">
        <v>2667</v>
      </c>
      <c r="E418" s="1482"/>
      <c r="F418" s="1482"/>
      <c r="G418" s="1482"/>
      <c r="H418" s="1482"/>
      <c r="I418" s="1482"/>
      <c r="J418" s="1482"/>
      <c r="K418" s="1482"/>
      <c r="L418" s="1482"/>
      <c r="M418" s="1482"/>
      <c r="N418" s="1482"/>
      <c r="O418" s="1482"/>
      <c r="P418" s="1482"/>
      <c r="Q418" s="1482"/>
      <c r="R418" s="1482"/>
      <c r="S418" s="1483"/>
      <c r="T418" s="430" t="s">
        <v>23</v>
      </c>
      <c r="U418" s="429" t="s">
        <v>236</v>
      </c>
      <c r="V418" s="767" t="s">
        <v>2646</v>
      </c>
      <c r="CM418" s="271"/>
      <c r="CN418" s="271"/>
      <c r="CO418" s="271"/>
      <c r="CP418" s="271"/>
      <c r="CQ418" s="271"/>
      <c r="CR418" s="271"/>
      <c r="CS418" s="271"/>
      <c r="CT418" s="271"/>
      <c r="CU418" s="271"/>
      <c r="CV418" s="271"/>
      <c r="CW418" s="271"/>
      <c r="CX418" s="271"/>
      <c r="CY418" s="271"/>
    </row>
    <row r="419" spans="2:103" s="273" customFormat="1" ht="42" customHeight="1" x14ac:dyDescent="0.25">
      <c r="B419" s="424">
        <v>44673</v>
      </c>
      <c r="C419" s="710">
        <v>0.89583333333333337</v>
      </c>
      <c r="D419" s="425">
        <v>49</v>
      </c>
      <c r="E419" s="426">
        <v>10.6</v>
      </c>
      <c r="F419" s="427">
        <v>14.9</v>
      </c>
      <c r="G419" s="428">
        <v>1133</v>
      </c>
      <c r="H419" s="428">
        <v>1895</v>
      </c>
      <c r="I419" s="428">
        <v>99</v>
      </c>
      <c r="J419" s="428">
        <v>113.8</v>
      </c>
      <c r="K419" s="436" t="s">
        <v>2670</v>
      </c>
      <c r="L419" s="426">
        <v>35.369999999999997</v>
      </c>
      <c r="M419" s="426">
        <v>38</v>
      </c>
      <c r="N419" s="426">
        <v>52.6</v>
      </c>
      <c r="O419" s="429" t="s">
        <v>142</v>
      </c>
      <c r="P419" s="429" t="s">
        <v>142</v>
      </c>
      <c r="Q419" s="314" t="s">
        <v>142</v>
      </c>
      <c r="R419" s="429" t="s">
        <v>2671</v>
      </c>
      <c r="S419" s="430" t="s">
        <v>2377</v>
      </c>
      <c r="T419" s="430" t="s">
        <v>23</v>
      </c>
      <c r="U419" s="429" t="s">
        <v>236</v>
      </c>
      <c r="V419" s="767" t="s">
        <v>2646</v>
      </c>
      <c r="CM419" s="271"/>
      <c r="CN419" s="271"/>
      <c r="CO419" s="271"/>
      <c r="CP419" s="271"/>
      <c r="CQ419" s="271"/>
      <c r="CR419" s="271"/>
      <c r="CS419" s="271"/>
      <c r="CT419" s="271"/>
      <c r="CU419" s="271"/>
      <c r="CV419" s="271"/>
      <c r="CW419" s="271"/>
      <c r="CX419" s="271"/>
      <c r="CY419" s="271"/>
    </row>
    <row r="420" spans="2:103" s="273" customFormat="1" ht="42" customHeight="1" x14ac:dyDescent="0.25">
      <c r="B420" s="424">
        <v>44674</v>
      </c>
      <c r="C420" s="710">
        <v>0.97916666666666663</v>
      </c>
      <c r="D420" s="425">
        <v>49</v>
      </c>
      <c r="E420" s="426">
        <v>10</v>
      </c>
      <c r="F420" s="427">
        <v>14.2</v>
      </c>
      <c r="G420" s="428">
        <v>1190</v>
      </c>
      <c r="H420" s="428">
        <v>2050</v>
      </c>
      <c r="I420" s="428">
        <v>97.2</v>
      </c>
      <c r="J420" s="428">
        <v>119.8</v>
      </c>
      <c r="K420" s="436" t="s">
        <v>2674</v>
      </c>
      <c r="L420" s="426">
        <v>36.35</v>
      </c>
      <c r="M420" s="426">
        <v>39</v>
      </c>
      <c r="N420" s="426">
        <v>50.84</v>
      </c>
      <c r="O420" s="429" t="s">
        <v>142</v>
      </c>
      <c r="P420" s="429" t="s">
        <v>142</v>
      </c>
      <c r="Q420" s="314" t="s">
        <v>142</v>
      </c>
      <c r="R420" s="429" t="s">
        <v>2675</v>
      </c>
      <c r="S420" s="430" t="s">
        <v>2676</v>
      </c>
      <c r="T420" s="430" t="s">
        <v>23</v>
      </c>
      <c r="U420" s="429" t="s">
        <v>236</v>
      </c>
      <c r="V420" s="767" t="s">
        <v>2646</v>
      </c>
      <c r="CM420" s="271"/>
      <c r="CN420" s="271"/>
      <c r="CO420" s="271"/>
      <c r="CP420" s="271"/>
      <c r="CQ420" s="271"/>
      <c r="CR420" s="271"/>
      <c r="CS420" s="271"/>
      <c r="CT420" s="271"/>
      <c r="CU420" s="271"/>
      <c r="CV420" s="271"/>
      <c r="CW420" s="271"/>
      <c r="CX420" s="271"/>
      <c r="CY420" s="271"/>
    </row>
    <row r="421" spans="2:103" s="273" customFormat="1" ht="42" customHeight="1" x14ac:dyDescent="0.25">
      <c r="B421" s="424">
        <v>44675</v>
      </c>
      <c r="C421" s="710">
        <v>0.97916666666666663</v>
      </c>
      <c r="D421" s="425">
        <v>49</v>
      </c>
      <c r="E421" s="426">
        <v>10</v>
      </c>
      <c r="F421" s="427">
        <v>14.7</v>
      </c>
      <c r="G421" s="428">
        <v>1180</v>
      </c>
      <c r="H421" s="428">
        <v>1824</v>
      </c>
      <c r="I421" s="428">
        <v>97.2</v>
      </c>
      <c r="J421" s="428">
        <v>112.7</v>
      </c>
      <c r="K421" s="436" t="s">
        <v>2680</v>
      </c>
      <c r="L421" s="426">
        <v>36.65</v>
      </c>
      <c r="M421" s="426">
        <v>39</v>
      </c>
      <c r="N421" s="426">
        <v>52.9</v>
      </c>
      <c r="O421" s="429" t="s">
        <v>142</v>
      </c>
      <c r="P421" s="429" t="s">
        <v>142</v>
      </c>
      <c r="Q421" s="314" t="s">
        <v>142</v>
      </c>
      <c r="R421" s="429" t="s">
        <v>2658</v>
      </c>
      <c r="S421" s="430" t="s">
        <v>2681</v>
      </c>
      <c r="T421" s="430" t="s">
        <v>23</v>
      </c>
      <c r="U421" s="429" t="s">
        <v>236</v>
      </c>
      <c r="V421" s="767" t="s">
        <v>2646</v>
      </c>
      <c r="CM421" s="271"/>
      <c r="CN421" s="271"/>
      <c r="CO421" s="271"/>
      <c r="CP421" s="271"/>
      <c r="CQ421" s="271"/>
      <c r="CR421" s="271"/>
      <c r="CS421" s="271"/>
      <c r="CT421" s="271"/>
      <c r="CU421" s="271"/>
      <c r="CV421" s="271"/>
      <c r="CW421" s="271"/>
      <c r="CX421" s="271"/>
      <c r="CY421" s="271"/>
    </row>
    <row r="422" spans="2:103" s="273" customFormat="1" ht="42" customHeight="1" x14ac:dyDescent="0.25">
      <c r="B422" s="424">
        <v>44676</v>
      </c>
      <c r="C422" s="710">
        <v>0.97916666666666663</v>
      </c>
      <c r="D422" s="425">
        <v>49</v>
      </c>
      <c r="E422" s="426">
        <v>10.1</v>
      </c>
      <c r="F422" s="427">
        <v>14.7</v>
      </c>
      <c r="G422" s="428">
        <v>1161</v>
      </c>
      <c r="H422" s="428">
        <v>2012</v>
      </c>
      <c r="I422" s="428">
        <v>99</v>
      </c>
      <c r="J422" s="428">
        <v>113.3</v>
      </c>
      <c r="K422" s="436" t="s">
        <v>2685</v>
      </c>
      <c r="L422" s="426">
        <v>36.5</v>
      </c>
      <c r="M422" s="426">
        <v>39</v>
      </c>
      <c r="N422" s="426">
        <v>48.81</v>
      </c>
      <c r="O422" s="429" t="s">
        <v>142</v>
      </c>
      <c r="P422" s="429" t="s">
        <v>142</v>
      </c>
      <c r="Q422" s="314" t="s">
        <v>142</v>
      </c>
      <c r="R422" s="429" t="s">
        <v>2686</v>
      </c>
      <c r="S422" s="430" t="s">
        <v>2681</v>
      </c>
      <c r="T422" s="430" t="s">
        <v>23</v>
      </c>
      <c r="U422" s="429" t="s">
        <v>236</v>
      </c>
      <c r="V422" s="767" t="s">
        <v>2646</v>
      </c>
      <c r="CM422" s="271"/>
      <c r="CN422" s="271"/>
      <c r="CO422" s="271"/>
      <c r="CP422" s="271"/>
      <c r="CQ422" s="271"/>
      <c r="CR422" s="271"/>
      <c r="CS422" s="271"/>
      <c r="CT422" s="271"/>
      <c r="CU422" s="271"/>
      <c r="CV422" s="271"/>
      <c r="CW422" s="271"/>
      <c r="CX422" s="271"/>
      <c r="CY422" s="271"/>
    </row>
    <row r="423" spans="2:103" s="273" customFormat="1" ht="42" customHeight="1" x14ac:dyDescent="0.25">
      <c r="B423" s="424">
        <v>44677</v>
      </c>
      <c r="C423" s="710">
        <v>0.91666666666666663</v>
      </c>
      <c r="D423" s="425">
        <v>49</v>
      </c>
      <c r="E423" s="426">
        <v>11.7</v>
      </c>
      <c r="F423" s="427">
        <v>15.6</v>
      </c>
      <c r="G423" s="428">
        <v>1232</v>
      </c>
      <c r="H423" s="428">
        <v>2030</v>
      </c>
      <c r="I423" s="428">
        <v>96.5</v>
      </c>
      <c r="J423" s="428">
        <v>119.3</v>
      </c>
      <c r="K423" s="436" t="s">
        <v>2693</v>
      </c>
      <c r="L423" s="426">
        <v>36.78</v>
      </c>
      <c r="M423" s="426">
        <v>39</v>
      </c>
      <c r="N423" s="426">
        <v>53.37</v>
      </c>
      <c r="O423" s="429" t="s">
        <v>142</v>
      </c>
      <c r="P423" s="429" t="s">
        <v>142</v>
      </c>
      <c r="Q423" s="314" t="s">
        <v>142</v>
      </c>
      <c r="R423" s="429" t="s">
        <v>943</v>
      </c>
      <c r="S423" s="430" t="s">
        <v>2230</v>
      </c>
      <c r="T423" s="430" t="s">
        <v>23</v>
      </c>
      <c r="U423" s="429" t="s">
        <v>236</v>
      </c>
      <c r="V423" s="767" t="s">
        <v>2646</v>
      </c>
      <c r="CM423" s="271"/>
      <c r="CN423" s="271"/>
      <c r="CO423" s="271"/>
      <c r="CP423" s="271"/>
      <c r="CQ423" s="271"/>
      <c r="CR423" s="271"/>
      <c r="CS423" s="271"/>
      <c r="CT423" s="271"/>
      <c r="CU423" s="271"/>
      <c r="CV423" s="271"/>
      <c r="CW423" s="271"/>
      <c r="CX423" s="271"/>
      <c r="CY423" s="271"/>
    </row>
    <row r="424" spans="2:103" s="273" customFormat="1" ht="42" customHeight="1" x14ac:dyDescent="0.25">
      <c r="B424" s="424">
        <v>44678</v>
      </c>
      <c r="C424" s="710">
        <v>0.91666666666666663</v>
      </c>
      <c r="D424" s="425">
        <v>49</v>
      </c>
      <c r="E424" s="426">
        <v>10.3</v>
      </c>
      <c r="F424" s="427">
        <v>14.6</v>
      </c>
      <c r="G424" s="428">
        <v>1154</v>
      </c>
      <c r="H424" s="428">
        <v>1862</v>
      </c>
      <c r="I424" s="428">
        <v>98.8</v>
      </c>
      <c r="J424" s="428">
        <v>113.6</v>
      </c>
      <c r="K424" s="436" t="s">
        <v>2715</v>
      </c>
      <c r="L424" s="426">
        <v>36.450000000000003</v>
      </c>
      <c r="M424" s="426">
        <v>39</v>
      </c>
      <c r="N424" s="426">
        <v>50.8</v>
      </c>
      <c r="O424" s="429" t="s">
        <v>142</v>
      </c>
      <c r="P424" s="429" t="s">
        <v>142</v>
      </c>
      <c r="Q424" s="314" t="s">
        <v>142</v>
      </c>
      <c r="R424" s="429" t="s">
        <v>2716</v>
      </c>
      <c r="S424" s="430" t="s">
        <v>2717</v>
      </c>
      <c r="T424" s="430" t="s">
        <v>23</v>
      </c>
      <c r="U424" s="429" t="s">
        <v>236</v>
      </c>
      <c r="V424" s="767" t="s">
        <v>2646</v>
      </c>
      <c r="CM424" s="271"/>
      <c r="CN424" s="271"/>
      <c r="CO424" s="271"/>
      <c r="CP424" s="271"/>
      <c r="CQ424" s="271"/>
      <c r="CR424" s="271"/>
      <c r="CS424" s="271"/>
      <c r="CT424" s="271"/>
      <c r="CU424" s="271"/>
      <c r="CV424" s="271"/>
      <c r="CW424" s="271"/>
      <c r="CX424" s="271"/>
      <c r="CY424" s="271"/>
    </row>
    <row r="425" spans="2:103" s="273" customFormat="1" ht="42" customHeight="1" x14ac:dyDescent="0.25">
      <c r="B425" s="424">
        <v>44679</v>
      </c>
      <c r="C425" s="710">
        <v>0.66666666666666663</v>
      </c>
      <c r="D425" s="425">
        <v>49</v>
      </c>
      <c r="E425" s="426">
        <v>9.6</v>
      </c>
      <c r="F425" s="427">
        <v>14.2</v>
      </c>
      <c r="G425" s="428">
        <v>1151</v>
      </c>
      <c r="H425" s="428">
        <v>1994</v>
      </c>
      <c r="I425" s="428">
        <v>97.3</v>
      </c>
      <c r="J425" s="428">
        <v>118.5</v>
      </c>
      <c r="K425" s="436" t="s">
        <v>2725</v>
      </c>
      <c r="L425" s="426">
        <v>36.54</v>
      </c>
      <c r="M425" s="426">
        <v>39</v>
      </c>
      <c r="N425" s="426">
        <v>49.27</v>
      </c>
      <c r="O425" s="429" t="s">
        <v>142</v>
      </c>
      <c r="P425" s="429" t="s">
        <v>142</v>
      </c>
      <c r="Q425" s="314" t="s">
        <v>142</v>
      </c>
      <c r="R425" s="429" t="s">
        <v>2726</v>
      </c>
      <c r="S425" s="430" t="s">
        <v>2727</v>
      </c>
      <c r="T425" s="430" t="s">
        <v>23</v>
      </c>
      <c r="U425" s="429" t="s">
        <v>236</v>
      </c>
      <c r="V425" s="767" t="s">
        <v>2646</v>
      </c>
      <c r="CM425" s="271"/>
      <c r="CN425" s="271"/>
      <c r="CO425" s="271"/>
      <c r="CP425" s="271"/>
      <c r="CQ425" s="271"/>
      <c r="CR425" s="271"/>
      <c r="CS425" s="271"/>
      <c r="CT425" s="271"/>
      <c r="CU425" s="271"/>
      <c r="CV425" s="271"/>
      <c r="CW425" s="271"/>
      <c r="CX425" s="271"/>
      <c r="CY425" s="271"/>
    </row>
    <row r="426" spans="2:103" s="273" customFormat="1" ht="42" customHeight="1" x14ac:dyDescent="0.25">
      <c r="B426" s="424">
        <v>44680</v>
      </c>
      <c r="C426" s="710">
        <v>0.75</v>
      </c>
      <c r="D426" s="425">
        <v>49</v>
      </c>
      <c r="E426" s="426">
        <v>10.5</v>
      </c>
      <c r="F426" s="427">
        <v>14.7</v>
      </c>
      <c r="G426" s="428">
        <v>1169</v>
      </c>
      <c r="H426" s="428">
        <v>1893</v>
      </c>
      <c r="I426" s="428">
        <v>98.3</v>
      </c>
      <c r="J426" s="428">
        <v>112.9</v>
      </c>
      <c r="K426" s="436" t="s">
        <v>2737</v>
      </c>
      <c r="L426" s="426">
        <v>36.74</v>
      </c>
      <c r="M426" s="426">
        <v>39</v>
      </c>
      <c r="N426" s="426">
        <v>52.19</v>
      </c>
      <c r="O426" s="429" t="s">
        <v>142</v>
      </c>
      <c r="P426" s="429" t="s">
        <v>142</v>
      </c>
      <c r="Q426" s="314" t="s">
        <v>142</v>
      </c>
      <c r="R426" s="429" t="s">
        <v>2738</v>
      </c>
      <c r="S426" s="430" t="s">
        <v>2681</v>
      </c>
      <c r="T426" s="430" t="s">
        <v>23</v>
      </c>
      <c r="U426" s="429" t="s">
        <v>236</v>
      </c>
      <c r="V426" s="767" t="s">
        <v>2646</v>
      </c>
      <c r="CM426" s="271"/>
      <c r="CN426" s="271"/>
      <c r="CO426" s="271"/>
      <c r="CP426" s="271"/>
      <c r="CQ426" s="271"/>
      <c r="CR426" s="271"/>
      <c r="CS426" s="271"/>
      <c r="CT426" s="271"/>
      <c r="CU426" s="271"/>
      <c r="CV426" s="271"/>
      <c r="CW426" s="271"/>
      <c r="CX426" s="271"/>
      <c r="CY426" s="271"/>
    </row>
    <row r="427" spans="2:103" s="273" customFormat="1" ht="42" customHeight="1" x14ac:dyDescent="0.25">
      <c r="B427" s="424">
        <v>44681</v>
      </c>
      <c r="C427" s="710">
        <v>0.75</v>
      </c>
      <c r="D427" s="425">
        <v>49</v>
      </c>
      <c r="E427" s="426">
        <v>9.6</v>
      </c>
      <c r="F427" s="427">
        <v>14.1</v>
      </c>
      <c r="G427" s="428">
        <v>1216</v>
      </c>
      <c r="H427" s="428">
        <v>2109</v>
      </c>
      <c r="I427" s="428">
        <v>96.6</v>
      </c>
      <c r="J427" s="428">
        <v>119.4</v>
      </c>
      <c r="K427" s="436" t="s">
        <v>2749</v>
      </c>
      <c r="L427" s="426">
        <v>36.799999999999997</v>
      </c>
      <c r="M427" s="426">
        <v>39</v>
      </c>
      <c r="N427" s="426">
        <v>48.6</v>
      </c>
      <c r="O427" s="429" t="s">
        <v>142</v>
      </c>
      <c r="P427" s="429" t="s">
        <v>142</v>
      </c>
      <c r="Q427" s="314" t="s">
        <v>142</v>
      </c>
      <c r="R427" s="429" t="s">
        <v>2750</v>
      </c>
      <c r="S427" s="430" t="s">
        <v>2751</v>
      </c>
      <c r="T427" s="430" t="s">
        <v>23</v>
      </c>
      <c r="U427" s="429" t="s">
        <v>236</v>
      </c>
      <c r="V427" s="767" t="s">
        <v>2646</v>
      </c>
      <c r="CM427" s="271"/>
      <c r="CN427" s="271"/>
      <c r="CO427" s="271"/>
      <c r="CP427" s="271"/>
      <c r="CQ427" s="271"/>
      <c r="CR427" s="271"/>
      <c r="CS427" s="271"/>
      <c r="CT427" s="271"/>
      <c r="CU427" s="271"/>
      <c r="CV427" s="271"/>
      <c r="CW427" s="271"/>
      <c r="CX427" s="271"/>
      <c r="CY427" s="271"/>
    </row>
    <row r="428" spans="2:103" s="273" customFormat="1" ht="42" customHeight="1" x14ac:dyDescent="0.25">
      <c r="B428" s="424">
        <v>44682</v>
      </c>
      <c r="C428" s="710">
        <v>0.70833333333333337</v>
      </c>
      <c r="D428" s="425">
        <v>49</v>
      </c>
      <c r="E428" s="426">
        <v>12.4</v>
      </c>
      <c r="F428" s="427">
        <v>16.100000000000001</v>
      </c>
      <c r="G428" s="428">
        <v>1224</v>
      </c>
      <c r="H428" s="428">
        <v>1935</v>
      </c>
      <c r="I428" s="428">
        <v>96.7</v>
      </c>
      <c r="J428" s="428">
        <v>115</v>
      </c>
      <c r="K428" s="436" t="s">
        <v>2756</v>
      </c>
      <c r="L428" s="426">
        <v>37.549999999999997</v>
      </c>
      <c r="M428" s="426">
        <v>39</v>
      </c>
      <c r="N428" s="426">
        <v>46.76</v>
      </c>
      <c r="O428" s="429" t="s">
        <v>142</v>
      </c>
      <c r="P428" s="429" t="s">
        <v>142</v>
      </c>
      <c r="Q428" s="314" t="s">
        <v>142</v>
      </c>
      <c r="R428" s="429" t="s">
        <v>1103</v>
      </c>
      <c r="S428" s="430" t="s">
        <v>2757</v>
      </c>
      <c r="T428" s="430" t="s">
        <v>23</v>
      </c>
      <c r="U428" s="429" t="s">
        <v>236</v>
      </c>
      <c r="V428" s="767" t="s">
        <v>2646</v>
      </c>
      <c r="CM428" s="271"/>
      <c r="CN428" s="271"/>
      <c r="CO428" s="271"/>
      <c r="CP428" s="271"/>
      <c r="CQ428" s="271"/>
      <c r="CR428" s="271"/>
      <c r="CS428" s="271"/>
      <c r="CT428" s="271"/>
      <c r="CU428" s="271"/>
      <c r="CV428" s="271"/>
      <c r="CW428" s="271"/>
      <c r="CX428" s="271"/>
      <c r="CY428" s="271"/>
    </row>
    <row r="429" spans="2:103" s="273" customFormat="1" ht="42" customHeight="1" x14ac:dyDescent="0.25">
      <c r="B429" s="424">
        <v>44683</v>
      </c>
      <c r="C429" s="710">
        <v>0.77083333333333337</v>
      </c>
      <c r="D429" s="425">
        <v>50</v>
      </c>
      <c r="E429" s="426">
        <v>10.7</v>
      </c>
      <c r="F429" s="427">
        <v>14.9</v>
      </c>
      <c r="G429" s="428">
        <v>1111.2</v>
      </c>
      <c r="H429" s="428">
        <v>1811</v>
      </c>
      <c r="I429" s="428">
        <v>99</v>
      </c>
      <c r="J429" s="428">
        <v>113.9</v>
      </c>
      <c r="K429" s="436" t="s">
        <v>2763</v>
      </c>
      <c r="L429" s="426">
        <v>36.29</v>
      </c>
      <c r="M429" s="426">
        <v>38.5</v>
      </c>
      <c r="N429" s="426">
        <v>53.55</v>
      </c>
      <c r="O429" s="429" t="s">
        <v>142</v>
      </c>
      <c r="P429" s="429" t="s">
        <v>142</v>
      </c>
      <c r="Q429" s="314" t="s">
        <v>142</v>
      </c>
      <c r="R429" s="429" t="s">
        <v>2764</v>
      </c>
      <c r="S429" s="430" t="s">
        <v>2377</v>
      </c>
      <c r="T429" s="430" t="s">
        <v>23</v>
      </c>
      <c r="U429" s="429" t="s">
        <v>236</v>
      </c>
      <c r="V429" s="767" t="s">
        <v>2765</v>
      </c>
      <c r="CM429" s="271"/>
      <c r="CN429" s="271"/>
      <c r="CO429" s="271"/>
      <c r="CP429" s="271"/>
      <c r="CQ429" s="271"/>
      <c r="CR429" s="271"/>
      <c r="CS429" s="271"/>
      <c r="CT429" s="271"/>
      <c r="CU429" s="271"/>
      <c r="CV429" s="271"/>
      <c r="CW429" s="271"/>
      <c r="CX429" s="271"/>
      <c r="CY429" s="271"/>
    </row>
    <row r="430" spans="2:103" s="273" customFormat="1" ht="42" customHeight="1" x14ac:dyDescent="0.25">
      <c r="B430" s="424">
        <v>44684</v>
      </c>
      <c r="C430" s="710">
        <v>0.77083333333333337</v>
      </c>
      <c r="D430" s="425">
        <v>50</v>
      </c>
      <c r="E430" s="426">
        <v>12</v>
      </c>
      <c r="F430" s="427">
        <v>15.8</v>
      </c>
      <c r="G430" s="428">
        <v>1192</v>
      </c>
      <c r="H430" s="428">
        <v>2028</v>
      </c>
      <c r="I430" s="428">
        <v>99.3</v>
      </c>
      <c r="J430" s="428">
        <v>99.6</v>
      </c>
      <c r="K430" s="436" t="s">
        <v>2773</v>
      </c>
      <c r="L430" s="426">
        <v>38.42</v>
      </c>
      <c r="M430" s="426">
        <v>40.5</v>
      </c>
      <c r="N430" s="426">
        <v>49.58</v>
      </c>
      <c r="O430" s="429" t="s">
        <v>142</v>
      </c>
      <c r="P430" s="429" t="s">
        <v>142</v>
      </c>
      <c r="Q430" s="314" t="s">
        <v>142</v>
      </c>
      <c r="R430" s="429" t="s">
        <v>2325</v>
      </c>
      <c r="S430" s="430" t="s">
        <v>2256</v>
      </c>
      <c r="T430" s="430" t="s">
        <v>23</v>
      </c>
      <c r="U430" s="429" t="s">
        <v>236</v>
      </c>
      <c r="V430" s="767"/>
      <c r="CM430" s="271"/>
      <c r="CN430" s="271"/>
      <c r="CO430" s="271"/>
      <c r="CP430" s="271"/>
      <c r="CQ430" s="271"/>
      <c r="CR430" s="271"/>
      <c r="CS430" s="271"/>
      <c r="CT430" s="271"/>
      <c r="CU430" s="271"/>
      <c r="CV430" s="271"/>
      <c r="CW430" s="271"/>
      <c r="CX430" s="271"/>
      <c r="CY430" s="271"/>
    </row>
    <row r="431" spans="2:103" s="273" customFormat="1" ht="42" customHeight="1" x14ac:dyDescent="0.25">
      <c r="B431" s="424">
        <v>44685</v>
      </c>
      <c r="C431" s="710">
        <v>0.75</v>
      </c>
      <c r="D431" s="425">
        <v>49</v>
      </c>
      <c r="E431" s="426">
        <v>9.6</v>
      </c>
      <c r="F431" s="427">
        <v>14.1</v>
      </c>
      <c r="G431" s="428">
        <v>1186</v>
      </c>
      <c r="H431" s="428">
        <v>1896</v>
      </c>
      <c r="I431" s="428">
        <v>97.7</v>
      </c>
      <c r="J431" s="428">
        <v>115.9</v>
      </c>
      <c r="K431" s="436" t="s">
        <v>2781</v>
      </c>
      <c r="L431" s="426">
        <v>36.119999999999997</v>
      </c>
      <c r="M431" s="426">
        <v>38.5</v>
      </c>
      <c r="N431" s="426">
        <v>52.18</v>
      </c>
      <c r="O431" s="429" t="s">
        <v>142</v>
      </c>
      <c r="P431" s="429" t="s">
        <v>142</v>
      </c>
      <c r="Q431" s="314" t="s">
        <v>142</v>
      </c>
      <c r="R431" s="429" t="s">
        <v>2738</v>
      </c>
      <c r="S431" s="430" t="s">
        <v>2508</v>
      </c>
      <c r="T431" s="430" t="s">
        <v>23</v>
      </c>
      <c r="U431" s="429" t="s">
        <v>236</v>
      </c>
      <c r="V431" s="767"/>
      <c r="CM431" s="271"/>
      <c r="CN431" s="271"/>
      <c r="CO431" s="271"/>
      <c r="CP431" s="271"/>
      <c r="CQ431" s="271"/>
      <c r="CR431" s="271"/>
      <c r="CS431" s="271"/>
      <c r="CT431" s="271"/>
      <c r="CU431" s="271"/>
      <c r="CV431" s="271"/>
      <c r="CW431" s="271"/>
      <c r="CX431" s="271"/>
      <c r="CY431" s="271"/>
    </row>
    <row r="432" spans="2:103" s="273" customFormat="1" ht="42" customHeight="1" x14ac:dyDescent="0.25">
      <c r="B432" s="424">
        <v>44686</v>
      </c>
      <c r="C432" s="710">
        <v>0.79166666666666663</v>
      </c>
      <c r="D432" s="425">
        <v>49</v>
      </c>
      <c r="E432" s="426">
        <v>10.6</v>
      </c>
      <c r="F432" s="427">
        <v>14.1</v>
      </c>
      <c r="G432" s="428">
        <v>1211</v>
      </c>
      <c r="H432" s="428">
        <v>1928</v>
      </c>
      <c r="I432" s="428">
        <v>97.1</v>
      </c>
      <c r="J432" s="428">
        <v>117.5</v>
      </c>
      <c r="K432" s="436" t="s">
        <v>2785</v>
      </c>
      <c r="L432" s="426">
        <v>35.880000000000003</v>
      </c>
      <c r="M432" s="426">
        <v>38.5</v>
      </c>
      <c r="N432" s="426">
        <v>47.8</v>
      </c>
      <c r="O432" s="429" t="s">
        <v>142</v>
      </c>
      <c r="P432" s="429" t="s">
        <v>142</v>
      </c>
      <c r="Q432" s="314" t="s">
        <v>142</v>
      </c>
      <c r="R432" s="429" t="s">
        <v>2786</v>
      </c>
      <c r="S432" s="430" t="s">
        <v>2787</v>
      </c>
      <c r="T432" s="430" t="s">
        <v>23</v>
      </c>
      <c r="U432" s="429" t="s">
        <v>236</v>
      </c>
      <c r="V432" s="767"/>
      <c r="CM432" s="271"/>
      <c r="CN432" s="271"/>
      <c r="CO432" s="271"/>
      <c r="CP432" s="271"/>
      <c r="CQ432" s="271"/>
      <c r="CR432" s="271"/>
      <c r="CS432" s="271"/>
      <c r="CT432" s="271"/>
      <c r="CU432" s="271"/>
      <c r="CV432" s="271"/>
      <c r="CW432" s="271"/>
      <c r="CX432" s="271"/>
      <c r="CY432" s="271"/>
    </row>
    <row r="433" spans="2:103" s="273" customFormat="1" ht="42" customHeight="1" x14ac:dyDescent="0.25">
      <c r="B433" s="424">
        <v>44687</v>
      </c>
      <c r="C433" s="710">
        <v>0.77083333333333337</v>
      </c>
      <c r="D433" s="425">
        <v>49</v>
      </c>
      <c r="E433" s="426">
        <v>7.8</v>
      </c>
      <c r="F433" s="427">
        <v>12.9</v>
      </c>
      <c r="G433" s="428">
        <v>1278</v>
      </c>
      <c r="H433" s="428">
        <v>1568</v>
      </c>
      <c r="I433" s="428">
        <v>98.3</v>
      </c>
      <c r="J433" s="428">
        <v>117.5</v>
      </c>
      <c r="K433" s="436" t="s">
        <v>2797</v>
      </c>
      <c r="L433" s="426">
        <v>35.880000000000003</v>
      </c>
      <c r="M433" s="426">
        <v>37.5</v>
      </c>
      <c r="N433" s="426">
        <v>43</v>
      </c>
      <c r="O433" s="429" t="s">
        <v>142</v>
      </c>
      <c r="P433" s="429" t="s">
        <v>142</v>
      </c>
      <c r="Q433" s="314" t="s">
        <v>142</v>
      </c>
      <c r="R433" s="429" t="s">
        <v>2799</v>
      </c>
      <c r="S433" s="430" t="s">
        <v>2798</v>
      </c>
      <c r="T433" s="430" t="s">
        <v>23</v>
      </c>
      <c r="U433" s="429" t="s">
        <v>236</v>
      </c>
      <c r="V433" s="767"/>
      <c r="CM433" s="271"/>
      <c r="CN433" s="271"/>
      <c r="CO433" s="271"/>
      <c r="CP433" s="271"/>
      <c r="CQ433" s="271"/>
      <c r="CR433" s="271"/>
      <c r="CS433" s="271"/>
      <c r="CT433" s="271"/>
      <c r="CU433" s="271"/>
      <c r="CV433" s="271"/>
      <c r="CW433" s="271"/>
      <c r="CX433" s="271"/>
      <c r="CY433" s="271"/>
    </row>
    <row r="434" spans="2:103" s="273" customFormat="1" ht="42" customHeight="1" x14ac:dyDescent="0.25">
      <c r="B434" s="424">
        <v>44688</v>
      </c>
      <c r="C434" s="710">
        <v>0.79166666666666663</v>
      </c>
      <c r="D434" s="425">
        <v>49</v>
      </c>
      <c r="E434" s="426">
        <v>10.5</v>
      </c>
      <c r="F434" s="427">
        <v>14.9</v>
      </c>
      <c r="G434" s="428">
        <v>1133</v>
      </c>
      <c r="H434" s="428">
        <v>1850</v>
      </c>
      <c r="I434" s="428">
        <v>98.8</v>
      </c>
      <c r="J434" s="428">
        <v>113.5</v>
      </c>
      <c r="K434" s="436" t="s">
        <v>2800</v>
      </c>
      <c r="L434" s="426">
        <v>34.58</v>
      </c>
      <c r="M434" s="426">
        <v>37.5</v>
      </c>
      <c r="N434" s="426">
        <v>52.6</v>
      </c>
      <c r="O434" s="429" t="s">
        <v>142</v>
      </c>
      <c r="P434" s="429" t="s">
        <v>142</v>
      </c>
      <c r="Q434" s="314" t="s">
        <v>142</v>
      </c>
      <c r="R434" s="429" t="s">
        <v>2376</v>
      </c>
      <c r="S434" s="430" t="s">
        <v>2377</v>
      </c>
      <c r="T434" s="430" t="s">
        <v>23</v>
      </c>
      <c r="U434" s="429" t="s">
        <v>236</v>
      </c>
      <c r="V434" s="767"/>
      <c r="CM434" s="271"/>
      <c r="CN434" s="271"/>
      <c r="CO434" s="271"/>
      <c r="CP434" s="271"/>
      <c r="CQ434" s="271"/>
      <c r="CR434" s="271"/>
      <c r="CS434" s="271"/>
      <c r="CT434" s="271"/>
      <c r="CU434" s="271"/>
      <c r="CV434" s="271"/>
      <c r="CW434" s="271"/>
      <c r="CX434" s="271"/>
      <c r="CY434" s="271"/>
    </row>
    <row r="435" spans="2:103" s="273" customFormat="1" ht="42" customHeight="1" x14ac:dyDescent="0.25">
      <c r="B435" s="424">
        <v>44689</v>
      </c>
      <c r="C435" s="710">
        <v>0.91666666666666663</v>
      </c>
      <c r="D435" s="425">
        <v>47</v>
      </c>
      <c r="E435" s="426">
        <v>9.6999999999999993</v>
      </c>
      <c r="F435" s="427">
        <v>14.1</v>
      </c>
      <c r="G435" s="428">
        <v>1197</v>
      </c>
      <c r="H435" s="428">
        <v>1994</v>
      </c>
      <c r="I435" s="428">
        <v>97.5</v>
      </c>
      <c r="J435" s="428">
        <v>117.6</v>
      </c>
      <c r="K435" s="436" t="s">
        <v>2810</v>
      </c>
      <c r="L435" s="426">
        <v>33.22</v>
      </c>
      <c r="M435" s="426">
        <v>35.5</v>
      </c>
      <c r="N435" s="426">
        <v>50.53</v>
      </c>
      <c r="O435" s="429" t="s">
        <v>142</v>
      </c>
      <c r="P435" s="429" t="s">
        <v>142</v>
      </c>
      <c r="Q435" s="314" t="s">
        <v>142</v>
      </c>
      <c r="R435" s="429" t="s">
        <v>2811</v>
      </c>
      <c r="S435" s="430" t="s">
        <v>2812</v>
      </c>
      <c r="T435" s="430" t="s">
        <v>23</v>
      </c>
      <c r="U435" s="429" t="s">
        <v>236</v>
      </c>
      <c r="V435" s="767" t="s">
        <v>2815</v>
      </c>
      <c r="CM435" s="271"/>
      <c r="CN435" s="271"/>
      <c r="CO435" s="271"/>
      <c r="CP435" s="271"/>
      <c r="CQ435" s="271"/>
      <c r="CR435" s="271"/>
      <c r="CS435" s="271"/>
      <c r="CT435" s="271"/>
      <c r="CU435" s="271"/>
      <c r="CV435" s="271"/>
      <c r="CW435" s="271"/>
      <c r="CX435" s="271"/>
      <c r="CY435" s="271"/>
    </row>
    <row r="436" spans="2:103" s="273" customFormat="1" ht="42" customHeight="1" x14ac:dyDescent="0.25">
      <c r="B436" s="424">
        <v>44690</v>
      </c>
      <c r="C436" s="710">
        <v>4.1666666666666664E-2</v>
      </c>
      <c r="D436" s="425">
        <v>48</v>
      </c>
      <c r="E436" s="426">
        <v>10.3</v>
      </c>
      <c r="F436" s="427">
        <v>15.6</v>
      </c>
      <c r="G436" s="428">
        <v>1245</v>
      </c>
      <c r="H436" s="428">
        <v>2032</v>
      </c>
      <c r="I436" s="428">
        <v>97.9</v>
      </c>
      <c r="J436" s="428">
        <v>113.4</v>
      </c>
      <c r="K436" s="436" t="s">
        <v>2819</v>
      </c>
      <c r="L436" s="426">
        <v>34.119999999999997</v>
      </c>
      <c r="M436" s="426">
        <v>37</v>
      </c>
      <c r="N436" s="426">
        <v>48.62</v>
      </c>
      <c r="O436" s="429" t="s">
        <v>142</v>
      </c>
      <c r="P436" s="429" t="s">
        <v>142</v>
      </c>
      <c r="Q436" s="314" t="s">
        <v>142</v>
      </c>
      <c r="R436" s="429" t="s">
        <v>2820</v>
      </c>
      <c r="S436" s="430" t="s">
        <v>2821</v>
      </c>
      <c r="T436" s="430" t="s">
        <v>23</v>
      </c>
      <c r="U436" s="429" t="s">
        <v>236</v>
      </c>
      <c r="V436" s="817" t="s">
        <v>2822</v>
      </c>
      <c r="CM436" s="271"/>
      <c r="CN436" s="271"/>
      <c r="CO436" s="271"/>
      <c r="CP436" s="271"/>
      <c r="CQ436" s="271"/>
      <c r="CR436" s="271"/>
      <c r="CS436" s="271"/>
      <c r="CT436" s="271"/>
      <c r="CU436" s="271"/>
      <c r="CV436" s="271"/>
      <c r="CW436" s="271"/>
      <c r="CX436" s="271"/>
      <c r="CY436" s="271"/>
    </row>
    <row r="437" spans="2:103" s="273" customFormat="1" ht="42" customHeight="1" x14ac:dyDescent="0.25">
      <c r="B437" s="424">
        <v>44691</v>
      </c>
      <c r="C437" s="710">
        <v>0.95833333333333337</v>
      </c>
      <c r="D437" s="425">
        <v>48</v>
      </c>
      <c r="E437" s="426">
        <v>9.9</v>
      </c>
      <c r="F437" s="427">
        <v>14.1</v>
      </c>
      <c r="G437" s="428">
        <v>1173</v>
      </c>
      <c r="H437" s="428">
        <v>1941</v>
      </c>
      <c r="I437" s="428">
        <v>98.8</v>
      </c>
      <c r="J437" s="428">
        <v>112.6</v>
      </c>
      <c r="K437" s="436" t="s">
        <v>2817</v>
      </c>
      <c r="L437" s="426">
        <v>36.28</v>
      </c>
      <c r="M437" s="426">
        <v>38.5</v>
      </c>
      <c r="N437" s="426">
        <v>47.2</v>
      </c>
      <c r="O437" s="429" t="s">
        <v>142</v>
      </c>
      <c r="P437" s="429" t="s">
        <v>142</v>
      </c>
      <c r="Q437" s="314" t="s">
        <v>142</v>
      </c>
      <c r="R437" s="429" t="s">
        <v>2818</v>
      </c>
      <c r="S437" s="430" t="s">
        <v>2812</v>
      </c>
      <c r="T437" s="430" t="s">
        <v>23</v>
      </c>
      <c r="U437" s="429" t="s">
        <v>236</v>
      </c>
      <c r="V437" s="767"/>
      <c r="CM437" s="271"/>
      <c r="CN437" s="271"/>
      <c r="CO437" s="271"/>
      <c r="CP437" s="271"/>
      <c r="CQ437" s="271"/>
      <c r="CR437" s="271"/>
      <c r="CS437" s="271"/>
      <c r="CT437" s="271"/>
      <c r="CU437" s="271"/>
      <c r="CV437" s="271"/>
      <c r="CW437" s="271"/>
      <c r="CX437" s="271"/>
      <c r="CY437" s="271"/>
    </row>
    <row r="438" spans="2:103" s="273" customFormat="1" ht="42" customHeight="1" x14ac:dyDescent="0.25">
      <c r="B438" s="424">
        <v>44692</v>
      </c>
      <c r="C438" s="1519" t="s">
        <v>2833</v>
      </c>
      <c r="D438" s="1520"/>
      <c r="E438" s="1520"/>
      <c r="F438" s="1520"/>
      <c r="G438" s="1520"/>
      <c r="H438" s="1520"/>
      <c r="I438" s="1520"/>
      <c r="J438" s="1520"/>
      <c r="K438" s="1520"/>
      <c r="L438" s="1520"/>
      <c r="M438" s="1520"/>
      <c r="N438" s="1520"/>
      <c r="O438" s="1520"/>
      <c r="P438" s="1520"/>
      <c r="Q438" s="1520"/>
      <c r="R438" s="1520"/>
      <c r="S438" s="1521"/>
      <c r="T438" s="430" t="s">
        <v>23</v>
      </c>
      <c r="U438" s="429" t="s">
        <v>236</v>
      </c>
      <c r="V438" s="767"/>
      <c r="CM438" s="271"/>
      <c r="CN438" s="271"/>
      <c r="CO438" s="271"/>
      <c r="CP438" s="271"/>
      <c r="CQ438" s="271"/>
      <c r="CR438" s="271"/>
      <c r="CS438" s="271"/>
      <c r="CT438" s="271"/>
      <c r="CU438" s="271"/>
      <c r="CV438" s="271"/>
      <c r="CW438" s="271"/>
      <c r="CX438" s="271"/>
      <c r="CY438" s="271"/>
    </row>
    <row r="439" spans="2:103" s="273" customFormat="1" ht="67.5" customHeight="1" x14ac:dyDescent="0.25">
      <c r="B439" s="424">
        <v>44693</v>
      </c>
      <c r="C439" s="710">
        <v>0.96875</v>
      </c>
      <c r="D439" s="425">
        <v>49</v>
      </c>
      <c r="E439" s="426">
        <v>13.9</v>
      </c>
      <c r="F439" s="427">
        <v>17.399999999999999</v>
      </c>
      <c r="G439" s="428">
        <v>1359</v>
      </c>
      <c r="H439" s="428">
        <v>1520</v>
      </c>
      <c r="I439" s="428">
        <v>98.5</v>
      </c>
      <c r="J439" s="428">
        <v>101.7</v>
      </c>
      <c r="K439" s="436" t="s">
        <v>2835</v>
      </c>
      <c r="L439" s="426">
        <v>36.020000000000003</v>
      </c>
      <c r="M439" s="426">
        <v>39.5</v>
      </c>
      <c r="N439" s="426">
        <v>38.799999999999997</v>
      </c>
      <c r="O439" s="429" t="s">
        <v>142</v>
      </c>
      <c r="P439" s="429" t="s">
        <v>142</v>
      </c>
      <c r="Q439" s="314" t="s">
        <v>142</v>
      </c>
      <c r="R439" s="429" t="s">
        <v>2836</v>
      </c>
      <c r="S439" s="430" t="s">
        <v>2559</v>
      </c>
      <c r="T439" s="430" t="s">
        <v>23</v>
      </c>
      <c r="U439" s="429" t="s">
        <v>236</v>
      </c>
      <c r="V439" s="822" t="s">
        <v>2845</v>
      </c>
      <c r="CM439" s="271"/>
      <c r="CN439" s="271"/>
      <c r="CO439" s="271"/>
      <c r="CP439" s="271"/>
      <c r="CQ439" s="271"/>
      <c r="CR439" s="271"/>
      <c r="CS439" s="271"/>
      <c r="CT439" s="271"/>
      <c r="CU439" s="271"/>
      <c r="CV439" s="271"/>
      <c r="CW439" s="271"/>
      <c r="CX439" s="271"/>
      <c r="CY439" s="271"/>
    </row>
    <row r="440" spans="2:103" s="273" customFormat="1" ht="43.5" customHeight="1" x14ac:dyDescent="0.25">
      <c r="B440" s="424">
        <v>44694</v>
      </c>
      <c r="C440" s="710">
        <v>0.91666666666666663</v>
      </c>
      <c r="D440" s="425">
        <v>49</v>
      </c>
      <c r="E440" s="426">
        <v>10.9</v>
      </c>
      <c r="F440" s="427">
        <v>14.5</v>
      </c>
      <c r="G440" s="428">
        <v>1123</v>
      </c>
      <c r="H440" s="428">
        <v>1956</v>
      </c>
      <c r="I440" s="428">
        <v>98.8</v>
      </c>
      <c r="J440" s="428">
        <v>113.2</v>
      </c>
      <c r="K440" s="436" t="s">
        <v>2848</v>
      </c>
      <c r="L440" s="426">
        <v>34.25</v>
      </c>
      <c r="M440" s="426">
        <v>36.799999999999997</v>
      </c>
      <c r="N440" s="426">
        <v>49.46</v>
      </c>
      <c r="O440" s="429" t="s">
        <v>142</v>
      </c>
      <c r="P440" s="429" t="s">
        <v>142</v>
      </c>
      <c r="Q440" s="314" t="s">
        <v>142</v>
      </c>
      <c r="R440" s="429" t="s">
        <v>2686</v>
      </c>
      <c r="S440" s="430" t="s">
        <v>2645</v>
      </c>
      <c r="T440" s="430" t="s">
        <v>23</v>
      </c>
      <c r="U440" s="429" t="s">
        <v>236</v>
      </c>
      <c r="V440" s="824"/>
      <c r="CM440" s="271"/>
      <c r="CN440" s="271"/>
      <c r="CO440" s="271"/>
      <c r="CP440" s="271"/>
      <c r="CQ440" s="271"/>
      <c r="CR440" s="271"/>
      <c r="CS440" s="271"/>
      <c r="CT440" s="271"/>
      <c r="CU440" s="271"/>
      <c r="CV440" s="271"/>
      <c r="CW440" s="271"/>
      <c r="CX440" s="271"/>
      <c r="CY440" s="271"/>
    </row>
    <row r="441" spans="2:103" s="273" customFormat="1" ht="43.5" customHeight="1" x14ac:dyDescent="0.25">
      <c r="B441" s="424">
        <v>44695</v>
      </c>
      <c r="C441" s="710">
        <v>0.75</v>
      </c>
      <c r="D441" s="425">
        <v>49</v>
      </c>
      <c r="E441" s="426">
        <v>9.8000000000000007</v>
      </c>
      <c r="F441" s="427">
        <v>14.2</v>
      </c>
      <c r="G441" s="428">
        <v>1136.8</v>
      </c>
      <c r="H441" s="428">
        <v>1977</v>
      </c>
      <c r="I441" s="428">
        <v>98.8</v>
      </c>
      <c r="J441" s="428">
        <v>110.2</v>
      </c>
      <c r="K441" s="436" t="s">
        <v>2854</v>
      </c>
      <c r="L441" s="426">
        <v>35.25</v>
      </c>
      <c r="M441" s="426">
        <v>37</v>
      </c>
      <c r="N441" s="426">
        <v>39.200000000000003</v>
      </c>
      <c r="O441" s="429" t="s">
        <v>142</v>
      </c>
      <c r="P441" s="429" t="s">
        <v>142</v>
      </c>
      <c r="Q441" s="314" t="s">
        <v>142</v>
      </c>
      <c r="R441" s="429" t="s">
        <v>1455</v>
      </c>
      <c r="S441" s="430" t="s">
        <v>2727</v>
      </c>
      <c r="T441" s="430" t="s">
        <v>23</v>
      </c>
      <c r="U441" s="429" t="s">
        <v>236</v>
      </c>
      <c r="V441" s="826"/>
      <c r="CM441" s="271"/>
      <c r="CN441" s="271"/>
      <c r="CO441" s="271"/>
      <c r="CP441" s="271"/>
      <c r="CQ441" s="271"/>
      <c r="CR441" s="271"/>
      <c r="CS441" s="271"/>
      <c r="CT441" s="271"/>
      <c r="CU441" s="271"/>
      <c r="CV441" s="271"/>
      <c r="CW441" s="271"/>
      <c r="CX441" s="271"/>
      <c r="CY441" s="271"/>
    </row>
    <row r="442" spans="2:103" s="273" customFormat="1" ht="43.5" customHeight="1" x14ac:dyDescent="0.25">
      <c r="B442" s="424">
        <v>44696</v>
      </c>
      <c r="C442" s="710">
        <v>0.75</v>
      </c>
      <c r="D442" s="425">
        <v>49</v>
      </c>
      <c r="E442" s="426">
        <v>10.1</v>
      </c>
      <c r="F442" s="427">
        <v>14.7</v>
      </c>
      <c r="G442" s="428">
        <v>1201</v>
      </c>
      <c r="H442" s="428">
        <v>1989</v>
      </c>
      <c r="I442" s="428">
        <v>98.8</v>
      </c>
      <c r="J442" s="428">
        <v>99</v>
      </c>
      <c r="K442" s="436" t="s">
        <v>2858</v>
      </c>
      <c r="L442" s="426">
        <v>37.18</v>
      </c>
      <c r="M442" s="426">
        <v>39</v>
      </c>
      <c r="N442" s="426">
        <v>51.21</v>
      </c>
      <c r="O442" s="429" t="s">
        <v>142</v>
      </c>
      <c r="P442" s="429" t="s">
        <v>142</v>
      </c>
      <c r="Q442" s="314" t="s">
        <v>142</v>
      </c>
      <c r="R442" s="429" t="s">
        <v>2859</v>
      </c>
      <c r="S442" s="430" t="s">
        <v>2681</v>
      </c>
      <c r="T442" s="430" t="s">
        <v>23</v>
      </c>
      <c r="U442" s="429" t="s">
        <v>236</v>
      </c>
      <c r="V442" s="830"/>
      <c r="CM442" s="271"/>
      <c r="CN442" s="271"/>
      <c r="CO442" s="271"/>
      <c r="CP442" s="271"/>
      <c r="CQ442" s="271"/>
      <c r="CR442" s="271"/>
      <c r="CS442" s="271"/>
      <c r="CT442" s="271"/>
      <c r="CU442" s="271"/>
      <c r="CV442" s="271"/>
      <c r="CW442" s="271"/>
      <c r="CX442" s="271"/>
      <c r="CY442" s="271"/>
    </row>
    <row r="443" spans="2:103" s="273" customFormat="1" ht="43.5" customHeight="1" x14ac:dyDescent="0.25">
      <c r="B443" s="424">
        <v>44697</v>
      </c>
      <c r="C443" s="710">
        <v>0.75</v>
      </c>
      <c r="D443" s="425">
        <v>49</v>
      </c>
      <c r="E443" s="426">
        <v>10.5</v>
      </c>
      <c r="F443" s="427">
        <v>14.9</v>
      </c>
      <c r="G443" s="428">
        <v>1133</v>
      </c>
      <c r="H443" s="428">
        <v>1897</v>
      </c>
      <c r="I443" s="428">
        <v>98.6</v>
      </c>
      <c r="J443" s="428">
        <v>113.3</v>
      </c>
      <c r="K443" s="436" t="s">
        <v>2865</v>
      </c>
      <c r="L443" s="426">
        <v>34.78</v>
      </c>
      <c r="M443" s="426">
        <v>36</v>
      </c>
      <c r="N443" s="426">
        <v>51.05</v>
      </c>
      <c r="O443" s="429" t="s">
        <v>142</v>
      </c>
      <c r="P443" s="429" t="s">
        <v>142</v>
      </c>
      <c r="Q443" s="314" t="s">
        <v>142</v>
      </c>
      <c r="R443" s="429" t="s">
        <v>2866</v>
      </c>
      <c r="S443" s="430" t="s">
        <v>2377</v>
      </c>
      <c r="T443" s="430" t="s">
        <v>23</v>
      </c>
      <c r="U443" s="429" t="s">
        <v>236</v>
      </c>
      <c r="V443" s="832"/>
      <c r="CM443" s="271"/>
      <c r="CN443" s="271"/>
      <c r="CO443" s="271"/>
      <c r="CP443" s="271"/>
      <c r="CQ443" s="271"/>
      <c r="CR443" s="271"/>
      <c r="CS443" s="271"/>
      <c r="CT443" s="271"/>
      <c r="CU443" s="271"/>
      <c r="CV443" s="271"/>
      <c r="CW443" s="271"/>
      <c r="CX443" s="271"/>
      <c r="CY443" s="271"/>
    </row>
    <row r="444" spans="2:103" s="273" customFormat="1" ht="43.5" customHeight="1" x14ac:dyDescent="0.25">
      <c r="B444" s="424">
        <v>44698</v>
      </c>
      <c r="C444" s="710">
        <v>0.75</v>
      </c>
      <c r="D444" s="425">
        <v>49</v>
      </c>
      <c r="E444" s="426">
        <v>12.7</v>
      </c>
      <c r="F444" s="427">
        <v>16.399999999999999</v>
      </c>
      <c r="G444" s="428">
        <v>1339</v>
      </c>
      <c r="H444" s="428">
        <v>1541</v>
      </c>
      <c r="I444" s="428">
        <v>98.6</v>
      </c>
      <c r="J444" s="428">
        <v>101.3</v>
      </c>
      <c r="K444" s="436" t="s">
        <v>2875</v>
      </c>
      <c r="L444" s="426">
        <v>36.5</v>
      </c>
      <c r="M444" s="426">
        <v>39</v>
      </c>
      <c r="N444" s="426">
        <v>40.770000000000003</v>
      </c>
      <c r="O444" s="429" t="s">
        <v>142</v>
      </c>
      <c r="P444" s="429" t="s">
        <v>142</v>
      </c>
      <c r="Q444" s="314" t="s">
        <v>142</v>
      </c>
      <c r="R444" s="429" t="s">
        <v>2876</v>
      </c>
      <c r="S444" s="430" t="s">
        <v>2877</v>
      </c>
      <c r="T444" s="430" t="s">
        <v>23</v>
      </c>
      <c r="U444" s="429" t="s">
        <v>236</v>
      </c>
      <c r="V444" s="834"/>
      <c r="CM444" s="271"/>
      <c r="CN444" s="271"/>
      <c r="CO444" s="271"/>
      <c r="CP444" s="271"/>
      <c r="CQ444" s="271"/>
      <c r="CR444" s="271"/>
      <c r="CS444" s="271"/>
      <c r="CT444" s="271"/>
      <c r="CU444" s="271"/>
      <c r="CV444" s="271"/>
      <c r="CW444" s="271"/>
      <c r="CX444" s="271"/>
      <c r="CY444" s="271"/>
    </row>
    <row r="445" spans="2:103" s="273" customFormat="1" ht="43.5" customHeight="1" x14ac:dyDescent="0.25">
      <c r="B445" s="424">
        <v>44699</v>
      </c>
      <c r="C445" s="710">
        <v>0.75</v>
      </c>
      <c r="D445" s="425">
        <v>49</v>
      </c>
      <c r="E445" s="426">
        <v>10</v>
      </c>
      <c r="F445" s="427">
        <v>14.7</v>
      </c>
      <c r="G445" s="428">
        <v>1123</v>
      </c>
      <c r="H445" s="428">
        <v>1922</v>
      </c>
      <c r="I445" s="428">
        <v>98.7</v>
      </c>
      <c r="J445" s="428">
        <v>99</v>
      </c>
      <c r="K445" s="436" t="s">
        <v>2884</v>
      </c>
      <c r="L445" s="426">
        <v>34.950000000000003</v>
      </c>
      <c r="M445" s="426">
        <v>37</v>
      </c>
      <c r="N445" s="426">
        <v>50.86</v>
      </c>
      <c r="O445" s="429" t="s">
        <v>142</v>
      </c>
      <c r="P445" s="429" t="s">
        <v>142</v>
      </c>
      <c r="Q445" s="314" t="s">
        <v>142</v>
      </c>
      <c r="R445" s="429" t="s">
        <v>2885</v>
      </c>
      <c r="S445" s="430" t="s">
        <v>2681</v>
      </c>
      <c r="T445" s="430" t="s">
        <v>23</v>
      </c>
      <c r="U445" s="429" t="s">
        <v>236</v>
      </c>
      <c r="V445" s="836"/>
      <c r="CM445" s="271"/>
      <c r="CN445" s="271"/>
      <c r="CO445" s="271"/>
      <c r="CP445" s="271"/>
      <c r="CQ445" s="271"/>
      <c r="CR445" s="271"/>
      <c r="CS445" s="271"/>
      <c r="CT445" s="271"/>
      <c r="CU445" s="271"/>
      <c r="CV445" s="271"/>
      <c r="CW445" s="271"/>
      <c r="CX445" s="271"/>
      <c r="CY445" s="271"/>
    </row>
    <row r="446" spans="2:103" s="273" customFormat="1" ht="43.5" customHeight="1" x14ac:dyDescent="0.25">
      <c r="B446" s="424">
        <v>44700</v>
      </c>
      <c r="C446" s="710">
        <v>0.75</v>
      </c>
      <c r="D446" s="425">
        <v>49</v>
      </c>
      <c r="E446" s="426">
        <v>12.5</v>
      </c>
      <c r="F446" s="427">
        <v>16.399999999999999</v>
      </c>
      <c r="G446" s="428">
        <v>1332</v>
      </c>
      <c r="H446" s="428">
        <v>1801</v>
      </c>
      <c r="I446" s="428">
        <v>97.7</v>
      </c>
      <c r="J446" s="428">
        <v>98</v>
      </c>
      <c r="K446" s="436" t="s">
        <v>2889</v>
      </c>
      <c r="L446" s="426">
        <v>35.15</v>
      </c>
      <c r="M446" s="426">
        <v>37</v>
      </c>
      <c r="N446" s="426">
        <v>40.86</v>
      </c>
      <c r="O446" s="429" t="s">
        <v>142</v>
      </c>
      <c r="P446" s="429" t="s">
        <v>142</v>
      </c>
      <c r="Q446" s="314" t="s">
        <v>142</v>
      </c>
      <c r="R446" s="429" t="s">
        <v>2075</v>
      </c>
      <c r="S446" s="430" t="s">
        <v>2890</v>
      </c>
      <c r="T446" s="430" t="s">
        <v>23</v>
      </c>
      <c r="U446" s="429" t="s">
        <v>236</v>
      </c>
      <c r="V446" s="838"/>
      <c r="CM446" s="271"/>
      <c r="CN446" s="271"/>
      <c r="CO446" s="271"/>
      <c r="CP446" s="271"/>
      <c r="CQ446" s="271"/>
      <c r="CR446" s="271"/>
      <c r="CS446" s="271"/>
      <c r="CT446" s="271"/>
      <c r="CU446" s="271"/>
      <c r="CV446" s="271"/>
      <c r="CW446" s="271"/>
      <c r="CX446" s="271"/>
      <c r="CY446" s="271"/>
    </row>
    <row r="447" spans="2:103" s="273" customFormat="1" ht="43.5" customHeight="1" x14ac:dyDescent="0.25">
      <c r="B447" s="424">
        <v>44701</v>
      </c>
      <c r="C447" s="710">
        <v>0.89583333333333337</v>
      </c>
      <c r="D447" s="425">
        <v>49</v>
      </c>
      <c r="E447" s="426">
        <v>10.1</v>
      </c>
      <c r="F447" s="427">
        <v>14.5</v>
      </c>
      <c r="G447" s="428">
        <v>1126</v>
      </c>
      <c r="H447" s="428">
        <v>1930</v>
      </c>
      <c r="I447" s="428">
        <v>98.7</v>
      </c>
      <c r="J447" s="428">
        <v>112.7</v>
      </c>
      <c r="K447" s="436" t="s">
        <v>2899</v>
      </c>
      <c r="L447" s="426">
        <v>34</v>
      </c>
      <c r="M447" s="426">
        <v>37</v>
      </c>
      <c r="N447" s="426">
        <v>49.16</v>
      </c>
      <c r="O447" s="429" t="s">
        <v>142</v>
      </c>
      <c r="P447" s="429" t="s">
        <v>142</v>
      </c>
      <c r="Q447" s="314" t="s">
        <v>142</v>
      </c>
      <c r="R447" s="429" t="s">
        <v>2900</v>
      </c>
      <c r="S447" s="430" t="s">
        <v>2751</v>
      </c>
      <c r="T447" s="430" t="s">
        <v>23</v>
      </c>
      <c r="U447" s="429" t="s">
        <v>236</v>
      </c>
      <c r="V447" s="840"/>
      <c r="CM447" s="271"/>
      <c r="CN447" s="271"/>
      <c r="CO447" s="271"/>
      <c r="CP447" s="271"/>
      <c r="CQ447" s="271"/>
      <c r="CR447" s="271"/>
      <c r="CS447" s="271"/>
      <c r="CT447" s="271"/>
      <c r="CU447" s="271"/>
      <c r="CV447" s="271"/>
      <c r="CW447" s="271"/>
      <c r="CX447" s="271"/>
      <c r="CY447" s="271"/>
    </row>
    <row r="448" spans="2:103" s="273" customFormat="1" ht="43.5" customHeight="1" x14ac:dyDescent="0.25">
      <c r="B448" s="424">
        <v>44702</v>
      </c>
      <c r="C448" s="710">
        <v>0.89583333333333337</v>
      </c>
      <c r="D448" s="425">
        <v>49</v>
      </c>
      <c r="E448" s="426">
        <v>10</v>
      </c>
      <c r="F448" s="427">
        <v>14.3</v>
      </c>
      <c r="G448" s="428">
        <v>1123</v>
      </c>
      <c r="H448" s="428">
        <v>1870</v>
      </c>
      <c r="I448" s="428">
        <v>98.98</v>
      </c>
      <c r="J448" s="428">
        <v>112.8</v>
      </c>
      <c r="K448" s="436" t="s">
        <v>2903</v>
      </c>
      <c r="L448" s="426">
        <v>33.6</v>
      </c>
      <c r="M448" s="426">
        <v>36</v>
      </c>
      <c r="N448" s="426">
        <v>51.83</v>
      </c>
      <c r="O448" s="429" t="s">
        <v>142</v>
      </c>
      <c r="P448" s="429" t="s">
        <v>142</v>
      </c>
      <c r="Q448" s="314" t="s">
        <v>142</v>
      </c>
      <c r="R448" s="429" t="s">
        <v>2675</v>
      </c>
      <c r="S448" s="430" t="s">
        <v>2676</v>
      </c>
      <c r="T448" s="430" t="s">
        <v>23</v>
      </c>
      <c r="U448" s="429" t="s">
        <v>236</v>
      </c>
      <c r="V448" s="842"/>
      <c r="CM448" s="271"/>
      <c r="CN448" s="271"/>
      <c r="CO448" s="271"/>
      <c r="CP448" s="271"/>
      <c r="CQ448" s="271"/>
      <c r="CR448" s="271"/>
      <c r="CS448" s="271"/>
      <c r="CT448" s="271"/>
      <c r="CU448" s="271"/>
      <c r="CV448" s="271"/>
      <c r="CW448" s="271"/>
      <c r="CX448" s="271"/>
      <c r="CY448" s="271"/>
    </row>
    <row r="449" spans="2:103" s="273" customFormat="1" ht="43.5" customHeight="1" x14ac:dyDescent="0.25">
      <c r="B449" s="424">
        <v>44703</v>
      </c>
      <c r="C449" s="710">
        <v>0.89583333333333337</v>
      </c>
      <c r="D449" s="1481" t="s">
        <v>2916</v>
      </c>
      <c r="E449" s="1482"/>
      <c r="F449" s="1482"/>
      <c r="G449" s="1482"/>
      <c r="H449" s="1482"/>
      <c r="I449" s="1482"/>
      <c r="J449" s="1482"/>
      <c r="K449" s="1482"/>
      <c r="L449" s="1482"/>
      <c r="M449" s="1482"/>
      <c r="N449" s="1482"/>
      <c r="O449" s="1482"/>
      <c r="P449" s="1482"/>
      <c r="Q449" s="1482"/>
      <c r="R449" s="1482"/>
      <c r="S449" s="1483"/>
      <c r="T449" s="430" t="s">
        <v>23</v>
      </c>
      <c r="U449" s="429" t="s">
        <v>236</v>
      </c>
      <c r="V449" s="844"/>
      <c r="CM449" s="271"/>
      <c r="CN449" s="271"/>
      <c r="CO449" s="271"/>
      <c r="CP449" s="271"/>
      <c r="CQ449" s="271"/>
      <c r="CR449" s="271"/>
      <c r="CS449" s="271"/>
      <c r="CT449" s="271"/>
      <c r="CU449" s="271"/>
      <c r="CV449" s="271"/>
      <c r="CW449" s="271"/>
      <c r="CX449" s="271"/>
      <c r="CY449" s="271"/>
    </row>
    <row r="450" spans="2:103" s="273" customFormat="1" ht="43.5" customHeight="1" x14ac:dyDescent="0.25">
      <c r="B450" s="424">
        <v>44704</v>
      </c>
      <c r="C450" s="710">
        <v>0.875</v>
      </c>
      <c r="D450" s="425">
        <v>49</v>
      </c>
      <c r="E450" s="426">
        <v>10.4</v>
      </c>
      <c r="F450" s="427">
        <v>14.6</v>
      </c>
      <c r="G450" s="428">
        <v>1121</v>
      </c>
      <c r="H450" s="428">
        <v>1827</v>
      </c>
      <c r="I450" s="428">
        <v>98.8</v>
      </c>
      <c r="J450" s="428">
        <v>113</v>
      </c>
      <c r="K450" s="436" t="s">
        <v>2918</v>
      </c>
      <c r="L450" s="426">
        <v>33.630000000000003</v>
      </c>
      <c r="M450" s="426">
        <v>36</v>
      </c>
      <c r="N450" s="426">
        <v>53.25</v>
      </c>
      <c r="O450" s="429" t="s">
        <v>142</v>
      </c>
      <c r="P450" s="429" t="s">
        <v>142</v>
      </c>
      <c r="Q450" s="314" t="s">
        <v>142</v>
      </c>
      <c r="R450" s="429" t="s">
        <v>2658</v>
      </c>
      <c r="S450" s="430" t="s">
        <v>2681</v>
      </c>
      <c r="T450" s="430" t="s">
        <v>23</v>
      </c>
      <c r="U450" s="429" t="s">
        <v>236</v>
      </c>
      <c r="V450" s="846"/>
      <c r="CM450" s="271"/>
      <c r="CN450" s="271"/>
      <c r="CO450" s="271"/>
      <c r="CP450" s="271"/>
      <c r="CQ450" s="271"/>
      <c r="CR450" s="271"/>
      <c r="CS450" s="271"/>
      <c r="CT450" s="271"/>
      <c r="CU450" s="271"/>
      <c r="CV450" s="271"/>
      <c r="CW450" s="271"/>
      <c r="CX450" s="271"/>
      <c r="CY450" s="271"/>
    </row>
    <row r="451" spans="2:103" s="273" customFormat="1" ht="43.5" customHeight="1" x14ac:dyDescent="0.25">
      <c r="B451" s="424">
        <v>44705</v>
      </c>
      <c r="C451" s="710">
        <v>0.83333333333333337</v>
      </c>
      <c r="D451" s="425">
        <v>49</v>
      </c>
      <c r="E451" s="426">
        <v>10.1</v>
      </c>
      <c r="F451" s="427">
        <v>14.4</v>
      </c>
      <c r="G451" s="428">
        <v>1166</v>
      </c>
      <c r="H451" s="428">
        <v>2048</v>
      </c>
      <c r="I451" s="428">
        <v>97.1</v>
      </c>
      <c r="J451" s="428">
        <v>112.2</v>
      </c>
      <c r="K451" s="436" t="s">
        <v>2924</v>
      </c>
      <c r="L451" s="426">
        <v>34.75</v>
      </c>
      <c r="M451" s="426">
        <v>37.5</v>
      </c>
      <c r="N451" s="426">
        <v>48.19</v>
      </c>
      <c r="O451" s="429" t="s">
        <v>142</v>
      </c>
      <c r="P451" s="429" t="s">
        <v>142</v>
      </c>
      <c r="Q451" s="314" t="s">
        <v>142</v>
      </c>
      <c r="R451" s="429" t="s">
        <v>2925</v>
      </c>
      <c r="S451" s="430" t="s">
        <v>2926</v>
      </c>
      <c r="T451" s="430" t="s">
        <v>23</v>
      </c>
      <c r="U451" s="429" t="s">
        <v>236</v>
      </c>
      <c r="V451" s="850" t="s">
        <v>2922</v>
      </c>
      <c r="CM451" s="271"/>
      <c r="CN451" s="271"/>
      <c r="CO451" s="271"/>
      <c r="CP451" s="271"/>
      <c r="CQ451" s="271"/>
      <c r="CR451" s="271"/>
      <c r="CS451" s="271"/>
      <c r="CT451" s="271"/>
      <c r="CU451" s="271"/>
      <c r="CV451" s="271"/>
      <c r="CW451" s="271"/>
      <c r="CX451" s="271"/>
      <c r="CY451" s="271"/>
    </row>
    <row r="452" spans="2:103" s="273" customFormat="1" ht="43.5" customHeight="1" x14ac:dyDescent="0.25">
      <c r="B452" s="424">
        <v>44706</v>
      </c>
      <c r="C452" s="710">
        <v>0.97916666666666663</v>
      </c>
      <c r="D452" s="425">
        <v>49</v>
      </c>
      <c r="E452" s="426">
        <v>12.6</v>
      </c>
      <c r="F452" s="427">
        <v>16.399999999999999</v>
      </c>
      <c r="G452" s="428">
        <v>1236</v>
      </c>
      <c r="H452" s="428">
        <v>2006</v>
      </c>
      <c r="I452" s="428">
        <v>97.5</v>
      </c>
      <c r="J452" s="428">
        <v>114.5</v>
      </c>
      <c r="K452" s="436" t="s">
        <v>2931</v>
      </c>
      <c r="L452" s="426">
        <v>36.69</v>
      </c>
      <c r="M452" s="426">
        <v>38.5</v>
      </c>
      <c r="N452" s="426">
        <v>53.59</v>
      </c>
      <c r="O452" s="429" t="s">
        <v>142</v>
      </c>
      <c r="P452" s="429" t="s">
        <v>142</v>
      </c>
      <c r="Q452" s="314" t="s">
        <v>142</v>
      </c>
      <c r="R452" s="429" t="s">
        <v>2932</v>
      </c>
      <c r="S452" s="430" t="s">
        <v>2890</v>
      </c>
      <c r="T452" s="430" t="s">
        <v>23</v>
      </c>
      <c r="U452" s="429" t="s">
        <v>236</v>
      </c>
      <c r="V452" s="852"/>
      <c r="CM452" s="271"/>
      <c r="CN452" s="271"/>
      <c r="CO452" s="271"/>
      <c r="CP452" s="271"/>
      <c r="CQ452" s="271"/>
      <c r="CR452" s="271"/>
      <c r="CS452" s="271"/>
      <c r="CT452" s="271"/>
      <c r="CU452" s="271"/>
      <c r="CV452" s="271"/>
      <c r="CW452" s="271"/>
      <c r="CX452" s="271"/>
      <c r="CY452" s="271"/>
    </row>
    <row r="453" spans="2:103" s="273" customFormat="1" ht="36" customHeight="1" x14ac:dyDescent="0.25">
      <c r="B453" s="424">
        <v>44707</v>
      </c>
      <c r="C453" s="710">
        <v>0.91666666666666663</v>
      </c>
      <c r="D453" s="425">
        <v>49</v>
      </c>
      <c r="E453" s="426">
        <v>10.1</v>
      </c>
      <c r="F453" s="427">
        <v>14.3</v>
      </c>
      <c r="G453" s="428">
        <v>1229</v>
      </c>
      <c r="H453" s="428">
        <v>1909</v>
      </c>
      <c r="I453" s="428">
        <v>97.1</v>
      </c>
      <c r="J453" s="428">
        <v>117.1</v>
      </c>
      <c r="K453" s="436" t="s">
        <v>2940</v>
      </c>
      <c r="L453" s="426">
        <v>33.57</v>
      </c>
      <c r="M453" s="426">
        <v>37</v>
      </c>
      <c r="N453" s="426">
        <v>53.63</v>
      </c>
      <c r="O453" s="429" t="s">
        <v>142</v>
      </c>
      <c r="P453" s="429" t="s">
        <v>142</v>
      </c>
      <c r="Q453" s="314" t="s">
        <v>142</v>
      </c>
      <c r="R453" s="429" t="s">
        <v>2686</v>
      </c>
      <c r="S453" s="430" t="s">
        <v>2676</v>
      </c>
      <c r="T453" s="430" t="s">
        <v>23</v>
      </c>
      <c r="U453" s="429" t="s">
        <v>236</v>
      </c>
      <c r="V453" s="854"/>
      <c r="CM453" s="271"/>
      <c r="CN453" s="271"/>
      <c r="CO453" s="271"/>
      <c r="CP453" s="271"/>
      <c r="CQ453" s="271"/>
      <c r="CR453" s="271"/>
      <c r="CS453" s="271"/>
      <c r="CT453" s="271"/>
      <c r="CU453" s="271"/>
      <c r="CV453" s="271"/>
      <c r="CW453" s="271"/>
      <c r="CX453" s="271"/>
      <c r="CY453" s="271"/>
    </row>
    <row r="454" spans="2:103" s="273" customFormat="1" ht="36" customHeight="1" x14ac:dyDescent="0.25">
      <c r="B454" s="424">
        <v>44708</v>
      </c>
      <c r="C454" s="710">
        <v>0.79166666666666663</v>
      </c>
      <c r="D454" s="425">
        <v>49</v>
      </c>
      <c r="E454" s="426">
        <v>10</v>
      </c>
      <c r="F454" s="427">
        <v>14.3</v>
      </c>
      <c r="G454" s="428">
        <v>1122</v>
      </c>
      <c r="H454" s="428">
        <v>1898</v>
      </c>
      <c r="I454" s="428">
        <v>98.1</v>
      </c>
      <c r="J454" s="428">
        <v>119.1</v>
      </c>
      <c r="K454" s="436" t="s">
        <v>2947</v>
      </c>
      <c r="L454" s="426">
        <v>35.25</v>
      </c>
      <c r="M454" s="426">
        <v>37.5</v>
      </c>
      <c r="N454" s="426">
        <v>49.2</v>
      </c>
      <c r="O454" s="429" t="s">
        <v>142</v>
      </c>
      <c r="P454" s="429" t="s">
        <v>142</v>
      </c>
      <c r="Q454" s="314" t="s">
        <v>142</v>
      </c>
      <c r="R454" s="429" t="s">
        <v>2948</v>
      </c>
      <c r="S454" s="430" t="s">
        <v>2676</v>
      </c>
      <c r="T454" s="430" t="s">
        <v>23</v>
      </c>
      <c r="U454" s="429" t="s">
        <v>236</v>
      </c>
      <c r="V454" s="856"/>
      <c r="CM454" s="271"/>
      <c r="CN454" s="271"/>
      <c r="CO454" s="271"/>
      <c r="CP454" s="271"/>
      <c r="CQ454" s="271"/>
      <c r="CR454" s="271"/>
      <c r="CS454" s="271"/>
      <c r="CT454" s="271"/>
      <c r="CU454" s="271"/>
      <c r="CV454" s="271"/>
      <c r="CW454" s="271"/>
      <c r="CX454" s="271"/>
      <c r="CY454" s="271"/>
    </row>
    <row r="455" spans="2:103" s="273" customFormat="1" ht="36" customHeight="1" x14ac:dyDescent="0.25">
      <c r="B455" s="424">
        <v>44709</v>
      </c>
      <c r="C455" s="710">
        <v>0.89583333333333337</v>
      </c>
      <c r="D455" s="425">
        <v>49</v>
      </c>
      <c r="E455" s="426">
        <v>10.1</v>
      </c>
      <c r="F455" s="427">
        <v>14.3</v>
      </c>
      <c r="G455" s="428">
        <v>1176</v>
      </c>
      <c r="H455" s="428">
        <v>1833</v>
      </c>
      <c r="I455" s="428">
        <v>97.9</v>
      </c>
      <c r="J455" s="428">
        <v>112.1</v>
      </c>
      <c r="K455" s="436" t="s">
        <v>2956</v>
      </c>
      <c r="L455" s="426">
        <v>35.32</v>
      </c>
      <c r="M455" s="426">
        <v>37.5</v>
      </c>
      <c r="N455" s="426">
        <v>53.29</v>
      </c>
      <c r="O455" s="429" t="s">
        <v>142</v>
      </c>
      <c r="P455" s="429" t="s">
        <v>142</v>
      </c>
      <c r="Q455" s="314" t="s">
        <v>142</v>
      </c>
      <c r="R455" s="429" t="s">
        <v>1979</v>
      </c>
      <c r="S455" s="430" t="s">
        <v>2676</v>
      </c>
      <c r="T455" s="430" t="s">
        <v>23</v>
      </c>
      <c r="U455" s="429" t="s">
        <v>236</v>
      </c>
      <c r="V455" s="858"/>
      <c r="CM455" s="271"/>
      <c r="CN455" s="271"/>
      <c r="CO455" s="271"/>
      <c r="CP455" s="271"/>
      <c r="CQ455" s="271"/>
      <c r="CR455" s="271"/>
      <c r="CS455" s="271"/>
      <c r="CT455" s="271"/>
      <c r="CU455" s="271"/>
      <c r="CV455" s="271"/>
      <c r="CW455" s="271"/>
      <c r="CX455" s="271"/>
      <c r="CY455" s="271"/>
    </row>
    <row r="456" spans="2:103" s="273" customFormat="1" ht="36" customHeight="1" x14ac:dyDescent="0.25">
      <c r="B456" s="424">
        <v>44710</v>
      </c>
      <c r="C456" s="710">
        <v>0.8125</v>
      </c>
      <c r="D456" s="425">
        <v>49</v>
      </c>
      <c r="E456" s="426">
        <v>10</v>
      </c>
      <c r="F456" s="427">
        <v>14.4</v>
      </c>
      <c r="G456" s="428">
        <v>1121</v>
      </c>
      <c r="H456" s="428">
        <v>1935</v>
      </c>
      <c r="I456" s="428">
        <v>97.9</v>
      </c>
      <c r="J456" s="428">
        <v>112.7</v>
      </c>
      <c r="K456" s="436" t="s">
        <v>2963</v>
      </c>
      <c r="L456" s="426">
        <v>34.840000000000003</v>
      </c>
      <c r="M456" s="426">
        <v>37.5</v>
      </c>
      <c r="N456" s="426">
        <v>49.12</v>
      </c>
      <c r="O456" s="429" t="s">
        <v>142</v>
      </c>
      <c r="P456" s="429" t="s">
        <v>142</v>
      </c>
      <c r="Q456" s="314" t="s">
        <v>142</v>
      </c>
      <c r="R456" s="429" t="s">
        <v>2964</v>
      </c>
      <c r="S456" s="430" t="s">
        <v>2812</v>
      </c>
      <c r="T456" s="430" t="s">
        <v>23</v>
      </c>
      <c r="U456" s="429" t="s">
        <v>236</v>
      </c>
      <c r="V456" s="860"/>
      <c r="CM456" s="271"/>
      <c r="CN456" s="271"/>
      <c r="CO456" s="271"/>
      <c r="CP456" s="271"/>
      <c r="CQ456" s="271"/>
      <c r="CR456" s="271"/>
      <c r="CS456" s="271"/>
      <c r="CT456" s="271"/>
      <c r="CU456" s="271"/>
      <c r="CV456" s="271"/>
      <c r="CW456" s="271"/>
      <c r="CX456" s="271"/>
      <c r="CY456" s="271"/>
    </row>
    <row r="457" spans="2:103" s="273" customFormat="1" ht="36" customHeight="1" x14ac:dyDescent="0.25">
      <c r="B457" s="424">
        <v>44711</v>
      </c>
      <c r="C457" s="710">
        <v>0.91666666666666663</v>
      </c>
      <c r="D457" s="425">
        <v>49</v>
      </c>
      <c r="E457" s="426">
        <v>13.2</v>
      </c>
      <c r="F457" s="427">
        <v>16.8</v>
      </c>
      <c r="G457" s="428">
        <v>1257</v>
      </c>
      <c r="H457" s="428">
        <v>1926</v>
      </c>
      <c r="I457" s="428">
        <v>96.5</v>
      </c>
      <c r="J457" s="428">
        <v>114.3</v>
      </c>
      <c r="K457" s="436" t="s">
        <v>2967</v>
      </c>
      <c r="L457" s="426">
        <v>35.15</v>
      </c>
      <c r="M457" s="426">
        <v>38</v>
      </c>
      <c r="N457" s="426">
        <v>53.9</v>
      </c>
      <c r="O457" s="429" t="s">
        <v>142</v>
      </c>
      <c r="P457" s="429" t="s">
        <v>142</v>
      </c>
      <c r="Q457" s="314" t="s">
        <v>142</v>
      </c>
      <c r="R457" s="429" t="s">
        <v>2968</v>
      </c>
      <c r="S457" s="430" t="s">
        <v>2969</v>
      </c>
      <c r="T457" s="430" t="s">
        <v>23</v>
      </c>
      <c r="U457" s="429" t="s">
        <v>236</v>
      </c>
      <c r="V457" s="862"/>
      <c r="CM457" s="271"/>
      <c r="CN457" s="271"/>
      <c r="CO457" s="271"/>
      <c r="CP457" s="271"/>
      <c r="CQ457" s="271"/>
      <c r="CR457" s="271"/>
      <c r="CS457" s="271"/>
      <c r="CT457" s="271"/>
      <c r="CU457" s="271"/>
      <c r="CV457" s="271"/>
      <c r="CW457" s="271"/>
      <c r="CX457" s="271"/>
      <c r="CY457" s="271"/>
    </row>
    <row r="458" spans="2:103" s="273" customFormat="1" ht="36" customHeight="1" x14ac:dyDescent="0.25">
      <c r="B458" s="424">
        <v>44712</v>
      </c>
      <c r="C458" s="710">
        <v>0.91666666666666663</v>
      </c>
      <c r="D458" s="1481" t="s">
        <v>2987</v>
      </c>
      <c r="E458" s="1482"/>
      <c r="F458" s="1482"/>
      <c r="G458" s="1482"/>
      <c r="H458" s="1482"/>
      <c r="I458" s="1482"/>
      <c r="J458" s="1482"/>
      <c r="K458" s="1482"/>
      <c r="L458" s="1482"/>
      <c r="M458" s="1482"/>
      <c r="N458" s="1482"/>
      <c r="O458" s="1482"/>
      <c r="P458" s="1482"/>
      <c r="Q458" s="1482"/>
      <c r="R458" s="1482"/>
      <c r="S458" s="1483"/>
      <c r="T458" s="430" t="s">
        <v>23</v>
      </c>
      <c r="U458" s="429" t="s">
        <v>236</v>
      </c>
      <c r="V458" s="864"/>
      <c r="CM458" s="271"/>
      <c r="CN458" s="271"/>
      <c r="CO458" s="271"/>
      <c r="CP458" s="271"/>
      <c r="CQ458" s="271"/>
      <c r="CR458" s="271"/>
      <c r="CS458" s="271"/>
      <c r="CT458" s="271"/>
      <c r="CU458" s="271"/>
      <c r="CV458" s="271"/>
      <c r="CW458" s="271"/>
      <c r="CX458" s="271"/>
      <c r="CY458" s="271"/>
    </row>
    <row r="459" spans="2:103" s="273" customFormat="1" ht="36" customHeight="1" x14ac:dyDescent="0.25">
      <c r="B459" s="424">
        <v>44713</v>
      </c>
      <c r="C459" s="710">
        <v>0.91666666666666663</v>
      </c>
      <c r="D459" s="425">
        <v>49</v>
      </c>
      <c r="E459" s="426">
        <v>9.8000000000000007</v>
      </c>
      <c r="F459" s="427">
        <v>14.5</v>
      </c>
      <c r="G459" s="428">
        <v>1201</v>
      </c>
      <c r="H459" s="428">
        <v>1985</v>
      </c>
      <c r="I459" s="428">
        <v>97.2</v>
      </c>
      <c r="J459" s="428">
        <v>117.8</v>
      </c>
      <c r="K459" s="436" t="s">
        <v>2994</v>
      </c>
      <c r="L459" s="426">
        <v>37.33</v>
      </c>
      <c r="M459" s="426">
        <v>39.5</v>
      </c>
      <c r="N459" s="426">
        <v>52.53</v>
      </c>
      <c r="O459" s="429" t="s">
        <v>142</v>
      </c>
      <c r="P459" s="429" t="s">
        <v>142</v>
      </c>
      <c r="Q459" s="314" t="s">
        <v>142</v>
      </c>
      <c r="R459" s="429" t="s">
        <v>1746</v>
      </c>
      <c r="S459" s="430" t="s">
        <v>2645</v>
      </c>
      <c r="T459" s="430" t="s">
        <v>23</v>
      </c>
      <c r="U459" s="429" t="s">
        <v>236</v>
      </c>
      <c r="V459" s="868"/>
      <c r="CM459" s="271"/>
      <c r="CN459" s="271"/>
      <c r="CO459" s="271"/>
      <c r="CP459" s="271"/>
      <c r="CQ459" s="271"/>
      <c r="CR459" s="271"/>
      <c r="CS459" s="271"/>
      <c r="CT459" s="271"/>
      <c r="CU459" s="271"/>
      <c r="CV459" s="271"/>
      <c r="CW459" s="271"/>
      <c r="CX459" s="271"/>
      <c r="CY459" s="271"/>
    </row>
    <row r="460" spans="2:103" s="273" customFormat="1" ht="36" customHeight="1" x14ac:dyDescent="0.25">
      <c r="B460" s="424">
        <v>44714</v>
      </c>
      <c r="C460" s="710">
        <v>0.79166666666666663</v>
      </c>
      <c r="D460" s="425">
        <v>50</v>
      </c>
      <c r="E460" s="426">
        <v>13.6</v>
      </c>
      <c r="F460" s="427">
        <v>17.3</v>
      </c>
      <c r="G460" s="428">
        <v>1283</v>
      </c>
      <c r="H460" s="428">
        <v>1964</v>
      </c>
      <c r="I460" s="428">
        <v>96.7</v>
      </c>
      <c r="J460" s="428">
        <v>115</v>
      </c>
      <c r="K460" s="436" t="s">
        <v>3002</v>
      </c>
      <c r="L460" s="426">
        <v>36.200000000000003</v>
      </c>
      <c r="M460" s="426">
        <v>39</v>
      </c>
      <c r="N460" s="426">
        <v>54.05</v>
      </c>
      <c r="O460" s="429" t="s">
        <v>142</v>
      </c>
      <c r="P460" s="429" t="s">
        <v>142</v>
      </c>
      <c r="Q460" s="314" t="s">
        <v>142</v>
      </c>
      <c r="R460" s="429" t="s">
        <v>2861</v>
      </c>
      <c r="S460" s="430" t="s">
        <v>2969</v>
      </c>
      <c r="T460" s="430" t="s">
        <v>23</v>
      </c>
      <c r="U460" s="429" t="s">
        <v>236</v>
      </c>
      <c r="V460" s="870"/>
      <c r="CM460" s="271"/>
      <c r="CN460" s="271"/>
      <c r="CO460" s="271"/>
      <c r="CP460" s="271"/>
      <c r="CQ460" s="271"/>
      <c r="CR460" s="271"/>
      <c r="CS460" s="271"/>
      <c r="CT460" s="271"/>
      <c r="CU460" s="271"/>
      <c r="CV460" s="271"/>
      <c r="CW460" s="271"/>
      <c r="CX460" s="271"/>
      <c r="CY460" s="271"/>
    </row>
    <row r="461" spans="2:103" s="273" customFormat="1" ht="36" customHeight="1" x14ac:dyDescent="0.25">
      <c r="B461" s="424">
        <v>44715</v>
      </c>
      <c r="C461" s="710">
        <v>0.83333333333333337</v>
      </c>
      <c r="D461" s="425">
        <v>50</v>
      </c>
      <c r="E461" s="426">
        <v>10.6</v>
      </c>
      <c r="F461" s="427">
        <v>14.9</v>
      </c>
      <c r="G461" s="428">
        <v>1119</v>
      </c>
      <c r="H461" s="428">
        <v>2023</v>
      </c>
      <c r="I461" s="428">
        <v>98.2</v>
      </c>
      <c r="J461" s="428">
        <v>116.7</v>
      </c>
      <c r="K461" s="436" t="s">
        <v>3010</v>
      </c>
      <c r="L461" s="426">
        <v>36.92</v>
      </c>
      <c r="M461" s="426">
        <v>39.5</v>
      </c>
      <c r="N461" s="426">
        <v>48.7</v>
      </c>
      <c r="O461" s="429" t="s">
        <v>142</v>
      </c>
      <c r="P461" s="429" t="s">
        <v>142</v>
      </c>
      <c r="Q461" s="314" t="s">
        <v>142</v>
      </c>
      <c r="R461" s="429" t="s">
        <v>3011</v>
      </c>
      <c r="S461" s="430" t="s">
        <v>2377</v>
      </c>
      <c r="T461" s="430" t="s">
        <v>23</v>
      </c>
      <c r="U461" s="429" t="s">
        <v>236</v>
      </c>
      <c r="V461" s="872"/>
      <c r="CM461" s="271"/>
      <c r="CN461" s="271"/>
      <c r="CO461" s="271"/>
      <c r="CP461" s="271"/>
      <c r="CQ461" s="271"/>
      <c r="CR461" s="271"/>
      <c r="CS461" s="271"/>
      <c r="CT461" s="271"/>
      <c r="CU461" s="271"/>
      <c r="CV461" s="271"/>
      <c r="CW461" s="271"/>
      <c r="CX461" s="271"/>
      <c r="CY461" s="271"/>
    </row>
    <row r="462" spans="2:103" s="273" customFormat="1" ht="36" customHeight="1" x14ac:dyDescent="0.25">
      <c r="B462" s="424">
        <v>44716</v>
      </c>
      <c r="C462" s="710">
        <v>0.89583333333333337</v>
      </c>
      <c r="D462" s="425">
        <v>50</v>
      </c>
      <c r="E462" s="426">
        <v>13</v>
      </c>
      <c r="F462" s="427">
        <v>16.7</v>
      </c>
      <c r="G462" s="428">
        <v>1274</v>
      </c>
      <c r="H462" s="428">
        <v>1928</v>
      </c>
      <c r="I462" s="428">
        <v>96.5</v>
      </c>
      <c r="J462" s="428">
        <v>120.8</v>
      </c>
      <c r="K462" s="436" t="s">
        <v>3014</v>
      </c>
      <c r="L462" s="426">
        <v>33.369999999999997</v>
      </c>
      <c r="M462" s="426">
        <v>37</v>
      </c>
      <c r="N462" s="426">
        <v>53.9</v>
      </c>
      <c r="O462" s="429" t="s">
        <v>142</v>
      </c>
      <c r="P462" s="429" t="s">
        <v>142</v>
      </c>
      <c r="Q462" s="314" t="s">
        <v>142</v>
      </c>
      <c r="R462" s="429" t="s">
        <v>3015</v>
      </c>
      <c r="S462" s="430" t="s">
        <v>3016</v>
      </c>
      <c r="T462" s="430" t="s">
        <v>23</v>
      </c>
      <c r="U462" s="429" t="s">
        <v>236</v>
      </c>
      <c r="V462" s="874"/>
      <c r="CM462" s="271"/>
      <c r="CN462" s="271"/>
      <c r="CO462" s="271"/>
      <c r="CP462" s="271"/>
      <c r="CQ462" s="271"/>
      <c r="CR462" s="271"/>
      <c r="CS462" s="271"/>
      <c r="CT462" s="271"/>
      <c r="CU462" s="271"/>
      <c r="CV462" s="271"/>
      <c r="CW462" s="271"/>
      <c r="CX462" s="271"/>
      <c r="CY462" s="271"/>
    </row>
    <row r="463" spans="2:103" s="273" customFormat="1" ht="36" customHeight="1" x14ac:dyDescent="0.25">
      <c r="B463" s="424">
        <v>44717</v>
      </c>
      <c r="C463" s="710">
        <v>0.83333333333333337</v>
      </c>
      <c r="D463" s="425">
        <v>50</v>
      </c>
      <c r="E463" s="426">
        <v>10.4</v>
      </c>
      <c r="F463" s="427">
        <v>14.7</v>
      </c>
      <c r="G463" s="428">
        <v>1111</v>
      </c>
      <c r="H463" s="428">
        <v>1967</v>
      </c>
      <c r="I463" s="428">
        <v>99</v>
      </c>
      <c r="J463" s="428">
        <v>113.5</v>
      </c>
      <c r="K463" s="436" t="s">
        <v>3023</v>
      </c>
      <c r="L463" s="426">
        <v>36.28</v>
      </c>
      <c r="M463" s="426">
        <v>39</v>
      </c>
      <c r="N463" s="426">
        <v>49.69</v>
      </c>
      <c r="O463" s="429" t="s">
        <v>142</v>
      </c>
      <c r="P463" s="429" t="s">
        <v>142</v>
      </c>
      <c r="Q463" s="314" t="s">
        <v>142</v>
      </c>
      <c r="R463" s="429" t="s">
        <v>1605</v>
      </c>
      <c r="S463" s="430" t="s">
        <v>2681</v>
      </c>
      <c r="T463" s="430" t="s">
        <v>23</v>
      </c>
      <c r="U463" s="429" t="s">
        <v>236</v>
      </c>
      <c r="V463" s="876"/>
      <c r="CM463" s="271"/>
      <c r="CN463" s="271"/>
      <c r="CO463" s="271"/>
      <c r="CP463" s="271"/>
      <c r="CQ463" s="271"/>
      <c r="CR463" s="271"/>
      <c r="CS463" s="271"/>
      <c r="CT463" s="271"/>
      <c r="CU463" s="271"/>
      <c r="CV463" s="271"/>
      <c r="CW463" s="271"/>
      <c r="CX463" s="271"/>
      <c r="CY463" s="271"/>
    </row>
    <row r="464" spans="2:103" s="273" customFormat="1" ht="36" customHeight="1" x14ac:dyDescent="0.25">
      <c r="B464" s="424">
        <v>44718</v>
      </c>
      <c r="C464" s="710">
        <v>0.91666666666666663</v>
      </c>
      <c r="D464" s="1481" t="s">
        <v>3029</v>
      </c>
      <c r="E464" s="1482"/>
      <c r="F464" s="1482"/>
      <c r="G464" s="1482"/>
      <c r="H464" s="1482"/>
      <c r="I464" s="1482"/>
      <c r="J464" s="1482"/>
      <c r="K464" s="1482"/>
      <c r="L464" s="1482"/>
      <c r="M464" s="1482"/>
      <c r="N464" s="1482"/>
      <c r="O464" s="1482"/>
      <c r="P464" s="1482"/>
      <c r="Q464" s="1482"/>
      <c r="R464" s="1482"/>
      <c r="S464" s="1483"/>
      <c r="T464" s="430" t="s">
        <v>23</v>
      </c>
      <c r="U464" s="429" t="s">
        <v>236</v>
      </c>
      <c r="V464" s="878"/>
      <c r="CM464" s="271"/>
      <c r="CN464" s="271"/>
      <c r="CO464" s="271"/>
      <c r="CP464" s="271"/>
      <c r="CQ464" s="271"/>
      <c r="CR464" s="271"/>
      <c r="CS464" s="271"/>
      <c r="CT464" s="271"/>
      <c r="CU464" s="271"/>
      <c r="CV464" s="271"/>
      <c r="CW464" s="271"/>
      <c r="CX464" s="271"/>
      <c r="CY464" s="271"/>
    </row>
    <row r="465" spans="2:103" s="273" customFormat="1" ht="36" customHeight="1" x14ac:dyDescent="0.25">
      <c r="B465" s="424">
        <v>44719</v>
      </c>
      <c r="C465" s="710">
        <v>0.875</v>
      </c>
      <c r="D465" s="425">
        <v>50</v>
      </c>
      <c r="E465" s="426">
        <v>9.9</v>
      </c>
      <c r="F465" s="427">
        <v>14.3</v>
      </c>
      <c r="G465" s="428">
        <v>1131</v>
      </c>
      <c r="H465" s="428">
        <v>1976</v>
      </c>
      <c r="I465" s="428">
        <v>98.3</v>
      </c>
      <c r="J465" s="428">
        <v>117.6</v>
      </c>
      <c r="K465" s="436" t="s">
        <v>3031</v>
      </c>
      <c r="L465" s="426">
        <v>37.729999999999997</v>
      </c>
      <c r="M465" s="426">
        <v>40</v>
      </c>
      <c r="N465" s="426">
        <v>50.69</v>
      </c>
      <c r="O465" s="429" t="s">
        <v>142</v>
      </c>
      <c r="P465" s="429" t="s">
        <v>142</v>
      </c>
      <c r="Q465" s="314" t="s">
        <v>142</v>
      </c>
      <c r="R465" s="429" t="s">
        <v>2644</v>
      </c>
      <c r="S465" s="430" t="s">
        <v>2681</v>
      </c>
      <c r="T465" s="430" t="s">
        <v>23</v>
      </c>
      <c r="U465" s="429" t="s">
        <v>236</v>
      </c>
      <c r="V465" s="880"/>
      <c r="CM465" s="271"/>
      <c r="CN465" s="271"/>
      <c r="CO465" s="271"/>
      <c r="CP465" s="271"/>
      <c r="CQ465" s="271"/>
      <c r="CR465" s="271"/>
      <c r="CS465" s="271"/>
      <c r="CT465" s="271"/>
      <c r="CU465" s="271"/>
      <c r="CV465" s="271"/>
      <c r="CW465" s="271"/>
      <c r="CX465" s="271"/>
      <c r="CY465" s="271"/>
    </row>
    <row r="466" spans="2:103" s="273" customFormat="1" ht="21" x14ac:dyDescent="0.25">
      <c r="B466" s="424">
        <v>44720</v>
      </c>
      <c r="C466" s="710">
        <v>0.96527777777777779</v>
      </c>
      <c r="D466" s="425">
        <v>50</v>
      </c>
      <c r="E466" s="426">
        <v>12.7</v>
      </c>
      <c r="F466" s="427">
        <v>16.600000000000001</v>
      </c>
      <c r="G466" s="428">
        <v>1354</v>
      </c>
      <c r="H466" s="428">
        <v>2053</v>
      </c>
      <c r="I466" s="428">
        <v>95.8</v>
      </c>
      <c r="J466" s="428">
        <v>116.8</v>
      </c>
      <c r="K466" s="436" t="s">
        <v>3040</v>
      </c>
      <c r="L466" s="426">
        <v>36.700000000000003</v>
      </c>
      <c r="M466" s="426">
        <v>40</v>
      </c>
      <c r="N466" s="426">
        <v>52.48</v>
      </c>
      <c r="O466" s="429" t="s">
        <v>142</v>
      </c>
      <c r="P466" s="429" t="s">
        <v>142</v>
      </c>
      <c r="Q466" s="314" t="s">
        <v>142</v>
      </c>
      <c r="R466" s="429" t="s">
        <v>3041</v>
      </c>
      <c r="S466" s="430" t="s">
        <v>3042</v>
      </c>
      <c r="T466" s="430" t="s">
        <v>23</v>
      </c>
      <c r="U466" s="813" t="s">
        <v>928</v>
      </c>
      <c r="V466" s="322"/>
      <c r="CM466" s="271"/>
      <c r="CN466" s="271"/>
      <c r="CO466" s="271"/>
      <c r="CP466" s="271"/>
      <c r="CQ466" s="271"/>
      <c r="CR466" s="271"/>
      <c r="CS466" s="271"/>
      <c r="CT466" s="271"/>
      <c r="CU466" s="271"/>
      <c r="CV466" s="271"/>
      <c r="CW466" s="271"/>
      <c r="CX466" s="271"/>
      <c r="CY466" s="271"/>
    </row>
    <row r="467" spans="2:103" s="273" customFormat="1" ht="21" x14ac:dyDescent="0.25">
      <c r="B467" s="424">
        <v>44721</v>
      </c>
      <c r="C467" s="710">
        <v>0.88541666666666663</v>
      </c>
      <c r="D467" s="425">
        <v>50</v>
      </c>
      <c r="E467" s="426">
        <v>10.4</v>
      </c>
      <c r="F467" s="427">
        <v>14.9</v>
      </c>
      <c r="G467" s="428">
        <v>1111</v>
      </c>
      <c r="H467" s="428">
        <v>1900</v>
      </c>
      <c r="I467" s="428">
        <v>99</v>
      </c>
      <c r="J467" s="428">
        <v>113.1</v>
      </c>
      <c r="K467" s="436" t="s">
        <v>3047</v>
      </c>
      <c r="L467" s="426">
        <v>34.65</v>
      </c>
      <c r="M467" s="426">
        <v>40</v>
      </c>
      <c r="N467" s="426">
        <v>52.11</v>
      </c>
      <c r="O467" s="429" t="s">
        <v>142</v>
      </c>
      <c r="P467" s="429" t="s">
        <v>142</v>
      </c>
      <c r="Q467" s="314" t="s">
        <v>142</v>
      </c>
      <c r="R467" s="429" t="s">
        <v>3048</v>
      </c>
      <c r="S467" s="430" t="s">
        <v>2377</v>
      </c>
      <c r="T467" s="430" t="s">
        <v>23</v>
      </c>
      <c r="U467" s="813" t="s">
        <v>928</v>
      </c>
      <c r="V467" s="322"/>
      <c r="CM467" s="271"/>
      <c r="CN467" s="271"/>
      <c r="CO467" s="271"/>
      <c r="CP467" s="271"/>
      <c r="CQ467" s="271"/>
      <c r="CR467" s="271"/>
      <c r="CS467" s="271"/>
      <c r="CT467" s="271"/>
      <c r="CU467" s="271"/>
      <c r="CV467" s="271"/>
      <c r="CW467" s="271"/>
      <c r="CX467" s="271"/>
      <c r="CY467" s="271"/>
    </row>
    <row r="468" spans="2:103" s="273" customFormat="1" ht="21" x14ac:dyDescent="0.25">
      <c r="B468" s="424">
        <v>44722</v>
      </c>
      <c r="C468" s="710">
        <v>0.88541666666666663</v>
      </c>
      <c r="D468" s="425">
        <v>50</v>
      </c>
      <c r="E468" s="426">
        <v>10.1</v>
      </c>
      <c r="F468" s="427">
        <v>14.4</v>
      </c>
      <c r="G468" s="428">
        <v>1101</v>
      </c>
      <c r="H468" s="428">
        <v>1825</v>
      </c>
      <c r="I468" s="428">
        <v>98.8</v>
      </c>
      <c r="J468" s="428">
        <v>112.8</v>
      </c>
      <c r="K468" s="436" t="s">
        <v>3059</v>
      </c>
      <c r="L468" s="426">
        <v>35.700000000000003</v>
      </c>
      <c r="M468" s="426">
        <v>40</v>
      </c>
      <c r="N468" s="426">
        <v>51.56</v>
      </c>
      <c r="O468" s="429" t="s">
        <v>142</v>
      </c>
      <c r="P468" s="429" t="s">
        <v>142</v>
      </c>
      <c r="Q468" s="314" t="s">
        <v>142</v>
      </c>
      <c r="R468" s="429" t="s">
        <v>3060</v>
      </c>
      <c r="S468" s="430" t="s">
        <v>2751</v>
      </c>
      <c r="T468" s="430" t="s">
        <v>23</v>
      </c>
      <c r="U468" s="813" t="s">
        <v>928</v>
      </c>
      <c r="V468" s="322"/>
      <c r="CM468" s="271"/>
      <c r="CN468" s="271"/>
      <c r="CO468" s="271"/>
      <c r="CP468" s="271"/>
      <c r="CQ468" s="271"/>
      <c r="CR468" s="271"/>
      <c r="CS468" s="271"/>
      <c r="CT468" s="271"/>
      <c r="CU468" s="271"/>
      <c r="CV468" s="271"/>
      <c r="CW468" s="271"/>
      <c r="CX468" s="271"/>
      <c r="CY468" s="271"/>
    </row>
    <row r="469" spans="2:103" s="273" customFormat="1" ht="21" x14ac:dyDescent="0.25">
      <c r="B469" s="424">
        <v>44723</v>
      </c>
      <c r="C469" s="710">
        <v>0.98958333333333337</v>
      </c>
      <c r="D469" s="425">
        <v>50</v>
      </c>
      <c r="E469" s="426">
        <v>11.2</v>
      </c>
      <c r="F469" s="427">
        <v>15.3</v>
      </c>
      <c r="G469" s="428">
        <v>1155</v>
      </c>
      <c r="H469" s="428">
        <v>1935</v>
      </c>
      <c r="I469" s="428">
        <v>98.8</v>
      </c>
      <c r="J469" s="428">
        <v>113.8</v>
      </c>
      <c r="K469" s="436" t="s">
        <v>3059</v>
      </c>
      <c r="L469" s="426">
        <v>30.23</v>
      </c>
      <c r="M469" s="426">
        <v>40</v>
      </c>
      <c r="N469" s="426">
        <v>54.58</v>
      </c>
      <c r="O469" s="429" t="s">
        <v>142</v>
      </c>
      <c r="P469" s="429" t="s">
        <v>142</v>
      </c>
      <c r="Q469" s="314" t="s">
        <v>142</v>
      </c>
      <c r="R469" s="429" t="s">
        <v>1649</v>
      </c>
      <c r="S469" s="430" t="s">
        <v>3073</v>
      </c>
      <c r="T469" s="430" t="s">
        <v>23</v>
      </c>
      <c r="U469" s="813" t="s">
        <v>928</v>
      </c>
      <c r="V469" s="322"/>
      <c r="CM469" s="271"/>
      <c r="CN469" s="271"/>
      <c r="CO469" s="271"/>
      <c r="CP469" s="271"/>
      <c r="CQ469" s="271"/>
      <c r="CR469" s="271"/>
      <c r="CS469" s="271"/>
      <c r="CT469" s="271"/>
      <c r="CU469" s="271"/>
      <c r="CV469" s="271"/>
      <c r="CW469" s="271"/>
      <c r="CX469" s="271"/>
      <c r="CY469" s="271"/>
    </row>
    <row r="470" spans="2:103" s="273" customFormat="1" ht="21" x14ac:dyDescent="0.25">
      <c r="B470" s="424">
        <v>44724</v>
      </c>
      <c r="C470" s="710">
        <v>0.98958333333333337</v>
      </c>
      <c r="D470" s="425">
        <v>50</v>
      </c>
      <c r="E470" s="426">
        <v>10.6</v>
      </c>
      <c r="F470" s="427">
        <v>14.8</v>
      </c>
      <c r="G470" s="428">
        <v>1068</v>
      </c>
      <c r="H470" s="428">
        <v>1888</v>
      </c>
      <c r="I470" s="428">
        <v>99</v>
      </c>
      <c r="J470" s="428">
        <v>113.1</v>
      </c>
      <c r="K470" s="436" t="s">
        <v>3075</v>
      </c>
      <c r="L470" s="426">
        <v>34.119999999999997</v>
      </c>
      <c r="M470" s="426">
        <v>40</v>
      </c>
      <c r="N470" s="426">
        <v>50.11</v>
      </c>
      <c r="O470" s="429" t="s">
        <v>142</v>
      </c>
      <c r="P470" s="429" t="s">
        <v>142</v>
      </c>
      <c r="Q470" s="314" t="s">
        <v>142</v>
      </c>
      <c r="R470" s="429" t="s">
        <v>3076</v>
      </c>
      <c r="S470" s="430" t="s">
        <v>3077</v>
      </c>
      <c r="T470" s="430" t="s">
        <v>23</v>
      </c>
      <c r="U470" s="813" t="s">
        <v>928</v>
      </c>
      <c r="V470" s="322"/>
      <c r="CM470" s="271"/>
      <c r="CN470" s="271"/>
      <c r="CO470" s="271"/>
      <c r="CP470" s="271"/>
      <c r="CQ470" s="271"/>
      <c r="CR470" s="271"/>
      <c r="CS470" s="271"/>
      <c r="CT470" s="271"/>
      <c r="CU470" s="271"/>
      <c r="CV470" s="271"/>
      <c r="CW470" s="271"/>
      <c r="CX470" s="271"/>
      <c r="CY470" s="271"/>
    </row>
    <row r="471" spans="2:103" s="273" customFormat="1" ht="21" x14ac:dyDescent="0.25">
      <c r="B471" s="424">
        <v>44725</v>
      </c>
      <c r="C471" s="710">
        <v>0.95833333333333337</v>
      </c>
      <c r="D471" s="425">
        <v>50</v>
      </c>
      <c r="E471" s="426">
        <v>12.8</v>
      </c>
      <c r="F471" s="427">
        <v>16.600000000000001</v>
      </c>
      <c r="G471" s="428">
        <v>1242</v>
      </c>
      <c r="H471" s="428">
        <v>1954</v>
      </c>
      <c r="I471" s="428">
        <v>96.9</v>
      </c>
      <c r="J471" s="428">
        <v>121</v>
      </c>
      <c r="K471" s="436" t="s">
        <v>3090</v>
      </c>
      <c r="L471" s="426">
        <v>34.270000000000003</v>
      </c>
      <c r="M471" s="426">
        <v>40</v>
      </c>
      <c r="N471" s="426">
        <v>52</v>
      </c>
      <c r="O471" s="429" t="s">
        <v>142</v>
      </c>
      <c r="P471" s="429" t="s">
        <v>142</v>
      </c>
      <c r="Q471" s="314" t="s">
        <v>142</v>
      </c>
      <c r="R471" s="429" t="s">
        <v>3091</v>
      </c>
      <c r="S471" s="430" t="s">
        <v>3042</v>
      </c>
      <c r="T471" s="430" t="s">
        <v>23</v>
      </c>
      <c r="U471" s="813" t="s">
        <v>928</v>
      </c>
      <c r="V471" s="322"/>
      <c r="CM471" s="271"/>
      <c r="CN471" s="271"/>
      <c r="CO471" s="271"/>
      <c r="CP471" s="271"/>
      <c r="CQ471" s="271"/>
      <c r="CR471" s="271"/>
      <c r="CS471" s="271"/>
      <c r="CT471" s="271"/>
      <c r="CU471" s="271"/>
      <c r="CV471" s="271"/>
      <c r="CW471" s="271"/>
      <c r="CX471" s="271"/>
      <c r="CY471" s="271"/>
    </row>
    <row r="472" spans="2:103" s="273" customFormat="1" ht="21" x14ac:dyDescent="0.25">
      <c r="B472" s="424">
        <v>44726</v>
      </c>
      <c r="C472" s="710">
        <v>0.89583333333333337</v>
      </c>
      <c r="D472" s="425">
        <v>50</v>
      </c>
      <c r="E472" s="426">
        <v>10.5</v>
      </c>
      <c r="F472" s="427">
        <v>14.7</v>
      </c>
      <c r="G472" s="428">
        <v>1085</v>
      </c>
      <c r="H472" s="428">
        <v>1967</v>
      </c>
      <c r="I472" s="428">
        <v>99</v>
      </c>
      <c r="J472" s="428">
        <v>113</v>
      </c>
      <c r="K472" s="436" t="s">
        <v>3094</v>
      </c>
      <c r="L472" s="426">
        <v>33.46</v>
      </c>
      <c r="M472" s="426">
        <v>40</v>
      </c>
      <c r="N472" s="426">
        <v>51.26</v>
      </c>
      <c r="O472" s="429" t="s">
        <v>142</v>
      </c>
      <c r="P472" s="429" t="s">
        <v>142</v>
      </c>
      <c r="Q472" s="314" t="s">
        <v>142</v>
      </c>
      <c r="R472" s="429" t="s">
        <v>3095</v>
      </c>
      <c r="S472" s="430" t="s">
        <v>2681</v>
      </c>
      <c r="T472" s="430" t="s">
        <v>23</v>
      </c>
      <c r="U472" s="813" t="s">
        <v>928</v>
      </c>
      <c r="V472" s="322"/>
      <c r="CM472" s="271"/>
      <c r="CN472" s="271"/>
      <c r="CO472" s="271"/>
      <c r="CP472" s="271"/>
      <c r="CQ472" s="271"/>
      <c r="CR472" s="271"/>
      <c r="CS472" s="271"/>
      <c r="CT472" s="271"/>
      <c r="CU472" s="271"/>
      <c r="CV472" s="271"/>
      <c r="CW472" s="271"/>
      <c r="CX472" s="271"/>
      <c r="CY472" s="271"/>
    </row>
    <row r="473" spans="2:103" s="273" customFormat="1" ht="21" x14ac:dyDescent="0.25">
      <c r="B473" s="424">
        <v>44727</v>
      </c>
      <c r="C473" s="710">
        <v>0.90625</v>
      </c>
      <c r="D473" s="425">
        <v>50</v>
      </c>
      <c r="E473" s="426">
        <v>12.9</v>
      </c>
      <c r="F473" s="427">
        <v>16.7</v>
      </c>
      <c r="G473" s="428">
        <v>1293</v>
      </c>
      <c r="H473" s="428">
        <v>2005</v>
      </c>
      <c r="I473" s="428">
        <v>96.2</v>
      </c>
      <c r="J473" s="428">
        <v>115.8</v>
      </c>
      <c r="K473" s="436" t="s">
        <v>3100</v>
      </c>
      <c r="L473" s="426">
        <v>32.07</v>
      </c>
      <c r="M473" s="426">
        <v>40</v>
      </c>
      <c r="N473" s="426">
        <v>49.85</v>
      </c>
      <c r="O473" s="429" t="s">
        <v>142</v>
      </c>
      <c r="P473" s="429" t="s">
        <v>142</v>
      </c>
      <c r="Q473" s="314" t="s">
        <v>142</v>
      </c>
      <c r="R473" s="429" t="s">
        <v>3041</v>
      </c>
      <c r="S473" s="430" t="s">
        <v>3101</v>
      </c>
      <c r="T473" s="430" t="s">
        <v>23</v>
      </c>
      <c r="U473" s="813" t="s">
        <v>928</v>
      </c>
      <c r="V473" s="322"/>
      <c r="CM473" s="271"/>
      <c r="CN473" s="271"/>
      <c r="CO473" s="271"/>
      <c r="CP473" s="271"/>
      <c r="CQ473" s="271"/>
      <c r="CR473" s="271"/>
      <c r="CS473" s="271"/>
      <c r="CT473" s="271"/>
      <c r="CU473" s="271"/>
      <c r="CV473" s="271"/>
      <c r="CW473" s="271"/>
      <c r="CX473" s="271"/>
      <c r="CY473" s="271"/>
    </row>
    <row r="474" spans="2:103" s="273" customFormat="1" ht="21" x14ac:dyDescent="0.25">
      <c r="B474" s="424">
        <v>44728</v>
      </c>
      <c r="C474" s="710">
        <v>0.89583333333333337</v>
      </c>
      <c r="D474" s="425">
        <v>50</v>
      </c>
      <c r="E474" s="426">
        <v>9.9</v>
      </c>
      <c r="F474" s="427">
        <v>14.4</v>
      </c>
      <c r="G474" s="428">
        <v>1063</v>
      </c>
      <c r="H474" s="428">
        <v>1880</v>
      </c>
      <c r="I474" s="428">
        <v>99</v>
      </c>
      <c r="J474" s="428">
        <v>113</v>
      </c>
      <c r="K474" s="436" t="s">
        <v>3108</v>
      </c>
      <c r="L474" s="426">
        <v>34.380000000000003</v>
      </c>
      <c r="M474" s="426">
        <v>40</v>
      </c>
      <c r="N474" s="426">
        <v>50.34</v>
      </c>
      <c r="O474" s="429" t="s">
        <v>142</v>
      </c>
      <c r="P474" s="429" t="s">
        <v>142</v>
      </c>
      <c r="Q474" s="314" t="s">
        <v>142</v>
      </c>
      <c r="R474" s="429" t="s">
        <v>3060</v>
      </c>
      <c r="S474" s="430" t="s">
        <v>2751</v>
      </c>
      <c r="T474" s="430" t="s">
        <v>23</v>
      </c>
      <c r="U474" s="813" t="s">
        <v>928</v>
      </c>
      <c r="V474" s="322"/>
      <c r="CM474" s="271"/>
      <c r="CN474" s="271"/>
      <c r="CO474" s="271"/>
      <c r="CP474" s="271"/>
      <c r="CQ474" s="271"/>
      <c r="CR474" s="271"/>
      <c r="CS474" s="271"/>
      <c r="CT474" s="271"/>
      <c r="CU474" s="271"/>
      <c r="CV474" s="271"/>
      <c r="CW474" s="271"/>
      <c r="CX474" s="271"/>
      <c r="CY474" s="271"/>
    </row>
    <row r="475" spans="2:103" s="273" customFormat="1" ht="21" x14ac:dyDescent="0.25">
      <c r="B475" s="424">
        <v>44729</v>
      </c>
      <c r="C475" s="710">
        <v>0.9375</v>
      </c>
      <c r="D475" s="425">
        <v>50</v>
      </c>
      <c r="E475" s="426">
        <v>12.8</v>
      </c>
      <c r="F475" s="427">
        <v>16.399999999999999</v>
      </c>
      <c r="G475" s="428">
        <v>1277</v>
      </c>
      <c r="H475" s="428">
        <v>1762</v>
      </c>
      <c r="I475" s="428">
        <v>97</v>
      </c>
      <c r="J475" s="428">
        <v>111</v>
      </c>
      <c r="K475" s="436" t="s">
        <v>3113</v>
      </c>
      <c r="L475" s="426">
        <v>34.380000000000003</v>
      </c>
      <c r="M475" s="426">
        <v>40</v>
      </c>
      <c r="N475" s="426">
        <v>50.34</v>
      </c>
      <c r="O475" s="429" t="s">
        <v>142</v>
      </c>
      <c r="P475" s="429" t="s">
        <v>142</v>
      </c>
      <c r="Q475" s="314" t="s">
        <v>142</v>
      </c>
      <c r="R475" s="429" t="s">
        <v>3114</v>
      </c>
      <c r="S475" s="430" t="s">
        <v>3016</v>
      </c>
      <c r="T475" s="430" t="s">
        <v>23</v>
      </c>
      <c r="U475" s="813" t="s">
        <v>928</v>
      </c>
      <c r="V475" s="322"/>
      <c r="CM475" s="271"/>
      <c r="CN475" s="271"/>
      <c r="CO475" s="271"/>
      <c r="CP475" s="271"/>
      <c r="CQ475" s="271"/>
      <c r="CR475" s="271"/>
      <c r="CS475" s="271"/>
      <c r="CT475" s="271"/>
      <c r="CU475" s="271"/>
      <c r="CV475" s="271"/>
      <c r="CW475" s="271"/>
      <c r="CX475" s="271"/>
      <c r="CY475" s="271"/>
    </row>
    <row r="476" spans="2:103" s="273" customFormat="1" ht="21" x14ac:dyDescent="0.25">
      <c r="B476" s="424">
        <v>44730</v>
      </c>
      <c r="C476" s="710">
        <v>0.89583333333333337</v>
      </c>
      <c r="D476" s="425">
        <v>50</v>
      </c>
      <c r="E476" s="426">
        <v>10.199999999999999</v>
      </c>
      <c r="F476" s="427">
        <v>14.7</v>
      </c>
      <c r="G476" s="428">
        <v>1075</v>
      </c>
      <c r="H476" s="428">
        <v>1913</v>
      </c>
      <c r="I476" s="428">
        <v>99</v>
      </c>
      <c r="J476" s="428">
        <v>113.1</v>
      </c>
      <c r="K476" s="436" t="s">
        <v>3122</v>
      </c>
      <c r="L476" s="426">
        <v>33.090000000000003</v>
      </c>
      <c r="M476" s="426">
        <v>40</v>
      </c>
      <c r="N476" s="426">
        <v>50.64</v>
      </c>
      <c r="O476" s="429" t="s">
        <v>142</v>
      </c>
      <c r="P476" s="429" t="s">
        <v>142</v>
      </c>
      <c r="Q476" s="314" t="s">
        <v>142</v>
      </c>
      <c r="R476" s="429" t="s">
        <v>951</v>
      </c>
      <c r="S476" s="430" t="s">
        <v>2681</v>
      </c>
      <c r="T476" s="430" t="s">
        <v>23</v>
      </c>
      <c r="U476" s="813" t="s">
        <v>928</v>
      </c>
      <c r="V476" s="322"/>
      <c r="CM476" s="271"/>
      <c r="CN476" s="271"/>
      <c r="CO476" s="271"/>
      <c r="CP476" s="271"/>
      <c r="CQ476" s="271"/>
      <c r="CR476" s="271"/>
      <c r="CS476" s="271"/>
      <c r="CT476" s="271"/>
      <c r="CU476" s="271"/>
      <c r="CV476" s="271"/>
      <c r="CW476" s="271"/>
      <c r="CX476" s="271"/>
      <c r="CY476" s="271"/>
    </row>
    <row r="477" spans="2:103" s="273" customFormat="1" ht="21" x14ac:dyDescent="0.25">
      <c r="B477" s="424">
        <v>44731</v>
      </c>
      <c r="C477" s="710">
        <v>0.89583333333333337</v>
      </c>
      <c r="D477" s="425">
        <v>50</v>
      </c>
      <c r="E477" s="426">
        <v>10.199999999999999</v>
      </c>
      <c r="F477" s="427">
        <v>14.7</v>
      </c>
      <c r="G477" s="428">
        <v>1075</v>
      </c>
      <c r="H477" s="428">
        <v>1913</v>
      </c>
      <c r="I477" s="428">
        <v>99</v>
      </c>
      <c r="J477" s="428">
        <v>113.1</v>
      </c>
      <c r="K477" s="436" t="s">
        <v>3122</v>
      </c>
      <c r="L477" s="426">
        <v>33.090000000000003</v>
      </c>
      <c r="M477" s="426">
        <v>40</v>
      </c>
      <c r="N477" s="426">
        <v>50.64</v>
      </c>
      <c r="O477" s="429" t="s">
        <v>142</v>
      </c>
      <c r="P477" s="429" t="s">
        <v>142</v>
      </c>
      <c r="Q477" s="314" t="s">
        <v>142</v>
      </c>
      <c r="R477" s="429" t="s">
        <v>951</v>
      </c>
      <c r="S477" s="430" t="s">
        <v>2681</v>
      </c>
      <c r="T477" s="430" t="s">
        <v>23</v>
      </c>
      <c r="U477" s="813" t="s">
        <v>928</v>
      </c>
      <c r="V477" s="322"/>
      <c r="CM477" s="271"/>
      <c r="CN477" s="271"/>
      <c r="CO477" s="271"/>
      <c r="CP477" s="271"/>
      <c r="CQ477" s="271"/>
      <c r="CR477" s="271"/>
      <c r="CS477" s="271"/>
      <c r="CT477" s="271"/>
      <c r="CU477" s="271"/>
      <c r="CV477" s="271"/>
      <c r="CW477" s="271"/>
      <c r="CX477" s="271"/>
      <c r="CY477" s="271"/>
    </row>
    <row r="478" spans="2:103" s="273" customFormat="1" ht="21" x14ac:dyDescent="0.25">
      <c r="B478" s="424">
        <v>44732</v>
      </c>
      <c r="C478" s="710">
        <v>0.98611111111111116</v>
      </c>
      <c r="D478" s="425">
        <v>50</v>
      </c>
      <c r="E478" s="426">
        <v>14.8</v>
      </c>
      <c r="F478" s="427">
        <v>18.100000000000001</v>
      </c>
      <c r="G478" s="428">
        <v>1176</v>
      </c>
      <c r="H478" s="428">
        <v>1566</v>
      </c>
      <c r="I478" s="428">
        <v>98.6</v>
      </c>
      <c r="J478" s="428">
        <v>112.1</v>
      </c>
      <c r="K478" s="436" t="s">
        <v>3133</v>
      </c>
      <c r="L478" s="426">
        <v>34.26</v>
      </c>
      <c r="M478" s="426">
        <v>40</v>
      </c>
      <c r="N478" s="426">
        <v>51</v>
      </c>
      <c r="O478" s="429" t="s">
        <v>142</v>
      </c>
      <c r="P478" s="429" t="s">
        <v>142</v>
      </c>
      <c r="Q478" s="314" t="s">
        <v>142</v>
      </c>
      <c r="R478" s="429" t="s">
        <v>3134</v>
      </c>
      <c r="S478" s="430" t="s">
        <v>3135</v>
      </c>
      <c r="T478" s="430" t="s">
        <v>23</v>
      </c>
      <c r="U478" s="813" t="s">
        <v>928</v>
      </c>
      <c r="V478" s="322"/>
      <c r="CM478" s="271"/>
      <c r="CN478" s="271"/>
      <c r="CO478" s="271"/>
      <c r="CP478" s="271"/>
      <c r="CQ478" s="271"/>
      <c r="CR478" s="271"/>
      <c r="CS478" s="271"/>
      <c r="CT478" s="271"/>
      <c r="CU478" s="271"/>
      <c r="CV478" s="271"/>
      <c r="CW478" s="271"/>
      <c r="CX478" s="271"/>
      <c r="CY478" s="271"/>
    </row>
    <row r="479" spans="2:103" s="273" customFormat="1" ht="21" x14ac:dyDescent="0.25">
      <c r="B479" s="424">
        <v>44733</v>
      </c>
      <c r="C479" s="710">
        <v>0.98263888888888884</v>
      </c>
      <c r="D479" s="425">
        <v>50</v>
      </c>
      <c r="E479" s="426">
        <v>14.6</v>
      </c>
      <c r="F479" s="427">
        <v>18</v>
      </c>
      <c r="G479" s="428">
        <v>1197</v>
      </c>
      <c r="H479" s="428">
        <v>1644</v>
      </c>
      <c r="I479" s="428">
        <v>99</v>
      </c>
      <c r="J479" s="428">
        <v>113</v>
      </c>
      <c r="K479" s="436" t="s">
        <v>3145</v>
      </c>
      <c r="L479" s="426">
        <v>34.26</v>
      </c>
      <c r="M479" s="426">
        <v>40</v>
      </c>
      <c r="N479" s="426">
        <v>51</v>
      </c>
      <c r="O479" s="429" t="s">
        <v>142</v>
      </c>
      <c r="P479" s="429" t="s">
        <v>142</v>
      </c>
      <c r="Q479" s="314" t="s">
        <v>142</v>
      </c>
      <c r="R479" s="429" t="s">
        <v>3146</v>
      </c>
      <c r="S479" s="430" t="s">
        <v>3147</v>
      </c>
      <c r="T479" s="430" t="s">
        <v>23</v>
      </c>
      <c r="U479" s="813" t="s">
        <v>928</v>
      </c>
      <c r="V479" s="322"/>
      <c r="CM479" s="271"/>
      <c r="CN479" s="271"/>
      <c r="CO479" s="271"/>
      <c r="CP479" s="271"/>
      <c r="CQ479" s="271"/>
      <c r="CR479" s="271"/>
      <c r="CS479" s="271"/>
      <c r="CT479" s="271"/>
      <c r="CU479" s="271"/>
      <c r="CV479" s="271"/>
      <c r="CW479" s="271"/>
      <c r="CX479" s="271"/>
      <c r="CY479" s="271"/>
    </row>
    <row r="480" spans="2:103" s="273" customFormat="1" ht="21" x14ac:dyDescent="0.25">
      <c r="B480" s="424">
        <v>44734</v>
      </c>
      <c r="C480" s="710">
        <v>0.91666666666666663</v>
      </c>
      <c r="D480" s="425">
        <v>50</v>
      </c>
      <c r="E480" s="426">
        <v>13.2</v>
      </c>
      <c r="F480" s="427">
        <v>16.7</v>
      </c>
      <c r="G480" s="428">
        <v>1198</v>
      </c>
      <c r="H480" s="428">
        <v>1965</v>
      </c>
      <c r="I480" s="428">
        <v>97.1</v>
      </c>
      <c r="J480" s="428">
        <v>115</v>
      </c>
      <c r="K480" s="436" t="s">
        <v>3148</v>
      </c>
      <c r="L480" s="426">
        <v>34.79</v>
      </c>
      <c r="M480" s="426">
        <v>40</v>
      </c>
      <c r="N480" s="426">
        <v>54.7</v>
      </c>
      <c r="O480" s="429" t="s">
        <v>142</v>
      </c>
      <c r="P480" s="429" t="s">
        <v>142</v>
      </c>
      <c r="Q480" s="314" t="s">
        <v>142</v>
      </c>
      <c r="R480" s="429" t="s">
        <v>3149</v>
      </c>
      <c r="S480" s="430" t="s">
        <v>3101</v>
      </c>
      <c r="T480" s="430" t="s">
        <v>23</v>
      </c>
      <c r="U480" s="813" t="s">
        <v>928</v>
      </c>
      <c r="V480" s="322"/>
      <c r="CM480" s="271"/>
      <c r="CN480" s="271"/>
      <c r="CO480" s="271"/>
      <c r="CP480" s="271"/>
      <c r="CQ480" s="271"/>
      <c r="CR480" s="271"/>
      <c r="CS480" s="271"/>
      <c r="CT480" s="271"/>
      <c r="CU480" s="271"/>
      <c r="CV480" s="271"/>
      <c r="CW480" s="271"/>
      <c r="CX480" s="271"/>
      <c r="CY480" s="271"/>
    </row>
    <row r="481" spans="2:103" s="273" customFormat="1" ht="21" x14ac:dyDescent="0.25">
      <c r="B481" s="424">
        <v>44735</v>
      </c>
      <c r="C481" s="710">
        <v>0.85416666666666663</v>
      </c>
      <c r="D481" s="425">
        <v>50</v>
      </c>
      <c r="E481" s="426">
        <v>10.7</v>
      </c>
      <c r="F481" s="427">
        <v>15</v>
      </c>
      <c r="G481" s="428">
        <v>1074</v>
      </c>
      <c r="H481" s="428">
        <v>1901</v>
      </c>
      <c r="I481" s="428">
        <v>99</v>
      </c>
      <c r="J481" s="428">
        <v>112.8</v>
      </c>
      <c r="K481" s="436" t="s">
        <v>3161</v>
      </c>
      <c r="L481" s="426">
        <v>32.32</v>
      </c>
      <c r="M481" s="426">
        <v>40</v>
      </c>
      <c r="N481" s="426">
        <v>50.88</v>
      </c>
      <c r="O481" s="429" t="s">
        <v>142</v>
      </c>
      <c r="P481" s="429" t="s">
        <v>142</v>
      </c>
      <c r="Q481" s="314" t="s">
        <v>142</v>
      </c>
      <c r="R481" s="429" t="s">
        <v>2017</v>
      </c>
      <c r="S481" s="430" t="s">
        <v>2681</v>
      </c>
      <c r="T481" s="430" t="s">
        <v>23</v>
      </c>
      <c r="U481" s="813" t="s">
        <v>928</v>
      </c>
      <c r="V481" s="322"/>
      <c r="CM481" s="271"/>
      <c r="CN481" s="271"/>
      <c r="CO481" s="271"/>
      <c r="CP481" s="271"/>
      <c r="CQ481" s="271"/>
      <c r="CR481" s="271"/>
      <c r="CS481" s="271"/>
      <c r="CT481" s="271"/>
      <c r="CU481" s="271"/>
      <c r="CV481" s="271"/>
      <c r="CW481" s="271"/>
      <c r="CX481" s="271"/>
      <c r="CY481" s="271"/>
    </row>
    <row r="482" spans="2:103" s="273" customFormat="1" ht="21" x14ac:dyDescent="0.25">
      <c r="B482" s="424">
        <v>44736</v>
      </c>
      <c r="C482" s="710">
        <v>0.93055555555555547</v>
      </c>
      <c r="D482" s="425">
        <v>50</v>
      </c>
      <c r="E482" s="426">
        <v>12.8</v>
      </c>
      <c r="F482" s="427">
        <v>16.600000000000001</v>
      </c>
      <c r="G482" s="428">
        <v>1261</v>
      </c>
      <c r="H482" s="428">
        <v>1970</v>
      </c>
      <c r="I482" s="428">
        <v>97.1</v>
      </c>
      <c r="J482" s="428">
        <v>117</v>
      </c>
      <c r="K482" s="436" t="s">
        <v>3172</v>
      </c>
      <c r="L482" s="426">
        <v>33.479999999999997</v>
      </c>
      <c r="M482" s="426">
        <v>40</v>
      </c>
      <c r="N482" s="426">
        <v>51.66</v>
      </c>
      <c r="O482" s="429" t="s">
        <v>142</v>
      </c>
      <c r="P482" s="429" t="s">
        <v>142</v>
      </c>
      <c r="Q482" s="314" t="s">
        <v>142</v>
      </c>
      <c r="R482" s="429" t="s">
        <v>3173</v>
      </c>
      <c r="S482" s="430" t="s">
        <v>3042</v>
      </c>
      <c r="T482" s="430" t="s">
        <v>23</v>
      </c>
      <c r="U482" s="813" t="s">
        <v>928</v>
      </c>
      <c r="V482" s="322"/>
      <c r="CM482" s="271"/>
      <c r="CN482" s="271"/>
      <c r="CO482" s="271"/>
      <c r="CP482" s="271"/>
      <c r="CQ482" s="271"/>
      <c r="CR482" s="271"/>
      <c r="CS482" s="271"/>
      <c r="CT482" s="271"/>
      <c r="CU482" s="271"/>
      <c r="CV482" s="271"/>
      <c r="CW482" s="271"/>
      <c r="CX482" s="271"/>
      <c r="CY482" s="271"/>
    </row>
    <row r="483" spans="2:103" s="273" customFormat="1" ht="21" x14ac:dyDescent="0.25">
      <c r="B483" s="424">
        <v>44737</v>
      </c>
      <c r="C483" s="710">
        <v>0.90625</v>
      </c>
      <c r="D483" s="425">
        <v>50</v>
      </c>
      <c r="E483" s="426">
        <v>10.3</v>
      </c>
      <c r="F483" s="427">
        <v>14.6</v>
      </c>
      <c r="G483" s="428">
        <v>1066</v>
      </c>
      <c r="H483" s="428">
        <v>1893</v>
      </c>
      <c r="I483" s="428">
        <v>99</v>
      </c>
      <c r="J483" s="428">
        <v>112.8</v>
      </c>
      <c r="K483" s="436" t="s">
        <v>3175</v>
      </c>
      <c r="L483" s="426">
        <v>33.69</v>
      </c>
      <c r="M483" s="426">
        <v>40</v>
      </c>
      <c r="N483" s="426">
        <v>50.42</v>
      </c>
      <c r="O483" s="429" t="s">
        <v>142</v>
      </c>
      <c r="P483" s="429" t="s">
        <v>142</v>
      </c>
      <c r="Q483" s="314" t="s">
        <v>142</v>
      </c>
      <c r="R483" s="429" t="s">
        <v>3176</v>
      </c>
      <c r="S483" s="430" t="s">
        <v>2508</v>
      </c>
      <c r="T483" s="430" t="s">
        <v>23</v>
      </c>
      <c r="U483" s="813" t="s">
        <v>928</v>
      </c>
      <c r="V483" s="322"/>
      <c r="CM483" s="271"/>
      <c r="CN483" s="271"/>
      <c r="CO483" s="271"/>
      <c r="CP483" s="271"/>
      <c r="CQ483" s="271"/>
      <c r="CR483" s="271"/>
      <c r="CS483" s="271"/>
      <c r="CT483" s="271"/>
      <c r="CU483" s="271"/>
      <c r="CV483" s="271"/>
      <c r="CW483" s="271"/>
      <c r="CX483" s="271"/>
      <c r="CY483" s="271"/>
    </row>
    <row r="484" spans="2:103" s="273" customFormat="1" ht="21" x14ac:dyDescent="0.25">
      <c r="B484" s="424">
        <v>44738</v>
      </c>
      <c r="C484" s="710">
        <v>0.90625</v>
      </c>
      <c r="D484" s="425">
        <v>50</v>
      </c>
      <c r="E484" s="426">
        <v>13.2</v>
      </c>
      <c r="F484" s="427">
        <v>16.899999999999999</v>
      </c>
      <c r="G484" s="428">
        <v>1181</v>
      </c>
      <c r="H484" s="428">
        <v>1944</v>
      </c>
      <c r="I484" s="428">
        <v>97.1</v>
      </c>
      <c r="J484" s="428">
        <v>114.6</v>
      </c>
      <c r="K484" s="436" t="s">
        <v>3181</v>
      </c>
      <c r="L484" s="426">
        <v>33.909999999999997</v>
      </c>
      <c r="M484" s="426">
        <v>40</v>
      </c>
      <c r="N484" s="426">
        <v>54.89</v>
      </c>
      <c r="O484" s="429" t="s">
        <v>142</v>
      </c>
      <c r="P484" s="429" t="s">
        <v>142</v>
      </c>
      <c r="Q484" s="314" t="s">
        <v>142</v>
      </c>
      <c r="R484" s="429" t="s">
        <v>3182</v>
      </c>
      <c r="S484" s="430" t="s">
        <v>3183</v>
      </c>
      <c r="T484" s="430" t="s">
        <v>23</v>
      </c>
      <c r="U484" s="813" t="s">
        <v>928</v>
      </c>
      <c r="V484" s="322"/>
      <c r="CM484" s="271"/>
      <c r="CN484" s="271"/>
      <c r="CO484" s="271"/>
      <c r="CP484" s="271"/>
      <c r="CQ484" s="271"/>
      <c r="CR484" s="271"/>
      <c r="CS484" s="271"/>
      <c r="CT484" s="271"/>
      <c r="CU484" s="271"/>
      <c r="CV484" s="271"/>
      <c r="CW484" s="271"/>
      <c r="CX484" s="271"/>
      <c r="CY484" s="271"/>
    </row>
    <row r="485" spans="2:103" s="273" customFormat="1" ht="21" x14ac:dyDescent="0.25">
      <c r="B485" s="424">
        <v>44739</v>
      </c>
      <c r="C485" s="710">
        <v>0.91666666666666663</v>
      </c>
      <c r="D485" s="425">
        <v>50</v>
      </c>
      <c r="E485" s="426">
        <v>10.5</v>
      </c>
      <c r="F485" s="427">
        <v>14.7</v>
      </c>
      <c r="G485" s="428">
        <v>1066</v>
      </c>
      <c r="H485" s="428">
        <v>1858</v>
      </c>
      <c r="I485" s="428">
        <v>99.9</v>
      </c>
      <c r="J485" s="428">
        <v>112.7</v>
      </c>
      <c r="K485" s="436" t="s">
        <v>3191</v>
      </c>
      <c r="L485" s="426">
        <v>31.15</v>
      </c>
      <c r="M485" s="426">
        <v>40</v>
      </c>
      <c r="N485" s="426">
        <v>49.73</v>
      </c>
      <c r="O485" s="429" t="s">
        <v>142</v>
      </c>
      <c r="P485" s="429" t="s">
        <v>142</v>
      </c>
      <c r="Q485" s="314" t="s">
        <v>142</v>
      </c>
      <c r="R485" s="429" t="s">
        <v>3192</v>
      </c>
      <c r="S485" s="430" t="s">
        <v>2681</v>
      </c>
      <c r="T485" s="430" t="s">
        <v>23</v>
      </c>
      <c r="U485" s="813" t="s">
        <v>928</v>
      </c>
      <c r="V485" s="322"/>
      <c r="CM485" s="271"/>
      <c r="CN485" s="271"/>
      <c r="CO485" s="271"/>
      <c r="CP485" s="271"/>
      <c r="CQ485" s="271"/>
      <c r="CR485" s="271"/>
      <c r="CS485" s="271"/>
      <c r="CT485" s="271"/>
      <c r="CU485" s="271"/>
      <c r="CV485" s="271"/>
      <c r="CW485" s="271"/>
      <c r="CX485" s="271"/>
      <c r="CY485" s="271"/>
    </row>
    <row r="486" spans="2:103" s="273" customFormat="1" ht="21" x14ac:dyDescent="0.25">
      <c r="B486" s="424">
        <v>44740</v>
      </c>
      <c r="C486" s="710">
        <v>0.9375</v>
      </c>
      <c r="D486" s="425">
        <v>50</v>
      </c>
      <c r="E486" s="426">
        <v>13.4</v>
      </c>
      <c r="F486" s="427">
        <v>16.8</v>
      </c>
      <c r="G486" s="428">
        <v>1201</v>
      </c>
      <c r="H486" s="428">
        <v>2010</v>
      </c>
      <c r="I486" s="428">
        <v>97.1</v>
      </c>
      <c r="J486" s="428">
        <v>115</v>
      </c>
      <c r="K486" s="436" t="s">
        <v>3197</v>
      </c>
      <c r="L486" s="426">
        <v>32.96</v>
      </c>
      <c r="M486" s="426">
        <v>40</v>
      </c>
      <c r="N486" s="426">
        <v>53.79</v>
      </c>
      <c r="O486" s="429" t="s">
        <v>142</v>
      </c>
      <c r="P486" s="429" t="s">
        <v>142</v>
      </c>
      <c r="Q486" s="314" t="s">
        <v>142</v>
      </c>
      <c r="R486" s="429" t="s">
        <v>2532</v>
      </c>
      <c r="S486" s="430" t="s">
        <v>3198</v>
      </c>
      <c r="T486" s="430" t="s">
        <v>23</v>
      </c>
      <c r="U486" s="813" t="s">
        <v>928</v>
      </c>
      <c r="V486" s="322"/>
      <c r="CM486" s="271"/>
      <c r="CN486" s="271"/>
      <c r="CO486" s="271"/>
      <c r="CP486" s="271"/>
      <c r="CQ486" s="271"/>
      <c r="CR486" s="271"/>
      <c r="CS486" s="271"/>
      <c r="CT486" s="271"/>
      <c r="CU486" s="271"/>
      <c r="CV486" s="271"/>
      <c r="CW486" s="271"/>
      <c r="CX486" s="271"/>
      <c r="CY486" s="271"/>
    </row>
    <row r="487" spans="2:103" s="273" customFormat="1" ht="21" x14ac:dyDescent="0.25">
      <c r="B487" s="424">
        <v>44741</v>
      </c>
      <c r="C487" s="710">
        <v>0.88541666666666663</v>
      </c>
      <c r="D487" s="425">
        <v>50</v>
      </c>
      <c r="E487" s="426">
        <v>10.6</v>
      </c>
      <c r="F487" s="427">
        <v>14.8</v>
      </c>
      <c r="G487" s="428">
        <v>1088</v>
      </c>
      <c r="H487" s="428">
        <v>1964</v>
      </c>
      <c r="I487" s="428">
        <v>99</v>
      </c>
      <c r="J487" s="428">
        <v>112.7</v>
      </c>
      <c r="K487" s="436" t="s">
        <v>3207</v>
      </c>
      <c r="L487" s="426">
        <v>34.26</v>
      </c>
      <c r="M487" s="426">
        <v>40</v>
      </c>
      <c r="N487" s="426">
        <v>49.16</v>
      </c>
      <c r="O487" s="429" t="s">
        <v>142</v>
      </c>
      <c r="P487" s="429" t="s">
        <v>142</v>
      </c>
      <c r="Q487" s="314" t="s">
        <v>142</v>
      </c>
      <c r="R487" s="429" t="s">
        <v>3011</v>
      </c>
      <c r="S487" s="430" t="s">
        <v>3077</v>
      </c>
      <c r="T487" s="430" t="s">
        <v>23</v>
      </c>
      <c r="U487" s="813" t="s">
        <v>928</v>
      </c>
      <c r="V487" s="322"/>
      <c r="CM487" s="271"/>
      <c r="CN487" s="271"/>
      <c r="CO487" s="271"/>
      <c r="CP487" s="271"/>
      <c r="CQ487" s="271"/>
      <c r="CR487" s="271"/>
      <c r="CS487" s="271"/>
      <c r="CT487" s="271"/>
      <c r="CU487" s="271"/>
      <c r="CV487" s="271"/>
      <c r="CW487" s="271"/>
      <c r="CX487" s="271"/>
      <c r="CY487" s="271"/>
    </row>
    <row r="488" spans="2:103" s="273" customFormat="1" ht="21" x14ac:dyDescent="0.25">
      <c r="B488" s="424">
        <v>44742</v>
      </c>
      <c r="C488" s="710">
        <v>0.875</v>
      </c>
      <c r="D488" s="425">
        <v>50</v>
      </c>
      <c r="E488" s="426">
        <v>10.7</v>
      </c>
      <c r="F488" s="427">
        <v>14.9</v>
      </c>
      <c r="G488" s="428">
        <v>1137</v>
      </c>
      <c r="H488" s="428">
        <v>1977</v>
      </c>
      <c r="I488" s="428">
        <v>97.7</v>
      </c>
      <c r="J488" s="428">
        <v>117.2</v>
      </c>
      <c r="K488" s="436" t="s">
        <v>3214</v>
      </c>
      <c r="L488" s="426">
        <v>34.520000000000003</v>
      </c>
      <c r="M488" s="426">
        <v>40</v>
      </c>
      <c r="N488" s="426">
        <v>52.75</v>
      </c>
      <c r="O488" s="429" t="s">
        <v>142</v>
      </c>
      <c r="P488" s="429" t="s">
        <v>142</v>
      </c>
      <c r="Q488" s="314" t="s">
        <v>142</v>
      </c>
      <c r="R488" s="429" t="s">
        <v>3215</v>
      </c>
      <c r="S488" s="430" t="s">
        <v>2377</v>
      </c>
      <c r="T488" s="430" t="s">
        <v>23</v>
      </c>
      <c r="U488" s="813" t="s">
        <v>928</v>
      </c>
      <c r="V488" s="322"/>
      <c r="CM488" s="271"/>
      <c r="CN488" s="271"/>
      <c r="CO488" s="271"/>
      <c r="CP488" s="271"/>
      <c r="CQ488" s="271"/>
      <c r="CR488" s="271"/>
      <c r="CS488" s="271"/>
      <c r="CT488" s="271"/>
      <c r="CU488" s="271"/>
      <c r="CV488" s="271"/>
      <c r="CW488" s="271"/>
      <c r="CX488" s="271"/>
      <c r="CY488" s="271"/>
    </row>
    <row r="489" spans="2:103" s="273" customFormat="1" ht="21" x14ac:dyDescent="0.25">
      <c r="B489" s="424">
        <v>44743</v>
      </c>
      <c r="C489" s="710">
        <v>0.875</v>
      </c>
      <c r="D489" s="425">
        <v>50</v>
      </c>
      <c r="E489" s="426">
        <v>10.7</v>
      </c>
      <c r="F489" s="427">
        <v>14.9</v>
      </c>
      <c r="G489" s="428">
        <v>1137</v>
      </c>
      <c r="H489" s="428">
        <v>1977</v>
      </c>
      <c r="I489" s="428">
        <v>97.7</v>
      </c>
      <c r="J489" s="428">
        <v>117.2</v>
      </c>
      <c r="K489" s="436" t="s">
        <v>3214</v>
      </c>
      <c r="L489" s="426">
        <v>34.520000000000003</v>
      </c>
      <c r="M489" s="426">
        <v>40</v>
      </c>
      <c r="N489" s="426">
        <v>52.75</v>
      </c>
      <c r="O489" s="429" t="s">
        <v>142</v>
      </c>
      <c r="P489" s="429" t="s">
        <v>142</v>
      </c>
      <c r="Q489" s="314" t="s">
        <v>142</v>
      </c>
      <c r="R489" s="429" t="s">
        <v>3215</v>
      </c>
      <c r="S489" s="430" t="s">
        <v>2377</v>
      </c>
      <c r="T489" s="430" t="s">
        <v>23</v>
      </c>
      <c r="U489" s="813" t="s">
        <v>928</v>
      </c>
      <c r="V489" s="322"/>
      <c r="CM489" s="271"/>
      <c r="CN489" s="271"/>
      <c r="CO489" s="271"/>
      <c r="CP489" s="271"/>
      <c r="CQ489" s="271"/>
      <c r="CR489" s="271"/>
      <c r="CS489" s="271"/>
      <c r="CT489" s="271"/>
      <c r="CU489" s="271"/>
      <c r="CV489" s="271"/>
      <c r="CW489" s="271"/>
      <c r="CX489" s="271"/>
      <c r="CY489" s="271"/>
    </row>
    <row r="490" spans="2:103" s="273" customFormat="1" ht="21" x14ac:dyDescent="0.25">
      <c r="B490" s="424">
        <v>44744</v>
      </c>
      <c r="C490" s="710">
        <v>0.89583333333333337</v>
      </c>
      <c r="D490" s="425">
        <v>50</v>
      </c>
      <c r="E490" s="426">
        <v>10.6</v>
      </c>
      <c r="F490" s="427">
        <v>14.9</v>
      </c>
      <c r="G490" s="428">
        <v>1090</v>
      </c>
      <c r="H490" s="428">
        <v>1878</v>
      </c>
      <c r="I490" s="428">
        <v>99</v>
      </c>
      <c r="J490" s="428">
        <v>112.9</v>
      </c>
      <c r="K490" s="436" t="s">
        <v>3231</v>
      </c>
      <c r="L490" s="426">
        <v>35.51</v>
      </c>
      <c r="M490" s="426">
        <v>40</v>
      </c>
      <c r="N490" s="426">
        <v>51.8</v>
      </c>
      <c r="O490" s="429" t="s">
        <v>142</v>
      </c>
      <c r="P490" s="429" t="s">
        <v>142</v>
      </c>
      <c r="Q490" s="314" t="s">
        <v>142</v>
      </c>
      <c r="R490" s="429" t="s">
        <v>3232</v>
      </c>
      <c r="S490" s="430" t="s">
        <v>2377</v>
      </c>
      <c r="T490" s="430" t="s">
        <v>23</v>
      </c>
      <c r="U490" s="813" t="s">
        <v>928</v>
      </c>
      <c r="V490" s="322"/>
      <c r="CM490" s="271"/>
      <c r="CN490" s="271"/>
      <c r="CO490" s="271"/>
      <c r="CP490" s="271"/>
      <c r="CQ490" s="271"/>
      <c r="CR490" s="271"/>
      <c r="CS490" s="271"/>
      <c r="CT490" s="271"/>
      <c r="CU490" s="271"/>
      <c r="CV490" s="271"/>
      <c r="CW490" s="271"/>
      <c r="CX490" s="271"/>
      <c r="CY490" s="271"/>
    </row>
    <row r="491" spans="2:103" s="273" customFormat="1" ht="21" x14ac:dyDescent="0.25">
      <c r="B491" s="424">
        <v>44745</v>
      </c>
      <c r="C491" s="710">
        <v>0.89583333333333337</v>
      </c>
      <c r="D491" s="425">
        <v>50</v>
      </c>
      <c r="E491" s="426">
        <v>10.6</v>
      </c>
      <c r="F491" s="427">
        <v>14.9</v>
      </c>
      <c r="G491" s="428">
        <v>1090</v>
      </c>
      <c r="H491" s="428">
        <v>1878</v>
      </c>
      <c r="I491" s="428">
        <v>99</v>
      </c>
      <c r="J491" s="428">
        <v>112.9</v>
      </c>
      <c r="K491" s="436" t="s">
        <v>3231</v>
      </c>
      <c r="L491" s="426"/>
      <c r="M491" s="426"/>
      <c r="N491" s="426"/>
      <c r="O491" s="429" t="s">
        <v>142</v>
      </c>
      <c r="P491" s="429" t="s">
        <v>142</v>
      </c>
      <c r="Q491" s="314" t="s">
        <v>142</v>
      </c>
      <c r="R491" s="429" t="s">
        <v>3232</v>
      </c>
      <c r="S491" s="430" t="s">
        <v>2377</v>
      </c>
      <c r="T491" s="430" t="s">
        <v>23</v>
      </c>
      <c r="U491" s="813" t="s">
        <v>928</v>
      </c>
      <c r="V491" s="322"/>
      <c r="CM491" s="271"/>
      <c r="CN491" s="271"/>
      <c r="CO491" s="271"/>
      <c r="CP491" s="271"/>
      <c r="CQ491" s="271"/>
      <c r="CR491" s="271"/>
      <c r="CS491" s="271"/>
      <c r="CT491" s="271"/>
      <c r="CU491" s="271"/>
      <c r="CV491" s="271"/>
      <c r="CW491" s="271"/>
      <c r="CX491" s="271"/>
      <c r="CY491" s="271"/>
    </row>
    <row r="492" spans="2:103" s="273" customFormat="1" ht="21" x14ac:dyDescent="0.25">
      <c r="B492" s="424">
        <v>44746</v>
      </c>
      <c r="C492" s="710">
        <v>0.89583333333333337</v>
      </c>
      <c r="D492" s="425">
        <v>50</v>
      </c>
      <c r="E492" s="426">
        <v>10.8</v>
      </c>
      <c r="F492" s="427">
        <v>14.9</v>
      </c>
      <c r="G492" s="428">
        <v>1094</v>
      </c>
      <c r="H492" s="428">
        <v>1836</v>
      </c>
      <c r="I492" s="428">
        <v>99</v>
      </c>
      <c r="J492" s="428">
        <v>112.8</v>
      </c>
      <c r="K492" s="436" t="s">
        <v>3252</v>
      </c>
      <c r="L492" s="426">
        <v>34.4</v>
      </c>
      <c r="M492" s="426">
        <v>40</v>
      </c>
      <c r="N492" s="426">
        <v>52.18</v>
      </c>
      <c r="O492" s="429" t="s">
        <v>142</v>
      </c>
      <c r="P492" s="429" t="s">
        <v>142</v>
      </c>
      <c r="Q492" s="314" t="s">
        <v>142</v>
      </c>
      <c r="R492" s="429" t="s">
        <v>1029</v>
      </c>
      <c r="S492" s="430" t="s">
        <v>2377</v>
      </c>
      <c r="T492" s="430" t="s">
        <v>23</v>
      </c>
      <c r="U492" s="813" t="s">
        <v>928</v>
      </c>
      <c r="V492" s="322"/>
      <c r="CM492" s="271"/>
      <c r="CN492" s="271"/>
      <c r="CO492" s="271"/>
      <c r="CP492" s="271"/>
      <c r="CQ492" s="271"/>
      <c r="CR492" s="271"/>
      <c r="CS492" s="271"/>
      <c r="CT492" s="271"/>
      <c r="CU492" s="271"/>
      <c r="CV492" s="271"/>
      <c r="CW492" s="271"/>
      <c r="CX492" s="271"/>
      <c r="CY492" s="271"/>
    </row>
    <row r="493" spans="2:103" s="273" customFormat="1" ht="21" x14ac:dyDescent="0.25">
      <c r="B493" s="424">
        <v>44747</v>
      </c>
      <c r="C493" s="710">
        <v>0.89583333333333337</v>
      </c>
      <c r="D493" s="425">
        <v>50</v>
      </c>
      <c r="E493" s="426">
        <v>10.8</v>
      </c>
      <c r="F493" s="427">
        <v>14.9</v>
      </c>
      <c r="G493" s="428">
        <v>1094</v>
      </c>
      <c r="H493" s="428">
        <v>1836</v>
      </c>
      <c r="I493" s="428">
        <v>99</v>
      </c>
      <c r="J493" s="428">
        <v>112.8</v>
      </c>
      <c r="K493" s="436" t="s">
        <v>3252</v>
      </c>
      <c r="L493" s="426">
        <v>35.479999999999997</v>
      </c>
      <c r="M493" s="426">
        <v>40</v>
      </c>
      <c r="N493" s="426">
        <v>52.18</v>
      </c>
      <c r="O493" s="429" t="s">
        <v>142</v>
      </c>
      <c r="P493" s="429" t="s">
        <v>142</v>
      </c>
      <c r="Q493" s="314" t="s">
        <v>142</v>
      </c>
      <c r="R493" s="429" t="s">
        <v>1029</v>
      </c>
      <c r="S493" s="430" t="s">
        <v>2377</v>
      </c>
      <c r="T493" s="430" t="s">
        <v>23</v>
      </c>
      <c r="U493" s="813" t="s">
        <v>928</v>
      </c>
      <c r="V493" s="322"/>
      <c r="CM493" s="271"/>
      <c r="CN493" s="271"/>
      <c r="CO493" s="271"/>
      <c r="CP493" s="271"/>
      <c r="CQ493" s="271"/>
      <c r="CR493" s="271"/>
      <c r="CS493" s="271"/>
      <c r="CT493" s="271"/>
      <c r="CU493" s="271"/>
      <c r="CV493" s="271"/>
      <c r="CW493" s="271"/>
      <c r="CX493" s="271"/>
      <c r="CY493" s="271"/>
    </row>
    <row r="494" spans="2:103" s="273" customFormat="1" ht="21" x14ac:dyDescent="0.25">
      <c r="B494" s="424">
        <v>44748</v>
      </c>
      <c r="C494" s="710">
        <v>0.89583333333333337</v>
      </c>
      <c r="D494" s="425">
        <v>50</v>
      </c>
      <c r="E494" s="426">
        <v>10.8</v>
      </c>
      <c r="F494" s="427">
        <v>14.9</v>
      </c>
      <c r="G494" s="428">
        <v>1094</v>
      </c>
      <c r="H494" s="428">
        <v>1836</v>
      </c>
      <c r="I494" s="428">
        <v>99</v>
      </c>
      <c r="J494" s="428">
        <v>112.8</v>
      </c>
      <c r="K494" s="436" t="s">
        <v>3252</v>
      </c>
      <c r="L494" s="426">
        <v>35.479999999999997</v>
      </c>
      <c r="M494" s="426">
        <v>40</v>
      </c>
      <c r="N494" s="426">
        <v>52.18</v>
      </c>
      <c r="O494" s="429" t="s">
        <v>142</v>
      </c>
      <c r="P494" s="429" t="s">
        <v>142</v>
      </c>
      <c r="Q494" s="314" t="s">
        <v>142</v>
      </c>
      <c r="R494" s="429" t="s">
        <v>1029</v>
      </c>
      <c r="S494" s="430" t="s">
        <v>2377</v>
      </c>
      <c r="T494" s="430" t="s">
        <v>23</v>
      </c>
      <c r="U494" s="813" t="s">
        <v>928</v>
      </c>
      <c r="V494" s="322"/>
      <c r="CM494" s="271"/>
      <c r="CN494" s="271"/>
      <c r="CO494" s="271"/>
      <c r="CP494" s="271"/>
      <c r="CQ494" s="271"/>
      <c r="CR494" s="271"/>
      <c r="CS494" s="271"/>
      <c r="CT494" s="271"/>
      <c r="CU494" s="271"/>
      <c r="CV494" s="271"/>
      <c r="CW494" s="271"/>
      <c r="CX494" s="271"/>
      <c r="CY494" s="271"/>
    </row>
    <row r="495" spans="2:103" s="273" customFormat="1" ht="21" x14ac:dyDescent="0.25">
      <c r="B495" s="424">
        <v>44749</v>
      </c>
      <c r="C495" s="710">
        <v>0.89583333333333337</v>
      </c>
      <c r="D495" s="425">
        <v>50</v>
      </c>
      <c r="E495" s="426">
        <v>10.8</v>
      </c>
      <c r="F495" s="427">
        <v>15</v>
      </c>
      <c r="G495" s="428">
        <v>1121</v>
      </c>
      <c r="H495" s="428">
        <v>1918</v>
      </c>
      <c r="I495" s="428">
        <v>98.7</v>
      </c>
      <c r="J495" s="428">
        <v>112.5</v>
      </c>
      <c r="K495" s="436" t="s">
        <v>3268</v>
      </c>
      <c r="L495" s="426">
        <v>36.19</v>
      </c>
      <c r="M495" s="426">
        <v>40</v>
      </c>
      <c r="N495" s="426">
        <v>51.07</v>
      </c>
      <c r="O495" s="429" t="s">
        <v>142</v>
      </c>
      <c r="P495" s="429" t="s">
        <v>142</v>
      </c>
      <c r="Q495" s="314" t="s">
        <v>142</v>
      </c>
      <c r="R495" s="429" t="s">
        <v>3269</v>
      </c>
      <c r="S495" s="430" t="s">
        <v>3270</v>
      </c>
      <c r="T495" s="430" t="s">
        <v>23</v>
      </c>
      <c r="U495" s="813" t="s">
        <v>928</v>
      </c>
      <c r="V495" s="322"/>
      <c r="CM495" s="271"/>
      <c r="CN495" s="271"/>
      <c r="CO495" s="271"/>
      <c r="CP495" s="271"/>
      <c r="CQ495" s="271"/>
      <c r="CR495" s="271"/>
      <c r="CS495" s="271"/>
      <c r="CT495" s="271"/>
      <c r="CU495" s="271"/>
      <c r="CV495" s="271"/>
      <c r="CW495" s="271"/>
      <c r="CX495" s="271"/>
      <c r="CY495" s="271"/>
    </row>
    <row r="496" spans="2:103" s="273" customFormat="1" ht="21" x14ac:dyDescent="0.25">
      <c r="B496" s="424">
        <v>44750</v>
      </c>
      <c r="C496" s="710">
        <v>0.89583333333333337</v>
      </c>
      <c r="D496" s="425">
        <v>50</v>
      </c>
      <c r="E496" s="426">
        <v>6.7</v>
      </c>
      <c r="F496" s="427">
        <v>12.6</v>
      </c>
      <c r="G496" s="428">
        <v>1198</v>
      </c>
      <c r="H496" s="428">
        <v>2036</v>
      </c>
      <c r="I496" s="428">
        <v>96.9</v>
      </c>
      <c r="J496" s="428">
        <v>118</v>
      </c>
      <c r="K496" s="436" t="s">
        <v>3289</v>
      </c>
      <c r="L496" s="426">
        <v>35.44</v>
      </c>
      <c r="M496" s="426">
        <v>40</v>
      </c>
      <c r="N496" s="426">
        <v>41.66</v>
      </c>
      <c r="O496" s="429" t="s">
        <v>142</v>
      </c>
      <c r="P496" s="429" t="s">
        <v>142</v>
      </c>
      <c r="Q496" s="314" t="s">
        <v>142</v>
      </c>
      <c r="R496" s="429" t="s">
        <v>1615</v>
      </c>
      <c r="S496" s="430" t="s">
        <v>3290</v>
      </c>
      <c r="T496" s="430" t="s">
        <v>23</v>
      </c>
      <c r="U496" s="813" t="s">
        <v>928</v>
      </c>
      <c r="V496" s="322"/>
      <c r="CM496" s="271"/>
      <c r="CN496" s="271"/>
      <c r="CO496" s="271"/>
      <c r="CP496" s="271"/>
      <c r="CQ496" s="271"/>
      <c r="CR496" s="271"/>
      <c r="CS496" s="271"/>
      <c r="CT496" s="271"/>
      <c r="CU496" s="271"/>
      <c r="CV496" s="271"/>
      <c r="CW496" s="271"/>
      <c r="CX496" s="271"/>
      <c r="CY496" s="271"/>
    </row>
    <row r="497" spans="2:103" s="273" customFormat="1" ht="21" x14ac:dyDescent="0.25">
      <c r="B497" s="424">
        <v>44751</v>
      </c>
      <c r="C497" s="710">
        <v>0.89583333333333337</v>
      </c>
      <c r="D497" s="425">
        <v>50</v>
      </c>
      <c r="E497" s="426">
        <v>10.199999999999999</v>
      </c>
      <c r="F497" s="427">
        <v>14.7</v>
      </c>
      <c r="G497" s="428">
        <v>1102</v>
      </c>
      <c r="H497" s="428">
        <v>1881</v>
      </c>
      <c r="I497" s="428">
        <v>98.8</v>
      </c>
      <c r="J497" s="428">
        <v>112.4</v>
      </c>
      <c r="K497" s="436" t="s">
        <v>3295</v>
      </c>
      <c r="L497" s="426">
        <v>34.950000000000003</v>
      </c>
      <c r="M497" s="426">
        <v>40</v>
      </c>
      <c r="N497" s="426">
        <v>51.41</v>
      </c>
      <c r="O497" s="429" t="s">
        <v>142</v>
      </c>
      <c r="P497" s="429" t="s">
        <v>142</v>
      </c>
      <c r="Q497" s="314" t="s">
        <v>142</v>
      </c>
      <c r="R497" s="429" t="s">
        <v>3313</v>
      </c>
      <c r="S497" s="430" t="s">
        <v>2681</v>
      </c>
      <c r="T497" s="430" t="s">
        <v>23</v>
      </c>
      <c r="U497" s="813" t="s">
        <v>928</v>
      </c>
      <c r="V497" s="322"/>
      <c r="CM497" s="271"/>
      <c r="CN497" s="271"/>
      <c r="CO497" s="271"/>
      <c r="CP497" s="271"/>
      <c r="CQ497" s="271"/>
      <c r="CR497" s="271"/>
      <c r="CS497" s="271"/>
      <c r="CT497" s="271"/>
      <c r="CU497" s="271"/>
      <c r="CV497" s="271"/>
      <c r="CW497" s="271"/>
      <c r="CX497" s="271"/>
      <c r="CY497" s="271"/>
    </row>
    <row r="498" spans="2:103" s="273" customFormat="1" ht="21" x14ac:dyDescent="0.25">
      <c r="B498" s="424">
        <v>44752</v>
      </c>
      <c r="C498" s="710">
        <v>0.875</v>
      </c>
      <c r="D498" s="425">
        <v>50</v>
      </c>
      <c r="E498" s="426">
        <v>10.4</v>
      </c>
      <c r="F498" s="427">
        <v>14.8</v>
      </c>
      <c r="G498" s="428">
        <v>1091</v>
      </c>
      <c r="H498" s="428">
        <v>1888</v>
      </c>
      <c r="I498" s="428">
        <v>99</v>
      </c>
      <c r="J498" s="428">
        <v>112.3</v>
      </c>
      <c r="K498" s="436" t="s">
        <v>3312</v>
      </c>
      <c r="L498" s="426">
        <v>33.57</v>
      </c>
      <c r="M498" s="426">
        <v>40</v>
      </c>
      <c r="N498" s="426">
        <v>49.54</v>
      </c>
      <c r="O498" s="429" t="s">
        <v>142</v>
      </c>
      <c r="P498" s="429" t="s">
        <v>142</v>
      </c>
      <c r="Q498" s="314" t="s">
        <v>142</v>
      </c>
      <c r="R498" s="429" t="s">
        <v>3011</v>
      </c>
      <c r="S498" s="430" t="s">
        <v>3077</v>
      </c>
      <c r="T498" s="430" t="s">
        <v>23</v>
      </c>
      <c r="U498" s="813" t="s">
        <v>928</v>
      </c>
      <c r="V498" s="322"/>
      <c r="CM498" s="271"/>
      <c r="CN498" s="271"/>
      <c r="CO498" s="271"/>
      <c r="CP498" s="271"/>
      <c r="CQ498" s="271"/>
      <c r="CR498" s="271"/>
      <c r="CS498" s="271"/>
      <c r="CT498" s="271"/>
      <c r="CU498" s="271"/>
      <c r="CV498" s="271"/>
      <c r="CW498" s="271"/>
      <c r="CX498" s="271"/>
      <c r="CY498" s="271"/>
    </row>
    <row r="499" spans="2:103" s="273" customFormat="1" ht="21" x14ac:dyDescent="0.25">
      <c r="B499" s="424">
        <v>44753</v>
      </c>
      <c r="C499" s="710">
        <v>0.875</v>
      </c>
      <c r="D499" s="425">
        <v>50</v>
      </c>
      <c r="E499" s="426">
        <v>10.4</v>
      </c>
      <c r="F499" s="427">
        <v>14.8</v>
      </c>
      <c r="G499" s="428">
        <v>1091</v>
      </c>
      <c r="H499" s="428">
        <v>1888</v>
      </c>
      <c r="I499" s="428">
        <v>99</v>
      </c>
      <c r="J499" s="428">
        <v>112.3</v>
      </c>
      <c r="K499" s="436" t="s">
        <v>3312</v>
      </c>
      <c r="L499" s="426">
        <v>33.57</v>
      </c>
      <c r="M499" s="426">
        <v>40</v>
      </c>
      <c r="N499" s="426">
        <v>49.54</v>
      </c>
      <c r="O499" s="429" t="s">
        <v>142</v>
      </c>
      <c r="P499" s="429" t="s">
        <v>142</v>
      </c>
      <c r="Q499" s="314" t="s">
        <v>142</v>
      </c>
      <c r="R499" s="429" t="s">
        <v>3011</v>
      </c>
      <c r="S499" s="430" t="s">
        <v>3077</v>
      </c>
      <c r="T499" s="430" t="s">
        <v>23</v>
      </c>
      <c r="U499" s="813" t="s">
        <v>928</v>
      </c>
      <c r="V499" s="322"/>
      <c r="CM499" s="271"/>
      <c r="CN499" s="271"/>
      <c r="CO499" s="271"/>
      <c r="CP499" s="271"/>
      <c r="CQ499" s="271"/>
      <c r="CR499" s="271"/>
      <c r="CS499" s="271"/>
      <c r="CT499" s="271"/>
      <c r="CU499" s="271"/>
      <c r="CV499" s="271"/>
      <c r="CW499" s="271"/>
      <c r="CX499" s="271"/>
      <c r="CY499" s="271"/>
    </row>
    <row r="500" spans="2:103" s="273" customFormat="1" ht="21" x14ac:dyDescent="0.25">
      <c r="B500" s="424">
        <v>44754</v>
      </c>
      <c r="C500" s="710">
        <v>0.94444444444444453</v>
      </c>
      <c r="D500" s="425">
        <v>50</v>
      </c>
      <c r="E500" s="426">
        <v>13.5</v>
      </c>
      <c r="F500" s="427">
        <v>16.899999999999999</v>
      </c>
      <c r="G500" s="428">
        <v>1288</v>
      </c>
      <c r="H500" s="428">
        <v>1790</v>
      </c>
      <c r="I500" s="428">
        <v>97.1</v>
      </c>
      <c r="J500" s="428">
        <v>115</v>
      </c>
      <c r="K500" s="436" t="s">
        <v>3197</v>
      </c>
      <c r="L500" s="426">
        <v>33.369999999999997</v>
      </c>
      <c r="M500" s="426">
        <v>40</v>
      </c>
      <c r="N500" s="426">
        <v>0</v>
      </c>
      <c r="O500" s="429" t="s">
        <v>142</v>
      </c>
      <c r="P500" s="429" t="s">
        <v>142</v>
      </c>
      <c r="Q500" s="314" t="s">
        <v>142</v>
      </c>
      <c r="R500" s="429" t="s">
        <v>2532</v>
      </c>
      <c r="S500" s="430" t="s">
        <v>3198</v>
      </c>
      <c r="T500" s="430" t="s">
        <v>23</v>
      </c>
      <c r="U500" s="813" t="s">
        <v>928</v>
      </c>
      <c r="V500" s="322"/>
      <c r="CM500" s="271"/>
      <c r="CN500" s="271"/>
      <c r="CO500" s="271"/>
      <c r="CP500" s="271"/>
      <c r="CQ500" s="271"/>
      <c r="CR500" s="271"/>
      <c r="CS500" s="271"/>
      <c r="CT500" s="271"/>
      <c r="CU500" s="271"/>
      <c r="CV500" s="271"/>
      <c r="CW500" s="271"/>
      <c r="CX500" s="271"/>
      <c r="CY500" s="271"/>
    </row>
    <row r="501" spans="2:103" s="273" customFormat="1" ht="56.25" customHeight="1" x14ac:dyDescent="0.25">
      <c r="B501" s="424">
        <v>44755</v>
      </c>
      <c r="C501" s="325"/>
      <c r="D501" s="1528" t="s">
        <v>3336</v>
      </c>
      <c r="E501" s="1529"/>
      <c r="F501" s="1529"/>
      <c r="G501" s="1529"/>
      <c r="H501" s="1529"/>
      <c r="I501" s="1529"/>
      <c r="J501" s="1529"/>
      <c r="K501" s="1529"/>
      <c r="L501" s="1529"/>
      <c r="M501" s="1529"/>
      <c r="N501" s="1529"/>
      <c r="O501" s="1529"/>
      <c r="P501" s="1529"/>
      <c r="Q501" s="1529"/>
      <c r="R501" s="1529"/>
      <c r="S501" s="1530"/>
      <c r="T501" s="327"/>
      <c r="U501" s="148"/>
      <c r="V501" s="322"/>
      <c r="CM501" s="271"/>
      <c r="CN501" s="271"/>
      <c r="CO501" s="271"/>
      <c r="CP501" s="271"/>
      <c r="CQ501" s="271"/>
      <c r="CR501" s="271"/>
      <c r="CS501" s="271"/>
      <c r="CT501" s="271"/>
      <c r="CU501" s="271"/>
      <c r="CV501" s="271"/>
      <c r="CW501" s="271"/>
      <c r="CX501" s="271"/>
      <c r="CY501" s="271"/>
    </row>
    <row r="502" spans="2:103" s="273" customFormat="1" ht="26.25" x14ac:dyDescent="0.25">
      <c r="B502" s="424">
        <v>44756</v>
      </c>
      <c r="C502" s="325"/>
      <c r="D502" s="1528" t="s">
        <v>3336</v>
      </c>
      <c r="E502" s="1529"/>
      <c r="F502" s="1529"/>
      <c r="G502" s="1529"/>
      <c r="H502" s="1529"/>
      <c r="I502" s="1529"/>
      <c r="J502" s="1529"/>
      <c r="K502" s="1529"/>
      <c r="L502" s="1529"/>
      <c r="M502" s="1529"/>
      <c r="N502" s="1529"/>
      <c r="O502" s="1529"/>
      <c r="P502" s="1529"/>
      <c r="Q502" s="1529"/>
      <c r="R502" s="1529"/>
      <c r="S502" s="1530"/>
      <c r="T502" s="327"/>
      <c r="U502" s="148"/>
      <c r="V502" s="322"/>
      <c r="CM502" s="271"/>
      <c r="CN502" s="271"/>
      <c r="CO502" s="271"/>
      <c r="CP502" s="271"/>
      <c r="CQ502" s="271"/>
      <c r="CR502" s="271"/>
      <c r="CS502" s="271"/>
      <c r="CT502" s="271"/>
      <c r="CU502" s="271"/>
      <c r="CV502" s="271"/>
      <c r="CW502" s="271"/>
      <c r="CX502" s="271"/>
      <c r="CY502" s="271"/>
    </row>
    <row r="503" spans="2:103" s="273" customFormat="1" ht="26.25" x14ac:dyDescent="0.25">
      <c r="B503" s="424">
        <v>44757</v>
      </c>
      <c r="C503" s="325"/>
      <c r="D503" s="1528" t="s">
        <v>3336</v>
      </c>
      <c r="E503" s="1529"/>
      <c r="F503" s="1529"/>
      <c r="G503" s="1529"/>
      <c r="H503" s="1529"/>
      <c r="I503" s="1529"/>
      <c r="J503" s="1529"/>
      <c r="K503" s="1529"/>
      <c r="L503" s="1529"/>
      <c r="M503" s="1529"/>
      <c r="N503" s="1529"/>
      <c r="O503" s="1529"/>
      <c r="P503" s="1529"/>
      <c r="Q503" s="1529"/>
      <c r="R503" s="1529"/>
      <c r="S503" s="1530"/>
      <c r="T503" s="327"/>
      <c r="U503" s="148"/>
      <c r="V503" s="322"/>
      <c r="CM503" s="271"/>
      <c r="CN503" s="271"/>
      <c r="CO503" s="271"/>
      <c r="CP503" s="271"/>
      <c r="CQ503" s="271"/>
      <c r="CR503" s="271"/>
      <c r="CS503" s="271"/>
      <c r="CT503" s="271"/>
      <c r="CU503" s="271"/>
      <c r="CV503" s="271"/>
      <c r="CW503" s="271"/>
      <c r="CX503" s="271"/>
      <c r="CY503" s="271"/>
    </row>
    <row r="504" spans="2:103" s="273" customFormat="1" ht="26.25" x14ac:dyDescent="0.25">
      <c r="B504" s="424">
        <v>44758</v>
      </c>
      <c r="C504" s="325"/>
      <c r="D504" s="1528" t="s">
        <v>3336</v>
      </c>
      <c r="E504" s="1529"/>
      <c r="F504" s="1529"/>
      <c r="G504" s="1529"/>
      <c r="H504" s="1529"/>
      <c r="I504" s="1529"/>
      <c r="J504" s="1529"/>
      <c r="K504" s="1529"/>
      <c r="L504" s="1529"/>
      <c r="M504" s="1529"/>
      <c r="N504" s="1529"/>
      <c r="O504" s="1529"/>
      <c r="P504" s="1529"/>
      <c r="Q504" s="1529"/>
      <c r="R504" s="1529"/>
      <c r="S504" s="1530"/>
      <c r="T504" s="327"/>
      <c r="U504" s="148"/>
      <c r="V504" s="322"/>
      <c r="CM504" s="271"/>
      <c r="CN504" s="271"/>
      <c r="CO504" s="271"/>
      <c r="CP504" s="271"/>
      <c r="CQ504" s="271"/>
      <c r="CR504" s="271"/>
      <c r="CS504" s="271"/>
      <c r="CT504" s="271"/>
      <c r="CU504" s="271"/>
      <c r="CV504" s="271"/>
      <c r="CW504" s="271"/>
      <c r="CX504" s="271"/>
      <c r="CY504" s="271"/>
    </row>
    <row r="505" spans="2:103" s="273" customFormat="1" ht="21" x14ac:dyDescent="0.25">
      <c r="B505" s="424">
        <v>44759</v>
      </c>
      <c r="C505" s="710">
        <v>0.91666666666666663</v>
      </c>
      <c r="D505" s="425">
        <v>50</v>
      </c>
      <c r="E505" s="426">
        <v>9.5</v>
      </c>
      <c r="F505" s="427">
        <v>14</v>
      </c>
      <c r="G505" s="428">
        <v>1512</v>
      </c>
      <c r="H505" s="428">
        <v>2429</v>
      </c>
      <c r="I505" s="428">
        <v>95.3</v>
      </c>
      <c r="J505" s="428">
        <v>118.2</v>
      </c>
      <c r="K505" s="436" t="s">
        <v>3358</v>
      </c>
      <c r="L505" s="426">
        <v>34.130000000000003</v>
      </c>
      <c r="M505" s="426">
        <v>40</v>
      </c>
      <c r="N505" s="426">
        <v>39.33</v>
      </c>
      <c r="O505" s="429" t="s">
        <v>142</v>
      </c>
      <c r="P505" s="429" t="s">
        <v>142</v>
      </c>
      <c r="Q505" s="314" t="s">
        <v>142</v>
      </c>
      <c r="R505" s="429" t="s">
        <v>1278</v>
      </c>
      <c r="S505" s="430" t="s">
        <v>3359</v>
      </c>
      <c r="T505" s="430" t="s">
        <v>23</v>
      </c>
      <c r="U505" s="813" t="s">
        <v>928</v>
      </c>
      <c r="V505" s="322"/>
      <c r="CM505" s="271"/>
      <c r="CN505" s="271"/>
      <c r="CO505" s="271"/>
      <c r="CP505" s="271"/>
      <c r="CQ505" s="271"/>
      <c r="CR505" s="271"/>
      <c r="CS505" s="271"/>
      <c r="CT505" s="271"/>
      <c r="CU505" s="271"/>
      <c r="CV505" s="271"/>
      <c r="CW505" s="271"/>
      <c r="CX505" s="271"/>
      <c r="CY505" s="271"/>
    </row>
    <row r="506" spans="2:103" s="273" customFormat="1" ht="21" x14ac:dyDescent="0.25">
      <c r="B506" s="424">
        <v>44760</v>
      </c>
      <c r="C506" s="710">
        <v>0.875</v>
      </c>
      <c r="D506" s="425">
        <v>50</v>
      </c>
      <c r="E506" s="426">
        <v>9.6</v>
      </c>
      <c r="F506" s="427">
        <v>14.1</v>
      </c>
      <c r="G506" s="428">
        <v>1468</v>
      </c>
      <c r="H506" s="428">
        <v>2386</v>
      </c>
      <c r="I506" s="428">
        <v>95.5</v>
      </c>
      <c r="J506" s="428">
        <v>118.9</v>
      </c>
      <c r="K506" s="436" t="s">
        <v>3369</v>
      </c>
      <c r="L506" s="426">
        <v>34.72</v>
      </c>
      <c r="M506" s="426">
        <v>40</v>
      </c>
      <c r="N506" s="426">
        <v>40</v>
      </c>
      <c r="O506" s="429" t="s">
        <v>142</v>
      </c>
      <c r="P506" s="429" t="s">
        <v>142</v>
      </c>
      <c r="Q506" s="314" t="s">
        <v>142</v>
      </c>
      <c r="R506" s="429" t="s">
        <v>1261</v>
      </c>
      <c r="S506" s="430" t="s">
        <v>2812</v>
      </c>
      <c r="T506" s="430" t="s">
        <v>23</v>
      </c>
      <c r="U506" s="813" t="s">
        <v>928</v>
      </c>
      <c r="V506" s="322"/>
      <c r="CM506" s="271"/>
      <c r="CN506" s="271"/>
      <c r="CO506" s="271"/>
      <c r="CP506" s="271"/>
      <c r="CQ506" s="271"/>
      <c r="CR506" s="271"/>
      <c r="CS506" s="271"/>
      <c r="CT506" s="271"/>
      <c r="CU506" s="271"/>
      <c r="CV506" s="271"/>
      <c r="CW506" s="271"/>
      <c r="CX506" s="271"/>
      <c r="CY506" s="271"/>
    </row>
    <row r="507" spans="2:103" s="273" customFormat="1" ht="21" x14ac:dyDescent="0.25">
      <c r="B507" s="424">
        <v>44761</v>
      </c>
      <c r="C507" s="710">
        <v>0.875</v>
      </c>
      <c r="D507" s="425">
        <v>50</v>
      </c>
      <c r="E507" s="426">
        <v>11.4</v>
      </c>
      <c r="F507" s="427">
        <v>15.4</v>
      </c>
      <c r="G507" s="428">
        <v>1142</v>
      </c>
      <c r="H507" s="428">
        <v>1731</v>
      </c>
      <c r="I507" s="428">
        <v>98.7</v>
      </c>
      <c r="J507" s="428">
        <v>113.4</v>
      </c>
      <c r="K507" s="436" t="s">
        <v>3371</v>
      </c>
      <c r="L507" s="426">
        <v>35.28</v>
      </c>
      <c r="M507" s="426">
        <v>40</v>
      </c>
      <c r="N507" s="426">
        <v>54.93</v>
      </c>
      <c r="O507" s="429" t="s">
        <v>142</v>
      </c>
      <c r="P507" s="429" t="s">
        <v>142</v>
      </c>
      <c r="Q507" s="314" t="s">
        <v>142</v>
      </c>
      <c r="R507" s="429" t="s">
        <v>1375</v>
      </c>
      <c r="S507" s="430" t="s">
        <v>2225</v>
      </c>
      <c r="T507" s="430" t="s">
        <v>23</v>
      </c>
      <c r="U507" s="813" t="s">
        <v>928</v>
      </c>
      <c r="V507" s="322"/>
      <c r="CM507" s="271"/>
      <c r="CN507" s="271"/>
      <c r="CO507" s="271"/>
      <c r="CP507" s="271"/>
      <c r="CQ507" s="271"/>
      <c r="CR507" s="271"/>
      <c r="CS507" s="271"/>
      <c r="CT507" s="271"/>
      <c r="CU507" s="271"/>
      <c r="CV507" s="271"/>
      <c r="CW507" s="271"/>
      <c r="CX507" s="271"/>
      <c r="CY507" s="271"/>
    </row>
    <row r="508" spans="2:103" s="273" customFormat="1" ht="21" x14ac:dyDescent="0.25">
      <c r="B508" s="424">
        <v>44762</v>
      </c>
      <c r="C508" s="325"/>
      <c r="D508" s="1522" t="s">
        <v>3376</v>
      </c>
      <c r="E508" s="1523"/>
      <c r="F508" s="1523"/>
      <c r="G508" s="1523"/>
      <c r="H508" s="1523"/>
      <c r="I508" s="1523"/>
      <c r="J508" s="1523"/>
      <c r="K508" s="1523"/>
      <c r="L508" s="1523"/>
      <c r="M508" s="1523"/>
      <c r="N508" s="1523"/>
      <c r="O508" s="1523"/>
      <c r="P508" s="1523"/>
      <c r="Q508" s="1523"/>
      <c r="R508" s="1524"/>
      <c r="S508" s="327"/>
      <c r="T508" s="327"/>
      <c r="U508" s="148"/>
      <c r="V508" s="322"/>
      <c r="CM508" s="271"/>
      <c r="CN508" s="271"/>
      <c r="CO508" s="271"/>
      <c r="CP508" s="271"/>
      <c r="CQ508" s="271"/>
      <c r="CR508" s="271"/>
      <c r="CS508" s="271"/>
      <c r="CT508" s="271"/>
      <c r="CU508" s="271"/>
      <c r="CV508" s="271"/>
      <c r="CW508" s="271"/>
      <c r="CX508" s="271"/>
      <c r="CY508" s="271"/>
    </row>
    <row r="509" spans="2:103" s="273" customFormat="1" ht="21" x14ac:dyDescent="0.25">
      <c r="B509" s="424">
        <v>44763</v>
      </c>
      <c r="C509" s="710">
        <v>0.875</v>
      </c>
      <c r="D509" s="425">
        <v>50</v>
      </c>
      <c r="E509" s="426">
        <v>10.9</v>
      </c>
      <c r="F509" s="427">
        <v>15.1</v>
      </c>
      <c r="G509" s="428">
        <v>1109</v>
      </c>
      <c r="H509" s="428">
        <v>1830</v>
      </c>
      <c r="I509" s="428">
        <v>98.8</v>
      </c>
      <c r="J509" s="428">
        <v>112.7</v>
      </c>
      <c r="K509" s="436" t="s">
        <v>3379</v>
      </c>
      <c r="L509" s="426">
        <v>34.74</v>
      </c>
      <c r="M509" s="426">
        <v>40</v>
      </c>
      <c r="N509" s="426">
        <v>53.44</v>
      </c>
      <c r="O509" s="429" t="s">
        <v>142</v>
      </c>
      <c r="P509" s="429" t="s">
        <v>142</v>
      </c>
      <c r="Q509" s="314" t="s">
        <v>142</v>
      </c>
      <c r="R509" s="429" t="s">
        <v>789</v>
      </c>
      <c r="S509" s="430" t="s">
        <v>2377</v>
      </c>
      <c r="T509" s="430" t="s">
        <v>23</v>
      </c>
      <c r="U509" s="813" t="s">
        <v>928</v>
      </c>
      <c r="V509" s="322"/>
      <c r="CM509" s="271"/>
      <c r="CN509" s="271"/>
      <c r="CO509" s="271"/>
      <c r="CP509" s="271"/>
      <c r="CQ509" s="271"/>
      <c r="CR509" s="271"/>
      <c r="CS509" s="271"/>
      <c r="CT509" s="271"/>
      <c r="CU509" s="271"/>
      <c r="CV509" s="271"/>
      <c r="CW509" s="271"/>
      <c r="CX509" s="271"/>
      <c r="CY509" s="271"/>
    </row>
    <row r="510" spans="2:103" s="273" customFormat="1" ht="21" x14ac:dyDescent="0.25">
      <c r="B510" s="424">
        <v>44764</v>
      </c>
      <c r="C510" s="710">
        <v>0.89583333333333337</v>
      </c>
      <c r="D510" s="425">
        <v>50</v>
      </c>
      <c r="E510" s="426">
        <v>9.9</v>
      </c>
      <c r="F510" s="427">
        <v>14.4</v>
      </c>
      <c r="G510" s="428">
        <v>1106</v>
      </c>
      <c r="H510" s="428">
        <v>1911</v>
      </c>
      <c r="I510" s="428">
        <v>98.5</v>
      </c>
      <c r="J510" s="428">
        <v>113.2</v>
      </c>
      <c r="K510" s="436" t="s">
        <v>3384</v>
      </c>
      <c r="L510" s="426">
        <v>33.89</v>
      </c>
      <c r="M510" s="426">
        <v>40</v>
      </c>
      <c r="N510" s="426">
        <v>46.52</v>
      </c>
      <c r="O510" s="429" t="s">
        <v>142</v>
      </c>
      <c r="P510" s="429" t="s">
        <v>142</v>
      </c>
      <c r="Q510" s="314" t="s">
        <v>142</v>
      </c>
      <c r="R510" s="429" t="s">
        <v>1979</v>
      </c>
      <c r="S510" s="430" t="s">
        <v>2751</v>
      </c>
      <c r="T510" s="430" t="s">
        <v>23</v>
      </c>
      <c r="U510" s="813" t="s">
        <v>928</v>
      </c>
      <c r="V510" s="322"/>
      <c r="CM510" s="271"/>
      <c r="CN510" s="271"/>
      <c r="CO510" s="271"/>
      <c r="CP510" s="271"/>
      <c r="CQ510" s="271"/>
      <c r="CR510" s="271"/>
      <c r="CS510" s="271"/>
      <c r="CT510" s="271"/>
      <c r="CU510" s="271"/>
      <c r="CV510" s="271"/>
      <c r="CW510" s="271"/>
      <c r="CX510" s="271"/>
      <c r="CY510" s="271"/>
    </row>
    <row r="511" spans="2:103" s="273" customFormat="1" ht="21" x14ac:dyDescent="0.25">
      <c r="B511" s="424">
        <v>44765</v>
      </c>
      <c r="C511" s="710">
        <v>0.89583333333333337</v>
      </c>
      <c r="D511" s="425">
        <v>50</v>
      </c>
      <c r="E511" s="426">
        <v>10.8</v>
      </c>
      <c r="F511" s="427">
        <v>15</v>
      </c>
      <c r="G511" s="428">
        <v>1165</v>
      </c>
      <c r="H511" s="428">
        <v>2007</v>
      </c>
      <c r="I511" s="428">
        <v>98.1</v>
      </c>
      <c r="J511" s="428">
        <v>113.3</v>
      </c>
      <c r="K511" s="436" t="s">
        <v>3388</v>
      </c>
      <c r="L511" s="426">
        <v>36.11</v>
      </c>
      <c r="M511" s="426">
        <v>40</v>
      </c>
      <c r="N511" s="426">
        <v>51.23</v>
      </c>
      <c r="O511" s="429" t="s">
        <v>142</v>
      </c>
      <c r="P511" s="429" t="s">
        <v>142</v>
      </c>
      <c r="Q511" s="314" t="s">
        <v>142</v>
      </c>
      <c r="R511" s="429" t="s">
        <v>1638</v>
      </c>
      <c r="S511" s="430" t="s">
        <v>3389</v>
      </c>
      <c r="T511" s="430" t="s">
        <v>23</v>
      </c>
      <c r="U511" s="813" t="s">
        <v>928</v>
      </c>
      <c r="V511" s="322"/>
      <c r="CM511" s="271"/>
      <c r="CN511" s="271"/>
      <c r="CO511" s="271"/>
      <c r="CP511" s="271"/>
      <c r="CQ511" s="271"/>
      <c r="CR511" s="271"/>
      <c r="CS511" s="271"/>
      <c r="CT511" s="271"/>
      <c r="CU511" s="271"/>
      <c r="CV511" s="271"/>
      <c r="CW511" s="271"/>
      <c r="CX511" s="271"/>
      <c r="CY511" s="271"/>
    </row>
    <row r="512" spans="2:103" s="273" customFormat="1" ht="21" x14ac:dyDescent="0.25">
      <c r="B512" s="424">
        <v>44766</v>
      </c>
      <c r="C512" s="710">
        <v>0.89583333333333337</v>
      </c>
      <c r="D512" s="425">
        <v>50</v>
      </c>
      <c r="E512" s="426">
        <v>10.8</v>
      </c>
      <c r="F512" s="427">
        <v>15</v>
      </c>
      <c r="G512" s="428">
        <v>1165</v>
      </c>
      <c r="H512" s="428">
        <v>2007</v>
      </c>
      <c r="I512" s="428">
        <v>98.1</v>
      </c>
      <c r="J512" s="428">
        <v>113.3</v>
      </c>
      <c r="K512" s="436" t="s">
        <v>3388</v>
      </c>
      <c r="L512" s="426">
        <v>36.11</v>
      </c>
      <c r="M512" s="426">
        <v>40</v>
      </c>
      <c r="N512" s="426">
        <v>51.23</v>
      </c>
      <c r="O512" s="429" t="s">
        <v>142</v>
      </c>
      <c r="P512" s="429" t="s">
        <v>142</v>
      </c>
      <c r="Q512" s="314" t="s">
        <v>142</v>
      </c>
      <c r="R512" s="429" t="s">
        <v>1638</v>
      </c>
      <c r="S512" s="430" t="s">
        <v>3389</v>
      </c>
      <c r="T512" s="430" t="s">
        <v>23</v>
      </c>
      <c r="U512" s="813" t="s">
        <v>928</v>
      </c>
      <c r="V512" s="322"/>
      <c r="CM512" s="271"/>
      <c r="CN512" s="271"/>
      <c r="CO512" s="271"/>
      <c r="CP512" s="271"/>
      <c r="CQ512" s="271"/>
      <c r="CR512" s="271"/>
      <c r="CS512" s="271"/>
      <c r="CT512" s="271"/>
      <c r="CU512" s="271"/>
      <c r="CV512" s="271"/>
      <c r="CW512" s="271"/>
      <c r="CX512" s="271"/>
      <c r="CY512" s="271"/>
    </row>
    <row r="513" spans="2:103" s="273" customFormat="1" ht="21" x14ac:dyDescent="0.25">
      <c r="B513" s="424">
        <v>44767</v>
      </c>
      <c r="C513" s="710">
        <v>0.875</v>
      </c>
      <c r="D513" s="425">
        <v>50</v>
      </c>
      <c r="E513" s="426">
        <v>9.8000000000000007</v>
      </c>
      <c r="F513" s="427">
        <v>14.5</v>
      </c>
      <c r="G513" s="428">
        <v>1116</v>
      </c>
      <c r="H513" s="428">
        <v>1959</v>
      </c>
      <c r="I513" s="428">
        <v>98.8</v>
      </c>
      <c r="J513" s="428">
        <v>112.4</v>
      </c>
      <c r="K513" s="436" t="s">
        <v>3408</v>
      </c>
      <c r="L513" s="426">
        <v>34.79</v>
      </c>
      <c r="M513" s="426">
        <v>40</v>
      </c>
      <c r="N513" s="426">
        <v>49.31</v>
      </c>
      <c r="O513" s="429" t="s">
        <v>142</v>
      </c>
      <c r="P513" s="429" t="s">
        <v>142</v>
      </c>
      <c r="Q513" s="314" t="s">
        <v>142</v>
      </c>
      <c r="R513" s="429" t="s">
        <v>2818</v>
      </c>
      <c r="S513" s="430" t="s">
        <v>2645</v>
      </c>
      <c r="T513" s="430" t="s">
        <v>23</v>
      </c>
      <c r="U513" s="813" t="s">
        <v>928</v>
      </c>
      <c r="V513" s="322"/>
      <c r="CM513" s="271"/>
      <c r="CN513" s="271"/>
      <c r="CO513" s="271"/>
      <c r="CP513" s="271"/>
      <c r="CQ513" s="271"/>
      <c r="CR513" s="271"/>
      <c r="CS513" s="271"/>
      <c r="CT513" s="271"/>
      <c r="CU513" s="271"/>
      <c r="CV513" s="271"/>
      <c r="CW513" s="271"/>
      <c r="CX513" s="271"/>
      <c r="CY513" s="271"/>
    </row>
    <row r="514" spans="2:103" s="273" customFormat="1" ht="21" x14ac:dyDescent="0.25">
      <c r="B514" s="424">
        <v>44768</v>
      </c>
      <c r="C514" s="710">
        <v>0.875</v>
      </c>
      <c r="D514" s="425">
        <v>50</v>
      </c>
      <c r="E514" s="426">
        <v>9.8000000000000007</v>
      </c>
      <c r="F514" s="427">
        <v>14.5</v>
      </c>
      <c r="G514" s="428">
        <v>1116</v>
      </c>
      <c r="H514" s="428">
        <v>1959</v>
      </c>
      <c r="I514" s="428">
        <v>98.8</v>
      </c>
      <c r="J514" s="428">
        <v>112.4</v>
      </c>
      <c r="K514" s="436" t="s">
        <v>3408</v>
      </c>
      <c r="L514" s="426">
        <v>34.6</v>
      </c>
      <c r="M514" s="426">
        <v>40</v>
      </c>
      <c r="N514" s="426">
        <v>49.45</v>
      </c>
      <c r="O514" s="429" t="s">
        <v>142</v>
      </c>
      <c r="P514" s="429" t="s">
        <v>142</v>
      </c>
      <c r="Q514" s="314" t="s">
        <v>142</v>
      </c>
      <c r="R514" s="429" t="s">
        <v>2818</v>
      </c>
      <c r="S514" s="430" t="s">
        <v>2645</v>
      </c>
      <c r="T514" s="430" t="s">
        <v>23</v>
      </c>
      <c r="U514" s="813" t="s">
        <v>928</v>
      </c>
      <c r="V514" s="322"/>
      <c r="CM514" s="271"/>
      <c r="CN514" s="271"/>
      <c r="CO514" s="271"/>
      <c r="CP514" s="271"/>
      <c r="CQ514" s="271"/>
      <c r="CR514" s="271"/>
      <c r="CS514" s="271"/>
      <c r="CT514" s="271"/>
      <c r="CU514" s="271"/>
      <c r="CV514" s="271"/>
      <c r="CW514" s="271"/>
      <c r="CX514" s="271"/>
      <c r="CY514" s="271"/>
    </row>
    <row r="515" spans="2:103" s="273" customFormat="1" ht="21" x14ac:dyDescent="0.25">
      <c r="B515" s="424">
        <v>44769</v>
      </c>
      <c r="C515" s="710">
        <v>0.91666666666666663</v>
      </c>
      <c r="D515" s="425">
        <v>50</v>
      </c>
      <c r="E515" s="426">
        <v>10.6</v>
      </c>
      <c r="F515" s="427">
        <v>14.9</v>
      </c>
      <c r="G515" s="428">
        <v>1120</v>
      </c>
      <c r="H515" s="428">
        <v>1872</v>
      </c>
      <c r="I515" s="428">
        <v>98.8</v>
      </c>
      <c r="J515" s="428">
        <v>112.3</v>
      </c>
      <c r="K515" s="436" t="s">
        <v>3420</v>
      </c>
      <c r="L515" s="426">
        <v>35.74</v>
      </c>
      <c r="M515" s="426">
        <v>40</v>
      </c>
      <c r="N515" s="426">
        <v>52.98</v>
      </c>
      <c r="O515" s="429" t="s">
        <v>142</v>
      </c>
      <c r="P515" s="429" t="s">
        <v>142</v>
      </c>
      <c r="Q515" s="314" t="s">
        <v>142</v>
      </c>
      <c r="R515" s="429" t="s">
        <v>2019</v>
      </c>
      <c r="S515" s="430" t="s">
        <v>2377</v>
      </c>
      <c r="T515" s="430" t="s">
        <v>23</v>
      </c>
      <c r="U515" s="813" t="s">
        <v>928</v>
      </c>
      <c r="V515" s="322"/>
      <c r="CM515" s="271"/>
      <c r="CN515" s="271"/>
      <c r="CO515" s="271"/>
      <c r="CP515" s="271"/>
      <c r="CQ515" s="271"/>
      <c r="CR515" s="271"/>
      <c r="CS515" s="271"/>
      <c r="CT515" s="271"/>
      <c r="CU515" s="271"/>
      <c r="CV515" s="271"/>
      <c r="CW515" s="271"/>
      <c r="CX515" s="271"/>
      <c r="CY515" s="271"/>
    </row>
    <row r="516" spans="2:103" s="273" customFormat="1" ht="21" x14ac:dyDescent="0.25">
      <c r="B516" s="424">
        <v>44770</v>
      </c>
      <c r="C516" s="710">
        <v>0.91666666666666663</v>
      </c>
      <c r="D516" s="425">
        <v>50</v>
      </c>
      <c r="E516" s="426">
        <v>10.6</v>
      </c>
      <c r="F516" s="427">
        <v>15</v>
      </c>
      <c r="G516" s="428">
        <v>1109</v>
      </c>
      <c r="H516" s="428">
        <v>1906</v>
      </c>
      <c r="I516" s="428">
        <v>98.8</v>
      </c>
      <c r="J516" s="428">
        <v>112.2</v>
      </c>
      <c r="K516" s="436" t="s">
        <v>3433</v>
      </c>
      <c r="L516" s="426">
        <v>35.590000000000003</v>
      </c>
      <c r="M516" s="426">
        <v>40</v>
      </c>
      <c r="N516" s="426">
        <v>50.95</v>
      </c>
      <c r="O516" s="429" t="s">
        <v>142</v>
      </c>
      <c r="P516" s="429" t="s">
        <v>142</v>
      </c>
      <c r="Q516" s="314" t="s">
        <v>142</v>
      </c>
      <c r="R516" s="429" t="s">
        <v>3434</v>
      </c>
      <c r="S516" s="430" t="s">
        <v>3270</v>
      </c>
      <c r="T516" s="430" t="s">
        <v>23</v>
      </c>
      <c r="U516" s="813" t="s">
        <v>928</v>
      </c>
      <c r="V516" s="322"/>
      <c r="CM516" s="271"/>
      <c r="CN516" s="271"/>
      <c r="CO516" s="271"/>
      <c r="CP516" s="271"/>
      <c r="CQ516" s="271"/>
      <c r="CR516" s="271"/>
      <c r="CS516" s="271"/>
      <c r="CT516" s="271"/>
      <c r="CU516" s="271"/>
      <c r="CV516" s="271"/>
      <c r="CW516" s="271"/>
      <c r="CX516" s="271"/>
      <c r="CY516" s="271"/>
    </row>
    <row r="517" spans="2:103" s="273" customFormat="1" ht="21" x14ac:dyDescent="0.25">
      <c r="B517" s="424">
        <v>44771</v>
      </c>
      <c r="C517" s="710">
        <v>0.91666666666666663</v>
      </c>
      <c r="D517" s="425">
        <v>50</v>
      </c>
      <c r="E517" s="426">
        <v>8.3000000000000007</v>
      </c>
      <c r="F517" s="427">
        <v>13.6</v>
      </c>
      <c r="G517" s="428">
        <v>1144</v>
      </c>
      <c r="H517" s="428">
        <v>1992</v>
      </c>
      <c r="I517" s="428">
        <v>98.7</v>
      </c>
      <c r="J517" s="436">
        <v>114</v>
      </c>
      <c r="K517" s="436" t="s">
        <v>3443</v>
      </c>
      <c r="L517" s="426">
        <v>35.96</v>
      </c>
      <c r="M517" s="426">
        <v>40</v>
      </c>
      <c r="N517" s="426">
        <v>46.52</v>
      </c>
      <c r="O517" s="429" t="s">
        <v>142</v>
      </c>
      <c r="P517" s="429" t="s">
        <v>142</v>
      </c>
      <c r="Q517" s="314" t="s">
        <v>142</v>
      </c>
      <c r="R517" s="429" t="s">
        <v>3444</v>
      </c>
      <c r="S517" s="430" t="s">
        <v>3445</v>
      </c>
      <c r="T517" s="430" t="s">
        <v>23</v>
      </c>
      <c r="U517" s="813" t="s">
        <v>928</v>
      </c>
      <c r="V517" s="322"/>
      <c r="CM517" s="271"/>
      <c r="CN517" s="271"/>
      <c r="CO517" s="271"/>
      <c r="CP517" s="271"/>
      <c r="CQ517" s="271"/>
      <c r="CR517" s="271"/>
      <c r="CS517" s="271"/>
      <c r="CT517" s="271"/>
      <c r="CU517" s="271"/>
      <c r="CV517" s="271"/>
      <c r="CW517" s="271"/>
      <c r="CX517" s="271"/>
      <c r="CY517" s="271"/>
    </row>
    <row r="518" spans="2:103" s="273" customFormat="1" ht="21" x14ac:dyDescent="0.25">
      <c r="B518" s="424">
        <v>44772</v>
      </c>
      <c r="C518" s="710">
        <v>0.89583333333333337</v>
      </c>
      <c r="D518" s="425">
        <v>50</v>
      </c>
      <c r="E518" s="426">
        <v>10.199999999999999</v>
      </c>
      <c r="F518" s="427">
        <v>14.5</v>
      </c>
      <c r="G518" s="428">
        <v>1144</v>
      </c>
      <c r="H518" s="428">
        <v>1863</v>
      </c>
      <c r="I518" s="428">
        <v>98.5</v>
      </c>
      <c r="J518" s="436">
        <v>112</v>
      </c>
      <c r="K518" s="436" t="s">
        <v>3448</v>
      </c>
      <c r="L518" s="426">
        <v>35.96</v>
      </c>
      <c r="M518" s="426">
        <v>40</v>
      </c>
      <c r="N518" s="426">
        <v>46.52</v>
      </c>
      <c r="O518" s="429" t="s">
        <v>142</v>
      </c>
      <c r="P518" s="429" t="s">
        <v>142</v>
      </c>
      <c r="Q518" s="314" t="s">
        <v>142</v>
      </c>
      <c r="R518" s="429" t="s">
        <v>2686</v>
      </c>
      <c r="S518" s="430" t="s">
        <v>2645</v>
      </c>
      <c r="T518" s="430" t="s">
        <v>23</v>
      </c>
      <c r="U518" s="813" t="s">
        <v>928</v>
      </c>
      <c r="V518" s="322"/>
      <c r="CM518" s="271"/>
      <c r="CN518" s="271"/>
      <c r="CO518" s="271"/>
      <c r="CP518" s="271"/>
      <c r="CQ518" s="271"/>
      <c r="CR518" s="271"/>
      <c r="CS518" s="271"/>
      <c r="CT518" s="271"/>
      <c r="CU518" s="271"/>
      <c r="CV518" s="271"/>
      <c r="CW518" s="271"/>
      <c r="CX518" s="271"/>
      <c r="CY518" s="271"/>
    </row>
    <row r="519" spans="2:103" s="273" customFormat="1" ht="21" x14ac:dyDescent="0.25">
      <c r="B519" s="424">
        <v>44773</v>
      </c>
      <c r="C519" s="710">
        <v>0.85416666666666663</v>
      </c>
      <c r="D519" s="425">
        <v>50</v>
      </c>
      <c r="E519" s="426">
        <v>9.8000000000000007</v>
      </c>
      <c r="F519" s="427">
        <v>14.5</v>
      </c>
      <c r="G519" s="428">
        <v>1134</v>
      </c>
      <c r="H519" s="428">
        <v>2018</v>
      </c>
      <c r="I519" s="428">
        <v>99</v>
      </c>
      <c r="J519" s="436">
        <v>112.2</v>
      </c>
      <c r="K519" s="436" t="s">
        <v>3455</v>
      </c>
      <c r="L519" s="426">
        <v>35.96</v>
      </c>
      <c r="M519" s="426">
        <v>40</v>
      </c>
      <c r="N519" s="426">
        <v>46.52</v>
      </c>
      <c r="O519" s="429" t="s">
        <v>142</v>
      </c>
      <c r="P519" s="429" t="s">
        <v>142</v>
      </c>
      <c r="Q519" s="314" t="s">
        <v>142</v>
      </c>
      <c r="R519" s="429" t="s">
        <v>3456</v>
      </c>
      <c r="S519" s="430" t="s">
        <v>2645</v>
      </c>
      <c r="T519" s="430" t="s">
        <v>23</v>
      </c>
      <c r="U519" s="813" t="s">
        <v>928</v>
      </c>
      <c r="V519" s="322"/>
      <c r="CM519" s="271"/>
      <c r="CN519" s="271"/>
      <c r="CO519" s="271"/>
      <c r="CP519" s="271"/>
      <c r="CQ519" s="271"/>
      <c r="CR519" s="271"/>
      <c r="CS519" s="271"/>
      <c r="CT519" s="271"/>
      <c r="CU519" s="271"/>
      <c r="CV519" s="271"/>
      <c r="CW519" s="271"/>
      <c r="CX519" s="271"/>
      <c r="CY519" s="271"/>
    </row>
    <row r="520" spans="2:103" s="273" customFormat="1" ht="21" x14ac:dyDescent="0.25">
      <c r="B520" s="424">
        <v>44774</v>
      </c>
      <c r="C520" s="710">
        <v>0.92708333333333337</v>
      </c>
      <c r="D520" s="425">
        <v>50</v>
      </c>
      <c r="E520" s="426">
        <v>14.6</v>
      </c>
      <c r="F520" s="427">
        <v>17.899999999999999</v>
      </c>
      <c r="G520" s="428">
        <v>1277</v>
      </c>
      <c r="H520" s="428">
        <v>1891</v>
      </c>
      <c r="I520" s="428">
        <v>99</v>
      </c>
      <c r="J520" s="436">
        <v>110.5</v>
      </c>
      <c r="K520" s="436" t="s">
        <v>3464</v>
      </c>
      <c r="L520" s="426">
        <v>35.99</v>
      </c>
      <c r="M520" s="426">
        <v>40</v>
      </c>
      <c r="N520" s="426">
        <v>50</v>
      </c>
      <c r="O520" s="429" t="s">
        <v>142</v>
      </c>
      <c r="P520" s="429" t="s">
        <v>142</v>
      </c>
      <c r="Q520" s="314" t="s">
        <v>142</v>
      </c>
      <c r="R520" s="429" t="s">
        <v>3465</v>
      </c>
      <c r="S520" s="430" t="s">
        <v>2316</v>
      </c>
      <c r="T520" s="430" t="s">
        <v>23</v>
      </c>
      <c r="U520" s="813" t="s">
        <v>928</v>
      </c>
      <c r="V520" s="322" t="s">
        <v>3496</v>
      </c>
      <c r="CM520" s="271"/>
      <c r="CN520" s="271"/>
      <c r="CO520" s="271"/>
      <c r="CP520" s="271"/>
      <c r="CQ520" s="271"/>
      <c r="CR520" s="271"/>
      <c r="CS520" s="271"/>
      <c r="CT520" s="271"/>
      <c r="CU520" s="271"/>
      <c r="CV520" s="271"/>
      <c r="CW520" s="271"/>
      <c r="CX520" s="271"/>
      <c r="CY520" s="271"/>
    </row>
    <row r="521" spans="2:103" s="273" customFormat="1" ht="21" x14ac:dyDescent="0.25">
      <c r="B521" s="424">
        <v>44775</v>
      </c>
      <c r="C521" s="710">
        <v>0.91666666666666663</v>
      </c>
      <c r="D521" s="425">
        <v>52</v>
      </c>
      <c r="E521" s="426">
        <v>14.3</v>
      </c>
      <c r="F521" s="427">
        <v>17.899999999999999</v>
      </c>
      <c r="G521" s="428">
        <v>1237</v>
      </c>
      <c r="H521" s="428">
        <v>2083</v>
      </c>
      <c r="I521" s="428">
        <v>98.5</v>
      </c>
      <c r="J521" s="436">
        <v>115.3</v>
      </c>
      <c r="K521" s="436" t="s">
        <v>3482</v>
      </c>
      <c r="L521" s="426">
        <v>36.57</v>
      </c>
      <c r="M521" s="426">
        <v>40</v>
      </c>
      <c r="N521" s="426">
        <v>50.22</v>
      </c>
      <c r="O521" s="429" t="s">
        <v>142</v>
      </c>
      <c r="P521" s="429" t="s">
        <v>142</v>
      </c>
      <c r="Q521" s="314" t="s">
        <v>142</v>
      </c>
      <c r="R521" s="429" t="s">
        <v>3483</v>
      </c>
      <c r="S521" s="430" t="s">
        <v>2316</v>
      </c>
      <c r="T521" s="430" t="s">
        <v>23</v>
      </c>
      <c r="U521" s="813" t="s">
        <v>928</v>
      </c>
      <c r="V521" s="322" t="s">
        <v>3497</v>
      </c>
      <c r="CM521" s="271"/>
      <c r="CN521" s="271"/>
      <c r="CO521" s="271"/>
      <c r="CP521" s="271"/>
      <c r="CQ521" s="271"/>
      <c r="CR521" s="271"/>
      <c r="CS521" s="271"/>
      <c r="CT521" s="271"/>
      <c r="CU521" s="271"/>
      <c r="CV521" s="271"/>
      <c r="CW521" s="271"/>
      <c r="CX521" s="271"/>
      <c r="CY521" s="271"/>
    </row>
    <row r="522" spans="2:103" s="273" customFormat="1" ht="21" x14ac:dyDescent="0.25">
      <c r="B522" s="424">
        <v>44776</v>
      </c>
      <c r="C522" s="710">
        <v>0.91666666666666663</v>
      </c>
      <c r="D522" s="425">
        <v>54</v>
      </c>
      <c r="E522" s="426">
        <v>11.4</v>
      </c>
      <c r="F522" s="427">
        <v>15.5</v>
      </c>
      <c r="G522" s="428">
        <v>1211</v>
      </c>
      <c r="H522" s="428">
        <v>2021</v>
      </c>
      <c r="I522" s="428">
        <v>98</v>
      </c>
      <c r="J522" s="436">
        <v>120.7</v>
      </c>
      <c r="K522" s="436" t="s">
        <v>3485</v>
      </c>
      <c r="L522" s="426">
        <v>38.36</v>
      </c>
      <c r="M522" s="426">
        <v>40</v>
      </c>
      <c r="N522" s="426">
        <v>53.83</v>
      </c>
      <c r="O522" s="429" t="s">
        <v>142</v>
      </c>
      <c r="P522" s="429" t="s">
        <v>142</v>
      </c>
      <c r="Q522" s="314" t="s">
        <v>142</v>
      </c>
      <c r="R522" s="429" t="s">
        <v>3486</v>
      </c>
      <c r="S522" s="430" t="s">
        <v>2308</v>
      </c>
      <c r="T522" s="430" t="s">
        <v>23</v>
      </c>
      <c r="U522" s="813" t="s">
        <v>928</v>
      </c>
      <c r="V522" s="322" t="s">
        <v>415</v>
      </c>
      <c r="CM522" s="271"/>
      <c r="CN522" s="271"/>
      <c r="CO522" s="271"/>
      <c r="CP522" s="271"/>
      <c r="CQ522" s="271"/>
      <c r="CR522" s="271"/>
      <c r="CS522" s="271"/>
      <c r="CT522" s="271"/>
      <c r="CU522" s="271"/>
      <c r="CV522" s="271"/>
      <c r="CW522" s="271"/>
      <c r="CX522" s="271"/>
      <c r="CY522" s="271"/>
    </row>
    <row r="523" spans="2:103" s="273" customFormat="1" ht="21" x14ac:dyDescent="0.25">
      <c r="B523" s="424">
        <v>44777</v>
      </c>
      <c r="C523" s="710">
        <v>0.91666666666666663</v>
      </c>
      <c r="D523" s="425">
        <v>53</v>
      </c>
      <c r="E523" s="426">
        <v>11</v>
      </c>
      <c r="F523" s="427">
        <v>15.1</v>
      </c>
      <c r="G523" s="428">
        <v>1047</v>
      </c>
      <c r="H523" s="428">
        <v>1964</v>
      </c>
      <c r="I523" s="428">
        <v>99.1</v>
      </c>
      <c r="J523" s="436">
        <v>114.7</v>
      </c>
      <c r="K523" s="436" t="s">
        <v>3501</v>
      </c>
      <c r="L523" s="426">
        <v>36.68</v>
      </c>
      <c r="M523" s="426">
        <v>40</v>
      </c>
      <c r="N523" s="426">
        <v>50.84</v>
      </c>
      <c r="O523" s="429" t="s">
        <v>142</v>
      </c>
      <c r="P523" s="429" t="s">
        <v>142</v>
      </c>
      <c r="Q523" s="314" t="s">
        <v>142</v>
      </c>
      <c r="R523" s="429" t="s">
        <v>1029</v>
      </c>
      <c r="S523" s="430" t="s">
        <v>3502</v>
      </c>
      <c r="T523" s="430" t="s">
        <v>23</v>
      </c>
      <c r="U523" s="813" t="s">
        <v>928</v>
      </c>
      <c r="V523" s="322" t="s">
        <v>415</v>
      </c>
      <c r="CM523" s="271"/>
      <c r="CN523" s="271"/>
      <c r="CO523" s="271"/>
      <c r="CP523" s="271"/>
      <c r="CQ523" s="271"/>
      <c r="CR523" s="271"/>
      <c r="CS523" s="271"/>
      <c r="CT523" s="271"/>
      <c r="CU523" s="271"/>
      <c r="CV523" s="271"/>
      <c r="CW523" s="271"/>
      <c r="CX523" s="271"/>
      <c r="CY523" s="271"/>
    </row>
    <row r="524" spans="2:103" s="273" customFormat="1" ht="21" x14ac:dyDescent="0.25">
      <c r="B524" s="424">
        <v>44778</v>
      </c>
      <c r="C524" s="710"/>
      <c r="D524" s="1481" t="s">
        <v>3511</v>
      </c>
      <c r="E524" s="1482"/>
      <c r="F524" s="1482"/>
      <c r="G524" s="1482"/>
      <c r="H524" s="1482"/>
      <c r="I524" s="1482"/>
      <c r="J524" s="1482"/>
      <c r="K524" s="1482"/>
      <c r="L524" s="1482"/>
      <c r="M524" s="1482"/>
      <c r="N524" s="1482"/>
      <c r="O524" s="1482"/>
      <c r="P524" s="1482"/>
      <c r="Q524" s="1482"/>
      <c r="R524" s="1482"/>
      <c r="S524" s="1482"/>
      <c r="T524" s="1483"/>
      <c r="U524" s="813"/>
      <c r="V524" s="322"/>
      <c r="CM524" s="271"/>
      <c r="CN524" s="271"/>
      <c r="CO524" s="271"/>
      <c r="CP524" s="271"/>
      <c r="CQ524" s="271"/>
      <c r="CR524" s="271"/>
      <c r="CS524" s="271"/>
      <c r="CT524" s="271"/>
      <c r="CU524" s="271"/>
      <c r="CV524" s="271"/>
      <c r="CW524" s="271"/>
      <c r="CX524" s="271"/>
      <c r="CY524" s="271"/>
    </row>
    <row r="525" spans="2:103" s="273" customFormat="1" ht="21" x14ac:dyDescent="0.25">
      <c r="B525" s="424">
        <v>44779</v>
      </c>
      <c r="C525" s="710">
        <v>0.91666666666666663</v>
      </c>
      <c r="D525" s="425">
        <v>53</v>
      </c>
      <c r="E525" s="426">
        <v>10.5</v>
      </c>
      <c r="F525" s="427">
        <v>15.2</v>
      </c>
      <c r="G525" s="428">
        <v>1176</v>
      </c>
      <c r="H525" s="428">
        <v>1865</v>
      </c>
      <c r="I525" s="428">
        <v>97.1</v>
      </c>
      <c r="J525" s="436">
        <v>116.8</v>
      </c>
      <c r="K525" s="436" t="s">
        <v>3513</v>
      </c>
      <c r="L525" s="426">
        <v>36.85</v>
      </c>
      <c r="M525" s="426">
        <v>40</v>
      </c>
      <c r="N525" s="426">
        <v>48</v>
      </c>
      <c r="O525" s="429" t="s">
        <v>142</v>
      </c>
      <c r="P525" s="429" t="s">
        <v>142</v>
      </c>
      <c r="Q525" s="314" t="s">
        <v>142</v>
      </c>
      <c r="R525" s="429" t="s">
        <v>1029</v>
      </c>
      <c r="S525" s="430" t="s">
        <v>3073</v>
      </c>
      <c r="T525" s="430" t="s">
        <v>23</v>
      </c>
      <c r="U525" s="813" t="s">
        <v>928</v>
      </c>
      <c r="V525" s="322"/>
      <c r="CM525" s="271"/>
      <c r="CN525" s="271"/>
      <c r="CO525" s="271"/>
      <c r="CP525" s="271"/>
      <c r="CQ525" s="271"/>
      <c r="CR525" s="271"/>
      <c r="CS525" s="271"/>
      <c r="CT525" s="271"/>
      <c r="CU525" s="271"/>
      <c r="CV525" s="271"/>
      <c r="CW525" s="271"/>
      <c r="CX525" s="271"/>
      <c r="CY525" s="271"/>
    </row>
    <row r="526" spans="2:103" s="273" customFormat="1" ht="21" x14ac:dyDescent="0.25">
      <c r="B526" s="424">
        <v>44780</v>
      </c>
      <c r="C526" s="710">
        <v>0.91666666666666663</v>
      </c>
      <c r="D526" s="425">
        <v>52</v>
      </c>
      <c r="E526" s="426">
        <v>11.1</v>
      </c>
      <c r="F526" s="427">
        <v>15.3</v>
      </c>
      <c r="G526" s="428">
        <v>1074</v>
      </c>
      <c r="H526" s="428">
        <v>1799</v>
      </c>
      <c r="I526" s="428">
        <v>99</v>
      </c>
      <c r="J526" s="436">
        <v>113.7</v>
      </c>
      <c r="K526" s="436" t="s">
        <v>3519</v>
      </c>
      <c r="L526" s="426">
        <v>33.79</v>
      </c>
      <c r="M526" s="426">
        <v>40</v>
      </c>
      <c r="N526" s="426">
        <v>52.79</v>
      </c>
      <c r="O526" s="429" t="s">
        <v>142</v>
      </c>
      <c r="P526" s="429" t="s">
        <v>142</v>
      </c>
      <c r="Q526" s="314" t="s">
        <v>142</v>
      </c>
      <c r="R526" s="429" t="s">
        <v>789</v>
      </c>
      <c r="S526" s="430" t="s">
        <v>3073</v>
      </c>
      <c r="T526" s="430" t="s">
        <v>23</v>
      </c>
      <c r="U526" s="813" t="s">
        <v>928</v>
      </c>
      <c r="V526" s="322"/>
      <c r="CM526" s="271"/>
      <c r="CN526" s="271"/>
      <c r="CO526" s="271"/>
      <c r="CP526" s="271"/>
      <c r="CQ526" s="271"/>
      <c r="CR526" s="271"/>
      <c r="CS526" s="271"/>
      <c r="CT526" s="271"/>
      <c r="CU526" s="271"/>
      <c r="CV526" s="271"/>
      <c r="CW526" s="271"/>
      <c r="CX526" s="271"/>
      <c r="CY526" s="271"/>
    </row>
    <row r="527" spans="2:103" s="273" customFormat="1" ht="21" x14ac:dyDescent="0.25">
      <c r="B527" s="424">
        <v>44781</v>
      </c>
      <c r="C527" s="710">
        <v>0.91666666666666663</v>
      </c>
      <c r="D527" s="425">
        <v>52</v>
      </c>
      <c r="E527" s="426">
        <v>11.3</v>
      </c>
      <c r="F527" s="427">
        <v>15.2</v>
      </c>
      <c r="G527" s="428">
        <v>1038</v>
      </c>
      <c r="H527" s="428">
        <v>1932</v>
      </c>
      <c r="I527" s="428">
        <v>99.1</v>
      </c>
      <c r="J527" s="436">
        <v>113.7</v>
      </c>
      <c r="K527" s="436" t="s">
        <v>3537</v>
      </c>
      <c r="L527" s="426">
        <v>34.119999999999997</v>
      </c>
      <c r="M527" s="426">
        <v>40</v>
      </c>
      <c r="N527" s="426">
        <v>49.16</v>
      </c>
      <c r="O527" s="429" t="s">
        <v>142</v>
      </c>
      <c r="P527" s="429" t="s">
        <v>142</v>
      </c>
      <c r="Q527" s="314" t="s">
        <v>142</v>
      </c>
      <c r="R527" s="429" t="s">
        <v>1973</v>
      </c>
      <c r="S527" s="430" t="s">
        <v>3270</v>
      </c>
      <c r="T527" s="430" t="s">
        <v>23</v>
      </c>
      <c r="U527" s="813" t="s">
        <v>928</v>
      </c>
      <c r="V527" s="322"/>
      <c r="CM527" s="271"/>
      <c r="CN527" s="271"/>
      <c r="CO527" s="271"/>
      <c r="CP527" s="271"/>
      <c r="CQ527" s="271"/>
      <c r="CR527" s="271"/>
      <c r="CS527" s="271"/>
      <c r="CT527" s="271"/>
      <c r="CU527" s="271"/>
      <c r="CV527" s="271"/>
      <c r="CW527" s="271"/>
      <c r="CX527" s="271"/>
      <c r="CY527" s="271"/>
    </row>
    <row r="528" spans="2:103" ht="21" x14ac:dyDescent="0.25">
      <c r="B528" s="424">
        <v>44782</v>
      </c>
      <c r="C528" s="710">
        <v>0.97916666666666663</v>
      </c>
      <c r="D528" s="425">
        <v>52</v>
      </c>
      <c r="E528" s="426">
        <v>11.3</v>
      </c>
      <c r="F528" s="427">
        <v>17.8</v>
      </c>
      <c r="G528" s="428">
        <v>1245</v>
      </c>
      <c r="H528" s="428">
        <v>1903</v>
      </c>
      <c r="I528" s="428">
        <v>99</v>
      </c>
      <c r="J528" s="436">
        <v>110</v>
      </c>
      <c r="K528" s="436" t="s">
        <v>3540</v>
      </c>
      <c r="L528" s="426">
        <v>35</v>
      </c>
      <c r="M528" s="426">
        <v>40</v>
      </c>
      <c r="N528" s="426">
        <v>50</v>
      </c>
      <c r="O528" s="429" t="s">
        <v>142</v>
      </c>
      <c r="P528" s="429" t="s">
        <v>142</v>
      </c>
      <c r="Q528" s="314" t="s">
        <v>142</v>
      </c>
      <c r="R528" s="429" t="s">
        <v>2021</v>
      </c>
      <c r="S528" s="430" t="s">
        <v>3541</v>
      </c>
      <c r="T528" s="430" t="s">
        <v>23</v>
      </c>
      <c r="U528" s="813" t="s">
        <v>928</v>
      </c>
      <c r="V528" s="322"/>
    </row>
    <row r="529" spans="2:22" ht="21" x14ac:dyDescent="0.25">
      <c r="B529" s="424">
        <v>44783</v>
      </c>
      <c r="C529" s="710">
        <v>0.89583333333333337</v>
      </c>
      <c r="D529" s="425">
        <v>51.5</v>
      </c>
      <c r="E529" s="426">
        <v>10.9</v>
      </c>
      <c r="F529" s="427">
        <v>15</v>
      </c>
      <c r="G529" s="428">
        <v>1059</v>
      </c>
      <c r="H529" s="428">
        <v>2012</v>
      </c>
      <c r="I529" s="428">
        <v>98.6</v>
      </c>
      <c r="J529" s="436">
        <v>113.6</v>
      </c>
      <c r="K529" s="436" t="s">
        <v>3550</v>
      </c>
      <c r="L529" s="426">
        <v>35.54</v>
      </c>
      <c r="M529" s="426">
        <v>40</v>
      </c>
      <c r="N529" s="426">
        <v>47</v>
      </c>
      <c r="O529" s="429" t="s">
        <v>142</v>
      </c>
      <c r="P529" s="429" t="s">
        <v>142</v>
      </c>
      <c r="Q529" s="314" t="s">
        <v>142</v>
      </c>
      <c r="R529" s="429" t="s">
        <v>3551</v>
      </c>
      <c r="S529" s="430" t="s">
        <v>3270</v>
      </c>
      <c r="T529" s="430" t="s">
        <v>23</v>
      </c>
      <c r="U529" s="813" t="s">
        <v>928</v>
      </c>
      <c r="V529" s="322" t="s">
        <v>3549</v>
      </c>
    </row>
    <row r="530" spans="2:22" ht="21" x14ac:dyDescent="0.25">
      <c r="B530" s="424">
        <v>44784</v>
      </c>
      <c r="C530" s="710">
        <v>0.875</v>
      </c>
      <c r="D530" s="1481" t="s">
        <v>3562</v>
      </c>
      <c r="E530" s="1482"/>
      <c r="F530" s="1482"/>
      <c r="G530" s="1482"/>
      <c r="H530" s="1482"/>
      <c r="I530" s="1482"/>
      <c r="J530" s="1482"/>
      <c r="K530" s="1482"/>
      <c r="L530" s="1482"/>
      <c r="M530" s="1482"/>
      <c r="N530" s="1482"/>
      <c r="O530" s="1482"/>
      <c r="P530" s="1482"/>
      <c r="Q530" s="1482"/>
      <c r="R530" s="1482"/>
      <c r="S530" s="1483"/>
      <c r="T530" s="430" t="s">
        <v>23</v>
      </c>
      <c r="U530" s="813" t="s">
        <v>236</v>
      </c>
      <c r="V530" s="322"/>
    </row>
    <row r="531" spans="2:22" ht="21" x14ac:dyDescent="0.25">
      <c r="B531" s="424">
        <v>44785</v>
      </c>
      <c r="C531" s="710">
        <v>0.85416666666666663</v>
      </c>
      <c r="D531" s="425">
        <v>50</v>
      </c>
      <c r="E531" s="426">
        <v>10.199999999999999</v>
      </c>
      <c r="F531" s="427">
        <v>14.7</v>
      </c>
      <c r="G531" s="428">
        <v>1081</v>
      </c>
      <c r="H531" s="428">
        <v>1959</v>
      </c>
      <c r="I531" s="428">
        <v>99</v>
      </c>
      <c r="J531" s="436">
        <v>112.3</v>
      </c>
      <c r="K531" s="436" t="s">
        <v>3564</v>
      </c>
      <c r="L531" s="426">
        <v>34.46</v>
      </c>
      <c r="M531" s="426">
        <v>37</v>
      </c>
      <c r="N531" s="426">
        <v>48.5</v>
      </c>
      <c r="O531" s="429" t="s">
        <v>142</v>
      </c>
      <c r="P531" s="429" t="s">
        <v>142</v>
      </c>
      <c r="Q531" s="314" t="s">
        <v>142</v>
      </c>
      <c r="R531" s="429" t="s">
        <v>2738</v>
      </c>
      <c r="S531" s="430" t="s">
        <v>2681</v>
      </c>
      <c r="T531" s="430" t="s">
        <v>23</v>
      </c>
      <c r="U531" s="813" t="s">
        <v>236</v>
      </c>
      <c r="V531" s="322"/>
    </row>
    <row r="532" spans="2:22" ht="47.25" x14ac:dyDescent="0.25">
      <c r="B532" s="424">
        <v>44786</v>
      </c>
      <c r="C532" s="710">
        <v>0.875</v>
      </c>
      <c r="D532" s="425">
        <v>50</v>
      </c>
      <c r="E532" s="426">
        <v>12.7</v>
      </c>
      <c r="F532" s="427">
        <v>16.399999999999999</v>
      </c>
      <c r="G532" s="428">
        <v>1146</v>
      </c>
      <c r="H532" s="428">
        <v>1975</v>
      </c>
      <c r="I532" s="428">
        <v>97.8</v>
      </c>
      <c r="J532" s="436">
        <v>114.7</v>
      </c>
      <c r="K532" s="436" t="s">
        <v>3568</v>
      </c>
      <c r="L532" s="426">
        <v>33.770000000000003</v>
      </c>
      <c r="M532" s="426">
        <v>37</v>
      </c>
      <c r="N532" s="426">
        <v>54.7</v>
      </c>
      <c r="O532" s="429" t="s">
        <v>142</v>
      </c>
      <c r="P532" s="429" t="s">
        <v>142</v>
      </c>
      <c r="Q532" s="314" t="s">
        <v>142</v>
      </c>
      <c r="R532" s="429" t="s">
        <v>757</v>
      </c>
      <c r="S532" s="430" t="s">
        <v>2890</v>
      </c>
      <c r="T532" s="430" t="s">
        <v>23</v>
      </c>
      <c r="U532" s="813" t="s">
        <v>236</v>
      </c>
      <c r="V532" s="724" t="s">
        <v>3570</v>
      </c>
    </row>
    <row r="533" spans="2:22" ht="21" x14ac:dyDescent="0.25">
      <c r="B533" s="424">
        <v>44787</v>
      </c>
      <c r="C533" s="710">
        <v>0.875</v>
      </c>
      <c r="D533" s="425">
        <v>50</v>
      </c>
      <c r="E533" s="426">
        <v>7.8</v>
      </c>
      <c r="F533" s="427">
        <v>12.9</v>
      </c>
      <c r="G533" s="428">
        <v>1190</v>
      </c>
      <c r="H533" s="428">
        <v>1987</v>
      </c>
      <c r="I533" s="428">
        <v>96.8</v>
      </c>
      <c r="J533" s="436">
        <v>118.7</v>
      </c>
      <c r="K533" s="436" t="s">
        <v>3578</v>
      </c>
      <c r="L533" s="426">
        <v>35.07</v>
      </c>
      <c r="M533" s="426">
        <v>36.5</v>
      </c>
      <c r="N533" s="426">
        <v>39.869999999999997</v>
      </c>
      <c r="O533" s="429" t="s">
        <v>142</v>
      </c>
      <c r="P533" s="429" t="s">
        <v>142</v>
      </c>
      <c r="Q533" s="314" t="s">
        <v>142</v>
      </c>
      <c r="R533" s="429" t="s">
        <v>3579</v>
      </c>
      <c r="S533" s="430" t="s">
        <v>3580</v>
      </c>
      <c r="T533" s="430" t="s">
        <v>23</v>
      </c>
      <c r="U533" s="813" t="s">
        <v>236</v>
      </c>
      <c r="V533" s="322"/>
    </row>
    <row r="534" spans="2:22" ht="21" x14ac:dyDescent="0.25">
      <c r="B534" s="424">
        <v>44788</v>
      </c>
      <c r="C534" s="710">
        <v>0.83333333333333337</v>
      </c>
      <c r="D534" s="425">
        <v>50</v>
      </c>
      <c r="E534" s="426">
        <v>10.3</v>
      </c>
      <c r="F534" s="427">
        <v>14.6</v>
      </c>
      <c r="G534" s="428">
        <v>1109</v>
      </c>
      <c r="H534" s="428">
        <v>1885</v>
      </c>
      <c r="I534" s="428">
        <v>98.7</v>
      </c>
      <c r="J534" s="436">
        <v>112.5</v>
      </c>
      <c r="K534" s="436" t="s">
        <v>3583</v>
      </c>
      <c r="L534" s="426">
        <v>34.729999999999997</v>
      </c>
      <c r="M534" s="426">
        <v>37.5</v>
      </c>
      <c r="N534" s="426">
        <v>51.49</v>
      </c>
      <c r="O534" s="429" t="s">
        <v>142</v>
      </c>
      <c r="P534" s="429" t="s">
        <v>142</v>
      </c>
      <c r="Q534" s="314" t="s">
        <v>142</v>
      </c>
      <c r="R534" s="429" t="s">
        <v>2686</v>
      </c>
      <c r="S534" s="430" t="s">
        <v>2508</v>
      </c>
      <c r="T534" s="430" t="s">
        <v>23</v>
      </c>
      <c r="U534" s="813" t="s">
        <v>236</v>
      </c>
      <c r="V534" s="322"/>
    </row>
    <row r="535" spans="2:22" ht="21" x14ac:dyDescent="0.25">
      <c r="B535" s="424">
        <v>44789</v>
      </c>
      <c r="C535" s="710">
        <v>0.9375</v>
      </c>
      <c r="D535" s="1481" t="s">
        <v>3591</v>
      </c>
      <c r="E535" s="1482"/>
      <c r="F535" s="1482"/>
      <c r="G535" s="1482"/>
      <c r="H535" s="1482"/>
      <c r="I535" s="1482"/>
      <c r="J535" s="1482"/>
      <c r="K535" s="1482"/>
      <c r="L535" s="1482"/>
      <c r="M535" s="1482"/>
      <c r="N535" s="1482"/>
      <c r="O535" s="1482"/>
      <c r="P535" s="1482"/>
      <c r="Q535" s="1482"/>
      <c r="R535" s="1482"/>
      <c r="S535" s="1483"/>
      <c r="T535" s="430" t="s">
        <v>23</v>
      </c>
      <c r="U535" s="813" t="s">
        <v>236</v>
      </c>
      <c r="V535" s="322"/>
    </row>
    <row r="536" spans="2:22" ht="21" x14ac:dyDescent="0.25">
      <c r="B536" s="424">
        <v>44790</v>
      </c>
      <c r="C536" s="710">
        <v>0.89583333333333337</v>
      </c>
      <c r="D536" s="425">
        <v>50</v>
      </c>
      <c r="E536" s="426">
        <v>10</v>
      </c>
      <c r="F536" s="427">
        <v>14.5</v>
      </c>
      <c r="G536" s="428">
        <v>1084</v>
      </c>
      <c r="H536" s="428">
        <v>1847</v>
      </c>
      <c r="I536" s="428">
        <v>98.8</v>
      </c>
      <c r="J536" s="436">
        <v>112.5</v>
      </c>
      <c r="K536" s="436" t="s">
        <v>3593</v>
      </c>
      <c r="L536" s="426">
        <v>35.07</v>
      </c>
      <c r="M536" s="426">
        <v>38</v>
      </c>
      <c r="N536" s="426">
        <v>51.38</v>
      </c>
      <c r="O536" s="429" t="s">
        <v>142</v>
      </c>
      <c r="P536" s="429" t="s">
        <v>142</v>
      </c>
      <c r="Q536" s="314" t="s">
        <v>142</v>
      </c>
      <c r="R536" s="429" t="s">
        <v>3594</v>
      </c>
      <c r="S536" s="430" t="s">
        <v>2297</v>
      </c>
      <c r="T536" s="430" t="s">
        <v>23</v>
      </c>
      <c r="U536" s="813" t="s">
        <v>236</v>
      </c>
      <c r="V536" s="322"/>
    </row>
    <row r="537" spans="2:22" ht="21" x14ac:dyDescent="0.25">
      <c r="B537" s="424">
        <v>44791</v>
      </c>
      <c r="C537" s="710">
        <v>3.125E-2</v>
      </c>
      <c r="D537" s="425">
        <v>50</v>
      </c>
      <c r="E537" s="426">
        <v>12.8</v>
      </c>
      <c r="F537" s="427">
        <v>16.399999999999999</v>
      </c>
      <c r="G537" s="428">
        <v>1291</v>
      </c>
      <c r="H537" s="428">
        <v>1659</v>
      </c>
      <c r="I537" s="428">
        <v>96.45</v>
      </c>
      <c r="J537" s="436">
        <v>107</v>
      </c>
      <c r="K537" s="436" t="s">
        <v>3608</v>
      </c>
      <c r="L537" s="426">
        <v>32.369999999999997</v>
      </c>
      <c r="M537" s="426">
        <v>36.5</v>
      </c>
      <c r="N537" s="426">
        <v>38.200000000000003</v>
      </c>
      <c r="O537" s="429" t="s">
        <v>142</v>
      </c>
      <c r="P537" s="429" t="s">
        <v>142</v>
      </c>
      <c r="Q537" s="314" t="s">
        <v>142</v>
      </c>
      <c r="R537" s="429" t="s">
        <v>3015</v>
      </c>
      <c r="S537" s="430" t="s">
        <v>2890</v>
      </c>
      <c r="T537" s="430" t="s">
        <v>23</v>
      </c>
      <c r="U537" s="813" t="s">
        <v>236</v>
      </c>
      <c r="V537" s="322"/>
    </row>
    <row r="538" spans="2:22" ht="21" x14ac:dyDescent="0.25">
      <c r="B538" s="424">
        <v>44792</v>
      </c>
      <c r="C538" s="710">
        <v>0.91666666666666663</v>
      </c>
      <c r="D538" s="425">
        <v>50</v>
      </c>
      <c r="E538" s="426">
        <v>9.8000000000000007</v>
      </c>
      <c r="F538" s="427">
        <v>14.2</v>
      </c>
      <c r="G538" s="428">
        <v>1082</v>
      </c>
      <c r="H538" s="428">
        <v>1906</v>
      </c>
      <c r="I538" s="428">
        <v>99</v>
      </c>
      <c r="J538" s="436">
        <v>112.1</v>
      </c>
      <c r="K538" s="436" t="s">
        <v>3614</v>
      </c>
      <c r="L538" s="426">
        <v>34.11</v>
      </c>
      <c r="M538" s="426">
        <v>37.5</v>
      </c>
      <c r="N538" s="426">
        <v>49.85</v>
      </c>
      <c r="O538" s="429" t="s">
        <v>142</v>
      </c>
      <c r="P538" s="429" t="s">
        <v>142</v>
      </c>
      <c r="Q538" s="314" t="s">
        <v>142</v>
      </c>
      <c r="R538" s="429" t="s">
        <v>2750</v>
      </c>
      <c r="S538" s="430" t="s">
        <v>2727</v>
      </c>
      <c r="T538" s="430" t="s">
        <v>23</v>
      </c>
      <c r="U538" s="813" t="s">
        <v>236</v>
      </c>
      <c r="V538" s="322"/>
    </row>
    <row r="539" spans="2:22" ht="21" x14ac:dyDescent="0.25">
      <c r="B539" s="424">
        <v>44793</v>
      </c>
      <c r="C539" s="710">
        <v>0.91666666666666663</v>
      </c>
      <c r="D539" s="1481" t="s">
        <v>3626</v>
      </c>
      <c r="E539" s="1482"/>
      <c r="F539" s="1482"/>
      <c r="G539" s="1482"/>
      <c r="H539" s="1482"/>
      <c r="I539" s="1482"/>
      <c r="J539" s="1482"/>
      <c r="K539" s="1482"/>
      <c r="L539" s="1482"/>
      <c r="M539" s="1482"/>
      <c r="N539" s="1482"/>
      <c r="O539" s="1482"/>
      <c r="P539" s="1482"/>
      <c r="Q539" s="1482"/>
      <c r="R539" s="1482"/>
      <c r="S539" s="1483"/>
      <c r="T539" s="430" t="s">
        <v>23</v>
      </c>
      <c r="U539" s="813" t="s">
        <v>236</v>
      </c>
      <c r="V539" s="322"/>
    </row>
    <row r="540" spans="2:22" ht="21" x14ac:dyDescent="0.25">
      <c r="B540" s="424">
        <v>44794</v>
      </c>
      <c r="C540" s="710">
        <v>0.9375</v>
      </c>
      <c r="D540" s="425">
        <v>50</v>
      </c>
      <c r="E540" s="426">
        <v>13.6</v>
      </c>
      <c r="F540" s="427">
        <v>17.2</v>
      </c>
      <c r="G540" s="428">
        <v>1232</v>
      </c>
      <c r="H540" s="428">
        <v>1905</v>
      </c>
      <c r="I540" s="428">
        <v>96.4</v>
      </c>
      <c r="J540" s="436">
        <v>115.5</v>
      </c>
      <c r="K540" s="436" t="s">
        <v>3621</v>
      </c>
      <c r="L540" s="426">
        <v>33.42</v>
      </c>
      <c r="M540" s="426">
        <v>38</v>
      </c>
      <c r="N540" s="426">
        <v>52.79</v>
      </c>
      <c r="O540" s="429" t="s">
        <v>142</v>
      </c>
      <c r="P540" s="429" t="s">
        <v>142</v>
      </c>
      <c r="Q540" s="314" t="s">
        <v>142</v>
      </c>
      <c r="R540" s="429" t="s">
        <v>3622</v>
      </c>
      <c r="S540" s="430" t="s">
        <v>2559</v>
      </c>
      <c r="T540" s="430" t="s">
        <v>23</v>
      </c>
      <c r="U540" s="813" t="s">
        <v>236</v>
      </c>
      <c r="V540" s="322"/>
    </row>
    <row r="541" spans="2:22" ht="21" x14ac:dyDescent="0.25">
      <c r="B541" s="424">
        <v>44795</v>
      </c>
      <c r="C541" s="710">
        <v>0.9375</v>
      </c>
      <c r="D541" s="425">
        <v>50</v>
      </c>
      <c r="E541" s="426">
        <v>8.6999999999999993</v>
      </c>
      <c r="F541" s="427">
        <v>13.6</v>
      </c>
      <c r="G541" s="428">
        <v>1116</v>
      </c>
      <c r="H541" s="428">
        <v>2037</v>
      </c>
      <c r="I541" s="428">
        <v>98.2</v>
      </c>
      <c r="J541" s="436">
        <v>114.5</v>
      </c>
      <c r="K541" s="436" t="s">
        <v>3627</v>
      </c>
      <c r="L541" s="426">
        <v>35.75</v>
      </c>
      <c r="M541" s="426">
        <v>38.5</v>
      </c>
      <c r="N541" s="426">
        <v>47.7</v>
      </c>
      <c r="O541" s="429" t="s">
        <v>142</v>
      </c>
      <c r="P541" s="429" t="s">
        <v>142</v>
      </c>
      <c r="Q541" s="314" t="s">
        <v>142</v>
      </c>
      <c r="R541" s="429" t="s">
        <v>3628</v>
      </c>
      <c r="S541" s="430" t="s">
        <v>3629</v>
      </c>
      <c r="T541" s="430" t="s">
        <v>23</v>
      </c>
      <c r="U541" s="813" t="s">
        <v>236</v>
      </c>
      <c r="V541" s="322"/>
    </row>
    <row r="542" spans="2:22" ht="21" x14ac:dyDescent="0.25">
      <c r="B542" s="424">
        <v>44796</v>
      </c>
      <c r="C542" s="710">
        <v>0.9375</v>
      </c>
      <c r="D542" s="425">
        <v>49</v>
      </c>
      <c r="E542" s="426">
        <v>12.1</v>
      </c>
      <c r="F542" s="427">
        <v>15.9</v>
      </c>
      <c r="G542" s="428">
        <v>1207</v>
      </c>
      <c r="H542" s="428">
        <v>1984</v>
      </c>
      <c r="I542" s="428">
        <v>97.3</v>
      </c>
      <c r="J542" s="436">
        <v>112.8</v>
      </c>
      <c r="K542" s="436" t="s">
        <v>3636</v>
      </c>
      <c r="L542" s="426">
        <v>33.46</v>
      </c>
      <c r="M542" s="426">
        <v>38</v>
      </c>
      <c r="N542" s="426">
        <v>53.21</v>
      </c>
      <c r="O542" s="429" t="s">
        <v>142</v>
      </c>
      <c r="P542" s="429" t="s">
        <v>142</v>
      </c>
      <c r="Q542" s="314" t="s">
        <v>142</v>
      </c>
      <c r="R542" s="429" t="s">
        <v>981</v>
      </c>
      <c r="S542" s="430" t="s">
        <v>2256</v>
      </c>
      <c r="T542" s="430" t="s">
        <v>23</v>
      </c>
      <c r="U542" s="813" t="s">
        <v>236</v>
      </c>
      <c r="V542" s="322"/>
    </row>
    <row r="543" spans="2:22" ht="67.5" customHeight="1" x14ac:dyDescent="0.25">
      <c r="B543" s="424">
        <v>44797</v>
      </c>
      <c r="C543" s="710">
        <v>0.95833333333333337</v>
      </c>
      <c r="D543" s="1516" t="s">
        <v>3647</v>
      </c>
      <c r="E543" s="1517"/>
      <c r="F543" s="1517"/>
      <c r="G543" s="1517"/>
      <c r="H543" s="1517"/>
      <c r="I543" s="1517"/>
      <c r="J543" s="1517"/>
      <c r="K543" s="1517"/>
      <c r="L543" s="1517"/>
      <c r="M543" s="1517"/>
      <c r="N543" s="1517"/>
      <c r="O543" s="1517"/>
      <c r="P543" s="1517"/>
      <c r="Q543" s="1517"/>
      <c r="R543" s="1517"/>
      <c r="S543" s="1518"/>
      <c r="T543" s="430" t="s">
        <v>23</v>
      </c>
      <c r="U543" s="813" t="s">
        <v>236</v>
      </c>
      <c r="V543" s="322"/>
    </row>
    <row r="544" spans="2:22" ht="21" x14ac:dyDescent="0.25">
      <c r="B544" s="424">
        <v>44798</v>
      </c>
      <c r="C544" s="710">
        <v>0.9375</v>
      </c>
      <c r="D544" s="425">
        <v>49</v>
      </c>
      <c r="E544" s="426">
        <v>10.5</v>
      </c>
      <c r="F544" s="427">
        <v>14.7</v>
      </c>
      <c r="G544" s="428">
        <v>1161</v>
      </c>
      <c r="H544" s="428">
        <v>1808</v>
      </c>
      <c r="I544" s="428">
        <v>98.2</v>
      </c>
      <c r="J544" s="436">
        <v>111.3</v>
      </c>
      <c r="K544" s="436" t="s">
        <v>3649</v>
      </c>
      <c r="L544" s="426">
        <v>34.11</v>
      </c>
      <c r="M544" s="426">
        <v>37.5</v>
      </c>
      <c r="N544" s="426">
        <v>52.6</v>
      </c>
      <c r="O544" s="429" t="s">
        <v>142</v>
      </c>
      <c r="P544" s="429" t="s">
        <v>142</v>
      </c>
      <c r="Q544" s="314" t="s">
        <v>142</v>
      </c>
      <c r="R544" s="429" t="s">
        <v>2658</v>
      </c>
      <c r="S544" s="430" t="s">
        <v>2681</v>
      </c>
      <c r="T544" s="430" t="s">
        <v>23</v>
      </c>
      <c r="U544" s="813" t="s">
        <v>236</v>
      </c>
      <c r="V544" s="322"/>
    </row>
    <row r="545" spans="2:22" ht="21" x14ac:dyDescent="0.25">
      <c r="B545" s="424">
        <v>44799</v>
      </c>
      <c r="C545" s="710">
        <v>0.91666666666666663</v>
      </c>
      <c r="D545" s="1481" t="s">
        <v>3658</v>
      </c>
      <c r="E545" s="1482"/>
      <c r="F545" s="1482"/>
      <c r="G545" s="1482"/>
      <c r="H545" s="1482"/>
      <c r="I545" s="1482"/>
      <c r="J545" s="1482"/>
      <c r="K545" s="1482"/>
      <c r="L545" s="1482"/>
      <c r="M545" s="1482"/>
      <c r="N545" s="1482"/>
      <c r="O545" s="1482"/>
      <c r="P545" s="1482"/>
      <c r="Q545" s="1482"/>
      <c r="R545" s="1482"/>
      <c r="S545" s="1483"/>
      <c r="T545" s="430" t="s">
        <v>23</v>
      </c>
      <c r="U545" s="813" t="s">
        <v>236</v>
      </c>
      <c r="V545" s="322"/>
    </row>
    <row r="546" spans="2:22" ht="21" x14ac:dyDescent="0.25">
      <c r="B546" s="424">
        <v>44800</v>
      </c>
      <c r="C546" s="710">
        <v>0.9375</v>
      </c>
      <c r="D546" s="425">
        <v>49</v>
      </c>
      <c r="E546" s="426">
        <v>10.4</v>
      </c>
      <c r="F546" s="427">
        <v>14.8</v>
      </c>
      <c r="G546" s="428">
        <v>1132</v>
      </c>
      <c r="H546" s="428">
        <v>1856</v>
      </c>
      <c r="I546" s="428">
        <v>98.6</v>
      </c>
      <c r="J546" s="436">
        <v>111.1</v>
      </c>
      <c r="K546" s="436" t="s">
        <v>3660</v>
      </c>
      <c r="L546" s="426">
        <v>35.54</v>
      </c>
      <c r="M546" s="426">
        <v>39</v>
      </c>
      <c r="N546" s="426">
        <v>52.41</v>
      </c>
      <c r="O546" s="429" t="s">
        <v>142</v>
      </c>
      <c r="P546" s="429" t="s">
        <v>142</v>
      </c>
      <c r="Q546" s="314" t="s">
        <v>142</v>
      </c>
      <c r="R546" s="429" t="s">
        <v>3661</v>
      </c>
      <c r="S546" s="430" t="s">
        <v>2645</v>
      </c>
      <c r="T546" s="430" t="s">
        <v>23</v>
      </c>
      <c r="U546" s="813" t="s">
        <v>236</v>
      </c>
      <c r="V546" s="322"/>
    </row>
    <row r="547" spans="2:22" ht="21" x14ac:dyDescent="0.25">
      <c r="B547" s="424">
        <v>44801</v>
      </c>
      <c r="C547" s="710">
        <v>0.91666666666666663</v>
      </c>
      <c r="D547" s="1481" t="s">
        <v>3672</v>
      </c>
      <c r="E547" s="1482"/>
      <c r="F547" s="1482"/>
      <c r="G547" s="1482"/>
      <c r="H547" s="1482"/>
      <c r="I547" s="1482"/>
      <c r="J547" s="1482"/>
      <c r="K547" s="1482"/>
      <c r="L547" s="1482"/>
      <c r="M547" s="1482"/>
      <c r="N547" s="1482"/>
      <c r="O547" s="1482"/>
      <c r="P547" s="1482"/>
      <c r="Q547" s="1482"/>
      <c r="R547" s="1482"/>
      <c r="S547" s="1483"/>
      <c r="T547" s="430" t="s">
        <v>23</v>
      </c>
      <c r="U547" s="813" t="s">
        <v>236</v>
      </c>
      <c r="V547" s="322"/>
    </row>
    <row r="548" spans="2:22" ht="21" x14ac:dyDescent="0.25">
      <c r="B548" s="424">
        <v>44802</v>
      </c>
      <c r="C548" s="710">
        <v>0.89583333333333337</v>
      </c>
      <c r="D548" s="1481"/>
      <c r="E548" s="1482"/>
      <c r="F548" s="1482"/>
      <c r="G548" s="1482"/>
      <c r="H548" s="1482"/>
      <c r="I548" s="1482"/>
      <c r="J548" s="1482"/>
      <c r="K548" s="1482"/>
      <c r="L548" s="1482"/>
      <c r="M548" s="1482"/>
      <c r="N548" s="1482"/>
      <c r="O548" s="1482"/>
      <c r="P548" s="1482"/>
      <c r="Q548" s="1482"/>
      <c r="R548" s="1482"/>
      <c r="S548" s="1483"/>
      <c r="T548" s="430" t="s">
        <v>23</v>
      </c>
      <c r="U548" s="813" t="s">
        <v>236</v>
      </c>
      <c r="V548" s="322"/>
    </row>
    <row r="549" spans="2:22" ht="21" x14ac:dyDescent="0.25">
      <c r="B549" s="424">
        <v>44803</v>
      </c>
      <c r="C549" s="710">
        <v>0.91666666666666663</v>
      </c>
      <c r="D549" s="425">
        <v>50</v>
      </c>
      <c r="E549" s="426">
        <v>10.4</v>
      </c>
      <c r="F549" s="427">
        <v>14.5</v>
      </c>
      <c r="G549" s="428">
        <v>1164</v>
      </c>
      <c r="H549" s="428">
        <v>1987</v>
      </c>
      <c r="I549" s="428">
        <v>98.6</v>
      </c>
      <c r="J549" s="436">
        <v>112</v>
      </c>
      <c r="K549" s="436" t="s">
        <v>3680</v>
      </c>
      <c r="L549" s="426">
        <v>39.47</v>
      </c>
      <c r="M549" s="426">
        <v>43</v>
      </c>
      <c r="N549" s="426">
        <v>49.83</v>
      </c>
      <c r="O549" s="429" t="s">
        <v>142</v>
      </c>
      <c r="P549" s="429" t="s">
        <v>142</v>
      </c>
      <c r="Q549" s="314" t="s">
        <v>142</v>
      </c>
      <c r="R549" s="429" t="s">
        <v>2507</v>
      </c>
      <c r="S549" s="430" t="s">
        <v>2645</v>
      </c>
      <c r="T549" s="430" t="s">
        <v>23</v>
      </c>
      <c r="U549" s="813" t="s">
        <v>236</v>
      </c>
      <c r="V549" s="322"/>
    </row>
    <row r="550" spans="2:22" ht="21" x14ac:dyDescent="0.25">
      <c r="B550" s="424">
        <v>44804</v>
      </c>
      <c r="C550" s="710">
        <v>0.91666666666666663</v>
      </c>
      <c r="D550" s="425">
        <v>50</v>
      </c>
      <c r="E550" s="426">
        <v>7.2</v>
      </c>
      <c r="F550" s="427">
        <v>12.9</v>
      </c>
      <c r="G550" s="428">
        <v>1178</v>
      </c>
      <c r="H550" s="428">
        <v>1961</v>
      </c>
      <c r="I550" s="428">
        <v>97.8</v>
      </c>
      <c r="J550" s="436">
        <v>117.1</v>
      </c>
      <c r="K550" s="436" t="s">
        <v>3689</v>
      </c>
      <c r="L550" s="426">
        <v>36.54</v>
      </c>
      <c r="M550" s="426">
        <v>38.5</v>
      </c>
      <c r="N550" s="426">
        <v>46.76</v>
      </c>
      <c r="O550" s="429" t="s">
        <v>142</v>
      </c>
      <c r="P550" s="429" t="s">
        <v>142</v>
      </c>
      <c r="Q550" s="314" t="s">
        <v>142</v>
      </c>
      <c r="R550" s="429" t="s">
        <v>3690</v>
      </c>
      <c r="S550" s="430" t="s">
        <v>3580</v>
      </c>
      <c r="T550" s="430" t="s">
        <v>23</v>
      </c>
      <c r="U550" s="813" t="s">
        <v>236</v>
      </c>
      <c r="V550" s="322" t="s">
        <v>3691</v>
      </c>
    </row>
    <row r="551" spans="2:22" ht="21" x14ac:dyDescent="0.25">
      <c r="B551" s="424">
        <v>44805</v>
      </c>
      <c r="C551" s="710">
        <v>0.91666666666666663</v>
      </c>
      <c r="D551" s="425">
        <v>50</v>
      </c>
      <c r="E551" s="426">
        <v>10.1</v>
      </c>
      <c r="F551" s="427">
        <v>14.4</v>
      </c>
      <c r="G551" s="428">
        <v>1107</v>
      </c>
      <c r="H551" s="428">
        <v>1847</v>
      </c>
      <c r="I551" s="428">
        <v>98.8</v>
      </c>
      <c r="J551" s="436">
        <v>112.2</v>
      </c>
      <c r="K551" s="436" t="s">
        <v>3703</v>
      </c>
      <c r="L551" s="426">
        <v>34.67</v>
      </c>
      <c r="M551" s="426">
        <v>37.5</v>
      </c>
      <c r="N551" s="426">
        <v>52.33</v>
      </c>
      <c r="O551" s="429" t="s">
        <v>142</v>
      </c>
      <c r="P551" s="429" t="s">
        <v>142</v>
      </c>
      <c r="Q551" s="314" t="s">
        <v>142</v>
      </c>
      <c r="R551" s="429" t="s">
        <v>3704</v>
      </c>
      <c r="S551" s="430" t="s">
        <v>2681</v>
      </c>
      <c r="T551" s="430" t="s">
        <v>23</v>
      </c>
      <c r="U551" s="813" t="s">
        <v>236</v>
      </c>
      <c r="V551" s="322"/>
    </row>
    <row r="552" spans="2:22" ht="21" x14ac:dyDescent="0.25">
      <c r="B552" s="424">
        <v>44806</v>
      </c>
      <c r="C552" s="710">
        <v>0.91666666666666663</v>
      </c>
      <c r="D552" s="1481" t="s">
        <v>3711</v>
      </c>
      <c r="E552" s="1482"/>
      <c r="F552" s="1482"/>
      <c r="G552" s="1482"/>
      <c r="H552" s="1482"/>
      <c r="I552" s="1482"/>
      <c r="J552" s="1482"/>
      <c r="K552" s="1482"/>
      <c r="L552" s="1482"/>
      <c r="M552" s="1482"/>
      <c r="N552" s="1482"/>
      <c r="O552" s="1482"/>
      <c r="P552" s="1482"/>
      <c r="Q552" s="1482"/>
      <c r="R552" s="1482"/>
      <c r="S552" s="1483"/>
      <c r="T552" s="430" t="s">
        <v>23</v>
      </c>
      <c r="U552" s="813" t="s">
        <v>236</v>
      </c>
      <c r="V552" s="322"/>
    </row>
    <row r="553" spans="2:22" ht="21" x14ac:dyDescent="0.25">
      <c r="B553" s="424">
        <v>44807</v>
      </c>
      <c r="C553" s="710">
        <v>0.89583333333333337</v>
      </c>
      <c r="D553" s="425">
        <v>50</v>
      </c>
      <c r="E553" s="426">
        <v>10.9</v>
      </c>
      <c r="F553" s="427">
        <v>15.1</v>
      </c>
      <c r="G553" s="428">
        <v>1120</v>
      </c>
      <c r="H553" s="428">
        <v>1950</v>
      </c>
      <c r="I553" s="428">
        <v>98.8</v>
      </c>
      <c r="J553" s="436">
        <v>112.4</v>
      </c>
      <c r="K553" s="436" t="s">
        <v>3717</v>
      </c>
      <c r="L553" s="426">
        <v>35.11</v>
      </c>
      <c r="M553" s="426">
        <v>38</v>
      </c>
      <c r="N553" s="426">
        <v>51.44</v>
      </c>
      <c r="O553" s="429" t="s">
        <v>142</v>
      </c>
      <c r="P553" s="429" t="s">
        <v>142</v>
      </c>
      <c r="Q553" s="314" t="s">
        <v>142</v>
      </c>
      <c r="R553" s="429" t="s">
        <v>3718</v>
      </c>
      <c r="S553" s="430" t="s">
        <v>3502</v>
      </c>
      <c r="T553" s="430" t="s">
        <v>23</v>
      </c>
      <c r="U553" s="813" t="s">
        <v>236</v>
      </c>
      <c r="V553" s="322"/>
    </row>
    <row r="554" spans="2:22" ht="21" x14ac:dyDescent="0.25">
      <c r="B554" s="424">
        <v>44808</v>
      </c>
      <c r="C554" s="710">
        <v>0.97916666666666663</v>
      </c>
      <c r="D554" s="425">
        <v>50</v>
      </c>
      <c r="E554" s="426">
        <v>13.2</v>
      </c>
      <c r="F554" s="427">
        <v>16.899999999999999</v>
      </c>
      <c r="G554" s="428">
        <v>1223</v>
      </c>
      <c r="H554" s="428">
        <v>1997</v>
      </c>
      <c r="I554" s="428">
        <v>97</v>
      </c>
      <c r="J554" s="436">
        <v>114</v>
      </c>
      <c r="K554" s="436" t="s">
        <v>3724</v>
      </c>
      <c r="L554" s="426">
        <v>34.21</v>
      </c>
      <c r="M554" s="426">
        <v>38</v>
      </c>
      <c r="N554" s="426">
        <v>53.63</v>
      </c>
      <c r="O554" s="429" t="s">
        <v>142</v>
      </c>
      <c r="P554" s="429" t="s">
        <v>142</v>
      </c>
      <c r="Q554" s="314" t="s">
        <v>142</v>
      </c>
      <c r="R554" s="429" t="s">
        <v>3725</v>
      </c>
      <c r="S554" s="430" t="s">
        <v>3183</v>
      </c>
      <c r="T554" s="430" t="s">
        <v>23</v>
      </c>
      <c r="U554" s="813" t="s">
        <v>236</v>
      </c>
      <c r="V554" s="322"/>
    </row>
    <row r="555" spans="2:22" ht="21" x14ac:dyDescent="0.25">
      <c r="B555" s="424">
        <v>44809</v>
      </c>
      <c r="C555" s="710">
        <v>0.9375</v>
      </c>
      <c r="D555" s="1481" t="s">
        <v>3743</v>
      </c>
      <c r="E555" s="1482"/>
      <c r="F555" s="1482"/>
      <c r="G555" s="1482"/>
      <c r="H555" s="1482"/>
      <c r="I555" s="1482"/>
      <c r="J555" s="1482"/>
      <c r="K555" s="1482"/>
      <c r="L555" s="1482"/>
      <c r="M555" s="1482"/>
      <c r="N555" s="1482"/>
      <c r="O555" s="1482"/>
      <c r="P555" s="1482"/>
      <c r="Q555" s="1482"/>
      <c r="R555" s="1482"/>
      <c r="S555" s="1483"/>
      <c r="T555" s="430" t="s">
        <v>23</v>
      </c>
      <c r="U555" s="813" t="s">
        <v>236</v>
      </c>
      <c r="V555" s="322"/>
    </row>
    <row r="556" spans="2:22" ht="21" x14ac:dyDescent="0.25">
      <c r="B556" s="424">
        <v>44810</v>
      </c>
      <c r="C556" s="710">
        <v>0.91666666666666663</v>
      </c>
      <c r="D556" s="425">
        <v>50</v>
      </c>
      <c r="E556" s="426">
        <v>10.199999999999999</v>
      </c>
      <c r="F556" s="427">
        <v>14.6</v>
      </c>
      <c r="G556" s="428">
        <v>1155</v>
      </c>
      <c r="H556" s="428">
        <v>1946</v>
      </c>
      <c r="I556" s="428">
        <v>98.3</v>
      </c>
      <c r="J556" s="436">
        <v>111.8</v>
      </c>
      <c r="K556" s="436" t="s">
        <v>3736</v>
      </c>
      <c r="L556" s="426">
        <v>35.72</v>
      </c>
      <c r="M556" s="426">
        <v>38</v>
      </c>
      <c r="N556" s="426">
        <v>51.41</v>
      </c>
      <c r="O556" s="429" t="s">
        <v>142</v>
      </c>
      <c r="P556" s="429" t="s">
        <v>142</v>
      </c>
      <c r="Q556" s="314" t="s">
        <v>142</v>
      </c>
      <c r="R556" s="429" t="s">
        <v>3737</v>
      </c>
      <c r="S556" s="430" t="s">
        <v>2508</v>
      </c>
      <c r="T556" s="430" t="s">
        <v>23</v>
      </c>
      <c r="U556" s="813" t="s">
        <v>236</v>
      </c>
      <c r="V556" s="322"/>
    </row>
    <row r="557" spans="2:22" ht="21" x14ac:dyDescent="0.25">
      <c r="B557" s="424">
        <v>44811</v>
      </c>
      <c r="C557" s="710">
        <v>0.95833333333333337</v>
      </c>
      <c r="D557" s="1481"/>
      <c r="E557" s="1482"/>
      <c r="F557" s="1482"/>
      <c r="G557" s="1482"/>
      <c r="H557" s="1482"/>
      <c r="I557" s="1482"/>
      <c r="J557" s="1482"/>
      <c r="K557" s="1482"/>
      <c r="L557" s="1482"/>
      <c r="M557" s="1482"/>
      <c r="N557" s="1482"/>
      <c r="O557" s="1482"/>
      <c r="P557" s="1482"/>
      <c r="Q557" s="1482"/>
      <c r="R557" s="1482"/>
      <c r="S557" s="1483"/>
      <c r="T557" s="430" t="s">
        <v>23</v>
      </c>
      <c r="U557" s="813" t="s">
        <v>236</v>
      </c>
      <c r="V557" s="322"/>
    </row>
    <row r="558" spans="2:22" ht="21" x14ac:dyDescent="0.25">
      <c r="B558" s="424">
        <v>44812</v>
      </c>
      <c r="C558" s="710">
        <v>0.91666666666666663</v>
      </c>
      <c r="D558" s="425">
        <v>50</v>
      </c>
      <c r="E558" s="426">
        <v>7.8</v>
      </c>
      <c r="F558" s="427">
        <v>13.7</v>
      </c>
      <c r="G558" s="428">
        <v>1133</v>
      </c>
      <c r="H558" s="428">
        <v>1841</v>
      </c>
      <c r="I558" s="428">
        <v>98.5</v>
      </c>
      <c r="J558" s="436">
        <v>114.6</v>
      </c>
      <c r="K558" s="436" t="s">
        <v>3750</v>
      </c>
      <c r="L558" s="426">
        <v>34.47</v>
      </c>
      <c r="M558" s="426">
        <v>37</v>
      </c>
      <c r="N558" s="426">
        <v>48.64</v>
      </c>
      <c r="O558" s="429" t="s">
        <v>142</v>
      </c>
      <c r="P558" s="429" t="s">
        <v>142</v>
      </c>
      <c r="Q558" s="314" t="s">
        <v>142</v>
      </c>
      <c r="R558" s="429" t="s">
        <v>3751</v>
      </c>
      <c r="S558" s="430" t="s">
        <v>3629</v>
      </c>
      <c r="T558" s="430" t="s">
        <v>23</v>
      </c>
      <c r="U558" s="813" t="s">
        <v>236</v>
      </c>
      <c r="V558" s="322"/>
    </row>
    <row r="559" spans="2:22" ht="30.75" customHeight="1" x14ac:dyDescent="0.25">
      <c r="B559" s="424">
        <v>44813</v>
      </c>
      <c r="C559" s="710">
        <v>0.95833333333333337</v>
      </c>
      <c r="D559" s="425">
        <v>48.5</v>
      </c>
      <c r="E559" s="426">
        <v>10.199999999999999</v>
      </c>
      <c r="F559" s="427">
        <v>14.4</v>
      </c>
      <c r="G559" s="428">
        <v>1200</v>
      </c>
      <c r="H559" s="428">
        <v>2046</v>
      </c>
      <c r="I559" s="428">
        <v>97.2</v>
      </c>
      <c r="J559" s="436">
        <v>116.2</v>
      </c>
      <c r="K559" s="436" t="s">
        <v>3757</v>
      </c>
      <c r="L559" s="426">
        <v>38.4</v>
      </c>
      <c r="M559" s="426">
        <v>41</v>
      </c>
      <c r="N559" s="426">
        <v>50.53</v>
      </c>
      <c r="O559" s="429" t="s">
        <v>142</v>
      </c>
      <c r="P559" s="429" t="s">
        <v>142</v>
      </c>
      <c r="Q559" s="314" t="s">
        <v>142</v>
      </c>
      <c r="R559" s="429" t="s">
        <v>3758</v>
      </c>
      <c r="S559" s="430" t="s">
        <v>3759</v>
      </c>
      <c r="T559" s="430" t="s">
        <v>23</v>
      </c>
      <c r="U559" s="813" t="s">
        <v>236</v>
      </c>
      <c r="V559" s="724" t="s">
        <v>3760</v>
      </c>
    </row>
    <row r="560" spans="2:22" ht="36" customHeight="1" x14ac:dyDescent="0.25">
      <c r="B560" s="424">
        <v>44814</v>
      </c>
      <c r="C560" s="710">
        <v>2.0833333333333332E-2</v>
      </c>
      <c r="D560" s="1516" t="s">
        <v>3774</v>
      </c>
      <c r="E560" s="1517"/>
      <c r="F560" s="1517"/>
      <c r="G560" s="1517"/>
      <c r="H560" s="1517"/>
      <c r="I560" s="1517"/>
      <c r="J560" s="1517"/>
      <c r="K560" s="1517"/>
      <c r="L560" s="1517"/>
      <c r="M560" s="1517"/>
      <c r="N560" s="1517"/>
      <c r="O560" s="1517"/>
      <c r="P560" s="1517"/>
      <c r="Q560" s="1517"/>
      <c r="R560" s="1517"/>
      <c r="S560" s="1518"/>
      <c r="T560" s="430" t="s">
        <v>23</v>
      </c>
      <c r="U560" s="813" t="s">
        <v>236</v>
      </c>
      <c r="V560" s="322"/>
    </row>
    <row r="561" spans="2:22" ht="30.75" customHeight="1" x14ac:dyDescent="0.25">
      <c r="B561" s="424">
        <v>44815</v>
      </c>
      <c r="C561" s="710">
        <v>4.1666666666666664E-2</v>
      </c>
      <c r="D561" s="425">
        <v>50</v>
      </c>
      <c r="E561" s="426">
        <v>13.5</v>
      </c>
      <c r="F561" s="427">
        <v>17</v>
      </c>
      <c r="G561" s="428">
        <v>1349</v>
      </c>
      <c r="H561" s="428">
        <v>2028</v>
      </c>
      <c r="I561" s="428">
        <v>97.3</v>
      </c>
      <c r="J561" s="436">
        <v>115.6</v>
      </c>
      <c r="K561" s="436" t="s">
        <v>3780</v>
      </c>
      <c r="L561" s="426">
        <v>32.340000000000003</v>
      </c>
      <c r="M561" s="426">
        <v>36</v>
      </c>
      <c r="N561" s="426">
        <v>48.54</v>
      </c>
      <c r="O561" s="429" t="s">
        <v>142</v>
      </c>
      <c r="P561" s="429" t="s">
        <v>142</v>
      </c>
      <c r="Q561" s="314" t="s">
        <v>142</v>
      </c>
      <c r="R561" s="429" t="s">
        <v>3674</v>
      </c>
      <c r="S561" s="430" t="s">
        <v>3781</v>
      </c>
      <c r="T561" s="430" t="s">
        <v>23</v>
      </c>
      <c r="U561" s="813" t="s">
        <v>236</v>
      </c>
      <c r="V561" s="724" t="s">
        <v>3782</v>
      </c>
    </row>
    <row r="562" spans="2:22" ht="30.75" customHeight="1" x14ac:dyDescent="0.25">
      <c r="B562" s="424">
        <v>44816</v>
      </c>
      <c r="C562" s="710">
        <v>0.91666666666666663</v>
      </c>
      <c r="D562" s="425">
        <v>50</v>
      </c>
      <c r="E562" s="426">
        <v>10.5</v>
      </c>
      <c r="F562" s="427">
        <v>14.8</v>
      </c>
      <c r="G562" s="428">
        <v>1095</v>
      </c>
      <c r="H562" s="428">
        <v>1911</v>
      </c>
      <c r="I562" s="428">
        <v>98.8</v>
      </c>
      <c r="J562" s="436">
        <v>112.3</v>
      </c>
      <c r="K562" s="436" t="s">
        <v>3784</v>
      </c>
      <c r="L562" s="426">
        <v>35.25</v>
      </c>
      <c r="M562" s="426">
        <v>38.5</v>
      </c>
      <c r="N562" s="426">
        <v>49.88</v>
      </c>
      <c r="O562" s="429" t="s">
        <v>142</v>
      </c>
      <c r="P562" s="429" t="s">
        <v>142</v>
      </c>
      <c r="Q562" s="314" t="s">
        <v>142</v>
      </c>
      <c r="R562" s="429" t="s">
        <v>3785</v>
      </c>
      <c r="S562" s="430" t="s">
        <v>3077</v>
      </c>
      <c r="T562" s="430" t="s">
        <v>23</v>
      </c>
      <c r="U562" s="813" t="s">
        <v>236</v>
      </c>
      <c r="V562" s="724"/>
    </row>
    <row r="563" spans="2:22" ht="30.75" customHeight="1" x14ac:dyDescent="0.25">
      <c r="B563" s="424">
        <v>44817</v>
      </c>
      <c r="C563" s="710">
        <v>0.58333333333333337</v>
      </c>
      <c r="D563" s="425">
        <v>50</v>
      </c>
      <c r="E563" s="426">
        <v>10.5</v>
      </c>
      <c r="F563" s="427">
        <v>14.8</v>
      </c>
      <c r="G563" s="428">
        <v>1106</v>
      </c>
      <c r="H563" s="428">
        <v>2019</v>
      </c>
      <c r="I563" s="428">
        <v>98.8</v>
      </c>
      <c r="J563" s="436">
        <v>112</v>
      </c>
      <c r="K563" s="436" t="s">
        <v>3796</v>
      </c>
      <c r="L563" s="426">
        <v>34.72</v>
      </c>
      <c r="M563" s="426">
        <v>37.5</v>
      </c>
      <c r="N563" s="426">
        <v>47.88</v>
      </c>
      <c r="O563" s="429" t="s">
        <v>142</v>
      </c>
      <c r="P563" s="429" t="s">
        <v>142</v>
      </c>
      <c r="Q563" s="314" t="s">
        <v>142</v>
      </c>
      <c r="R563" s="429" t="s">
        <v>1605</v>
      </c>
      <c r="S563" s="430" t="s">
        <v>3077</v>
      </c>
      <c r="T563" s="430" t="s">
        <v>23</v>
      </c>
      <c r="U563" s="813" t="s">
        <v>236</v>
      </c>
      <c r="V563" s="724"/>
    </row>
    <row r="564" spans="2:22" ht="30.75" customHeight="1" x14ac:dyDescent="0.25">
      <c r="B564" s="424">
        <v>44818</v>
      </c>
      <c r="C564" s="710">
        <v>0.9375</v>
      </c>
      <c r="D564" s="425">
        <v>50</v>
      </c>
      <c r="E564" s="426">
        <v>10.199999999999999</v>
      </c>
      <c r="F564" s="427">
        <v>14.6</v>
      </c>
      <c r="G564" s="428">
        <v>1097</v>
      </c>
      <c r="H564" s="428">
        <v>1937</v>
      </c>
      <c r="I564" s="428">
        <v>99</v>
      </c>
      <c r="J564" s="436">
        <v>112.2</v>
      </c>
      <c r="K564" s="436" t="s">
        <v>3806</v>
      </c>
      <c r="L564" s="426">
        <v>35.020000000000003</v>
      </c>
      <c r="M564" s="426">
        <v>38</v>
      </c>
      <c r="N564" s="426">
        <v>49.85</v>
      </c>
      <c r="O564" s="429" t="s">
        <v>142</v>
      </c>
      <c r="P564" s="429" t="s">
        <v>142</v>
      </c>
      <c r="Q564" s="314" t="s">
        <v>142</v>
      </c>
      <c r="R564" s="429" t="s">
        <v>2658</v>
      </c>
      <c r="S564" s="430" t="s">
        <v>2508</v>
      </c>
      <c r="T564" s="430" t="s">
        <v>23</v>
      </c>
      <c r="U564" s="813" t="s">
        <v>236</v>
      </c>
      <c r="V564" s="724"/>
    </row>
    <row r="565" spans="2:22" ht="30.75" customHeight="1" x14ac:dyDescent="0.25">
      <c r="B565" s="424">
        <v>44819</v>
      </c>
      <c r="C565" s="710">
        <v>0.8125</v>
      </c>
      <c r="D565" s="1481" t="s">
        <v>3816</v>
      </c>
      <c r="E565" s="1482"/>
      <c r="F565" s="1482"/>
      <c r="G565" s="1482"/>
      <c r="H565" s="1482"/>
      <c r="I565" s="1482"/>
      <c r="J565" s="1482"/>
      <c r="K565" s="1482"/>
      <c r="L565" s="1482"/>
      <c r="M565" s="1482"/>
      <c r="N565" s="1482"/>
      <c r="O565" s="1482"/>
      <c r="P565" s="1482"/>
      <c r="Q565" s="1482"/>
      <c r="R565" s="1482"/>
      <c r="S565" s="1483"/>
      <c r="T565" s="430" t="s">
        <v>23</v>
      </c>
      <c r="U565" s="813" t="s">
        <v>236</v>
      </c>
      <c r="V565" s="724"/>
    </row>
    <row r="566" spans="2:22" ht="30.75" customHeight="1" x14ac:dyDescent="0.25">
      <c r="B566" s="424">
        <v>44820</v>
      </c>
      <c r="C566" s="710">
        <v>0.75</v>
      </c>
      <c r="D566" s="425">
        <v>50</v>
      </c>
      <c r="E566" s="426">
        <v>10.5</v>
      </c>
      <c r="F566" s="427">
        <v>14.9</v>
      </c>
      <c r="G566" s="428">
        <v>1101</v>
      </c>
      <c r="H566" s="428">
        <v>1885</v>
      </c>
      <c r="I566" s="428">
        <v>98.8</v>
      </c>
      <c r="J566" s="436">
        <v>112</v>
      </c>
      <c r="K566" s="436" t="s">
        <v>3817</v>
      </c>
      <c r="L566" s="426">
        <v>35.01</v>
      </c>
      <c r="M566" s="426">
        <v>39</v>
      </c>
      <c r="N566" s="426">
        <v>53.37</v>
      </c>
      <c r="O566" s="429" t="s">
        <v>142</v>
      </c>
      <c r="P566" s="429" t="s">
        <v>142</v>
      </c>
      <c r="Q566" s="314" t="s">
        <v>142</v>
      </c>
      <c r="R566" s="429" t="s">
        <v>3818</v>
      </c>
      <c r="S566" s="430" t="s">
        <v>2377</v>
      </c>
      <c r="T566" s="430" t="s">
        <v>23</v>
      </c>
      <c r="U566" s="813" t="s">
        <v>236</v>
      </c>
      <c r="V566" s="724"/>
    </row>
    <row r="567" spans="2:22" ht="30.75" customHeight="1" x14ac:dyDescent="0.25">
      <c r="B567" s="424">
        <v>44821</v>
      </c>
      <c r="C567" s="710">
        <v>0.75</v>
      </c>
      <c r="D567" s="425">
        <v>50</v>
      </c>
      <c r="E567" s="426">
        <v>10.5</v>
      </c>
      <c r="F567" s="427">
        <v>14.9</v>
      </c>
      <c r="G567" s="428">
        <v>1101</v>
      </c>
      <c r="H567" s="428">
        <v>1885</v>
      </c>
      <c r="I567" s="428">
        <v>98.8</v>
      </c>
      <c r="J567" s="436">
        <v>112</v>
      </c>
      <c r="K567" s="436" t="s">
        <v>3817</v>
      </c>
      <c r="L567" s="426">
        <v>36.06</v>
      </c>
      <c r="M567" s="426">
        <v>39</v>
      </c>
      <c r="N567" s="426">
        <v>50.8</v>
      </c>
      <c r="O567" s="429" t="s">
        <v>142</v>
      </c>
      <c r="P567" s="429" t="s">
        <v>142</v>
      </c>
      <c r="Q567" s="314" t="s">
        <v>142</v>
      </c>
      <c r="R567" s="429" t="s">
        <v>3818</v>
      </c>
      <c r="S567" s="430" t="s">
        <v>2377</v>
      </c>
      <c r="T567" s="430" t="s">
        <v>23</v>
      </c>
      <c r="U567" s="813" t="s">
        <v>236</v>
      </c>
      <c r="V567" s="724"/>
    </row>
    <row r="568" spans="2:22" ht="30.75" customHeight="1" x14ac:dyDescent="0.25">
      <c r="B568" s="424">
        <v>44822</v>
      </c>
      <c r="C568" s="710">
        <v>0.75</v>
      </c>
      <c r="D568" s="425">
        <v>50</v>
      </c>
      <c r="E568" s="426">
        <v>10.5</v>
      </c>
      <c r="F568" s="427">
        <v>14.9</v>
      </c>
      <c r="G568" s="428">
        <v>1101</v>
      </c>
      <c r="H568" s="428">
        <v>1885</v>
      </c>
      <c r="I568" s="428">
        <v>98.8</v>
      </c>
      <c r="J568" s="436">
        <v>112</v>
      </c>
      <c r="K568" s="436" t="s">
        <v>3817</v>
      </c>
      <c r="L568" s="426">
        <v>35.71</v>
      </c>
      <c r="M568" s="426">
        <v>38</v>
      </c>
      <c r="N568" s="426">
        <v>52.5</v>
      </c>
      <c r="O568" s="429" t="s">
        <v>142</v>
      </c>
      <c r="P568" s="429" t="s">
        <v>142</v>
      </c>
      <c r="Q568" s="314" t="s">
        <v>142</v>
      </c>
      <c r="R568" s="429" t="s">
        <v>3818</v>
      </c>
      <c r="S568" s="430" t="s">
        <v>2377</v>
      </c>
      <c r="T568" s="430" t="s">
        <v>23</v>
      </c>
      <c r="U568" s="813" t="s">
        <v>236</v>
      </c>
      <c r="V568" s="724"/>
    </row>
    <row r="569" spans="2:22" ht="30.75" customHeight="1" x14ac:dyDescent="0.25">
      <c r="B569" s="424">
        <v>44823</v>
      </c>
      <c r="C569" s="710">
        <v>0.95833333333333337</v>
      </c>
      <c r="D569" s="425">
        <v>50</v>
      </c>
      <c r="E569" s="426">
        <v>10.5</v>
      </c>
      <c r="F569" s="427">
        <v>14.9</v>
      </c>
      <c r="G569" s="428">
        <v>1101</v>
      </c>
      <c r="H569" s="428">
        <v>1885</v>
      </c>
      <c r="I569" s="428">
        <v>98.8</v>
      </c>
      <c r="J569" s="436">
        <v>112</v>
      </c>
      <c r="K569" s="436" t="s">
        <v>3817</v>
      </c>
      <c r="L569" s="426">
        <v>35.71</v>
      </c>
      <c r="M569" s="426">
        <v>38</v>
      </c>
      <c r="N569" s="426">
        <v>52.5</v>
      </c>
      <c r="O569" s="429" t="s">
        <v>142</v>
      </c>
      <c r="P569" s="429" t="s">
        <v>142</v>
      </c>
      <c r="Q569" s="314" t="s">
        <v>142</v>
      </c>
      <c r="R569" s="429" t="s">
        <v>3818</v>
      </c>
      <c r="S569" s="430" t="s">
        <v>2377</v>
      </c>
      <c r="T569" s="430" t="s">
        <v>23</v>
      </c>
      <c r="U569" s="813" t="s">
        <v>236</v>
      </c>
      <c r="V569" s="724"/>
    </row>
    <row r="570" spans="2:22" ht="30.75" customHeight="1" x14ac:dyDescent="0.25">
      <c r="B570" s="424">
        <v>44824</v>
      </c>
      <c r="C570" s="710">
        <v>0.91666666666666663</v>
      </c>
      <c r="D570" s="425">
        <v>50</v>
      </c>
      <c r="E570" s="426">
        <v>9.8000000000000007</v>
      </c>
      <c r="F570" s="427">
        <v>14.1</v>
      </c>
      <c r="G570" s="428">
        <v>1126</v>
      </c>
      <c r="H570" s="428">
        <v>2006</v>
      </c>
      <c r="I570" s="428">
        <v>97.3</v>
      </c>
      <c r="J570" s="436">
        <v>117.3</v>
      </c>
      <c r="K570" s="436" t="s">
        <v>3848</v>
      </c>
      <c r="L570" s="426">
        <v>36.700000000000003</v>
      </c>
      <c r="M570" s="426">
        <v>39</v>
      </c>
      <c r="N570" s="426">
        <v>47.68</v>
      </c>
      <c r="O570" s="429" t="s">
        <v>142</v>
      </c>
      <c r="P570" s="429" t="s">
        <v>142</v>
      </c>
      <c r="Q570" s="314" t="s">
        <v>142</v>
      </c>
      <c r="R570" s="429" t="s">
        <v>3849</v>
      </c>
      <c r="S570" s="430" t="s">
        <v>2812</v>
      </c>
      <c r="T570" s="430" t="s">
        <v>23</v>
      </c>
      <c r="U570" s="813" t="s">
        <v>236</v>
      </c>
      <c r="V570" s="724"/>
    </row>
    <row r="571" spans="2:22" ht="30.75" customHeight="1" x14ac:dyDescent="0.25">
      <c r="B571" s="424">
        <v>44825</v>
      </c>
      <c r="C571" s="710">
        <v>0.79166666666666663</v>
      </c>
      <c r="D571" s="425">
        <v>50</v>
      </c>
      <c r="E571" s="426">
        <v>10.3</v>
      </c>
      <c r="F571" s="427">
        <v>14.6</v>
      </c>
      <c r="G571" s="428">
        <v>1148</v>
      </c>
      <c r="H571" s="428">
        <v>1826</v>
      </c>
      <c r="I571" s="428">
        <v>98.2</v>
      </c>
      <c r="J571" s="436">
        <v>111.5</v>
      </c>
      <c r="K571" s="436" t="s">
        <v>3857</v>
      </c>
      <c r="L571" s="426">
        <v>34.520000000000003</v>
      </c>
      <c r="M571" s="426">
        <v>38</v>
      </c>
      <c r="N571" s="426">
        <v>51.69</v>
      </c>
      <c r="O571" s="429" t="s">
        <v>142</v>
      </c>
      <c r="P571" s="429" t="s">
        <v>142</v>
      </c>
      <c r="Q571" s="314" t="s">
        <v>142</v>
      </c>
      <c r="R571" s="429" t="s">
        <v>3737</v>
      </c>
      <c r="S571" s="430" t="s">
        <v>2508</v>
      </c>
      <c r="T571" s="430" t="s">
        <v>23</v>
      </c>
      <c r="U571" s="813" t="s">
        <v>236</v>
      </c>
      <c r="V571" s="724"/>
    </row>
    <row r="572" spans="2:22" ht="30.75" customHeight="1" x14ac:dyDescent="0.25">
      <c r="B572" s="424">
        <v>44826</v>
      </c>
      <c r="C572" s="710">
        <v>0.83333333333333337</v>
      </c>
      <c r="D572" s="1481"/>
      <c r="E572" s="1482"/>
      <c r="F572" s="1482"/>
      <c r="G572" s="1482"/>
      <c r="H572" s="1482"/>
      <c r="I572" s="1482"/>
      <c r="J572" s="1482"/>
      <c r="K572" s="1482"/>
      <c r="L572" s="1482"/>
      <c r="M572" s="1482"/>
      <c r="N572" s="1482"/>
      <c r="O572" s="1482"/>
      <c r="P572" s="1482"/>
      <c r="Q572" s="1482"/>
      <c r="R572" s="1483"/>
      <c r="S572" s="430"/>
      <c r="T572" s="430" t="s">
        <v>23</v>
      </c>
      <c r="U572" s="813" t="s">
        <v>236</v>
      </c>
      <c r="V572" s="724"/>
    </row>
    <row r="573" spans="2:22" ht="30.75" customHeight="1" x14ac:dyDescent="0.25">
      <c r="B573" s="424">
        <v>44827</v>
      </c>
      <c r="C573" s="710">
        <v>0.91666666666666663</v>
      </c>
      <c r="D573" s="425">
        <v>50</v>
      </c>
      <c r="E573" s="426">
        <v>10.8</v>
      </c>
      <c r="F573" s="427">
        <v>15</v>
      </c>
      <c r="G573" s="428">
        <v>1103</v>
      </c>
      <c r="H573" s="428">
        <v>1890</v>
      </c>
      <c r="I573" s="428">
        <v>98.8</v>
      </c>
      <c r="J573" s="436">
        <v>112.3</v>
      </c>
      <c r="K573" s="436" t="s">
        <v>3874</v>
      </c>
      <c r="L573" s="426">
        <v>36</v>
      </c>
      <c r="M573" s="426">
        <v>38.5</v>
      </c>
      <c r="N573" s="426">
        <v>51.65</v>
      </c>
      <c r="O573" s="429" t="s">
        <v>142</v>
      </c>
      <c r="P573" s="429" t="s">
        <v>142</v>
      </c>
      <c r="Q573" s="314" t="s">
        <v>142</v>
      </c>
      <c r="R573" s="429" t="s">
        <v>1029</v>
      </c>
      <c r="S573" s="430" t="s">
        <v>3270</v>
      </c>
      <c r="T573" s="430" t="s">
        <v>23</v>
      </c>
      <c r="U573" s="813" t="s">
        <v>236</v>
      </c>
      <c r="V573" s="724"/>
    </row>
    <row r="574" spans="2:22" ht="30.75" customHeight="1" x14ac:dyDescent="0.25">
      <c r="B574" s="424">
        <v>44828</v>
      </c>
      <c r="C574" s="710">
        <v>0.91666666666666663</v>
      </c>
      <c r="D574" s="425">
        <v>50</v>
      </c>
      <c r="E574" s="426">
        <v>10.4</v>
      </c>
      <c r="F574" s="427">
        <v>14.7</v>
      </c>
      <c r="G574" s="428">
        <v>1149</v>
      </c>
      <c r="H574" s="428">
        <v>2062</v>
      </c>
      <c r="I574" s="428">
        <v>98</v>
      </c>
      <c r="J574" s="436">
        <v>118.2</v>
      </c>
      <c r="K574" s="436" t="s">
        <v>3882</v>
      </c>
      <c r="L574" s="426">
        <v>34.03</v>
      </c>
      <c r="M574" s="426">
        <v>37</v>
      </c>
      <c r="N574" s="426">
        <v>50.81</v>
      </c>
      <c r="O574" s="429" t="s">
        <v>142</v>
      </c>
      <c r="P574" s="429" t="s">
        <v>142</v>
      </c>
      <c r="Q574" s="314" t="s">
        <v>142</v>
      </c>
      <c r="R574" s="429" t="s">
        <v>3883</v>
      </c>
      <c r="S574" s="430" t="s">
        <v>2681</v>
      </c>
      <c r="T574" s="430" t="s">
        <v>23</v>
      </c>
      <c r="U574" s="813" t="s">
        <v>236</v>
      </c>
      <c r="V574" s="724"/>
    </row>
    <row r="575" spans="2:22" ht="30.75" customHeight="1" x14ac:dyDescent="0.25">
      <c r="B575" s="424">
        <v>44829</v>
      </c>
      <c r="C575" s="710">
        <v>0.91666666666666663</v>
      </c>
      <c r="D575" s="425">
        <v>50</v>
      </c>
      <c r="E575" s="426">
        <v>10.7</v>
      </c>
      <c r="F575" s="427">
        <v>14.9</v>
      </c>
      <c r="G575" s="428">
        <v>1101</v>
      </c>
      <c r="H575" s="428">
        <v>1833</v>
      </c>
      <c r="I575" s="428">
        <v>98.8</v>
      </c>
      <c r="J575" s="436">
        <v>111.1</v>
      </c>
      <c r="K575" s="436" t="s">
        <v>3891</v>
      </c>
      <c r="L575" s="426">
        <v>34.03</v>
      </c>
      <c r="M575" s="426">
        <v>37</v>
      </c>
      <c r="N575" s="426">
        <v>52.75</v>
      </c>
      <c r="O575" s="429" t="s">
        <v>142</v>
      </c>
      <c r="P575" s="429" t="s">
        <v>142</v>
      </c>
      <c r="Q575" s="314" t="s">
        <v>142</v>
      </c>
      <c r="R575" s="429" t="s">
        <v>3892</v>
      </c>
      <c r="S575" s="430" t="s">
        <v>2377</v>
      </c>
      <c r="T575" s="430" t="s">
        <v>23</v>
      </c>
      <c r="U575" s="813" t="s">
        <v>236</v>
      </c>
      <c r="V575" s="724"/>
    </row>
    <row r="576" spans="2:22" ht="30.75" customHeight="1" x14ac:dyDescent="0.25">
      <c r="B576" s="424">
        <v>44830</v>
      </c>
      <c r="C576" s="710">
        <v>0.91666666666666663</v>
      </c>
      <c r="D576" s="1513" t="s">
        <v>3905</v>
      </c>
      <c r="E576" s="1514"/>
      <c r="F576" s="1514"/>
      <c r="G576" s="1514"/>
      <c r="H576" s="1514"/>
      <c r="I576" s="1514"/>
      <c r="J576" s="1514"/>
      <c r="K576" s="1514"/>
      <c r="L576" s="1514"/>
      <c r="M576" s="1514"/>
      <c r="N576" s="1514"/>
      <c r="O576" s="1514"/>
      <c r="P576" s="1514"/>
      <c r="Q576" s="1514"/>
      <c r="R576" s="1514"/>
      <c r="S576" s="1515"/>
      <c r="T576" s="430" t="s">
        <v>23</v>
      </c>
      <c r="U576" s="813" t="s">
        <v>236</v>
      </c>
      <c r="V576" s="724"/>
    </row>
    <row r="577" spans="2:22" ht="30.75" customHeight="1" x14ac:dyDescent="0.25">
      <c r="B577" s="424">
        <v>44831</v>
      </c>
      <c r="C577" s="710">
        <v>0.91666666666666663</v>
      </c>
      <c r="D577" s="425">
        <v>50</v>
      </c>
      <c r="E577" s="426">
        <v>10.6</v>
      </c>
      <c r="F577" s="427">
        <v>14.8</v>
      </c>
      <c r="G577" s="428">
        <v>1106</v>
      </c>
      <c r="H577" s="428">
        <v>1890</v>
      </c>
      <c r="I577" s="428">
        <v>98.8</v>
      </c>
      <c r="J577" s="436">
        <v>111.9</v>
      </c>
      <c r="K577" s="436" t="s">
        <v>3911</v>
      </c>
      <c r="L577" s="426">
        <v>35.76</v>
      </c>
      <c r="M577" s="426">
        <v>38.5</v>
      </c>
      <c r="N577" s="426">
        <v>51.23</v>
      </c>
      <c r="O577" s="429" t="s">
        <v>142</v>
      </c>
      <c r="P577" s="429" t="s">
        <v>142</v>
      </c>
      <c r="Q577" s="314" t="s">
        <v>142</v>
      </c>
      <c r="R577" s="429" t="s">
        <v>3232</v>
      </c>
      <c r="S577" s="430" t="s">
        <v>3077</v>
      </c>
      <c r="T577" s="430" t="s">
        <v>23</v>
      </c>
      <c r="U577" s="813" t="s">
        <v>236</v>
      </c>
      <c r="V577" s="724"/>
    </row>
    <row r="578" spans="2:22" ht="30.75" customHeight="1" x14ac:dyDescent="0.25">
      <c r="B578" s="424">
        <v>44832</v>
      </c>
      <c r="C578" s="710">
        <v>0.95833333333333337</v>
      </c>
      <c r="D578" s="425">
        <v>50</v>
      </c>
      <c r="E578" s="426">
        <v>12.7</v>
      </c>
      <c r="F578" s="427">
        <v>16.399999999999999</v>
      </c>
      <c r="G578" s="428">
        <v>1309</v>
      </c>
      <c r="H578" s="428">
        <v>1814</v>
      </c>
      <c r="I578" s="428">
        <v>97.6</v>
      </c>
      <c r="J578" s="436">
        <v>111.2</v>
      </c>
      <c r="K578" s="436" t="s">
        <v>3922</v>
      </c>
      <c r="L578" s="426">
        <v>36.700000000000003</v>
      </c>
      <c r="M578" s="426">
        <v>39.5</v>
      </c>
      <c r="N578" s="426">
        <v>42.5</v>
      </c>
      <c r="O578" s="429" t="s">
        <v>142</v>
      </c>
      <c r="P578" s="429" t="s">
        <v>142</v>
      </c>
      <c r="Q578" s="314" t="s">
        <v>142</v>
      </c>
      <c r="R578" s="429" t="s">
        <v>3923</v>
      </c>
      <c r="S578" s="430" t="s">
        <v>2890</v>
      </c>
      <c r="T578" s="430" t="s">
        <v>23</v>
      </c>
      <c r="U578" s="813" t="s">
        <v>236</v>
      </c>
      <c r="V578" s="724"/>
    </row>
    <row r="579" spans="2:22" ht="47.25" customHeight="1" x14ac:dyDescent="0.25">
      <c r="B579" s="424">
        <v>44833</v>
      </c>
      <c r="C579" s="710">
        <v>0.9375</v>
      </c>
      <c r="D579" s="1516" t="s">
        <v>3933</v>
      </c>
      <c r="E579" s="1517"/>
      <c r="F579" s="1517"/>
      <c r="G579" s="1517"/>
      <c r="H579" s="1517"/>
      <c r="I579" s="1517"/>
      <c r="J579" s="1517"/>
      <c r="K579" s="1517"/>
      <c r="L579" s="1517"/>
      <c r="M579" s="1517"/>
      <c r="N579" s="1517"/>
      <c r="O579" s="1517"/>
      <c r="P579" s="1517"/>
      <c r="Q579" s="1517"/>
      <c r="R579" s="1517"/>
      <c r="S579" s="1518"/>
      <c r="T579" s="430" t="s">
        <v>23</v>
      </c>
      <c r="U579" s="813" t="s">
        <v>236</v>
      </c>
      <c r="V579" s="724"/>
    </row>
    <row r="580" spans="2:22" ht="30.75" customHeight="1" x14ac:dyDescent="0.25">
      <c r="B580" s="424">
        <v>44834</v>
      </c>
      <c r="C580" s="710">
        <v>0.9375</v>
      </c>
      <c r="D580" s="425">
        <v>50</v>
      </c>
      <c r="E580" s="426">
        <v>10.199999999999999</v>
      </c>
      <c r="F580" s="427">
        <v>14.7</v>
      </c>
      <c r="G580" s="428">
        <v>1148</v>
      </c>
      <c r="H580" s="428">
        <v>2036</v>
      </c>
      <c r="I580" s="428">
        <v>98.8</v>
      </c>
      <c r="J580" s="436">
        <v>111.9</v>
      </c>
      <c r="K580" s="436" t="s">
        <v>3936</v>
      </c>
      <c r="L580" s="426">
        <v>38.020000000000003</v>
      </c>
      <c r="M580" s="426">
        <v>40.5</v>
      </c>
      <c r="N580" s="426">
        <v>47.6</v>
      </c>
      <c r="O580" s="429" t="s">
        <v>142</v>
      </c>
      <c r="P580" s="429" t="s">
        <v>142</v>
      </c>
      <c r="Q580" s="314" t="s">
        <v>142</v>
      </c>
      <c r="R580" s="429" t="s">
        <v>2738</v>
      </c>
      <c r="S580" s="430" t="s">
        <v>2681</v>
      </c>
      <c r="T580" s="430" t="s">
        <v>23</v>
      </c>
      <c r="U580" s="813" t="s">
        <v>236</v>
      </c>
      <c r="V580" s="724"/>
    </row>
    <row r="581" spans="2:22" ht="30.75" customHeight="1" x14ac:dyDescent="0.25">
      <c r="B581" s="424">
        <v>44835</v>
      </c>
      <c r="C581" s="710">
        <v>0.9375</v>
      </c>
      <c r="D581" s="425">
        <v>51</v>
      </c>
      <c r="E581" s="426">
        <v>11</v>
      </c>
      <c r="F581" s="427">
        <v>15</v>
      </c>
      <c r="G581" s="428">
        <v>1176</v>
      </c>
      <c r="H581" s="428">
        <v>1914</v>
      </c>
      <c r="I581" s="428">
        <v>98.1</v>
      </c>
      <c r="J581" s="436">
        <v>111.6</v>
      </c>
      <c r="K581" s="436" t="s">
        <v>3947</v>
      </c>
      <c r="L581" s="426">
        <v>38.270000000000003</v>
      </c>
      <c r="M581" s="426">
        <v>41</v>
      </c>
      <c r="N581" s="426">
        <v>51.76</v>
      </c>
      <c r="O581" s="429" t="s">
        <v>142</v>
      </c>
      <c r="P581" s="429" t="s">
        <v>142</v>
      </c>
      <c r="Q581" s="314" t="s">
        <v>142</v>
      </c>
      <c r="R581" s="429" t="s">
        <v>2764</v>
      </c>
      <c r="S581" s="430" t="s">
        <v>3270</v>
      </c>
      <c r="T581" s="430" t="s">
        <v>23</v>
      </c>
      <c r="U581" s="813" t="s">
        <v>236</v>
      </c>
      <c r="V581" s="724"/>
    </row>
    <row r="582" spans="2:22" ht="30.75" customHeight="1" x14ac:dyDescent="0.25">
      <c r="B582" s="424">
        <v>44836</v>
      </c>
      <c r="C582" s="710">
        <v>0.95833333333333337</v>
      </c>
      <c r="D582" s="425">
        <v>51</v>
      </c>
      <c r="E582" s="426">
        <v>10</v>
      </c>
      <c r="F582" s="427">
        <v>14.5</v>
      </c>
      <c r="G582" s="428">
        <v>1111</v>
      </c>
      <c r="H582" s="428">
        <v>1997</v>
      </c>
      <c r="I582" s="428">
        <v>99</v>
      </c>
      <c r="J582" s="436">
        <v>112.1</v>
      </c>
      <c r="K582" s="436" t="s">
        <v>3956</v>
      </c>
      <c r="L582" s="426">
        <v>36.14</v>
      </c>
      <c r="M582" s="426">
        <v>40</v>
      </c>
      <c r="N582" s="426">
        <v>49.23</v>
      </c>
      <c r="O582" s="429" t="s">
        <v>142</v>
      </c>
      <c r="P582" s="429" t="s">
        <v>142</v>
      </c>
      <c r="Q582" s="314" t="s">
        <v>142</v>
      </c>
      <c r="R582" s="429" t="s">
        <v>2686</v>
      </c>
      <c r="S582" s="430" t="s">
        <v>2645</v>
      </c>
      <c r="T582" s="430" t="s">
        <v>23</v>
      </c>
      <c r="U582" s="813" t="s">
        <v>236</v>
      </c>
      <c r="V582" s="724"/>
    </row>
    <row r="583" spans="2:22" ht="30.75" customHeight="1" x14ac:dyDescent="0.25">
      <c r="B583" s="424">
        <v>44837</v>
      </c>
      <c r="C583" s="710">
        <v>0.89583333333333337</v>
      </c>
      <c r="D583" s="425">
        <v>50</v>
      </c>
      <c r="E583" s="426">
        <v>12.9</v>
      </c>
      <c r="F583" s="427">
        <v>16.600000000000001</v>
      </c>
      <c r="G583" s="428">
        <v>1325</v>
      </c>
      <c r="H583" s="428">
        <v>1438</v>
      </c>
      <c r="I583" s="428">
        <v>96.8</v>
      </c>
      <c r="J583" s="436">
        <v>100</v>
      </c>
      <c r="K583" s="436" t="s">
        <v>3962</v>
      </c>
      <c r="L583" s="426">
        <v>37.22</v>
      </c>
      <c r="M583" s="426">
        <v>40</v>
      </c>
      <c r="N583" s="426">
        <v>48</v>
      </c>
      <c r="O583" s="429" t="s">
        <v>142</v>
      </c>
      <c r="P583" s="429" t="s">
        <v>142</v>
      </c>
      <c r="Q583" s="314" t="s">
        <v>142</v>
      </c>
      <c r="R583" s="429" t="s">
        <v>3963</v>
      </c>
      <c r="S583" s="430" t="s">
        <v>3042</v>
      </c>
      <c r="T583" s="430" t="s">
        <v>23</v>
      </c>
      <c r="U583" s="813" t="s">
        <v>236</v>
      </c>
      <c r="V583" s="724"/>
    </row>
    <row r="584" spans="2:22" ht="30.75" customHeight="1" x14ac:dyDescent="0.25">
      <c r="B584" s="424">
        <v>44838</v>
      </c>
      <c r="C584" s="710">
        <v>0</v>
      </c>
      <c r="D584" s="1513" t="s">
        <v>3972</v>
      </c>
      <c r="E584" s="1514"/>
      <c r="F584" s="1514"/>
      <c r="G584" s="1514"/>
      <c r="H584" s="1514"/>
      <c r="I584" s="1514"/>
      <c r="J584" s="1514"/>
      <c r="K584" s="1514"/>
      <c r="L584" s="1514"/>
      <c r="M584" s="1514"/>
      <c r="N584" s="1514"/>
      <c r="O584" s="1514"/>
      <c r="P584" s="1514"/>
      <c r="Q584" s="1514"/>
      <c r="R584" s="1514"/>
      <c r="S584" s="1515"/>
      <c r="T584" s="430" t="s">
        <v>23</v>
      </c>
      <c r="U584" s="813" t="s">
        <v>236</v>
      </c>
      <c r="V584" s="724"/>
    </row>
    <row r="585" spans="2:22" ht="30.75" customHeight="1" x14ac:dyDescent="0.25">
      <c r="B585" s="424">
        <v>44839</v>
      </c>
      <c r="C585" s="710">
        <v>0.9375</v>
      </c>
      <c r="D585" s="425">
        <v>50</v>
      </c>
      <c r="E585" s="426">
        <v>10.199999999999999</v>
      </c>
      <c r="F585" s="427">
        <v>14.5</v>
      </c>
      <c r="G585" s="428">
        <v>1171</v>
      </c>
      <c r="H585" s="428">
        <v>2100</v>
      </c>
      <c r="I585" s="428">
        <v>99.1</v>
      </c>
      <c r="J585" s="436">
        <v>111</v>
      </c>
      <c r="K585" s="436" t="s">
        <v>3977</v>
      </c>
      <c r="L585" s="426">
        <v>39.72</v>
      </c>
      <c r="M585" s="426">
        <v>42</v>
      </c>
      <c r="N585" s="426">
        <v>45.72</v>
      </c>
      <c r="O585" s="429" t="s">
        <v>142</v>
      </c>
      <c r="P585" s="429" t="s">
        <v>142</v>
      </c>
      <c r="Q585" s="314" t="s">
        <v>142</v>
      </c>
      <c r="R585" s="429" t="s">
        <v>2686</v>
      </c>
      <c r="S585" s="430" t="s">
        <v>2645</v>
      </c>
      <c r="T585" s="430" t="s">
        <v>23</v>
      </c>
      <c r="U585" s="813" t="s">
        <v>236</v>
      </c>
      <c r="V585" s="724"/>
    </row>
    <row r="586" spans="2:22" ht="30.75" customHeight="1" x14ac:dyDescent="0.25">
      <c r="B586" s="424">
        <v>44840</v>
      </c>
      <c r="C586" s="710">
        <v>0.95833333333333337</v>
      </c>
      <c r="D586" s="425">
        <v>50</v>
      </c>
      <c r="E586" s="426">
        <v>10.3</v>
      </c>
      <c r="F586" s="427">
        <v>14.5</v>
      </c>
      <c r="G586" s="428">
        <v>1177</v>
      </c>
      <c r="H586" s="428">
        <v>1910</v>
      </c>
      <c r="I586" s="428">
        <v>99.2</v>
      </c>
      <c r="J586" s="436">
        <v>111.6</v>
      </c>
      <c r="K586" s="436" t="s">
        <v>3987</v>
      </c>
      <c r="L586" s="426">
        <v>40</v>
      </c>
      <c r="M586" s="426">
        <v>43</v>
      </c>
      <c r="N586" s="426">
        <v>50.57</v>
      </c>
      <c r="O586" s="429" t="s">
        <v>142</v>
      </c>
      <c r="P586" s="429" t="s">
        <v>142</v>
      </c>
      <c r="Q586" s="314" t="s">
        <v>142</v>
      </c>
      <c r="R586" s="429" t="s">
        <v>2658</v>
      </c>
      <c r="S586" s="430" t="s">
        <v>2645</v>
      </c>
      <c r="T586" s="430" t="s">
        <v>23</v>
      </c>
      <c r="U586" s="813" t="s">
        <v>236</v>
      </c>
      <c r="V586" s="724"/>
    </row>
    <row r="587" spans="2:22" ht="30.75" customHeight="1" x14ac:dyDescent="0.25">
      <c r="B587" s="424">
        <v>44841</v>
      </c>
      <c r="C587" s="710">
        <v>0.8125</v>
      </c>
      <c r="D587" s="425">
        <v>51</v>
      </c>
      <c r="E587" s="426">
        <v>7</v>
      </c>
      <c r="F587" s="427">
        <v>12.7</v>
      </c>
      <c r="G587" s="428">
        <v>1195</v>
      </c>
      <c r="H587" s="428">
        <v>2086</v>
      </c>
      <c r="I587" s="428">
        <v>97.6</v>
      </c>
      <c r="J587" s="436">
        <v>116.2</v>
      </c>
      <c r="K587" s="436" t="s">
        <v>3998</v>
      </c>
      <c r="L587" s="426">
        <v>40</v>
      </c>
      <c r="M587" s="426">
        <v>43</v>
      </c>
      <c r="N587" s="426">
        <v>44.49</v>
      </c>
      <c r="O587" s="429" t="s">
        <v>142</v>
      </c>
      <c r="P587" s="429" t="s">
        <v>142</v>
      </c>
      <c r="Q587" s="314" t="s">
        <v>142</v>
      </c>
      <c r="R587" s="429" t="s">
        <v>3579</v>
      </c>
      <c r="S587" s="430" t="s">
        <v>3999</v>
      </c>
      <c r="T587" s="430" t="s">
        <v>23</v>
      </c>
      <c r="U587" s="813" t="s">
        <v>236</v>
      </c>
      <c r="V587" s="724" t="s">
        <v>4001</v>
      </c>
    </row>
    <row r="588" spans="2:22" ht="30.75" customHeight="1" x14ac:dyDescent="0.25">
      <c r="B588" s="424">
        <v>44842</v>
      </c>
      <c r="C588" s="710">
        <v>0.9375</v>
      </c>
      <c r="D588" s="1516" t="s">
        <v>4009</v>
      </c>
      <c r="E588" s="1517"/>
      <c r="F588" s="1517"/>
      <c r="G588" s="1517"/>
      <c r="H588" s="1517"/>
      <c r="I588" s="1517"/>
      <c r="J588" s="1517"/>
      <c r="K588" s="1517"/>
      <c r="L588" s="1517"/>
      <c r="M588" s="1517"/>
      <c r="N588" s="1517"/>
      <c r="O588" s="1517"/>
      <c r="P588" s="1517"/>
      <c r="Q588" s="1517"/>
      <c r="R588" s="1517"/>
      <c r="S588" s="1518"/>
      <c r="T588" s="430" t="s">
        <v>23</v>
      </c>
      <c r="U588" s="813" t="s">
        <v>236</v>
      </c>
      <c r="V588" s="724" t="s">
        <v>4001</v>
      </c>
    </row>
    <row r="589" spans="2:22" ht="30.75" customHeight="1" x14ac:dyDescent="0.25">
      <c r="B589" s="424">
        <v>44843</v>
      </c>
      <c r="C589" s="710">
        <v>0.9375</v>
      </c>
      <c r="D589" s="425">
        <v>52</v>
      </c>
      <c r="E589" s="426">
        <v>10.199999999999999</v>
      </c>
      <c r="F589" s="427">
        <v>14.6</v>
      </c>
      <c r="G589" s="428">
        <v>1089</v>
      </c>
      <c r="H589" s="428">
        <v>1917</v>
      </c>
      <c r="I589" s="428">
        <v>99</v>
      </c>
      <c r="J589" s="436">
        <v>112.3</v>
      </c>
      <c r="K589" s="436" t="s">
        <v>4010</v>
      </c>
      <c r="L589" s="426">
        <v>37.81</v>
      </c>
      <c r="M589" s="426">
        <v>41</v>
      </c>
      <c r="N589" s="426">
        <v>52.02</v>
      </c>
      <c r="O589" s="429" t="s">
        <v>142</v>
      </c>
      <c r="P589" s="429" t="s">
        <v>142</v>
      </c>
      <c r="Q589" s="314" t="s">
        <v>142</v>
      </c>
      <c r="R589" s="429" t="s">
        <v>3737</v>
      </c>
      <c r="S589" s="430" t="s">
        <v>2508</v>
      </c>
      <c r="T589" s="430" t="s">
        <v>23</v>
      </c>
      <c r="U589" s="813" t="s">
        <v>236</v>
      </c>
      <c r="V589" s="724" t="s">
        <v>4016</v>
      </c>
    </row>
    <row r="590" spans="2:22" ht="30.75" customHeight="1" x14ac:dyDescent="0.25">
      <c r="B590" s="424">
        <v>44844</v>
      </c>
      <c r="C590" s="710">
        <v>0.91666666666666663</v>
      </c>
      <c r="D590" s="1481" t="s">
        <v>4020</v>
      </c>
      <c r="E590" s="1482"/>
      <c r="F590" s="1482"/>
      <c r="G590" s="1482"/>
      <c r="H590" s="1482"/>
      <c r="I590" s="1482"/>
      <c r="J590" s="1482"/>
      <c r="K590" s="1482"/>
      <c r="L590" s="1482"/>
      <c r="M590" s="1482"/>
      <c r="N590" s="1482"/>
      <c r="O590" s="1482"/>
      <c r="P590" s="1482"/>
      <c r="Q590" s="1482"/>
      <c r="R590" s="1482"/>
      <c r="S590" s="1483"/>
      <c r="T590" s="430" t="s">
        <v>23</v>
      </c>
      <c r="U590" s="813" t="s">
        <v>236</v>
      </c>
      <c r="V590" s="724" t="s">
        <v>4016</v>
      </c>
    </row>
    <row r="591" spans="2:22" ht="30.75" customHeight="1" x14ac:dyDescent="0.25">
      <c r="B591" s="424">
        <v>44845</v>
      </c>
      <c r="C591" s="710">
        <v>0.9375</v>
      </c>
      <c r="D591" s="425">
        <v>52</v>
      </c>
      <c r="E591" s="426">
        <v>11.1</v>
      </c>
      <c r="F591" s="427">
        <v>15.2</v>
      </c>
      <c r="G591" s="428">
        <v>1124</v>
      </c>
      <c r="H591" s="428">
        <v>1896</v>
      </c>
      <c r="I591" s="428">
        <v>98.6</v>
      </c>
      <c r="J591" s="436">
        <v>112.5</v>
      </c>
      <c r="K591" s="436" t="s">
        <v>4023</v>
      </c>
      <c r="L591" s="426">
        <v>38.67</v>
      </c>
      <c r="M591" s="426">
        <v>41</v>
      </c>
      <c r="N591" s="426">
        <v>53.59</v>
      </c>
      <c r="O591" s="429" t="s">
        <v>142</v>
      </c>
      <c r="P591" s="429" t="s">
        <v>142</v>
      </c>
      <c r="Q591" s="314" t="s">
        <v>142</v>
      </c>
      <c r="R591" s="429" t="s">
        <v>4024</v>
      </c>
      <c r="S591" s="430" t="s">
        <v>2297</v>
      </c>
      <c r="T591" s="430" t="s">
        <v>23</v>
      </c>
      <c r="U591" s="813" t="s">
        <v>236</v>
      </c>
      <c r="V591" s="724"/>
    </row>
    <row r="592" spans="2:22" ht="48" customHeight="1" x14ac:dyDescent="0.25">
      <c r="B592" s="424">
        <v>44846</v>
      </c>
      <c r="C592" s="710">
        <v>0.97916666666666663</v>
      </c>
      <c r="D592" s="1516" t="s">
        <v>4049</v>
      </c>
      <c r="E592" s="1517"/>
      <c r="F592" s="1517"/>
      <c r="G592" s="1517"/>
      <c r="H592" s="1517"/>
      <c r="I592" s="1517"/>
      <c r="J592" s="1517"/>
      <c r="K592" s="1517"/>
      <c r="L592" s="1517"/>
      <c r="M592" s="1517"/>
      <c r="N592" s="1517"/>
      <c r="O592" s="1517"/>
      <c r="P592" s="1517"/>
      <c r="Q592" s="1517"/>
      <c r="R592" s="1517"/>
      <c r="S592" s="1518"/>
      <c r="T592" s="430" t="s">
        <v>23</v>
      </c>
      <c r="U592" s="813" t="s">
        <v>236</v>
      </c>
      <c r="V592" s="724"/>
    </row>
    <row r="593" spans="2:22" ht="30.75" customHeight="1" x14ac:dyDescent="0.25">
      <c r="B593" s="424">
        <v>44847</v>
      </c>
      <c r="C593" s="710">
        <v>0</v>
      </c>
      <c r="D593" s="1481" t="s">
        <v>4048</v>
      </c>
      <c r="E593" s="1482"/>
      <c r="F593" s="1482"/>
      <c r="G593" s="1482"/>
      <c r="H593" s="1482"/>
      <c r="I593" s="1482"/>
      <c r="J593" s="1482"/>
      <c r="K593" s="1482"/>
      <c r="L593" s="1482"/>
      <c r="M593" s="1482"/>
      <c r="N593" s="1482"/>
      <c r="O593" s="1482"/>
      <c r="P593" s="1482"/>
      <c r="Q593" s="1482"/>
      <c r="R593" s="1482"/>
      <c r="S593" s="1483"/>
      <c r="T593" s="430" t="s">
        <v>23</v>
      </c>
      <c r="U593" s="813" t="s">
        <v>236</v>
      </c>
      <c r="V593" s="724"/>
    </row>
    <row r="594" spans="2:22" ht="30.75" customHeight="1" x14ac:dyDescent="0.25">
      <c r="B594" s="424">
        <v>44848</v>
      </c>
      <c r="C594" s="710">
        <v>0.75</v>
      </c>
      <c r="D594" s="425">
        <v>50</v>
      </c>
      <c r="E594" s="426">
        <v>10.9</v>
      </c>
      <c r="F594" s="427">
        <v>14.1</v>
      </c>
      <c r="G594" s="428">
        <v>1189</v>
      </c>
      <c r="H594" s="428">
        <v>1976</v>
      </c>
      <c r="I594" s="428">
        <v>97.8</v>
      </c>
      <c r="J594" s="436">
        <v>112.5</v>
      </c>
      <c r="K594" s="436" t="s">
        <v>4050</v>
      </c>
      <c r="L594" s="426">
        <v>37.5</v>
      </c>
      <c r="M594" s="426">
        <v>40</v>
      </c>
      <c r="N594" s="426">
        <v>47.5</v>
      </c>
      <c r="O594" s="429" t="s">
        <v>142</v>
      </c>
      <c r="P594" s="429" t="s">
        <v>142</v>
      </c>
      <c r="Q594" s="314" t="s">
        <v>142</v>
      </c>
      <c r="R594" s="429" t="s">
        <v>4051</v>
      </c>
      <c r="S594" s="430" t="s">
        <v>2357</v>
      </c>
      <c r="T594" s="430" t="s">
        <v>23</v>
      </c>
      <c r="U594" s="813" t="s">
        <v>236</v>
      </c>
      <c r="V594" s="724"/>
    </row>
    <row r="595" spans="2:22" ht="30.75" customHeight="1" x14ac:dyDescent="0.25">
      <c r="B595" s="424">
        <v>44849</v>
      </c>
      <c r="C595" s="710">
        <v>0.75</v>
      </c>
      <c r="D595" s="425">
        <v>50</v>
      </c>
      <c r="E595" s="426">
        <v>12.6</v>
      </c>
      <c r="F595" s="427">
        <v>16.2</v>
      </c>
      <c r="G595" s="428">
        <v>1274</v>
      </c>
      <c r="H595" s="428">
        <v>1921</v>
      </c>
      <c r="I595" s="428">
        <v>96.6</v>
      </c>
      <c r="J595" s="436">
        <v>114.8</v>
      </c>
      <c r="K595" s="436" t="s">
        <v>4057</v>
      </c>
      <c r="L595" s="426">
        <v>37.6</v>
      </c>
      <c r="M595" s="426">
        <v>40</v>
      </c>
      <c r="N595" s="426">
        <v>52</v>
      </c>
      <c r="O595" s="429" t="s">
        <v>142</v>
      </c>
      <c r="P595" s="429" t="s">
        <v>142</v>
      </c>
      <c r="Q595" s="314" t="s">
        <v>142</v>
      </c>
      <c r="R595" s="429" t="s">
        <v>4058</v>
      </c>
      <c r="S595" s="430" t="s">
        <v>2515</v>
      </c>
      <c r="T595" s="430" t="s">
        <v>23</v>
      </c>
      <c r="U595" s="813" t="s">
        <v>236</v>
      </c>
      <c r="V595" s="724"/>
    </row>
    <row r="596" spans="2:22" ht="30.75" customHeight="1" x14ac:dyDescent="0.25">
      <c r="B596" s="424">
        <v>44850</v>
      </c>
      <c r="C596" s="710">
        <v>0.95833333333333337</v>
      </c>
      <c r="D596" s="425">
        <v>52</v>
      </c>
      <c r="E596" s="426">
        <v>13.2</v>
      </c>
      <c r="F596" s="427">
        <v>16.899999999999999</v>
      </c>
      <c r="G596" s="428">
        <v>1190</v>
      </c>
      <c r="H596" s="428">
        <v>2133</v>
      </c>
      <c r="I596" s="428">
        <v>98.1</v>
      </c>
      <c r="J596" s="436">
        <v>114.7</v>
      </c>
      <c r="K596" s="436" t="s">
        <v>4062</v>
      </c>
      <c r="L596" s="426">
        <v>40</v>
      </c>
      <c r="M596" s="426">
        <v>42.5</v>
      </c>
      <c r="N596" s="426">
        <v>48</v>
      </c>
      <c r="O596" s="429" t="s">
        <v>142</v>
      </c>
      <c r="P596" s="429" t="s">
        <v>142</v>
      </c>
      <c r="Q596" s="314" t="s">
        <v>142</v>
      </c>
      <c r="R596" s="429" t="s">
        <v>4063</v>
      </c>
      <c r="S596" s="430" t="s">
        <v>3183</v>
      </c>
      <c r="T596" s="430" t="s">
        <v>23</v>
      </c>
      <c r="U596" s="813" t="s">
        <v>236</v>
      </c>
      <c r="V596" s="1001" t="s">
        <v>4064</v>
      </c>
    </row>
    <row r="597" spans="2:22" ht="30.75" customHeight="1" x14ac:dyDescent="0.25">
      <c r="B597" s="424">
        <v>44851</v>
      </c>
      <c r="C597" s="710">
        <v>0.54166666666666663</v>
      </c>
      <c r="D597" s="425">
        <v>52</v>
      </c>
      <c r="E597" s="426">
        <v>11.3</v>
      </c>
      <c r="F597" s="427">
        <v>15.5</v>
      </c>
      <c r="G597" s="428">
        <v>1192</v>
      </c>
      <c r="H597" s="428">
        <v>2039</v>
      </c>
      <c r="I597" s="428">
        <v>97.8</v>
      </c>
      <c r="J597" s="436">
        <v>112.1</v>
      </c>
      <c r="K597" s="436" t="s">
        <v>4075</v>
      </c>
      <c r="L597" s="426">
        <v>38.86</v>
      </c>
      <c r="M597" s="426">
        <v>41</v>
      </c>
      <c r="N597" s="426">
        <v>54.02</v>
      </c>
      <c r="O597" s="429" t="s">
        <v>142</v>
      </c>
      <c r="P597" s="429" t="s">
        <v>142</v>
      </c>
      <c r="Q597" s="314" t="s">
        <v>142</v>
      </c>
      <c r="R597" s="429" t="s">
        <v>4076</v>
      </c>
      <c r="S597" s="430" t="s">
        <v>3073</v>
      </c>
      <c r="T597" s="430" t="s">
        <v>23</v>
      </c>
      <c r="U597" s="813" t="s">
        <v>236</v>
      </c>
      <c r="V597" s="1001"/>
    </row>
    <row r="598" spans="2:22" ht="30.75" customHeight="1" x14ac:dyDescent="0.25">
      <c r="B598" s="424">
        <v>44852</v>
      </c>
      <c r="C598" s="710">
        <v>0.54166666666666663</v>
      </c>
      <c r="D598" s="425">
        <v>52</v>
      </c>
      <c r="E598" s="426">
        <v>10.6</v>
      </c>
      <c r="F598" s="427">
        <v>14.9</v>
      </c>
      <c r="G598" s="428">
        <v>1106</v>
      </c>
      <c r="H598" s="428">
        <v>2045</v>
      </c>
      <c r="I598" s="428">
        <v>99</v>
      </c>
      <c r="J598" s="436">
        <v>112.3</v>
      </c>
      <c r="K598" s="436" t="s">
        <v>4083</v>
      </c>
      <c r="L598" s="426">
        <v>38.1</v>
      </c>
      <c r="M598" s="426">
        <v>41</v>
      </c>
      <c r="N598" s="426">
        <v>49.02</v>
      </c>
      <c r="O598" s="429" t="s">
        <v>142</v>
      </c>
      <c r="P598" s="429" t="s">
        <v>142</v>
      </c>
      <c r="Q598" s="314" t="s">
        <v>142</v>
      </c>
      <c r="R598" s="429" t="s">
        <v>2376</v>
      </c>
      <c r="S598" s="430" t="s">
        <v>2377</v>
      </c>
      <c r="T598" s="430" t="s">
        <v>23</v>
      </c>
      <c r="U598" s="813" t="s">
        <v>236</v>
      </c>
      <c r="V598" s="1001"/>
    </row>
    <row r="599" spans="2:22" ht="51" customHeight="1" x14ac:dyDescent="0.25">
      <c r="B599" s="424">
        <v>44853</v>
      </c>
      <c r="C599" s="710">
        <v>0.95833333333333337</v>
      </c>
      <c r="D599" s="1516" t="s">
        <v>4094</v>
      </c>
      <c r="E599" s="1517"/>
      <c r="F599" s="1517"/>
      <c r="G599" s="1517"/>
      <c r="H599" s="1517"/>
      <c r="I599" s="1517"/>
      <c r="J599" s="1517"/>
      <c r="K599" s="1517"/>
      <c r="L599" s="1517"/>
      <c r="M599" s="1517"/>
      <c r="N599" s="1517"/>
      <c r="O599" s="1517"/>
      <c r="P599" s="1517"/>
      <c r="Q599" s="1517"/>
      <c r="R599" s="1517"/>
      <c r="S599" s="1518"/>
      <c r="T599" s="430" t="s">
        <v>23</v>
      </c>
      <c r="U599" s="813" t="s">
        <v>236</v>
      </c>
      <c r="V599" s="1001"/>
    </row>
    <row r="600" spans="2:22" ht="30.75" customHeight="1" x14ac:dyDescent="0.25">
      <c r="B600" s="424">
        <v>44854</v>
      </c>
      <c r="C600" s="710">
        <v>0.58333333333333337</v>
      </c>
      <c r="D600" s="425">
        <v>51</v>
      </c>
      <c r="E600" s="426">
        <v>13.8</v>
      </c>
      <c r="F600" s="427">
        <v>17.3</v>
      </c>
      <c r="G600" s="428">
        <v>1276</v>
      </c>
      <c r="H600" s="428">
        <v>2017</v>
      </c>
      <c r="I600" s="428">
        <v>96.6</v>
      </c>
      <c r="J600" s="436">
        <v>113.8</v>
      </c>
      <c r="K600" s="436" t="s">
        <v>4097</v>
      </c>
      <c r="L600" s="426">
        <v>38.31</v>
      </c>
      <c r="M600" s="426">
        <v>41</v>
      </c>
      <c r="N600" s="426">
        <v>53.74</v>
      </c>
      <c r="O600" s="429" t="s">
        <v>142</v>
      </c>
      <c r="P600" s="429" t="s">
        <v>142</v>
      </c>
      <c r="Q600" s="314" t="s">
        <v>142</v>
      </c>
      <c r="R600" s="429" t="s">
        <v>2622</v>
      </c>
      <c r="S600" s="430" t="s">
        <v>2623</v>
      </c>
      <c r="T600" s="430" t="s">
        <v>23</v>
      </c>
      <c r="U600" s="813" t="s">
        <v>236</v>
      </c>
      <c r="V600" s="1001"/>
    </row>
    <row r="601" spans="2:22" ht="30.75" customHeight="1" x14ac:dyDescent="0.25">
      <c r="B601" s="424">
        <v>44855</v>
      </c>
      <c r="C601" s="710">
        <v>0.60416666666666663</v>
      </c>
      <c r="D601" s="425">
        <v>51</v>
      </c>
      <c r="E601" s="426">
        <v>10.6</v>
      </c>
      <c r="F601" s="427">
        <v>14.8</v>
      </c>
      <c r="G601" s="428">
        <v>1131</v>
      </c>
      <c r="H601" s="428">
        <v>2024</v>
      </c>
      <c r="I601" s="428">
        <v>98.8</v>
      </c>
      <c r="J601" s="436">
        <v>111.6</v>
      </c>
      <c r="K601" s="436" t="s">
        <v>4108</v>
      </c>
      <c r="L601" s="426">
        <v>39.79</v>
      </c>
      <c r="M601" s="426">
        <v>42</v>
      </c>
      <c r="N601" s="426">
        <v>49.27</v>
      </c>
      <c r="O601" s="429" t="s">
        <v>142</v>
      </c>
      <c r="P601" s="429" t="s">
        <v>142</v>
      </c>
      <c r="Q601" s="314" t="s">
        <v>142</v>
      </c>
      <c r="R601" s="429" t="s">
        <v>3434</v>
      </c>
      <c r="S601" s="430" t="s">
        <v>3077</v>
      </c>
      <c r="T601" s="430" t="s">
        <v>23</v>
      </c>
      <c r="U601" s="813" t="s">
        <v>236</v>
      </c>
      <c r="V601" s="1001"/>
    </row>
    <row r="602" spans="2:22" ht="30.75" customHeight="1" x14ac:dyDescent="0.25">
      <c r="B602" s="424">
        <v>44856</v>
      </c>
      <c r="C602" s="710">
        <v>0.75</v>
      </c>
      <c r="D602" s="425">
        <v>51</v>
      </c>
      <c r="E602" s="426">
        <v>9.8000000000000007</v>
      </c>
      <c r="F602" s="427">
        <v>14.7</v>
      </c>
      <c r="G602" s="428">
        <v>1144</v>
      </c>
      <c r="H602" s="428">
        <v>2124</v>
      </c>
      <c r="I602" s="428">
        <v>98.4</v>
      </c>
      <c r="J602" s="436">
        <v>112</v>
      </c>
      <c r="K602" s="436" t="s">
        <v>4111</v>
      </c>
      <c r="L602" s="426">
        <v>39.799999999999997</v>
      </c>
      <c r="M602" s="426">
        <v>42</v>
      </c>
      <c r="N602" s="426">
        <v>52</v>
      </c>
      <c r="O602" s="429" t="s">
        <v>142</v>
      </c>
      <c r="P602" s="429" t="s">
        <v>142</v>
      </c>
      <c r="Q602" s="314" t="s">
        <v>142</v>
      </c>
      <c r="R602" s="429" t="s">
        <v>3434</v>
      </c>
      <c r="S602" s="430" t="s">
        <v>3270</v>
      </c>
      <c r="T602" s="430" t="s">
        <v>23</v>
      </c>
      <c r="U602" s="813" t="s">
        <v>236</v>
      </c>
      <c r="V602" s="1001"/>
    </row>
    <row r="603" spans="2:22" ht="47.25" customHeight="1" x14ac:dyDescent="0.25">
      <c r="B603" s="424">
        <v>44857</v>
      </c>
      <c r="C603" s="710">
        <v>0.75</v>
      </c>
      <c r="D603" s="1516" t="s">
        <v>4120</v>
      </c>
      <c r="E603" s="1517"/>
      <c r="F603" s="1517"/>
      <c r="G603" s="1517"/>
      <c r="H603" s="1517"/>
      <c r="I603" s="1517"/>
      <c r="J603" s="1517"/>
      <c r="K603" s="1517"/>
      <c r="L603" s="1517"/>
      <c r="M603" s="1517"/>
      <c r="N603" s="1517"/>
      <c r="O603" s="1517"/>
      <c r="P603" s="1517"/>
      <c r="Q603" s="1517"/>
      <c r="R603" s="1517"/>
      <c r="S603" s="1518"/>
      <c r="T603" s="430" t="s">
        <v>23</v>
      </c>
      <c r="U603" s="813" t="s">
        <v>236</v>
      </c>
      <c r="V603" s="1001"/>
    </row>
    <row r="604" spans="2:22" ht="30.75" customHeight="1" x14ac:dyDescent="0.25">
      <c r="B604" s="424">
        <v>44858</v>
      </c>
      <c r="C604" s="710">
        <v>0.75</v>
      </c>
      <c r="D604" s="425">
        <v>51</v>
      </c>
      <c r="E604" s="426">
        <v>11.1</v>
      </c>
      <c r="F604" s="427">
        <v>14.9</v>
      </c>
      <c r="G604" s="428">
        <v>1183</v>
      </c>
      <c r="H604" s="428">
        <v>2040</v>
      </c>
      <c r="I604" s="428">
        <v>98.2</v>
      </c>
      <c r="J604" s="436">
        <v>111.4</v>
      </c>
      <c r="K604" s="436" t="s">
        <v>4121</v>
      </c>
      <c r="L604" s="426">
        <v>38.5</v>
      </c>
      <c r="M604" s="426">
        <v>40</v>
      </c>
      <c r="N604" s="426">
        <v>51</v>
      </c>
      <c r="O604" s="429" t="s">
        <v>142</v>
      </c>
      <c r="P604" s="429" t="s">
        <v>142</v>
      </c>
      <c r="Q604" s="314" t="s">
        <v>142</v>
      </c>
      <c r="R604" s="429" t="s">
        <v>3434</v>
      </c>
      <c r="S604" s="430" t="s">
        <v>3073</v>
      </c>
      <c r="T604" s="430" t="s">
        <v>23</v>
      </c>
      <c r="U604" s="813" t="s">
        <v>236</v>
      </c>
      <c r="V604" s="1001"/>
    </row>
    <row r="605" spans="2:22" ht="47.25" customHeight="1" x14ac:dyDescent="0.25">
      <c r="B605" s="424">
        <v>44859</v>
      </c>
      <c r="C605" s="710">
        <v>0.95833333333333337</v>
      </c>
      <c r="D605" s="1516" t="s">
        <v>4132</v>
      </c>
      <c r="E605" s="1517"/>
      <c r="F605" s="1517"/>
      <c r="G605" s="1517"/>
      <c r="H605" s="1517"/>
      <c r="I605" s="1517"/>
      <c r="J605" s="1517"/>
      <c r="K605" s="1517"/>
      <c r="L605" s="1517"/>
      <c r="M605" s="1517"/>
      <c r="N605" s="1517"/>
      <c r="O605" s="1517"/>
      <c r="P605" s="1517"/>
      <c r="Q605" s="1517"/>
      <c r="R605" s="1517"/>
      <c r="S605" s="1518"/>
      <c r="T605" s="430" t="s">
        <v>23</v>
      </c>
      <c r="U605" s="813" t="s">
        <v>236</v>
      </c>
      <c r="V605" s="1001"/>
    </row>
    <row r="606" spans="2:22" ht="30.75" customHeight="1" x14ac:dyDescent="0.25">
      <c r="B606" s="424">
        <v>44860</v>
      </c>
      <c r="C606" s="710">
        <v>0.95833333333333337</v>
      </c>
      <c r="D606" s="425">
        <v>51</v>
      </c>
      <c r="E606" s="426">
        <v>10.199999999999999</v>
      </c>
      <c r="F606" s="427">
        <v>14.7</v>
      </c>
      <c r="G606" s="428">
        <v>1138</v>
      </c>
      <c r="H606" s="428">
        <v>2022</v>
      </c>
      <c r="I606" s="428">
        <v>98.8</v>
      </c>
      <c r="J606" s="436">
        <v>111.7</v>
      </c>
      <c r="K606" s="436" t="s">
        <v>4134</v>
      </c>
      <c r="L606" s="426">
        <v>38.89</v>
      </c>
      <c r="M606" s="426">
        <v>40</v>
      </c>
      <c r="N606" s="426">
        <v>49.27</v>
      </c>
      <c r="O606" s="429" t="s">
        <v>142</v>
      </c>
      <c r="P606" s="429" t="s">
        <v>142</v>
      </c>
      <c r="Q606" s="314" t="s">
        <v>142</v>
      </c>
      <c r="R606" s="429" t="s">
        <v>3737</v>
      </c>
      <c r="S606" s="430" t="s">
        <v>2681</v>
      </c>
      <c r="T606" s="430" t="s">
        <v>23</v>
      </c>
      <c r="U606" s="813" t="s">
        <v>236</v>
      </c>
      <c r="V606" s="1001"/>
    </row>
    <row r="607" spans="2:22" ht="30.75" customHeight="1" x14ac:dyDescent="0.25">
      <c r="B607" s="424">
        <v>44861</v>
      </c>
      <c r="C607" s="710">
        <v>0.91666666666666663</v>
      </c>
      <c r="D607" s="1481" t="s">
        <v>4147</v>
      </c>
      <c r="E607" s="1482"/>
      <c r="F607" s="1482"/>
      <c r="G607" s="1482"/>
      <c r="H607" s="1482"/>
      <c r="I607" s="1482"/>
      <c r="J607" s="1482"/>
      <c r="K607" s="1482"/>
      <c r="L607" s="1482"/>
      <c r="M607" s="1482"/>
      <c r="N607" s="1482"/>
      <c r="O607" s="1482"/>
      <c r="P607" s="1482"/>
      <c r="Q607" s="1482"/>
      <c r="R607" s="1482"/>
      <c r="S607" s="1483"/>
      <c r="T607" s="430" t="s">
        <v>23</v>
      </c>
      <c r="U607" s="813" t="s">
        <v>236</v>
      </c>
      <c r="V607" s="1001"/>
    </row>
    <row r="608" spans="2:22" ht="47.25" customHeight="1" x14ac:dyDescent="0.25">
      <c r="B608" s="424">
        <v>44862</v>
      </c>
      <c r="C608" s="710">
        <v>0.95833333333333337</v>
      </c>
      <c r="D608" s="1516" t="s">
        <v>4159</v>
      </c>
      <c r="E608" s="1517"/>
      <c r="F608" s="1517"/>
      <c r="G608" s="1517"/>
      <c r="H608" s="1517"/>
      <c r="I608" s="1517"/>
      <c r="J608" s="1517"/>
      <c r="K608" s="1517"/>
      <c r="L608" s="1517"/>
      <c r="M608" s="1517"/>
      <c r="N608" s="1517"/>
      <c r="O608" s="1517"/>
      <c r="P608" s="1517"/>
      <c r="Q608" s="1517"/>
      <c r="R608" s="1517"/>
      <c r="S608" s="1518"/>
      <c r="T608" s="430" t="s">
        <v>23</v>
      </c>
      <c r="U608" s="813" t="s">
        <v>236</v>
      </c>
      <c r="V608" s="1001"/>
    </row>
    <row r="609" spans="2:22" ht="30.75" customHeight="1" x14ac:dyDescent="0.25">
      <c r="B609" s="424">
        <v>44863</v>
      </c>
      <c r="C609" s="710">
        <v>0.97916666666666663</v>
      </c>
      <c r="D609" s="425">
        <v>51</v>
      </c>
      <c r="E609" s="426">
        <v>13</v>
      </c>
      <c r="F609" s="427">
        <v>16.600000000000001</v>
      </c>
      <c r="G609" s="428">
        <v>1242</v>
      </c>
      <c r="H609" s="428">
        <v>2099</v>
      </c>
      <c r="I609" s="428">
        <v>97.5</v>
      </c>
      <c r="J609" s="436">
        <v>112.7</v>
      </c>
      <c r="K609" s="436" t="s">
        <v>4160</v>
      </c>
      <c r="L609" s="426">
        <v>39.130000000000003</v>
      </c>
      <c r="M609" s="426">
        <v>42</v>
      </c>
      <c r="N609" s="426">
        <v>53.06</v>
      </c>
      <c r="O609" s="429" t="s">
        <v>142</v>
      </c>
      <c r="P609" s="429" t="s">
        <v>142</v>
      </c>
      <c r="Q609" s="314" t="s">
        <v>142</v>
      </c>
      <c r="R609" s="429" t="s">
        <v>1389</v>
      </c>
      <c r="S609" s="430" t="s">
        <v>3042</v>
      </c>
      <c r="T609" s="430" t="s">
        <v>23</v>
      </c>
      <c r="U609" s="813" t="s">
        <v>236</v>
      </c>
      <c r="V609" s="1001" t="s">
        <v>4168</v>
      </c>
    </row>
    <row r="610" spans="2:22" ht="30.75" customHeight="1" x14ac:dyDescent="0.25">
      <c r="B610" s="424">
        <v>44864</v>
      </c>
      <c r="C610" s="710">
        <v>0.97916666666666663</v>
      </c>
      <c r="D610" s="425">
        <v>51</v>
      </c>
      <c r="E610" s="426">
        <v>10.6</v>
      </c>
      <c r="F610" s="427">
        <v>14.9</v>
      </c>
      <c r="G610" s="428">
        <v>1133</v>
      </c>
      <c r="H610" s="428">
        <v>2037</v>
      </c>
      <c r="I610" s="428">
        <v>99</v>
      </c>
      <c r="J610" s="436">
        <v>111.6</v>
      </c>
      <c r="K610" s="436" t="s">
        <v>4169</v>
      </c>
      <c r="L610" s="426">
        <v>38.380000000000003</v>
      </c>
      <c r="M610" s="426">
        <v>43</v>
      </c>
      <c r="N610" s="426">
        <v>48.12</v>
      </c>
      <c r="O610" s="429" t="s">
        <v>142</v>
      </c>
      <c r="P610" s="429" t="s">
        <v>142</v>
      </c>
      <c r="Q610" s="314" t="s">
        <v>142</v>
      </c>
      <c r="R610" s="429" t="s">
        <v>2376</v>
      </c>
      <c r="S610" s="430" t="s">
        <v>2377</v>
      </c>
      <c r="T610" s="430" t="s">
        <v>23</v>
      </c>
      <c r="U610" s="813" t="s">
        <v>236</v>
      </c>
      <c r="V610" s="1001"/>
    </row>
    <row r="611" spans="2:22" ht="47.25" customHeight="1" x14ac:dyDescent="0.25">
      <c r="B611" s="424">
        <v>44865</v>
      </c>
      <c r="C611" s="710">
        <v>0.875</v>
      </c>
      <c r="D611" s="1516" t="s">
        <v>4174</v>
      </c>
      <c r="E611" s="1517"/>
      <c r="F611" s="1517"/>
      <c r="G611" s="1517"/>
      <c r="H611" s="1517"/>
      <c r="I611" s="1517"/>
      <c r="J611" s="1517"/>
      <c r="K611" s="1517"/>
      <c r="L611" s="1517"/>
      <c r="M611" s="1517"/>
      <c r="N611" s="1517"/>
      <c r="O611" s="1517"/>
      <c r="P611" s="1517"/>
      <c r="Q611" s="1517"/>
      <c r="R611" s="1517"/>
      <c r="S611" s="1518"/>
      <c r="T611" s="430" t="s">
        <v>23</v>
      </c>
      <c r="U611" s="813" t="s">
        <v>236</v>
      </c>
      <c r="V611" s="1001"/>
    </row>
    <row r="612" spans="2:22" ht="30.75" customHeight="1" x14ac:dyDescent="0.25">
      <c r="B612" s="424">
        <v>44866</v>
      </c>
      <c r="C612" s="710">
        <v>0.95833333333333337</v>
      </c>
      <c r="D612" s="425">
        <v>51</v>
      </c>
      <c r="E612" s="426">
        <v>10.4</v>
      </c>
      <c r="F612" s="427">
        <v>14.8</v>
      </c>
      <c r="G612" s="428">
        <v>1098</v>
      </c>
      <c r="H612" s="428">
        <v>1953</v>
      </c>
      <c r="I612" s="428">
        <v>99</v>
      </c>
      <c r="J612" s="436">
        <v>111.5</v>
      </c>
      <c r="K612" s="436" t="s">
        <v>4176</v>
      </c>
      <c r="L612" s="426">
        <v>35.270000000000003</v>
      </c>
      <c r="M612" s="426">
        <v>38.5</v>
      </c>
      <c r="N612" s="426">
        <v>49.8</v>
      </c>
      <c r="O612" s="429" t="s">
        <v>142</v>
      </c>
      <c r="P612" s="429" t="s">
        <v>142</v>
      </c>
      <c r="Q612" s="314" t="s">
        <v>142</v>
      </c>
      <c r="R612" s="429" t="s">
        <v>4177</v>
      </c>
      <c r="S612" s="430" t="s">
        <v>3077</v>
      </c>
      <c r="T612" s="430" t="s">
        <v>23</v>
      </c>
      <c r="U612" s="813" t="s">
        <v>236</v>
      </c>
      <c r="V612" s="1001"/>
    </row>
    <row r="613" spans="2:22" ht="47.25" customHeight="1" x14ac:dyDescent="0.25">
      <c r="B613" s="424">
        <v>44867</v>
      </c>
      <c r="C613" s="710">
        <v>0.97916666666666663</v>
      </c>
      <c r="D613" s="1516"/>
      <c r="E613" s="1517"/>
      <c r="F613" s="1517"/>
      <c r="G613" s="1517"/>
      <c r="H613" s="1517"/>
      <c r="I613" s="1517"/>
      <c r="J613" s="1517"/>
      <c r="K613" s="1517"/>
      <c r="L613" s="1517"/>
      <c r="M613" s="1517"/>
      <c r="N613" s="1517"/>
      <c r="O613" s="1517"/>
      <c r="P613" s="1517"/>
      <c r="Q613" s="1517"/>
      <c r="R613" s="1517"/>
      <c r="S613" s="1518"/>
      <c r="T613" s="430" t="s">
        <v>23</v>
      </c>
      <c r="U613" s="813" t="s">
        <v>236</v>
      </c>
      <c r="V613" s="1001"/>
    </row>
    <row r="614" spans="2:22" ht="30.75" customHeight="1" x14ac:dyDescent="0.25">
      <c r="B614" s="424">
        <v>44868</v>
      </c>
      <c r="C614" s="710">
        <v>7.2916666666666671E-2</v>
      </c>
      <c r="D614" s="425">
        <v>51</v>
      </c>
      <c r="E614" s="426">
        <v>13.2</v>
      </c>
      <c r="F614" s="427">
        <v>16.899999999999999</v>
      </c>
      <c r="G614" s="428">
        <v>1339</v>
      </c>
      <c r="H614" s="428">
        <v>1587</v>
      </c>
      <c r="I614" s="428">
        <v>96.7</v>
      </c>
      <c r="J614" s="436">
        <v>105.1</v>
      </c>
      <c r="K614" s="436" t="s">
        <v>4199</v>
      </c>
      <c r="L614" s="426">
        <v>40.369999999999997</v>
      </c>
      <c r="M614" s="426">
        <v>43.5</v>
      </c>
      <c r="N614" s="426">
        <v>39</v>
      </c>
      <c r="O614" s="429" t="s">
        <v>142</v>
      </c>
      <c r="P614" s="429" t="s">
        <v>142</v>
      </c>
      <c r="Q614" s="314" t="s">
        <v>142</v>
      </c>
      <c r="R614" s="429" t="s">
        <v>4200</v>
      </c>
      <c r="S614" s="430" t="s">
        <v>3183</v>
      </c>
      <c r="T614" s="430" t="s">
        <v>23</v>
      </c>
      <c r="U614" s="813" t="s">
        <v>236</v>
      </c>
      <c r="V614" s="1001"/>
    </row>
    <row r="615" spans="2:22" ht="30.75" customHeight="1" x14ac:dyDescent="0.25">
      <c r="B615" s="424">
        <v>44869</v>
      </c>
      <c r="C615" s="710">
        <v>5.2083333333333336E-2</v>
      </c>
      <c r="D615" s="425">
        <v>50</v>
      </c>
      <c r="E615" s="426">
        <v>12.7</v>
      </c>
      <c r="F615" s="427">
        <v>16.7</v>
      </c>
      <c r="G615" s="428">
        <v>1384</v>
      </c>
      <c r="H615" s="428">
        <v>1982</v>
      </c>
      <c r="I615" s="428">
        <v>96</v>
      </c>
      <c r="J615" s="436">
        <v>102.1</v>
      </c>
      <c r="K615" s="436" t="s">
        <v>4203</v>
      </c>
      <c r="L615" s="426">
        <v>39.64</v>
      </c>
      <c r="M615" s="426">
        <v>42.5</v>
      </c>
      <c r="N615" s="426" t="s">
        <v>4204</v>
      </c>
      <c r="O615" s="429" t="s">
        <v>142</v>
      </c>
      <c r="P615" s="429" t="s">
        <v>142</v>
      </c>
      <c r="Q615" s="314" t="s">
        <v>142</v>
      </c>
      <c r="R615" s="429" t="s">
        <v>2078</v>
      </c>
      <c r="S615" s="430" t="s">
        <v>3016</v>
      </c>
      <c r="T615" s="430" t="s">
        <v>23</v>
      </c>
      <c r="U615" s="813" t="s">
        <v>236</v>
      </c>
      <c r="V615" s="1001"/>
    </row>
    <row r="616" spans="2:22" ht="30.75" customHeight="1" x14ac:dyDescent="0.25">
      <c r="B616" s="424">
        <v>44870</v>
      </c>
      <c r="C616" s="710">
        <v>0.97916666666666663</v>
      </c>
      <c r="D616" s="425">
        <v>51</v>
      </c>
      <c r="E616" s="426">
        <v>10.199999999999999</v>
      </c>
      <c r="F616" s="427">
        <v>14.7</v>
      </c>
      <c r="G616" s="428">
        <v>1164</v>
      </c>
      <c r="H616" s="428">
        <v>2004</v>
      </c>
      <c r="I616" s="428">
        <v>98.8</v>
      </c>
      <c r="J616" s="436">
        <v>111</v>
      </c>
      <c r="K616" s="436" t="s">
        <v>4208</v>
      </c>
      <c r="L616" s="426">
        <v>39.659999999999997</v>
      </c>
      <c r="M616" s="426">
        <v>42.5</v>
      </c>
      <c r="N616" s="426">
        <v>49.31</v>
      </c>
      <c r="O616" s="429" t="s">
        <v>142</v>
      </c>
      <c r="P616" s="429" t="s">
        <v>142</v>
      </c>
      <c r="Q616" s="314" t="s">
        <v>142</v>
      </c>
      <c r="R616" s="429" t="s">
        <v>2658</v>
      </c>
      <c r="S616" s="430" t="s">
        <v>2681</v>
      </c>
      <c r="T616" s="430" t="s">
        <v>23</v>
      </c>
      <c r="U616" s="813" t="s">
        <v>236</v>
      </c>
      <c r="V616" s="1001"/>
    </row>
    <row r="617" spans="2:22" ht="30.75" customHeight="1" x14ac:dyDescent="0.25">
      <c r="B617" s="424">
        <v>44871</v>
      </c>
      <c r="C617" s="710">
        <v>2.0833333333333332E-2</v>
      </c>
      <c r="D617" s="425">
        <v>51</v>
      </c>
      <c r="E617" s="426">
        <v>11.1</v>
      </c>
      <c r="F617" s="427">
        <v>15.2</v>
      </c>
      <c r="G617" s="428">
        <v>1196</v>
      </c>
      <c r="H617" s="428">
        <v>2072</v>
      </c>
      <c r="I617" s="428">
        <v>97.8</v>
      </c>
      <c r="J617" s="436">
        <v>111.3</v>
      </c>
      <c r="K617" s="436" t="s">
        <v>4218</v>
      </c>
      <c r="L617" s="426">
        <v>39.9</v>
      </c>
      <c r="M617" s="426">
        <v>42.5</v>
      </c>
      <c r="N617" s="426">
        <v>53.4</v>
      </c>
      <c r="O617" s="429" t="s">
        <v>142</v>
      </c>
      <c r="P617" s="429" t="s">
        <v>142</v>
      </c>
      <c r="Q617" s="314" t="s">
        <v>142</v>
      </c>
      <c r="R617" s="429" t="s">
        <v>2053</v>
      </c>
      <c r="S617" s="430" t="s">
        <v>2297</v>
      </c>
      <c r="T617" s="430" t="s">
        <v>23</v>
      </c>
      <c r="U617" s="813" t="s">
        <v>236</v>
      </c>
      <c r="V617" s="1001"/>
    </row>
    <row r="618" spans="2:22" ht="30.75" customHeight="1" x14ac:dyDescent="0.25">
      <c r="B618" s="424">
        <v>44872</v>
      </c>
      <c r="C618" s="710">
        <v>0.97916666666666663</v>
      </c>
      <c r="D618" s="425">
        <v>51</v>
      </c>
      <c r="E618" s="426">
        <v>10</v>
      </c>
      <c r="F618" s="427">
        <v>14.4</v>
      </c>
      <c r="G618" s="428">
        <v>1146</v>
      </c>
      <c r="H618" s="428">
        <v>2024</v>
      </c>
      <c r="I618" s="428">
        <v>98.8</v>
      </c>
      <c r="J618" s="436">
        <v>111.3</v>
      </c>
      <c r="K618" s="436" t="s">
        <v>4229</v>
      </c>
      <c r="L618" s="426">
        <v>37.799999999999997</v>
      </c>
      <c r="M618" s="426">
        <v>42.5</v>
      </c>
      <c r="N618" s="426">
        <v>49.04</v>
      </c>
      <c r="O618" s="429" t="s">
        <v>142</v>
      </c>
      <c r="P618" s="429" t="s">
        <v>142</v>
      </c>
      <c r="Q618" s="314" t="s">
        <v>142</v>
      </c>
      <c r="R618" s="429" t="s">
        <v>1979</v>
      </c>
      <c r="S618" s="430" t="s">
        <v>2751</v>
      </c>
      <c r="T618" s="430" t="s">
        <v>23</v>
      </c>
      <c r="U618" s="813" t="s">
        <v>236</v>
      </c>
      <c r="V618" s="1001"/>
    </row>
    <row r="619" spans="2:22" ht="30.75" customHeight="1" x14ac:dyDescent="0.25">
      <c r="B619" s="424">
        <v>44873</v>
      </c>
      <c r="C619" s="710">
        <v>0</v>
      </c>
      <c r="D619" s="425">
        <v>51</v>
      </c>
      <c r="E619" s="426">
        <v>10.6</v>
      </c>
      <c r="F619" s="427">
        <v>14.8</v>
      </c>
      <c r="G619" s="428">
        <v>1123</v>
      </c>
      <c r="H619" s="428">
        <v>1958</v>
      </c>
      <c r="I619" s="428">
        <v>98.8</v>
      </c>
      <c r="J619" s="436">
        <v>111.3</v>
      </c>
      <c r="K619" s="436" t="s">
        <v>4232</v>
      </c>
      <c r="L619" s="426">
        <v>38.22</v>
      </c>
      <c r="M619" s="426">
        <v>42.5</v>
      </c>
      <c r="N619" s="426">
        <v>51.4</v>
      </c>
      <c r="O619" s="429" t="s">
        <v>142</v>
      </c>
      <c r="P619" s="429" t="s">
        <v>142</v>
      </c>
      <c r="Q619" s="314" t="s">
        <v>142</v>
      </c>
      <c r="R619" s="429" t="s">
        <v>2507</v>
      </c>
      <c r="S619" s="430" t="s">
        <v>2681</v>
      </c>
      <c r="T619" s="430" t="s">
        <v>23</v>
      </c>
      <c r="U619" s="813" t="s">
        <v>236</v>
      </c>
      <c r="V619" s="1001"/>
    </row>
    <row r="620" spans="2:22" ht="30.75" customHeight="1" x14ac:dyDescent="0.25">
      <c r="B620" s="424">
        <v>44874</v>
      </c>
      <c r="C620" s="710">
        <v>0.9375</v>
      </c>
      <c r="D620" s="1481" t="s">
        <v>4240</v>
      </c>
      <c r="E620" s="1482"/>
      <c r="F620" s="1482"/>
      <c r="G620" s="1482"/>
      <c r="H620" s="1482"/>
      <c r="I620" s="1482"/>
      <c r="J620" s="1482"/>
      <c r="K620" s="1482"/>
      <c r="L620" s="1482"/>
      <c r="M620" s="1482"/>
      <c r="N620" s="1482"/>
      <c r="O620" s="1482"/>
      <c r="P620" s="1482"/>
      <c r="Q620" s="1482"/>
      <c r="R620" s="1482"/>
      <c r="S620" s="1483"/>
      <c r="T620" s="430" t="s">
        <v>23</v>
      </c>
      <c r="U620" s="813" t="s">
        <v>236</v>
      </c>
      <c r="V620" s="1001"/>
    </row>
    <row r="621" spans="2:22" ht="30.75" customHeight="1" x14ac:dyDescent="0.25">
      <c r="B621" s="424">
        <v>44875</v>
      </c>
      <c r="C621" s="710">
        <v>0.97916666666666663</v>
      </c>
      <c r="D621" s="425">
        <v>51</v>
      </c>
      <c r="E621" s="426">
        <v>10.5</v>
      </c>
      <c r="F621" s="427">
        <v>14.9</v>
      </c>
      <c r="G621" s="428">
        <v>1114</v>
      </c>
      <c r="H621" s="428">
        <v>2000</v>
      </c>
      <c r="I621" s="428">
        <v>99</v>
      </c>
      <c r="J621" s="436">
        <v>111.5</v>
      </c>
      <c r="K621" s="436" t="s">
        <v>4241</v>
      </c>
      <c r="L621" s="426">
        <v>38.58</v>
      </c>
      <c r="M621" s="426">
        <v>42.5</v>
      </c>
      <c r="N621" s="426">
        <v>49.8</v>
      </c>
      <c r="O621" s="429" t="s">
        <v>142</v>
      </c>
      <c r="P621" s="429" t="s">
        <v>142</v>
      </c>
      <c r="Q621" s="314" t="s">
        <v>142</v>
      </c>
      <c r="R621" s="429" t="s">
        <v>3434</v>
      </c>
      <c r="S621" s="430" t="s">
        <v>2377</v>
      </c>
      <c r="T621" s="430" t="s">
        <v>23</v>
      </c>
      <c r="U621" s="813" t="s">
        <v>236</v>
      </c>
      <c r="V621" s="1001"/>
    </row>
    <row r="622" spans="2:22" ht="30.75" customHeight="1" x14ac:dyDescent="0.25">
      <c r="B622" s="424">
        <v>44876</v>
      </c>
      <c r="C622" s="710">
        <v>0.95833333333333337</v>
      </c>
      <c r="D622" s="1481" t="s">
        <v>4250</v>
      </c>
      <c r="E622" s="1482"/>
      <c r="F622" s="1482"/>
      <c r="G622" s="1482"/>
      <c r="H622" s="1482"/>
      <c r="I622" s="1482"/>
      <c r="J622" s="1482"/>
      <c r="K622" s="1482"/>
      <c r="L622" s="1482"/>
      <c r="M622" s="1482"/>
      <c r="N622" s="1482"/>
      <c r="O622" s="1482"/>
      <c r="P622" s="1482"/>
      <c r="Q622" s="1482"/>
      <c r="R622" s="1482"/>
      <c r="S622" s="1483"/>
      <c r="T622" s="430" t="s">
        <v>23</v>
      </c>
      <c r="U622" s="813" t="s">
        <v>236</v>
      </c>
      <c r="V622" s="1001"/>
    </row>
    <row r="623" spans="2:22" ht="30.75" customHeight="1" x14ac:dyDescent="0.25">
      <c r="B623" s="424">
        <v>44877</v>
      </c>
      <c r="C623" s="710">
        <v>0.97916666666666663</v>
      </c>
      <c r="D623" s="425">
        <v>51</v>
      </c>
      <c r="E623" s="426">
        <v>10.3</v>
      </c>
      <c r="F623" s="427">
        <v>14.6</v>
      </c>
      <c r="G623" s="428">
        <v>1124</v>
      </c>
      <c r="H623" s="428">
        <v>2087</v>
      </c>
      <c r="I623" s="428">
        <v>99</v>
      </c>
      <c r="J623" s="436">
        <v>111.6</v>
      </c>
      <c r="K623" s="436" t="s">
        <v>4251</v>
      </c>
      <c r="L623" s="426">
        <v>39.11</v>
      </c>
      <c r="M623" s="426">
        <v>43</v>
      </c>
      <c r="N623" s="426">
        <v>49.31</v>
      </c>
      <c r="O623" s="429" t="s">
        <v>142</v>
      </c>
      <c r="P623" s="429" t="s">
        <v>142</v>
      </c>
      <c r="Q623" s="314" t="s">
        <v>142</v>
      </c>
      <c r="R623" s="429" t="s">
        <v>2507</v>
      </c>
      <c r="S623" s="430" t="s">
        <v>2508</v>
      </c>
      <c r="T623" s="430" t="s">
        <v>23</v>
      </c>
      <c r="U623" s="813" t="s">
        <v>236</v>
      </c>
      <c r="V623" s="1001"/>
    </row>
    <row r="624" spans="2:22" ht="30.75" customHeight="1" x14ac:dyDescent="0.25">
      <c r="B624" s="424">
        <v>44878</v>
      </c>
      <c r="C624" s="1519" t="s">
        <v>4282</v>
      </c>
      <c r="D624" s="1520"/>
      <c r="E624" s="1520"/>
      <c r="F624" s="1520"/>
      <c r="G624" s="1520"/>
      <c r="H624" s="1520"/>
      <c r="I624" s="1520"/>
      <c r="J624" s="1520"/>
      <c r="K624" s="1520"/>
      <c r="L624" s="1520"/>
      <c r="M624" s="1520"/>
      <c r="N624" s="1520"/>
      <c r="O624" s="1520"/>
      <c r="P624" s="1520"/>
      <c r="Q624" s="1520"/>
      <c r="R624" s="1520"/>
      <c r="S624" s="1521"/>
      <c r="T624" s="430" t="s">
        <v>23</v>
      </c>
      <c r="U624" s="813" t="s">
        <v>236</v>
      </c>
      <c r="V624" s="1001"/>
    </row>
    <row r="625" spans="2:22" ht="30.75" customHeight="1" x14ac:dyDescent="0.25">
      <c r="B625" s="424">
        <v>44879</v>
      </c>
      <c r="C625" s="710">
        <v>0.77083333333333337</v>
      </c>
      <c r="D625" s="425">
        <v>51</v>
      </c>
      <c r="E625" s="426">
        <v>11.3</v>
      </c>
      <c r="F625" s="427">
        <v>15.3</v>
      </c>
      <c r="G625" s="428">
        <v>1196</v>
      </c>
      <c r="H625" s="428">
        <v>2122</v>
      </c>
      <c r="I625" s="428">
        <v>98.5</v>
      </c>
      <c r="J625" s="436">
        <v>111.7</v>
      </c>
      <c r="K625" s="436" t="s">
        <v>4256</v>
      </c>
      <c r="L625" s="426">
        <v>39.799999999999997</v>
      </c>
      <c r="M625" s="426">
        <v>42.5</v>
      </c>
      <c r="N625" s="426">
        <v>52.33</v>
      </c>
      <c r="O625" s="429" t="s">
        <v>142</v>
      </c>
      <c r="P625" s="429" t="s">
        <v>142</v>
      </c>
      <c r="Q625" s="314" t="s">
        <v>142</v>
      </c>
      <c r="R625" s="429" t="s">
        <v>4257</v>
      </c>
      <c r="S625" s="430" t="s">
        <v>3073</v>
      </c>
      <c r="T625" s="430" t="s">
        <v>23</v>
      </c>
      <c r="U625" s="813" t="s">
        <v>236</v>
      </c>
      <c r="V625" s="1001"/>
    </row>
    <row r="626" spans="2:22" ht="53.25" customHeight="1" x14ac:dyDescent="0.25">
      <c r="B626" s="424">
        <v>44880</v>
      </c>
      <c r="C626" s="1519" t="s">
        <v>4299</v>
      </c>
      <c r="D626" s="1520"/>
      <c r="E626" s="1520"/>
      <c r="F626" s="1520"/>
      <c r="G626" s="1520"/>
      <c r="H626" s="1520"/>
      <c r="I626" s="1520"/>
      <c r="J626" s="1520"/>
      <c r="K626" s="1520"/>
      <c r="L626" s="1520"/>
      <c r="M626" s="1520"/>
      <c r="N626" s="1520"/>
      <c r="O626" s="1520"/>
      <c r="P626" s="1520"/>
      <c r="Q626" s="1520"/>
      <c r="R626" s="1520"/>
      <c r="S626" s="1521"/>
      <c r="T626" s="430" t="s">
        <v>23</v>
      </c>
      <c r="U626" s="813" t="s">
        <v>236</v>
      </c>
      <c r="V626" s="1001"/>
    </row>
    <row r="627" spans="2:22" ht="30.75" customHeight="1" x14ac:dyDescent="0.25">
      <c r="B627" s="424">
        <v>44881</v>
      </c>
      <c r="C627" s="710">
        <v>0.97916666666666663</v>
      </c>
      <c r="D627" s="425">
        <v>52</v>
      </c>
      <c r="E627" s="426">
        <v>10.5</v>
      </c>
      <c r="F627" s="427">
        <v>14.9</v>
      </c>
      <c r="G627" s="428">
        <v>1121</v>
      </c>
      <c r="H627" s="428">
        <v>2015</v>
      </c>
      <c r="I627" s="428">
        <v>99</v>
      </c>
      <c r="J627" s="436">
        <v>111.7</v>
      </c>
      <c r="K627" s="436" t="s">
        <v>4297</v>
      </c>
      <c r="L627" s="426">
        <v>39.96</v>
      </c>
      <c r="M627" s="426">
        <v>42.5</v>
      </c>
      <c r="N627" s="426">
        <v>49.65</v>
      </c>
      <c r="O627" s="429" t="s">
        <v>142</v>
      </c>
      <c r="P627" s="429" t="s">
        <v>142</v>
      </c>
      <c r="Q627" s="314" t="s">
        <v>142</v>
      </c>
      <c r="R627" s="429" t="s">
        <v>3232</v>
      </c>
      <c r="S627" s="430" t="s">
        <v>3073</v>
      </c>
      <c r="T627" s="430" t="s">
        <v>23</v>
      </c>
      <c r="U627" s="813" t="s">
        <v>236</v>
      </c>
      <c r="V627" s="1001" t="s">
        <v>4298</v>
      </c>
    </row>
    <row r="628" spans="2:22" ht="42" customHeight="1" x14ac:dyDescent="0.25">
      <c r="B628" s="424">
        <v>44882</v>
      </c>
      <c r="C628" s="710">
        <v>0.95833333333333337</v>
      </c>
      <c r="D628" s="1516" t="s">
        <v>4313</v>
      </c>
      <c r="E628" s="1517"/>
      <c r="F628" s="1517"/>
      <c r="G628" s="1517"/>
      <c r="H628" s="1517"/>
      <c r="I628" s="1517"/>
      <c r="J628" s="1517"/>
      <c r="K628" s="1517"/>
      <c r="L628" s="1517"/>
      <c r="M628" s="1517"/>
      <c r="N628" s="1517"/>
      <c r="O628" s="1517"/>
      <c r="P628" s="1517"/>
      <c r="Q628" s="1517"/>
      <c r="R628" s="1517"/>
      <c r="S628" s="1518"/>
      <c r="T628" s="430" t="s">
        <v>23</v>
      </c>
      <c r="U628" s="813" t="s">
        <v>236</v>
      </c>
      <c r="V628" s="1001" t="s">
        <v>4298</v>
      </c>
    </row>
    <row r="629" spans="2:22" ht="30.75" customHeight="1" x14ac:dyDescent="0.25">
      <c r="B629" s="424">
        <v>44883</v>
      </c>
      <c r="C629" s="710">
        <v>0.75</v>
      </c>
      <c r="D629" s="425">
        <v>52</v>
      </c>
      <c r="E629" s="426">
        <v>11.4</v>
      </c>
      <c r="F629" s="427">
        <v>15</v>
      </c>
      <c r="G629" s="428">
        <v>1231</v>
      </c>
      <c r="H629" s="428">
        <v>2049</v>
      </c>
      <c r="I629" s="428">
        <v>98.3</v>
      </c>
      <c r="J629" s="436">
        <v>113.7</v>
      </c>
      <c r="K629" s="436" t="s">
        <v>4305</v>
      </c>
      <c r="L629" s="426">
        <v>38.06</v>
      </c>
      <c r="M629" s="426">
        <v>41.5</v>
      </c>
      <c r="N629" s="426">
        <v>54.9</v>
      </c>
      <c r="O629" s="429" t="s">
        <v>142</v>
      </c>
      <c r="P629" s="429" t="s">
        <v>142</v>
      </c>
      <c r="Q629" s="314" t="s">
        <v>142</v>
      </c>
      <c r="R629" s="429" t="s">
        <v>4306</v>
      </c>
      <c r="S629" s="430" t="s">
        <v>2821</v>
      </c>
      <c r="T629" s="430" t="s">
        <v>23</v>
      </c>
      <c r="U629" s="813" t="s">
        <v>236</v>
      </c>
      <c r="V629" s="1001"/>
    </row>
    <row r="630" spans="2:22" ht="30.75" customHeight="1" x14ac:dyDescent="0.25">
      <c r="B630" s="424">
        <v>44884</v>
      </c>
      <c r="C630" s="710">
        <v>0.75</v>
      </c>
      <c r="D630" s="1481" t="s">
        <v>4326</v>
      </c>
      <c r="E630" s="1482"/>
      <c r="F630" s="1482"/>
      <c r="G630" s="1482"/>
      <c r="H630" s="1482"/>
      <c r="I630" s="1482"/>
      <c r="J630" s="1482"/>
      <c r="K630" s="1482"/>
      <c r="L630" s="1482"/>
      <c r="M630" s="1482"/>
      <c r="N630" s="1482"/>
      <c r="O630" s="1482"/>
      <c r="P630" s="1482"/>
      <c r="Q630" s="1482"/>
      <c r="R630" s="1482"/>
      <c r="S630" s="1483"/>
      <c r="T630" s="430" t="s">
        <v>23</v>
      </c>
      <c r="U630" s="813" t="s">
        <v>4310</v>
      </c>
      <c r="V630" s="1001"/>
    </row>
    <row r="631" spans="2:22" ht="30.75" customHeight="1" x14ac:dyDescent="0.25">
      <c r="B631" s="424">
        <v>44885</v>
      </c>
      <c r="C631" s="710">
        <v>0.85416666666666663</v>
      </c>
      <c r="D631" s="1481" t="s">
        <v>4322</v>
      </c>
      <c r="E631" s="1482"/>
      <c r="F631" s="1482"/>
      <c r="G631" s="1482"/>
      <c r="H631" s="1482"/>
      <c r="I631" s="1482"/>
      <c r="J631" s="1482"/>
      <c r="K631" s="1482"/>
      <c r="L631" s="1482"/>
      <c r="M631" s="1482"/>
      <c r="N631" s="1482"/>
      <c r="O631" s="1482"/>
      <c r="P631" s="1482"/>
      <c r="Q631" s="1482"/>
      <c r="R631" s="1482"/>
      <c r="S631" s="1483"/>
      <c r="T631" s="430" t="s">
        <v>23</v>
      </c>
      <c r="U631" s="813" t="s">
        <v>4320</v>
      </c>
      <c r="V631" s="1001"/>
    </row>
    <row r="632" spans="2:22" ht="30.75" customHeight="1" x14ac:dyDescent="0.25">
      <c r="B632" s="424">
        <v>44886</v>
      </c>
      <c r="C632" s="710">
        <v>0.96875</v>
      </c>
      <c r="D632" s="425">
        <v>52</v>
      </c>
      <c r="E632" s="426">
        <v>10.4</v>
      </c>
      <c r="F632" s="427">
        <v>14.9</v>
      </c>
      <c r="G632" s="428">
        <v>1147</v>
      </c>
      <c r="H632" s="428">
        <v>2084</v>
      </c>
      <c r="I632" s="428">
        <v>99</v>
      </c>
      <c r="J632" s="436">
        <v>111.4</v>
      </c>
      <c r="K632" s="436" t="s">
        <v>4331</v>
      </c>
      <c r="L632" s="426">
        <v>41.08</v>
      </c>
      <c r="M632" s="426">
        <v>42</v>
      </c>
      <c r="N632" s="426">
        <v>47.24</v>
      </c>
      <c r="O632" s="429" t="s">
        <v>142</v>
      </c>
      <c r="P632" s="429" t="s">
        <v>142</v>
      </c>
      <c r="Q632" s="314" t="s">
        <v>142</v>
      </c>
      <c r="R632" s="429" t="s">
        <v>3095</v>
      </c>
      <c r="S632" s="430" t="s">
        <v>2377</v>
      </c>
      <c r="T632" s="430" t="s">
        <v>23</v>
      </c>
      <c r="U632" s="813" t="s">
        <v>4320</v>
      </c>
      <c r="V632" s="1001"/>
    </row>
    <row r="633" spans="2:22" ht="30.75" customHeight="1" x14ac:dyDescent="0.25">
      <c r="B633" s="424">
        <v>44887</v>
      </c>
      <c r="C633" s="710">
        <v>0.91666666666666663</v>
      </c>
      <c r="D633" s="1481" t="s">
        <v>4341</v>
      </c>
      <c r="E633" s="1482"/>
      <c r="F633" s="1482"/>
      <c r="G633" s="1482"/>
      <c r="H633" s="1482"/>
      <c r="I633" s="1482"/>
      <c r="J633" s="1482"/>
      <c r="K633" s="1482"/>
      <c r="L633" s="1482"/>
      <c r="M633" s="1482"/>
      <c r="N633" s="1482"/>
      <c r="O633" s="1482"/>
      <c r="P633" s="1482"/>
      <c r="Q633" s="1482"/>
      <c r="R633" s="1482"/>
      <c r="S633" s="1483"/>
      <c r="T633" s="430" t="s">
        <v>23</v>
      </c>
      <c r="U633" s="813" t="s">
        <v>4320</v>
      </c>
      <c r="V633" s="1001"/>
    </row>
    <row r="634" spans="2:22" ht="30.75" customHeight="1" x14ac:dyDescent="0.25">
      <c r="B634" s="424">
        <v>44888</v>
      </c>
      <c r="C634" s="710">
        <v>0.83333333333333337</v>
      </c>
      <c r="D634" s="425">
        <v>52</v>
      </c>
      <c r="E634" s="426">
        <v>10.8</v>
      </c>
      <c r="F634" s="427">
        <v>15.1</v>
      </c>
      <c r="G634" s="428">
        <v>1129</v>
      </c>
      <c r="H634" s="428">
        <v>2094</v>
      </c>
      <c r="I634" s="428">
        <v>99</v>
      </c>
      <c r="J634" s="436">
        <v>111.5</v>
      </c>
      <c r="K634" s="436" t="s">
        <v>4350</v>
      </c>
      <c r="L634" s="426">
        <v>40.19</v>
      </c>
      <c r="M634" s="426">
        <v>42</v>
      </c>
      <c r="N634" s="426">
        <v>48.5</v>
      </c>
      <c r="O634" s="429" t="s">
        <v>142</v>
      </c>
      <c r="P634" s="429" t="s">
        <v>142</v>
      </c>
      <c r="Q634" s="314" t="s">
        <v>142</v>
      </c>
      <c r="R634" s="429" t="s">
        <v>4351</v>
      </c>
      <c r="S634" s="430" t="s">
        <v>3502</v>
      </c>
      <c r="T634" s="430" t="s">
        <v>23</v>
      </c>
      <c r="U634" s="813" t="s">
        <v>4320</v>
      </c>
      <c r="V634" s="1001"/>
    </row>
    <row r="635" spans="2:22" ht="30.75" customHeight="1" x14ac:dyDescent="0.25">
      <c r="B635" s="424">
        <v>44889</v>
      </c>
      <c r="C635" s="710">
        <v>0.93055555555555547</v>
      </c>
      <c r="D635" s="425">
        <v>52</v>
      </c>
      <c r="E635" s="426">
        <v>14.3</v>
      </c>
      <c r="F635" s="427">
        <v>17.7</v>
      </c>
      <c r="G635" s="428">
        <v>1263</v>
      </c>
      <c r="H635" s="428">
        <v>2052</v>
      </c>
      <c r="I635" s="428">
        <v>97</v>
      </c>
      <c r="J635" s="436">
        <v>114</v>
      </c>
      <c r="K635" s="436" t="s">
        <v>4354</v>
      </c>
      <c r="L635" s="426">
        <v>41.02</v>
      </c>
      <c r="M635" s="426">
        <v>42</v>
      </c>
      <c r="N635" s="426">
        <v>53.37</v>
      </c>
      <c r="O635" s="429" t="s">
        <v>142</v>
      </c>
      <c r="P635" s="429" t="s">
        <v>142</v>
      </c>
      <c r="Q635" s="314" t="s">
        <v>142</v>
      </c>
      <c r="R635" s="429" t="s">
        <v>4355</v>
      </c>
      <c r="S635" s="430" t="s">
        <v>2336</v>
      </c>
      <c r="T635" s="430" t="s">
        <v>23</v>
      </c>
      <c r="U635" s="813" t="s">
        <v>4320</v>
      </c>
      <c r="V635" s="1001"/>
    </row>
    <row r="636" spans="2:22" ht="30.75" customHeight="1" x14ac:dyDescent="0.25">
      <c r="B636" s="424">
        <v>44890</v>
      </c>
      <c r="C636" s="710">
        <v>0.875</v>
      </c>
      <c r="D636" s="425">
        <v>52</v>
      </c>
      <c r="E636" s="426">
        <v>11.2</v>
      </c>
      <c r="F636" s="427">
        <v>15.3</v>
      </c>
      <c r="G636" s="428">
        <v>1097</v>
      </c>
      <c r="H636" s="428">
        <v>2031</v>
      </c>
      <c r="I636" s="428">
        <v>99</v>
      </c>
      <c r="J636" s="436">
        <v>111</v>
      </c>
      <c r="K636" s="436" t="s">
        <v>4364</v>
      </c>
      <c r="L636" s="426">
        <v>38</v>
      </c>
      <c r="M636" s="426">
        <v>43</v>
      </c>
      <c r="N636" s="426">
        <v>49.38</v>
      </c>
      <c r="O636" s="429" t="s">
        <v>142</v>
      </c>
      <c r="P636" s="429" t="s">
        <v>142</v>
      </c>
      <c r="Q636" s="314" t="s">
        <v>142</v>
      </c>
      <c r="R636" s="429" t="s">
        <v>4257</v>
      </c>
      <c r="S636" s="430" t="s">
        <v>3073</v>
      </c>
      <c r="T636" s="430" t="s">
        <v>23</v>
      </c>
      <c r="U636" s="813" t="s">
        <v>4320</v>
      </c>
      <c r="V636" s="1001"/>
    </row>
    <row r="637" spans="2:22" ht="30.75" customHeight="1" x14ac:dyDescent="0.25">
      <c r="B637" s="424">
        <v>44891</v>
      </c>
      <c r="C637" s="710">
        <v>0.875</v>
      </c>
      <c r="D637" s="425">
        <v>52</v>
      </c>
      <c r="E637" s="426">
        <v>6.9</v>
      </c>
      <c r="F637" s="427">
        <v>12.7</v>
      </c>
      <c r="G637" s="428">
        <v>1269</v>
      </c>
      <c r="H637" s="428">
        <v>2033</v>
      </c>
      <c r="I637" s="428">
        <v>96</v>
      </c>
      <c r="J637" s="436">
        <v>116</v>
      </c>
      <c r="K637" s="436" t="s">
        <v>4369</v>
      </c>
      <c r="L637" s="426">
        <v>40.92</v>
      </c>
      <c r="M637" s="426">
        <v>41</v>
      </c>
      <c r="N637" s="426">
        <v>32.32</v>
      </c>
      <c r="O637" s="429" t="s">
        <v>142</v>
      </c>
      <c r="P637" s="429" t="s">
        <v>142</v>
      </c>
      <c r="Q637" s="314" t="s">
        <v>142</v>
      </c>
      <c r="R637" s="429" t="s">
        <v>4370</v>
      </c>
      <c r="S637" s="430" t="s">
        <v>4371</v>
      </c>
      <c r="T637" s="430" t="s">
        <v>23</v>
      </c>
      <c r="U637" s="813" t="s">
        <v>4320</v>
      </c>
      <c r="V637" s="1001"/>
    </row>
    <row r="638" spans="2:22" ht="30.75" customHeight="1" x14ac:dyDescent="0.25">
      <c r="B638" s="424">
        <v>44892</v>
      </c>
      <c r="C638" s="710">
        <v>0.91666666666666663</v>
      </c>
      <c r="D638" s="425">
        <v>52</v>
      </c>
      <c r="E638" s="426">
        <v>13.5</v>
      </c>
      <c r="F638" s="427">
        <v>17.2</v>
      </c>
      <c r="G638" s="428">
        <v>1288</v>
      </c>
      <c r="H638" s="428">
        <v>2057</v>
      </c>
      <c r="I638" s="428">
        <v>97</v>
      </c>
      <c r="J638" s="436">
        <v>120</v>
      </c>
      <c r="K638" s="436" t="s">
        <v>4375</v>
      </c>
      <c r="L638" s="426">
        <v>38.65</v>
      </c>
      <c r="M638" s="426">
        <v>40</v>
      </c>
      <c r="N638" s="426">
        <v>49.23</v>
      </c>
      <c r="O638" s="429" t="s">
        <v>142</v>
      </c>
      <c r="P638" s="429" t="s">
        <v>142</v>
      </c>
      <c r="Q638" s="314" t="s">
        <v>142</v>
      </c>
      <c r="R638" s="429" t="s">
        <v>4376</v>
      </c>
      <c r="S638" s="430" t="s">
        <v>2559</v>
      </c>
      <c r="T638" s="430" t="s">
        <v>23</v>
      </c>
      <c r="U638" s="813" t="s">
        <v>4320</v>
      </c>
      <c r="V638" s="1001"/>
    </row>
    <row r="639" spans="2:22" ht="30.75" customHeight="1" x14ac:dyDescent="0.25">
      <c r="B639" s="424">
        <v>44893</v>
      </c>
      <c r="C639" s="710">
        <v>0.79166666666666663</v>
      </c>
      <c r="D639" s="425">
        <v>52</v>
      </c>
      <c r="E639" s="426">
        <v>10.6</v>
      </c>
      <c r="F639" s="427">
        <v>14.9</v>
      </c>
      <c r="G639" s="428">
        <v>1104</v>
      </c>
      <c r="H639" s="428">
        <v>2030</v>
      </c>
      <c r="I639" s="428">
        <v>99</v>
      </c>
      <c r="J639" s="436">
        <v>111</v>
      </c>
      <c r="K639" s="436" t="s">
        <v>4387</v>
      </c>
      <c r="L639" s="426">
        <v>38.950000000000003</v>
      </c>
      <c r="M639" s="426">
        <v>40</v>
      </c>
      <c r="N639" s="426">
        <v>48.55</v>
      </c>
      <c r="O639" s="429" t="s">
        <v>142</v>
      </c>
      <c r="P639" s="429" t="s">
        <v>142</v>
      </c>
      <c r="Q639" s="314" t="s">
        <v>142</v>
      </c>
      <c r="R639" s="429" t="s">
        <v>4388</v>
      </c>
      <c r="S639" s="430" t="s">
        <v>2377</v>
      </c>
      <c r="T639" s="430" t="s">
        <v>23</v>
      </c>
      <c r="U639" s="813" t="s">
        <v>4320</v>
      </c>
      <c r="V639" s="1001"/>
    </row>
    <row r="640" spans="2:22" ht="30.75" customHeight="1" x14ac:dyDescent="0.25">
      <c r="B640" s="424">
        <v>44894</v>
      </c>
      <c r="C640" s="710">
        <v>0.89583333333333337</v>
      </c>
      <c r="D640" s="1481" t="s">
        <v>4391</v>
      </c>
      <c r="E640" s="1482"/>
      <c r="F640" s="1482"/>
      <c r="G640" s="1482"/>
      <c r="H640" s="1482"/>
      <c r="I640" s="1482"/>
      <c r="J640" s="1482"/>
      <c r="K640" s="1482"/>
      <c r="L640" s="1482"/>
      <c r="M640" s="1482"/>
      <c r="N640" s="1482"/>
      <c r="O640" s="1482"/>
      <c r="P640" s="1482"/>
      <c r="Q640" s="1482"/>
      <c r="R640" s="1482"/>
      <c r="S640" s="1483"/>
      <c r="T640" s="430" t="s">
        <v>23</v>
      </c>
      <c r="U640" s="813" t="s">
        <v>4320</v>
      </c>
      <c r="V640" s="1001"/>
    </row>
    <row r="641" spans="2:22" ht="30.75" customHeight="1" x14ac:dyDescent="0.25">
      <c r="B641" s="424">
        <v>44895</v>
      </c>
      <c r="C641" s="710">
        <v>0.83333333333333337</v>
      </c>
      <c r="D641" s="425">
        <v>52</v>
      </c>
      <c r="E641" s="426">
        <v>11.2</v>
      </c>
      <c r="F641" s="427">
        <v>15.3</v>
      </c>
      <c r="G641" s="428">
        <v>1120</v>
      </c>
      <c r="H641" s="428">
        <v>1956</v>
      </c>
      <c r="I641" s="428">
        <v>98</v>
      </c>
      <c r="J641" s="436">
        <v>111</v>
      </c>
      <c r="K641" s="436" t="s">
        <v>4399</v>
      </c>
      <c r="L641" s="426">
        <v>39.700000000000003</v>
      </c>
      <c r="M641" s="426">
        <v>40</v>
      </c>
      <c r="N641" s="426">
        <v>52.9</v>
      </c>
      <c r="O641" s="429" t="s">
        <v>142</v>
      </c>
      <c r="P641" s="429" t="s">
        <v>142</v>
      </c>
      <c r="Q641" s="314" t="s">
        <v>142</v>
      </c>
      <c r="R641" s="429" t="s">
        <v>2041</v>
      </c>
      <c r="S641" s="430" t="s">
        <v>3073</v>
      </c>
      <c r="T641" s="430" t="s">
        <v>23</v>
      </c>
      <c r="U641" s="813" t="s">
        <v>4320</v>
      </c>
      <c r="V641" s="1001"/>
    </row>
    <row r="642" spans="2:22" ht="30.75" customHeight="1" x14ac:dyDescent="0.25">
      <c r="B642" s="424">
        <v>44896</v>
      </c>
      <c r="C642" s="710">
        <v>0.91666666666666663</v>
      </c>
      <c r="D642" s="1481" t="s">
        <v>4407</v>
      </c>
      <c r="E642" s="1482"/>
      <c r="F642" s="1482"/>
      <c r="G642" s="1482"/>
      <c r="H642" s="1482"/>
      <c r="I642" s="1482"/>
      <c r="J642" s="1482"/>
      <c r="K642" s="1482"/>
      <c r="L642" s="1482"/>
      <c r="M642" s="1482"/>
      <c r="N642" s="1482"/>
      <c r="O642" s="1482"/>
      <c r="P642" s="1482"/>
      <c r="Q642" s="1482"/>
      <c r="R642" s="1482"/>
      <c r="S642" s="1483"/>
      <c r="T642" s="430" t="s">
        <v>23</v>
      </c>
      <c r="U642" s="813" t="s">
        <v>4320</v>
      </c>
      <c r="V642" s="1001"/>
    </row>
    <row r="643" spans="2:22" ht="30.75" customHeight="1" x14ac:dyDescent="0.25">
      <c r="B643" s="424">
        <v>44897</v>
      </c>
      <c r="C643" s="710">
        <v>0.875</v>
      </c>
      <c r="D643" s="1481" t="s">
        <v>4407</v>
      </c>
      <c r="E643" s="1482"/>
      <c r="F643" s="1482"/>
      <c r="G643" s="1482"/>
      <c r="H643" s="1482"/>
      <c r="I643" s="1482"/>
      <c r="J643" s="1482"/>
      <c r="K643" s="1482"/>
      <c r="L643" s="1482"/>
      <c r="M643" s="1482"/>
      <c r="N643" s="1482"/>
      <c r="O643" s="1482"/>
      <c r="P643" s="1482"/>
      <c r="Q643" s="1482"/>
      <c r="R643" s="1482"/>
      <c r="S643" s="1483"/>
      <c r="T643" s="430" t="s">
        <v>23</v>
      </c>
      <c r="U643" s="813" t="s">
        <v>4320</v>
      </c>
      <c r="V643" s="1001"/>
    </row>
    <row r="644" spans="2:22" ht="30.75" customHeight="1" x14ac:dyDescent="0.25">
      <c r="B644" s="424">
        <v>44898</v>
      </c>
      <c r="C644" s="710">
        <v>0.875</v>
      </c>
      <c r="D644" s="425">
        <v>52</v>
      </c>
      <c r="E644" s="426">
        <v>11.1</v>
      </c>
      <c r="F644" s="427">
        <v>15.1</v>
      </c>
      <c r="G644" s="428">
        <v>1105</v>
      </c>
      <c r="H644" s="428">
        <v>2023</v>
      </c>
      <c r="I644" s="428">
        <v>99</v>
      </c>
      <c r="J644" s="436">
        <v>111</v>
      </c>
      <c r="K644" s="436" t="s">
        <v>4417</v>
      </c>
      <c r="L644" s="426">
        <v>39.520000000000003</v>
      </c>
      <c r="M644" s="426">
        <v>40</v>
      </c>
      <c r="N644" s="426">
        <v>49.46</v>
      </c>
      <c r="O644" s="429" t="s">
        <v>142</v>
      </c>
      <c r="P644" s="429" t="s">
        <v>142</v>
      </c>
      <c r="Q644" s="314" t="s">
        <v>142</v>
      </c>
      <c r="R644" s="429" t="s">
        <v>4257</v>
      </c>
      <c r="S644" s="430" t="s">
        <v>3502</v>
      </c>
      <c r="T644" s="430" t="s">
        <v>23</v>
      </c>
      <c r="U644" s="813" t="s">
        <v>4320</v>
      </c>
      <c r="V644" s="1001"/>
    </row>
    <row r="645" spans="2:22" ht="30.75" customHeight="1" x14ac:dyDescent="0.25">
      <c r="B645" s="424">
        <v>44899</v>
      </c>
      <c r="C645" s="710">
        <v>0.79166666666666663</v>
      </c>
      <c r="D645" s="1481" t="s">
        <v>4436</v>
      </c>
      <c r="E645" s="1482"/>
      <c r="F645" s="1482"/>
      <c r="G645" s="1482"/>
      <c r="H645" s="1482"/>
      <c r="I645" s="1482"/>
      <c r="J645" s="1482"/>
      <c r="K645" s="1482"/>
      <c r="L645" s="1482"/>
      <c r="M645" s="1482"/>
      <c r="N645" s="1482"/>
      <c r="O645" s="1482"/>
      <c r="P645" s="1482"/>
      <c r="Q645" s="1482"/>
      <c r="R645" s="1482"/>
      <c r="S645" s="1483"/>
      <c r="T645" s="430" t="s">
        <v>23</v>
      </c>
      <c r="U645" s="813" t="s">
        <v>4320</v>
      </c>
      <c r="V645" s="1001"/>
    </row>
    <row r="646" spans="2:22" ht="30.75" customHeight="1" x14ac:dyDescent="0.25">
      <c r="B646" s="424">
        <v>44900</v>
      </c>
      <c r="C646" s="710">
        <v>0.79166666666666663</v>
      </c>
      <c r="D646" s="425">
        <v>52</v>
      </c>
      <c r="E646" s="426">
        <v>10.8</v>
      </c>
      <c r="F646" s="427">
        <v>15.1</v>
      </c>
      <c r="G646" s="428">
        <v>1087</v>
      </c>
      <c r="H646" s="428">
        <v>1924</v>
      </c>
      <c r="I646" s="428">
        <v>99</v>
      </c>
      <c r="J646" s="436">
        <v>112.8</v>
      </c>
      <c r="K646" s="436" t="s">
        <v>4451</v>
      </c>
      <c r="L646" s="426">
        <v>38.119999999999997</v>
      </c>
      <c r="M646" s="426">
        <v>40</v>
      </c>
      <c r="N646" s="426">
        <v>52.72</v>
      </c>
      <c r="O646" s="429" t="s">
        <v>142</v>
      </c>
      <c r="P646" s="429" t="s">
        <v>142</v>
      </c>
      <c r="Q646" s="314" t="s">
        <v>142</v>
      </c>
      <c r="R646" s="429" t="s">
        <v>4024</v>
      </c>
      <c r="S646" s="430" t="s">
        <v>3073</v>
      </c>
      <c r="T646" s="430" t="s">
        <v>23</v>
      </c>
      <c r="U646" s="813" t="s">
        <v>4320</v>
      </c>
      <c r="V646" s="1001"/>
    </row>
    <row r="647" spans="2:22" ht="30.75" customHeight="1" x14ac:dyDescent="0.25">
      <c r="B647" s="424">
        <v>44901</v>
      </c>
      <c r="C647" s="710">
        <v>0.83333333333333337</v>
      </c>
      <c r="D647" s="1481" t="s">
        <v>4459</v>
      </c>
      <c r="E647" s="1482"/>
      <c r="F647" s="1482"/>
      <c r="G647" s="1482"/>
      <c r="H647" s="1482"/>
      <c r="I647" s="1482"/>
      <c r="J647" s="1482"/>
      <c r="K647" s="1482"/>
      <c r="L647" s="1482"/>
      <c r="M647" s="1482"/>
      <c r="N647" s="1482"/>
      <c r="O647" s="1482"/>
      <c r="P647" s="1482"/>
      <c r="Q647" s="1482"/>
      <c r="R647" s="1482"/>
      <c r="S647" s="1483"/>
      <c r="T647" s="430" t="s">
        <v>23</v>
      </c>
      <c r="U647" s="813" t="s">
        <v>4320</v>
      </c>
      <c r="V647" s="1001"/>
    </row>
    <row r="648" spans="2:22" ht="30.75" customHeight="1" x14ac:dyDescent="0.25">
      <c r="B648" s="424">
        <v>44902</v>
      </c>
      <c r="C648" s="710">
        <v>0.83333333333333337</v>
      </c>
      <c r="D648" s="1481" t="s">
        <v>4460</v>
      </c>
      <c r="E648" s="1482"/>
      <c r="F648" s="1482"/>
      <c r="G648" s="1482"/>
      <c r="H648" s="1482"/>
      <c r="I648" s="1482"/>
      <c r="J648" s="1482"/>
      <c r="K648" s="1482"/>
      <c r="L648" s="1482"/>
      <c r="M648" s="1482"/>
      <c r="N648" s="1482"/>
      <c r="O648" s="1482"/>
      <c r="P648" s="1482"/>
      <c r="Q648" s="1482"/>
      <c r="R648" s="1482"/>
      <c r="S648" s="1483"/>
      <c r="T648" s="430" t="s">
        <v>23</v>
      </c>
      <c r="U648" s="813" t="s">
        <v>4320</v>
      </c>
      <c r="V648" s="1001"/>
    </row>
    <row r="649" spans="2:22" ht="30.75" customHeight="1" x14ac:dyDescent="0.25">
      <c r="B649" s="424">
        <v>44903</v>
      </c>
      <c r="C649" s="710">
        <v>0.83333333333333337</v>
      </c>
      <c r="D649" s="425">
        <v>52</v>
      </c>
      <c r="E649" s="426">
        <v>10.6</v>
      </c>
      <c r="F649" s="427">
        <v>15</v>
      </c>
      <c r="G649" s="428">
        <v>1075</v>
      </c>
      <c r="H649" s="428">
        <v>1980</v>
      </c>
      <c r="I649" s="428">
        <v>99</v>
      </c>
      <c r="J649" s="436">
        <v>113.4</v>
      </c>
      <c r="K649" s="436" t="s">
        <v>4469</v>
      </c>
      <c r="L649" s="426">
        <v>36.75</v>
      </c>
      <c r="M649" s="426">
        <v>39</v>
      </c>
      <c r="N649" s="426">
        <v>50.88</v>
      </c>
      <c r="O649" s="429" t="s">
        <v>142</v>
      </c>
      <c r="P649" s="429" t="s">
        <v>142</v>
      </c>
      <c r="Q649" s="314" t="s">
        <v>142</v>
      </c>
      <c r="R649" s="429" t="s">
        <v>4388</v>
      </c>
      <c r="S649" s="430" t="s">
        <v>3270</v>
      </c>
      <c r="T649" s="430" t="s">
        <v>23</v>
      </c>
      <c r="U649" s="813" t="s">
        <v>4320</v>
      </c>
      <c r="V649" s="1001"/>
    </row>
    <row r="650" spans="2:22" ht="30.75" customHeight="1" x14ac:dyDescent="0.25">
      <c r="B650" s="424">
        <v>44904</v>
      </c>
      <c r="C650" s="710">
        <v>0.83333333333333337</v>
      </c>
      <c r="D650" s="1481" t="s">
        <v>4473</v>
      </c>
      <c r="E650" s="1482"/>
      <c r="F650" s="1482"/>
      <c r="G650" s="1482"/>
      <c r="H650" s="1482"/>
      <c r="I650" s="1482"/>
      <c r="J650" s="1482"/>
      <c r="K650" s="1482"/>
      <c r="L650" s="1482"/>
      <c r="M650" s="1482"/>
      <c r="N650" s="1482"/>
      <c r="O650" s="1482"/>
      <c r="P650" s="1482"/>
      <c r="Q650" s="1482"/>
      <c r="R650" s="1482"/>
      <c r="S650" s="1483"/>
      <c r="T650" s="430" t="s">
        <v>23</v>
      </c>
      <c r="U650" s="813" t="s">
        <v>4320</v>
      </c>
      <c r="V650" s="1064"/>
    </row>
    <row r="651" spans="2:22" ht="30.75" customHeight="1" x14ac:dyDescent="0.25">
      <c r="B651" s="424">
        <v>44905</v>
      </c>
      <c r="C651" s="710">
        <v>0.83333333333333337</v>
      </c>
      <c r="D651" s="425">
        <v>52</v>
      </c>
      <c r="E651" s="426">
        <v>11.1</v>
      </c>
      <c r="F651" s="427">
        <v>15.2</v>
      </c>
      <c r="G651" s="428">
        <v>1085</v>
      </c>
      <c r="H651" s="428">
        <v>1990</v>
      </c>
      <c r="I651" s="428">
        <v>99</v>
      </c>
      <c r="J651" s="436">
        <v>112.8</v>
      </c>
      <c r="K651" s="436" t="s">
        <v>4487</v>
      </c>
      <c r="L651" s="426">
        <v>37.590000000000003</v>
      </c>
      <c r="M651" s="426">
        <v>38</v>
      </c>
      <c r="N651" s="426">
        <v>49.31</v>
      </c>
      <c r="O651" s="429" t="s">
        <v>142</v>
      </c>
      <c r="P651" s="429" t="s">
        <v>142</v>
      </c>
      <c r="Q651" s="314" t="s">
        <v>142</v>
      </c>
      <c r="R651" s="429" t="s">
        <v>2053</v>
      </c>
      <c r="S651" s="430" t="s">
        <v>2297</v>
      </c>
      <c r="T651" s="430" t="s">
        <v>23</v>
      </c>
      <c r="U651" s="813" t="s">
        <v>4320</v>
      </c>
      <c r="V651" s="1064"/>
    </row>
    <row r="652" spans="2:22" ht="30.75" customHeight="1" x14ac:dyDescent="0.25">
      <c r="B652" s="424">
        <v>44906</v>
      </c>
      <c r="C652" s="710">
        <v>0.83333333333333337</v>
      </c>
      <c r="D652" s="1481" t="s">
        <v>4490</v>
      </c>
      <c r="E652" s="1482"/>
      <c r="F652" s="1482"/>
      <c r="G652" s="1482"/>
      <c r="H652" s="1482"/>
      <c r="I652" s="1482"/>
      <c r="J652" s="1482"/>
      <c r="K652" s="1482"/>
      <c r="L652" s="1482"/>
      <c r="M652" s="1482"/>
      <c r="N652" s="1482"/>
      <c r="O652" s="1482"/>
      <c r="P652" s="1482"/>
      <c r="Q652" s="1482"/>
      <c r="R652" s="1482"/>
      <c r="S652" s="1483"/>
      <c r="T652" s="430" t="s">
        <v>23</v>
      </c>
      <c r="U652" s="813" t="s">
        <v>4320</v>
      </c>
      <c r="V652" s="1064"/>
    </row>
    <row r="653" spans="2:22" ht="30.75" customHeight="1" x14ac:dyDescent="0.25">
      <c r="B653" s="424">
        <v>44907</v>
      </c>
      <c r="C653" s="710">
        <v>0.875</v>
      </c>
      <c r="D653" s="425">
        <v>52</v>
      </c>
      <c r="E653" s="426">
        <v>10.199999999999999</v>
      </c>
      <c r="F653" s="427">
        <v>14.6</v>
      </c>
      <c r="G653" s="428">
        <v>1075</v>
      </c>
      <c r="H653" s="428">
        <v>1982</v>
      </c>
      <c r="I653" s="428">
        <v>99</v>
      </c>
      <c r="J653" s="436">
        <v>100</v>
      </c>
      <c r="K653" s="436" t="s">
        <v>4496</v>
      </c>
      <c r="L653" s="426">
        <v>37.64</v>
      </c>
      <c r="M653" s="426">
        <v>38</v>
      </c>
      <c r="N653" s="426">
        <v>49.8</v>
      </c>
      <c r="O653" s="429" t="s">
        <v>142</v>
      </c>
      <c r="P653" s="429" t="s">
        <v>142</v>
      </c>
      <c r="Q653" s="314" t="s">
        <v>142</v>
      </c>
      <c r="R653" s="429" t="s">
        <v>3737</v>
      </c>
      <c r="S653" s="430" t="s">
        <v>2508</v>
      </c>
      <c r="T653" s="430" t="s">
        <v>23</v>
      </c>
      <c r="U653" s="813" t="s">
        <v>4320</v>
      </c>
      <c r="V653" s="1064"/>
    </row>
    <row r="654" spans="2:22" ht="30.75" customHeight="1" x14ac:dyDescent="0.25">
      <c r="B654" s="424">
        <v>44908</v>
      </c>
      <c r="C654" s="710">
        <v>0.875</v>
      </c>
      <c r="D654" s="1481" t="s">
        <v>4500</v>
      </c>
      <c r="E654" s="1482"/>
      <c r="F654" s="1482"/>
      <c r="G654" s="1482"/>
      <c r="H654" s="1482"/>
      <c r="I654" s="1482"/>
      <c r="J654" s="1482"/>
      <c r="K654" s="1482"/>
      <c r="L654" s="1482"/>
      <c r="M654" s="1482"/>
      <c r="N654" s="1482"/>
      <c r="O654" s="1482"/>
      <c r="P654" s="1482"/>
      <c r="Q654" s="1482"/>
      <c r="R654" s="1482"/>
      <c r="S654" s="1483"/>
      <c r="T654" s="430" t="s">
        <v>23</v>
      </c>
      <c r="U654" s="813" t="s">
        <v>4320</v>
      </c>
      <c r="V654" s="1064"/>
    </row>
    <row r="655" spans="2:22" ht="30.75" customHeight="1" x14ac:dyDescent="0.25">
      <c r="B655" s="424">
        <v>44909</v>
      </c>
      <c r="C655" s="710">
        <v>0.91666666666666663</v>
      </c>
      <c r="D655" s="425">
        <v>52</v>
      </c>
      <c r="E655" s="426">
        <v>10.9</v>
      </c>
      <c r="F655" s="427">
        <v>15</v>
      </c>
      <c r="G655" s="428">
        <v>1083</v>
      </c>
      <c r="H655" s="428">
        <v>2030</v>
      </c>
      <c r="I655" s="428">
        <v>99</v>
      </c>
      <c r="J655" s="436">
        <v>100.1</v>
      </c>
      <c r="K655" s="436" t="s">
        <v>4504</v>
      </c>
      <c r="L655" s="426">
        <v>38.24</v>
      </c>
      <c r="M655" s="426">
        <v>38</v>
      </c>
      <c r="N655" s="426">
        <v>49.83</v>
      </c>
      <c r="O655" s="429" t="s">
        <v>142</v>
      </c>
      <c r="P655" s="429" t="s">
        <v>142</v>
      </c>
      <c r="Q655" s="314" t="s">
        <v>142</v>
      </c>
      <c r="R655" s="429" t="s">
        <v>4505</v>
      </c>
      <c r="S655" s="430" t="s">
        <v>3270</v>
      </c>
      <c r="T655" s="430" t="s">
        <v>23</v>
      </c>
      <c r="U655" s="813" t="s">
        <v>4320</v>
      </c>
      <c r="V655" s="1064"/>
    </row>
    <row r="656" spans="2:22" ht="30.75" customHeight="1" x14ac:dyDescent="0.25">
      <c r="B656" s="424">
        <v>44910</v>
      </c>
      <c r="C656" s="710">
        <v>0.91666666666666663</v>
      </c>
      <c r="D656" s="425">
        <v>52</v>
      </c>
      <c r="E656" s="426">
        <v>14.4</v>
      </c>
      <c r="F656" s="427">
        <v>17.899999999999999</v>
      </c>
      <c r="G656" s="428">
        <v>1225</v>
      </c>
      <c r="H656" s="428">
        <v>1947</v>
      </c>
      <c r="I656" s="428">
        <v>96.6</v>
      </c>
      <c r="J656" s="436">
        <v>97.7</v>
      </c>
      <c r="K656" s="436" t="s">
        <v>4511</v>
      </c>
      <c r="L656" s="426">
        <v>38.86</v>
      </c>
      <c r="M656" s="426">
        <v>39</v>
      </c>
      <c r="N656" s="426">
        <v>49.8</v>
      </c>
      <c r="O656" s="429" t="s">
        <v>142</v>
      </c>
      <c r="P656" s="429" t="s">
        <v>142</v>
      </c>
      <c r="Q656" s="314" t="s">
        <v>142</v>
      </c>
      <c r="R656" s="429" t="s">
        <v>4512</v>
      </c>
      <c r="S656" s="430" t="s">
        <v>2316</v>
      </c>
      <c r="T656" s="430" t="s">
        <v>23</v>
      </c>
      <c r="U656" s="813" t="s">
        <v>4320</v>
      </c>
      <c r="V656" s="1064"/>
    </row>
    <row r="657" spans="2:22" ht="30.75" customHeight="1" x14ac:dyDescent="0.25">
      <c r="B657" s="424">
        <v>44911</v>
      </c>
      <c r="C657" s="710">
        <v>0.91666666666666663</v>
      </c>
      <c r="D657" s="425">
        <v>52</v>
      </c>
      <c r="E657" s="426">
        <v>10.6</v>
      </c>
      <c r="F657" s="427">
        <v>15</v>
      </c>
      <c r="G657" s="428">
        <v>1086</v>
      </c>
      <c r="H657" s="428">
        <v>2017</v>
      </c>
      <c r="I657" s="428">
        <v>99</v>
      </c>
      <c r="J657" s="436">
        <v>99.8</v>
      </c>
      <c r="K657" s="436" t="s">
        <v>4528</v>
      </c>
      <c r="L657" s="426">
        <v>37.159999999999997</v>
      </c>
      <c r="M657" s="426">
        <v>39</v>
      </c>
      <c r="N657" s="426">
        <v>49.59</v>
      </c>
      <c r="O657" s="429" t="s">
        <v>142</v>
      </c>
      <c r="P657" s="429" t="s">
        <v>142</v>
      </c>
      <c r="Q657" s="314" t="s">
        <v>142</v>
      </c>
      <c r="R657" s="429" t="s">
        <v>4388</v>
      </c>
      <c r="S657" s="430" t="s">
        <v>3270</v>
      </c>
      <c r="T657" s="430" t="s">
        <v>23</v>
      </c>
      <c r="U657" s="813" t="s">
        <v>4320</v>
      </c>
      <c r="V657" s="1064"/>
    </row>
    <row r="658" spans="2:22" ht="30.75" customHeight="1" x14ac:dyDescent="0.25">
      <c r="B658" s="424">
        <v>44912</v>
      </c>
      <c r="C658" s="710">
        <v>0.91666666666666663</v>
      </c>
      <c r="D658" s="425">
        <v>52</v>
      </c>
      <c r="E658" s="426">
        <v>14</v>
      </c>
      <c r="F658" s="427">
        <v>17.600000000000001</v>
      </c>
      <c r="G658" s="428">
        <v>1202</v>
      </c>
      <c r="H658" s="428">
        <v>2028</v>
      </c>
      <c r="I658" s="428">
        <v>96.9</v>
      </c>
      <c r="J658" s="436">
        <v>98.2</v>
      </c>
      <c r="K658" s="436" t="s">
        <v>4535</v>
      </c>
      <c r="L658" s="426">
        <v>34.090000000000003</v>
      </c>
      <c r="M658" s="426">
        <v>36</v>
      </c>
      <c r="N658" s="426">
        <v>54.36</v>
      </c>
      <c r="O658" s="429" t="s">
        <v>142</v>
      </c>
      <c r="P658" s="429" t="s">
        <v>142</v>
      </c>
      <c r="Q658" s="314" t="s">
        <v>142</v>
      </c>
      <c r="R658" s="429" t="s">
        <v>4536</v>
      </c>
      <c r="S658" s="430" t="s">
        <v>4537</v>
      </c>
      <c r="T658" s="430" t="s">
        <v>23</v>
      </c>
      <c r="U658" s="813" t="s">
        <v>4320</v>
      </c>
      <c r="V658" s="1064"/>
    </row>
    <row r="659" spans="2:22" ht="30.75" customHeight="1" x14ac:dyDescent="0.25">
      <c r="B659" s="424">
        <v>44913</v>
      </c>
      <c r="C659" s="710">
        <v>0.91666666666666663</v>
      </c>
      <c r="D659" s="1481" t="s">
        <v>4545</v>
      </c>
      <c r="E659" s="1482"/>
      <c r="F659" s="1482"/>
      <c r="G659" s="1482"/>
      <c r="H659" s="1482"/>
      <c r="I659" s="1482"/>
      <c r="J659" s="1482"/>
      <c r="K659" s="1482"/>
      <c r="L659" s="1482"/>
      <c r="M659" s="1482"/>
      <c r="N659" s="1482"/>
      <c r="O659" s="1482"/>
      <c r="P659" s="1482"/>
      <c r="Q659" s="1482"/>
      <c r="R659" s="1482"/>
      <c r="S659" s="1483"/>
      <c r="T659" s="430" t="s">
        <v>23</v>
      </c>
      <c r="U659" s="813" t="s">
        <v>4320</v>
      </c>
      <c r="V659" s="1064"/>
    </row>
    <row r="660" spans="2:22" ht="30.75" customHeight="1" x14ac:dyDescent="0.25">
      <c r="B660" s="424">
        <v>44914</v>
      </c>
      <c r="C660" s="710">
        <v>0.91666666666666663</v>
      </c>
      <c r="D660" s="425">
        <v>52</v>
      </c>
      <c r="E660" s="426">
        <v>10</v>
      </c>
      <c r="F660" s="427">
        <v>14.5</v>
      </c>
      <c r="G660" s="428">
        <v>1086</v>
      </c>
      <c r="H660" s="428">
        <v>1830</v>
      </c>
      <c r="I660" s="428">
        <v>96.8</v>
      </c>
      <c r="J660" s="436">
        <v>99.7</v>
      </c>
      <c r="K660" s="436" t="s">
        <v>4549</v>
      </c>
      <c r="L660" s="426">
        <v>35.92</v>
      </c>
      <c r="M660" s="426">
        <v>37</v>
      </c>
      <c r="N660" s="426">
        <v>51.49</v>
      </c>
      <c r="O660" s="429" t="s">
        <v>142</v>
      </c>
      <c r="P660" s="429" t="s">
        <v>142</v>
      </c>
      <c r="Q660" s="314" t="s">
        <v>142</v>
      </c>
      <c r="R660" s="429" t="s">
        <v>3060</v>
      </c>
      <c r="S660" s="430" t="s">
        <v>2645</v>
      </c>
      <c r="T660" s="430" t="s">
        <v>23</v>
      </c>
      <c r="U660" s="813" t="s">
        <v>4320</v>
      </c>
      <c r="V660" s="1064"/>
    </row>
    <row r="661" spans="2:22" ht="30.75" customHeight="1" x14ac:dyDescent="0.25">
      <c r="B661" s="424">
        <v>44915</v>
      </c>
      <c r="C661" s="710">
        <v>0.875</v>
      </c>
      <c r="D661" s="1481" t="s">
        <v>4566</v>
      </c>
      <c r="E661" s="1482"/>
      <c r="F661" s="1482"/>
      <c r="G661" s="1482"/>
      <c r="H661" s="1482"/>
      <c r="I661" s="1482"/>
      <c r="J661" s="1482"/>
      <c r="K661" s="1482"/>
      <c r="L661" s="1482"/>
      <c r="M661" s="1482"/>
      <c r="N661" s="1482"/>
      <c r="O661" s="1482"/>
      <c r="P661" s="1482"/>
      <c r="Q661" s="1482"/>
      <c r="R661" s="1482"/>
      <c r="S661" s="1483"/>
      <c r="T661" s="430" t="s">
        <v>23</v>
      </c>
      <c r="U661" s="813" t="s">
        <v>4320</v>
      </c>
      <c r="V661" s="1064"/>
    </row>
    <row r="662" spans="2:22" ht="30.75" customHeight="1" x14ac:dyDescent="0.25">
      <c r="B662" s="424">
        <v>44916</v>
      </c>
      <c r="C662" s="710">
        <v>0.91666666666666663</v>
      </c>
      <c r="D662" s="425">
        <v>52</v>
      </c>
      <c r="E662" s="426">
        <v>10.4</v>
      </c>
      <c r="F662" s="427">
        <v>14.6</v>
      </c>
      <c r="G662" s="428">
        <v>1094</v>
      </c>
      <c r="H662" s="428">
        <v>1970</v>
      </c>
      <c r="I662" s="428">
        <v>99</v>
      </c>
      <c r="J662" s="436">
        <v>113.5</v>
      </c>
      <c r="K662" s="436" t="s">
        <v>4573</v>
      </c>
      <c r="L662" s="426">
        <v>36.979999999999997</v>
      </c>
      <c r="M662" s="426">
        <v>38</v>
      </c>
      <c r="N662" s="426">
        <v>51.8</v>
      </c>
      <c r="O662" s="429" t="s">
        <v>142</v>
      </c>
      <c r="P662" s="429" t="s">
        <v>142</v>
      </c>
      <c r="Q662" s="314" t="s">
        <v>142</v>
      </c>
      <c r="R662" s="429" t="s">
        <v>3095</v>
      </c>
      <c r="S662" s="430" t="s">
        <v>2508</v>
      </c>
      <c r="T662" s="430" t="s">
        <v>23</v>
      </c>
      <c r="U662" s="813" t="s">
        <v>4320</v>
      </c>
      <c r="V662" s="1064"/>
    </row>
    <row r="663" spans="2:22" ht="30.75" customHeight="1" x14ac:dyDescent="0.25">
      <c r="B663" s="424">
        <v>44917</v>
      </c>
      <c r="C663" s="710">
        <v>0.91666666666666663</v>
      </c>
      <c r="D663" s="1481" t="s">
        <v>4580</v>
      </c>
      <c r="E663" s="1482"/>
      <c r="F663" s="1482"/>
      <c r="G663" s="1482"/>
      <c r="H663" s="1482"/>
      <c r="I663" s="1482"/>
      <c r="J663" s="1482"/>
      <c r="K663" s="1482"/>
      <c r="L663" s="1482"/>
      <c r="M663" s="1482"/>
      <c r="N663" s="1482"/>
      <c r="O663" s="1482"/>
      <c r="P663" s="1482"/>
      <c r="Q663" s="1482"/>
      <c r="R663" s="1482"/>
      <c r="S663" s="1483"/>
      <c r="T663" s="430" t="s">
        <v>23</v>
      </c>
      <c r="U663" s="813" t="s">
        <v>4320</v>
      </c>
      <c r="V663" s="1064"/>
    </row>
    <row r="664" spans="2:22" ht="30.75" customHeight="1" x14ac:dyDescent="0.25">
      <c r="B664" s="424">
        <v>44918</v>
      </c>
      <c r="C664" s="710">
        <v>0.875</v>
      </c>
      <c r="D664" s="425">
        <v>52</v>
      </c>
      <c r="E664" s="426">
        <v>11.2</v>
      </c>
      <c r="F664" s="427">
        <v>15.3</v>
      </c>
      <c r="G664" s="428">
        <v>1075</v>
      </c>
      <c r="H664" s="428">
        <v>1842</v>
      </c>
      <c r="I664" s="428">
        <v>98.8</v>
      </c>
      <c r="J664" s="436">
        <v>99.8</v>
      </c>
      <c r="K664" s="436" t="s">
        <v>4586</v>
      </c>
      <c r="L664" s="426">
        <v>35.14</v>
      </c>
      <c r="M664" s="426">
        <v>37</v>
      </c>
      <c r="N664" s="426">
        <v>52.86</v>
      </c>
      <c r="O664" s="429" t="s">
        <v>142</v>
      </c>
      <c r="P664" s="429" t="s">
        <v>142</v>
      </c>
      <c r="Q664" s="314" t="s">
        <v>142</v>
      </c>
      <c r="R664" s="429" t="s">
        <v>4257</v>
      </c>
      <c r="S664" s="430" t="s">
        <v>3073</v>
      </c>
      <c r="T664" s="430" t="s">
        <v>23</v>
      </c>
      <c r="U664" s="813" t="s">
        <v>4320</v>
      </c>
      <c r="V664" s="1064"/>
    </row>
    <row r="665" spans="2:22" ht="30.75" customHeight="1" x14ac:dyDescent="0.25">
      <c r="B665" s="424">
        <v>44919</v>
      </c>
      <c r="C665" s="710">
        <v>0.875</v>
      </c>
      <c r="D665" s="1481" t="s">
        <v>4605</v>
      </c>
      <c r="E665" s="1482"/>
      <c r="F665" s="1482"/>
      <c r="G665" s="1482"/>
      <c r="H665" s="1482"/>
      <c r="I665" s="1482"/>
      <c r="J665" s="1482"/>
      <c r="K665" s="1482"/>
      <c r="L665" s="1482"/>
      <c r="M665" s="1482"/>
      <c r="N665" s="1482"/>
      <c r="O665" s="1482"/>
      <c r="P665" s="1482"/>
      <c r="Q665" s="1482"/>
      <c r="R665" s="1482"/>
      <c r="S665" s="1483"/>
      <c r="T665" s="430" t="s">
        <v>23</v>
      </c>
      <c r="U665" s="813" t="s">
        <v>4320</v>
      </c>
      <c r="V665" s="1064"/>
    </row>
    <row r="666" spans="2:22" ht="30.75" customHeight="1" x14ac:dyDescent="0.25">
      <c r="B666" s="424">
        <v>44920</v>
      </c>
      <c r="C666" s="710">
        <v>0.875</v>
      </c>
      <c r="D666" s="425">
        <v>52</v>
      </c>
      <c r="E666" s="426">
        <v>13.6</v>
      </c>
      <c r="F666" s="427">
        <v>17.2</v>
      </c>
      <c r="G666" s="428">
        <v>1346</v>
      </c>
      <c r="H666" s="428">
        <v>1634</v>
      </c>
      <c r="I666" s="428">
        <v>95.8</v>
      </c>
      <c r="J666" s="436">
        <v>96.1</v>
      </c>
      <c r="K666" s="436" t="s">
        <v>4598</v>
      </c>
      <c r="L666" s="426">
        <v>34.61</v>
      </c>
      <c r="M666" s="426">
        <v>32</v>
      </c>
      <c r="N666" s="426">
        <v>27.74</v>
      </c>
      <c r="O666" s="429" t="s">
        <v>142</v>
      </c>
      <c r="P666" s="429" t="s">
        <v>142</v>
      </c>
      <c r="Q666" s="314" t="s">
        <v>142</v>
      </c>
      <c r="R666" s="429" t="s">
        <v>4599</v>
      </c>
      <c r="S666" s="430" t="s">
        <v>3073</v>
      </c>
      <c r="T666" s="430" t="s">
        <v>23</v>
      </c>
      <c r="U666" s="813" t="s">
        <v>4320</v>
      </c>
      <c r="V666" s="1064"/>
    </row>
    <row r="667" spans="2:22" ht="30.75" customHeight="1" x14ac:dyDescent="0.25">
      <c r="B667" s="424">
        <v>44921</v>
      </c>
      <c r="C667" s="710">
        <v>0.91666666666666663</v>
      </c>
      <c r="D667" s="425">
        <v>52</v>
      </c>
      <c r="E667" s="426">
        <v>10.7</v>
      </c>
      <c r="F667" s="427">
        <v>14.9</v>
      </c>
      <c r="G667" s="428">
        <v>1089</v>
      </c>
      <c r="H667" s="428">
        <v>2047</v>
      </c>
      <c r="I667" s="428">
        <v>98.8</v>
      </c>
      <c r="J667" s="436">
        <v>99.8</v>
      </c>
      <c r="K667" s="436" t="s">
        <v>4606</v>
      </c>
      <c r="L667" s="426">
        <v>36.29</v>
      </c>
      <c r="M667" s="426">
        <v>38</v>
      </c>
      <c r="N667" s="426">
        <v>48.81</v>
      </c>
      <c r="O667" s="429" t="s">
        <v>142</v>
      </c>
      <c r="P667" s="429" t="s">
        <v>142</v>
      </c>
      <c r="Q667" s="314" t="s">
        <v>142</v>
      </c>
      <c r="R667" s="429" t="s">
        <v>1638</v>
      </c>
      <c r="S667" s="430" t="s">
        <v>2377</v>
      </c>
      <c r="T667" s="430" t="s">
        <v>23</v>
      </c>
      <c r="U667" s="813" t="s">
        <v>4320</v>
      </c>
      <c r="V667" s="1064"/>
    </row>
    <row r="668" spans="2:22" ht="30.75" customHeight="1" x14ac:dyDescent="0.25">
      <c r="B668" s="424">
        <v>44922</v>
      </c>
      <c r="C668" s="710">
        <v>0.91666666666666663</v>
      </c>
      <c r="D668" s="1481" t="s">
        <v>4612</v>
      </c>
      <c r="E668" s="1482"/>
      <c r="F668" s="1482"/>
      <c r="G668" s="1482"/>
      <c r="H668" s="1482"/>
      <c r="I668" s="1482"/>
      <c r="J668" s="1482"/>
      <c r="K668" s="1482"/>
      <c r="L668" s="1482"/>
      <c r="M668" s="1482"/>
      <c r="N668" s="1482"/>
      <c r="O668" s="1482"/>
      <c r="P668" s="1482"/>
      <c r="Q668" s="1482"/>
      <c r="R668" s="1482"/>
      <c r="S668" s="1483"/>
      <c r="T668" s="430" t="s">
        <v>23</v>
      </c>
      <c r="U668" s="813" t="s">
        <v>4320</v>
      </c>
      <c r="V668" s="1064"/>
    </row>
    <row r="669" spans="2:22" ht="30.75" customHeight="1" x14ac:dyDescent="0.25">
      <c r="B669" s="424">
        <v>44923</v>
      </c>
      <c r="C669" s="710">
        <v>0.91666666666666663</v>
      </c>
      <c r="D669" s="425">
        <v>52</v>
      </c>
      <c r="E669" s="426">
        <v>11.3</v>
      </c>
      <c r="F669" s="427">
        <v>15.5</v>
      </c>
      <c r="G669" s="428">
        <v>1084</v>
      </c>
      <c r="H669" s="428">
        <v>2024</v>
      </c>
      <c r="I669" s="428">
        <v>98.5</v>
      </c>
      <c r="J669" s="436">
        <v>99.8</v>
      </c>
      <c r="K669" s="436" t="s">
        <v>4629</v>
      </c>
      <c r="L669" s="426">
        <v>40.9</v>
      </c>
      <c r="M669" s="426">
        <v>39</v>
      </c>
      <c r="N669" s="426">
        <v>50.84</v>
      </c>
      <c r="O669" s="429" t="s">
        <v>142</v>
      </c>
      <c r="P669" s="429" t="s">
        <v>142</v>
      </c>
      <c r="Q669" s="314" t="s">
        <v>142</v>
      </c>
      <c r="R669" s="429" t="s">
        <v>4630</v>
      </c>
      <c r="S669" s="430" t="s">
        <v>2308</v>
      </c>
      <c r="T669" s="430" t="s">
        <v>23</v>
      </c>
      <c r="U669" s="813" t="s">
        <v>4320</v>
      </c>
      <c r="V669" s="1064"/>
    </row>
    <row r="670" spans="2:22" ht="30.75" customHeight="1" x14ac:dyDescent="0.25">
      <c r="B670" s="424">
        <v>44924</v>
      </c>
      <c r="C670" s="710">
        <v>0.91666666666666663</v>
      </c>
      <c r="D670" s="1481" t="s">
        <v>4637</v>
      </c>
      <c r="E670" s="1482"/>
      <c r="F670" s="1482"/>
      <c r="G670" s="1482"/>
      <c r="H670" s="1482"/>
      <c r="I670" s="1482"/>
      <c r="J670" s="1482"/>
      <c r="K670" s="1482"/>
      <c r="L670" s="1482"/>
      <c r="M670" s="1482"/>
      <c r="N670" s="1482"/>
      <c r="O670" s="1482"/>
      <c r="P670" s="1482"/>
      <c r="Q670" s="1482"/>
      <c r="R670" s="1482"/>
      <c r="S670" s="1483"/>
      <c r="T670" s="430" t="s">
        <v>23</v>
      </c>
      <c r="U670" s="813" t="s">
        <v>4320</v>
      </c>
      <c r="V670" s="1064"/>
    </row>
    <row r="671" spans="2:22" ht="30.75" customHeight="1" x14ac:dyDescent="0.25">
      <c r="B671" s="424">
        <v>44925</v>
      </c>
      <c r="C671" s="710">
        <v>0.91666666666666663</v>
      </c>
      <c r="D671" s="425">
        <v>52</v>
      </c>
      <c r="E671" s="426">
        <v>10.4</v>
      </c>
      <c r="F671" s="427">
        <v>14.8</v>
      </c>
      <c r="G671" s="428">
        <v>1078</v>
      </c>
      <c r="H671" s="428">
        <v>1963</v>
      </c>
      <c r="I671" s="428">
        <v>99</v>
      </c>
      <c r="J671" s="436">
        <v>113</v>
      </c>
      <c r="K671" s="436" t="s">
        <v>4644</v>
      </c>
      <c r="L671" s="426">
        <v>36.49</v>
      </c>
      <c r="M671" s="426">
        <v>38</v>
      </c>
      <c r="N671" s="426">
        <v>51.38</v>
      </c>
      <c r="O671" s="429" t="s">
        <v>142</v>
      </c>
      <c r="P671" s="429" t="s">
        <v>142</v>
      </c>
      <c r="Q671" s="314" t="s">
        <v>142</v>
      </c>
      <c r="R671" s="429" t="s">
        <v>3095</v>
      </c>
      <c r="S671" s="430" t="s">
        <v>3077</v>
      </c>
      <c r="T671" s="430" t="s">
        <v>23</v>
      </c>
      <c r="U671" s="813" t="s">
        <v>4320</v>
      </c>
      <c r="V671" s="1064"/>
    </row>
    <row r="672" spans="2:22" ht="30.75" customHeight="1" x14ac:dyDescent="0.25">
      <c r="B672" s="424">
        <v>44926</v>
      </c>
      <c r="C672" s="710">
        <v>0</v>
      </c>
      <c r="D672" s="1481" t="s">
        <v>4660</v>
      </c>
      <c r="E672" s="1482"/>
      <c r="F672" s="1482"/>
      <c r="G672" s="1482"/>
      <c r="H672" s="1482"/>
      <c r="I672" s="1482"/>
      <c r="J672" s="1482"/>
      <c r="K672" s="1482"/>
      <c r="L672" s="1482"/>
      <c r="M672" s="1482"/>
      <c r="N672" s="1482"/>
      <c r="O672" s="1482"/>
      <c r="P672" s="1482"/>
      <c r="Q672" s="1482"/>
      <c r="R672" s="1482"/>
      <c r="S672" s="1483"/>
      <c r="T672" s="430" t="s">
        <v>23</v>
      </c>
      <c r="U672" s="813" t="s">
        <v>4320</v>
      </c>
      <c r="V672" s="1064"/>
    </row>
    <row r="673" spans="1:22" ht="30.75" customHeight="1" x14ac:dyDescent="0.25">
      <c r="B673" s="424">
        <v>44927</v>
      </c>
      <c r="C673" s="710">
        <v>0.875</v>
      </c>
      <c r="D673" s="425">
        <v>51</v>
      </c>
      <c r="E673" s="426">
        <v>12</v>
      </c>
      <c r="F673" s="427">
        <v>15.9</v>
      </c>
      <c r="G673" s="428">
        <v>1150</v>
      </c>
      <c r="H673" s="428">
        <v>2026</v>
      </c>
      <c r="I673" s="428">
        <v>98.2</v>
      </c>
      <c r="J673" s="436">
        <v>99.3</v>
      </c>
      <c r="K673" s="436" t="s">
        <v>4667</v>
      </c>
      <c r="L673" s="426">
        <v>36.57</v>
      </c>
      <c r="M673" s="426">
        <v>38</v>
      </c>
      <c r="N673" s="426">
        <v>53.55</v>
      </c>
      <c r="O673" s="429" t="s">
        <v>142</v>
      </c>
      <c r="P673" s="429" t="s">
        <v>142</v>
      </c>
      <c r="Q673" s="314" t="s">
        <v>142</v>
      </c>
      <c r="R673" s="429" t="s">
        <v>2325</v>
      </c>
      <c r="S673" s="1103">
        <v>67.900000000000006</v>
      </c>
      <c r="T673" s="430" t="s">
        <v>23</v>
      </c>
      <c r="U673" s="813" t="s">
        <v>4320</v>
      </c>
      <c r="V673" s="1064" t="s">
        <v>4666</v>
      </c>
    </row>
    <row r="674" spans="1:22" ht="30.75" customHeight="1" x14ac:dyDescent="0.25">
      <c r="B674" s="424">
        <v>44928</v>
      </c>
      <c r="C674" s="710">
        <v>0.875</v>
      </c>
      <c r="D674" s="1481" t="s">
        <v>4679</v>
      </c>
      <c r="E674" s="1482"/>
      <c r="F674" s="1482"/>
      <c r="G674" s="1482"/>
      <c r="H674" s="1482"/>
      <c r="I674" s="1482"/>
      <c r="J674" s="1482"/>
      <c r="K674" s="1482"/>
      <c r="L674" s="1482"/>
      <c r="M674" s="1482"/>
      <c r="N674" s="1482"/>
      <c r="O674" s="1482"/>
      <c r="P674" s="1482"/>
      <c r="Q674" s="1482"/>
      <c r="R674" s="1482"/>
      <c r="S674" s="1483"/>
      <c r="T674" s="430" t="s">
        <v>23</v>
      </c>
      <c r="U674" s="813" t="s">
        <v>4320</v>
      </c>
      <c r="V674" s="1064"/>
    </row>
    <row r="675" spans="1:22" ht="30.75" customHeight="1" x14ac:dyDescent="0.25">
      <c r="B675" s="424">
        <v>44929</v>
      </c>
      <c r="C675" s="710">
        <v>0.91666666666666663</v>
      </c>
      <c r="D675" s="425">
        <v>51</v>
      </c>
      <c r="E675" s="426">
        <v>10.8</v>
      </c>
      <c r="F675" s="427">
        <v>14.9</v>
      </c>
      <c r="G675" s="428">
        <v>1108</v>
      </c>
      <c r="H675" s="428">
        <v>1925</v>
      </c>
      <c r="I675" s="428">
        <v>98.8</v>
      </c>
      <c r="J675" s="436">
        <v>112.1</v>
      </c>
      <c r="K675" s="436" t="s">
        <v>4682</v>
      </c>
      <c r="L675" s="426">
        <v>37.42</v>
      </c>
      <c r="M675" s="426">
        <v>38</v>
      </c>
      <c r="N675" s="426">
        <v>51.87</v>
      </c>
      <c r="O675" s="429" t="s">
        <v>142</v>
      </c>
      <c r="P675" s="429" t="s">
        <v>142</v>
      </c>
      <c r="Q675" s="314" t="s">
        <v>142</v>
      </c>
      <c r="R675" s="429" t="s">
        <v>1029</v>
      </c>
      <c r="S675" s="1103">
        <v>64.099999999999994</v>
      </c>
      <c r="T675" s="430" t="s">
        <v>23</v>
      </c>
      <c r="U675" s="813" t="s">
        <v>4320</v>
      </c>
      <c r="V675" s="1064" t="s">
        <v>4666</v>
      </c>
    </row>
    <row r="676" spans="1:22" ht="30.75" customHeight="1" x14ac:dyDescent="0.25">
      <c r="B676" s="424">
        <v>44930</v>
      </c>
      <c r="C676" s="710">
        <v>0.875</v>
      </c>
      <c r="D676" s="1481" t="s">
        <v>4685</v>
      </c>
      <c r="E676" s="1482"/>
      <c r="F676" s="1482"/>
      <c r="G676" s="1482"/>
      <c r="H676" s="1482"/>
      <c r="I676" s="1482"/>
      <c r="J676" s="1482"/>
      <c r="K676" s="1482"/>
      <c r="L676" s="1482"/>
      <c r="M676" s="1482"/>
      <c r="N676" s="1482"/>
      <c r="O676" s="1482"/>
      <c r="P676" s="1482"/>
      <c r="Q676" s="1482"/>
      <c r="R676" s="1482"/>
      <c r="S676" s="1483"/>
      <c r="T676" s="430" t="s">
        <v>23</v>
      </c>
      <c r="U676" s="813" t="s">
        <v>4320</v>
      </c>
      <c r="V676" s="1064"/>
    </row>
    <row r="677" spans="1:22" ht="30.75" customHeight="1" x14ac:dyDescent="0.25">
      <c r="B677" s="424">
        <v>44931</v>
      </c>
      <c r="C677" s="710">
        <v>0.91666666666666663</v>
      </c>
      <c r="D677" s="425">
        <v>52</v>
      </c>
      <c r="E677" s="426">
        <v>11</v>
      </c>
      <c r="F677" s="427">
        <v>15.1</v>
      </c>
      <c r="G677" s="428">
        <v>1080</v>
      </c>
      <c r="H677" s="428">
        <v>1875</v>
      </c>
      <c r="I677" s="428">
        <v>99</v>
      </c>
      <c r="J677" s="436">
        <v>112</v>
      </c>
      <c r="K677" s="436" t="s">
        <v>4699</v>
      </c>
      <c r="L677" s="426">
        <v>37.799999999999997</v>
      </c>
      <c r="M677" s="426">
        <v>38</v>
      </c>
      <c r="N677" s="426">
        <v>53.1</v>
      </c>
      <c r="O677" s="429" t="s">
        <v>142</v>
      </c>
      <c r="P677" s="429" t="s">
        <v>142</v>
      </c>
      <c r="Q677" s="314" t="s">
        <v>142</v>
      </c>
      <c r="R677" s="429" t="s">
        <v>4700</v>
      </c>
      <c r="S677" s="1103">
        <v>64.5</v>
      </c>
      <c r="T677" s="430" t="s">
        <v>23</v>
      </c>
      <c r="U677" s="813" t="s">
        <v>4320</v>
      </c>
      <c r="V677" s="1064"/>
    </row>
    <row r="678" spans="1:22" ht="30.75" customHeight="1" x14ac:dyDescent="0.25">
      <c r="A678" s="271" t="s">
        <v>4704</v>
      </c>
      <c r="B678" s="424">
        <v>44932</v>
      </c>
      <c r="C678" s="710">
        <v>0.91666666666666663</v>
      </c>
      <c r="D678" s="1481" t="s">
        <v>4705</v>
      </c>
      <c r="E678" s="1482"/>
      <c r="F678" s="1482"/>
      <c r="G678" s="1482"/>
      <c r="H678" s="1482"/>
      <c r="I678" s="1482"/>
      <c r="J678" s="1482"/>
      <c r="K678" s="1482"/>
      <c r="L678" s="1482"/>
      <c r="M678" s="1482"/>
      <c r="N678" s="1482"/>
      <c r="O678" s="1482"/>
      <c r="P678" s="1482"/>
      <c r="Q678" s="1482"/>
      <c r="R678" s="1482"/>
      <c r="S678" s="1483"/>
      <c r="T678" s="430" t="s">
        <v>23</v>
      </c>
      <c r="U678" s="813" t="s">
        <v>4703</v>
      </c>
      <c r="V678" s="1064"/>
    </row>
    <row r="679" spans="1:22" ht="30.75" customHeight="1" x14ac:dyDescent="0.25">
      <c r="B679" s="424">
        <v>44933</v>
      </c>
      <c r="C679" s="710">
        <v>0.91666666666666663</v>
      </c>
      <c r="D679" s="425">
        <v>52</v>
      </c>
      <c r="E679" s="426">
        <v>11.3</v>
      </c>
      <c r="F679" s="427">
        <v>15.5</v>
      </c>
      <c r="G679" s="428">
        <v>1099</v>
      </c>
      <c r="H679" s="428">
        <v>2007</v>
      </c>
      <c r="I679" s="428">
        <v>98.9</v>
      </c>
      <c r="J679" s="436">
        <v>112.3</v>
      </c>
      <c r="K679" s="436" t="s">
        <v>4699</v>
      </c>
      <c r="L679" s="426">
        <v>39.06</v>
      </c>
      <c r="M679" s="426">
        <v>39</v>
      </c>
      <c r="N679" s="426">
        <v>51.14</v>
      </c>
      <c r="O679" s="429" t="s">
        <v>142</v>
      </c>
      <c r="P679" s="429" t="s">
        <v>142</v>
      </c>
      <c r="Q679" s="314" t="s">
        <v>142</v>
      </c>
      <c r="R679" s="429" t="s">
        <v>2127</v>
      </c>
      <c r="S679" s="1103">
        <v>66.2</v>
      </c>
      <c r="T679" s="430" t="s">
        <v>23</v>
      </c>
      <c r="U679" s="813" t="s">
        <v>4703</v>
      </c>
      <c r="V679" s="1064"/>
    </row>
    <row r="680" spans="1:22" ht="30.75" customHeight="1" x14ac:dyDescent="0.25">
      <c r="A680" s="271" t="s">
        <v>4704</v>
      </c>
      <c r="B680" s="424">
        <v>44934</v>
      </c>
      <c r="C680" s="710">
        <v>0.91666666666666663</v>
      </c>
      <c r="D680" s="1481" t="s">
        <v>4717</v>
      </c>
      <c r="E680" s="1482"/>
      <c r="F680" s="1482"/>
      <c r="G680" s="1482"/>
      <c r="H680" s="1482"/>
      <c r="I680" s="1482"/>
      <c r="J680" s="1482"/>
      <c r="K680" s="1482"/>
      <c r="L680" s="1482"/>
      <c r="M680" s="1482"/>
      <c r="N680" s="1482"/>
      <c r="O680" s="1482"/>
      <c r="P680" s="1482"/>
      <c r="Q680" s="1482"/>
      <c r="R680" s="1482"/>
      <c r="S680" s="1483"/>
      <c r="T680" s="430" t="s">
        <v>23</v>
      </c>
      <c r="U680" s="813" t="s">
        <v>4703</v>
      </c>
      <c r="V680" s="1064"/>
    </row>
    <row r="681" spans="1:22" ht="30.75" customHeight="1" x14ac:dyDescent="0.25">
      <c r="A681" s="271" t="s">
        <v>4704</v>
      </c>
      <c r="B681" s="424">
        <v>44935</v>
      </c>
      <c r="C681" s="710">
        <v>0.91666666666666663</v>
      </c>
      <c r="D681" s="425">
        <v>52</v>
      </c>
      <c r="E681" s="426">
        <v>10.7</v>
      </c>
      <c r="F681" s="427">
        <v>14.9</v>
      </c>
      <c r="G681" s="428">
        <v>1067</v>
      </c>
      <c r="H681" s="428">
        <v>1919</v>
      </c>
      <c r="I681" s="428">
        <v>99</v>
      </c>
      <c r="J681" s="436">
        <v>100.5</v>
      </c>
      <c r="K681" s="436" t="s">
        <v>4723</v>
      </c>
      <c r="L681" s="426">
        <v>34.82</v>
      </c>
      <c r="M681" s="426">
        <v>37</v>
      </c>
      <c r="N681" s="426">
        <v>52.67</v>
      </c>
      <c r="O681" s="429" t="s">
        <v>142</v>
      </c>
      <c r="P681" s="429" t="s">
        <v>142</v>
      </c>
      <c r="Q681" s="314" t="s">
        <v>142</v>
      </c>
      <c r="R681" s="429" t="s">
        <v>1638</v>
      </c>
      <c r="S681" s="1103">
        <v>63.6</v>
      </c>
      <c r="T681" s="430" t="s">
        <v>23</v>
      </c>
      <c r="U681" s="813" t="s">
        <v>4703</v>
      </c>
      <c r="V681" s="1064"/>
    </row>
    <row r="682" spans="1:22" ht="30.75" customHeight="1" x14ac:dyDescent="0.25">
      <c r="A682" s="271" t="s">
        <v>4704</v>
      </c>
      <c r="B682" s="424">
        <v>44936</v>
      </c>
      <c r="C682" s="710">
        <v>0.91666666666666663</v>
      </c>
      <c r="D682" s="1481" t="s">
        <v>4730</v>
      </c>
      <c r="E682" s="1482"/>
      <c r="F682" s="1482"/>
      <c r="G682" s="1482"/>
      <c r="H682" s="1482"/>
      <c r="I682" s="1482"/>
      <c r="J682" s="1482"/>
      <c r="K682" s="1482"/>
      <c r="L682" s="1482"/>
      <c r="M682" s="1482"/>
      <c r="N682" s="1482"/>
      <c r="O682" s="1482"/>
      <c r="P682" s="1482"/>
      <c r="Q682" s="1482"/>
      <c r="R682" s="1482"/>
      <c r="S682" s="1483"/>
      <c r="T682" s="430" t="s">
        <v>23</v>
      </c>
      <c r="U682" s="813" t="s">
        <v>4703</v>
      </c>
      <c r="V682" s="1064"/>
    </row>
    <row r="683" spans="1:22" ht="30.75" customHeight="1" x14ac:dyDescent="0.25">
      <c r="A683" s="271" t="s">
        <v>4704</v>
      </c>
      <c r="B683" s="424">
        <v>44937</v>
      </c>
      <c r="C683" s="710">
        <v>0.91666666666666663</v>
      </c>
      <c r="D683" s="425">
        <v>52</v>
      </c>
      <c r="E683" s="426">
        <v>11.1</v>
      </c>
      <c r="F683" s="427">
        <v>15.2</v>
      </c>
      <c r="G683" s="428">
        <v>1091</v>
      </c>
      <c r="H683" s="428">
        <v>1925</v>
      </c>
      <c r="I683" s="428">
        <v>98.7</v>
      </c>
      <c r="J683" s="436">
        <v>100.2</v>
      </c>
      <c r="K683" s="436" t="s">
        <v>4735</v>
      </c>
      <c r="L683" s="426">
        <v>38.03</v>
      </c>
      <c r="M683" s="426">
        <v>37</v>
      </c>
      <c r="N683" s="426">
        <v>52.14</v>
      </c>
      <c r="O683" s="429" t="s">
        <v>142</v>
      </c>
      <c r="P683" s="429" t="s">
        <v>142</v>
      </c>
      <c r="Q683" s="314" t="s">
        <v>142</v>
      </c>
      <c r="R683" s="429" t="s">
        <v>2127</v>
      </c>
      <c r="S683" s="1103">
        <v>64.900000000000006</v>
      </c>
      <c r="T683" s="430" t="s">
        <v>23</v>
      </c>
      <c r="U683" s="813" t="s">
        <v>4736</v>
      </c>
      <c r="V683" s="1064"/>
    </row>
    <row r="684" spans="1:22" ht="30.75" customHeight="1" x14ac:dyDescent="0.25">
      <c r="A684" s="271" t="s">
        <v>4704</v>
      </c>
      <c r="B684" s="424">
        <v>44938</v>
      </c>
      <c r="C684" s="710">
        <v>0.91666666666666663</v>
      </c>
      <c r="D684" s="1481" t="s">
        <v>4745</v>
      </c>
      <c r="E684" s="1482"/>
      <c r="F684" s="1482"/>
      <c r="G684" s="1482"/>
      <c r="H684" s="1482"/>
      <c r="I684" s="1482"/>
      <c r="J684" s="1482"/>
      <c r="K684" s="1482"/>
      <c r="L684" s="1482"/>
      <c r="M684" s="1482"/>
      <c r="N684" s="1482"/>
      <c r="O684" s="1482"/>
      <c r="P684" s="1482"/>
      <c r="Q684" s="1482"/>
      <c r="R684" s="1482"/>
      <c r="S684" s="1483"/>
      <c r="T684" s="430" t="s">
        <v>23</v>
      </c>
      <c r="U684" s="813" t="s">
        <v>4736</v>
      </c>
      <c r="V684" s="1064"/>
    </row>
    <row r="685" spans="1:22" ht="30.75" customHeight="1" x14ac:dyDescent="0.25">
      <c r="A685" s="271" t="s">
        <v>4704</v>
      </c>
      <c r="B685" s="424">
        <v>44939</v>
      </c>
      <c r="C685" s="710">
        <v>0.91666666666666663</v>
      </c>
      <c r="D685" s="425">
        <v>52</v>
      </c>
      <c r="E685" s="426">
        <v>11.3</v>
      </c>
      <c r="F685" s="427">
        <v>15.4</v>
      </c>
      <c r="G685" s="428">
        <v>1081</v>
      </c>
      <c r="H685" s="428">
        <v>2001</v>
      </c>
      <c r="I685" s="428">
        <v>99</v>
      </c>
      <c r="J685" s="436">
        <v>113</v>
      </c>
      <c r="K685" s="436" t="s">
        <v>4756</v>
      </c>
      <c r="L685" s="426">
        <v>38.42</v>
      </c>
      <c r="M685" s="426">
        <v>37</v>
      </c>
      <c r="N685" s="426">
        <v>50.22</v>
      </c>
      <c r="O685" s="429" t="s">
        <v>142</v>
      </c>
      <c r="P685" s="429" t="s">
        <v>142</v>
      </c>
      <c r="Q685" s="314" t="s">
        <v>142</v>
      </c>
      <c r="R685" s="429" t="s">
        <v>974</v>
      </c>
      <c r="S685" s="1103">
        <v>65.8</v>
      </c>
      <c r="T685" s="430" t="s">
        <v>23</v>
      </c>
      <c r="U685" s="813" t="s">
        <v>4736</v>
      </c>
      <c r="V685" s="1064"/>
    </row>
    <row r="686" spans="1:22" ht="30.75" customHeight="1" x14ac:dyDescent="0.25">
      <c r="A686" s="271" t="s">
        <v>4704</v>
      </c>
      <c r="B686" s="424">
        <v>44940</v>
      </c>
      <c r="C686" s="710">
        <v>0.91666666666666663</v>
      </c>
      <c r="D686" s="425">
        <v>52</v>
      </c>
      <c r="E686" s="426">
        <v>13.2</v>
      </c>
      <c r="F686" s="427">
        <v>17</v>
      </c>
      <c r="G686" s="428">
        <v>1145</v>
      </c>
      <c r="H686" s="428">
        <v>2052</v>
      </c>
      <c r="I686" s="428">
        <v>97.8</v>
      </c>
      <c r="J686" s="436">
        <v>113.6</v>
      </c>
      <c r="K686" s="436" t="s">
        <v>4762</v>
      </c>
      <c r="L686" s="426">
        <v>35.270000000000003</v>
      </c>
      <c r="M686" s="426">
        <v>37</v>
      </c>
      <c r="N686" s="426">
        <v>52.64</v>
      </c>
      <c r="O686" s="429" t="s">
        <v>142</v>
      </c>
      <c r="P686" s="429" t="s">
        <v>142</v>
      </c>
      <c r="Q686" s="314" t="s">
        <v>142</v>
      </c>
      <c r="R686" s="429" t="s">
        <v>2532</v>
      </c>
      <c r="S686" s="1103">
        <v>72.599999999999994</v>
      </c>
      <c r="T686" s="430" t="s">
        <v>23</v>
      </c>
      <c r="U686" s="813" t="s">
        <v>4736</v>
      </c>
      <c r="V686" s="1064"/>
    </row>
    <row r="687" spans="1:22" ht="30.75" customHeight="1" x14ac:dyDescent="0.25">
      <c r="A687" s="271" t="s">
        <v>4704</v>
      </c>
      <c r="B687" s="424">
        <v>44941</v>
      </c>
      <c r="C687" s="710">
        <v>0.91666666666666663</v>
      </c>
      <c r="D687" s="425">
        <v>52</v>
      </c>
      <c r="E687" s="426">
        <v>11.6</v>
      </c>
      <c r="F687" s="427">
        <v>15.6</v>
      </c>
      <c r="G687" s="428">
        <v>1131</v>
      </c>
      <c r="H687" s="428">
        <v>1994</v>
      </c>
      <c r="I687" s="428">
        <v>98.2</v>
      </c>
      <c r="J687" s="436">
        <v>112.4</v>
      </c>
      <c r="K687" s="436" t="s">
        <v>4769</v>
      </c>
      <c r="L687" s="426">
        <v>35.46</v>
      </c>
      <c r="M687" s="426">
        <v>37</v>
      </c>
      <c r="N687" s="426">
        <v>53.41</v>
      </c>
      <c r="O687" s="429" t="s">
        <v>142</v>
      </c>
      <c r="P687" s="429" t="s">
        <v>142</v>
      </c>
      <c r="Q687" s="314" t="s">
        <v>142</v>
      </c>
      <c r="R687" s="429" t="s">
        <v>4770</v>
      </c>
      <c r="S687" s="1103">
        <v>65.8</v>
      </c>
      <c r="T687" s="430" t="s">
        <v>23</v>
      </c>
      <c r="U687" s="813" t="s">
        <v>4736</v>
      </c>
      <c r="V687" s="1064"/>
    </row>
    <row r="688" spans="1:22" ht="30.75" customHeight="1" x14ac:dyDescent="0.25">
      <c r="A688" s="271" t="s">
        <v>4704</v>
      </c>
      <c r="B688" s="424">
        <v>44942</v>
      </c>
      <c r="C688" s="710">
        <v>0.91666666666666663</v>
      </c>
      <c r="D688" s="1481" t="s">
        <v>4782</v>
      </c>
      <c r="E688" s="1482"/>
      <c r="F688" s="1482"/>
      <c r="G688" s="1482"/>
      <c r="H688" s="1482"/>
      <c r="I688" s="1482"/>
      <c r="J688" s="1482"/>
      <c r="K688" s="1482"/>
      <c r="L688" s="1482"/>
      <c r="M688" s="1482"/>
      <c r="N688" s="1482"/>
      <c r="O688" s="1482"/>
      <c r="P688" s="1482"/>
      <c r="Q688" s="1482"/>
      <c r="R688" s="1482"/>
      <c r="S688" s="1483"/>
      <c r="T688" s="430" t="s">
        <v>23</v>
      </c>
      <c r="U688" s="813" t="s">
        <v>4736</v>
      </c>
      <c r="V688" s="1064"/>
    </row>
    <row r="689" spans="1:22" ht="30.75" customHeight="1" x14ac:dyDescent="0.25">
      <c r="A689" s="271" t="s">
        <v>4704</v>
      </c>
      <c r="B689" s="424">
        <v>44943</v>
      </c>
      <c r="C689" s="710">
        <v>0.91666666666666663</v>
      </c>
      <c r="D689" s="425">
        <v>52</v>
      </c>
      <c r="E689" s="426">
        <v>10.6</v>
      </c>
      <c r="F689" s="427">
        <v>14.9</v>
      </c>
      <c r="G689" s="428">
        <v>1066</v>
      </c>
      <c r="H689" s="428">
        <v>1883</v>
      </c>
      <c r="I689" s="428">
        <v>99</v>
      </c>
      <c r="J689" s="436">
        <v>110.8</v>
      </c>
      <c r="K689" s="436" t="s">
        <v>4787</v>
      </c>
      <c r="L689" s="426">
        <v>36.840000000000003</v>
      </c>
      <c r="M689" s="426">
        <v>37</v>
      </c>
      <c r="N689" s="426">
        <v>51.69</v>
      </c>
      <c r="O689" s="429" t="s">
        <v>142</v>
      </c>
      <c r="P689" s="429" t="s">
        <v>142</v>
      </c>
      <c r="Q689" s="314" t="s">
        <v>142</v>
      </c>
      <c r="R689" s="429" t="s">
        <v>3434</v>
      </c>
      <c r="S689" s="1103">
        <v>63.6</v>
      </c>
      <c r="T689" s="430" t="s">
        <v>23</v>
      </c>
      <c r="U689" s="813" t="s">
        <v>4736</v>
      </c>
      <c r="V689" s="1064"/>
    </row>
    <row r="690" spans="1:22" ht="30.75" customHeight="1" x14ac:dyDescent="0.25">
      <c r="A690" s="271" t="s">
        <v>4704</v>
      </c>
      <c r="B690" s="424">
        <v>44944</v>
      </c>
      <c r="C690" s="710">
        <v>0.91666666666666663</v>
      </c>
      <c r="D690" s="425">
        <v>52</v>
      </c>
      <c r="E690" s="426">
        <v>6.4</v>
      </c>
      <c r="F690" s="427">
        <v>12.6</v>
      </c>
      <c r="G690" s="428">
        <v>1275</v>
      </c>
      <c r="H690" s="428">
        <v>1949</v>
      </c>
      <c r="I690" s="428">
        <v>96</v>
      </c>
      <c r="J690" s="436">
        <v>116.5</v>
      </c>
      <c r="K690" s="436" t="s">
        <v>4794</v>
      </c>
      <c r="L690" s="426">
        <v>37.479999999999997</v>
      </c>
      <c r="M690" s="426">
        <v>37</v>
      </c>
      <c r="N690" s="426">
        <v>31.65</v>
      </c>
      <c r="O690" s="429" t="s">
        <v>142</v>
      </c>
      <c r="P690" s="429" t="s">
        <v>142</v>
      </c>
      <c r="Q690" s="314" t="s">
        <v>142</v>
      </c>
      <c r="R690" s="429" t="s">
        <v>4795</v>
      </c>
      <c r="S690" s="1103">
        <v>53.8</v>
      </c>
      <c r="T690" s="430" t="s">
        <v>23</v>
      </c>
      <c r="U690" s="813" t="s">
        <v>4736</v>
      </c>
      <c r="V690" s="1064"/>
    </row>
    <row r="691" spans="1:22" ht="30.75" customHeight="1" x14ac:dyDescent="0.25">
      <c r="A691" s="271" t="s">
        <v>4704</v>
      </c>
      <c r="B691" s="424">
        <v>44945</v>
      </c>
      <c r="C691" s="710">
        <v>0.91666666666666663</v>
      </c>
      <c r="D691" s="425">
        <v>52</v>
      </c>
      <c r="E691" s="426">
        <v>11.3</v>
      </c>
      <c r="F691" s="427">
        <v>15.4</v>
      </c>
      <c r="G691" s="428">
        <v>1066</v>
      </c>
      <c r="H691" s="428">
        <v>1875</v>
      </c>
      <c r="I691" s="428">
        <v>99</v>
      </c>
      <c r="J691" s="436">
        <v>113</v>
      </c>
      <c r="K691" s="436" t="s">
        <v>4802</v>
      </c>
      <c r="L691" s="426">
        <v>38.54</v>
      </c>
      <c r="M691" s="426">
        <v>37</v>
      </c>
      <c r="N691" s="426">
        <v>53.79</v>
      </c>
      <c r="O691" s="429" t="s">
        <v>142</v>
      </c>
      <c r="P691" s="429" t="s">
        <v>142</v>
      </c>
      <c r="Q691" s="314" t="s">
        <v>142</v>
      </c>
      <c r="R691" s="429" t="s">
        <v>4803</v>
      </c>
      <c r="S691" s="1103">
        <v>65.8</v>
      </c>
      <c r="T691" s="430" t="s">
        <v>23</v>
      </c>
      <c r="U691" s="813" t="s">
        <v>4736</v>
      </c>
      <c r="V691" s="1064"/>
    </row>
    <row r="692" spans="1:22" ht="30.75" customHeight="1" x14ac:dyDescent="0.25">
      <c r="A692" s="271" t="s">
        <v>4704</v>
      </c>
      <c r="B692" s="424">
        <v>44946</v>
      </c>
      <c r="C692" s="710">
        <v>0.91666666666666663</v>
      </c>
      <c r="D692" s="425">
        <v>52</v>
      </c>
      <c r="E692" s="426">
        <v>11.2</v>
      </c>
      <c r="F692" s="427">
        <v>15.4</v>
      </c>
      <c r="G692" s="428">
        <v>1103</v>
      </c>
      <c r="H692" s="428">
        <v>2086</v>
      </c>
      <c r="I692" s="428">
        <v>97.2</v>
      </c>
      <c r="J692" s="436">
        <v>118.3</v>
      </c>
      <c r="K692" s="436" t="s">
        <v>4810</v>
      </c>
      <c r="L692" s="426">
        <v>38.119999999999997</v>
      </c>
      <c r="M692" s="426">
        <v>37</v>
      </c>
      <c r="N692" s="426">
        <v>44.03</v>
      </c>
      <c r="O692" s="429" t="s">
        <v>142</v>
      </c>
      <c r="P692" s="429" t="s">
        <v>142</v>
      </c>
      <c r="Q692" s="314" t="s">
        <v>142</v>
      </c>
      <c r="R692" s="429" t="s">
        <v>2041</v>
      </c>
      <c r="S692" s="1103">
        <v>65.8</v>
      </c>
      <c r="T692" s="430" t="s">
        <v>23</v>
      </c>
      <c r="U692" s="813" t="s">
        <v>4736</v>
      </c>
      <c r="V692" s="1064"/>
    </row>
    <row r="693" spans="1:22" ht="30.75" customHeight="1" x14ac:dyDescent="0.25">
      <c r="A693" s="271" t="s">
        <v>4704</v>
      </c>
      <c r="B693" s="424">
        <v>44947</v>
      </c>
      <c r="C693" s="710">
        <v>0.91666666666666663</v>
      </c>
      <c r="D693" s="1481" t="s">
        <v>4813</v>
      </c>
      <c r="E693" s="1482"/>
      <c r="F693" s="1482"/>
      <c r="G693" s="1482"/>
      <c r="H693" s="1482"/>
      <c r="I693" s="1482"/>
      <c r="J693" s="1482"/>
      <c r="K693" s="1482"/>
      <c r="L693" s="1482"/>
      <c r="M693" s="1482"/>
      <c r="N693" s="1482"/>
      <c r="O693" s="1482"/>
      <c r="P693" s="1482"/>
      <c r="Q693" s="1482"/>
      <c r="R693" s="1482"/>
      <c r="S693" s="1483"/>
      <c r="T693" s="430" t="s">
        <v>23</v>
      </c>
      <c r="U693" s="813" t="s">
        <v>4736</v>
      </c>
      <c r="V693" s="1064"/>
    </row>
    <row r="694" spans="1:22" ht="30.75" customHeight="1" x14ac:dyDescent="0.25">
      <c r="A694" s="271" t="s">
        <v>4704</v>
      </c>
      <c r="B694" s="424">
        <v>44948</v>
      </c>
      <c r="C694" s="710">
        <v>0.91666666666666663</v>
      </c>
      <c r="D694" s="425">
        <v>52</v>
      </c>
      <c r="E694" s="426">
        <v>11.5</v>
      </c>
      <c r="F694" s="427">
        <v>15.5</v>
      </c>
      <c r="G694" s="428">
        <v>1098</v>
      </c>
      <c r="H694" s="428">
        <v>1866</v>
      </c>
      <c r="I694" s="428">
        <v>98.5</v>
      </c>
      <c r="J694" s="436">
        <v>112</v>
      </c>
      <c r="K694" s="436" t="s">
        <v>4820</v>
      </c>
      <c r="L694" s="426">
        <v>37.619999999999997</v>
      </c>
      <c r="M694" s="426">
        <v>38</v>
      </c>
      <c r="N694" s="426">
        <v>52.53</v>
      </c>
      <c r="O694" s="429" t="s">
        <v>142</v>
      </c>
      <c r="P694" s="429" t="s">
        <v>142</v>
      </c>
      <c r="Q694" s="314" t="s">
        <v>142</v>
      </c>
      <c r="R694" s="429" t="s">
        <v>1085</v>
      </c>
      <c r="S694" s="1103">
        <v>66.2</v>
      </c>
      <c r="T694" s="430" t="s">
        <v>23</v>
      </c>
      <c r="U694" s="813" t="s">
        <v>4736</v>
      </c>
      <c r="V694" s="1064"/>
    </row>
    <row r="695" spans="1:22" ht="30.75" customHeight="1" x14ac:dyDescent="0.25">
      <c r="A695" s="271" t="s">
        <v>4704</v>
      </c>
      <c r="B695" s="424">
        <v>44949</v>
      </c>
      <c r="C695" s="710">
        <v>0.91666666666666663</v>
      </c>
      <c r="D695" s="1481" t="s">
        <v>4829</v>
      </c>
      <c r="E695" s="1482"/>
      <c r="F695" s="1482"/>
      <c r="G695" s="1482"/>
      <c r="H695" s="1482"/>
      <c r="I695" s="1482"/>
      <c r="J695" s="1482"/>
      <c r="K695" s="1482"/>
      <c r="L695" s="1482"/>
      <c r="M695" s="1482"/>
      <c r="N695" s="1482"/>
      <c r="O695" s="1482"/>
      <c r="P695" s="1482"/>
      <c r="Q695" s="1482"/>
      <c r="R695" s="1482"/>
      <c r="S695" s="1483"/>
      <c r="T695" s="430" t="s">
        <v>23</v>
      </c>
      <c r="U695" s="813" t="s">
        <v>4736</v>
      </c>
      <c r="V695" s="1064"/>
    </row>
    <row r="696" spans="1:22" ht="30.75" customHeight="1" x14ac:dyDescent="0.25">
      <c r="A696" s="271" t="s">
        <v>4704</v>
      </c>
      <c r="B696" s="424">
        <v>44950</v>
      </c>
      <c r="C696" s="710">
        <v>0.91666666666666663</v>
      </c>
      <c r="D696" s="1481" t="s">
        <v>4829</v>
      </c>
      <c r="E696" s="1482"/>
      <c r="F696" s="1482"/>
      <c r="G696" s="1482"/>
      <c r="H696" s="1482"/>
      <c r="I696" s="1482"/>
      <c r="J696" s="1482"/>
      <c r="K696" s="1482"/>
      <c r="L696" s="1482"/>
      <c r="M696" s="1482"/>
      <c r="N696" s="1482"/>
      <c r="O696" s="1482"/>
      <c r="P696" s="1482"/>
      <c r="Q696" s="1482"/>
      <c r="R696" s="1482"/>
      <c r="S696" s="1483"/>
      <c r="T696" s="430" t="s">
        <v>23</v>
      </c>
      <c r="U696" s="813" t="s">
        <v>4736</v>
      </c>
      <c r="V696" s="1064"/>
    </row>
    <row r="697" spans="1:22" ht="30.75" customHeight="1" x14ac:dyDescent="0.25">
      <c r="A697" s="271" t="s">
        <v>4704</v>
      </c>
      <c r="B697" s="424">
        <v>44951</v>
      </c>
      <c r="C697" s="710">
        <v>0.91666666666666663</v>
      </c>
      <c r="D697" s="425">
        <v>52</v>
      </c>
      <c r="E697" s="426">
        <v>11.6</v>
      </c>
      <c r="F697" s="427">
        <v>15.6</v>
      </c>
      <c r="G697" s="428">
        <v>1096</v>
      </c>
      <c r="H697" s="428">
        <v>1880</v>
      </c>
      <c r="I697" s="428">
        <v>98.7</v>
      </c>
      <c r="J697" s="436">
        <v>112</v>
      </c>
      <c r="K697" s="436" t="s">
        <v>4837</v>
      </c>
      <c r="L697" s="426">
        <v>37.25</v>
      </c>
      <c r="M697" s="426">
        <v>38</v>
      </c>
      <c r="N697" s="426">
        <v>53.55</v>
      </c>
      <c r="O697" s="429" t="s">
        <v>142</v>
      </c>
      <c r="P697" s="429" t="s">
        <v>142</v>
      </c>
      <c r="Q697" s="314" t="s">
        <v>142</v>
      </c>
      <c r="R697" s="429" t="s">
        <v>943</v>
      </c>
      <c r="S697" s="1103">
        <v>66.599999999999994</v>
      </c>
      <c r="T697" s="430" t="s">
        <v>23</v>
      </c>
      <c r="U697" s="813" t="s">
        <v>4736</v>
      </c>
      <c r="V697" s="1064"/>
    </row>
    <row r="698" spans="1:22" ht="30.75" customHeight="1" x14ac:dyDescent="0.25">
      <c r="A698" s="271" t="s">
        <v>4704</v>
      </c>
      <c r="B698" s="424">
        <v>44952</v>
      </c>
      <c r="C698" s="710">
        <v>0.91666666666666663</v>
      </c>
      <c r="D698" s="425">
        <v>52</v>
      </c>
      <c r="E698" s="426">
        <v>10.8</v>
      </c>
      <c r="F698" s="427">
        <v>15.1</v>
      </c>
      <c r="G698" s="428">
        <v>1076</v>
      </c>
      <c r="H698" s="428">
        <v>2047</v>
      </c>
      <c r="I698" s="428">
        <v>98.8</v>
      </c>
      <c r="J698" s="436">
        <v>111.6</v>
      </c>
      <c r="K698" s="436" t="s">
        <v>4844</v>
      </c>
      <c r="L698" s="426">
        <v>36.56</v>
      </c>
      <c r="M698" s="426">
        <v>38</v>
      </c>
      <c r="N698" s="426">
        <v>47.51</v>
      </c>
      <c r="O698" s="429" t="s">
        <v>142</v>
      </c>
      <c r="P698" s="429" t="s">
        <v>142</v>
      </c>
      <c r="Q698" s="314" t="s">
        <v>142</v>
      </c>
      <c r="R698" s="429" t="s">
        <v>4845</v>
      </c>
      <c r="S698" s="1103">
        <v>64.5</v>
      </c>
      <c r="T698" s="430" t="s">
        <v>23</v>
      </c>
      <c r="U698" s="813" t="s">
        <v>4736</v>
      </c>
      <c r="V698" s="1064"/>
    </row>
    <row r="699" spans="1:22" ht="30.75" customHeight="1" x14ac:dyDescent="0.25">
      <c r="A699" s="271" t="s">
        <v>4704</v>
      </c>
      <c r="B699" s="424">
        <v>44953</v>
      </c>
      <c r="C699" s="710">
        <v>0.91666666666666663</v>
      </c>
      <c r="D699" s="1481" t="s">
        <v>4849</v>
      </c>
      <c r="E699" s="1482"/>
      <c r="F699" s="1482"/>
      <c r="G699" s="1482"/>
      <c r="H699" s="1482"/>
      <c r="I699" s="1482"/>
      <c r="J699" s="1482"/>
      <c r="K699" s="1482"/>
      <c r="L699" s="1482"/>
      <c r="M699" s="1482"/>
      <c r="N699" s="1482"/>
      <c r="O699" s="1482"/>
      <c r="P699" s="1482"/>
      <c r="Q699" s="1482"/>
      <c r="R699" s="1482"/>
      <c r="S699" s="1483"/>
      <c r="T699" s="430" t="s">
        <v>23</v>
      </c>
      <c r="U699" s="813" t="s">
        <v>4736</v>
      </c>
      <c r="V699" s="1064"/>
    </row>
    <row r="700" spans="1:22" ht="30.75" customHeight="1" x14ac:dyDescent="0.25">
      <c r="A700" s="271" t="s">
        <v>4704</v>
      </c>
      <c r="B700" s="424">
        <v>44954</v>
      </c>
      <c r="C700" s="710">
        <v>0.91666666666666663</v>
      </c>
      <c r="D700" s="425">
        <v>52</v>
      </c>
      <c r="E700" s="426">
        <v>11.6</v>
      </c>
      <c r="F700" s="427">
        <v>15.5</v>
      </c>
      <c r="G700" s="428">
        <v>1101</v>
      </c>
      <c r="H700" s="428">
        <v>1947</v>
      </c>
      <c r="I700" s="428">
        <v>98.7</v>
      </c>
      <c r="J700" s="436">
        <v>111.5</v>
      </c>
      <c r="K700" s="436" t="s">
        <v>4852</v>
      </c>
      <c r="L700" s="426">
        <v>39.090000000000003</v>
      </c>
      <c r="M700" s="426">
        <v>38</v>
      </c>
      <c r="N700" s="426">
        <v>52.64</v>
      </c>
      <c r="O700" s="429" t="s">
        <v>142</v>
      </c>
      <c r="P700" s="429" t="s">
        <v>142</v>
      </c>
      <c r="Q700" s="314" t="s">
        <v>142</v>
      </c>
      <c r="R700" s="429" t="s">
        <v>1085</v>
      </c>
      <c r="S700" s="1103">
        <v>66.2</v>
      </c>
      <c r="T700" s="430" t="s">
        <v>23</v>
      </c>
      <c r="U700" s="813" t="s">
        <v>4736</v>
      </c>
      <c r="V700" s="1064"/>
    </row>
    <row r="701" spans="1:22" ht="30.75" customHeight="1" x14ac:dyDescent="0.25">
      <c r="A701" s="271" t="s">
        <v>4704</v>
      </c>
      <c r="B701" s="424">
        <v>44955</v>
      </c>
      <c r="C701" s="710">
        <v>0.91666666666666663</v>
      </c>
      <c r="D701" s="1481" t="s">
        <v>4860</v>
      </c>
      <c r="E701" s="1482"/>
      <c r="F701" s="1482"/>
      <c r="G701" s="1482"/>
      <c r="H701" s="1482"/>
      <c r="I701" s="1482"/>
      <c r="J701" s="1482"/>
      <c r="K701" s="1482"/>
      <c r="L701" s="1482"/>
      <c r="M701" s="1482"/>
      <c r="N701" s="1482"/>
      <c r="O701" s="1482"/>
      <c r="P701" s="1482"/>
      <c r="Q701" s="1482"/>
      <c r="R701" s="1482"/>
      <c r="S701" s="1483"/>
      <c r="T701" s="430" t="s">
        <v>23</v>
      </c>
      <c r="U701" s="813" t="s">
        <v>4736</v>
      </c>
      <c r="V701" s="1064"/>
    </row>
    <row r="702" spans="1:22" ht="30.75" customHeight="1" x14ac:dyDescent="0.25">
      <c r="A702" s="271" t="s">
        <v>4704</v>
      </c>
      <c r="B702" s="424">
        <v>44956</v>
      </c>
      <c r="C702" s="710">
        <v>0.91666666666666663</v>
      </c>
      <c r="D702" s="425">
        <v>52</v>
      </c>
      <c r="E702" s="426">
        <v>11.2</v>
      </c>
      <c r="F702" s="427">
        <v>15.3</v>
      </c>
      <c r="G702" s="428">
        <v>1079</v>
      </c>
      <c r="H702" s="428">
        <v>1845</v>
      </c>
      <c r="I702" s="428">
        <v>98.8</v>
      </c>
      <c r="J702" s="436">
        <v>112.3</v>
      </c>
      <c r="K702" s="436" t="s">
        <v>4870</v>
      </c>
      <c r="L702" s="426">
        <v>36.03</v>
      </c>
      <c r="M702" s="426">
        <v>38</v>
      </c>
      <c r="N702" s="426">
        <v>53.25</v>
      </c>
      <c r="O702" s="429" t="s">
        <v>142</v>
      </c>
      <c r="P702" s="429" t="s">
        <v>142</v>
      </c>
      <c r="Q702" s="314" t="s">
        <v>142</v>
      </c>
      <c r="R702" s="429" t="s">
        <v>2127</v>
      </c>
      <c r="S702" s="1103">
        <v>65.3</v>
      </c>
      <c r="T702" s="430" t="s">
        <v>23</v>
      </c>
      <c r="U702" s="813" t="s">
        <v>4736</v>
      </c>
      <c r="V702" s="1064"/>
    </row>
    <row r="703" spans="1:22" ht="30.75" customHeight="1" x14ac:dyDescent="0.25">
      <c r="A703" s="271" t="s">
        <v>4704</v>
      </c>
      <c r="B703" s="424">
        <v>44957</v>
      </c>
      <c r="C703" s="710">
        <v>0.91666666666666663</v>
      </c>
      <c r="D703" s="425">
        <v>52</v>
      </c>
      <c r="E703" s="426">
        <v>10.6</v>
      </c>
      <c r="F703" s="427">
        <v>14.9</v>
      </c>
      <c r="G703" s="428">
        <v>1062</v>
      </c>
      <c r="H703" s="428">
        <v>1996</v>
      </c>
      <c r="I703" s="428">
        <v>98.8</v>
      </c>
      <c r="J703" s="436">
        <v>116.1</v>
      </c>
      <c r="K703" s="436" t="s">
        <v>4874</v>
      </c>
      <c r="L703" s="426">
        <v>36.049999999999997</v>
      </c>
      <c r="M703" s="426">
        <v>38</v>
      </c>
      <c r="N703" s="426">
        <v>47.86</v>
      </c>
      <c r="O703" s="429" t="s">
        <v>142</v>
      </c>
      <c r="P703" s="429" t="s">
        <v>142</v>
      </c>
      <c r="Q703" s="314" t="s">
        <v>142</v>
      </c>
      <c r="R703" s="429" t="s">
        <v>3434</v>
      </c>
      <c r="S703" s="1103">
        <v>63.6</v>
      </c>
      <c r="T703" s="430" t="s">
        <v>23</v>
      </c>
      <c r="U703" s="813" t="s">
        <v>4736</v>
      </c>
      <c r="V703" s="1064"/>
    </row>
    <row r="704" spans="1:22" ht="30.75" customHeight="1" x14ac:dyDescent="0.25">
      <c r="A704" s="271" t="s">
        <v>4704</v>
      </c>
      <c r="B704" s="424">
        <v>44958</v>
      </c>
      <c r="C704" s="710">
        <v>0.91666666666666663</v>
      </c>
      <c r="D704" s="425">
        <v>52</v>
      </c>
      <c r="E704" s="426">
        <v>10.3</v>
      </c>
      <c r="F704" s="427">
        <v>14.7</v>
      </c>
      <c r="G704" s="428">
        <v>1053</v>
      </c>
      <c r="H704" s="428">
        <v>1923</v>
      </c>
      <c r="I704" s="428">
        <v>98.8</v>
      </c>
      <c r="J704" s="436">
        <v>111.8</v>
      </c>
      <c r="K704" s="436" t="s">
        <v>4879</v>
      </c>
      <c r="L704" s="426">
        <v>34.659999999999997</v>
      </c>
      <c r="M704" s="426">
        <v>38</v>
      </c>
      <c r="N704" s="426">
        <v>50.57</v>
      </c>
      <c r="O704" s="429" t="s">
        <v>142</v>
      </c>
      <c r="P704" s="429" t="s">
        <v>142</v>
      </c>
      <c r="Q704" s="314" t="s">
        <v>142</v>
      </c>
      <c r="R704" s="429" t="s">
        <v>2507</v>
      </c>
      <c r="S704" s="1103">
        <v>62.8</v>
      </c>
      <c r="T704" s="430" t="s">
        <v>23</v>
      </c>
      <c r="U704" s="813" t="s">
        <v>4736</v>
      </c>
      <c r="V704" s="1064"/>
    </row>
    <row r="705" spans="1:22" ht="30.75" customHeight="1" x14ac:dyDescent="0.25">
      <c r="A705" s="271" t="s">
        <v>4704</v>
      </c>
      <c r="B705" s="424">
        <v>44959</v>
      </c>
      <c r="C705" s="710">
        <v>0.91666666666666663</v>
      </c>
      <c r="D705" s="425">
        <v>52</v>
      </c>
      <c r="E705" s="426">
        <v>7.1</v>
      </c>
      <c r="F705" s="427">
        <v>13</v>
      </c>
      <c r="G705" s="428">
        <v>1199</v>
      </c>
      <c r="H705" s="428">
        <v>2091</v>
      </c>
      <c r="I705" s="428">
        <v>96.3</v>
      </c>
      <c r="J705" s="436">
        <v>102.6</v>
      </c>
      <c r="K705" s="436" t="s">
        <v>4886</v>
      </c>
      <c r="L705" s="426">
        <v>36.79</v>
      </c>
      <c r="M705" s="426">
        <v>36</v>
      </c>
      <c r="N705" s="426">
        <v>39.26</v>
      </c>
      <c r="O705" s="429" t="s">
        <v>142</v>
      </c>
      <c r="P705" s="429" t="s">
        <v>142</v>
      </c>
      <c r="Q705" s="314" t="s">
        <v>142</v>
      </c>
      <c r="R705" s="429" t="s">
        <v>1789</v>
      </c>
      <c r="S705" s="1103">
        <v>55.5</v>
      </c>
      <c r="T705" s="430" t="s">
        <v>23</v>
      </c>
      <c r="U705" s="813" t="s">
        <v>4736</v>
      </c>
      <c r="V705" s="1064"/>
    </row>
    <row r="706" spans="1:22" ht="30.75" customHeight="1" x14ac:dyDescent="0.25">
      <c r="A706" s="271" t="s">
        <v>4704</v>
      </c>
      <c r="B706" s="424">
        <v>44960</v>
      </c>
      <c r="C706" s="710">
        <v>0.91666666666666663</v>
      </c>
      <c r="D706" s="425">
        <v>52</v>
      </c>
      <c r="E706" s="426">
        <v>11.4</v>
      </c>
      <c r="F706" s="427">
        <v>15.5</v>
      </c>
      <c r="G706" s="428">
        <v>1090</v>
      </c>
      <c r="H706" s="428">
        <v>1868</v>
      </c>
      <c r="I706" s="428">
        <v>98.6</v>
      </c>
      <c r="J706" s="436">
        <v>112.1</v>
      </c>
      <c r="K706" s="436" t="s">
        <v>4892</v>
      </c>
      <c r="L706" s="426">
        <v>37.479999999999997</v>
      </c>
      <c r="M706" s="426">
        <v>38</v>
      </c>
      <c r="N706" s="426">
        <v>53.02</v>
      </c>
      <c r="O706" s="429" t="s">
        <v>142</v>
      </c>
      <c r="P706" s="429" t="s">
        <v>142</v>
      </c>
      <c r="Q706" s="314" t="s">
        <v>142</v>
      </c>
      <c r="R706" s="429" t="s">
        <v>4893</v>
      </c>
      <c r="S706" s="1103">
        <v>66.2</v>
      </c>
      <c r="T706" s="430" t="s">
        <v>23</v>
      </c>
      <c r="U706" s="813" t="s">
        <v>4736</v>
      </c>
      <c r="V706" s="1064"/>
    </row>
    <row r="707" spans="1:22" ht="30.75" customHeight="1" x14ac:dyDescent="0.25">
      <c r="A707" s="271" t="s">
        <v>4704</v>
      </c>
      <c r="B707" s="424">
        <v>44961</v>
      </c>
      <c r="C707" s="710">
        <v>0.91666666666666663</v>
      </c>
      <c r="D707" s="425">
        <v>52</v>
      </c>
      <c r="E707" s="426">
        <v>9</v>
      </c>
      <c r="F707" s="427">
        <v>13.9</v>
      </c>
      <c r="G707" s="428">
        <v>1100</v>
      </c>
      <c r="H707" s="428">
        <v>2100</v>
      </c>
      <c r="I707" s="428">
        <v>98.6</v>
      </c>
      <c r="J707" s="436">
        <v>113.6</v>
      </c>
      <c r="K707" s="436" t="s">
        <v>4901</v>
      </c>
      <c r="L707" s="426">
        <v>36.79</v>
      </c>
      <c r="M707" s="426">
        <v>38</v>
      </c>
      <c r="N707" s="426">
        <v>48.93</v>
      </c>
      <c r="O707" s="429" t="s">
        <v>142</v>
      </c>
      <c r="P707" s="429" t="s">
        <v>142</v>
      </c>
      <c r="Q707" s="314" t="s">
        <v>142</v>
      </c>
      <c r="R707" s="429" t="s">
        <v>4902</v>
      </c>
      <c r="S707" s="1103">
        <v>59.4</v>
      </c>
      <c r="T707" s="430" t="s">
        <v>23</v>
      </c>
      <c r="U707" s="813" t="s">
        <v>4736</v>
      </c>
      <c r="V707" s="1064"/>
    </row>
    <row r="708" spans="1:22" ht="30.75" customHeight="1" x14ac:dyDescent="0.25">
      <c r="A708" s="271" t="s">
        <v>4704</v>
      </c>
      <c r="B708" s="424">
        <v>44962</v>
      </c>
      <c r="C708" s="710">
        <v>0.91666666666666663</v>
      </c>
      <c r="D708" s="1481" t="s">
        <v>4906</v>
      </c>
      <c r="E708" s="1482"/>
      <c r="F708" s="1482"/>
      <c r="G708" s="1482"/>
      <c r="H708" s="1482"/>
      <c r="I708" s="1482"/>
      <c r="J708" s="1482"/>
      <c r="K708" s="1482"/>
      <c r="L708" s="1482"/>
      <c r="M708" s="1482"/>
      <c r="N708" s="1482"/>
      <c r="O708" s="1482"/>
      <c r="P708" s="1482"/>
      <c r="Q708" s="1482"/>
      <c r="R708" s="1482"/>
      <c r="S708" s="1483"/>
      <c r="T708" s="430" t="s">
        <v>23</v>
      </c>
      <c r="U708" s="813" t="s">
        <v>4736</v>
      </c>
      <c r="V708" s="1064"/>
    </row>
    <row r="709" spans="1:22" ht="30.75" customHeight="1" x14ac:dyDescent="0.25">
      <c r="A709" s="271" t="s">
        <v>4704</v>
      </c>
      <c r="B709" s="424">
        <v>44963</v>
      </c>
      <c r="C709" s="710">
        <v>0.91666666666666663</v>
      </c>
      <c r="D709" s="425">
        <v>52</v>
      </c>
      <c r="E709" s="426">
        <v>10.8</v>
      </c>
      <c r="F709" s="427">
        <v>15</v>
      </c>
      <c r="G709" s="428">
        <v>1057</v>
      </c>
      <c r="H709" s="428">
        <v>1901</v>
      </c>
      <c r="I709" s="428">
        <v>99</v>
      </c>
      <c r="J709" s="436">
        <v>111.6</v>
      </c>
      <c r="K709" s="436" t="s">
        <v>4916</v>
      </c>
      <c r="L709" s="426">
        <v>35.6</v>
      </c>
      <c r="M709" s="426">
        <v>38</v>
      </c>
      <c r="N709" s="426">
        <v>48.5</v>
      </c>
      <c r="O709" s="429" t="s">
        <v>142</v>
      </c>
      <c r="P709" s="429" t="s">
        <v>142</v>
      </c>
      <c r="Q709" s="314" t="s">
        <v>142</v>
      </c>
      <c r="R709" s="429" t="s">
        <v>1029</v>
      </c>
      <c r="S709" s="1103">
        <v>64.099999999999994</v>
      </c>
      <c r="T709" s="430" t="s">
        <v>23</v>
      </c>
      <c r="U709" s="813" t="s">
        <v>4736</v>
      </c>
      <c r="V709" s="1064"/>
    </row>
    <row r="710" spans="1:22" ht="30.75" customHeight="1" x14ac:dyDescent="0.25">
      <c r="A710" s="271" t="s">
        <v>4704</v>
      </c>
      <c r="B710" s="424">
        <v>44964</v>
      </c>
      <c r="C710" s="710">
        <v>0.91666666666666663</v>
      </c>
      <c r="D710" s="1481" t="s">
        <v>4920</v>
      </c>
      <c r="E710" s="1482"/>
      <c r="F710" s="1482"/>
      <c r="G710" s="1482"/>
      <c r="H710" s="1482"/>
      <c r="I710" s="1482"/>
      <c r="J710" s="1482"/>
      <c r="K710" s="1482"/>
      <c r="L710" s="1482"/>
      <c r="M710" s="1482"/>
      <c r="N710" s="1482"/>
      <c r="O710" s="1482"/>
      <c r="P710" s="1482"/>
      <c r="Q710" s="1482"/>
      <c r="R710" s="1482"/>
      <c r="S710" s="1483"/>
      <c r="T710" s="430" t="s">
        <v>23</v>
      </c>
      <c r="U710" s="813" t="s">
        <v>4736</v>
      </c>
      <c r="V710" s="1064"/>
    </row>
    <row r="711" spans="1:22" ht="30.75" customHeight="1" x14ac:dyDescent="0.25">
      <c r="A711" s="271" t="s">
        <v>4704</v>
      </c>
      <c r="B711" s="424">
        <v>44965</v>
      </c>
      <c r="C711" s="710">
        <v>0.91666666666666663</v>
      </c>
      <c r="D711" s="425">
        <v>52</v>
      </c>
      <c r="E711" s="426">
        <v>11.5</v>
      </c>
      <c r="F711" s="427">
        <v>15.5</v>
      </c>
      <c r="G711" s="428">
        <v>1135</v>
      </c>
      <c r="H711" s="428">
        <v>1953</v>
      </c>
      <c r="I711" s="428">
        <v>98.3</v>
      </c>
      <c r="J711" s="436">
        <v>111.7</v>
      </c>
      <c r="K711" s="436" t="s">
        <v>4927</v>
      </c>
      <c r="L711" s="426">
        <v>39.36</v>
      </c>
      <c r="M711" s="426">
        <v>38</v>
      </c>
      <c r="N711" s="426">
        <v>54.16</v>
      </c>
      <c r="O711" s="429" t="s">
        <v>142</v>
      </c>
      <c r="P711" s="429" t="s">
        <v>142</v>
      </c>
      <c r="Q711" s="314" t="s">
        <v>142</v>
      </c>
      <c r="R711" s="429" t="s">
        <v>1085</v>
      </c>
      <c r="S711" s="1103">
        <v>66.2</v>
      </c>
      <c r="T711" s="430" t="s">
        <v>23</v>
      </c>
      <c r="U711" s="813" t="s">
        <v>4736</v>
      </c>
      <c r="V711" s="1064"/>
    </row>
    <row r="712" spans="1:22" ht="30.75" customHeight="1" x14ac:dyDescent="0.25">
      <c r="A712" s="271" t="s">
        <v>4704</v>
      </c>
      <c r="B712" s="424">
        <v>44966</v>
      </c>
      <c r="C712" s="710">
        <v>0.9375</v>
      </c>
      <c r="D712" s="425">
        <v>52</v>
      </c>
      <c r="E712" s="426">
        <v>10.8</v>
      </c>
      <c r="F712" s="427">
        <v>15</v>
      </c>
      <c r="G712" s="428">
        <v>1071</v>
      </c>
      <c r="H712" s="428">
        <v>2017</v>
      </c>
      <c r="I712" s="428">
        <v>99</v>
      </c>
      <c r="J712" s="436">
        <v>111.7</v>
      </c>
      <c r="K712" s="436" t="s">
        <v>4935</v>
      </c>
      <c r="L712" s="426">
        <v>38.1</v>
      </c>
      <c r="M712" s="426">
        <v>40</v>
      </c>
      <c r="N712" s="426">
        <v>48.12</v>
      </c>
      <c r="O712" s="429" t="s">
        <v>142</v>
      </c>
      <c r="P712" s="429" t="s">
        <v>142</v>
      </c>
      <c r="Q712" s="314" t="s">
        <v>142</v>
      </c>
      <c r="R712" s="429" t="s">
        <v>4936</v>
      </c>
      <c r="S712" s="1103">
        <v>64.099999999999994</v>
      </c>
      <c r="T712" s="430" t="s">
        <v>23</v>
      </c>
      <c r="U712" s="813" t="s">
        <v>236</v>
      </c>
      <c r="V712" s="1064" t="s">
        <v>4946</v>
      </c>
    </row>
    <row r="713" spans="1:22" ht="30.75" customHeight="1" x14ac:dyDescent="0.25">
      <c r="A713" s="271" t="s">
        <v>4704</v>
      </c>
      <c r="B713" s="424">
        <v>44967</v>
      </c>
      <c r="C713" s="710">
        <v>0.91666666666666663</v>
      </c>
      <c r="D713" s="425">
        <v>52</v>
      </c>
      <c r="E713" s="426">
        <v>13.5</v>
      </c>
      <c r="F713" s="427">
        <v>17.100000000000001</v>
      </c>
      <c r="G713" s="428">
        <v>1312</v>
      </c>
      <c r="H713" s="428">
        <v>1606</v>
      </c>
      <c r="I713" s="428">
        <v>96</v>
      </c>
      <c r="J713" s="436">
        <v>103.4</v>
      </c>
      <c r="K713" s="436" t="s">
        <v>4948</v>
      </c>
      <c r="L713" s="426">
        <v>39.1</v>
      </c>
      <c r="M713" s="426">
        <v>43</v>
      </c>
      <c r="N713" s="426">
        <v>30.1</v>
      </c>
      <c r="O713" s="429" t="s">
        <v>142</v>
      </c>
      <c r="P713" s="429" t="s">
        <v>142</v>
      </c>
      <c r="Q713" s="314" t="s">
        <v>142</v>
      </c>
      <c r="R713" s="429" t="s">
        <v>1317</v>
      </c>
      <c r="S713" s="1103">
        <v>73</v>
      </c>
      <c r="T713" s="430" t="s">
        <v>23</v>
      </c>
      <c r="U713" s="813" t="s">
        <v>236</v>
      </c>
      <c r="V713" s="1064"/>
    </row>
    <row r="714" spans="1:22" ht="30.75" customHeight="1" x14ac:dyDescent="0.25">
      <c r="A714" s="271" t="s">
        <v>4704</v>
      </c>
      <c r="B714" s="424">
        <v>44968</v>
      </c>
      <c r="C714" s="710">
        <v>0.89583333333333337</v>
      </c>
      <c r="D714" s="425">
        <v>52</v>
      </c>
      <c r="E714" s="426">
        <v>10.6</v>
      </c>
      <c r="F714" s="427">
        <v>14.9</v>
      </c>
      <c r="G714" s="428">
        <v>1068</v>
      </c>
      <c r="H714" s="428">
        <v>1994</v>
      </c>
      <c r="I714" s="428">
        <v>98.8</v>
      </c>
      <c r="J714" s="436">
        <v>111.1</v>
      </c>
      <c r="K714" s="436" t="s">
        <v>4952</v>
      </c>
      <c r="L714" s="426">
        <v>35.409999999999997</v>
      </c>
      <c r="M714" s="426">
        <v>38</v>
      </c>
      <c r="N714" s="426">
        <v>48.58</v>
      </c>
      <c r="O714" s="429" t="s">
        <v>142</v>
      </c>
      <c r="P714" s="429" t="s">
        <v>142</v>
      </c>
      <c r="Q714" s="314" t="s">
        <v>142</v>
      </c>
      <c r="R714" s="429" t="s">
        <v>2019</v>
      </c>
      <c r="S714" s="1103">
        <v>63.6</v>
      </c>
      <c r="T714" s="430" t="s">
        <v>23</v>
      </c>
      <c r="U714" s="813" t="s">
        <v>236</v>
      </c>
      <c r="V714" s="1064" t="s">
        <v>4957</v>
      </c>
    </row>
    <row r="715" spans="1:22" ht="30.75" customHeight="1" x14ac:dyDescent="0.25">
      <c r="A715" s="271" t="s">
        <v>4704</v>
      </c>
      <c r="B715" s="424">
        <v>44969</v>
      </c>
      <c r="C715" s="710">
        <v>0.9375</v>
      </c>
      <c r="D715" s="425">
        <v>52</v>
      </c>
      <c r="E715" s="426">
        <v>11.4</v>
      </c>
      <c r="F715" s="427">
        <v>15.4</v>
      </c>
      <c r="G715" s="428">
        <v>1149</v>
      </c>
      <c r="H715" s="428">
        <v>2028</v>
      </c>
      <c r="I715" s="428">
        <v>97.1</v>
      </c>
      <c r="J715" s="436">
        <v>115.1</v>
      </c>
      <c r="K715" s="436" t="s">
        <v>4959</v>
      </c>
      <c r="L715" s="426">
        <v>37.42</v>
      </c>
      <c r="M715" s="426">
        <v>40</v>
      </c>
      <c r="N715" s="426">
        <v>50.12</v>
      </c>
      <c r="O715" s="429" t="s">
        <v>142</v>
      </c>
      <c r="P715" s="429" t="s">
        <v>142</v>
      </c>
      <c r="Q715" s="314" t="s">
        <v>142</v>
      </c>
      <c r="R715" s="429" t="s">
        <v>974</v>
      </c>
      <c r="S715" s="1103">
        <v>65.8</v>
      </c>
      <c r="T715" s="430" t="s">
        <v>23</v>
      </c>
      <c r="U715" s="813" t="s">
        <v>236</v>
      </c>
      <c r="V715" s="1064"/>
    </row>
    <row r="716" spans="1:22" ht="30.75" customHeight="1" x14ac:dyDescent="0.25">
      <c r="A716" s="271" t="s">
        <v>4704</v>
      </c>
      <c r="B716" s="424">
        <v>44970</v>
      </c>
      <c r="C716" s="710">
        <v>0.8125</v>
      </c>
      <c r="D716" s="425">
        <v>52</v>
      </c>
      <c r="E716" s="426">
        <v>11.6</v>
      </c>
      <c r="F716" s="427">
        <v>15.6</v>
      </c>
      <c r="G716" s="428">
        <v>1175</v>
      </c>
      <c r="H716" s="428">
        <v>1997</v>
      </c>
      <c r="I716" s="428">
        <v>97.5</v>
      </c>
      <c r="J716" s="436">
        <v>110.7</v>
      </c>
      <c r="K716" s="436" t="s">
        <v>4965</v>
      </c>
      <c r="L716" s="426">
        <v>36.03</v>
      </c>
      <c r="M716" s="426">
        <v>39</v>
      </c>
      <c r="N716" s="426">
        <v>52.9</v>
      </c>
      <c r="O716" s="429" t="s">
        <v>142</v>
      </c>
      <c r="P716" s="429" t="s">
        <v>142</v>
      </c>
      <c r="Q716" s="314" t="s">
        <v>142</v>
      </c>
      <c r="R716" s="429" t="s">
        <v>943</v>
      </c>
      <c r="S716" s="1103">
        <v>66.599999999999994</v>
      </c>
      <c r="T716" s="430" t="s">
        <v>23</v>
      </c>
      <c r="U716" s="813" t="s">
        <v>236</v>
      </c>
      <c r="V716" s="1064"/>
    </row>
    <row r="717" spans="1:22" ht="30.75" customHeight="1" x14ac:dyDescent="0.25">
      <c r="A717" s="271" t="s">
        <v>4704</v>
      </c>
      <c r="B717" s="424">
        <v>44971</v>
      </c>
      <c r="C717" s="710">
        <v>0.89583333333333337</v>
      </c>
      <c r="D717" s="1481" t="s">
        <v>4973</v>
      </c>
      <c r="E717" s="1482"/>
      <c r="F717" s="1482"/>
      <c r="G717" s="1482"/>
      <c r="H717" s="1482"/>
      <c r="I717" s="1482"/>
      <c r="J717" s="1482"/>
      <c r="K717" s="1482"/>
      <c r="L717" s="1482"/>
      <c r="M717" s="1482"/>
      <c r="N717" s="1482"/>
      <c r="O717" s="1482"/>
      <c r="P717" s="1482"/>
      <c r="Q717" s="1482"/>
      <c r="R717" s="1482"/>
      <c r="S717" s="1483"/>
      <c r="T717" s="430" t="s">
        <v>23</v>
      </c>
      <c r="U717" s="813" t="s">
        <v>236</v>
      </c>
      <c r="V717" s="1064"/>
    </row>
    <row r="718" spans="1:22" ht="30.75" customHeight="1" x14ac:dyDescent="0.25">
      <c r="A718" s="271" t="s">
        <v>4704</v>
      </c>
      <c r="B718" s="424">
        <v>44972</v>
      </c>
      <c r="C718" s="710">
        <v>0.8125</v>
      </c>
      <c r="D718" s="425">
        <v>52</v>
      </c>
      <c r="E718" s="426">
        <v>11.1</v>
      </c>
      <c r="F718" s="427">
        <v>15.3</v>
      </c>
      <c r="G718" s="428">
        <v>1053</v>
      </c>
      <c r="H718" s="428">
        <v>1896</v>
      </c>
      <c r="I718" s="428">
        <v>99</v>
      </c>
      <c r="J718" s="436">
        <v>111.7</v>
      </c>
      <c r="K718" s="436" t="s">
        <v>4975</v>
      </c>
      <c r="L718" s="426">
        <v>36.24</v>
      </c>
      <c r="M718" s="426">
        <v>39</v>
      </c>
      <c r="N718" s="426">
        <v>50.64</v>
      </c>
      <c r="O718" s="429" t="s">
        <v>142</v>
      </c>
      <c r="P718" s="429" t="s">
        <v>142</v>
      </c>
      <c r="Q718" s="314" t="s">
        <v>142</v>
      </c>
      <c r="R718" s="429" t="s">
        <v>2053</v>
      </c>
      <c r="S718" s="1103">
        <v>65.3</v>
      </c>
      <c r="T718" s="430" t="s">
        <v>23</v>
      </c>
      <c r="U718" s="813" t="s">
        <v>236</v>
      </c>
      <c r="V718" s="1064"/>
    </row>
    <row r="719" spans="1:22" ht="30.75" customHeight="1" x14ac:dyDescent="0.25">
      <c r="A719" s="271" t="s">
        <v>4704</v>
      </c>
      <c r="B719" s="424">
        <v>44973</v>
      </c>
      <c r="C719" s="710">
        <v>0.91666666666666663</v>
      </c>
      <c r="D719" s="1481" t="s">
        <v>4980</v>
      </c>
      <c r="E719" s="1482"/>
      <c r="F719" s="1482"/>
      <c r="G719" s="1482"/>
      <c r="H719" s="1482"/>
      <c r="I719" s="1482"/>
      <c r="J719" s="1482"/>
      <c r="K719" s="1482"/>
      <c r="L719" s="1482"/>
      <c r="M719" s="1482"/>
      <c r="N719" s="1482"/>
      <c r="O719" s="1482"/>
      <c r="P719" s="1482"/>
      <c r="Q719" s="1482"/>
      <c r="R719" s="1482"/>
      <c r="S719" s="1483"/>
      <c r="T719" s="430" t="s">
        <v>23</v>
      </c>
      <c r="U719" s="813" t="s">
        <v>236</v>
      </c>
      <c r="V719" s="1064"/>
    </row>
    <row r="720" spans="1:22" ht="30.75" customHeight="1" x14ac:dyDescent="0.25">
      <c r="A720" s="271" t="s">
        <v>4704</v>
      </c>
      <c r="B720" s="424">
        <v>44974</v>
      </c>
      <c r="C720" s="710">
        <v>0.79166666666666663</v>
      </c>
      <c r="D720" s="425">
        <v>52</v>
      </c>
      <c r="E720" s="426">
        <v>10.3</v>
      </c>
      <c r="F720" s="427">
        <v>14.7</v>
      </c>
      <c r="G720" s="428">
        <v>1031</v>
      </c>
      <c r="H720" s="428">
        <v>1647</v>
      </c>
      <c r="I720" s="428">
        <v>98.8</v>
      </c>
      <c r="J720" s="436">
        <v>111.5</v>
      </c>
      <c r="K720" s="436" t="s">
        <v>4983</v>
      </c>
      <c r="L720" s="426">
        <v>30.78</v>
      </c>
      <c r="M720" s="426">
        <v>39</v>
      </c>
      <c r="N720" s="426">
        <v>50.64</v>
      </c>
      <c r="O720" s="429" t="s">
        <v>142</v>
      </c>
      <c r="P720" s="429" t="s">
        <v>142</v>
      </c>
      <c r="Q720" s="314" t="s">
        <v>142</v>
      </c>
      <c r="R720" s="429" t="s">
        <v>2053</v>
      </c>
      <c r="S720" s="1103">
        <v>62.8</v>
      </c>
      <c r="T720" s="430" t="s">
        <v>23</v>
      </c>
      <c r="U720" s="813" t="s">
        <v>236</v>
      </c>
      <c r="V720" s="1064"/>
    </row>
    <row r="721" spans="1:90" ht="30.75" customHeight="1" x14ac:dyDescent="0.25">
      <c r="A721" s="271" t="s">
        <v>4704</v>
      </c>
      <c r="B721" s="424">
        <v>44975</v>
      </c>
      <c r="C721" s="710">
        <v>0.79166666666666663</v>
      </c>
      <c r="D721" s="425">
        <v>52</v>
      </c>
      <c r="E721" s="426">
        <v>13</v>
      </c>
      <c r="F721" s="427">
        <v>16.899999999999999</v>
      </c>
      <c r="G721" s="428">
        <v>1123</v>
      </c>
      <c r="H721" s="428">
        <v>2027</v>
      </c>
      <c r="I721" s="428">
        <v>97.6</v>
      </c>
      <c r="J721" s="436">
        <v>112.5</v>
      </c>
      <c r="K721" s="436" t="s">
        <v>4988</v>
      </c>
      <c r="L721" s="426">
        <v>38.1</v>
      </c>
      <c r="M721" s="426">
        <v>41</v>
      </c>
      <c r="N721" s="426">
        <v>53.71</v>
      </c>
      <c r="O721" s="429" t="s">
        <v>142</v>
      </c>
      <c r="P721" s="429" t="s">
        <v>142</v>
      </c>
      <c r="Q721" s="314" t="s">
        <v>142</v>
      </c>
      <c r="R721" s="429" t="s">
        <v>3182</v>
      </c>
      <c r="S721" s="1103">
        <v>72.2</v>
      </c>
      <c r="T721" s="430" t="s">
        <v>23</v>
      </c>
      <c r="U721" s="813" t="s">
        <v>236</v>
      </c>
      <c r="V721" s="1064"/>
    </row>
    <row r="722" spans="1:90" ht="30.75" customHeight="1" x14ac:dyDescent="0.25">
      <c r="A722" s="271" t="s">
        <v>4704</v>
      </c>
      <c r="B722" s="424">
        <v>44976</v>
      </c>
      <c r="C722" s="710">
        <v>0.89583333333333337</v>
      </c>
      <c r="D722" s="425">
        <v>52</v>
      </c>
      <c r="E722" s="426">
        <v>11.1</v>
      </c>
      <c r="F722" s="427">
        <v>15.4</v>
      </c>
      <c r="G722" s="428">
        <v>1129</v>
      </c>
      <c r="H722" s="428">
        <v>1964</v>
      </c>
      <c r="I722" s="428">
        <v>98</v>
      </c>
      <c r="J722" s="436">
        <v>111.5</v>
      </c>
      <c r="K722" s="436" t="s">
        <v>5003</v>
      </c>
      <c r="L722" s="426">
        <v>39.659999999999997</v>
      </c>
      <c r="M722" s="426">
        <v>43</v>
      </c>
      <c r="N722" s="426">
        <v>51.69</v>
      </c>
      <c r="O722" s="429" t="s">
        <v>142</v>
      </c>
      <c r="P722" s="429" t="s">
        <v>142</v>
      </c>
      <c r="Q722" s="314" t="s">
        <v>142</v>
      </c>
      <c r="R722" s="429" t="s">
        <v>5004</v>
      </c>
      <c r="S722" s="1103">
        <v>63.2</v>
      </c>
      <c r="T722" s="430" t="s">
        <v>23</v>
      </c>
      <c r="U722" s="813" t="s">
        <v>236</v>
      </c>
      <c r="V722" s="1064"/>
    </row>
    <row r="723" spans="1:90" ht="30.75" customHeight="1" x14ac:dyDescent="0.25">
      <c r="A723" s="271" t="s">
        <v>4704</v>
      </c>
      <c r="B723" s="424">
        <v>44977</v>
      </c>
      <c r="C723" s="710">
        <v>0.91666666666666663</v>
      </c>
      <c r="D723" s="425">
        <v>52</v>
      </c>
      <c r="E723" s="426">
        <v>8.6</v>
      </c>
      <c r="F723" s="427">
        <v>13.2</v>
      </c>
      <c r="G723" s="428">
        <v>1194</v>
      </c>
      <c r="H723" s="428">
        <v>2047</v>
      </c>
      <c r="I723" s="428">
        <v>96.6</v>
      </c>
      <c r="J723" s="436">
        <v>115.2</v>
      </c>
      <c r="K723" s="436" t="s">
        <v>5010</v>
      </c>
      <c r="L723" s="426">
        <v>40.21</v>
      </c>
      <c r="M723" s="426">
        <v>44</v>
      </c>
      <c r="N723" s="426">
        <v>39.799999999999997</v>
      </c>
      <c r="O723" s="429" t="s">
        <v>142</v>
      </c>
      <c r="P723" s="429" t="s">
        <v>142</v>
      </c>
      <c r="Q723" s="314" t="s">
        <v>142</v>
      </c>
      <c r="R723" s="429" t="s">
        <v>5011</v>
      </c>
      <c r="S723" s="1103">
        <v>55.1</v>
      </c>
      <c r="T723" s="430" t="s">
        <v>23</v>
      </c>
      <c r="U723" s="813" t="s">
        <v>236</v>
      </c>
      <c r="V723" s="1064" t="s">
        <v>5014</v>
      </c>
    </row>
    <row r="724" spans="1:90" ht="30.75" customHeight="1" x14ac:dyDescent="0.25">
      <c r="A724" s="271" t="s">
        <v>4704</v>
      </c>
      <c r="B724" s="424">
        <v>44978</v>
      </c>
      <c r="C724" s="710">
        <v>0.85416666666666663</v>
      </c>
      <c r="D724" s="425">
        <v>52</v>
      </c>
      <c r="E724" s="426">
        <v>11.2</v>
      </c>
      <c r="F724" s="427">
        <v>15.3</v>
      </c>
      <c r="G724" s="428">
        <v>1085</v>
      </c>
      <c r="H724" s="428">
        <v>1906</v>
      </c>
      <c r="I724" s="428">
        <v>98.8</v>
      </c>
      <c r="J724" s="436">
        <v>112</v>
      </c>
      <c r="K724" s="436" t="s">
        <v>5016</v>
      </c>
      <c r="L724" s="426">
        <v>37.200000000000003</v>
      </c>
      <c r="M724" s="426">
        <v>40</v>
      </c>
      <c r="N724" s="426">
        <v>51.34</v>
      </c>
      <c r="O724" s="429" t="s">
        <v>142</v>
      </c>
      <c r="P724" s="429" t="s">
        <v>142</v>
      </c>
      <c r="Q724" s="314" t="s">
        <v>142</v>
      </c>
      <c r="R724" s="429" t="s">
        <v>2127</v>
      </c>
      <c r="S724" s="1103">
        <v>65.3</v>
      </c>
      <c r="T724" s="430" t="s">
        <v>23</v>
      </c>
      <c r="U724" s="813" t="s">
        <v>236</v>
      </c>
      <c r="V724" s="1064"/>
    </row>
    <row r="725" spans="1:90" ht="30.75" customHeight="1" x14ac:dyDescent="0.25">
      <c r="A725" s="271" t="s">
        <v>4704</v>
      </c>
      <c r="B725" s="424">
        <v>44979</v>
      </c>
      <c r="C725" s="710">
        <v>0.875</v>
      </c>
      <c r="D725" s="1481" t="s">
        <v>5028</v>
      </c>
      <c r="E725" s="1482"/>
      <c r="F725" s="1482"/>
      <c r="G725" s="1482"/>
      <c r="H725" s="1482"/>
      <c r="I725" s="1482"/>
      <c r="J725" s="1482"/>
      <c r="K725" s="1482"/>
      <c r="L725" s="1482"/>
      <c r="M725" s="1482"/>
      <c r="N725" s="1482"/>
      <c r="O725" s="1482"/>
      <c r="P725" s="1482"/>
      <c r="Q725" s="1482"/>
      <c r="R725" s="1482"/>
      <c r="S725" s="1483"/>
      <c r="T725" s="430" t="s">
        <v>23</v>
      </c>
      <c r="U725" s="813" t="s">
        <v>236</v>
      </c>
      <c r="V725" s="1064"/>
    </row>
    <row r="726" spans="1:90" ht="30.75" customHeight="1" x14ac:dyDescent="0.25">
      <c r="A726" s="271" t="s">
        <v>4704</v>
      </c>
      <c r="B726" s="424">
        <v>44980</v>
      </c>
      <c r="C726" s="710">
        <v>0.75</v>
      </c>
      <c r="D726" s="425">
        <v>52</v>
      </c>
      <c r="E726" s="426">
        <v>11</v>
      </c>
      <c r="F726" s="427">
        <v>15.2</v>
      </c>
      <c r="G726" s="428">
        <v>1099</v>
      </c>
      <c r="H726" s="428">
        <v>1973</v>
      </c>
      <c r="I726" s="428">
        <v>98.7</v>
      </c>
      <c r="J726" s="436">
        <v>112.1</v>
      </c>
      <c r="K726" s="436" t="s">
        <v>5036</v>
      </c>
      <c r="L726" s="426">
        <v>39.29</v>
      </c>
      <c r="M726" s="426">
        <v>43</v>
      </c>
      <c r="N726" s="426">
        <v>51.23</v>
      </c>
      <c r="O726" s="429" t="s">
        <v>142</v>
      </c>
      <c r="P726" s="429" t="s">
        <v>142</v>
      </c>
      <c r="Q726" s="314" t="s">
        <v>142</v>
      </c>
      <c r="R726" s="429" t="s">
        <v>5037</v>
      </c>
      <c r="S726" s="1103">
        <v>64.900000000000006</v>
      </c>
      <c r="T726" s="430" t="s">
        <v>23</v>
      </c>
      <c r="U726" s="813" t="s">
        <v>236</v>
      </c>
      <c r="V726" s="1064"/>
    </row>
    <row r="727" spans="1:90" ht="30.75" customHeight="1" x14ac:dyDescent="0.25">
      <c r="A727" s="271" t="s">
        <v>4704</v>
      </c>
      <c r="B727" s="424">
        <v>44981</v>
      </c>
      <c r="C727" s="710">
        <v>0.6875</v>
      </c>
      <c r="D727" s="1481" t="s">
        <v>5042</v>
      </c>
      <c r="E727" s="1482"/>
      <c r="F727" s="1482"/>
      <c r="G727" s="1482"/>
      <c r="H727" s="1482"/>
      <c r="I727" s="1482"/>
      <c r="J727" s="1482"/>
      <c r="K727" s="1482"/>
      <c r="L727" s="1482"/>
      <c r="M727" s="1482"/>
      <c r="N727" s="1482"/>
      <c r="O727" s="1482"/>
      <c r="P727" s="1482"/>
      <c r="Q727" s="1482"/>
      <c r="R727" s="1482"/>
      <c r="S727" s="1483"/>
      <c r="T727" s="430" t="s">
        <v>23</v>
      </c>
      <c r="U727" s="813" t="s">
        <v>236</v>
      </c>
      <c r="V727" s="1064"/>
    </row>
    <row r="728" spans="1:90" ht="30.75" customHeight="1" x14ac:dyDescent="0.25">
      <c r="A728" s="271" t="s">
        <v>4704</v>
      </c>
      <c r="B728" s="424">
        <v>44982</v>
      </c>
      <c r="C728" s="710">
        <v>0.6875</v>
      </c>
      <c r="D728" s="425">
        <v>52</v>
      </c>
      <c r="E728" s="426">
        <v>11.2</v>
      </c>
      <c r="F728" s="427">
        <v>15.4</v>
      </c>
      <c r="G728" s="428">
        <v>1111</v>
      </c>
      <c r="H728" s="428">
        <v>1965</v>
      </c>
      <c r="I728" s="428">
        <v>98.6</v>
      </c>
      <c r="J728" s="436">
        <v>111.6</v>
      </c>
      <c r="K728" s="436" t="s">
        <v>5045</v>
      </c>
      <c r="L728" s="426">
        <v>38.590000000000003</v>
      </c>
      <c r="M728" s="426">
        <v>42.5</v>
      </c>
      <c r="N728" s="426">
        <v>52.14</v>
      </c>
      <c r="O728" s="429" t="s">
        <v>142</v>
      </c>
      <c r="P728" s="429" t="s">
        <v>142</v>
      </c>
      <c r="Q728" s="314" t="s">
        <v>142</v>
      </c>
      <c r="R728" s="429" t="s">
        <v>2041</v>
      </c>
      <c r="S728" s="1103">
        <v>65.8</v>
      </c>
      <c r="T728" s="430" t="s">
        <v>23</v>
      </c>
      <c r="U728" s="813" t="s">
        <v>236</v>
      </c>
      <c r="V728" s="1064"/>
    </row>
    <row r="729" spans="1:90" ht="30.75" customHeight="1" x14ac:dyDescent="0.25">
      <c r="A729" s="271" t="s">
        <v>4704</v>
      </c>
      <c r="B729" s="424">
        <v>44983</v>
      </c>
      <c r="C729" s="710">
        <v>0.70833333333333337</v>
      </c>
      <c r="D729" s="1481" t="s">
        <v>5051</v>
      </c>
      <c r="E729" s="1482"/>
      <c r="F729" s="1482"/>
      <c r="G729" s="1482"/>
      <c r="H729" s="1482"/>
      <c r="I729" s="1482"/>
      <c r="J729" s="1482"/>
      <c r="K729" s="1482"/>
      <c r="L729" s="1482"/>
      <c r="M729" s="1482"/>
      <c r="N729" s="1482"/>
      <c r="O729" s="1482"/>
      <c r="P729" s="1482"/>
      <c r="Q729" s="1482"/>
      <c r="R729" s="1482"/>
      <c r="S729" s="1483"/>
      <c r="T729" s="430" t="s">
        <v>23</v>
      </c>
      <c r="U729" s="813" t="s">
        <v>236</v>
      </c>
      <c r="V729" s="1064"/>
    </row>
    <row r="730" spans="1:90" ht="30.75" customHeight="1" x14ac:dyDescent="0.25">
      <c r="A730" s="271" t="s">
        <v>4704</v>
      </c>
      <c r="B730" s="424">
        <v>44984</v>
      </c>
      <c r="C730" s="710">
        <v>0.72916666666666663</v>
      </c>
      <c r="D730" s="425">
        <v>52</v>
      </c>
      <c r="E730" s="426">
        <v>10.7</v>
      </c>
      <c r="F730" s="427">
        <v>14.9</v>
      </c>
      <c r="G730" s="428">
        <v>1076</v>
      </c>
      <c r="H730" s="428">
        <v>1999</v>
      </c>
      <c r="I730" s="428">
        <v>98.8</v>
      </c>
      <c r="J730" s="436">
        <v>111.8</v>
      </c>
      <c r="K730" s="436" t="s">
        <v>5053</v>
      </c>
      <c r="L730" s="426">
        <v>37.69</v>
      </c>
      <c r="M730" s="426">
        <v>40</v>
      </c>
      <c r="N730" s="426">
        <v>49.63</v>
      </c>
      <c r="O730" s="429" t="s">
        <v>142</v>
      </c>
      <c r="P730" s="429" t="s">
        <v>142</v>
      </c>
      <c r="Q730" s="314" t="s">
        <v>142</v>
      </c>
      <c r="R730" s="429" t="s">
        <v>2156</v>
      </c>
      <c r="S730" s="1103">
        <v>63.6</v>
      </c>
      <c r="T730" s="430" t="s">
        <v>23</v>
      </c>
      <c r="U730" s="813" t="s">
        <v>236</v>
      </c>
      <c r="V730" s="1064"/>
    </row>
    <row r="731" spans="1:90" s="1183" customFormat="1" ht="30.75" customHeight="1" x14ac:dyDescent="0.25">
      <c r="A731" s="1183" t="s">
        <v>4704</v>
      </c>
      <c r="B731" s="1184">
        <v>44985</v>
      </c>
      <c r="C731" s="1185">
        <v>0.75</v>
      </c>
      <c r="D731" s="1186">
        <v>52</v>
      </c>
      <c r="E731" s="1187">
        <v>11.2</v>
      </c>
      <c r="F731" s="1188">
        <v>15.3</v>
      </c>
      <c r="G731" s="1189">
        <v>1129</v>
      </c>
      <c r="H731" s="1189">
        <v>2054</v>
      </c>
      <c r="I731" s="1189">
        <v>98.6</v>
      </c>
      <c r="J731" s="1190">
        <v>110.6</v>
      </c>
      <c r="K731" s="1190" t="s">
        <v>5056</v>
      </c>
      <c r="L731" s="1187">
        <v>41.21</v>
      </c>
      <c r="M731" s="1187">
        <v>43</v>
      </c>
      <c r="N731" s="1187">
        <v>48.67</v>
      </c>
      <c r="O731" s="1191" t="s">
        <v>142</v>
      </c>
      <c r="P731" s="1191" t="s">
        <v>142</v>
      </c>
      <c r="Q731" s="1192" t="s">
        <v>142</v>
      </c>
      <c r="R731" s="1191" t="s">
        <v>3095</v>
      </c>
      <c r="S731" s="1193">
        <v>63.3</v>
      </c>
      <c r="T731" s="1194" t="s">
        <v>23</v>
      </c>
      <c r="U731" s="813" t="s">
        <v>236</v>
      </c>
      <c r="V731" s="1195" t="s">
        <v>5057</v>
      </c>
      <c r="W731" s="1196"/>
      <c r="X731" s="1196"/>
      <c r="Y731" s="1196"/>
      <c r="Z731" s="1196"/>
      <c r="AA731" s="1196"/>
      <c r="AB731" s="1196"/>
      <c r="AC731" s="1196"/>
      <c r="AD731" s="1196"/>
      <c r="AE731" s="1196"/>
      <c r="AF731" s="1196"/>
      <c r="AG731" s="1196"/>
      <c r="AH731" s="1196"/>
      <c r="AI731" s="1196"/>
      <c r="AJ731" s="1196"/>
      <c r="AK731" s="1196"/>
      <c r="AL731" s="1196"/>
      <c r="AM731" s="1196"/>
      <c r="AN731" s="1196"/>
      <c r="AO731" s="1196"/>
      <c r="AP731" s="1196"/>
      <c r="AQ731" s="1196"/>
      <c r="AR731" s="1196"/>
      <c r="AS731" s="1196"/>
      <c r="AT731" s="1196"/>
      <c r="AU731" s="1196"/>
      <c r="AV731" s="1196"/>
      <c r="AW731" s="1196"/>
      <c r="AX731" s="1196"/>
      <c r="AY731" s="1196"/>
      <c r="AZ731" s="1196"/>
      <c r="BA731" s="1196"/>
      <c r="BB731" s="1196"/>
      <c r="BC731" s="1196"/>
      <c r="BD731" s="1196"/>
      <c r="BE731" s="1196"/>
      <c r="BF731" s="1196"/>
      <c r="BG731" s="1196"/>
      <c r="BH731" s="1196"/>
      <c r="BI731" s="1196"/>
      <c r="BJ731" s="1196"/>
      <c r="BK731" s="1196"/>
      <c r="BL731" s="1196"/>
      <c r="BM731" s="1196"/>
      <c r="BN731" s="1196"/>
      <c r="BO731" s="1196"/>
      <c r="BP731" s="1196"/>
      <c r="BQ731" s="1196"/>
      <c r="BR731" s="1196"/>
      <c r="BS731" s="1196"/>
      <c r="BT731" s="1196"/>
      <c r="BU731" s="1196"/>
      <c r="BV731" s="1196"/>
      <c r="BW731" s="1196"/>
      <c r="BX731" s="1196"/>
      <c r="BY731" s="1196"/>
      <c r="BZ731" s="1196"/>
      <c r="CA731" s="1196"/>
      <c r="CB731" s="1196"/>
      <c r="CC731" s="1196"/>
      <c r="CD731" s="1196"/>
      <c r="CE731" s="1196"/>
      <c r="CF731" s="1196"/>
      <c r="CG731" s="1196"/>
      <c r="CH731" s="1196"/>
      <c r="CI731" s="1196"/>
      <c r="CJ731" s="1196"/>
      <c r="CK731" s="1196"/>
      <c r="CL731" s="1196"/>
    </row>
    <row r="732" spans="1:90" s="1183" customFormat="1" ht="30.75" customHeight="1" x14ac:dyDescent="0.25">
      <c r="A732" s="1183" t="s">
        <v>4704</v>
      </c>
      <c r="B732" s="1184">
        <v>44986</v>
      </c>
      <c r="C732" s="1185">
        <v>0.72916666666666663</v>
      </c>
      <c r="D732" s="1186">
        <v>52</v>
      </c>
      <c r="E732" s="1187">
        <v>11.2</v>
      </c>
      <c r="F732" s="1188">
        <v>15.3</v>
      </c>
      <c r="G732" s="1189">
        <v>1070</v>
      </c>
      <c r="H732" s="1189">
        <v>1880</v>
      </c>
      <c r="I732" s="1189">
        <v>98.8</v>
      </c>
      <c r="J732" s="1190">
        <v>112.5</v>
      </c>
      <c r="K732" s="1190" t="s">
        <v>5071</v>
      </c>
      <c r="L732" s="1187">
        <v>37.590000000000003</v>
      </c>
      <c r="M732" s="1187">
        <v>43</v>
      </c>
      <c r="N732" s="1187">
        <v>52.75</v>
      </c>
      <c r="O732" s="1191" t="s">
        <v>142</v>
      </c>
      <c r="P732" s="1191" t="s">
        <v>142</v>
      </c>
      <c r="Q732" s="1192" t="s">
        <v>142</v>
      </c>
      <c r="R732" s="1191" t="s">
        <v>3095</v>
      </c>
      <c r="S732" s="1193">
        <v>63.3</v>
      </c>
      <c r="T732" s="1194" t="s">
        <v>23</v>
      </c>
      <c r="U732" s="813" t="s">
        <v>236</v>
      </c>
      <c r="V732" s="1195" t="s">
        <v>5057</v>
      </c>
      <c r="W732" s="1196"/>
      <c r="X732" s="1196"/>
      <c r="Y732" s="1196"/>
      <c r="Z732" s="1196"/>
      <c r="AA732" s="1196"/>
      <c r="AB732" s="1196"/>
      <c r="AC732" s="1196"/>
      <c r="AD732" s="1196"/>
      <c r="AE732" s="1196"/>
      <c r="AF732" s="1196"/>
      <c r="AG732" s="1196"/>
      <c r="AH732" s="1196"/>
      <c r="AI732" s="1196"/>
      <c r="AJ732" s="1196"/>
      <c r="AK732" s="1196"/>
      <c r="AL732" s="1196"/>
      <c r="AM732" s="1196"/>
      <c r="AN732" s="1196"/>
      <c r="AO732" s="1196"/>
      <c r="AP732" s="1196"/>
      <c r="AQ732" s="1196"/>
      <c r="AR732" s="1196"/>
      <c r="AS732" s="1196"/>
      <c r="AT732" s="1196"/>
      <c r="AU732" s="1196"/>
      <c r="AV732" s="1196"/>
      <c r="AW732" s="1196"/>
      <c r="AX732" s="1196"/>
      <c r="AY732" s="1196"/>
      <c r="AZ732" s="1196"/>
      <c r="BA732" s="1196"/>
      <c r="BB732" s="1196"/>
      <c r="BC732" s="1196"/>
      <c r="BD732" s="1196"/>
      <c r="BE732" s="1196"/>
      <c r="BF732" s="1196"/>
      <c r="BG732" s="1196"/>
      <c r="BH732" s="1196"/>
      <c r="BI732" s="1196"/>
      <c r="BJ732" s="1196"/>
      <c r="BK732" s="1196"/>
      <c r="BL732" s="1196"/>
      <c r="BM732" s="1196"/>
      <c r="BN732" s="1196"/>
      <c r="BO732" s="1196"/>
      <c r="BP732" s="1196"/>
      <c r="BQ732" s="1196"/>
      <c r="BR732" s="1196"/>
      <c r="BS732" s="1196"/>
      <c r="BT732" s="1196"/>
      <c r="BU732" s="1196"/>
      <c r="BV732" s="1196"/>
      <c r="BW732" s="1196"/>
      <c r="BX732" s="1196"/>
      <c r="BY732" s="1196"/>
      <c r="BZ732" s="1196"/>
      <c r="CA732" s="1196"/>
      <c r="CB732" s="1196"/>
      <c r="CC732" s="1196"/>
      <c r="CD732" s="1196"/>
      <c r="CE732" s="1196"/>
      <c r="CF732" s="1196"/>
      <c r="CG732" s="1196"/>
      <c r="CH732" s="1196"/>
      <c r="CI732" s="1196"/>
      <c r="CJ732" s="1196"/>
      <c r="CK732" s="1196"/>
      <c r="CL732" s="1196"/>
    </row>
    <row r="733" spans="1:90" s="1183" customFormat="1" ht="30.75" customHeight="1" x14ac:dyDescent="0.25">
      <c r="A733" s="1183" t="s">
        <v>4704</v>
      </c>
      <c r="B733" s="1184">
        <v>44987</v>
      </c>
      <c r="C733" s="1185">
        <v>0.79166666666666663</v>
      </c>
      <c r="D733" s="1510" t="s">
        <v>5086</v>
      </c>
      <c r="E733" s="1511"/>
      <c r="F733" s="1511"/>
      <c r="G733" s="1511"/>
      <c r="H733" s="1511"/>
      <c r="I733" s="1511"/>
      <c r="J733" s="1511"/>
      <c r="K733" s="1511"/>
      <c r="L733" s="1511"/>
      <c r="M733" s="1511"/>
      <c r="N733" s="1511"/>
      <c r="O733" s="1511"/>
      <c r="P733" s="1511"/>
      <c r="Q733" s="1511"/>
      <c r="R733" s="1511"/>
      <c r="S733" s="1512"/>
      <c r="T733" s="1194" t="s">
        <v>23</v>
      </c>
      <c r="U733" s="813" t="s">
        <v>236</v>
      </c>
      <c r="V733" s="1195" t="s">
        <v>5057</v>
      </c>
      <c r="W733" s="1196"/>
      <c r="X733" s="1196"/>
      <c r="Y733" s="1196"/>
      <c r="Z733" s="1196"/>
      <c r="AA733" s="1196"/>
      <c r="AB733" s="1196"/>
      <c r="AC733" s="1196"/>
      <c r="AD733" s="1196"/>
      <c r="AE733" s="1196"/>
      <c r="AF733" s="1196"/>
      <c r="AG733" s="1196"/>
      <c r="AH733" s="1196"/>
      <c r="AI733" s="1196"/>
      <c r="AJ733" s="1196"/>
      <c r="AK733" s="1196"/>
      <c r="AL733" s="1196"/>
      <c r="AM733" s="1196"/>
      <c r="AN733" s="1196"/>
      <c r="AO733" s="1196"/>
      <c r="AP733" s="1196"/>
      <c r="AQ733" s="1196"/>
      <c r="AR733" s="1196"/>
      <c r="AS733" s="1196"/>
      <c r="AT733" s="1196"/>
      <c r="AU733" s="1196"/>
      <c r="AV733" s="1196"/>
      <c r="AW733" s="1196"/>
      <c r="AX733" s="1196"/>
      <c r="AY733" s="1196"/>
      <c r="AZ733" s="1196"/>
      <c r="BA733" s="1196"/>
      <c r="BB733" s="1196"/>
      <c r="BC733" s="1196"/>
      <c r="BD733" s="1196"/>
      <c r="BE733" s="1196"/>
      <c r="BF733" s="1196"/>
      <c r="BG733" s="1196"/>
      <c r="BH733" s="1196"/>
      <c r="BI733" s="1196"/>
      <c r="BJ733" s="1196"/>
      <c r="BK733" s="1196"/>
      <c r="BL733" s="1196"/>
      <c r="BM733" s="1196"/>
      <c r="BN733" s="1196"/>
      <c r="BO733" s="1196"/>
      <c r="BP733" s="1196"/>
      <c r="BQ733" s="1196"/>
      <c r="BR733" s="1196"/>
      <c r="BS733" s="1196"/>
      <c r="BT733" s="1196"/>
      <c r="BU733" s="1196"/>
      <c r="BV733" s="1196"/>
      <c r="BW733" s="1196"/>
      <c r="BX733" s="1196"/>
      <c r="BY733" s="1196"/>
      <c r="BZ733" s="1196"/>
      <c r="CA733" s="1196"/>
      <c r="CB733" s="1196"/>
      <c r="CC733" s="1196"/>
      <c r="CD733" s="1196"/>
      <c r="CE733" s="1196"/>
      <c r="CF733" s="1196"/>
      <c r="CG733" s="1196"/>
      <c r="CH733" s="1196"/>
      <c r="CI733" s="1196"/>
      <c r="CJ733" s="1196"/>
      <c r="CK733" s="1196"/>
      <c r="CL733" s="1196"/>
    </row>
    <row r="734" spans="1:90" s="1183" customFormat="1" ht="30.75" customHeight="1" x14ac:dyDescent="0.25">
      <c r="A734" s="1183" t="s">
        <v>4704</v>
      </c>
      <c r="B734" s="1184">
        <v>44988</v>
      </c>
      <c r="C734" s="1185">
        <v>0.89583333333333337</v>
      </c>
      <c r="D734" s="1186">
        <v>52</v>
      </c>
      <c r="E734" s="1187">
        <v>11.2</v>
      </c>
      <c r="F734" s="1188">
        <v>15.4</v>
      </c>
      <c r="G734" s="1189">
        <v>1075</v>
      </c>
      <c r="H734" s="1189">
        <v>1955</v>
      </c>
      <c r="I734" s="1189">
        <v>98.8</v>
      </c>
      <c r="J734" s="1190">
        <v>112</v>
      </c>
      <c r="K734" s="1190" t="s">
        <v>5088</v>
      </c>
      <c r="L734" s="1187">
        <v>34.68</v>
      </c>
      <c r="M734" s="1187">
        <v>38</v>
      </c>
      <c r="N734" s="1187">
        <v>51.23</v>
      </c>
      <c r="O734" s="1191" t="s">
        <v>142</v>
      </c>
      <c r="P734" s="1191" t="s">
        <v>142</v>
      </c>
      <c r="Q734" s="1192" t="s">
        <v>142</v>
      </c>
      <c r="R734" s="1191" t="s">
        <v>4630</v>
      </c>
      <c r="S734" s="1193">
        <v>65.3</v>
      </c>
      <c r="T734" s="1194" t="s">
        <v>23</v>
      </c>
      <c r="U734" s="813" t="s">
        <v>236</v>
      </c>
      <c r="V734" s="1195"/>
      <c r="W734" s="1196"/>
      <c r="X734" s="1196"/>
      <c r="Y734" s="1196"/>
      <c r="Z734" s="1196"/>
      <c r="AA734" s="1196"/>
      <c r="AB734" s="1196"/>
      <c r="AC734" s="1196"/>
      <c r="AD734" s="1196"/>
      <c r="AE734" s="1196"/>
      <c r="AF734" s="1196"/>
      <c r="AG734" s="1196"/>
      <c r="AH734" s="1196"/>
      <c r="AI734" s="1196"/>
      <c r="AJ734" s="1196"/>
      <c r="AK734" s="1196"/>
      <c r="AL734" s="1196"/>
      <c r="AM734" s="1196"/>
      <c r="AN734" s="1196"/>
      <c r="AO734" s="1196"/>
      <c r="AP734" s="1196"/>
      <c r="AQ734" s="1196"/>
      <c r="AR734" s="1196"/>
      <c r="AS734" s="1196"/>
      <c r="AT734" s="1196"/>
      <c r="AU734" s="1196"/>
      <c r="AV734" s="1196"/>
      <c r="AW734" s="1196"/>
      <c r="AX734" s="1196"/>
      <c r="AY734" s="1196"/>
      <c r="AZ734" s="1196"/>
      <c r="BA734" s="1196"/>
      <c r="BB734" s="1196"/>
      <c r="BC734" s="1196"/>
      <c r="BD734" s="1196"/>
      <c r="BE734" s="1196"/>
      <c r="BF734" s="1196"/>
      <c r="BG734" s="1196"/>
      <c r="BH734" s="1196"/>
      <c r="BI734" s="1196"/>
      <c r="BJ734" s="1196"/>
      <c r="BK734" s="1196"/>
      <c r="BL734" s="1196"/>
      <c r="BM734" s="1196"/>
      <c r="BN734" s="1196"/>
      <c r="BO734" s="1196"/>
      <c r="BP734" s="1196"/>
      <c r="BQ734" s="1196"/>
      <c r="BR734" s="1196"/>
      <c r="BS734" s="1196"/>
      <c r="BT734" s="1196"/>
      <c r="BU734" s="1196"/>
      <c r="BV734" s="1196"/>
      <c r="BW734" s="1196"/>
      <c r="BX734" s="1196"/>
      <c r="BY734" s="1196"/>
      <c r="BZ734" s="1196"/>
      <c r="CA734" s="1196"/>
      <c r="CB734" s="1196"/>
      <c r="CC734" s="1196"/>
      <c r="CD734" s="1196"/>
      <c r="CE734" s="1196"/>
      <c r="CF734" s="1196"/>
      <c r="CG734" s="1196"/>
      <c r="CH734" s="1196"/>
      <c r="CI734" s="1196"/>
      <c r="CJ734" s="1196"/>
      <c r="CK734" s="1196"/>
      <c r="CL734" s="1196"/>
    </row>
    <row r="735" spans="1:90" s="1183" customFormat="1" ht="32.25" customHeight="1" x14ac:dyDescent="0.25">
      <c r="A735" s="1183" t="s">
        <v>4704</v>
      </c>
      <c r="B735" s="1184">
        <v>44989</v>
      </c>
      <c r="C735" s="1185">
        <v>0.75</v>
      </c>
      <c r="D735" s="1510" t="s">
        <v>5101</v>
      </c>
      <c r="E735" s="1511"/>
      <c r="F735" s="1511"/>
      <c r="G735" s="1511"/>
      <c r="H735" s="1511"/>
      <c r="I735" s="1511"/>
      <c r="J735" s="1511"/>
      <c r="K735" s="1511"/>
      <c r="L735" s="1511"/>
      <c r="M735" s="1511"/>
      <c r="N735" s="1511"/>
      <c r="O735" s="1511"/>
      <c r="P735" s="1511"/>
      <c r="Q735" s="1511"/>
      <c r="R735" s="1511"/>
      <c r="S735" s="1512"/>
      <c r="T735" s="1194" t="s">
        <v>23</v>
      </c>
      <c r="U735" s="813" t="s">
        <v>236</v>
      </c>
      <c r="V735" s="1195"/>
      <c r="W735" s="1196"/>
      <c r="X735" s="1196"/>
      <c r="Y735" s="1196"/>
      <c r="Z735" s="1196"/>
      <c r="AA735" s="1196"/>
      <c r="AB735" s="1196"/>
      <c r="AC735" s="1196"/>
      <c r="AD735" s="1196"/>
      <c r="AE735" s="1196"/>
      <c r="AF735" s="1196"/>
      <c r="AG735" s="1196"/>
      <c r="AH735" s="1196"/>
      <c r="AI735" s="1196"/>
      <c r="AJ735" s="1196"/>
      <c r="AK735" s="1196"/>
      <c r="AL735" s="1196"/>
      <c r="AM735" s="1196"/>
      <c r="AN735" s="1196"/>
      <c r="AO735" s="1196"/>
      <c r="AP735" s="1196"/>
      <c r="AQ735" s="1196"/>
      <c r="AR735" s="1196"/>
      <c r="AS735" s="1196"/>
      <c r="AT735" s="1196"/>
      <c r="AU735" s="1196"/>
      <c r="AV735" s="1196"/>
      <c r="AW735" s="1196"/>
      <c r="AX735" s="1196"/>
      <c r="AY735" s="1196"/>
      <c r="AZ735" s="1196"/>
      <c r="BA735" s="1196"/>
      <c r="BB735" s="1196"/>
      <c r="BC735" s="1196"/>
      <c r="BD735" s="1196"/>
      <c r="BE735" s="1196"/>
      <c r="BF735" s="1196"/>
      <c r="BG735" s="1196"/>
      <c r="BH735" s="1196"/>
      <c r="BI735" s="1196"/>
      <c r="BJ735" s="1196"/>
      <c r="BK735" s="1196"/>
      <c r="BL735" s="1196"/>
      <c r="BM735" s="1196"/>
      <c r="BN735" s="1196"/>
      <c r="BO735" s="1196"/>
      <c r="BP735" s="1196"/>
      <c r="BQ735" s="1196"/>
      <c r="BR735" s="1196"/>
      <c r="BS735" s="1196"/>
      <c r="BT735" s="1196"/>
      <c r="BU735" s="1196"/>
      <c r="BV735" s="1196"/>
      <c r="BW735" s="1196"/>
      <c r="BX735" s="1196"/>
      <c r="BY735" s="1196"/>
      <c r="BZ735" s="1196"/>
      <c r="CA735" s="1196"/>
      <c r="CB735" s="1196"/>
      <c r="CC735" s="1196"/>
      <c r="CD735" s="1196"/>
      <c r="CE735" s="1196"/>
      <c r="CF735" s="1196"/>
      <c r="CG735" s="1196"/>
      <c r="CH735" s="1196"/>
      <c r="CI735" s="1196"/>
      <c r="CJ735" s="1196"/>
      <c r="CK735" s="1196"/>
      <c r="CL735" s="1196"/>
    </row>
    <row r="736" spans="1:90" s="1183" customFormat="1" ht="30.75" customHeight="1" x14ac:dyDescent="0.25">
      <c r="A736" s="1183" t="s">
        <v>4704</v>
      </c>
      <c r="B736" s="1184">
        <v>44990</v>
      </c>
      <c r="C736" s="1185">
        <v>0.89583333333333337</v>
      </c>
      <c r="D736" s="1186">
        <v>52</v>
      </c>
      <c r="E736" s="1187">
        <v>11.3</v>
      </c>
      <c r="F736" s="1188">
        <v>15.4</v>
      </c>
      <c r="G736" s="1189">
        <v>1074</v>
      </c>
      <c r="H736" s="1189">
        <v>1941</v>
      </c>
      <c r="I736" s="1189">
        <v>98.8</v>
      </c>
      <c r="J736" s="1190">
        <v>111.8</v>
      </c>
      <c r="K736" s="1190" t="s">
        <v>5091</v>
      </c>
      <c r="L736" s="1187">
        <v>37.909999999999997</v>
      </c>
      <c r="M736" s="1187">
        <v>41</v>
      </c>
      <c r="N736" s="1187">
        <v>52.3</v>
      </c>
      <c r="O736" s="1191" t="s">
        <v>142</v>
      </c>
      <c r="P736" s="1191" t="s">
        <v>142</v>
      </c>
      <c r="Q736" s="1192" t="s">
        <v>142</v>
      </c>
      <c r="R736" s="1191" t="s">
        <v>5092</v>
      </c>
      <c r="S736" s="1193">
        <v>65.8</v>
      </c>
      <c r="T736" s="1194" t="s">
        <v>23</v>
      </c>
      <c r="U736" s="813" t="s">
        <v>236</v>
      </c>
      <c r="V736" s="1195"/>
      <c r="W736" s="1196"/>
      <c r="X736" s="1196"/>
      <c r="Y736" s="1196"/>
      <c r="Z736" s="1196"/>
      <c r="AA736" s="1196"/>
      <c r="AB736" s="1196"/>
      <c r="AC736" s="1196"/>
      <c r="AD736" s="1196"/>
      <c r="AE736" s="1196"/>
      <c r="AF736" s="1196"/>
      <c r="AG736" s="1196"/>
      <c r="AH736" s="1196"/>
      <c r="AI736" s="1196"/>
      <c r="AJ736" s="1196"/>
      <c r="AK736" s="1196"/>
      <c r="AL736" s="1196"/>
      <c r="AM736" s="1196"/>
      <c r="AN736" s="1196"/>
      <c r="AO736" s="1196"/>
      <c r="AP736" s="1196"/>
      <c r="AQ736" s="1196"/>
      <c r="AR736" s="1196"/>
      <c r="AS736" s="1196"/>
      <c r="AT736" s="1196"/>
      <c r="AU736" s="1196"/>
      <c r="AV736" s="1196"/>
      <c r="AW736" s="1196"/>
      <c r="AX736" s="1196"/>
      <c r="AY736" s="1196"/>
      <c r="AZ736" s="1196"/>
      <c r="BA736" s="1196"/>
      <c r="BB736" s="1196"/>
      <c r="BC736" s="1196"/>
      <c r="BD736" s="1196"/>
      <c r="BE736" s="1196"/>
      <c r="BF736" s="1196"/>
      <c r="BG736" s="1196"/>
      <c r="BH736" s="1196"/>
      <c r="BI736" s="1196"/>
      <c r="BJ736" s="1196"/>
      <c r="BK736" s="1196"/>
      <c r="BL736" s="1196"/>
      <c r="BM736" s="1196"/>
      <c r="BN736" s="1196"/>
      <c r="BO736" s="1196"/>
      <c r="BP736" s="1196"/>
      <c r="BQ736" s="1196"/>
      <c r="BR736" s="1196"/>
      <c r="BS736" s="1196"/>
      <c r="BT736" s="1196"/>
      <c r="BU736" s="1196"/>
      <c r="BV736" s="1196"/>
      <c r="BW736" s="1196"/>
      <c r="BX736" s="1196"/>
      <c r="BY736" s="1196"/>
      <c r="BZ736" s="1196"/>
      <c r="CA736" s="1196"/>
      <c r="CB736" s="1196"/>
      <c r="CC736" s="1196"/>
      <c r="CD736" s="1196"/>
      <c r="CE736" s="1196"/>
      <c r="CF736" s="1196"/>
      <c r="CG736" s="1196"/>
      <c r="CH736" s="1196"/>
      <c r="CI736" s="1196"/>
      <c r="CJ736" s="1196"/>
      <c r="CK736" s="1196"/>
      <c r="CL736" s="1196"/>
    </row>
    <row r="737" spans="1:90" s="1183" customFormat="1" ht="30.75" customHeight="1" x14ac:dyDescent="0.25">
      <c r="A737" s="1183" t="s">
        <v>4704</v>
      </c>
      <c r="B737" s="1184">
        <v>44991</v>
      </c>
      <c r="C737" s="1185">
        <v>0.91666666666666663</v>
      </c>
      <c r="D737" s="1510"/>
      <c r="E737" s="1511"/>
      <c r="F737" s="1511"/>
      <c r="G737" s="1511"/>
      <c r="H737" s="1511"/>
      <c r="I737" s="1511"/>
      <c r="J737" s="1511"/>
      <c r="K737" s="1511"/>
      <c r="L737" s="1511"/>
      <c r="M737" s="1511"/>
      <c r="N737" s="1511"/>
      <c r="O737" s="1511"/>
      <c r="P737" s="1511"/>
      <c r="Q737" s="1511"/>
      <c r="R737" s="1511"/>
      <c r="S737" s="1512"/>
      <c r="T737" s="1194" t="s">
        <v>23</v>
      </c>
      <c r="U737" s="813" t="s">
        <v>236</v>
      </c>
      <c r="V737" s="1195"/>
      <c r="W737" s="1196"/>
      <c r="X737" s="1196"/>
      <c r="Y737" s="1196"/>
      <c r="Z737" s="1196"/>
      <c r="AA737" s="1196"/>
      <c r="AB737" s="1196"/>
      <c r="AC737" s="1196"/>
      <c r="AD737" s="1196"/>
      <c r="AE737" s="1196"/>
      <c r="AF737" s="1196"/>
      <c r="AG737" s="1196"/>
      <c r="AH737" s="1196"/>
      <c r="AI737" s="1196"/>
      <c r="AJ737" s="1196"/>
      <c r="AK737" s="1196"/>
      <c r="AL737" s="1196"/>
      <c r="AM737" s="1196"/>
      <c r="AN737" s="1196"/>
      <c r="AO737" s="1196"/>
      <c r="AP737" s="1196"/>
      <c r="AQ737" s="1196"/>
      <c r="AR737" s="1196"/>
      <c r="AS737" s="1196"/>
      <c r="AT737" s="1196"/>
      <c r="AU737" s="1196"/>
      <c r="AV737" s="1196"/>
      <c r="AW737" s="1196"/>
      <c r="AX737" s="1196"/>
      <c r="AY737" s="1196"/>
      <c r="AZ737" s="1196"/>
      <c r="BA737" s="1196"/>
      <c r="BB737" s="1196"/>
      <c r="BC737" s="1196"/>
      <c r="BD737" s="1196"/>
      <c r="BE737" s="1196"/>
      <c r="BF737" s="1196"/>
      <c r="BG737" s="1196"/>
      <c r="BH737" s="1196"/>
      <c r="BI737" s="1196"/>
      <c r="BJ737" s="1196"/>
      <c r="BK737" s="1196"/>
      <c r="BL737" s="1196"/>
      <c r="BM737" s="1196"/>
      <c r="BN737" s="1196"/>
      <c r="BO737" s="1196"/>
      <c r="BP737" s="1196"/>
      <c r="BQ737" s="1196"/>
      <c r="BR737" s="1196"/>
      <c r="BS737" s="1196"/>
      <c r="BT737" s="1196"/>
      <c r="BU737" s="1196"/>
      <c r="BV737" s="1196"/>
      <c r="BW737" s="1196"/>
      <c r="BX737" s="1196"/>
      <c r="BY737" s="1196"/>
      <c r="BZ737" s="1196"/>
      <c r="CA737" s="1196"/>
      <c r="CB737" s="1196"/>
      <c r="CC737" s="1196"/>
      <c r="CD737" s="1196"/>
      <c r="CE737" s="1196"/>
      <c r="CF737" s="1196"/>
      <c r="CG737" s="1196"/>
      <c r="CH737" s="1196"/>
      <c r="CI737" s="1196"/>
      <c r="CJ737" s="1196"/>
      <c r="CK737" s="1196"/>
      <c r="CL737" s="1196"/>
    </row>
    <row r="738" spans="1:90" s="1183" customFormat="1" ht="30.75" customHeight="1" x14ac:dyDescent="0.25">
      <c r="A738" s="1183" t="s">
        <v>4704</v>
      </c>
      <c r="B738" s="1184">
        <v>44992</v>
      </c>
      <c r="C738" s="1185">
        <v>0.58333333333333337</v>
      </c>
      <c r="D738" s="1186">
        <v>52</v>
      </c>
      <c r="E738" s="1187">
        <v>9.8000000000000007</v>
      </c>
      <c r="F738" s="1188">
        <v>13.2</v>
      </c>
      <c r="G738" s="1189">
        <v>1089</v>
      </c>
      <c r="H738" s="1189">
        <v>2052</v>
      </c>
      <c r="I738" s="1189">
        <v>98.8</v>
      </c>
      <c r="J738" s="1190">
        <v>111.8</v>
      </c>
      <c r="K738" s="1190" t="s">
        <v>5107</v>
      </c>
      <c r="L738" s="1187">
        <v>38.32</v>
      </c>
      <c r="M738" s="1187">
        <v>41</v>
      </c>
      <c r="N738" s="1187">
        <v>48.67</v>
      </c>
      <c r="O738" s="1191" t="s">
        <v>142</v>
      </c>
      <c r="P738" s="1191" t="s">
        <v>142</v>
      </c>
      <c r="Q738" s="1192" t="s">
        <v>142</v>
      </c>
      <c r="R738" s="1191" t="s">
        <v>5108</v>
      </c>
      <c r="S738" s="1193">
        <v>58</v>
      </c>
      <c r="T738" s="1194" t="s">
        <v>23</v>
      </c>
      <c r="U738" s="813" t="s">
        <v>236</v>
      </c>
      <c r="V738" s="1195"/>
      <c r="W738" s="1196"/>
      <c r="X738" s="1196"/>
      <c r="Y738" s="1196"/>
      <c r="Z738" s="1196"/>
      <c r="AA738" s="1196"/>
      <c r="AB738" s="1196"/>
      <c r="AC738" s="1196"/>
      <c r="AD738" s="1196"/>
      <c r="AE738" s="1196"/>
      <c r="AF738" s="1196"/>
      <c r="AG738" s="1196"/>
      <c r="AH738" s="1196"/>
      <c r="AI738" s="1196"/>
      <c r="AJ738" s="1196"/>
      <c r="AK738" s="1196"/>
      <c r="AL738" s="1196"/>
      <c r="AM738" s="1196"/>
      <c r="AN738" s="1196"/>
      <c r="AO738" s="1196"/>
      <c r="AP738" s="1196"/>
      <c r="AQ738" s="1196"/>
      <c r="AR738" s="1196"/>
      <c r="AS738" s="1196"/>
      <c r="AT738" s="1196"/>
      <c r="AU738" s="1196"/>
      <c r="AV738" s="1196"/>
      <c r="AW738" s="1196"/>
      <c r="AX738" s="1196"/>
      <c r="AY738" s="1196"/>
      <c r="AZ738" s="1196"/>
      <c r="BA738" s="1196"/>
      <c r="BB738" s="1196"/>
      <c r="BC738" s="1196"/>
      <c r="BD738" s="1196"/>
      <c r="BE738" s="1196"/>
      <c r="BF738" s="1196"/>
      <c r="BG738" s="1196"/>
      <c r="BH738" s="1196"/>
      <c r="BI738" s="1196"/>
      <c r="BJ738" s="1196"/>
      <c r="BK738" s="1196"/>
      <c r="BL738" s="1196"/>
      <c r="BM738" s="1196"/>
      <c r="BN738" s="1196"/>
      <c r="BO738" s="1196"/>
      <c r="BP738" s="1196"/>
      <c r="BQ738" s="1196"/>
      <c r="BR738" s="1196"/>
      <c r="BS738" s="1196"/>
      <c r="BT738" s="1196"/>
      <c r="BU738" s="1196"/>
      <c r="BV738" s="1196"/>
      <c r="BW738" s="1196"/>
      <c r="BX738" s="1196"/>
      <c r="BY738" s="1196"/>
      <c r="BZ738" s="1196"/>
      <c r="CA738" s="1196"/>
      <c r="CB738" s="1196"/>
      <c r="CC738" s="1196"/>
      <c r="CD738" s="1196"/>
      <c r="CE738" s="1196"/>
      <c r="CF738" s="1196"/>
      <c r="CG738" s="1196"/>
      <c r="CH738" s="1196"/>
      <c r="CI738" s="1196"/>
      <c r="CJ738" s="1196"/>
      <c r="CK738" s="1196"/>
      <c r="CL738" s="1196"/>
    </row>
    <row r="739" spans="1:90" s="1183" customFormat="1" ht="30.75" customHeight="1" x14ac:dyDescent="0.25">
      <c r="A739" s="1183" t="s">
        <v>4704</v>
      </c>
      <c r="B739" s="1184">
        <v>44993</v>
      </c>
      <c r="C739" s="1185">
        <v>0.83333333333333337</v>
      </c>
      <c r="D739" s="1510" t="s">
        <v>5115</v>
      </c>
      <c r="E739" s="1511"/>
      <c r="F739" s="1511"/>
      <c r="G739" s="1511"/>
      <c r="H739" s="1511"/>
      <c r="I739" s="1511"/>
      <c r="J739" s="1511"/>
      <c r="K739" s="1511"/>
      <c r="L739" s="1511"/>
      <c r="M739" s="1511"/>
      <c r="N739" s="1511"/>
      <c r="O739" s="1511"/>
      <c r="P739" s="1511"/>
      <c r="Q739" s="1511"/>
      <c r="R739" s="1511"/>
      <c r="S739" s="1512"/>
      <c r="T739" s="1194" t="s">
        <v>23</v>
      </c>
      <c r="U739" s="813" t="s">
        <v>236</v>
      </c>
      <c r="V739" s="1195"/>
      <c r="W739" s="1196"/>
      <c r="X739" s="1196"/>
      <c r="Y739" s="1196"/>
      <c r="Z739" s="1196"/>
      <c r="AA739" s="1196"/>
      <c r="AB739" s="1196"/>
      <c r="AC739" s="1196"/>
      <c r="AD739" s="1196"/>
      <c r="AE739" s="1196"/>
      <c r="AF739" s="1196"/>
      <c r="AG739" s="1196"/>
      <c r="AH739" s="1196"/>
      <c r="AI739" s="1196"/>
      <c r="AJ739" s="1196"/>
      <c r="AK739" s="1196"/>
      <c r="AL739" s="1196"/>
      <c r="AM739" s="1196"/>
      <c r="AN739" s="1196"/>
      <c r="AO739" s="1196"/>
      <c r="AP739" s="1196"/>
      <c r="AQ739" s="1196"/>
      <c r="AR739" s="1196"/>
      <c r="AS739" s="1196"/>
      <c r="AT739" s="1196"/>
      <c r="AU739" s="1196"/>
      <c r="AV739" s="1196"/>
      <c r="AW739" s="1196"/>
      <c r="AX739" s="1196"/>
      <c r="AY739" s="1196"/>
      <c r="AZ739" s="1196"/>
      <c r="BA739" s="1196"/>
      <c r="BB739" s="1196"/>
      <c r="BC739" s="1196"/>
      <c r="BD739" s="1196"/>
      <c r="BE739" s="1196"/>
      <c r="BF739" s="1196"/>
      <c r="BG739" s="1196"/>
      <c r="BH739" s="1196"/>
      <c r="BI739" s="1196"/>
      <c r="BJ739" s="1196"/>
      <c r="BK739" s="1196"/>
      <c r="BL739" s="1196"/>
      <c r="BM739" s="1196"/>
      <c r="BN739" s="1196"/>
      <c r="BO739" s="1196"/>
      <c r="BP739" s="1196"/>
      <c r="BQ739" s="1196"/>
      <c r="BR739" s="1196"/>
      <c r="BS739" s="1196"/>
      <c r="BT739" s="1196"/>
      <c r="BU739" s="1196"/>
      <c r="BV739" s="1196"/>
      <c r="BW739" s="1196"/>
      <c r="BX739" s="1196"/>
      <c r="BY739" s="1196"/>
      <c r="BZ739" s="1196"/>
      <c r="CA739" s="1196"/>
      <c r="CB739" s="1196"/>
      <c r="CC739" s="1196"/>
      <c r="CD739" s="1196"/>
      <c r="CE739" s="1196"/>
      <c r="CF739" s="1196"/>
      <c r="CG739" s="1196"/>
      <c r="CH739" s="1196"/>
      <c r="CI739" s="1196"/>
      <c r="CJ739" s="1196"/>
      <c r="CK739" s="1196"/>
      <c r="CL739" s="1196"/>
    </row>
    <row r="740" spans="1:90" s="1183" customFormat="1" ht="28.5" customHeight="1" x14ac:dyDescent="0.25">
      <c r="A740" s="1183" t="s">
        <v>4704</v>
      </c>
      <c r="B740" s="1184">
        <v>44994</v>
      </c>
      <c r="C740" s="1185">
        <v>0.95833333333333337</v>
      </c>
      <c r="D740" s="1186">
        <v>52</v>
      </c>
      <c r="E740" s="1187">
        <v>11</v>
      </c>
      <c r="F740" s="1188">
        <v>15.2</v>
      </c>
      <c r="G740" s="1189">
        <v>1076</v>
      </c>
      <c r="H740" s="1189">
        <v>2013</v>
      </c>
      <c r="I740" s="1189">
        <v>98.8</v>
      </c>
      <c r="J740" s="1190">
        <v>111.7</v>
      </c>
      <c r="K740" s="1190" t="s">
        <v>5118</v>
      </c>
      <c r="L740" s="1187">
        <v>38.700000000000003</v>
      </c>
      <c r="M740" s="1187">
        <v>41</v>
      </c>
      <c r="N740" s="1187">
        <v>49.54</v>
      </c>
      <c r="O740" s="1191" t="s">
        <v>142</v>
      </c>
      <c r="P740" s="1191" t="s">
        <v>142</v>
      </c>
      <c r="Q740" s="1192" t="s">
        <v>142</v>
      </c>
      <c r="R740" s="1191" t="s">
        <v>789</v>
      </c>
      <c r="S740" s="1193">
        <v>64.900000000000006</v>
      </c>
      <c r="T740" s="1194" t="s">
        <v>23</v>
      </c>
      <c r="U740" s="813" t="s">
        <v>236</v>
      </c>
      <c r="V740" s="1195"/>
      <c r="W740" s="1196"/>
      <c r="X740" s="1196"/>
      <c r="Y740" s="1196"/>
      <c r="Z740" s="1196"/>
      <c r="AA740" s="1196"/>
      <c r="AB740" s="1196"/>
      <c r="AC740" s="1196"/>
      <c r="AD740" s="1196"/>
      <c r="AE740" s="1196"/>
      <c r="AF740" s="1196"/>
      <c r="AG740" s="1196"/>
      <c r="AH740" s="1196"/>
      <c r="AI740" s="1196"/>
      <c r="AJ740" s="1196"/>
      <c r="AK740" s="1196"/>
      <c r="AL740" s="1196"/>
      <c r="AM740" s="1196"/>
      <c r="AN740" s="1196"/>
      <c r="AO740" s="1196"/>
      <c r="AP740" s="1196"/>
      <c r="AQ740" s="1196"/>
      <c r="AR740" s="1196"/>
      <c r="AS740" s="1196"/>
      <c r="AT740" s="1196"/>
      <c r="AU740" s="1196"/>
      <c r="AV740" s="1196"/>
      <c r="AW740" s="1196"/>
      <c r="AX740" s="1196"/>
      <c r="AY740" s="1196"/>
      <c r="AZ740" s="1196"/>
      <c r="BA740" s="1196"/>
      <c r="BB740" s="1196"/>
      <c r="BC740" s="1196"/>
      <c r="BD740" s="1196"/>
      <c r="BE740" s="1196"/>
      <c r="BF740" s="1196"/>
      <c r="BG740" s="1196"/>
      <c r="BH740" s="1196"/>
      <c r="BI740" s="1196"/>
      <c r="BJ740" s="1196"/>
      <c r="BK740" s="1196"/>
      <c r="BL740" s="1196"/>
      <c r="BM740" s="1196"/>
      <c r="BN740" s="1196"/>
      <c r="BO740" s="1196"/>
      <c r="BP740" s="1196"/>
      <c r="BQ740" s="1196"/>
      <c r="BR740" s="1196"/>
      <c r="BS740" s="1196"/>
      <c r="BT740" s="1196"/>
      <c r="BU740" s="1196"/>
      <c r="BV740" s="1196"/>
      <c r="BW740" s="1196"/>
      <c r="BX740" s="1196"/>
      <c r="BY740" s="1196"/>
      <c r="BZ740" s="1196"/>
      <c r="CA740" s="1196"/>
      <c r="CB740" s="1196"/>
      <c r="CC740" s="1196"/>
      <c r="CD740" s="1196"/>
      <c r="CE740" s="1196"/>
      <c r="CF740" s="1196"/>
      <c r="CG740" s="1196"/>
      <c r="CH740" s="1196"/>
      <c r="CI740" s="1196"/>
      <c r="CJ740" s="1196"/>
      <c r="CK740" s="1196"/>
      <c r="CL740" s="1196"/>
    </row>
    <row r="741" spans="1:90" s="1183" customFormat="1" ht="30.75" customHeight="1" x14ac:dyDescent="0.25">
      <c r="A741" s="1183" t="s">
        <v>4704</v>
      </c>
      <c r="B741" s="1184">
        <v>44995</v>
      </c>
      <c r="C741" s="1185">
        <v>0.79166666666666663</v>
      </c>
      <c r="D741" s="1510" t="s">
        <v>5124</v>
      </c>
      <c r="E741" s="1511"/>
      <c r="F741" s="1511"/>
      <c r="G741" s="1511"/>
      <c r="H741" s="1511"/>
      <c r="I741" s="1511"/>
      <c r="J741" s="1511"/>
      <c r="K741" s="1511"/>
      <c r="L741" s="1511"/>
      <c r="M741" s="1511"/>
      <c r="N741" s="1511"/>
      <c r="O741" s="1511"/>
      <c r="P741" s="1511"/>
      <c r="Q741" s="1511"/>
      <c r="R741" s="1511"/>
      <c r="S741" s="1512"/>
      <c r="T741" s="1194" t="s">
        <v>23</v>
      </c>
      <c r="U741" s="813" t="s">
        <v>236</v>
      </c>
      <c r="V741" s="1195"/>
      <c r="W741" s="1196"/>
      <c r="X741" s="1196"/>
      <c r="Y741" s="1196"/>
      <c r="Z741" s="1196"/>
      <c r="AA741" s="1196"/>
      <c r="AB741" s="1196"/>
      <c r="AC741" s="1196"/>
      <c r="AD741" s="1196"/>
      <c r="AE741" s="1196"/>
      <c r="AF741" s="1196"/>
      <c r="AG741" s="1196"/>
      <c r="AH741" s="1196"/>
      <c r="AI741" s="1196"/>
      <c r="AJ741" s="1196"/>
      <c r="AK741" s="1196"/>
      <c r="AL741" s="1196"/>
      <c r="AM741" s="1196"/>
      <c r="AN741" s="1196"/>
      <c r="AO741" s="1196"/>
      <c r="AP741" s="1196"/>
      <c r="AQ741" s="1196"/>
      <c r="AR741" s="1196"/>
      <c r="AS741" s="1196"/>
      <c r="AT741" s="1196"/>
      <c r="AU741" s="1196"/>
      <c r="AV741" s="1196"/>
      <c r="AW741" s="1196"/>
      <c r="AX741" s="1196"/>
      <c r="AY741" s="1196"/>
      <c r="AZ741" s="1196"/>
      <c r="BA741" s="1196"/>
      <c r="BB741" s="1196"/>
      <c r="BC741" s="1196"/>
      <c r="BD741" s="1196"/>
      <c r="BE741" s="1196"/>
      <c r="BF741" s="1196"/>
      <c r="BG741" s="1196"/>
      <c r="BH741" s="1196"/>
      <c r="BI741" s="1196"/>
      <c r="BJ741" s="1196"/>
      <c r="BK741" s="1196"/>
      <c r="BL741" s="1196"/>
      <c r="BM741" s="1196"/>
      <c r="BN741" s="1196"/>
      <c r="BO741" s="1196"/>
      <c r="BP741" s="1196"/>
      <c r="BQ741" s="1196"/>
      <c r="BR741" s="1196"/>
      <c r="BS741" s="1196"/>
      <c r="BT741" s="1196"/>
      <c r="BU741" s="1196"/>
      <c r="BV741" s="1196"/>
      <c r="BW741" s="1196"/>
      <c r="BX741" s="1196"/>
      <c r="BY741" s="1196"/>
      <c r="BZ741" s="1196"/>
      <c r="CA741" s="1196"/>
      <c r="CB741" s="1196"/>
      <c r="CC741" s="1196"/>
      <c r="CD741" s="1196"/>
      <c r="CE741" s="1196"/>
      <c r="CF741" s="1196"/>
      <c r="CG741" s="1196"/>
      <c r="CH741" s="1196"/>
      <c r="CI741" s="1196"/>
      <c r="CJ741" s="1196"/>
      <c r="CK741" s="1196"/>
      <c r="CL741" s="1196"/>
    </row>
    <row r="742" spans="1:90" s="1183" customFormat="1" ht="28.5" customHeight="1" x14ac:dyDescent="0.25">
      <c r="A742" s="1183" t="s">
        <v>4704</v>
      </c>
      <c r="B742" s="1184">
        <v>44996</v>
      </c>
      <c r="C742" s="1185">
        <v>0.75</v>
      </c>
      <c r="D742" s="1186">
        <v>52</v>
      </c>
      <c r="E742" s="1187">
        <v>11.2</v>
      </c>
      <c r="F742" s="1188">
        <v>15.4</v>
      </c>
      <c r="G742" s="1189">
        <v>1094</v>
      </c>
      <c r="H742" s="1189">
        <v>1901</v>
      </c>
      <c r="I742" s="1189">
        <v>98.6</v>
      </c>
      <c r="J742" s="1190">
        <v>112</v>
      </c>
      <c r="K742" s="1190" t="s">
        <v>5126</v>
      </c>
      <c r="L742" s="1187">
        <v>37.090000000000003</v>
      </c>
      <c r="M742" s="1187">
        <v>40</v>
      </c>
      <c r="N742" s="1187">
        <v>53.48</v>
      </c>
      <c r="O742" s="1191" t="s">
        <v>142</v>
      </c>
      <c r="P742" s="1191" t="s">
        <v>142</v>
      </c>
      <c r="Q742" s="1192" t="s">
        <v>142</v>
      </c>
      <c r="R742" s="1191" t="s">
        <v>2127</v>
      </c>
      <c r="S742" s="1193">
        <v>65.8</v>
      </c>
      <c r="T742" s="1194" t="s">
        <v>23</v>
      </c>
      <c r="U742" s="813" t="s">
        <v>236</v>
      </c>
      <c r="V742" s="1195"/>
      <c r="W742" s="1196"/>
      <c r="X742" s="1196"/>
      <c r="Y742" s="1196"/>
      <c r="Z742" s="1196"/>
      <c r="AA742" s="1196"/>
      <c r="AB742" s="1196"/>
      <c r="AC742" s="1196"/>
      <c r="AD742" s="1196"/>
      <c r="AE742" s="1196"/>
      <c r="AF742" s="1196"/>
      <c r="AG742" s="1196"/>
      <c r="AH742" s="1196"/>
      <c r="AI742" s="1196"/>
      <c r="AJ742" s="1196"/>
      <c r="AK742" s="1196"/>
      <c r="AL742" s="1196"/>
      <c r="AM742" s="1196"/>
      <c r="AN742" s="1196"/>
      <c r="AO742" s="1196"/>
      <c r="AP742" s="1196"/>
      <c r="AQ742" s="1196"/>
      <c r="AR742" s="1196"/>
      <c r="AS742" s="1196"/>
      <c r="AT742" s="1196"/>
      <c r="AU742" s="1196"/>
      <c r="AV742" s="1196"/>
      <c r="AW742" s="1196"/>
      <c r="AX742" s="1196"/>
      <c r="AY742" s="1196"/>
      <c r="AZ742" s="1196"/>
      <c r="BA742" s="1196"/>
      <c r="BB742" s="1196"/>
      <c r="BC742" s="1196"/>
      <c r="BD742" s="1196"/>
      <c r="BE742" s="1196"/>
      <c r="BF742" s="1196"/>
      <c r="BG742" s="1196"/>
      <c r="BH742" s="1196"/>
      <c r="BI742" s="1196"/>
      <c r="BJ742" s="1196"/>
      <c r="BK742" s="1196"/>
      <c r="BL742" s="1196"/>
      <c r="BM742" s="1196"/>
      <c r="BN742" s="1196"/>
      <c r="BO742" s="1196"/>
      <c r="BP742" s="1196"/>
      <c r="BQ742" s="1196"/>
      <c r="BR742" s="1196"/>
      <c r="BS742" s="1196"/>
      <c r="BT742" s="1196"/>
      <c r="BU742" s="1196"/>
      <c r="BV742" s="1196"/>
      <c r="BW742" s="1196"/>
      <c r="BX742" s="1196"/>
      <c r="BY742" s="1196"/>
      <c r="BZ742" s="1196"/>
      <c r="CA742" s="1196"/>
      <c r="CB742" s="1196"/>
      <c r="CC742" s="1196"/>
      <c r="CD742" s="1196"/>
      <c r="CE742" s="1196"/>
      <c r="CF742" s="1196"/>
      <c r="CG742" s="1196"/>
      <c r="CH742" s="1196"/>
      <c r="CI742" s="1196"/>
      <c r="CJ742" s="1196"/>
      <c r="CK742" s="1196"/>
      <c r="CL742" s="1196"/>
    </row>
    <row r="743" spans="1:90" s="1183" customFormat="1" ht="28.5" customHeight="1" x14ac:dyDescent="0.25">
      <c r="A743" s="1183" t="s">
        <v>4704</v>
      </c>
      <c r="B743" s="1184">
        <v>44997</v>
      </c>
      <c r="C743" s="1185">
        <v>0.75</v>
      </c>
      <c r="D743" s="1510" t="s">
        <v>5130</v>
      </c>
      <c r="E743" s="1511"/>
      <c r="F743" s="1511"/>
      <c r="G743" s="1511"/>
      <c r="H743" s="1511"/>
      <c r="I743" s="1511"/>
      <c r="J743" s="1511"/>
      <c r="K743" s="1511"/>
      <c r="L743" s="1511"/>
      <c r="M743" s="1511"/>
      <c r="N743" s="1511"/>
      <c r="O743" s="1511"/>
      <c r="P743" s="1511"/>
      <c r="Q743" s="1511"/>
      <c r="R743" s="1511"/>
      <c r="S743" s="1512"/>
      <c r="T743" s="1194" t="s">
        <v>23</v>
      </c>
      <c r="U743" s="813" t="s">
        <v>236</v>
      </c>
      <c r="V743" s="1195"/>
      <c r="W743" s="1196"/>
      <c r="X743" s="1196"/>
      <c r="Y743" s="1196"/>
      <c r="Z743" s="1196"/>
      <c r="AA743" s="1196"/>
      <c r="AB743" s="1196"/>
      <c r="AC743" s="1196"/>
      <c r="AD743" s="1196"/>
      <c r="AE743" s="1196"/>
      <c r="AF743" s="1196"/>
      <c r="AG743" s="1196"/>
      <c r="AH743" s="1196"/>
      <c r="AI743" s="1196"/>
      <c r="AJ743" s="1196"/>
      <c r="AK743" s="1196"/>
      <c r="AL743" s="1196"/>
      <c r="AM743" s="1196"/>
      <c r="AN743" s="1196"/>
      <c r="AO743" s="1196"/>
      <c r="AP743" s="1196"/>
      <c r="AQ743" s="1196"/>
      <c r="AR743" s="1196"/>
      <c r="AS743" s="1196"/>
      <c r="AT743" s="1196"/>
      <c r="AU743" s="1196"/>
      <c r="AV743" s="1196"/>
      <c r="AW743" s="1196"/>
      <c r="AX743" s="1196"/>
      <c r="AY743" s="1196"/>
      <c r="AZ743" s="1196"/>
      <c r="BA743" s="1196"/>
      <c r="BB743" s="1196"/>
      <c r="BC743" s="1196"/>
      <c r="BD743" s="1196"/>
      <c r="BE743" s="1196"/>
      <c r="BF743" s="1196"/>
      <c r="BG743" s="1196"/>
      <c r="BH743" s="1196"/>
      <c r="BI743" s="1196"/>
      <c r="BJ743" s="1196"/>
      <c r="BK743" s="1196"/>
      <c r="BL743" s="1196"/>
      <c r="BM743" s="1196"/>
      <c r="BN743" s="1196"/>
      <c r="BO743" s="1196"/>
      <c r="BP743" s="1196"/>
      <c r="BQ743" s="1196"/>
      <c r="BR743" s="1196"/>
      <c r="BS743" s="1196"/>
      <c r="BT743" s="1196"/>
      <c r="BU743" s="1196"/>
      <c r="BV743" s="1196"/>
      <c r="BW743" s="1196"/>
      <c r="BX743" s="1196"/>
      <c r="BY743" s="1196"/>
      <c r="BZ743" s="1196"/>
      <c r="CA743" s="1196"/>
      <c r="CB743" s="1196"/>
      <c r="CC743" s="1196"/>
      <c r="CD743" s="1196"/>
      <c r="CE743" s="1196"/>
      <c r="CF743" s="1196"/>
      <c r="CG743" s="1196"/>
      <c r="CH743" s="1196"/>
      <c r="CI743" s="1196"/>
      <c r="CJ743" s="1196"/>
      <c r="CK743" s="1196"/>
      <c r="CL743" s="1196"/>
    </row>
    <row r="744" spans="1:90" s="1183" customFormat="1" ht="28.5" customHeight="1" x14ac:dyDescent="0.25">
      <c r="A744" s="1183" t="s">
        <v>4704</v>
      </c>
      <c r="B744" s="1184">
        <v>44998</v>
      </c>
      <c r="C744" s="1185">
        <v>0.79166666666666663</v>
      </c>
      <c r="D744" s="1186">
        <v>52</v>
      </c>
      <c r="E744" s="1187">
        <v>10.4</v>
      </c>
      <c r="F744" s="1188">
        <v>14.8</v>
      </c>
      <c r="G744" s="1189">
        <v>1064</v>
      </c>
      <c r="H744" s="1189">
        <v>1877</v>
      </c>
      <c r="I744" s="1189">
        <v>98.8</v>
      </c>
      <c r="J744" s="1190">
        <v>111.5</v>
      </c>
      <c r="K744" s="1190" t="s">
        <v>5133</v>
      </c>
      <c r="L744" s="1187">
        <v>37.369999999999997</v>
      </c>
      <c r="M744" s="1187">
        <v>40</v>
      </c>
      <c r="N744" s="1187">
        <v>53.21</v>
      </c>
      <c r="O744" s="1191" t="s">
        <v>142</v>
      </c>
      <c r="P744" s="1191" t="s">
        <v>142</v>
      </c>
      <c r="Q744" s="1192" t="s">
        <v>142</v>
      </c>
      <c r="R744" s="1191" t="s">
        <v>2590</v>
      </c>
      <c r="S744" s="1193">
        <v>63.2</v>
      </c>
      <c r="T744" s="1194" t="s">
        <v>23</v>
      </c>
      <c r="U744" s="813" t="s">
        <v>236</v>
      </c>
      <c r="V744" s="1195"/>
      <c r="W744" s="1196"/>
      <c r="X744" s="1196"/>
      <c r="Y744" s="1196"/>
      <c r="Z744" s="1196"/>
      <c r="AA744" s="1196"/>
      <c r="AB744" s="1196"/>
      <c r="AC744" s="1196"/>
      <c r="AD744" s="1196"/>
      <c r="AE744" s="1196"/>
      <c r="AF744" s="1196"/>
      <c r="AG744" s="1196"/>
      <c r="AH744" s="1196"/>
      <c r="AI744" s="1196"/>
      <c r="AJ744" s="1196"/>
      <c r="AK744" s="1196"/>
      <c r="AL744" s="1196"/>
      <c r="AM744" s="1196"/>
      <c r="AN744" s="1196"/>
      <c r="AO744" s="1196"/>
      <c r="AP744" s="1196"/>
      <c r="AQ744" s="1196"/>
      <c r="AR744" s="1196"/>
      <c r="AS744" s="1196"/>
      <c r="AT744" s="1196"/>
      <c r="AU744" s="1196"/>
      <c r="AV744" s="1196"/>
      <c r="AW744" s="1196"/>
      <c r="AX744" s="1196"/>
      <c r="AY744" s="1196"/>
      <c r="AZ744" s="1196"/>
      <c r="BA744" s="1196"/>
      <c r="BB744" s="1196"/>
      <c r="BC744" s="1196"/>
      <c r="BD744" s="1196"/>
      <c r="BE744" s="1196"/>
      <c r="BF744" s="1196"/>
      <c r="BG744" s="1196"/>
      <c r="BH744" s="1196"/>
      <c r="BI744" s="1196"/>
      <c r="BJ744" s="1196"/>
      <c r="BK744" s="1196"/>
      <c r="BL744" s="1196"/>
      <c r="BM744" s="1196"/>
      <c r="BN744" s="1196"/>
      <c r="BO744" s="1196"/>
      <c r="BP744" s="1196"/>
      <c r="BQ744" s="1196"/>
      <c r="BR744" s="1196"/>
      <c r="BS744" s="1196"/>
      <c r="BT744" s="1196"/>
      <c r="BU744" s="1196"/>
      <c r="BV744" s="1196"/>
      <c r="BW744" s="1196"/>
      <c r="BX744" s="1196"/>
      <c r="BY744" s="1196"/>
      <c r="BZ744" s="1196"/>
      <c r="CA744" s="1196"/>
      <c r="CB744" s="1196"/>
      <c r="CC744" s="1196"/>
      <c r="CD744" s="1196"/>
      <c r="CE744" s="1196"/>
      <c r="CF744" s="1196"/>
      <c r="CG744" s="1196"/>
      <c r="CH744" s="1196"/>
      <c r="CI744" s="1196"/>
      <c r="CJ744" s="1196"/>
      <c r="CK744" s="1196"/>
      <c r="CL744" s="1196"/>
    </row>
    <row r="745" spans="1:90" s="1183" customFormat="1" ht="28.5" customHeight="1" x14ac:dyDescent="0.25">
      <c r="A745" s="1183" t="s">
        <v>4704</v>
      </c>
      <c r="B745" s="1184">
        <v>44999</v>
      </c>
      <c r="C745" s="1185">
        <v>0.70833333333333337</v>
      </c>
      <c r="D745" s="1510" t="s">
        <v>5139</v>
      </c>
      <c r="E745" s="1511"/>
      <c r="F745" s="1511"/>
      <c r="G745" s="1511"/>
      <c r="H745" s="1511"/>
      <c r="I745" s="1511"/>
      <c r="J745" s="1511"/>
      <c r="K745" s="1511"/>
      <c r="L745" s="1511"/>
      <c r="M745" s="1511"/>
      <c r="N745" s="1511"/>
      <c r="O745" s="1511"/>
      <c r="P745" s="1511"/>
      <c r="Q745" s="1511"/>
      <c r="R745" s="1511"/>
      <c r="S745" s="1512"/>
      <c r="T745" s="1194" t="s">
        <v>23</v>
      </c>
      <c r="U745" s="813" t="s">
        <v>236</v>
      </c>
      <c r="V745" s="1195"/>
      <c r="W745" s="1196"/>
      <c r="X745" s="1196"/>
      <c r="Y745" s="1196"/>
      <c r="Z745" s="1196"/>
      <c r="AA745" s="1196"/>
      <c r="AB745" s="1196"/>
      <c r="AC745" s="1196"/>
      <c r="AD745" s="1196"/>
      <c r="AE745" s="1196"/>
      <c r="AF745" s="1196"/>
      <c r="AG745" s="1196"/>
      <c r="AH745" s="1196"/>
      <c r="AI745" s="1196"/>
      <c r="AJ745" s="1196"/>
      <c r="AK745" s="1196"/>
      <c r="AL745" s="1196"/>
      <c r="AM745" s="1196"/>
      <c r="AN745" s="1196"/>
      <c r="AO745" s="1196"/>
      <c r="AP745" s="1196"/>
      <c r="AQ745" s="1196"/>
      <c r="AR745" s="1196"/>
      <c r="AS745" s="1196"/>
      <c r="AT745" s="1196"/>
      <c r="AU745" s="1196"/>
      <c r="AV745" s="1196"/>
      <c r="AW745" s="1196"/>
      <c r="AX745" s="1196"/>
      <c r="AY745" s="1196"/>
      <c r="AZ745" s="1196"/>
      <c r="BA745" s="1196"/>
      <c r="BB745" s="1196"/>
      <c r="BC745" s="1196"/>
      <c r="BD745" s="1196"/>
      <c r="BE745" s="1196"/>
      <c r="BF745" s="1196"/>
      <c r="BG745" s="1196"/>
      <c r="BH745" s="1196"/>
      <c r="BI745" s="1196"/>
      <c r="BJ745" s="1196"/>
      <c r="BK745" s="1196"/>
      <c r="BL745" s="1196"/>
      <c r="BM745" s="1196"/>
      <c r="BN745" s="1196"/>
      <c r="BO745" s="1196"/>
      <c r="BP745" s="1196"/>
      <c r="BQ745" s="1196"/>
      <c r="BR745" s="1196"/>
      <c r="BS745" s="1196"/>
      <c r="BT745" s="1196"/>
      <c r="BU745" s="1196"/>
      <c r="BV745" s="1196"/>
      <c r="BW745" s="1196"/>
      <c r="BX745" s="1196"/>
      <c r="BY745" s="1196"/>
      <c r="BZ745" s="1196"/>
      <c r="CA745" s="1196"/>
      <c r="CB745" s="1196"/>
      <c r="CC745" s="1196"/>
      <c r="CD745" s="1196"/>
      <c r="CE745" s="1196"/>
      <c r="CF745" s="1196"/>
      <c r="CG745" s="1196"/>
      <c r="CH745" s="1196"/>
      <c r="CI745" s="1196"/>
      <c r="CJ745" s="1196"/>
      <c r="CK745" s="1196"/>
      <c r="CL745" s="1196"/>
    </row>
    <row r="746" spans="1:90" s="1183" customFormat="1" ht="28.5" customHeight="1" x14ac:dyDescent="0.25">
      <c r="A746" s="1183" t="s">
        <v>4704</v>
      </c>
      <c r="B746" s="1184">
        <v>45000</v>
      </c>
      <c r="C746" s="1185">
        <v>0.75</v>
      </c>
      <c r="D746" s="1186">
        <v>52</v>
      </c>
      <c r="E746" s="1187">
        <v>10.8</v>
      </c>
      <c r="F746" s="1188">
        <v>15.2</v>
      </c>
      <c r="G746" s="1189">
        <v>1074</v>
      </c>
      <c r="H746" s="1189">
        <v>1989</v>
      </c>
      <c r="I746" s="1189">
        <v>98.6</v>
      </c>
      <c r="J746" s="1190">
        <v>111.7</v>
      </c>
      <c r="K746" s="1190" t="s">
        <v>5141</v>
      </c>
      <c r="L746" s="1187">
        <v>40.200000000000003</v>
      </c>
      <c r="M746" s="1187">
        <v>43</v>
      </c>
      <c r="N746" s="1187">
        <v>49</v>
      </c>
      <c r="O746" s="1191" t="s">
        <v>142</v>
      </c>
      <c r="P746" s="1191" t="s">
        <v>142</v>
      </c>
      <c r="Q746" s="1192" t="s">
        <v>142</v>
      </c>
      <c r="R746" s="1191" t="s">
        <v>5142</v>
      </c>
      <c r="S746" s="1193">
        <v>64.5</v>
      </c>
      <c r="T746" s="1194" t="s">
        <v>23</v>
      </c>
      <c r="U746" s="813" t="s">
        <v>236</v>
      </c>
      <c r="V746" s="1195"/>
      <c r="W746" s="1196"/>
      <c r="X746" s="1196"/>
      <c r="Y746" s="1196"/>
      <c r="Z746" s="1196"/>
      <c r="AA746" s="1196"/>
      <c r="AB746" s="1196"/>
      <c r="AC746" s="1196"/>
      <c r="AD746" s="1196"/>
      <c r="AE746" s="1196"/>
      <c r="AF746" s="1196"/>
      <c r="AG746" s="1196"/>
      <c r="AH746" s="1196"/>
      <c r="AI746" s="1196"/>
      <c r="AJ746" s="1196"/>
      <c r="AK746" s="1196"/>
      <c r="AL746" s="1196"/>
      <c r="AM746" s="1196"/>
      <c r="AN746" s="1196"/>
      <c r="AO746" s="1196"/>
      <c r="AP746" s="1196"/>
      <c r="AQ746" s="1196"/>
      <c r="AR746" s="1196"/>
      <c r="AS746" s="1196"/>
      <c r="AT746" s="1196"/>
      <c r="AU746" s="1196"/>
      <c r="AV746" s="1196"/>
      <c r="AW746" s="1196"/>
      <c r="AX746" s="1196"/>
      <c r="AY746" s="1196"/>
      <c r="AZ746" s="1196"/>
      <c r="BA746" s="1196"/>
      <c r="BB746" s="1196"/>
      <c r="BC746" s="1196"/>
      <c r="BD746" s="1196"/>
      <c r="BE746" s="1196"/>
      <c r="BF746" s="1196"/>
      <c r="BG746" s="1196"/>
      <c r="BH746" s="1196"/>
      <c r="BI746" s="1196"/>
      <c r="BJ746" s="1196"/>
      <c r="BK746" s="1196"/>
      <c r="BL746" s="1196"/>
      <c r="BM746" s="1196"/>
      <c r="BN746" s="1196"/>
      <c r="BO746" s="1196"/>
      <c r="BP746" s="1196"/>
      <c r="BQ746" s="1196"/>
      <c r="BR746" s="1196"/>
      <c r="BS746" s="1196"/>
      <c r="BT746" s="1196"/>
      <c r="BU746" s="1196"/>
      <c r="BV746" s="1196"/>
      <c r="BW746" s="1196"/>
      <c r="BX746" s="1196"/>
      <c r="BY746" s="1196"/>
      <c r="BZ746" s="1196"/>
      <c r="CA746" s="1196"/>
      <c r="CB746" s="1196"/>
      <c r="CC746" s="1196"/>
      <c r="CD746" s="1196"/>
      <c r="CE746" s="1196"/>
      <c r="CF746" s="1196"/>
      <c r="CG746" s="1196"/>
      <c r="CH746" s="1196"/>
      <c r="CI746" s="1196"/>
      <c r="CJ746" s="1196"/>
      <c r="CK746" s="1196"/>
      <c r="CL746" s="1196"/>
    </row>
    <row r="747" spans="1:90" s="1183" customFormat="1" ht="28.5" customHeight="1" x14ac:dyDescent="0.25">
      <c r="A747" s="1183" t="s">
        <v>4704</v>
      </c>
      <c r="B747" s="1184">
        <v>45001</v>
      </c>
      <c r="C747" s="1185">
        <v>0.875</v>
      </c>
      <c r="D747" s="1186">
        <v>52</v>
      </c>
      <c r="E747" s="1187">
        <v>13.9</v>
      </c>
      <c r="F747" s="1188">
        <v>17.399999999999999</v>
      </c>
      <c r="G747" s="1189">
        <v>1195</v>
      </c>
      <c r="H747" s="1189">
        <v>2017</v>
      </c>
      <c r="I747" s="1189">
        <v>96.8</v>
      </c>
      <c r="J747" s="1190">
        <v>112.7</v>
      </c>
      <c r="K747" s="1190" t="s">
        <v>5145</v>
      </c>
      <c r="L747" s="1187">
        <v>37.159999999999997</v>
      </c>
      <c r="M747" s="1187">
        <v>40.5</v>
      </c>
      <c r="N747" s="1187">
        <v>54.74</v>
      </c>
      <c r="O747" s="1191" t="s">
        <v>142</v>
      </c>
      <c r="P747" s="1191" t="s">
        <v>142</v>
      </c>
      <c r="Q747" s="1192" t="s">
        <v>142</v>
      </c>
      <c r="R747" s="1191" t="s">
        <v>2172</v>
      </c>
      <c r="S747" s="1193">
        <v>74.3</v>
      </c>
      <c r="T747" s="1194" t="s">
        <v>23</v>
      </c>
      <c r="U747" s="813" t="s">
        <v>236</v>
      </c>
      <c r="V747" s="1195"/>
      <c r="W747" s="1196"/>
      <c r="X747" s="1196"/>
      <c r="Y747" s="1196"/>
      <c r="Z747" s="1196"/>
      <c r="AA747" s="1196"/>
      <c r="AB747" s="1196"/>
      <c r="AC747" s="1196"/>
      <c r="AD747" s="1196"/>
      <c r="AE747" s="1196"/>
      <c r="AF747" s="1196"/>
      <c r="AG747" s="1196"/>
      <c r="AH747" s="1196"/>
      <c r="AI747" s="1196"/>
      <c r="AJ747" s="1196"/>
      <c r="AK747" s="1196"/>
      <c r="AL747" s="1196"/>
      <c r="AM747" s="1196"/>
      <c r="AN747" s="1196"/>
      <c r="AO747" s="1196"/>
      <c r="AP747" s="1196"/>
      <c r="AQ747" s="1196"/>
      <c r="AR747" s="1196"/>
      <c r="AS747" s="1196"/>
      <c r="AT747" s="1196"/>
      <c r="AU747" s="1196"/>
      <c r="AV747" s="1196"/>
      <c r="AW747" s="1196"/>
      <c r="AX747" s="1196"/>
      <c r="AY747" s="1196"/>
      <c r="AZ747" s="1196"/>
      <c r="BA747" s="1196"/>
      <c r="BB747" s="1196"/>
      <c r="BC747" s="1196"/>
      <c r="BD747" s="1196"/>
      <c r="BE747" s="1196"/>
      <c r="BF747" s="1196"/>
      <c r="BG747" s="1196"/>
      <c r="BH747" s="1196"/>
      <c r="BI747" s="1196"/>
      <c r="BJ747" s="1196"/>
      <c r="BK747" s="1196"/>
      <c r="BL747" s="1196"/>
      <c r="BM747" s="1196"/>
      <c r="BN747" s="1196"/>
      <c r="BO747" s="1196"/>
      <c r="BP747" s="1196"/>
      <c r="BQ747" s="1196"/>
      <c r="BR747" s="1196"/>
      <c r="BS747" s="1196"/>
      <c r="BT747" s="1196"/>
      <c r="BU747" s="1196"/>
      <c r="BV747" s="1196"/>
      <c r="BW747" s="1196"/>
      <c r="BX747" s="1196"/>
      <c r="BY747" s="1196"/>
      <c r="BZ747" s="1196"/>
      <c r="CA747" s="1196"/>
      <c r="CB747" s="1196"/>
      <c r="CC747" s="1196"/>
      <c r="CD747" s="1196"/>
      <c r="CE747" s="1196"/>
      <c r="CF747" s="1196"/>
      <c r="CG747" s="1196"/>
      <c r="CH747" s="1196"/>
      <c r="CI747" s="1196"/>
      <c r="CJ747" s="1196"/>
      <c r="CK747" s="1196"/>
      <c r="CL747" s="1196"/>
    </row>
    <row r="748" spans="1:90" s="1183" customFormat="1" ht="28.5" customHeight="1" x14ac:dyDescent="0.25">
      <c r="A748" s="1183" t="s">
        <v>4704</v>
      </c>
      <c r="B748" s="1184">
        <v>45002</v>
      </c>
      <c r="C748" s="1185">
        <v>0.83333333333333337</v>
      </c>
      <c r="D748" s="1186">
        <v>52</v>
      </c>
      <c r="E748" s="1187">
        <v>11.2</v>
      </c>
      <c r="F748" s="1188">
        <v>14.1</v>
      </c>
      <c r="G748" s="1189">
        <v>1089</v>
      </c>
      <c r="H748" s="1189">
        <v>2017</v>
      </c>
      <c r="I748" s="1189">
        <v>96.8</v>
      </c>
      <c r="J748" s="1190">
        <v>113</v>
      </c>
      <c r="K748" s="1190" t="s">
        <v>5133</v>
      </c>
      <c r="L748" s="1187">
        <v>37.86</v>
      </c>
      <c r="M748" s="1187">
        <v>40.5</v>
      </c>
      <c r="N748" s="1187">
        <v>52.12</v>
      </c>
      <c r="O748" s="1191" t="s">
        <v>142</v>
      </c>
      <c r="P748" s="1191" t="s">
        <v>142</v>
      </c>
      <c r="Q748" s="1192" t="s">
        <v>142</v>
      </c>
      <c r="R748" s="1191" t="s">
        <v>2590</v>
      </c>
      <c r="S748" s="1193">
        <v>64</v>
      </c>
      <c r="T748" s="1194" t="s">
        <v>23</v>
      </c>
      <c r="U748" s="813" t="s">
        <v>236</v>
      </c>
      <c r="V748" s="1195"/>
      <c r="W748" s="1196"/>
      <c r="X748" s="1196"/>
      <c r="Y748" s="1196"/>
      <c r="Z748" s="1196"/>
      <c r="AA748" s="1196"/>
      <c r="AB748" s="1196"/>
      <c r="AC748" s="1196"/>
      <c r="AD748" s="1196"/>
      <c r="AE748" s="1196"/>
      <c r="AF748" s="1196"/>
      <c r="AG748" s="1196"/>
      <c r="AH748" s="1196"/>
      <c r="AI748" s="1196"/>
      <c r="AJ748" s="1196"/>
      <c r="AK748" s="1196"/>
      <c r="AL748" s="1196"/>
      <c r="AM748" s="1196"/>
      <c r="AN748" s="1196"/>
      <c r="AO748" s="1196"/>
      <c r="AP748" s="1196"/>
      <c r="AQ748" s="1196"/>
      <c r="AR748" s="1196"/>
      <c r="AS748" s="1196"/>
      <c r="AT748" s="1196"/>
      <c r="AU748" s="1196"/>
      <c r="AV748" s="1196"/>
      <c r="AW748" s="1196"/>
      <c r="AX748" s="1196"/>
      <c r="AY748" s="1196"/>
      <c r="AZ748" s="1196"/>
      <c r="BA748" s="1196"/>
      <c r="BB748" s="1196"/>
      <c r="BC748" s="1196"/>
      <c r="BD748" s="1196"/>
      <c r="BE748" s="1196"/>
      <c r="BF748" s="1196"/>
      <c r="BG748" s="1196"/>
      <c r="BH748" s="1196"/>
      <c r="BI748" s="1196"/>
      <c r="BJ748" s="1196"/>
      <c r="BK748" s="1196"/>
      <c r="BL748" s="1196"/>
      <c r="BM748" s="1196"/>
      <c r="BN748" s="1196"/>
      <c r="BO748" s="1196"/>
      <c r="BP748" s="1196"/>
      <c r="BQ748" s="1196"/>
      <c r="BR748" s="1196"/>
      <c r="BS748" s="1196"/>
      <c r="BT748" s="1196"/>
      <c r="BU748" s="1196"/>
      <c r="BV748" s="1196"/>
      <c r="BW748" s="1196"/>
      <c r="BX748" s="1196"/>
      <c r="BY748" s="1196"/>
      <c r="BZ748" s="1196"/>
      <c r="CA748" s="1196"/>
      <c r="CB748" s="1196"/>
      <c r="CC748" s="1196"/>
      <c r="CD748" s="1196"/>
      <c r="CE748" s="1196"/>
      <c r="CF748" s="1196"/>
      <c r="CG748" s="1196"/>
      <c r="CH748" s="1196"/>
      <c r="CI748" s="1196"/>
      <c r="CJ748" s="1196"/>
      <c r="CK748" s="1196"/>
      <c r="CL748" s="1196"/>
    </row>
    <row r="749" spans="1:90" s="1183" customFormat="1" ht="28.5" customHeight="1" x14ac:dyDescent="0.25">
      <c r="A749" s="1183" t="s">
        <v>4704</v>
      </c>
      <c r="B749" s="1184">
        <v>45003</v>
      </c>
      <c r="C749" s="1185">
        <v>0.75</v>
      </c>
      <c r="D749" s="1510" t="s">
        <v>5159</v>
      </c>
      <c r="E749" s="1511"/>
      <c r="F749" s="1511"/>
      <c r="G749" s="1511"/>
      <c r="H749" s="1511"/>
      <c r="I749" s="1511"/>
      <c r="J749" s="1511"/>
      <c r="K749" s="1511"/>
      <c r="L749" s="1511"/>
      <c r="M749" s="1511"/>
      <c r="N749" s="1511"/>
      <c r="O749" s="1511"/>
      <c r="P749" s="1511"/>
      <c r="Q749" s="1511"/>
      <c r="R749" s="1511"/>
      <c r="S749" s="1512"/>
      <c r="T749" s="1194" t="s">
        <v>23</v>
      </c>
      <c r="U749" s="813" t="s">
        <v>236</v>
      </c>
      <c r="V749" s="1195"/>
      <c r="W749" s="1196"/>
      <c r="X749" s="1196"/>
      <c r="Y749" s="1196"/>
      <c r="Z749" s="1196"/>
      <c r="AA749" s="1196"/>
      <c r="AB749" s="1196"/>
      <c r="AC749" s="1196"/>
      <c r="AD749" s="1196"/>
      <c r="AE749" s="1196"/>
      <c r="AF749" s="1196"/>
      <c r="AG749" s="1196"/>
      <c r="AH749" s="1196"/>
      <c r="AI749" s="1196"/>
      <c r="AJ749" s="1196"/>
      <c r="AK749" s="1196"/>
      <c r="AL749" s="1196"/>
      <c r="AM749" s="1196"/>
      <c r="AN749" s="1196"/>
      <c r="AO749" s="1196"/>
      <c r="AP749" s="1196"/>
      <c r="AQ749" s="1196"/>
      <c r="AR749" s="1196"/>
      <c r="AS749" s="1196"/>
      <c r="AT749" s="1196"/>
      <c r="AU749" s="1196"/>
      <c r="AV749" s="1196"/>
      <c r="AW749" s="1196"/>
      <c r="AX749" s="1196"/>
      <c r="AY749" s="1196"/>
      <c r="AZ749" s="1196"/>
      <c r="BA749" s="1196"/>
      <c r="BB749" s="1196"/>
      <c r="BC749" s="1196"/>
      <c r="BD749" s="1196"/>
      <c r="BE749" s="1196"/>
      <c r="BF749" s="1196"/>
      <c r="BG749" s="1196"/>
      <c r="BH749" s="1196"/>
      <c r="BI749" s="1196"/>
      <c r="BJ749" s="1196"/>
      <c r="BK749" s="1196"/>
      <c r="BL749" s="1196"/>
      <c r="BM749" s="1196"/>
      <c r="BN749" s="1196"/>
      <c r="BO749" s="1196"/>
      <c r="BP749" s="1196"/>
      <c r="BQ749" s="1196"/>
      <c r="BR749" s="1196"/>
      <c r="BS749" s="1196"/>
      <c r="BT749" s="1196"/>
      <c r="BU749" s="1196"/>
      <c r="BV749" s="1196"/>
      <c r="BW749" s="1196"/>
      <c r="BX749" s="1196"/>
      <c r="BY749" s="1196"/>
      <c r="BZ749" s="1196"/>
      <c r="CA749" s="1196"/>
      <c r="CB749" s="1196"/>
      <c r="CC749" s="1196"/>
      <c r="CD749" s="1196"/>
      <c r="CE749" s="1196"/>
      <c r="CF749" s="1196"/>
      <c r="CG749" s="1196"/>
      <c r="CH749" s="1196"/>
      <c r="CI749" s="1196"/>
      <c r="CJ749" s="1196"/>
      <c r="CK749" s="1196"/>
      <c r="CL749" s="1196"/>
    </row>
    <row r="750" spans="1:90" s="1183" customFormat="1" ht="28.5" customHeight="1" x14ac:dyDescent="0.25">
      <c r="A750" s="1183" t="s">
        <v>4704</v>
      </c>
      <c r="B750" s="1184">
        <v>45004</v>
      </c>
      <c r="C750" s="1185">
        <v>0.8125</v>
      </c>
      <c r="D750" s="1510" t="s">
        <v>5166</v>
      </c>
      <c r="E750" s="1511"/>
      <c r="F750" s="1511"/>
      <c r="G750" s="1511"/>
      <c r="H750" s="1511"/>
      <c r="I750" s="1511"/>
      <c r="J750" s="1511"/>
      <c r="K750" s="1511"/>
      <c r="L750" s="1511"/>
      <c r="M750" s="1511"/>
      <c r="N750" s="1511"/>
      <c r="O750" s="1511"/>
      <c r="P750" s="1511"/>
      <c r="Q750" s="1511"/>
      <c r="R750" s="1511"/>
      <c r="S750" s="1512"/>
      <c r="T750" s="1194" t="s">
        <v>23</v>
      </c>
      <c r="U750" s="813" t="s">
        <v>236</v>
      </c>
      <c r="V750" s="1195"/>
      <c r="W750" s="1196"/>
      <c r="X750" s="1196"/>
      <c r="Y750" s="1196"/>
      <c r="Z750" s="1196"/>
      <c r="AA750" s="1196"/>
      <c r="AB750" s="1196"/>
      <c r="AC750" s="1196"/>
      <c r="AD750" s="1196"/>
      <c r="AE750" s="1196"/>
      <c r="AF750" s="1196"/>
      <c r="AG750" s="1196"/>
      <c r="AH750" s="1196"/>
      <c r="AI750" s="1196"/>
      <c r="AJ750" s="1196"/>
      <c r="AK750" s="1196"/>
      <c r="AL750" s="1196"/>
      <c r="AM750" s="1196"/>
      <c r="AN750" s="1196"/>
      <c r="AO750" s="1196"/>
      <c r="AP750" s="1196"/>
      <c r="AQ750" s="1196"/>
      <c r="AR750" s="1196"/>
      <c r="AS750" s="1196"/>
      <c r="AT750" s="1196"/>
      <c r="AU750" s="1196"/>
      <c r="AV750" s="1196"/>
      <c r="AW750" s="1196"/>
      <c r="AX750" s="1196"/>
      <c r="AY750" s="1196"/>
      <c r="AZ750" s="1196"/>
      <c r="BA750" s="1196"/>
      <c r="BB750" s="1196"/>
      <c r="BC750" s="1196"/>
      <c r="BD750" s="1196"/>
      <c r="BE750" s="1196"/>
      <c r="BF750" s="1196"/>
      <c r="BG750" s="1196"/>
      <c r="BH750" s="1196"/>
      <c r="BI750" s="1196"/>
      <c r="BJ750" s="1196"/>
      <c r="BK750" s="1196"/>
      <c r="BL750" s="1196"/>
      <c r="BM750" s="1196"/>
      <c r="BN750" s="1196"/>
      <c r="BO750" s="1196"/>
      <c r="BP750" s="1196"/>
      <c r="BQ750" s="1196"/>
      <c r="BR750" s="1196"/>
      <c r="BS750" s="1196"/>
      <c r="BT750" s="1196"/>
      <c r="BU750" s="1196"/>
      <c r="BV750" s="1196"/>
      <c r="BW750" s="1196"/>
      <c r="BX750" s="1196"/>
      <c r="BY750" s="1196"/>
      <c r="BZ750" s="1196"/>
      <c r="CA750" s="1196"/>
      <c r="CB750" s="1196"/>
      <c r="CC750" s="1196"/>
      <c r="CD750" s="1196"/>
      <c r="CE750" s="1196"/>
      <c r="CF750" s="1196"/>
      <c r="CG750" s="1196"/>
      <c r="CH750" s="1196"/>
      <c r="CI750" s="1196"/>
      <c r="CJ750" s="1196"/>
      <c r="CK750" s="1196"/>
      <c r="CL750" s="1196"/>
    </row>
    <row r="751" spans="1:90" s="1183" customFormat="1" ht="28.5" customHeight="1" x14ac:dyDescent="0.25">
      <c r="A751" s="1183" t="s">
        <v>4704</v>
      </c>
      <c r="B751" s="1184">
        <v>45005</v>
      </c>
      <c r="C751" s="1185">
        <v>0.8125</v>
      </c>
      <c r="D751" s="1186">
        <v>52</v>
      </c>
      <c r="E751" s="1187">
        <v>11.1</v>
      </c>
      <c r="F751" s="1188">
        <v>15.3</v>
      </c>
      <c r="G751" s="1189">
        <v>1077</v>
      </c>
      <c r="H751" s="1189">
        <v>1842</v>
      </c>
      <c r="I751" s="1189">
        <v>98.5</v>
      </c>
      <c r="J751" s="1190">
        <v>111.6</v>
      </c>
      <c r="K751" s="1190" t="s">
        <v>5167</v>
      </c>
      <c r="L751" s="1187">
        <v>36</v>
      </c>
      <c r="M751" s="1187">
        <v>40</v>
      </c>
      <c r="N751" s="1187">
        <v>53.37</v>
      </c>
      <c r="O751" s="1191" t="s">
        <v>142</v>
      </c>
      <c r="P751" s="1191" t="s">
        <v>142</v>
      </c>
      <c r="Q751" s="1192" t="s">
        <v>142</v>
      </c>
      <c r="R751" s="1191" t="s">
        <v>5168</v>
      </c>
      <c r="S751" s="1193">
        <v>65.3</v>
      </c>
      <c r="T751" s="1194" t="s">
        <v>23</v>
      </c>
      <c r="U751" s="813" t="s">
        <v>236</v>
      </c>
      <c r="V751" s="1195"/>
      <c r="W751" s="1196"/>
      <c r="X751" s="1196"/>
      <c r="Y751" s="1196"/>
      <c r="Z751" s="1196"/>
      <c r="AA751" s="1196"/>
      <c r="AB751" s="1196"/>
      <c r="AC751" s="1196"/>
      <c r="AD751" s="1196"/>
      <c r="AE751" s="1196"/>
      <c r="AF751" s="1196"/>
      <c r="AG751" s="1196"/>
      <c r="AH751" s="1196"/>
      <c r="AI751" s="1196"/>
      <c r="AJ751" s="1196"/>
      <c r="AK751" s="1196"/>
      <c r="AL751" s="1196"/>
      <c r="AM751" s="1196"/>
      <c r="AN751" s="1196"/>
      <c r="AO751" s="1196"/>
      <c r="AP751" s="1196"/>
      <c r="AQ751" s="1196"/>
      <c r="AR751" s="1196"/>
      <c r="AS751" s="1196"/>
      <c r="AT751" s="1196"/>
      <c r="AU751" s="1196"/>
      <c r="AV751" s="1196"/>
      <c r="AW751" s="1196"/>
      <c r="AX751" s="1196"/>
      <c r="AY751" s="1196"/>
      <c r="AZ751" s="1196"/>
      <c r="BA751" s="1196"/>
      <c r="BB751" s="1196"/>
      <c r="BC751" s="1196"/>
      <c r="BD751" s="1196"/>
      <c r="BE751" s="1196"/>
      <c r="BF751" s="1196"/>
      <c r="BG751" s="1196"/>
      <c r="BH751" s="1196"/>
      <c r="BI751" s="1196"/>
      <c r="BJ751" s="1196"/>
      <c r="BK751" s="1196"/>
      <c r="BL751" s="1196"/>
      <c r="BM751" s="1196"/>
      <c r="BN751" s="1196"/>
      <c r="BO751" s="1196"/>
      <c r="BP751" s="1196"/>
      <c r="BQ751" s="1196"/>
      <c r="BR751" s="1196"/>
      <c r="BS751" s="1196"/>
      <c r="BT751" s="1196"/>
      <c r="BU751" s="1196"/>
      <c r="BV751" s="1196"/>
      <c r="BW751" s="1196"/>
      <c r="BX751" s="1196"/>
      <c r="BY751" s="1196"/>
      <c r="BZ751" s="1196"/>
      <c r="CA751" s="1196"/>
      <c r="CB751" s="1196"/>
      <c r="CC751" s="1196"/>
      <c r="CD751" s="1196"/>
      <c r="CE751" s="1196"/>
      <c r="CF751" s="1196"/>
      <c r="CG751" s="1196"/>
      <c r="CH751" s="1196"/>
      <c r="CI751" s="1196"/>
      <c r="CJ751" s="1196"/>
      <c r="CK751" s="1196"/>
      <c r="CL751" s="1196"/>
    </row>
    <row r="752" spans="1:90" s="1183" customFormat="1" ht="28.5" customHeight="1" x14ac:dyDescent="0.25">
      <c r="A752" s="1183" t="s">
        <v>4704</v>
      </c>
      <c r="B752" s="1184">
        <v>45006</v>
      </c>
      <c r="C752" s="1185">
        <v>0.95833333333333337</v>
      </c>
      <c r="D752" s="1510" t="s">
        <v>5180</v>
      </c>
      <c r="E752" s="1511"/>
      <c r="F752" s="1511"/>
      <c r="G752" s="1511"/>
      <c r="H752" s="1511"/>
      <c r="I752" s="1511"/>
      <c r="J752" s="1511"/>
      <c r="K752" s="1511"/>
      <c r="L752" s="1511"/>
      <c r="M752" s="1511"/>
      <c r="N752" s="1511"/>
      <c r="O752" s="1511"/>
      <c r="P752" s="1511"/>
      <c r="Q752" s="1511"/>
      <c r="R752" s="1511"/>
      <c r="S752" s="1512"/>
      <c r="T752" s="1194" t="s">
        <v>23</v>
      </c>
      <c r="U752" s="813" t="s">
        <v>236</v>
      </c>
      <c r="V752" s="1195"/>
      <c r="W752" s="1196"/>
      <c r="X752" s="1196"/>
      <c r="Y752" s="1196"/>
      <c r="Z752" s="1196"/>
      <c r="AA752" s="1196"/>
      <c r="AB752" s="1196"/>
      <c r="AC752" s="1196"/>
      <c r="AD752" s="1196"/>
      <c r="AE752" s="1196"/>
      <c r="AF752" s="1196"/>
      <c r="AG752" s="1196"/>
      <c r="AH752" s="1196"/>
      <c r="AI752" s="1196"/>
      <c r="AJ752" s="1196"/>
      <c r="AK752" s="1196"/>
      <c r="AL752" s="1196"/>
      <c r="AM752" s="1196"/>
      <c r="AN752" s="1196"/>
      <c r="AO752" s="1196"/>
      <c r="AP752" s="1196"/>
      <c r="AQ752" s="1196"/>
      <c r="AR752" s="1196"/>
      <c r="AS752" s="1196"/>
      <c r="AT752" s="1196"/>
      <c r="AU752" s="1196"/>
      <c r="AV752" s="1196"/>
      <c r="AW752" s="1196"/>
      <c r="AX752" s="1196"/>
      <c r="AY752" s="1196"/>
      <c r="AZ752" s="1196"/>
      <c r="BA752" s="1196"/>
      <c r="BB752" s="1196"/>
      <c r="BC752" s="1196"/>
      <c r="BD752" s="1196"/>
      <c r="BE752" s="1196"/>
      <c r="BF752" s="1196"/>
      <c r="BG752" s="1196"/>
      <c r="BH752" s="1196"/>
      <c r="BI752" s="1196"/>
      <c r="BJ752" s="1196"/>
      <c r="BK752" s="1196"/>
      <c r="BL752" s="1196"/>
      <c r="BM752" s="1196"/>
      <c r="BN752" s="1196"/>
      <c r="BO752" s="1196"/>
      <c r="BP752" s="1196"/>
      <c r="BQ752" s="1196"/>
      <c r="BR752" s="1196"/>
      <c r="BS752" s="1196"/>
      <c r="BT752" s="1196"/>
      <c r="BU752" s="1196"/>
      <c r="BV752" s="1196"/>
      <c r="BW752" s="1196"/>
      <c r="BX752" s="1196"/>
      <c r="BY752" s="1196"/>
      <c r="BZ752" s="1196"/>
      <c r="CA752" s="1196"/>
      <c r="CB752" s="1196"/>
      <c r="CC752" s="1196"/>
      <c r="CD752" s="1196"/>
      <c r="CE752" s="1196"/>
      <c r="CF752" s="1196"/>
      <c r="CG752" s="1196"/>
      <c r="CH752" s="1196"/>
      <c r="CI752" s="1196"/>
      <c r="CJ752" s="1196"/>
      <c r="CK752" s="1196"/>
      <c r="CL752" s="1196"/>
    </row>
    <row r="753" spans="1:90" s="1183" customFormat="1" ht="28.5" customHeight="1" x14ac:dyDescent="0.25">
      <c r="A753" s="1183" t="s">
        <v>4704</v>
      </c>
      <c r="B753" s="1184">
        <v>45007</v>
      </c>
      <c r="C753" s="1185">
        <v>0.79166666666666663</v>
      </c>
      <c r="D753" s="1186">
        <v>52</v>
      </c>
      <c r="E753" s="1187">
        <v>11.1</v>
      </c>
      <c r="F753" s="1188">
        <v>15.3</v>
      </c>
      <c r="G753" s="1189">
        <v>1069</v>
      </c>
      <c r="H753" s="1189">
        <v>1881</v>
      </c>
      <c r="I753" s="1189">
        <v>98.7</v>
      </c>
      <c r="J753" s="1190">
        <v>111.4</v>
      </c>
      <c r="K753" s="1190" t="s">
        <v>5184</v>
      </c>
      <c r="L753" s="1187">
        <v>33.1</v>
      </c>
      <c r="M753" s="1187">
        <v>41</v>
      </c>
      <c r="N753" s="1187">
        <v>53.1</v>
      </c>
      <c r="O753" s="1191" t="s">
        <v>142</v>
      </c>
      <c r="P753" s="1191" t="s">
        <v>142</v>
      </c>
      <c r="Q753" s="1192" t="s">
        <v>142</v>
      </c>
      <c r="R753" s="1191" t="s">
        <v>3551</v>
      </c>
      <c r="S753" s="1193">
        <v>65.099999999999994</v>
      </c>
      <c r="T753" s="1194" t="s">
        <v>23</v>
      </c>
      <c r="U753" s="813" t="s">
        <v>4320</v>
      </c>
      <c r="V753" s="1195"/>
      <c r="W753" s="1196"/>
      <c r="X753" s="1196"/>
      <c r="Y753" s="1196"/>
      <c r="Z753" s="1196"/>
      <c r="AA753" s="1196"/>
      <c r="AB753" s="1196"/>
      <c r="AC753" s="1196"/>
      <c r="AD753" s="1196"/>
      <c r="AE753" s="1196"/>
      <c r="AF753" s="1196"/>
      <c r="AG753" s="1196"/>
      <c r="AH753" s="1196"/>
      <c r="AI753" s="1196"/>
      <c r="AJ753" s="1196"/>
      <c r="AK753" s="1196"/>
      <c r="AL753" s="1196"/>
      <c r="AM753" s="1196"/>
      <c r="AN753" s="1196"/>
      <c r="AO753" s="1196"/>
      <c r="AP753" s="1196"/>
      <c r="AQ753" s="1196"/>
      <c r="AR753" s="1196"/>
      <c r="AS753" s="1196"/>
      <c r="AT753" s="1196"/>
      <c r="AU753" s="1196"/>
      <c r="AV753" s="1196"/>
      <c r="AW753" s="1196"/>
      <c r="AX753" s="1196"/>
      <c r="AY753" s="1196"/>
      <c r="AZ753" s="1196"/>
      <c r="BA753" s="1196"/>
      <c r="BB753" s="1196"/>
      <c r="BC753" s="1196"/>
      <c r="BD753" s="1196"/>
      <c r="BE753" s="1196"/>
      <c r="BF753" s="1196"/>
      <c r="BG753" s="1196"/>
      <c r="BH753" s="1196"/>
      <c r="BI753" s="1196"/>
      <c r="BJ753" s="1196"/>
      <c r="BK753" s="1196"/>
      <c r="BL753" s="1196"/>
      <c r="BM753" s="1196"/>
      <c r="BN753" s="1196"/>
      <c r="BO753" s="1196"/>
      <c r="BP753" s="1196"/>
      <c r="BQ753" s="1196"/>
      <c r="BR753" s="1196"/>
      <c r="BS753" s="1196"/>
      <c r="BT753" s="1196"/>
      <c r="BU753" s="1196"/>
      <c r="BV753" s="1196"/>
      <c r="BW753" s="1196"/>
      <c r="BX753" s="1196"/>
      <c r="BY753" s="1196"/>
      <c r="BZ753" s="1196"/>
      <c r="CA753" s="1196"/>
      <c r="CB753" s="1196"/>
      <c r="CC753" s="1196"/>
      <c r="CD753" s="1196"/>
      <c r="CE753" s="1196"/>
      <c r="CF753" s="1196"/>
      <c r="CG753" s="1196"/>
      <c r="CH753" s="1196"/>
      <c r="CI753" s="1196"/>
      <c r="CJ753" s="1196"/>
      <c r="CK753" s="1196"/>
      <c r="CL753" s="1196"/>
    </row>
    <row r="754" spans="1:90" s="1183" customFormat="1" ht="28.5" customHeight="1" x14ac:dyDescent="0.25">
      <c r="A754" s="1183" t="s">
        <v>4704</v>
      </c>
      <c r="B754" s="1184">
        <v>45008</v>
      </c>
      <c r="C754" s="1185">
        <v>0.58333333333333337</v>
      </c>
      <c r="D754" s="1510" t="s">
        <v>5185</v>
      </c>
      <c r="E754" s="1511"/>
      <c r="F754" s="1511"/>
      <c r="G754" s="1511"/>
      <c r="H754" s="1511"/>
      <c r="I754" s="1511"/>
      <c r="J754" s="1511"/>
      <c r="K754" s="1511"/>
      <c r="L754" s="1511"/>
      <c r="M754" s="1511"/>
      <c r="N754" s="1511"/>
      <c r="O754" s="1511"/>
      <c r="P754" s="1511"/>
      <c r="Q754" s="1511"/>
      <c r="R754" s="1511"/>
      <c r="S754" s="1512"/>
      <c r="T754" s="1194" t="s">
        <v>23</v>
      </c>
      <c r="U754" s="813" t="s">
        <v>4320</v>
      </c>
      <c r="V754" s="1195"/>
      <c r="W754" s="1196"/>
      <c r="X754" s="1196"/>
      <c r="Y754" s="1196"/>
      <c r="Z754" s="1196"/>
      <c r="AA754" s="1196"/>
      <c r="AB754" s="1196"/>
      <c r="AC754" s="1196"/>
      <c r="AD754" s="1196"/>
      <c r="AE754" s="1196"/>
      <c r="AF754" s="1196"/>
      <c r="AG754" s="1196"/>
      <c r="AH754" s="1196"/>
      <c r="AI754" s="1196"/>
      <c r="AJ754" s="1196"/>
      <c r="AK754" s="1196"/>
      <c r="AL754" s="1196"/>
      <c r="AM754" s="1196"/>
      <c r="AN754" s="1196"/>
      <c r="AO754" s="1196"/>
      <c r="AP754" s="1196"/>
      <c r="AQ754" s="1196"/>
      <c r="AR754" s="1196"/>
      <c r="AS754" s="1196"/>
      <c r="AT754" s="1196"/>
      <c r="AU754" s="1196"/>
      <c r="AV754" s="1196"/>
      <c r="AW754" s="1196"/>
      <c r="AX754" s="1196"/>
      <c r="AY754" s="1196"/>
      <c r="AZ754" s="1196"/>
      <c r="BA754" s="1196"/>
      <c r="BB754" s="1196"/>
      <c r="BC754" s="1196"/>
      <c r="BD754" s="1196"/>
      <c r="BE754" s="1196"/>
      <c r="BF754" s="1196"/>
      <c r="BG754" s="1196"/>
      <c r="BH754" s="1196"/>
      <c r="BI754" s="1196"/>
      <c r="BJ754" s="1196"/>
      <c r="BK754" s="1196"/>
      <c r="BL754" s="1196"/>
      <c r="BM754" s="1196"/>
      <c r="BN754" s="1196"/>
      <c r="BO754" s="1196"/>
      <c r="BP754" s="1196"/>
      <c r="BQ754" s="1196"/>
      <c r="BR754" s="1196"/>
      <c r="BS754" s="1196"/>
      <c r="BT754" s="1196"/>
      <c r="BU754" s="1196"/>
      <c r="BV754" s="1196"/>
      <c r="BW754" s="1196"/>
      <c r="BX754" s="1196"/>
      <c r="BY754" s="1196"/>
      <c r="BZ754" s="1196"/>
      <c r="CA754" s="1196"/>
      <c r="CB754" s="1196"/>
      <c r="CC754" s="1196"/>
      <c r="CD754" s="1196"/>
      <c r="CE754" s="1196"/>
      <c r="CF754" s="1196"/>
      <c r="CG754" s="1196"/>
      <c r="CH754" s="1196"/>
      <c r="CI754" s="1196"/>
      <c r="CJ754" s="1196"/>
      <c r="CK754" s="1196"/>
      <c r="CL754" s="1196"/>
    </row>
    <row r="755" spans="1:90" s="1183" customFormat="1" ht="28.5" customHeight="1" x14ac:dyDescent="0.25">
      <c r="A755" s="1183" t="s">
        <v>4704</v>
      </c>
      <c r="B755" s="1184">
        <v>45009</v>
      </c>
      <c r="C755" s="1185">
        <v>0.875</v>
      </c>
      <c r="D755" s="1186">
        <v>52</v>
      </c>
      <c r="E755" s="1187">
        <v>11.2</v>
      </c>
      <c r="F755" s="1188">
        <v>15.2</v>
      </c>
      <c r="G755" s="1189">
        <v>1057</v>
      </c>
      <c r="H755" s="1189">
        <v>1876</v>
      </c>
      <c r="I755" s="1189">
        <v>98</v>
      </c>
      <c r="J755" s="1190">
        <v>112.1</v>
      </c>
      <c r="K755" s="1190" t="s">
        <v>5189</v>
      </c>
      <c r="L755" s="1187">
        <v>36.93</v>
      </c>
      <c r="M755" s="1187">
        <v>41</v>
      </c>
      <c r="N755" s="1187">
        <v>52.18</v>
      </c>
      <c r="O755" s="1191" t="s">
        <v>142</v>
      </c>
      <c r="P755" s="1191" t="s">
        <v>142</v>
      </c>
      <c r="Q755" s="1192" t="s">
        <v>142</v>
      </c>
      <c r="R755" s="1191" t="s">
        <v>5190</v>
      </c>
      <c r="S755" s="1193">
        <v>64.900000000000006</v>
      </c>
      <c r="T755" s="1194" t="s">
        <v>23</v>
      </c>
      <c r="U755" s="813" t="s">
        <v>4320</v>
      </c>
      <c r="V755" s="1195"/>
      <c r="W755" s="1196"/>
      <c r="X755" s="1196"/>
      <c r="Y755" s="1196"/>
      <c r="Z755" s="1196"/>
      <c r="AA755" s="1196"/>
      <c r="AB755" s="1196"/>
      <c r="AC755" s="1196"/>
      <c r="AD755" s="1196"/>
      <c r="AE755" s="1196"/>
      <c r="AF755" s="1196"/>
      <c r="AG755" s="1196"/>
      <c r="AH755" s="1196"/>
      <c r="AI755" s="1196"/>
      <c r="AJ755" s="1196"/>
      <c r="AK755" s="1196"/>
      <c r="AL755" s="1196"/>
      <c r="AM755" s="1196"/>
      <c r="AN755" s="1196"/>
      <c r="AO755" s="1196"/>
      <c r="AP755" s="1196"/>
      <c r="AQ755" s="1196"/>
      <c r="AR755" s="1196"/>
      <c r="AS755" s="1196"/>
      <c r="AT755" s="1196"/>
      <c r="AU755" s="1196"/>
      <c r="AV755" s="1196"/>
      <c r="AW755" s="1196"/>
      <c r="AX755" s="1196"/>
      <c r="AY755" s="1196"/>
      <c r="AZ755" s="1196"/>
      <c r="BA755" s="1196"/>
      <c r="BB755" s="1196"/>
      <c r="BC755" s="1196"/>
      <c r="BD755" s="1196"/>
      <c r="BE755" s="1196"/>
      <c r="BF755" s="1196"/>
      <c r="BG755" s="1196"/>
      <c r="BH755" s="1196"/>
      <c r="BI755" s="1196"/>
      <c r="BJ755" s="1196"/>
      <c r="BK755" s="1196"/>
      <c r="BL755" s="1196"/>
      <c r="BM755" s="1196"/>
      <c r="BN755" s="1196"/>
      <c r="BO755" s="1196"/>
      <c r="BP755" s="1196"/>
      <c r="BQ755" s="1196"/>
      <c r="BR755" s="1196"/>
      <c r="BS755" s="1196"/>
      <c r="BT755" s="1196"/>
      <c r="BU755" s="1196"/>
      <c r="BV755" s="1196"/>
      <c r="BW755" s="1196"/>
      <c r="BX755" s="1196"/>
      <c r="BY755" s="1196"/>
      <c r="BZ755" s="1196"/>
      <c r="CA755" s="1196"/>
      <c r="CB755" s="1196"/>
      <c r="CC755" s="1196"/>
      <c r="CD755" s="1196"/>
      <c r="CE755" s="1196"/>
      <c r="CF755" s="1196"/>
      <c r="CG755" s="1196"/>
      <c r="CH755" s="1196"/>
      <c r="CI755" s="1196"/>
      <c r="CJ755" s="1196"/>
      <c r="CK755" s="1196"/>
      <c r="CL755" s="1196"/>
    </row>
    <row r="756" spans="1:90" s="1183" customFormat="1" ht="28.5" customHeight="1" x14ac:dyDescent="0.25">
      <c r="A756" s="1183" t="s">
        <v>4704</v>
      </c>
      <c r="B756" s="1184">
        <v>45010</v>
      </c>
      <c r="C756" s="1185">
        <v>0.875</v>
      </c>
      <c r="D756" s="1510" t="s">
        <v>5204</v>
      </c>
      <c r="E756" s="1511"/>
      <c r="F756" s="1511"/>
      <c r="G756" s="1511"/>
      <c r="H756" s="1511"/>
      <c r="I756" s="1511"/>
      <c r="J756" s="1511"/>
      <c r="K756" s="1511"/>
      <c r="L756" s="1511"/>
      <c r="M756" s="1511"/>
      <c r="N756" s="1511"/>
      <c r="O756" s="1511"/>
      <c r="P756" s="1511"/>
      <c r="Q756" s="1511"/>
      <c r="R756" s="1511"/>
      <c r="S756" s="1512"/>
      <c r="T756" s="1194" t="s">
        <v>23</v>
      </c>
      <c r="U756" s="813" t="s">
        <v>4320</v>
      </c>
      <c r="V756" s="1195"/>
      <c r="W756" s="1196"/>
      <c r="X756" s="1196"/>
      <c r="Y756" s="1196"/>
      <c r="Z756" s="1196"/>
      <c r="AA756" s="1196"/>
      <c r="AB756" s="1196"/>
      <c r="AC756" s="1196"/>
      <c r="AD756" s="1196"/>
      <c r="AE756" s="1196"/>
      <c r="AF756" s="1196"/>
      <c r="AG756" s="1196"/>
      <c r="AH756" s="1196"/>
      <c r="AI756" s="1196"/>
      <c r="AJ756" s="1196"/>
      <c r="AK756" s="1196"/>
      <c r="AL756" s="1196"/>
      <c r="AM756" s="1196"/>
      <c r="AN756" s="1196"/>
      <c r="AO756" s="1196"/>
      <c r="AP756" s="1196"/>
      <c r="AQ756" s="1196"/>
      <c r="AR756" s="1196"/>
      <c r="AS756" s="1196"/>
      <c r="AT756" s="1196"/>
      <c r="AU756" s="1196"/>
      <c r="AV756" s="1196"/>
      <c r="AW756" s="1196"/>
      <c r="AX756" s="1196"/>
      <c r="AY756" s="1196"/>
      <c r="AZ756" s="1196"/>
      <c r="BA756" s="1196"/>
      <c r="BB756" s="1196"/>
      <c r="BC756" s="1196"/>
      <c r="BD756" s="1196"/>
      <c r="BE756" s="1196"/>
      <c r="BF756" s="1196"/>
      <c r="BG756" s="1196"/>
      <c r="BH756" s="1196"/>
      <c r="BI756" s="1196"/>
      <c r="BJ756" s="1196"/>
      <c r="BK756" s="1196"/>
      <c r="BL756" s="1196"/>
      <c r="BM756" s="1196"/>
      <c r="BN756" s="1196"/>
      <c r="BO756" s="1196"/>
      <c r="BP756" s="1196"/>
      <c r="BQ756" s="1196"/>
      <c r="BR756" s="1196"/>
      <c r="BS756" s="1196"/>
      <c r="BT756" s="1196"/>
      <c r="BU756" s="1196"/>
      <c r="BV756" s="1196"/>
      <c r="BW756" s="1196"/>
      <c r="BX756" s="1196"/>
      <c r="BY756" s="1196"/>
      <c r="BZ756" s="1196"/>
      <c r="CA756" s="1196"/>
      <c r="CB756" s="1196"/>
      <c r="CC756" s="1196"/>
      <c r="CD756" s="1196"/>
      <c r="CE756" s="1196"/>
      <c r="CF756" s="1196"/>
      <c r="CG756" s="1196"/>
      <c r="CH756" s="1196"/>
      <c r="CI756" s="1196"/>
      <c r="CJ756" s="1196"/>
      <c r="CK756" s="1196"/>
      <c r="CL756" s="1196"/>
    </row>
    <row r="757" spans="1:90" s="1183" customFormat="1" ht="28.5" customHeight="1" x14ac:dyDescent="0.25">
      <c r="A757" s="1183" t="s">
        <v>4704</v>
      </c>
      <c r="B757" s="1184">
        <v>45011</v>
      </c>
      <c r="C757" s="1185">
        <v>0.91666666666666663</v>
      </c>
      <c r="D757" s="1186">
        <v>52</v>
      </c>
      <c r="E757" s="1187">
        <v>11.2</v>
      </c>
      <c r="F757" s="1188">
        <v>15.2</v>
      </c>
      <c r="G757" s="1189">
        <v>1089</v>
      </c>
      <c r="H757" s="1189">
        <v>2006</v>
      </c>
      <c r="I757" s="1189">
        <v>99</v>
      </c>
      <c r="J757" s="1190">
        <v>101</v>
      </c>
      <c r="K757" s="1190" t="s">
        <v>5205</v>
      </c>
      <c r="L757" s="1187">
        <v>38.28</v>
      </c>
      <c r="M757" s="1187">
        <v>41</v>
      </c>
      <c r="N757" s="1187">
        <v>49.54</v>
      </c>
      <c r="O757" s="1191" t="s">
        <v>142</v>
      </c>
      <c r="P757" s="1191" t="s">
        <v>142</v>
      </c>
      <c r="Q757" s="1192" t="s">
        <v>142</v>
      </c>
      <c r="R757" s="1191" t="s">
        <v>5206</v>
      </c>
      <c r="S757" s="1193">
        <v>64.8</v>
      </c>
      <c r="T757" s="1194" t="s">
        <v>23</v>
      </c>
      <c r="U757" s="813" t="s">
        <v>4320</v>
      </c>
      <c r="V757" s="1195"/>
      <c r="W757" s="1196"/>
      <c r="X757" s="1196"/>
      <c r="Y757" s="1196"/>
      <c r="Z757" s="1196"/>
      <c r="AA757" s="1196"/>
      <c r="AB757" s="1196"/>
      <c r="AC757" s="1196"/>
      <c r="AD757" s="1196"/>
      <c r="AE757" s="1196"/>
      <c r="AF757" s="1196"/>
      <c r="AG757" s="1196"/>
      <c r="AH757" s="1196"/>
      <c r="AI757" s="1196"/>
      <c r="AJ757" s="1196"/>
      <c r="AK757" s="1196"/>
      <c r="AL757" s="1196"/>
      <c r="AM757" s="1196"/>
      <c r="AN757" s="1196"/>
      <c r="AO757" s="1196"/>
      <c r="AP757" s="1196"/>
      <c r="AQ757" s="1196"/>
      <c r="AR757" s="1196"/>
      <c r="AS757" s="1196"/>
      <c r="AT757" s="1196"/>
      <c r="AU757" s="1196"/>
      <c r="AV757" s="1196"/>
      <c r="AW757" s="1196"/>
      <c r="AX757" s="1196"/>
      <c r="AY757" s="1196"/>
      <c r="AZ757" s="1196"/>
      <c r="BA757" s="1196"/>
      <c r="BB757" s="1196"/>
      <c r="BC757" s="1196"/>
      <c r="BD757" s="1196"/>
      <c r="BE757" s="1196"/>
      <c r="BF757" s="1196"/>
      <c r="BG757" s="1196"/>
      <c r="BH757" s="1196"/>
      <c r="BI757" s="1196"/>
      <c r="BJ757" s="1196"/>
      <c r="BK757" s="1196"/>
      <c r="BL757" s="1196"/>
      <c r="BM757" s="1196"/>
      <c r="BN757" s="1196"/>
      <c r="BO757" s="1196"/>
      <c r="BP757" s="1196"/>
      <c r="BQ757" s="1196"/>
      <c r="BR757" s="1196"/>
      <c r="BS757" s="1196"/>
      <c r="BT757" s="1196"/>
      <c r="BU757" s="1196"/>
      <c r="BV757" s="1196"/>
      <c r="BW757" s="1196"/>
      <c r="BX757" s="1196"/>
      <c r="BY757" s="1196"/>
      <c r="BZ757" s="1196"/>
      <c r="CA757" s="1196"/>
      <c r="CB757" s="1196"/>
      <c r="CC757" s="1196"/>
      <c r="CD757" s="1196"/>
      <c r="CE757" s="1196"/>
      <c r="CF757" s="1196"/>
      <c r="CG757" s="1196"/>
      <c r="CH757" s="1196"/>
      <c r="CI757" s="1196"/>
      <c r="CJ757" s="1196"/>
      <c r="CK757" s="1196"/>
      <c r="CL757" s="1196"/>
    </row>
    <row r="758" spans="1:90" s="1183" customFormat="1" ht="28.5" customHeight="1" x14ac:dyDescent="0.25">
      <c r="A758" s="1183" t="s">
        <v>4704</v>
      </c>
      <c r="B758" s="1184">
        <v>45012</v>
      </c>
      <c r="C758" s="1185">
        <v>0.91666666666666663</v>
      </c>
      <c r="D758" s="1186">
        <v>52</v>
      </c>
      <c r="E758" s="1187">
        <v>11.2</v>
      </c>
      <c r="F758" s="1188">
        <v>15.2</v>
      </c>
      <c r="G758" s="1189">
        <v>1079</v>
      </c>
      <c r="H758" s="1189">
        <v>1871</v>
      </c>
      <c r="I758" s="1189">
        <v>98.6</v>
      </c>
      <c r="J758" s="1190">
        <v>111</v>
      </c>
      <c r="K758" s="1190" t="s">
        <v>5217</v>
      </c>
      <c r="L758" s="1187">
        <v>37</v>
      </c>
      <c r="M758" s="1187">
        <v>40</v>
      </c>
      <c r="N758" s="1187">
        <v>52.83</v>
      </c>
      <c r="O758" s="1191" t="s">
        <v>142</v>
      </c>
      <c r="P758" s="1191" t="s">
        <v>142</v>
      </c>
      <c r="Q758" s="1192" t="s">
        <v>142</v>
      </c>
      <c r="R758" s="1191" t="s">
        <v>2053</v>
      </c>
      <c r="S758" s="1193">
        <v>64.900000000000006</v>
      </c>
      <c r="T758" s="1194" t="s">
        <v>23</v>
      </c>
      <c r="U758" s="813" t="s">
        <v>4320</v>
      </c>
      <c r="V758" s="1195"/>
      <c r="W758" s="1196"/>
      <c r="X758" s="1196"/>
      <c r="Y758" s="1196"/>
      <c r="Z758" s="1196"/>
      <c r="AA758" s="1196"/>
      <c r="AB758" s="1196"/>
      <c r="AC758" s="1196"/>
      <c r="AD758" s="1196"/>
      <c r="AE758" s="1196"/>
      <c r="AF758" s="1196"/>
      <c r="AG758" s="1196"/>
      <c r="AH758" s="1196"/>
      <c r="AI758" s="1196"/>
      <c r="AJ758" s="1196"/>
      <c r="AK758" s="1196"/>
      <c r="AL758" s="1196"/>
      <c r="AM758" s="1196"/>
      <c r="AN758" s="1196"/>
      <c r="AO758" s="1196"/>
      <c r="AP758" s="1196"/>
      <c r="AQ758" s="1196"/>
      <c r="AR758" s="1196"/>
      <c r="AS758" s="1196"/>
      <c r="AT758" s="1196"/>
      <c r="AU758" s="1196"/>
      <c r="AV758" s="1196"/>
      <c r="AW758" s="1196"/>
      <c r="AX758" s="1196"/>
      <c r="AY758" s="1196"/>
      <c r="AZ758" s="1196"/>
      <c r="BA758" s="1196"/>
      <c r="BB758" s="1196"/>
      <c r="BC758" s="1196"/>
      <c r="BD758" s="1196"/>
      <c r="BE758" s="1196"/>
      <c r="BF758" s="1196"/>
      <c r="BG758" s="1196"/>
      <c r="BH758" s="1196"/>
      <c r="BI758" s="1196"/>
      <c r="BJ758" s="1196"/>
      <c r="BK758" s="1196"/>
      <c r="BL758" s="1196"/>
      <c r="BM758" s="1196"/>
      <c r="BN758" s="1196"/>
      <c r="BO758" s="1196"/>
      <c r="BP758" s="1196"/>
      <c r="BQ758" s="1196"/>
      <c r="BR758" s="1196"/>
      <c r="BS758" s="1196"/>
      <c r="BT758" s="1196"/>
      <c r="BU758" s="1196"/>
      <c r="BV758" s="1196"/>
      <c r="BW758" s="1196"/>
      <c r="BX758" s="1196"/>
      <c r="BY758" s="1196"/>
      <c r="BZ758" s="1196"/>
      <c r="CA758" s="1196"/>
      <c r="CB758" s="1196"/>
      <c r="CC758" s="1196"/>
      <c r="CD758" s="1196"/>
      <c r="CE758" s="1196"/>
      <c r="CF758" s="1196"/>
      <c r="CG758" s="1196"/>
      <c r="CH758" s="1196"/>
      <c r="CI758" s="1196"/>
      <c r="CJ758" s="1196"/>
      <c r="CK758" s="1196"/>
      <c r="CL758" s="1196"/>
    </row>
    <row r="759" spans="1:90" s="1183" customFormat="1" ht="28.5" customHeight="1" x14ac:dyDescent="0.25">
      <c r="A759" s="1183" t="s">
        <v>4704</v>
      </c>
      <c r="B759" s="1184">
        <v>45013</v>
      </c>
      <c r="C759" s="1185">
        <v>0.91666666666666663</v>
      </c>
      <c r="D759" s="1510" t="s">
        <v>5223</v>
      </c>
      <c r="E759" s="1511"/>
      <c r="F759" s="1511"/>
      <c r="G759" s="1511"/>
      <c r="H759" s="1511"/>
      <c r="I759" s="1511"/>
      <c r="J759" s="1511"/>
      <c r="K759" s="1511"/>
      <c r="L759" s="1511"/>
      <c r="M759" s="1511"/>
      <c r="N759" s="1511"/>
      <c r="O759" s="1511"/>
      <c r="P759" s="1511"/>
      <c r="Q759" s="1511"/>
      <c r="R759" s="1511"/>
      <c r="S759" s="1512"/>
      <c r="T759" s="1194" t="s">
        <v>23</v>
      </c>
      <c r="U759" s="813" t="s">
        <v>4320</v>
      </c>
      <c r="V759" s="1195" t="s">
        <v>415</v>
      </c>
      <c r="W759" s="1196"/>
      <c r="X759" s="1196"/>
      <c r="Y759" s="1196"/>
      <c r="Z759" s="1196"/>
      <c r="AA759" s="1196"/>
      <c r="AB759" s="1196"/>
      <c r="AC759" s="1196"/>
      <c r="AD759" s="1196"/>
      <c r="AE759" s="1196"/>
      <c r="AF759" s="1196"/>
      <c r="AG759" s="1196"/>
      <c r="AH759" s="1196"/>
      <c r="AI759" s="1196"/>
      <c r="AJ759" s="1196"/>
      <c r="AK759" s="1196"/>
      <c r="AL759" s="1196"/>
      <c r="AM759" s="1196"/>
      <c r="AN759" s="1196"/>
      <c r="AO759" s="1196"/>
      <c r="AP759" s="1196"/>
      <c r="AQ759" s="1196"/>
      <c r="AR759" s="1196"/>
      <c r="AS759" s="1196"/>
      <c r="AT759" s="1196"/>
      <c r="AU759" s="1196"/>
      <c r="AV759" s="1196"/>
      <c r="AW759" s="1196"/>
      <c r="AX759" s="1196"/>
      <c r="AY759" s="1196"/>
      <c r="AZ759" s="1196"/>
      <c r="BA759" s="1196"/>
      <c r="BB759" s="1196"/>
      <c r="BC759" s="1196"/>
      <c r="BD759" s="1196"/>
      <c r="BE759" s="1196"/>
      <c r="BF759" s="1196"/>
      <c r="BG759" s="1196"/>
      <c r="BH759" s="1196"/>
      <c r="BI759" s="1196"/>
      <c r="BJ759" s="1196"/>
      <c r="BK759" s="1196"/>
      <c r="BL759" s="1196"/>
      <c r="BM759" s="1196"/>
      <c r="BN759" s="1196"/>
      <c r="BO759" s="1196"/>
      <c r="BP759" s="1196"/>
      <c r="BQ759" s="1196"/>
      <c r="BR759" s="1196"/>
      <c r="BS759" s="1196"/>
      <c r="BT759" s="1196"/>
      <c r="BU759" s="1196"/>
      <c r="BV759" s="1196"/>
      <c r="BW759" s="1196"/>
      <c r="BX759" s="1196"/>
      <c r="BY759" s="1196"/>
      <c r="BZ759" s="1196"/>
      <c r="CA759" s="1196"/>
      <c r="CB759" s="1196"/>
      <c r="CC759" s="1196"/>
      <c r="CD759" s="1196"/>
      <c r="CE759" s="1196"/>
      <c r="CF759" s="1196"/>
      <c r="CG759" s="1196"/>
      <c r="CH759" s="1196"/>
      <c r="CI759" s="1196"/>
      <c r="CJ759" s="1196"/>
      <c r="CK759" s="1196"/>
      <c r="CL759" s="1196"/>
    </row>
    <row r="760" spans="1:90" s="1183" customFormat="1" ht="28.5" customHeight="1" x14ac:dyDescent="0.25">
      <c r="A760" s="1183" t="s">
        <v>4704</v>
      </c>
      <c r="B760" s="1184">
        <v>45014</v>
      </c>
      <c r="C760" s="1185">
        <v>0.91666666666666663</v>
      </c>
      <c r="D760" s="1186">
        <v>52</v>
      </c>
      <c r="E760" s="1187">
        <v>11.2</v>
      </c>
      <c r="F760" s="1188">
        <v>15.4</v>
      </c>
      <c r="G760" s="1189">
        <v>1065</v>
      </c>
      <c r="H760" s="1189">
        <v>1947</v>
      </c>
      <c r="I760" s="1189">
        <v>98.8</v>
      </c>
      <c r="J760" s="1190">
        <v>100.7</v>
      </c>
      <c r="K760" s="1190" t="s">
        <v>5238</v>
      </c>
      <c r="L760" s="1187">
        <v>35.97</v>
      </c>
      <c r="M760" s="1187">
        <v>39.5</v>
      </c>
      <c r="N760" s="1187">
        <v>52.11</v>
      </c>
      <c r="O760" s="1191" t="s">
        <v>142</v>
      </c>
      <c r="P760" s="1191" t="s">
        <v>142</v>
      </c>
      <c r="Q760" s="1192" t="s">
        <v>142</v>
      </c>
      <c r="R760" s="1191" t="s">
        <v>4630</v>
      </c>
      <c r="S760" s="1193">
        <v>65.8</v>
      </c>
      <c r="T760" s="1194" t="s">
        <v>23</v>
      </c>
      <c r="U760" s="813" t="s">
        <v>4320</v>
      </c>
      <c r="V760" s="1195"/>
      <c r="W760" s="1196"/>
      <c r="X760" s="1196"/>
      <c r="Y760" s="1196"/>
      <c r="Z760" s="1196"/>
      <c r="AA760" s="1196"/>
      <c r="AB760" s="1196"/>
      <c r="AC760" s="1196"/>
      <c r="AD760" s="1196"/>
      <c r="AE760" s="1196"/>
      <c r="AF760" s="1196"/>
      <c r="AG760" s="1196"/>
      <c r="AH760" s="1196"/>
      <c r="AI760" s="1196"/>
      <c r="AJ760" s="1196"/>
      <c r="AK760" s="1196"/>
      <c r="AL760" s="1196"/>
      <c r="AM760" s="1196"/>
      <c r="AN760" s="1196"/>
      <c r="AO760" s="1196"/>
      <c r="AP760" s="1196"/>
      <c r="AQ760" s="1196"/>
      <c r="AR760" s="1196"/>
      <c r="AS760" s="1196"/>
      <c r="AT760" s="1196"/>
      <c r="AU760" s="1196"/>
      <c r="AV760" s="1196"/>
      <c r="AW760" s="1196"/>
      <c r="AX760" s="1196"/>
      <c r="AY760" s="1196"/>
      <c r="AZ760" s="1196"/>
      <c r="BA760" s="1196"/>
      <c r="BB760" s="1196"/>
      <c r="BC760" s="1196"/>
      <c r="BD760" s="1196"/>
      <c r="BE760" s="1196"/>
      <c r="BF760" s="1196"/>
      <c r="BG760" s="1196"/>
      <c r="BH760" s="1196"/>
      <c r="BI760" s="1196"/>
      <c r="BJ760" s="1196"/>
      <c r="BK760" s="1196"/>
      <c r="BL760" s="1196"/>
      <c r="BM760" s="1196"/>
      <c r="BN760" s="1196"/>
      <c r="BO760" s="1196"/>
      <c r="BP760" s="1196"/>
      <c r="BQ760" s="1196"/>
      <c r="BR760" s="1196"/>
      <c r="BS760" s="1196"/>
      <c r="BT760" s="1196"/>
      <c r="BU760" s="1196"/>
      <c r="BV760" s="1196"/>
      <c r="BW760" s="1196"/>
      <c r="BX760" s="1196"/>
      <c r="BY760" s="1196"/>
      <c r="BZ760" s="1196"/>
      <c r="CA760" s="1196"/>
      <c r="CB760" s="1196"/>
      <c r="CC760" s="1196"/>
      <c r="CD760" s="1196"/>
      <c r="CE760" s="1196"/>
      <c r="CF760" s="1196"/>
      <c r="CG760" s="1196"/>
      <c r="CH760" s="1196"/>
      <c r="CI760" s="1196"/>
      <c r="CJ760" s="1196"/>
      <c r="CK760" s="1196"/>
      <c r="CL760" s="1196"/>
    </row>
    <row r="761" spans="1:90" s="1183" customFormat="1" ht="28.5" customHeight="1" x14ac:dyDescent="0.25">
      <c r="A761" s="1183" t="s">
        <v>4704</v>
      </c>
      <c r="B761" s="1184">
        <v>45015</v>
      </c>
      <c r="C761" s="1185">
        <v>0.91666666666666663</v>
      </c>
      <c r="D761" s="1510" t="s">
        <v>5242</v>
      </c>
      <c r="E761" s="1511"/>
      <c r="F761" s="1511"/>
      <c r="G761" s="1511"/>
      <c r="H761" s="1511"/>
      <c r="I761" s="1511"/>
      <c r="J761" s="1511"/>
      <c r="K761" s="1511"/>
      <c r="L761" s="1511"/>
      <c r="M761" s="1511"/>
      <c r="N761" s="1511"/>
      <c r="O761" s="1511"/>
      <c r="P761" s="1511"/>
      <c r="Q761" s="1511"/>
      <c r="R761" s="1511"/>
      <c r="S761" s="1512"/>
      <c r="T761" s="1194" t="s">
        <v>23</v>
      </c>
      <c r="U761" s="813" t="s">
        <v>4320</v>
      </c>
      <c r="V761" s="1195"/>
      <c r="W761" s="1196"/>
      <c r="X761" s="1196"/>
      <c r="Y761" s="1196"/>
      <c r="Z761" s="1196"/>
      <c r="AA761" s="1196"/>
      <c r="AB761" s="1196"/>
      <c r="AC761" s="1196"/>
      <c r="AD761" s="1196"/>
      <c r="AE761" s="1196"/>
      <c r="AF761" s="1196"/>
      <c r="AG761" s="1196"/>
      <c r="AH761" s="1196"/>
      <c r="AI761" s="1196"/>
      <c r="AJ761" s="1196"/>
      <c r="AK761" s="1196"/>
      <c r="AL761" s="1196"/>
      <c r="AM761" s="1196"/>
      <c r="AN761" s="1196"/>
      <c r="AO761" s="1196"/>
      <c r="AP761" s="1196"/>
      <c r="AQ761" s="1196"/>
      <c r="AR761" s="1196"/>
      <c r="AS761" s="1196"/>
      <c r="AT761" s="1196"/>
      <c r="AU761" s="1196"/>
      <c r="AV761" s="1196"/>
      <c r="AW761" s="1196"/>
      <c r="AX761" s="1196"/>
      <c r="AY761" s="1196"/>
      <c r="AZ761" s="1196"/>
      <c r="BA761" s="1196"/>
      <c r="BB761" s="1196"/>
      <c r="BC761" s="1196"/>
      <c r="BD761" s="1196"/>
      <c r="BE761" s="1196"/>
      <c r="BF761" s="1196"/>
      <c r="BG761" s="1196"/>
      <c r="BH761" s="1196"/>
      <c r="BI761" s="1196"/>
      <c r="BJ761" s="1196"/>
      <c r="BK761" s="1196"/>
      <c r="BL761" s="1196"/>
      <c r="BM761" s="1196"/>
      <c r="BN761" s="1196"/>
      <c r="BO761" s="1196"/>
      <c r="BP761" s="1196"/>
      <c r="BQ761" s="1196"/>
      <c r="BR761" s="1196"/>
      <c r="BS761" s="1196"/>
      <c r="BT761" s="1196"/>
      <c r="BU761" s="1196"/>
      <c r="BV761" s="1196"/>
      <c r="BW761" s="1196"/>
      <c r="BX761" s="1196"/>
      <c r="BY761" s="1196"/>
      <c r="BZ761" s="1196"/>
      <c r="CA761" s="1196"/>
      <c r="CB761" s="1196"/>
      <c r="CC761" s="1196"/>
      <c r="CD761" s="1196"/>
      <c r="CE761" s="1196"/>
      <c r="CF761" s="1196"/>
      <c r="CG761" s="1196"/>
      <c r="CH761" s="1196"/>
      <c r="CI761" s="1196"/>
      <c r="CJ761" s="1196"/>
      <c r="CK761" s="1196"/>
      <c r="CL761" s="1196"/>
    </row>
    <row r="762" spans="1:90" s="1183" customFormat="1" ht="28.5" customHeight="1" x14ac:dyDescent="0.25">
      <c r="A762" s="1183" t="s">
        <v>4704</v>
      </c>
      <c r="B762" s="1184">
        <v>45016</v>
      </c>
      <c r="C762" s="1185">
        <v>0.91666666666666663</v>
      </c>
      <c r="D762" s="1510" t="s">
        <v>5242</v>
      </c>
      <c r="E762" s="1511"/>
      <c r="F762" s="1511"/>
      <c r="G762" s="1511"/>
      <c r="H762" s="1511"/>
      <c r="I762" s="1511"/>
      <c r="J762" s="1511"/>
      <c r="K762" s="1511"/>
      <c r="L762" s="1511"/>
      <c r="M762" s="1511"/>
      <c r="N762" s="1511"/>
      <c r="O762" s="1511"/>
      <c r="P762" s="1511"/>
      <c r="Q762" s="1511"/>
      <c r="R762" s="1511"/>
      <c r="S762" s="1512"/>
      <c r="T762" s="1194" t="s">
        <v>23</v>
      </c>
      <c r="U762" s="813" t="s">
        <v>4320</v>
      </c>
      <c r="V762" s="1195"/>
      <c r="W762" s="1196"/>
      <c r="X762" s="1196"/>
      <c r="Y762" s="1196"/>
      <c r="Z762" s="1196"/>
      <c r="AA762" s="1196"/>
      <c r="AB762" s="1196"/>
      <c r="AC762" s="1196"/>
      <c r="AD762" s="1196"/>
      <c r="AE762" s="1196"/>
      <c r="AF762" s="1196"/>
      <c r="AG762" s="1196"/>
      <c r="AH762" s="1196"/>
      <c r="AI762" s="1196"/>
      <c r="AJ762" s="1196"/>
      <c r="AK762" s="1196"/>
      <c r="AL762" s="1196"/>
      <c r="AM762" s="1196"/>
      <c r="AN762" s="1196"/>
      <c r="AO762" s="1196"/>
      <c r="AP762" s="1196"/>
      <c r="AQ762" s="1196"/>
      <c r="AR762" s="1196"/>
      <c r="AS762" s="1196"/>
      <c r="AT762" s="1196"/>
      <c r="AU762" s="1196"/>
      <c r="AV762" s="1196"/>
      <c r="AW762" s="1196"/>
      <c r="AX762" s="1196"/>
      <c r="AY762" s="1196"/>
      <c r="AZ762" s="1196"/>
      <c r="BA762" s="1196"/>
      <c r="BB762" s="1196"/>
      <c r="BC762" s="1196"/>
      <c r="BD762" s="1196"/>
      <c r="BE762" s="1196"/>
      <c r="BF762" s="1196"/>
      <c r="BG762" s="1196"/>
      <c r="BH762" s="1196"/>
      <c r="BI762" s="1196"/>
      <c r="BJ762" s="1196"/>
      <c r="BK762" s="1196"/>
      <c r="BL762" s="1196"/>
      <c r="BM762" s="1196"/>
      <c r="BN762" s="1196"/>
      <c r="BO762" s="1196"/>
      <c r="BP762" s="1196"/>
      <c r="BQ762" s="1196"/>
      <c r="BR762" s="1196"/>
      <c r="BS762" s="1196"/>
      <c r="BT762" s="1196"/>
      <c r="BU762" s="1196"/>
      <c r="BV762" s="1196"/>
      <c r="BW762" s="1196"/>
      <c r="BX762" s="1196"/>
      <c r="BY762" s="1196"/>
      <c r="BZ762" s="1196"/>
      <c r="CA762" s="1196"/>
      <c r="CB762" s="1196"/>
      <c r="CC762" s="1196"/>
      <c r="CD762" s="1196"/>
      <c r="CE762" s="1196"/>
      <c r="CF762" s="1196"/>
      <c r="CG762" s="1196"/>
      <c r="CH762" s="1196"/>
      <c r="CI762" s="1196"/>
      <c r="CJ762" s="1196"/>
      <c r="CK762" s="1196"/>
      <c r="CL762" s="1196"/>
    </row>
    <row r="763" spans="1:90" s="1183" customFormat="1" ht="28.5" customHeight="1" x14ac:dyDescent="0.25">
      <c r="A763" s="1183" t="s">
        <v>4704</v>
      </c>
      <c r="B763" s="1184">
        <v>45017</v>
      </c>
      <c r="C763" s="1185">
        <v>0.95833333333333337</v>
      </c>
      <c r="D763" s="1186">
        <v>52</v>
      </c>
      <c r="E763" s="1187">
        <v>11.2</v>
      </c>
      <c r="F763" s="1188">
        <v>15.4</v>
      </c>
      <c r="G763" s="1189">
        <v>1083</v>
      </c>
      <c r="H763" s="1189">
        <v>1946</v>
      </c>
      <c r="I763" s="1189">
        <v>98.7</v>
      </c>
      <c r="J763" s="1190">
        <v>112</v>
      </c>
      <c r="K763" s="1190" t="s">
        <v>5254</v>
      </c>
      <c r="L763" s="1187">
        <v>38.33</v>
      </c>
      <c r="M763" s="1187">
        <v>41</v>
      </c>
      <c r="N763" s="1187">
        <v>52.6</v>
      </c>
      <c r="O763" s="1191" t="s">
        <v>142</v>
      </c>
      <c r="P763" s="1191" t="s">
        <v>142</v>
      </c>
      <c r="Q763" s="1192" t="s">
        <v>142</v>
      </c>
      <c r="R763" s="1191" t="s">
        <v>5255</v>
      </c>
      <c r="S763" s="1193">
        <v>65.8</v>
      </c>
      <c r="T763" s="1194" t="s">
        <v>23</v>
      </c>
      <c r="U763" s="813" t="s">
        <v>4320</v>
      </c>
      <c r="V763" s="1195"/>
      <c r="W763" s="1196"/>
      <c r="X763" s="1196"/>
      <c r="Y763" s="1196"/>
      <c r="Z763" s="1196"/>
      <c r="AA763" s="1196"/>
      <c r="AB763" s="1196"/>
      <c r="AC763" s="1196"/>
      <c r="AD763" s="1196"/>
      <c r="AE763" s="1196"/>
      <c r="AF763" s="1196"/>
      <c r="AG763" s="1196"/>
      <c r="AH763" s="1196"/>
      <c r="AI763" s="1196"/>
      <c r="AJ763" s="1196"/>
      <c r="AK763" s="1196"/>
      <c r="AL763" s="1196"/>
      <c r="AM763" s="1196"/>
      <c r="AN763" s="1196"/>
      <c r="AO763" s="1196"/>
      <c r="AP763" s="1196"/>
      <c r="AQ763" s="1196"/>
      <c r="AR763" s="1196"/>
      <c r="AS763" s="1196"/>
      <c r="AT763" s="1196"/>
      <c r="AU763" s="1196"/>
      <c r="AV763" s="1196"/>
      <c r="AW763" s="1196"/>
      <c r="AX763" s="1196"/>
      <c r="AY763" s="1196"/>
      <c r="AZ763" s="1196"/>
      <c r="BA763" s="1196"/>
      <c r="BB763" s="1196"/>
      <c r="BC763" s="1196"/>
      <c r="BD763" s="1196"/>
      <c r="BE763" s="1196"/>
      <c r="BF763" s="1196"/>
      <c r="BG763" s="1196"/>
      <c r="BH763" s="1196"/>
      <c r="BI763" s="1196"/>
      <c r="BJ763" s="1196"/>
      <c r="BK763" s="1196"/>
      <c r="BL763" s="1196"/>
      <c r="BM763" s="1196"/>
      <c r="BN763" s="1196"/>
      <c r="BO763" s="1196"/>
      <c r="BP763" s="1196"/>
      <c r="BQ763" s="1196"/>
      <c r="BR763" s="1196"/>
      <c r="BS763" s="1196"/>
      <c r="BT763" s="1196"/>
      <c r="BU763" s="1196"/>
      <c r="BV763" s="1196"/>
      <c r="BW763" s="1196"/>
      <c r="BX763" s="1196"/>
      <c r="BY763" s="1196"/>
      <c r="BZ763" s="1196"/>
      <c r="CA763" s="1196"/>
      <c r="CB763" s="1196"/>
      <c r="CC763" s="1196"/>
      <c r="CD763" s="1196"/>
      <c r="CE763" s="1196"/>
      <c r="CF763" s="1196"/>
      <c r="CG763" s="1196"/>
      <c r="CH763" s="1196"/>
      <c r="CI763" s="1196"/>
      <c r="CJ763" s="1196"/>
      <c r="CK763" s="1196"/>
      <c r="CL763" s="1196"/>
    </row>
    <row r="764" spans="1:90" s="1183" customFormat="1" ht="28.5" customHeight="1" x14ac:dyDescent="0.25">
      <c r="A764" s="1183" t="s">
        <v>4704</v>
      </c>
      <c r="B764" s="1184">
        <v>45018</v>
      </c>
      <c r="C764" s="1185">
        <v>0.95833333333333337</v>
      </c>
      <c r="D764" s="1510" t="s">
        <v>5257</v>
      </c>
      <c r="E764" s="1511"/>
      <c r="F764" s="1511"/>
      <c r="G764" s="1511"/>
      <c r="H764" s="1511"/>
      <c r="I764" s="1511"/>
      <c r="J764" s="1511"/>
      <c r="K764" s="1511"/>
      <c r="L764" s="1511"/>
      <c r="M764" s="1511"/>
      <c r="N764" s="1511"/>
      <c r="O764" s="1511"/>
      <c r="P764" s="1511"/>
      <c r="Q764" s="1511"/>
      <c r="R764" s="1511"/>
      <c r="S764" s="1512"/>
      <c r="T764" s="1194" t="s">
        <v>23</v>
      </c>
      <c r="U764" s="813" t="s">
        <v>4320</v>
      </c>
      <c r="V764" s="1195"/>
      <c r="W764" s="1196"/>
      <c r="X764" s="1196"/>
      <c r="Y764" s="1196"/>
      <c r="Z764" s="1196"/>
      <c r="AA764" s="1196"/>
      <c r="AB764" s="1196"/>
      <c r="AC764" s="1196"/>
      <c r="AD764" s="1196"/>
      <c r="AE764" s="1196"/>
      <c r="AF764" s="1196"/>
      <c r="AG764" s="1196"/>
      <c r="AH764" s="1196"/>
      <c r="AI764" s="1196"/>
      <c r="AJ764" s="1196"/>
      <c r="AK764" s="1196"/>
      <c r="AL764" s="1196"/>
      <c r="AM764" s="1196"/>
      <c r="AN764" s="1196"/>
      <c r="AO764" s="1196"/>
      <c r="AP764" s="1196"/>
      <c r="AQ764" s="1196"/>
      <c r="AR764" s="1196"/>
      <c r="AS764" s="1196"/>
      <c r="AT764" s="1196"/>
      <c r="AU764" s="1196"/>
      <c r="AV764" s="1196"/>
      <c r="AW764" s="1196"/>
      <c r="AX764" s="1196"/>
      <c r="AY764" s="1196"/>
      <c r="AZ764" s="1196"/>
      <c r="BA764" s="1196"/>
      <c r="BB764" s="1196"/>
      <c r="BC764" s="1196"/>
      <c r="BD764" s="1196"/>
      <c r="BE764" s="1196"/>
      <c r="BF764" s="1196"/>
      <c r="BG764" s="1196"/>
      <c r="BH764" s="1196"/>
      <c r="BI764" s="1196"/>
      <c r="BJ764" s="1196"/>
      <c r="BK764" s="1196"/>
      <c r="BL764" s="1196"/>
      <c r="BM764" s="1196"/>
      <c r="BN764" s="1196"/>
      <c r="BO764" s="1196"/>
      <c r="BP764" s="1196"/>
      <c r="BQ764" s="1196"/>
      <c r="BR764" s="1196"/>
      <c r="BS764" s="1196"/>
      <c r="BT764" s="1196"/>
      <c r="BU764" s="1196"/>
      <c r="BV764" s="1196"/>
      <c r="BW764" s="1196"/>
      <c r="BX764" s="1196"/>
      <c r="BY764" s="1196"/>
      <c r="BZ764" s="1196"/>
      <c r="CA764" s="1196"/>
      <c r="CB764" s="1196"/>
      <c r="CC764" s="1196"/>
      <c r="CD764" s="1196"/>
      <c r="CE764" s="1196"/>
      <c r="CF764" s="1196"/>
      <c r="CG764" s="1196"/>
      <c r="CH764" s="1196"/>
      <c r="CI764" s="1196"/>
      <c r="CJ764" s="1196"/>
      <c r="CK764" s="1196"/>
      <c r="CL764" s="1196"/>
    </row>
    <row r="765" spans="1:90" s="1183" customFormat="1" ht="28.5" customHeight="1" x14ac:dyDescent="0.25">
      <c r="A765" s="1183" t="s">
        <v>4704</v>
      </c>
      <c r="B765" s="1184">
        <v>45019</v>
      </c>
      <c r="C765" s="1185">
        <v>0.95833333333333337</v>
      </c>
      <c r="D765" s="1510" t="s">
        <v>5279</v>
      </c>
      <c r="E765" s="1511"/>
      <c r="F765" s="1511"/>
      <c r="G765" s="1511"/>
      <c r="H765" s="1511"/>
      <c r="I765" s="1511"/>
      <c r="J765" s="1511"/>
      <c r="K765" s="1511"/>
      <c r="L765" s="1511"/>
      <c r="M765" s="1511"/>
      <c r="N765" s="1511"/>
      <c r="O765" s="1511"/>
      <c r="P765" s="1511"/>
      <c r="Q765" s="1511"/>
      <c r="R765" s="1511"/>
      <c r="S765" s="1512"/>
      <c r="T765" s="1194" t="s">
        <v>23</v>
      </c>
      <c r="U765" s="813" t="s">
        <v>4320</v>
      </c>
      <c r="V765" s="1195"/>
      <c r="W765" s="1196"/>
      <c r="X765" s="1196"/>
      <c r="Y765" s="1196"/>
      <c r="Z765" s="1196"/>
      <c r="AA765" s="1196"/>
      <c r="AB765" s="1196"/>
      <c r="AC765" s="1196"/>
      <c r="AD765" s="1196"/>
      <c r="AE765" s="1196"/>
      <c r="AF765" s="1196"/>
      <c r="AG765" s="1196"/>
      <c r="AH765" s="1196"/>
      <c r="AI765" s="1196"/>
      <c r="AJ765" s="1196"/>
      <c r="AK765" s="1196"/>
      <c r="AL765" s="1196"/>
      <c r="AM765" s="1196"/>
      <c r="AN765" s="1196"/>
      <c r="AO765" s="1196"/>
      <c r="AP765" s="1196"/>
      <c r="AQ765" s="1196"/>
      <c r="AR765" s="1196"/>
      <c r="AS765" s="1196"/>
      <c r="AT765" s="1196"/>
      <c r="AU765" s="1196"/>
      <c r="AV765" s="1196"/>
      <c r="AW765" s="1196"/>
      <c r="AX765" s="1196"/>
      <c r="AY765" s="1196"/>
      <c r="AZ765" s="1196"/>
      <c r="BA765" s="1196"/>
      <c r="BB765" s="1196"/>
      <c r="BC765" s="1196"/>
      <c r="BD765" s="1196"/>
      <c r="BE765" s="1196"/>
      <c r="BF765" s="1196"/>
      <c r="BG765" s="1196"/>
      <c r="BH765" s="1196"/>
      <c r="BI765" s="1196"/>
      <c r="BJ765" s="1196"/>
      <c r="BK765" s="1196"/>
      <c r="BL765" s="1196"/>
      <c r="BM765" s="1196"/>
      <c r="BN765" s="1196"/>
      <c r="BO765" s="1196"/>
      <c r="BP765" s="1196"/>
      <c r="BQ765" s="1196"/>
      <c r="BR765" s="1196"/>
      <c r="BS765" s="1196"/>
      <c r="BT765" s="1196"/>
      <c r="BU765" s="1196"/>
      <c r="BV765" s="1196"/>
      <c r="BW765" s="1196"/>
      <c r="BX765" s="1196"/>
      <c r="BY765" s="1196"/>
      <c r="BZ765" s="1196"/>
      <c r="CA765" s="1196"/>
      <c r="CB765" s="1196"/>
      <c r="CC765" s="1196"/>
      <c r="CD765" s="1196"/>
      <c r="CE765" s="1196"/>
      <c r="CF765" s="1196"/>
      <c r="CG765" s="1196"/>
      <c r="CH765" s="1196"/>
      <c r="CI765" s="1196"/>
      <c r="CJ765" s="1196"/>
      <c r="CK765" s="1196"/>
      <c r="CL765" s="1196"/>
    </row>
    <row r="766" spans="1:90" s="1183" customFormat="1" ht="28.5" customHeight="1" x14ac:dyDescent="0.25">
      <c r="A766" s="1183" t="s">
        <v>4704</v>
      </c>
      <c r="B766" s="1184">
        <v>45020</v>
      </c>
      <c r="C766" s="1185">
        <v>0.95833333333333337</v>
      </c>
      <c r="D766" s="1186">
        <v>52</v>
      </c>
      <c r="E766" s="1187">
        <v>8.4</v>
      </c>
      <c r="F766" s="1188">
        <v>13.6</v>
      </c>
      <c r="G766" s="1189">
        <v>1094</v>
      </c>
      <c r="H766" s="1189">
        <v>1941</v>
      </c>
      <c r="I766" s="1189">
        <v>98.5</v>
      </c>
      <c r="J766" s="1190">
        <v>111</v>
      </c>
      <c r="K766" s="1190" t="s">
        <v>5284</v>
      </c>
      <c r="L766" s="1187">
        <v>38.83</v>
      </c>
      <c r="M766" s="1187">
        <v>42</v>
      </c>
      <c r="N766" s="1187">
        <v>49.2</v>
      </c>
      <c r="O766" s="1191" t="s">
        <v>142</v>
      </c>
      <c r="P766" s="1191" t="s">
        <v>142</v>
      </c>
      <c r="Q766" s="1192" t="s">
        <v>142</v>
      </c>
      <c r="R766" s="1191" t="s">
        <v>5285</v>
      </c>
      <c r="S766" s="1193">
        <v>58.1</v>
      </c>
      <c r="T766" s="1194" t="s">
        <v>23</v>
      </c>
      <c r="U766" s="813" t="s">
        <v>4320</v>
      </c>
      <c r="V766" s="1195"/>
      <c r="W766" s="1196"/>
      <c r="X766" s="1196"/>
      <c r="Y766" s="1196"/>
      <c r="Z766" s="1196"/>
      <c r="AA766" s="1196"/>
      <c r="AB766" s="1196"/>
      <c r="AC766" s="1196"/>
      <c r="AD766" s="1196"/>
      <c r="AE766" s="1196"/>
      <c r="AF766" s="1196"/>
      <c r="AG766" s="1196"/>
      <c r="AH766" s="1196"/>
      <c r="AI766" s="1196"/>
      <c r="AJ766" s="1196"/>
      <c r="AK766" s="1196"/>
      <c r="AL766" s="1196"/>
      <c r="AM766" s="1196"/>
      <c r="AN766" s="1196"/>
      <c r="AO766" s="1196"/>
      <c r="AP766" s="1196"/>
      <c r="AQ766" s="1196"/>
      <c r="AR766" s="1196"/>
      <c r="AS766" s="1196"/>
      <c r="AT766" s="1196"/>
      <c r="AU766" s="1196"/>
      <c r="AV766" s="1196"/>
      <c r="AW766" s="1196"/>
      <c r="AX766" s="1196"/>
      <c r="AY766" s="1196"/>
      <c r="AZ766" s="1196"/>
      <c r="BA766" s="1196"/>
      <c r="BB766" s="1196"/>
      <c r="BC766" s="1196"/>
      <c r="BD766" s="1196"/>
      <c r="BE766" s="1196"/>
      <c r="BF766" s="1196"/>
      <c r="BG766" s="1196"/>
      <c r="BH766" s="1196"/>
      <c r="BI766" s="1196"/>
      <c r="BJ766" s="1196"/>
      <c r="BK766" s="1196"/>
      <c r="BL766" s="1196"/>
      <c r="BM766" s="1196"/>
      <c r="BN766" s="1196"/>
      <c r="BO766" s="1196"/>
      <c r="BP766" s="1196"/>
      <c r="BQ766" s="1196"/>
      <c r="BR766" s="1196"/>
      <c r="BS766" s="1196"/>
      <c r="BT766" s="1196"/>
      <c r="BU766" s="1196"/>
      <c r="BV766" s="1196"/>
      <c r="BW766" s="1196"/>
      <c r="BX766" s="1196"/>
      <c r="BY766" s="1196"/>
      <c r="BZ766" s="1196"/>
      <c r="CA766" s="1196"/>
      <c r="CB766" s="1196"/>
      <c r="CC766" s="1196"/>
      <c r="CD766" s="1196"/>
      <c r="CE766" s="1196"/>
      <c r="CF766" s="1196"/>
      <c r="CG766" s="1196"/>
      <c r="CH766" s="1196"/>
      <c r="CI766" s="1196"/>
      <c r="CJ766" s="1196"/>
      <c r="CK766" s="1196"/>
      <c r="CL766" s="1196"/>
    </row>
    <row r="767" spans="1:90" s="1183" customFormat="1" ht="28.5" customHeight="1" x14ac:dyDescent="0.25">
      <c r="A767" s="1183" t="s">
        <v>4704</v>
      </c>
      <c r="B767" s="1184">
        <v>45021</v>
      </c>
      <c r="C767" s="1185">
        <v>0.95833333333333337</v>
      </c>
      <c r="D767" s="1186">
        <v>52</v>
      </c>
      <c r="E767" s="1187">
        <v>11.1</v>
      </c>
      <c r="F767" s="1188">
        <v>15.2</v>
      </c>
      <c r="G767" s="1189">
        <v>1129</v>
      </c>
      <c r="H767" s="1189">
        <v>2069</v>
      </c>
      <c r="I767" s="1189">
        <v>98.6</v>
      </c>
      <c r="J767" s="1190">
        <v>110.5</v>
      </c>
      <c r="K767" s="1190" t="s">
        <v>5296</v>
      </c>
      <c r="L767" s="1187">
        <v>42.14</v>
      </c>
      <c r="M767" s="1187">
        <v>42</v>
      </c>
      <c r="N767" s="1187">
        <v>48.31</v>
      </c>
      <c r="O767" s="1191" t="s">
        <v>142</v>
      </c>
      <c r="P767" s="1191" t="s">
        <v>142</v>
      </c>
      <c r="Q767" s="1192" t="s">
        <v>142</v>
      </c>
      <c r="R767" s="1191" t="s">
        <v>2166</v>
      </c>
      <c r="S767" s="1193">
        <v>64.900000000000006</v>
      </c>
      <c r="T767" s="1194" t="s">
        <v>23</v>
      </c>
      <c r="U767" s="813" t="s">
        <v>4320</v>
      </c>
      <c r="V767" s="1195" t="s">
        <v>415</v>
      </c>
      <c r="W767" s="1196"/>
      <c r="X767" s="1196"/>
      <c r="Y767" s="1196"/>
      <c r="Z767" s="1196"/>
      <c r="AA767" s="1196"/>
      <c r="AB767" s="1196"/>
      <c r="AC767" s="1196"/>
      <c r="AD767" s="1196"/>
      <c r="AE767" s="1196"/>
      <c r="AF767" s="1196"/>
      <c r="AG767" s="1196"/>
      <c r="AH767" s="1196"/>
      <c r="AI767" s="1196"/>
      <c r="AJ767" s="1196"/>
      <c r="AK767" s="1196"/>
      <c r="AL767" s="1196"/>
      <c r="AM767" s="1196"/>
      <c r="AN767" s="1196"/>
      <c r="AO767" s="1196"/>
      <c r="AP767" s="1196"/>
      <c r="AQ767" s="1196"/>
      <c r="AR767" s="1196"/>
      <c r="AS767" s="1196"/>
      <c r="AT767" s="1196"/>
      <c r="AU767" s="1196"/>
      <c r="AV767" s="1196"/>
      <c r="AW767" s="1196"/>
      <c r="AX767" s="1196"/>
      <c r="AY767" s="1196"/>
      <c r="AZ767" s="1196"/>
      <c r="BA767" s="1196"/>
      <c r="BB767" s="1196"/>
      <c r="BC767" s="1196"/>
      <c r="BD767" s="1196"/>
      <c r="BE767" s="1196"/>
      <c r="BF767" s="1196"/>
      <c r="BG767" s="1196"/>
      <c r="BH767" s="1196"/>
      <c r="BI767" s="1196"/>
      <c r="BJ767" s="1196"/>
      <c r="BK767" s="1196"/>
      <c r="BL767" s="1196"/>
      <c r="BM767" s="1196"/>
      <c r="BN767" s="1196"/>
      <c r="BO767" s="1196"/>
      <c r="BP767" s="1196"/>
      <c r="BQ767" s="1196"/>
      <c r="BR767" s="1196"/>
      <c r="BS767" s="1196"/>
      <c r="BT767" s="1196"/>
      <c r="BU767" s="1196"/>
      <c r="BV767" s="1196"/>
      <c r="BW767" s="1196"/>
      <c r="BX767" s="1196"/>
      <c r="BY767" s="1196"/>
      <c r="BZ767" s="1196"/>
      <c r="CA767" s="1196"/>
      <c r="CB767" s="1196"/>
      <c r="CC767" s="1196"/>
      <c r="CD767" s="1196"/>
      <c r="CE767" s="1196"/>
      <c r="CF767" s="1196"/>
      <c r="CG767" s="1196"/>
      <c r="CH767" s="1196"/>
      <c r="CI767" s="1196"/>
      <c r="CJ767" s="1196"/>
      <c r="CK767" s="1196"/>
      <c r="CL767" s="1196"/>
    </row>
    <row r="768" spans="1:90" s="1183" customFormat="1" ht="28.5" customHeight="1" x14ac:dyDescent="0.25">
      <c r="A768" s="1183" t="s">
        <v>4704</v>
      </c>
      <c r="B768" s="1184">
        <v>45022</v>
      </c>
      <c r="C768" s="1185">
        <v>0.91666666666666663</v>
      </c>
      <c r="D768" s="1186">
        <v>52</v>
      </c>
      <c r="E768" s="1187">
        <v>10.7</v>
      </c>
      <c r="F768" s="1188">
        <v>14.9</v>
      </c>
      <c r="G768" s="1189">
        <v>1086</v>
      </c>
      <c r="H768" s="1189">
        <v>2020</v>
      </c>
      <c r="I768" s="1189">
        <v>99</v>
      </c>
      <c r="J768" s="1190">
        <v>111.6</v>
      </c>
      <c r="K768" s="1190" t="s">
        <v>5303</v>
      </c>
      <c r="L768" s="1187">
        <v>38.97</v>
      </c>
      <c r="M768" s="1187">
        <v>42</v>
      </c>
      <c r="N768" s="1187">
        <v>50</v>
      </c>
      <c r="O768" s="1191" t="s">
        <v>142</v>
      </c>
      <c r="P768" s="1191" t="s">
        <v>142</v>
      </c>
      <c r="Q768" s="1192" t="s">
        <v>142</v>
      </c>
      <c r="R768" s="1191" t="s">
        <v>1029</v>
      </c>
      <c r="S768" s="1193">
        <v>63.6</v>
      </c>
      <c r="T768" s="1194" t="s">
        <v>23</v>
      </c>
      <c r="U768" s="813" t="s">
        <v>4320</v>
      </c>
      <c r="V768" s="1195"/>
      <c r="W768" s="1196"/>
      <c r="X768" s="1196"/>
      <c r="Y768" s="1196"/>
      <c r="Z768" s="1196"/>
      <c r="AA768" s="1196"/>
      <c r="AB768" s="1196"/>
      <c r="AC768" s="1196"/>
      <c r="AD768" s="1196"/>
      <c r="AE768" s="1196"/>
      <c r="AF768" s="1196"/>
      <c r="AG768" s="1196"/>
      <c r="AH768" s="1196"/>
      <c r="AI768" s="1196"/>
      <c r="AJ768" s="1196"/>
      <c r="AK768" s="1196"/>
      <c r="AL768" s="1196"/>
      <c r="AM768" s="1196"/>
      <c r="AN768" s="1196"/>
      <c r="AO768" s="1196"/>
      <c r="AP768" s="1196"/>
      <c r="AQ768" s="1196"/>
      <c r="AR768" s="1196"/>
      <c r="AS768" s="1196"/>
      <c r="AT768" s="1196"/>
      <c r="AU768" s="1196"/>
      <c r="AV768" s="1196"/>
      <c r="AW768" s="1196"/>
      <c r="AX768" s="1196"/>
      <c r="AY768" s="1196"/>
      <c r="AZ768" s="1196"/>
      <c r="BA768" s="1196"/>
      <c r="BB768" s="1196"/>
      <c r="BC768" s="1196"/>
      <c r="BD768" s="1196"/>
      <c r="BE768" s="1196"/>
      <c r="BF768" s="1196"/>
      <c r="BG768" s="1196"/>
      <c r="BH768" s="1196"/>
      <c r="BI768" s="1196"/>
      <c r="BJ768" s="1196"/>
      <c r="BK768" s="1196"/>
      <c r="BL768" s="1196"/>
      <c r="BM768" s="1196"/>
      <c r="BN768" s="1196"/>
      <c r="BO768" s="1196"/>
      <c r="BP768" s="1196"/>
      <c r="BQ768" s="1196"/>
      <c r="BR768" s="1196"/>
      <c r="BS768" s="1196"/>
      <c r="BT768" s="1196"/>
      <c r="BU768" s="1196"/>
      <c r="BV768" s="1196"/>
      <c r="BW768" s="1196"/>
      <c r="BX768" s="1196"/>
      <c r="BY768" s="1196"/>
      <c r="BZ768" s="1196"/>
      <c r="CA768" s="1196"/>
      <c r="CB768" s="1196"/>
      <c r="CC768" s="1196"/>
      <c r="CD768" s="1196"/>
      <c r="CE768" s="1196"/>
      <c r="CF768" s="1196"/>
      <c r="CG768" s="1196"/>
      <c r="CH768" s="1196"/>
      <c r="CI768" s="1196"/>
      <c r="CJ768" s="1196"/>
      <c r="CK768" s="1196"/>
      <c r="CL768" s="1196"/>
    </row>
    <row r="769" spans="1:90" s="1183" customFormat="1" ht="28.5" customHeight="1" x14ac:dyDescent="0.25">
      <c r="A769" s="1183" t="s">
        <v>4704</v>
      </c>
      <c r="B769" s="1184">
        <v>45023</v>
      </c>
      <c r="C769" s="1185">
        <v>0.95833333333333337</v>
      </c>
      <c r="D769" s="1186">
        <v>52</v>
      </c>
      <c r="E769" s="1187">
        <v>10.7</v>
      </c>
      <c r="F769" s="1188">
        <v>15.1</v>
      </c>
      <c r="G769" s="1189">
        <v>1074</v>
      </c>
      <c r="H769" s="1189">
        <v>1907</v>
      </c>
      <c r="I769" s="1189">
        <v>98.8</v>
      </c>
      <c r="J769" s="1190">
        <v>100.5</v>
      </c>
      <c r="K769" s="1190" t="s">
        <v>5313</v>
      </c>
      <c r="L769" s="1187">
        <v>37.67</v>
      </c>
      <c r="M769" s="1187">
        <v>41</v>
      </c>
      <c r="N769" s="1187">
        <v>52.98</v>
      </c>
      <c r="O769" s="1191" t="s">
        <v>142</v>
      </c>
      <c r="P769" s="1191" t="s">
        <v>142</v>
      </c>
      <c r="Q769" s="1192" t="s">
        <v>142</v>
      </c>
      <c r="R769" s="1191" t="s">
        <v>2019</v>
      </c>
      <c r="S769" s="1193">
        <v>63.2</v>
      </c>
      <c r="T769" s="1194" t="s">
        <v>23</v>
      </c>
      <c r="U769" s="813" t="s">
        <v>4320</v>
      </c>
      <c r="V769" s="1195"/>
      <c r="W769" s="1196"/>
      <c r="X769" s="1196"/>
      <c r="Y769" s="1196"/>
      <c r="Z769" s="1196"/>
      <c r="AA769" s="1196"/>
      <c r="AB769" s="1196"/>
      <c r="AC769" s="1196"/>
      <c r="AD769" s="1196"/>
      <c r="AE769" s="1196"/>
      <c r="AF769" s="1196"/>
      <c r="AG769" s="1196"/>
      <c r="AH769" s="1196"/>
      <c r="AI769" s="1196"/>
      <c r="AJ769" s="1196"/>
      <c r="AK769" s="1196"/>
      <c r="AL769" s="1196"/>
      <c r="AM769" s="1196"/>
      <c r="AN769" s="1196"/>
      <c r="AO769" s="1196"/>
      <c r="AP769" s="1196"/>
      <c r="AQ769" s="1196"/>
      <c r="AR769" s="1196"/>
      <c r="AS769" s="1196"/>
      <c r="AT769" s="1196"/>
      <c r="AU769" s="1196"/>
      <c r="AV769" s="1196"/>
      <c r="AW769" s="1196"/>
      <c r="AX769" s="1196"/>
      <c r="AY769" s="1196"/>
      <c r="AZ769" s="1196"/>
      <c r="BA769" s="1196"/>
      <c r="BB769" s="1196"/>
      <c r="BC769" s="1196"/>
      <c r="BD769" s="1196"/>
      <c r="BE769" s="1196"/>
      <c r="BF769" s="1196"/>
      <c r="BG769" s="1196"/>
      <c r="BH769" s="1196"/>
      <c r="BI769" s="1196"/>
      <c r="BJ769" s="1196"/>
      <c r="BK769" s="1196"/>
      <c r="BL769" s="1196"/>
      <c r="BM769" s="1196"/>
      <c r="BN769" s="1196"/>
      <c r="BO769" s="1196"/>
      <c r="BP769" s="1196"/>
      <c r="BQ769" s="1196"/>
      <c r="BR769" s="1196"/>
      <c r="BS769" s="1196"/>
      <c r="BT769" s="1196"/>
      <c r="BU769" s="1196"/>
      <c r="BV769" s="1196"/>
      <c r="BW769" s="1196"/>
      <c r="BX769" s="1196"/>
      <c r="BY769" s="1196"/>
      <c r="BZ769" s="1196"/>
      <c r="CA769" s="1196"/>
      <c r="CB769" s="1196"/>
      <c r="CC769" s="1196"/>
      <c r="CD769" s="1196"/>
      <c r="CE769" s="1196"/>
      <c r="CF769" s="1196"/>
      <c r="CG769" s="1196"/>
      <c r="CH769" s="1196"/>
      <c r="CI769" s="1196"/>
      <c r="CJ769" s="1196"/>
      <c r="CK769" s="1196"/>
      <c r="CL769" s="1196"/>
    </row>
    <row r="770" spans="1:90" s="1183" customFormat="1" ht="28.5" customHeight="1" x14ac:dyDescent="0.25">
      <c r="A770" s="1183" t="s">
        <v>4704</v>
      </c>
      <c r="B770" s="1184">
        <v>45024</v>
      </c>
      <c r="C770" s="1185">
        <v>0.91666666666666663</v>
      </c>
      <c r="D770" s="1186">
        <v>52</v>
      </c>
      <c r="E770" s="1187">
        <v>13.3</v>
      </c>
      <c r="F770" s="1188">
        <v>17</v>
      </c>
      <c r="G770" s="1189">
        <v>1126</v>
      </c>
      <c r="H770" s="1189">
        <v>2061</v>
      </c>
      <c r="I770" s="1189">
        <v>97.8</v>
      </c>
      <c r="J770" s="1190">
        <v>113</v>
      </c>
      <c r="K770" s="1190" t="s">
        <v>5322</v>
      </c>
      <c r="L770" s="1187">
        <v>33.72</v>
      </c>
      <c r="M770" s="1187">
        <v>41</v>
      </c>
      <c r="N770" s="1187">
        <v>55.43</v>
      </c>
      <c r="O770" s="1191" t="s">
        <v>142</v>
      </c>
      <c r="P770" s="1191" t="s">
        <v>142</v>
      </c>
      <c r="Q770" s="1192" t="s">
        <v>142</v>
      </c>
      <c r="R770" s="1191" t="s">
        <v>2532</v>
      </c>
      <c r="S770" s="1193">
        <v>72.599999999999994</v>
      </c>
      <c r="T770" s="1194" t="s">
        <v>23</v>
      </c>
      <c r="U770" s="813" t="s">
        <v>4320</v>
      </c>
      <c r="V770" s="1195"/>
      <c r="W770" s="1196"/>
      <c r="X770" s="1196"/>
      <c r="Y770" s="1196"/>
      <c r="Z770" s="1196"/>
      <c r="AA770" s="1196"/>
      <c r="AB770" s="1196"/>
      <c r="AC770" s="1196"/>
      <c r="AD770" s="1196"/>
      <c r="AE770" s="1196"/>
      <c r="AF770" s="1196"/>
      <c r="AG770" s="1196"/>
      <c r="AH770" s="1196"/>
      <c r="AI770" s="1196"/>
      <c r="AJ770" s="1196"/>
      <c r="AK770" s="1196"/>
      <c r="AL770" s="1196"/>
      <c r="AM770" s="1196"/>
      <c r="AN770" s="1196"/>
      <c r="AO770" s="1196"/>
      <c r="AP770" s="1196"/>
      <c r="AQ770" s="1196"/>
      <c r="AR770" s="1196"/>
      <c r="AS770" s="1196"/>
      <c r="AT770" s="1196"/>
      <c r="AU770" s="1196"/>
      <c r="AV770" s="1196"/>
      <c r="AW770" s="1196"/>
      <c r="AX770" s="1196"/>
      <c r="AY770" s="1196"/>
      <c r="AZ770" s="1196"/>
      <c r="BA770" s="1196"/>
      <c r="BB770" s="1196"/>
      <c r="BC770" s="1196"/>
      <c r="BD770" s="1196"/>
      <c r="BE770" s="1196"/>
      <c r="BF770" s="1196"/>
      <c r="BG770" s="1196"/>
      <c r="BH770" s="1196"/>
      <c r="BI770" s="1196"/>
      <c r="BJ770" s="1196"/>
      <c r="BK770" s="1196"/>
      <c r="BL770" s="1196"/>
      <c r="BM770" s="1196"/>
      <c r="BN770" s="1196"/>
      <c r="BO770" s="1196"/>
      <c r="BP770" s="1196"/>
      <c r="BQ770" s="1196"/>
      <c r="BR770" s="1196"/>
      <c r="BS770" s="1196"/>
      <c r="BT770" s="1196"/>
      <c r="BU770" s="1196"/>
      <c r="BV770" s="1196"/>
      <c r="BW770" s="1196"/>
      <c r="BX770" s="1196"/>
      <c r="BY770" s="1196"/>
      <c r="BZ770" s="1196"/>
      <c r="CA770" s="1196"/>
      <c r="CB770" s="1196"/>
      <c r="CC770" s="1196"/>
      <c r="CD770" s="1196"/>
      <c r="CE770" s="1196"/>
      <c r="CF770" s="1196"/>
      <c r="CG770" s="1196"/>
      <c r="CH770" s="1196"/>
      <c r="CI770" s="1196"/>
      <c r="CJ770" s="1196"/>
      <c r="CK770" s="1196"/>
      <c r="CL770" s="1196"/>
    </row>
    <row r="771" spans="1:90" s="1183" customFormat="1" ht="28.5" customHeight="1" x14ac:dyDescent="0.25">
      <c r="A771" s="1183" t="s">
        <v>4704</v>
      </c>
      <c r="B771" s="1184">
        <v>45025</v>
      </c>
      <c r="C771" s="1185">
        <v>0.91666666666666663</v>
      </c>
      <c r="D771" s="1510" t="s">
        <v>5345</v>
      </c>
      <c r="E771" s="1511"/>
      <c r="F771" s="1511"/>
      <c r="G771" s="1511"/>
      <c r="H771" s="1511"/>
      <c r="I771" s="1511"/>
      <c r="J771" s="1511"/>
      <c r="K771" s="1511"/>
      <c r="L771" s="1511"/>
      <c r="M771" s="1511"/>
      <c r="N771" s="1511"/>
      <c r="O771" s="1511"/>
      <c r="P771" s="1511"/>
      <c r="Q771" s="1511"/>
      <c r="R771" s="1511"/>
      <c r="S771" s="1512"/>
      <c r="T771" s="1194" t="s">
        <v>23</v>
      </c>
      <c r="U771" s="813" t="s">
        <v>4320</v>
      </c>
      <c r="V771" s="1195"/>
      <c r="W771" s="1196"/>
      <c r="X771" s="1196"/>
      <c r="Y771" s="1196"/>
      <c r="Z771" s="1196"/>
      <c r="AA771" s="1196"/>
      <c r="AB771" s="1196"/>
      <c r="AC771" s="1196"/>
      <c r="AD771" s="1196"/>
      <c r="AE771" s="1196"/>
      <c r="AF771" s="1196"/>
      <c r="AG771" s="1196"/>
      <c r="AH771" s="1196"/>
      <c r="AI771" s="1196"/>
      <c r="AJ771" s="1196"/>
      <c r="AK771" s="1196"/>
      <c r="AL771" s="1196"/>
      <c r="AM771" s="1196"/>
      <c r="AN771" s="1196"/>
      <c r="AO771" s="1196"/>
      <c r="AP771" s="1196"/>
      <c r="AQ771" s="1196"/>
      <c r="AR771" s="1196"/>
      <c r="AS771" s="1196"/>
      <c r="AT771" s="1196"/>
      <c r="AU771" s="1196"/>
      <c r="AV771" s="1196"/>
      <c r="AW771" s="1196"/>
      <c r="AX771" s="1196"/>
      <c r="AY771" s="1196"/>
      <c r="AZ771" s="1196"/>
      <c r="BA771" s="1196"/>
      <c r="BB771" s="1196"/>
      <c r="BC771" s="1196"/>
      <c r="BD771" s="1196"/>
      <c r="BE771" s="1196"/>
      <c r="BF771" s="1196"/>
      <c r="BG771" s="1196"/>
      <c r="BH771" s="1196"/>
      <c r="BI771" s="1196"/>
      <c r="BJ771" s="1196"/>
      <c r="BK771" s="1196"/>
      <c r="BL771" s="1196"/>
      <c r="BM771" s="1196"/>
      <c r="BN771" s="1196"/>
      <c r="BO771" s="1196"/>
      <c r="BP771" s="1196"/>
      <c r="BQ771" s="1196"/>
      <c r="BR771" s="1196"/>
      <c r="BS771" s="1196"/>
      <c r="BT771" s="1196"/>
      <c r="BU771" s="1196"/>
      <c r="BV771" s="1196"/>
      <c r="BW771" s="1196"/>
      <c r="BX771" s="1196"/>
      <c r="BY771" s="1196"/>
      <c r="BZ771" s="1196"/>
      <c r="CA771" s="1196"/>
      <c r="CB771" s="1196"/>
      <c r="CC771" s="1196"/>
      <c r="CD771" s="1196"/>
      <c r="CE771" s="1196"/>
      <c r="CF771" s="1196"/>
      <c r="CG771" s="1196"/>
      <c r="CH771" s="1196"/>
      <c r="CI771" s="1196"/>
      <c r="CJ771" s="1196"/>
      <c r="CK771" s="1196"/>
      <c r="CL771" s="1196"/>
    </row>
    <row r="772" spans="1:90" s="1183" customFormat="1" ht="28.5" customHeight="1" x14ac:dyDescent="0.25">
      <c r="A772" s="1183" t="s">
        <v>4704</v>
      </c>
      <c r="B772" s="1184">
        <v>45026</v>
      </c>
      <c r="C772" s="1185">
        <v>0.79166666666666663</v>
      </c>
      <c r="D772" s="1510" t="s">
        <v>5344</v>
      </c>
      <c r="E772" s="1511"/>
      <c r="F772" s="1511"/>
      <c r="G772" s="1511"/>
      <c r="H772" s="1511"/>
      <c r="I772" s="1511"/>
      <c r="J772" s="1511"/>
      <c r="K772" s="1511"/>
      <c r="L772" s="1511"/>
      <c r="M772" s="1511"/>
      <c r="N772" s="1511"/>
      <c r="O772" s="1511"/>
      <c r="P772" s="1511"/>
      <c r="Q772" s="1511"/>
      <c r="R772" s="1511"/>
      <c r="S772" s="1512"/>
      <c r="T772" s="1194" t="s">
        <v>23</v>
      </c>
      <c r="U772" s="813" t="s">
        <v>4320</v>
      </c>
      <c r="V772" s="1195"/>
      <c r="W772" s="1196"/>
      <c r="X772" s="1196"/>
      <c r="Y772" s="1196"/>
      <c r="Z772" s="1196"/>
      <c r="AA772" s="1196"/>
      <c r="AB772" s="1196"/>
      <c r="AC772" s="1196"/>
      <c r="AD772" s="1196"/>
      <c r="AE772" s="1196"/>
      <c r="AF772" s="1196"/>
      <c r="AG772" s="1196"/>
      <c r="AH772" s="1196"/>
      <c r="AI772" s="1196"/>
      <c r="AJ772" s="1196"/>
      <c r="AK772" s="1196"/>
      <c r="AL772" s="1196"/>
      <c r="AM772" s="1196"/>
      <c r="AN772" s="1196"/>
      <c r="AO772" s="1196"/>
      <c r="AP772" s="1196"/>
      <c r="AQ772" s="1196"/>
      <c r="AR772" s="1196"/>
      <c r="AS772" s="1196"/>
      <c r="AT772" s="1196"/>
      <c r="AU772" s="1196"/>
      <c r="AV772" s="1196"/>
      <c r="AW772" s="1196"/>
      <c r="AX772" s="1196"/>
      <c r="AY772" s="1196"/>
      <c r="AZ772" s="1196"/>
      <c r="BA772" s="1196"/>
      <c r="BB772" s="1196"/>
      <c r="BC772" s="1196"/>
      <c r="BD772" s="1196"/>
      <c r="BE772" s="1196"/>
      <c r="BF772" s="1196"/>
      <c r="BG772" s="1196"/>
      <c r="BH772" s="1196"/>
      <c r="BI772" s="1196"/>
      <c r="BJ772" s="1196"/>
      <c r="BK772" s="1196"/>
      <c r="BL772" s="1196"/>
      <c r="BM772" s="1196"/>
      <c r="BN772" s="1196"/>
      <c r="BO772" s="1196"/>
      <c r="BP772" s="1196"/>
      <c r="BQ772" s="1196"/>
      <c r="BR772" s="1196"/>
      <c r="BS772" s="1196"/>
      <c r="BT772" s="1196"/>
      <c r="BU772" s="1196"/>
      <c r="BV772" s="1196"/>
      <c r="BW772" s="1196"/>
      <c r="BX772" s="1196"/>
      <c r="BY772" s="1196"/>
      <c r="BZ772" s="1196"/>
      <c r="CA772" s="1196"/>
      <c r="CB772" s="1196"/>
      <c r="CC772" s="1196"/>
      <c r="CD772" s="1196"/>
      <c r="CE772" s="1196"/>
      <c r="CF772" s="1196"/>
      <c r="CG772" s="1196"/>
      <c r="CH772" s="1196"/>
      <c r="CI772" s="1196"/>
      <c r="CJ772" s="1196"/>
      <c r="CK772" s="1196"/>
      <c r="CL772" s="1196"/>
    </row>
    <row r="773" spans="1:90" s="1183" customFormat="1" ht="28.5" customHeight="1" x14ac:dyDescent="0.25">
      <c r="A773" s="1183" t="s">
        <v>4704</v>
      </c>
      <c r="B773" s="1184">
        <v>45027</v>
      </c>
      <c r="C773" s="1185">
        <v>0.91666666666666663</v>
      </c>
      <c r="D773" s="1186">
        <v>52</v>
      </c>
      <c r="E773" s="1187">
        <v>11.2</v>
      </c>
      <c r="F773" s="1188">
        <v>15.3</v>
      </c>
      <c r="G773" s="1189">
        <v>1067</v>
      </c>
      <c r="H773" s="1189">
        <v>1929</v>
      </c>
      <c r="I773" s="1189">
        <v>98.8</v>
      </c>
      <c r="J773" s="1190">
        <v>100.6</v>
      </c>
      <c r="K773" s="1190" t="s">
        <v>5352</v>
      </c>
      <c r="L773" s="1187">
        <v>37.130000000000003</v>
      </c>
      <c r="M773" s="1187">
        <v>41</v>
      </c>
      <c r="N773" s="1187">
        <v>52.48</v>
      </c>
      <c r="O773" s="1191" t="s">
        <v>142</v>
      </c>
      <c r="P773" s="1191" t="s">
        <v>142</v>
      </c>
      <c r="Q773" s="1192" t="s">
        <v>142</v>
      </c>
      <c r="R773" s="1191" t="s">
        <v>4024</v>
      </c>
      <c r="S773" s="1193">
        <v>65.3</v>
      </c>
      <c r="T773" s="1194" t="s">
        <v>23</v>
      </c>
      <c r="U773" s="813" t="s">
        <v>4320</v>
      </c>
      <c r="V773" s="1195" t="s">
        <v>415</v>
      </c>
      <c r="W773" s="1196"/>
      <c r="X773" s="1196"/>
      <c r="Y773" s="1196"/>
      <c r="Z773" s="1196"/>
      <c r="AA773" s="1196"/>
      <c r="AB773" s="1196"/>
      <c r="AC773" s="1196"/>
      <c r="AD773" s="1196"/>
      <c r="AE773" s="1196"/>
      <c r="AF773" s="1196"/>
      <c r="AG773" s="1196"/>
      <c r="AH773" s="1196"/>
      <c r="AI773" s="1196"/>
      <c r="AJ773" s="1196"/>
      <c r="AK773" s="1196"/>
      <c r="AL773" s="1196"/>
      <c r="AM773" s="1196"/>
      <c r="AN773" s="1196"/>
      <c r="AO773" s="1196"/>
      <c r="AP773" s="1196"/>
      <c r="AQ773" s="1196"/>
      <c r="AR773" s="1196"/>
      <c r="AS773" s="1196"/>
      <c r="AT773" s="1196"/>
      <c r="AU773" s="1196"/>
      <c r="AV773" s="1196"/>
      <c r="AW773" s="1196"/>
      <c r="AX773" s="1196"/>
      <c r="AY773" s="1196"/>
      <c r="AZ773" s="1196"/>
      <c r="BA773" s="1196"/>
      <c r="BB773" s="1196"/>
      <c r="BC773" s="1196"/>
      <c r="BD773" s="1196"/>
      <c r="BE773" s="1196"/>
      <c r="BF773" s="1196"/>
      <c r="BG773" s="1196"/>
      <c r="BH773" s="1196"/>
      <c r="BI773" s="1196"/>
      <c r="BJ773" s="1196"/>
      <c r="BK773" s="1196"/>
      <c r="BL773" s="1196"/>
      <c r="BM773" s="1196"/>
      <c r="BN773" s="1196"/>
      <c r="BO773" s="1196"/>
      <c r="BP773" s="1196"/>
      <c r="BQ773" s="1196"/>
      <c r="BR773" s="1196"/>
      <c r="BS773" s="1196"/>
      <c r="BT773" s="1196"/>
      <c r="BU773" s="1196"/>
      <c r="BV773" s="1196"/>
      <c r="BW773" s="1196"/>
      <c r="BX773" s="1196"/>
      <c r="BY773" s="1196"/>
      <c r="BZ773" s="1196"/>
      <c r="CA773" s="1196"/>
      <c r="CB773" s="1196"/>
      <c r="CC773" s="1196"/>
      <c r="CD773" s="1196"/>
      <c r="CE773" s="1196"/>
      <c r="CF773" s="1196"/>
      <c r="CG773" s="1196"/>
      <c r="CH773" s="1196"/>
      <c r="CI773" s="1196"/>
      <c r="CJ773" s="1196"/>
      <c r="CK773" s="1196"/>
      <c r="CL773" s="1196"/>
    </row>
    <row r="774" spans="1:90" s="1183" customFormat="1" ht="28.5" customHeight="1" x14ac:dyDescent="0.25">
      <c r="A774" s="1183" t="s">
        <v>4704</v>
      </c>
      <c r="B774" s="1184">
        <v>45028</v>
      </c>
      <c r="C774" s="1185">
        <v>0.79166666666666663</v>
      </c>
      <c r="D774" s="1510" t="s">
        <v>5355</v>
      </c>
      <c r="E774" s="1511"/>
      <c r="F774" s="1511"/>
      <c r="G774" s="1511"/>
      <c r="H774" s="1511"/>
      <c r="I774" s="1511"/>
      <c r="J774" s="1511"/>
      <c r="K774" s="1511"/>
      <c r="L774" s="1511"/>
      <c r="M774" s="1511"/>
      <c r="N774" s="1511"/>
      <c r="O774" s="1511"/>
      <c r="P774" s="1511"/>
      <c r="Q774" s="1511"/>
      <c r="R774" s="1511"/>
      <c r="S774" s="1512"/>
      <c r="T774" s="1194" t="s">
        <v>23</v>
      </c>
      <c r="U774" s="813" t="s">
        <v>4320</v>
      </c>
      <c r="V774" s="1195" t="s">
        <v>415</v>
      </c>
      <c r="W774" s="1196"/>
      <c r="X774" s="1196"/>
      <c r="Y774" s="1196"/>
      <c r="Z774" s="1196"/>
      <c r="AA774" s="1196"/>
      <c r="AB774" s="1196"/>
      <c r="AC774" s="1196"/>
      <c r="AD774" s="1196"/>
      <c r="AE774" s="1196"/>
      <c r="AF774" s="1196"/>
      <c r="AG774" s="1196"/>
      <c r="AH774" s="1196"/>
      <c r="AI774" s="1196"/>
      <c r="AJ774" s="1196"/>
      <c r="AK774" s="1196"/>
      <c r="AL774" s="1196"/>
      <c r="AM774" s="1196"/>
      <c r="AN774" s="1196"/>
      <c r="AO774" s="1196"/>
      <c r="AP774" s="1196"/>
      <c r="AQ774" s="1196"/>
      <c r="AR774" s="1196"/>
      <c r="AS774" s="1196"/>
      <c r="AT774" s="1196"/>
      <c r="AU774" s="1196"/>
      <c r="AV774" s="1196"/>
      <c r="AW774" s="1196"/>
      <c r="AX774" s="1196"/>
      <c r="AY774" s="1196"/>
      <c r="AZ774" s="1196"/>
      <c r="BA774" s="1196"/>
      <c r="BB774" s="1196"/>
      <c r="BC774" s="1196"/>
      <c r="BD774" s="1196"/>
      <c r="BE774" s="1196"/>
      <c r="BF774" s="1196"/>
      <c r="BG774" s="1196"/>
      <c r="BH774" s="1196"/>
      <c r="BI774" s="1196"/>
      <c r="BJ774" s="1196"/>
      <c r="BK774" s="1196"/>
      <c r="BL774" s="1196"/>
      <c r="BM774" s="1196"/>
      <c r="BN774" s="1196"/>
      <c r="BO774" s="1196"/>
      <c r="BP774" s="1196"/>
      <c r="BQ774" s="1196"/>
      <c r="BR774" s="1196"/>
      <c r="BS774" s="1196"/>
      <c r="BT774" s="1196"/>
      <c r="BU774" s="1196"/>
      <c r="BV774" s="1196"/>
      <c r="BW774" s="1196"/>
      <c r="BX774" s="1196"/>
      <c r="BY774" s="1196"/>
      <c r="BZ774" s="1196"/>
      <c r="CA774" s="1196"/>
      <c r="CB774" s="1196"/>
      <c r="CC774" s="1196"/>
      <c r="CD774" s="1196"/>
      <c r="CE774" s="1196"/>
      <c r="CF774" s="1196"/>
      <c r="CG774" s="1196"/>
      <c r="CH774" s="1196"/>
      <c r="CI774" s="1196"/>
      <c r="CJ774" s="1196"/>
      <c r="CK774" s="1196"/>
      <c r="CL774" s="1196"/>
    </row>
    <row r="775" spans="1:90" s="1183" customFormat="1" ht="28.5" customHeight="1" x14ac:dyDescent="0.25">
      <c r="A775" s="1183" t="s">
        <v>4704</v>
      </c>
      <c r="B775" s="1184">
        <v>45029</v>
      </c>
      <c r="C775" s="1185">
        <v>0.91666666666666663</v>
      </c>
      <c r="D775" s="1510" t="s">
        <v>5368</v>
      </c>
      <c r="E775" s="1511"/>
      <c r="F775" s="1511"/>
      <c r="G775" s="1511"/>
      <c r="H775" s="1511"/>
      <c r="I775" s="1511"/>
      <c r="J775" s="1511"/>
      <c r="K775" s="1511"/>
      <c r="L775" s="1511"/>
      <c r="M775" s="1511"/>
      <c r="N775" s="1511"/>
      <c r="O775" s="1511"/>
      <c r="P775" s="1511"/>
      <c r="Q775" s="1511"/>
      <c r="R775" s="1511"/>
      <c r="S775" s="1512"/>
      <c r="T775" s="1194" t="s">
        <v>23</v>
      </c>
      <c r="U775" s="813" t="s">
        <v>4320</v>
      </c>
      <c r="V775" s="1195"/>
      <c r="W775" s="1196"/>
      <c r="X775" s="1196"/>
      <c r="Y775" s="1196"/>
      <c r="Z775" s="1196"/>
      <c r="AA775" s="1196"/>
      <c r="AB775" s="1196"/>
      <c r="AC775" s="1196"/>
      <c r="AD775" s="1196"/>
      <c r="AE775" s="1196"/>
      <c r="AF775" s="1196"/>
      <c r="AG775" s="1196"/>
      <c r="AH775" s="1196"/>
      <c r="AI775" s="1196"/>
      <c r="AJ775" s="1196"/>
      <c r="AK775" s="1196"/>
      <c r="AL775" s="1196"/>
      <c r="AM775" s="1196"/>
      <c r="AN775" s="1196"/>
      <c r="AO775" s="1196"/>
      <c r="AP775" s="1196"/>
      <c r="AQ775" s="1196"/>
      <c r="AR775" s="1196"/>
      <c r="AS775" s="1196"/>
      <c r="AT775" s="1196"/>
      <c r="AU775" s="1196"/>
      <c r="AV775" s="1196"/>
      <c r="AW775" s="1196"/>
      <c r="AX775" s="1196"/>
      <c r="AY775" s="1196"/>
      <c r="AZ775" s="1196"/>
      <c r="BA775" s="1196"/>
      <c r="BB775" s="1196"/>
      <c r="BC775" s="1196"/>
      <c r="BD775" s="1196"/>
      <c r="BE775" s="1196"/>
      <c r="BF775" s="1196"/>
      <c r="BG775" s="1196"/>
      <c r="BH775" s="1196"/>
      <c r="BI775" s="1196"/>
      <c r="BJ775" s="1196"/>
      <c r="BK775" s="1196"/>
      <c r="BL775" s="1196"/>
      <c r="BM775" s="1196"/>
      <c r="BN775" s="1196"/>
      <c r="BO775" s="1196"/>
      <c r="BP775" s="1196"/>
      <c r="BQ775" s="1196"/>
      <c r="BR775" s="1196"/>
      <c r="BS775" s="1196"/>
      <c r="BT775" s="1196"/>
      <c r="BU775" s="1196"/>
      <c r="BV775" s="1196"/>
      <c r="BW775" s="1196"/>
      <c r="BX775" s="1196"/>
      <c r="BY775" s="1196"/>
      <c r="BZ775" s="1196"/>
      <c r="CA775" s="1196"/>
      <c r="CB775" s="1196"/>
      <c r="CC775" s="1196"/>
      <c r="CD775" s="1196"/>
      <c r="CE775" s="1196"/>
      <c r="CF775" s="1196"/>
      <c r="CG775" s="1196"/>
      <c r="CH775" s="1196"/>
      <c r="CI775" s="1196"/>
      <c r="CJ775" s="1196"/>
      <c r="CK775" s="1196"/>
      <c r="CL775" s="1196"/>
    </row>
    <row r="776" spans="1:90" s="1183" customFormat="1" ht="28.5" customHeight="1" x14ac:dyDescent="0.25">
      <c r="A776" s="1183" t="s">
        <v>4704</v>
      </c>
      <c r="B776" s="1184">
        <v>45030</v>
      </c>
      <c r="C776" s="1185">
        <v>0.875</v>
      </c>
      <c r="D776" s="1186">
        <v>52</v>
      </c>
      <c r="E776" s="1187">
        <v>11.2</v>
      </c>
      <c r="F776" s="1188">
        <v>15.3</v>
      </c>
      <c r="G776" s="1189">
        <v>1089</v>
      </c>
      <c r="H776" s="1189">
        <v>1986</v>
      </c>
      <c r="I776" s="1189">
        <v>98.7</v>
      </c>
      <c r="J776" s="1190">
        <v>111.7</v>
      </c>
      <c r="K776" s="1190" t="s">
        <v>5371</v>
      </c>
      <c r="L776" s="1187">
        <v>38.54</v>
      </c>
      <c r="M776" s="1187">
        <v>41</v>
      </c>
      <c r="N776" s="1187">
        <v>50.64</v>
      </c>
      <c r="O776" s="1191" t="s">
        <v>142</v>
      </c>
      <c r="P776" s="1191" t="s">
        <v>142</v>
      </c>
      <c r="Q776" s="1192" t="s">
        <v>142</v>
      </c>
      <c r="R776" s="1191" t="s">
        <v>2041</v>
      </c>
      <c r="S776" s="1193">
        <v>65.3</v>
      </c>
      <c r="T776" s="1194" t="s">
        <v>23</v>
      </c>
      <c r="U776" s="813" t="s">
        <v>4320</v>
      </c>
      <c r="V776" s="1195"/>
      <c r="W776" s="1196"/>
      <c r="X776" s="1196"/>
      <c r="Y776" s="1196"/>
      <c r="Z776" s="1196"/>
      <c r="AA776" s="1196"/>
      <c r="AB776" s="1196"/>
      <c r="AC776" s="1196"/>
      <c r="AD776" s="1196"/>
      <c r="AE776" s="1196"/>
      <c r="AF776" s="1196"/>
      <c r="AG776" s="1196"/>
      <c r="AH776" s="1196"/>
      <c r="AI776" s="1196"/>
      <c r="AJ776" s="1196"/>
      <c r="AK776" s="1196"/>
      <c r="AL776" s="1196"/>
      <c r="AM776" s="1196"/>
      <c r="AN776" s="1196"/>
      <c r="AO776" s="1196"/>
      <c r="AP776" s="1196"/>
      <c r="AQ776" s="1196"/>
      <c r="AR776" s="1196"/>
      <c r="AS776" s="1196"/>
      <c r="AT776" s="1196"/>
      <c r="AU776" s="1196"/>
      <c r="AV776" s="1196"/>
      <c r="AW776" s="1196"/>
      <c r="AX776" s="1196"/>
      <c r="AY776" s="1196"/>
      <c r="AZ776" s="1196"/>
      <c r="BA776" s="1196"/>
      <c r="BB776" s="1196"/>
      <c r="BC776" s="1196"/>
      <c r="BD776" s="1196"/>
      <c r="BE776" s="1196"/>
      <c r="BF776" s="1196"/>
      <c r="BG776" s="1196"/>
      <c r="BH776" s="1196"/>
      <c r="BI776" s="1196"/>
      <c r="BJ776" s="1196"/>
      <c r="BK776" s="1196"/>
      <c r="BL776" s="1196"/>
      <c r="BM776" s="1196"/>
      <c r="BN776" s="1196"/>
      <c r="BO776" s="1196"/>
      <c r="BP776" s="1196"/>
      <c r="BQ776" s="1196"/>
      <c r="BR776" s="1196"/>
      <c r="BS776" s="1196"/>
      <c r="BT776" s="1196"/>
      <c r="BU776" s="1196"/>
      <c r="BV776" s="1196"/>
      <c r="BW776" s="1196"/>
      <c r="BX776" s="1196"/>
      <c r="BY776" s="1196"/>
      <c r="BZ776" s="1196"/>
      <c r="CA776" s="1196"/>
      <c r="CB776" s="1196"/>
      <c r="CC776" s="1196"/>
      <c r="CD776" s="1196"/>
      <c r="CE776" s="1196"/>
      <c r="CF776" s="1196"/>
      <c r="CG776" s="1196"/>
      <c r="CH776" s="1196"/>
      <c r="CI776" s="1196"/>
      <c r="CJ776" s="1196"/>
      <c r="CK776" s="1196"/>
      <c r="CL776" s="1196"/>
    </row>
    <row r="777" spans="1:90" s="1183" customFormat="1" ht="28.5" customHeight="1" x14ac:dyDescent="0.25">
      <c r="A777" s="1183" t="s">
        <v>4704</v>
      </c>
      <c r="B777" s="1184">
        <v>45031</v>
      </c>
      <c r="C777" s="1185">
        <v>0.91666666666666663</v>
      </c>
      <c r="D777" s="1186">
        <v>52</v>
      </c>
      <c r="E777" s="1187">
        <v>10.9</v>
      </c>
      <c r="F777" s="1188">
        <v>15.1</v>
      </c>
      <c r="G777" s="1189">
        <v>1123</v>
      </c>
      <c r="H777" s="1189">
        <v>2020</v>
      </c>
      <c r="I777" s="1189">
        <v>97.8</v>
      </c>
      <c r="J777" s="1190">
        <v>116.5</v>
      </c>
      <c r="K777" s="1190" t="s">
        <v>5377</v>
      </c>
      <c r="L777" s="1187">
        <v>34.79</v>
      </c>
      <c r="M777" s="1187">
        <v>40</v>
      </c>
      <c r="N777" s="1187">
        <v>48.78</v>
      </c>
      <c r="O777" s="1191" t="s">
        <v>142</v>
      </c>
      <c r="P777" s="1191" t="s">
        <v>142</v>
      </c>
      <c r="Q777" s="1192" t="s">
        <v>142</v>
      </c>
      <c r="R777" s="1191" t="s">
        <v>789</v>
      </c>
      <c r="S777" s="1193">
        <v>64.5</v>
      </c>
      <c r="T777" s="1194" t="s">
        <v>23</v>
      </c>
      <c r="U777" s="813" t="s">
        <v>4320</v>
      </c>
      <c r="V777" s="1195" t="s">
        <v>415</v>
      </c>
      <c r="W777" s="1196"/>
      <c r="X777" s="1196"/>
      <c r="Y777" s="1196"/>
      <c r="Z777" s="1196"/>
      <c r="AA777" s="1196"/>
      <c r="AB777" s="1196"/>
      <c r="AC777" s="1196"/>
      <c r="AD777" s="1196"/>
      <c r="AE777" s="1196"/>
      <c r="AF777" s="1196"/>
      <c r="AG777" s="1196"/>
      <c r="AH777" s="1196"/>
      <c r="AI777" s="1196"/>
      <c r="AJ777" s="1196"/>
      <c r="AK777" s="1196"/>
      <c r="AL777" s="1196"/>
      <c r="AM777" s="1196"/>
      <c r="AN777" s="1196"/>
      <c r="AO777" s="1196"/>
      <c r="AP777" s="1196"/>
      <c r="AQ777" s="1196"/>
      <c r="AR777" s="1196"/>
      <c r="AS777" s="1196"/>
      <c r="AT777" s="1196"/>
      <c r="AU777" s="1196"/>
      <c r="AV777" s="1196"/>
      <c r="AW777" s="1196"/>
      <c r="AX777" s="1196"/>
      <c r="AY777" s="1196"/>
      <c r="AZ777" s="1196"/>
      <c r="BA777" s="1196"/>
      <c r="BB777" s="1196"/>
      <c r="BC777" s="1196"/>
      <c r="BD777" s="1196"/>
      <c r="BE777" s="1196"/>
      <c r="BF777" s="1196"/>
      <c r="BG777" s="1196"/>
      <c r="BH777" s="1196"/>
      <c r="BI777" s="1196"/>
      <c r="BJ777" s="1196"/>
      <c r="BK777" s="1196"/>
      <c r="BL777" s="1196"/>
      <c r="BM777" s="1196"/>
      <c r="BN777" s="1196"/>
      <c r="BO777" s="1196"/>
      <c r="BP777" s="1196"/>
      <c r="BQ777" s="1196"/>
      <c r="BR777" s="1196"/>
      <c r="BS777" s="1196"/>
      <c r="BT777" s="1196"/>
      <c r="BU777" s="1196"/>
      <c r="BV777" s="1196"/>
      <c r="BW777" s="1196"/>
      <c r="BX777" s="1196"/>
      <c r="BY777" s="1196"/>
      <c r="BZ777" s="1196"/>
      <c r="CA777" s="1196"/>
      <c r="CB777" s="1196"/>
      <c r="CC777" s="1196"/>
      <c r="CD777" s="1196"/>
      <c r="CE777" s="1196"/>
      <c r="CF777" s="1196"/>
      <c r="CG777" s="1196"/>
      <c r="CH777" s="1196"/>
      <c r="CI777" s="1196"/>
      <c r="CJ777" s="1196"/>
      <c r="CK777" s="1196"/>
      <c r="CL777" s="1196"/>
    </row>
    <row r="778" spans="1:90" s="1183" customFormat="1" ht="28.5" customHeight="1" x14ac:dyDescent="0.25">
      <c r="A778" s="1183" t="s">
        <v>4704</v>
      </c>
      <c r="B778" s="1184">
        <v>45032</v>
      </c>
      <c r="C778" s="1185">
        <v>0.95833333333333337</v>
      </c>
      <c r="D778" s="1186">
        <v>52</v>
      </c>
      <c r="E778" s="1187">
        <v>10.4</v>
      </c>
      <c r="F778" s="1188">
        <v>14.8</v>
      </c>
      <c r="G778" s="1189">
        <v>1061</v>
      </c>
      <c r="H778" s="1189">
        <v>1844</v>
      </c>
      <c r="I778" s="1189">
        <v>98.8</v>
      </c>
      <c r="J778" s="1190">
        <v>111.5</v>
      </c>
      <c r="K778" s="1190" t="s">
        <v>5390</v>
      </c>
      <c r="L778" s="1187">
        <v>36.42</v>
      </c>
      <c r="M778" s="1187">
        <v>42</v>
      </c>
      <c r="N778" s="1187">
        <v>51.87</v>
      </c>
      <c r="O778" s="1191" t="s">
        <v>142</v>
      </c>
      <c r="P778" s="1191" t="s">
        <v>142</v>
      </c>
      <c r="Q778" s="1192" t="s">
        <v>142</v>
      </c>
      <c r="R778" s="1191" t="s">
        <v>789</v>
      </c>
      <c r="S778" s="1193">
        <v>63.2</v>
      </c>
      <c r="T778" s="1194" t="s">
        <v>23</v>
      </c>
      <c r="U778" s="813" t="s">
        <v>4320</v>
      </c>
      <c r="V778" s="1195" t="s">
        <v>415</v>
      </c>
      <c r="W778" s="1196"/>
      <c r="X778" s="1196"/>
      <c r="Y778" s="1196"/>
      <c r="Z778" s="1196"/>
      <c r="AA778" s="1196"/>
      <c r="AB778" s="1196"/>
      <c r="AC778" s="1196"/>
      <c r="AD778" s="1196"/>
      <c r="AE778" s="1196"/>
      <c r="AF778" s="1196"/>
      <c r="AG778" s="1196"/>
      <c r="AH778" s="1196"/>
      <c r="AI778" s="1196"/>
      <c r="AJ778" s="1196"/>
      <c r="AK778" s="1196"/>
      <c r="AL778" s="1196"/>
      <c r="AM778" s="1196"/>
      <c r="AN778" s="1196"/>
      <c r="AO778" s="1196"/>
      <c r="AP778" s="1196"/>
      <c r="AQ778" s="1196"/>
      <c r="AR778" s="1196"/>
      <c r="AS778" s="1196"/>
      <c r="AT778" s="1196"/>
      <c r="AU778" s="1196"/>
      <c r="AV778" s="1196"/>
      <c r="AW778" s="1196"/>
      <c r="AX778" s="1196"/>
      <c r="AY778" s="1196"/>
      <c r="AZ778" s="1196"/>
      <c r="BA778" s="1196"/>
      <c r="BB778" s="1196"/>
      <c r="BC778" s="1196"/>
      <c r="BD778" s="1196"/>
      <c r="BE778" s="1196"/>
      <c r="BF778" s="1196"/>
      <c r="BG778" s="1196"/>
      <c r="BH778" s="1196"/>
      <c r="BI778" s="1196"/>
      <c r="BJ778" s="1196"/>
      <c r="BK778" s="1196"/>
      <c r="BL778" s="1196"/>
      <c r="BM778" s="1196"/>
      <c r="BN778" s="1196"/>
      <c r="BO778" s="1196"/>
      <c r="BP778" s="1196"/>
      <c r="BQ778" s="1196"/>
      <c r="BR778" s="1196"/>
      <c r="BS778" s="1196"/>
      <c r="BT778" s="1196"/>
      <c r="BU778" s="1196"/>
      <c r="BV778" s="1196"/>
      <c r="BW778" s="1196"/>
      <c r="BX778" s="1196"/>
      <c r="BY778" s="1196"/>
      <c r="BZ778" s="1196"/>
      <c r="CA778" s="1196"/>
      <c r="CB778" s="1196"/>
      <c r="CC778" s="1196"/>
      <c r="CD778" s="1196"/>
      <c r="CE778" s="1196"/>
      <c r="CF778" s="1196"/>
      <c r="CG778" s="1196"/>
      <c r="CH778" s="1196"/>
      <c r="CI778" s="1196"/>
      <c r="CJ778" s="1196"/>
      <c r="CK778" s="1196"/>
      <c r="CL778" s="1196"/>
    </row>
    <row r="779" spans="1:90" s="1183" customFormat="1" ht="28.5" customHeight="1" x14ac:dyDescent="0.25">
      <c r="A779" s="1183" t="s">
        <v>4704</v>
      </c>
      <c r="B779" s="1184">
        <v>45033</v>
      </c>
      <c r="C779" s="1185">
        <v>0.95833333333333337</v>
      </c>
      <c r="D779" s="1510" t="s">
        <v>5397</v>
      </c>
      <c r="E779" s="1511"/>
      <c r="F779" s="1511"/>
      <c r="G779" s="1511"/>
      <c r="H779" s="1511"/>
      <c r="I779" s="1511"/>
      <c r="J779" s="1511"/>
      <c r="K779" s="1511"/>
      <c r="L779" s="1511"/>
      <c r="M779" s="1511"/>
      <c r="N779" s="1511"/>
      <c r="O779" s="1511"/>
      <c r="P779" s="1511"/>
      <c r="Q779" s="1511"/>
      <c r="R779" s="1511"/>
      <c r="S779" s="1512"/>
      <c r="T779" s="1194" t="s">
        <v>23</v>
      </c>
      <c r="U779" s="813" t="s">
        <v>4320</v>
      </c>
      <c r="V779" s="1195" t="s">
        <v>415</v>
      </c>
      <c r="W779" s="1196"/>
      <c r="X779" s="1196"/>
      <c r="Y779" s="1196"/>
      <c r="Z779" s="1196"/>
      <c r="AA779" s="1196"/>
      <c r="AB779" s="1196"/>
      <c r="AC779" s="1196"/>
      <c r="AD779" s="1196"/>
      <c r="AE779" s="1196"/>
      <c r="AF779" s="1196"/>
      <c r="AG779" s="1196"/>
      <c r="AH779" s="1196"/>
      <c r="AI779" s="1196"/>
      <c r="AJ779" s="1196"/>
      <c r="AK779" s="1196"/>
      <c r="AL779" s="1196"/>
      <c r="AM779" s="1196"/>
      <c r="AN779" s="1196"/>
      <c r="AO779" s="1196"/>
      <c r="AP779" s="1196"/>
      <c r="AQ779" s="1196"/>
      <c r="AR779" s="1196"/>
      <c r="AS779" s="1196"/>
      <c r="AT779" s="1196"/>
      <c r="AU779" s="1196"/>
      <c r="AV779" s="1196"/>
      <c r="AW779" s="1196"/>
      <c r="AX779" s="1196"/>
      <c r="AY779" s="1196"/>
      <c r="AZ779" s="1196"/>
      <c r="BA779" s="1196"/>
      <c r="BB779" s="1196"/>
      <c r="BC779" s="1196"/>
      <c r="BD779" s="1196"/>
      <c r="BE779" s="1196"/>
      <c r="BF779" s="1196"/>
      <c r="BG779" s="1196"/>
      <c r="BH779" s="1196"/>
      <c r="BI779" s="1196"/>
      <c r="BJ779" s="1196"/>
      <c r="BK779" s="1196"/>
      <c r="BL779" s="1196"/>
      <c r="BM779" s="1196"/>
      <c r="BN779" s="1196"/>
      <c r="BO779" s="1196"/>
      <c r="BP779" s="1196"/>
      <c r="BQ779" s="1196"/>
      <c r="BR779" s="1196"/>
      <c r="BS779" s="1196"/>
      <c r="BT779" s="1196"/>
      <c r="BU779" s="1196"/>
      <c r="BV779" s="1196"/>
      <c r="BW779" s="1196"/>
      <c r="BX779" s="1196"/>
      <c r="BY779" s="1196"/>
      <c r="BZ779" s="1196"/>
      <c r="CA779" s="1196"/>
      <c r="CB779" s="1196"/>
      <c r="CC779" s="1196"/>
      <c r="CD779" s="1196"/>
      <c r="CE779" s="1196"/>
      <c r="CF779" s="1196"/>
      <c r="CG779" s="1196"/>
      <c r="CH779" s="1196"/>
      <c r="CI779" s="1196"/>
      <c r="CJ779" s="1196"/>
      <c r="CK779" s="1196"/>
      <c r="CL779" s="1196"/>
    </row>
    <row r="780" spans="1:90" s="1183" customFormat="1" ht="28.5" customHeight="1" x14ac:dyDescent="0.25">
      <c r="A780" s="1183" t="s">
        <v>4704</v>
      </c>
      <c r="B780" s="1184">
        <v>45034</v>
      </c>
      <c r="C780" s="1185">
        <v>0.95833333333333337</v>
      </c>
      <c r="D780" s="1186">
        <v>52</v>
      </c>
      <c r="E780" s="1187">
        <v>8.6999999999999993</v>
      </c>
      <c r="F780" s="1188">
        <v>13.7</v>
      </c>
      <c r="G780" s="1189">
        <v>1054</v>
      </c>
      <c r="H780" s="1189">
        <v>1955</v>
      </c>
      <c r="I780" s="1189">
        <v>98.8</v>
      </c>
      <c r="J780" s="1190">
        <v>111.2</v>
      </c>
      <c r="K780" s="1190" t="s">
        <v>5412</v>
      </c>
      <c r="L780" s="1187">
        <v>36.35</v>
      </c>
      <c r="M780" s="1187">
        <v>42</v>
      </c>
      <c r="N780" s="1187">
        <v>49.69</v>
      </c>
      <c r="O780" s="1191" t="s">
        <v>142</v>
      </c>
      <c r="P780" s="1191" t="s">
        <v>142</v>
      </c>
      <c r="Q780" s="1192" t="s">
        <v>142</v>
      </c>
      <c r="R780" s="1191" t="s">
        <v>5413</v>
      </c>
      <c r="S780" s="1193">
        <v>58.5</v>
      </c>
      <c r="T780" s="1194" t="s">
        <v>23</v>
      </c>
      <c r="U780" s="813" t="s">
        <v>4320</v>
      </c>
      <c r="V780" s="1195" t="s">
        <v>415</v>
      </c>
      <c r="W780" s="1196"/>
      <c r="X780" s="1196"/>
      <c r="Y780" s="1196"/>
      <c r="Z780" s="1196"/>
      <c r="AA780" s="1196"/>
      <c r="AB780" s="1196"/>
      <c r="AC780" s="1196"/>
      <c r="AD780" s="1196"/>
      <c r="AE780" s="1196"/>
      <c r="AF780" s="1196"/>
      <c r="AG780" s="1196"/>
      <c r="AH780" s="1196"/>
      <c r="AI780" s="1196"/>
      <c r="AJ780" s="1196"/>
      <c r="AK780" s="1196"/>
      <c r="AL780" s="1196"/>
      <c r="AM780" s="1196"/>
      <c r="AN780" s="1196"/>
      <c r="AO780" s="1196"/>
      <c r="AP780" s="1196"/>
      <c r="AQ780" s="1196"/>
      <c r="AR780" s="1196"/>
      <c r="AS780" s="1196"/>
      <c r="AT780" s="1196"/>
      <c r="AU780" s="1196"/>
      <c r="AV780" s="1196"/>
      <c r="AW780" s="1196"/>
      <c r="AX780" s="1196"/>
      <c r="AY780" s="1196"/>
      <c r="AZ780" s="1196"/>
      <c r="BA780" s="1196"/>
      <c r="BB780" s="1196"/>
      <c r="BC780" s="1196"/>
      <c r="BD780" s="1196"/>
      <c r="BE780" s="1196"/>
      <c r="BF780" s="1196"/>
      <c r="BG780" s="1196"/>
      <c r="BH780" s="1196"/>
      <c r="BI780" s="1196"/>
      <c r="BJ780" s="1196"/>
      <c r="BK780" s="1196"/>
      <c r="BL780" s="1196"/>
      <c r="BM780" s="1196"/>
      <c r="BN780" s="1196"/>
      <c r="BO780" s="1196"/>
      <c r="BP780" s="1196"/>
      <c r="BQ780" s="1196"/>
      <c r="BR780" s="1196"/>
      <c r="BS780" s="1196"/>
      <c r="BT780" s="1196"/>
      <c r="BU780" s="1196"/>
      <c r="BV780" s="1196"/>
      <c r="BW780" s="1196"/>
      <c r="BX780" s="1196"/>
      <c r="BY780" s="1196"/>
      <c r="BZ780" s="1196"/>
      <c r="CA780" s="1196"/>
      <c r="CB780" s="1196"/>
      <c r="CC780" s="1196"/>
      <c r="CD780" s="1196"/>
      <c r="CE780" s="1196"/>
      <c r="CF780" s="1196"/>
      <c r="CG780" s="1196"/>
      <c r="CH780" s="1196"/>
      <c r="CI780" s="1196"/>
      <c r="CJ780" s="1196"/>
      <c r="CK780" s="1196"/>
      <c r="CL780" s="1196"/>
    </row>
    <row r="781" spans="1:90" s="1183" customFormat="1" ht="28.5" customHeight="1" x14ac:dyDescent="0.25">
      <c r="A781" s="1183" t="s">
        <v>4704</v>
      </c>
      <c r="B781" s="1184">
        <v>45035</v>
      </c>
      <c r="C781" s="1185">
        <v>0</v>
      </c>
      <c r="D781" s="1186">
        <v>52</v>
      </c>
      <c r="E781" s="1187">
        <v>11.4</v>
      </c>
      <c r="F781" s="1188">
        <v>15.4</v>
      </c>
      <c r="G781" s="1189">
        <v>1065</v>
      </c>
      <c r="H781" s="1189">
        <v>1890</v>
      </c>
      <c r="I781" s="1189">
        <v>98.7</v>
      </c>
      <c r="J781" s="1190">
        <v>111.7</v>
      </c>
      <c r="K781" s="1190" t="s">
        <v>5423</v>
      </c>
      <c r="L781" s="1187">
        <v>36.54</v>
      </c>
      <c r="M781" s="1187">
        <v>42</v>
      </c>
      <c r="N781" s="1187">
        <v>53.9</v>
      </c>
      <c r="O781" s="1191" t="s">
        <v>142</v>
      </c>
      <c r="P781" s="1191" t="s">
        <v>142</v>
      </c>
      <c r="Q781" s="1192" t="s">
        <v>142</v>
      </c>
      <c r="R781" s="1191" t="s">
        <v>1375</v>
      </c>
      <c r="S781" s="1193">
        <v>66.2</v>
      </c>
      <c r="T781" s="1194" t="s">
        <v>23</v>
      </c>
      <c r="U781" s="813" t="s">
        <v>4320</v>
      </c>
      <c r="V781" s="1195"/>
      <c r="W781" s="1196"/>
      <c r="X781" s="1196"/>
      <c r="Y781" s="1196"/>
      <c r="Z781" s="1196"/>
      <c r="AA781" s="1196"/>
      <c r="AB781" s="1196"/>
      <c r="AC781" s="1196"/>
      <c r="AD781" s="1196"/>
      <c r="AE781" s="1196"/>
      <c r="AF781" s="1196"/>
      <c r="AG781" s="1196"/>
      <c r="AH781" s="1196"/>
      <c r="AI781" s="1196"/>
      <c r="AJ781" s="1196"/>
      <c r="AK781" s="1196"/>
      <c r="AL781" s="1196"/>
      <c r="AM781" s="1196"/>
      <c r="AN781" s="1196"/>
      <c r="AO781" s="1196"/>
      <c r="AP781" s="1196"/>
      <c r="AQ781" s="1196"/>
      <c r="AR781" s="1196"/>
      <c r="AS781" s="1196"/>
      <c r="AT781" s="1196"/>
      <c r="AU781" s="1196"/>
      <c r="AV781" s="1196"/>
      <c r="AW781" s="1196"/>
      <c r="AX781" s="1196"/>
      <c r="AY781" s="1196"/>
      <c r="AZ781" s="1196"/>
      <c r="BA781" s="1196"/>
      <c r="BB781" s="1196"/>
      <c r="BC781" s="1196"/>
      <c r="BD781" s="1196"/>
      <c r="BE781" s="1196"/>
      <c r="BF781" s="1196"/>
      <c r="BG781" s="1196"/>
      <c r="BH781" s="1196"/>
      <c r="BI781" s="1196"/>
      <c r="BJ781" s="1196"/>
      <c r="BK781" s="1196"/>
      <c r="BL781" s="1196"/>
      <c r="BM781" s="1196"/>
      <c r="BN781" s="1196"/>
      <c r="BO781" s="1196"/>
      <c r="BP781" s="1196"/>
      <c r="BQ781" s="1196"/>
      <c r="BR781" s="1196"/>
      <c r="BS781" s="1196"/>
      <c r="BT781" s="1196"/>
      <c r="BU781" s="1196"/>
      <c r="BV781" s="1196"/>
      <c r="BW781" s="1196"/>
      <c r="BX781" s="1196"/>
      <c r="BY781" s="1196"/>
      <c r="BZ781" s="1196"/>
      <c r="CA781" s="1196"/>
      <c r="CB781" s="1196"/>
      <c r="CC781" s="1196"/>
      <c r="CD781" s="1196"/>
      <c r="CE781" s="1196"/>
      <c r="CF781" s="1196"/>
      <c r="CG781" s="1196"/>
      <c r="CH781" s="1196"/>
      <c r="CI781" s="1196"/>
      <c r="CJ781" s="1196"/>
      <c r="CK781" s="1196"/>
      <c r="CL781" s="1196"/>
    </row>
    <row r="782" spans="1:90" s="1183" customFormat="1" ht="28.5" customHeight="1" x14ac:dyDescent="0.25">
      <c r="A782" s="1183" t="s">
        <v>4704</v>
      </c>
      <c r="B782" s="1184">
        <v>45036</v>
      </c>
      <c r="C782" s="1185">
        <v>0.875</v>
      </c>
      <c r="D782" s="1510" t="s">
        <v>5427</v>
      </c>
      <c r="E782" s="1511"/>
      <c r="F782" s="1511"/>
      <c r="G782" s="1511"/>
      <c r="H782" s="1511"/>
      <c r="I782" s="1511"/>
      <c r="J782" s="1511"/>
      <c r="K782" s="1511"/>
      <c r="L782" s="1511"/>
      <c r="M782" s="1511"/>
      <c r="N782" s="1511"/>
      <c r="O782" s="1511"/>
      <c r="P782" s="1511"/>
      <c r="Q782" s="1511"/>
      <c r="R782" s="1511"/>
      <c r="S782" s="1512"/>
      <c r="T782" s="1194" t="s">
        <v>23</v>
      </c>
      <c r="U782" s="813" t="s">
        <v>4320</v>
      </c>
      <c r="V782" s="1195"/>
      <c r="W782" s="1196"/>
      <c r="X782" s="1196"/>
      <c r="Y782" s="1196"/>
      <c r="Z782" s="1196"/>
      <c r="AA782" s="1196"/>
      <c r="AB782" s="1196"/>
      <c r="AC782" s="1196"/>
      <c r="AD782" s="1196"/>
      <c r="AE782" s="1196"/>
      <c r="AF782" s="1196"/>
      <c r="AG782" s="1196"/>
      <c r="AH782" s="1196"/>
      <c r="AI782" s="1196"/>
      <c r="AJ782" s="1196"/>
      <c r="AK782" s="1196"/>
      <c r="AL782" s="1196"/>
      <c r="AM782" s="1196"/>
      <c r="AN782" s="1196"/>
      <c r="AO782" s="1196"/>
      <c r="AP782" s="1196"/>
      <c r="AQ782" s="1196"/>
      <c r="AR782" s="1196"/>
      <c r="AS782" s="1196"/>
      <c r="AT782" s="1196"/>
      <c r="AU782" s="1196"/>
      <c r="AV782" s="1196"/>
      <c r="AW782" s="1196"/>
      <c r="AX782" s="1196"/>
      <c r="AY782" s="1196"/>
      <c r="AZ782" s="1196"/>
      <c r="BA782" s="1196"/>
      <c r="BB782" s="1196"/>
      <c r="BC782" s="1196"/>
      <c r="BD782" s="1196"/>
      <c r="BE782" s="1196"/>
      <c r="BF782" s="1196"/>
      <c r="BG782" s="1196"/>
      <c r="BH782" s="1196"/>
      <c r="BI782" s="1196"/>
      <c r="BJ782" s="1196"/>
      <c r="BK782" s="1196"/>
      <c r="BL782" s="1196"/>
      <c r="BM782" s="1196"/>
      <c r="BN782" s="1196"/>
      <c r="BO782" s="1196"/>
      <c r="BP782" s="1196"/>
      <c r="BQ782" s="1196"/>
      <c r="BR782" s="1196"/>
      <c r="BS782" s="1196"/>
      <c r="BT782" s="1196"/>
      <c r="BU782" s="1196"/>
      <c r="BV782" s="1196"/>
      <c r="BW782" s="1196"/>
      <c r="BX782" s="1196"/>
      <c r="BY782" s="1196"/>
      <c r="BZ782" s="1196"/>
      <c r="CA782" s="1196"/>
      <c r="CB782" s="1196"/>
      <c r="CC782" s="1196"/>
      <c r="CD782" s="1196"/>
      <c r="CE782" s="1196"/>
      <c r="CF782" s="1196"/>
      <c r="CG782" s="1196"/>
      <c r="CH782" s="1196"/>
      <c r="CI782" s="1196"/>
      <c r="CJ782" s="1196"/>
      <c r="CK782" s="1196"/>
      <c r="CL782" s="1196"/>
    </row>
    <row r="783" spans="1:90" s="1183" customFormat="1" ht="28.5" customHeight="1" x14ac:dyDescent="0.25">
      <c r="A783" s="1183" t="s">
        <v>4704</v>
      </c>
      <c r="B783" s="1184">
        <v>45037</v>
      </c>
      <c r="C783" s="1185">
        <v>0.91666666666666663</v>
      </c>
      <c r="D783" s="1186">
        <v>52</v>
      </c>
      <c r="E783" s="1187">
        <v>11.2</v>
      </c>
      <c r="F783" s="1188">
        <v>15.3</v>
      </c>
      <c r="G783" s="1189">
        <v>1067</v>
      </c>
      <c r="H783" s="1189">
        <v>1962</v>
      </c>
      <c r="I783" s="1189">
        <v>98.8</v>
      </c>
      <c r="J783" s="1190">
        <v>111.6</v>
      </c>
      <c r="K783" s="1190" t="s">
        <v>5430</v>
      </c>
      <c r="L783" s="1187">
        <v>35.71</v>
      </c>
      <c r="M783" s="1187">
        <v>41</v>
      </c>
      <c r="N783" s="1187">
        <v>50.81</v>
      </c>
      <c r="O783" s="1191" t="s">
        <v>142</v>
      </c>
      <c r="P783" s="1191" t="s">
        <v>142</v>
      </c>
      <c r="Q783" s="1192" t="s">
        <v>142</v>
      </c>
      <c r="R783" s="1191" t="s">
        <v>4024</v>
      </c>
      <c r="S783" s="1193">
        <v>65.3</v>
      </c>
      <c r="T783" s="1194" t="s">
        <v>23</v>
      </c>
      <c r="U783" s="813" t="s">
        <v>4320</v>
      </c>
      <c r="V783" s="1195"/>
      <c r="W783" s="1196"/>
      <c r="X783" s="1196"/>
      <c r="Y783" s="1196"/>
      <c r="Z783" s="1196"/>
      <c r="AA783" s="1196"/>
      <c r="AB783" s="1196"/>
      <c r="AC783" s="1196"/>
      <c r="AD783" s="1196"/>
      <c r="AE783" s="1196"/>
      <c r="AF783" s="1196"/>
      <c r="AG783" s="1196"/>
      <c r="AH783" s="1196"/>
      <c r="AI783" s="1196"/>
      <c r="AJ783" s="1196"/>
      <c r="AK783" s="1196"/>
      <c r="AL783" s="1196"/>
      <c r="AM783" s="1196"/>
      <c r="AN783" s="1196"/>
      <c r="AO783" s="1196"/>
      <c r="AP783" s="1196"/>
      <c r="AQ783" s="1196"/>
      <c r="AR783" s="1196"/>
      <c r="AS783" s="1196"/>
      <c r="AT783" s="1196"/>
      <c r="AU783" s="1196"/>
      <c r="AV783" s="1196"/>
      <c r="AW783" s="1196"/>
      <c r="AX783" s="1196"/>
      <c r="AY783" s="1196"/>
      <c r="AZ783" s="1196"/>
      <c r="BA783" s="1196"/>
      <c r="BB783" s="1196"/>
      <c r="BC783" s="1196"/>
      <c r="BD783" s="1196"/>
      <c r="BE783" s="1196"/>
      <c r="BF783" s="1196"/>
      <c r="BG783" s="1196"/>
      <c r="BH783" s="1196"/>
      <c r="BI783" s="1196"/>
      <c r="BJ783" s="1196"/>
      <c r="BK783" s="1196"/>
      <c r="BL783" s="1196"/>
      <c r="BM783" s="1196"/>
      <c r="BN783" s="1196"/>
      <c r="BO783" s="1196"/>
      <c r="BP783" s="1196"/>
      <c r="BQ783" s="1196"/>
      <c r="BR783" s="1196"/>
      <c r="BS783" s="1196"/>
      <c r="BT783" s="1196"/>
      <c r="BU783" s="1196"/>
      <c r="BV783" s="1196"/>
      <c r="BW783" s="1196"/>
      <c r="BX783" s="1196"/>
      <c r="BY783" s="1196"/>
      <c r="BZ783" s="1196"/>
      <c r="CA783" s="1196"/>
      <c r="CB783" s="1196"/>
      <c r="CC783" s="1196"/>
      <c r="CD783" s="1196"/>
      <c r="CE783" s="1196"/>
      <c r="CF783" s="1196"/>
      <c r="CG783" s="1196"/>
      <c r="CH783" s="1196"/>
      <c r="CI783" s="1196"/>
      <c r="CJ783" s="1196"/>
      <c r="CK783" s="1196"/>
      <c r="CL783" s="1196"/>
    </row>
    <row r="784" spans="1:90" s="1183" customFormat="1" ht="28.5" customHeight="1" x14ac:dyDescent="0.25">
      <c r="A784" s="1183" t="s">
        <v>4704</v>
      </c>
      <c r="B784" s="1184">
        <v>45038</v>
      </c>
      <c r="C784" s="1185">
        <v>0.91666666666666663</v>
      </c>
      <c r="D784" s="1186">
        <v>52</v>
      </c>
      <c r="E784" s="1187">
        <v>13.8</v>
      </c>
      <c r="F784" s="1188">
        <v>17.5</v>
      </c>
      <c r="G784" s="1189">
        <v>1163</v>
      </c>
      <c r="H784" s="1189">
        <v>1198</v>
      </c>
      <c r="I784" s="1189">
        <v>97.1</v>
      </c>
      <c r="J784" s="1190">
        <v>112.3</v>
      </c>
      <c r="K784" s="1190" t="s">
        <v>5442</v>
      </c>
      <c r="L784" s="1187">
        <v>38.6</v>
      </c>
      <c r="M784" s="1187">
        <v>40</v>
      </c>
      <c r="N784" s="1187">
        <v>49.81</v>
      </c>
      <c r="O784" s="1191" t="s">
        <v>142</v>
      </c>
      <c r="P784" s="1191" t="s">
        <v>142</v>
      </c>
      <c r="Q784" s="1192" t="s">
        <v>142</v>
      </c>
      <c r="R784" s="1191" t="s">
        <v>2286</v>
      </c>
      <c r="S784" s="1193">
        <v>74.7</v>
      </c>
      <c r="T784" s="1194" t="s">
        <v>23</v>
      </c>
      <c r="U784" s="813" t="s">
        <v>4320</v>
      </c>
      <c r="V784" s="1195" t="s">
        <v>415</v>
      </c>
      <c r="W784" s="1196"/>
      <c r="X784" s="1196"/>
      <c r="Y784" s="1196"/>
      <c r="Z784" s="1196"/>
      <c r="AA784" s="1196"/>
      <c r="AB784" s="1196"/>
      <c r="AC784" s="1196"/>
      <c r="AD784" s="1196"/>
      <c r="AE784" s="1196"/>
      <c r="AF784" s="1196"/>
      <c r="AG784" s="1196"/>
      <c r="AH784" s="1196"/>
      <c r="AI784" s="1196"/>
      <c r="AJ784" s="1196"/>
      <c r="AK784" s="1196"/>
      <c r="AL784" s="1196"/>
      <c r="AM784" s="1196"/>
      <c r="AN784" s="1196"/>
      <c r="AO784" s="1196"/>
      <c r="AP784" s="1196"/>
      <c r="AQ784" s="1196"/>
      <c r="AR784" s="1196"/>
      <c r="AS784" s="1196"/>
      <c r="AT784" s="1196"/>
      <c r="AU784" s="1196"/>
      <c r="AV784" s="1196"/>
      <c r="AW784" s="1196"/>
      <c r="AX784" s="1196"/>
      <c r="AY784" s="1196"/>
      <c r="AZ784" s="1196"/>
      <c r="BA784" s="1196"/>
      <c r="BB784" s="1196"/>
      <c r="BC784" s="1196"/>
      <c r="BD784" s="1196"/>
      <c r="BE784" s="1196"/>
      <c r="BF784" s="1196"/>
      <c r="BG784" s="1196"/>
      <c r="BH784" s="1196"/>
      <c r="BI784" s="1196"/>
      <c r="BJ784" s="1196"/>
      <c r="BK784" s="1196"/>
      <c r="BL784" s="1196"/>
      <c r="BM784" s="1196"/>
      <c r="BN784" s="1196"/>
      <c r="BO784" s="1196"/>
      <c r="BP784" s="1196"/>
      <c r="BQ784" s="1196"/>
      <c r="BR784" s="1196"/>
      <c r="BS784" s="1196"/>
      <c r="BT784" s="1196"/>
      <c r="BU784" s="1196"/>
      <c r="BV784" s="1196"/>
      <c r="BW784" s="1196"/>
      <c r="BX784" s="1196"/>
      <c r="BY784" s="1196"/>
      <c r="BZ784" s="1196"/>
      <c r="CA784" s="1196"/>
      <c r="CB784" s="1196"/>
      <c r="CC784" s="1196"/>
      <c r="CD784" s="1196"/>
      <c r="CE784" s="1196"/>
      <c r="CF784" s="1196"/>
      <c r="CG784" s="1196"/>
      <c r="CH784" s="1196"/>
      <c r="CI784" s="1196"/>
      <c r="CJ784" s="1196"/>
      <c r="CK784" s="1196"/>
      <c r="CL784" s="1196"/>
    </row>
    <row r="785" spans="1:90" s="1183" customFormat="1" ht="28.5" customHeight="1" x14ac:dyDescent="0.25">
      <c r="A785" s="1183" t="s">
        <v>4704</v>
      </c>
      <c r="B785" s="1184">
        <v>45039</v>
      </c>
      <c r="C785" s="1185">
        <v>0.91666666666666663</v>
      </c>
      <c r="D785" s="1186">
        <v>53</v>
      </c>
      <c r="E785" s="1187">
        <v>8.3000000000000007</v>
      </c>
      <c r="F785" s="1188">
        <v>13.4</v>
      </c>
      <c r="G785" s="1189">
        <v>1177</v>
      </c>
      <c r="H785" s="1189">
        <v>2103</v>
      </c>
      <c r="I785" s="1189">
        <v>96.6</v>
      </c>
      <c r="J785" s="1190">
        <v>114.8</v>
      </c>
      <c r="K785" s="1190" t="s">
        <v>5447</v>
      </c>
      <c r="L785" s="1187">
        <v>42.23</v>
      </c>
      <c r="M785" s="1187">
        <v>40</v>
      </c>
      <c r="N785" s="1187">
        <v>37.15</v>
      </c>
      <c r="O785" s="1191" t="s">
        <v>142</v>
      </c>
      <c r="P785" s="1191" t="s">
        <v>142</v>
      </c>
      <c r="Q785" s="1192" t="s">
        <v>142</v>
      </c>
      <c r="R785" s="1191" t="s">
        <v>2393</v>
      </c>
      <c r="S785" s="1193">
        <v>57.2</v>
      </c>
      <c r="T785" s="1194" t="s">
        <v>23</v>
      </c>
      <c r="U785" s="813" t="s">
        <v>4320</v>
      </c>
      <c r="V785" s="1195" t="s">
        <v>5452</v>
      </c>
      <c r="W785" s="1196"/>
      <c r="X785" s="1196"/>
      <c r="Y785" s="1196"/>
      <c r="Z785" s="1196"/>
      <c r="AA785" s="1196"/>
      <c r="AB785" s="1196"/>
      <c r="AC785" s="1196"/>
      <c r="AD785" s="1196"/>
      <c r="AE785" s="1196"/>
      <c r="AF785" s="1196"/>
      <c r="AG785" s="1196"/>
      <c r="AH785" s="1196"/>
      <c r="AI785" s="1196"/>
      <c r="AJ785" s="1196"/>
      <c r="AK785" s="1196"/>
      <c r="AL785" s="1196"/>
      <c r="AM785" s="1196"/>
      <c r="AN785" s="1196"/>
      <c r="AO785" s="1196"/>
      <c r="AP785" s="1196"/>
      <c r="AQ785" s="1196"/>
      <c r="AR785" s="1196"/>
      <c r="AS785" s="1196"/>
      <c r="AT785" s="1196"/>
      <c r="AU785" s="1196"/>
      <c r="AV785" s="1196"/>
      <c r="AW785" s="1196"/>
      <c r="AX785" s="1196"/>
      <c r="AY785" s="1196"/>
      <c r="AZ785" s="1196"/>
      <c r="BA785" s="1196"/>
      <c r="BB785" s="1196"/>
      <c r="BC785" s="1196"/>
      <c r="BD785" s="1196"/>
      <c r="BE785" s="1196"/>
      <c r="BF785" s="1196"/>
      <c r="BG785" s="1196"/>
      <c r="BH785" s="1196"/>
      <c r="BI785" s="1196"/>
      <c r="BJ785" s="1196"/>
      <c r="BK785" s="1196"/>
      <c r="BL785" s="1196"/>
      <c r="BM785" s="1196"/>
      <c r="BN785" s="1196"/>
      <c r="BO785" s="1196"/>
      <c r="BP785" s="1196"/>
      <c r="BQ785" s="1196"/>
      <c r="BR785" s="1196"/>
      <c r="BS785" s="1196"/>
      <c r="BT785" s="1196"/>
      <c r="BU785" s="1196"/>
      <c r="BV785" s="1196"/>
      <c r="BW785" s="1196"/>
      <c r="BX785" s="1196"/>
      <c r="BY785" s="1196"/>
      <c r="BZ785" s="1196"/>
      <c r="CA785" s="1196"/>
      <c r="CB785" s="1196"/>
      <c r="CC785" s="1196"/>
      <c r="CD785" s="1196"/>
      <c r="CE785" s="1196"/>
      <c r="CF785" s="1196"/>
      <c r="CG785" s="1196"/>
      <c r="CH785" s="1196"/>
      <c r="CI785" s="1196"/>
      <c r="CJ785" s="1196"/>
      <c r="CK785" s="1196"/>
      <c r="CL785" s="1196"/>
    </row>
    <row r="786" spans="1:90" s="1183" customFormat="1" ht="34.5" customHeight="1" x14ac:dyDescent="0.25">
      <c r="A786" s="1183" t="s">
        <v>4704</v>
      </c>
      <c r="B786" s="1184">
        <v>45040</v>
      </c>
      <c r="C786" s="1185">
        <v>0.94791666666666663</v>
      </c>
      <c r="D786" s="1186">
        <v>55</v>
      </c>
      <c r="E786" s="1187">
        <v>7</v>
      </c>
      <c r="F786" s="1188">
        <v>12.9</v>
      </c>
      <c r="G786" s="1189">
        <v>1214</v>
      </c>
      <c r="H786" s="1189">
        <v>2037</v>
      </c>
      <c r="I786" s="1189">
        <v>96.5</v>
      </c>
      <c r="J786" s="1190">
        <v>113.5</v>
      </c>
      <c r="K786" s="1190" t="s">
        <v>5451</v>
      </c>
      <c r="L786" s="1187">
        <v>39.520000000000003</v>
      </c>
      <c r="M786" s="1187">
        <v>39</v>
      </c>
      <c r="N786" s="1187">
        <v>40.78</v>
      </c>
      <c r="O786" s="1191" t="s">
        <v>142</v>
      </c>
      <c r="P786" s="1191" t="s">
        <v>142</v>
      </c>
      <c r="Q786" s="1192" t="s">
        <v>142</v>
      </c>
      <c r="R786" s="1191" t="s">
        <v>2628</v>
      </c>
      <c r="S786" s="1193">
        <v>55.1</v>
      </c>
      <c r="T786" s="1194" t="s">
        <v>23</v>
      </c>
      <c r="U786" s="813" t="s">
        <v>4320</v>
      </c>
      <c r="V786" s="1195" t="s">
        <v>5473</v>
      </c>
      <c r="W786" s="1196"/>
      <c r="X786" s="1196"/>
      <c r="Y786" s="1196"/>
      <c r="Z786" s="1196"/>
      <c r="AA786" s="1196"/>
      <c r="AB786" s="1196"/>
      <c r="AC786" s="1196"/>
      <c r="AD786" s="1196"/>
      <c r="AE786" s="1196"/>
      <c r="AF786" s="1196"/>
      <c r="AG786" s="1196"/>
      <c r="AH786" s="1196"/>
      <c r="AI786" s="1196"/>
      <c r="AJ786" s="1196"/>
      <c r="AK786" s="1196"/>
      <c r="AL786" s="1196"/>
      <c r="AM786" s="1196"/>
      <c r="AN786" s="1196"/>
      <c r="AO786" s="1196"/>
      <c r="AP786" s="1196"/>
      <c r="AQ786" s="1196"/>
      <c r="AR786" s="1196"/>
      <c r="AS786" s="1196"/>
      <c r="AT786" s="1196"/>
      <c r="AU786" s="1196"/>
      <c r="AV786" s="1196"/>
      <c r="AW786" s="1196"/>
      <c r="AX786" s="1196"/>
      <c r="AY786" s="1196"/>
      <c r="AZ786" s="1196"/>
      <c r="BA786" s="1196"/>
      <c r="BB786" s="1196"/>
      <c r="BC786" s="1196"/>
      <c r="BD786" s="1196"/>
      <c r="BE786" s="1196"/>
      <c r="BF786" s="1196"/>
      <c r="BG786" s="1196"/>
      <c r="BH786" s="1196"/>
      <c r="BI786" s="1196"/>
      <c r="BJ786" s="1196"/>
      <c r="BK786" s="1196"/>
      <c r="BL786" s="1196"/>
      <c r="BM786" s="1196"/>
      <c r="BN786" s="1196"/>
      <c r="BO786" s="1196"/>
      <c r="BP786" s="1196"/>
      <c r="BQ786" s="1196"/>
      <c r="BR786" s="1196"/>
      <c r="BS786" s="1196"/>
      <c r="BT786" s="1196"/>
      <c r="BU786" s="1196"/>
      <c r="BV786" s="1196"/>
      <c r="BW786" s="1196"/>
      <c r="BX786" s="1196"/>
      <c r="BY786" s="1196"/>
      <c r="BZ786" s="1196"/>
      <c r="CA786" s="1196"/>
      <c r="CB786" s="1196"/>
      <c r="CC786" s="1196"/>
      <c r="CD786" s="1196"/>
      <c r="CE786" s="1196"/>
      <c r="CF786" s="1196"/>
      <c r="CG786" s="1196"/>
      <c r="CH786" s="1196"/>
      <c r="CI786" s="1196"/>
      <c r="CJ786" s="1196"/>
      <c r="CK786" s="1196"/>
      <c r="CL786" s="1196"/>
    </row>
    <row r="787" spans="1:90" s="1183" customFormat="1" ht="34.5" customHeight="1" x14ac:dyDescent="0.25">
      <c r="A787" s="1183" t="s">
        <v>4704</v>
      </c>
      <c r="B787" s="1184">
        <v>45041</v>
      </c>
      <c r="C787" s="1185">
        <v>0.94791666666666663</v>
      </c>
      <c r="D787" s="1186">
        <v>54</v>
      </c>
      <c r="E787" s="1187">
        <v>8.3000000000000007</v>
      </c>
      <c r="F787" s="1188">
        <v>13.4</v>
      </c>
      <c r="G787" s="1189">
        <v>1215</v>
      </c>
      <c r="H787" s="1189">
        <v>1931</v>
      </c>
      <c r="I787" s="1189">
        <v>97.5</v>
      </c>
      <c r="J787" s="1190">
        <v>114.5</v>
      </c>
      <c r="K787" s="1190" t="s">
        <v>5499</v>
      </c>
      <c r="L787" s="1187">
        <v>40.369999999999997</v>
      </c>
      <c r="M787" s="1187">
        <v>39</v>
      </c>
      <c r="N787" s="1187">
        <v>49</v>
      </c>
      <c r="O787" s="1191" t="s">
        <v>142</v>
      </c>
      <c r="P787" s="1191" t="s">
        <v>142</v>
      </c>
      <c r="Q787" s="1192" t="s">
        <v>142</v>
      </c>
      <c r="R787" s="1191" t="s">
        <v>4721</v>
      </c>
      <c r="S787" s="1193">
        <v>57.2</v>
      </c>
      <c r="T787" s="1194" t="s">
        <v>23</v>
      </c>
      <c r="U787" s="813" t="s">
        <v>4320</v>
      </c>
      <c r="V787" s="1195" t="s">
        <v>5500</v>
      </c>
      <c r="W787" s="1196"/>
      <c r="X787" s="1196"/>
      <c r="Y787" s="1196"/>
      <c r="Z787" s="1196"/>
      <c r="AA787" s="1196"/>
      <c r="AB787" s="1196"/>
      <c r="AC787" s="1196"/>
      <c r="AD787" s="1196"/>
      <c r="AE787" s="1196"/>
      <c r="AF787" s="1196"/>
      <c r="AG787" s="1196"/>
      <c r="AH787" s="1196"/>
      <c r="AI787" s="1196"/>
      <c r="AJ787" s="1196"/>
      <c r="AK787" s="1196"/>
      <c r="AL787" s="1196"/>
      <c r="AM787" s="1196"/>
      <c r="AN787" s="1196"/>
      <c r="AO787" s="1196"/>
      <c r="AP787" s="1196"/>
      <c r="AQ787" s="1196"/>
      <c r="AR787" s="1196"/>
      <c r="AS787" s="1196"/>
      <c r="AT787" s="1196"/>
      <c r="AU787" s="1196"/>
      <c r="AV787" s="1196"/>
      <c r="AW787" s="1196"/>
      <c r="AX787" s="1196"/>
      <c r="AY787" s="1196"/>
      <c r="AZ787" s="1196"/>
      <c r="BA787" s="1196"/>
      <c r="BB787" s="1196"/>
      <c r="BC787" s="1196"/>
      <c r="BD787" s="1196"/>
      <c r="BE787" s="1196"/>
      <c r="BF787" s="1196"/>
      <c r="BG787" s="1196"/>
      <c r="BH787" s="1196"/>
      <c r="BI787" s="1196"/>
      <c r="BJ787" s="1196"/>
      <c r="BK787" s="1196"/>
      <c r="BL787" s="1196"/>
      <c r="BM787" s="1196"/>
      <c r="BN787" s="1196"/>
      <c r="BO787" s="1196"/>
      <c r="BP787" s="1196"/>
      <c r="BQ787" s="1196"/>
      <c r="BR787" s="1196"/>
      <c r="BS787" s="1196"/>
      <c r="BT787" s="1196"/>
      <c r="BU787" s="1196"/>
      <c r="BV787" s="1196"/>
      <c r="BW787" s="1196"/>
      <c r="BX787" s="1196"/>
      <c r="BY787" s="1196"/>
      <c r="BZ787" s="1196"/>
      <c r="CA787" s="1196"/>
      <c r="CB787" s="1196"/>
      <c r="CC787" s="1196"/>
      <c r="CD787" s="1196"/>
      <c r="CE787" s="1196"/>
      <c r="CF787" s="1196"/>
      <c r="CG787" s="1196"/>
      <c r="CH787" s="1196"/>
      <c r="CI787" s="1196"/>
      <c r="CJ787" s="1196"/>
      <c r="CK787" s="1196"/>
      <c r="CL787" s="1196"/>
    </row>
    <row r="788" spans="1:90" s="1183" customFormat="1" ht="34.5" customHeight="1" x14ac:dyDescent="0.25">
      <c r="A788" s="1183" t="s">
        <v>4704</v>
      </c>
      <c r="B788" s="1184">
        <v>45042</v>
      </c>
      <c r="C788" s="1185">
        <v>0.91666666666666663</v>
      </c>
      <c r="D788" s="1186">
        <v>60</v>
      </c>
      <c r="E788" s="1187">
        <v>13.1</v>
      </c>
      <c r="F788" s="1188">
        <v>16.399999999999999</v>
      </c>
      <c r="G788" s="1189">
        <v>960</v>
      </c>
      <c r="H788" s="1189">
        <v>1854</v>
      </c>
      <c r="I788" s="1189">
        <v>99.1</v>
      </c>
      <c r="J788" s="1190">
        <v>101.8</v>
      </c>
      <c r="K788" s="1190" t="s">
        <v>5507</v>
      </c>
      <c r="L788" s="1187">
        <v>40.67</v>
      </c>
      <c r="M788" s="1187">
        <v>40</v>
      </c>
      <c r="N788" s="1187">
        <v>55.75</v>
      </c>
      <c r="O788" s="1191" t="s">
        <v>142</v>
      </c>
      <c r="P788" s="1191" t="s">
        <v>142</v>
      </c>
      <c r="Q788" s="1192" t="s">
        <v>142</v>
      </c>
      <c r="R788" s="1191" t="s">
        <v>3015</v>
      </c>
      <c r="S788" s="1193">
        <v>70</v>
      </c>
      <c r="T788" s="1194" t="s">
        <v>23</v>
      </c>
      <c r="U788" s="813" t="s">
        <v>4320</v>
      </c>
      <c r="V788" s="1195" t="s">
        <v>5516</v>
      </c>
      <c r="W788" s="1196"/>
      <c r="X788" s="1196"/>
      <c r="Y788" s="1196"/>
      <c r="Z788" s="1196"/>
      <c r="AA788" s="1196"/>
      <c r="AB788" s="1196"/>
      <c r="AC788" s="1196"/>
      <c r="AD788" s="1196"/>
      <c r="AE788" s="1196"/>
      <c r="AF788" s="1196"/>
      <c r="AG788" s="1196"/>
      <c r="AH788" s="1196"/>
      <c r="AI788" s="1196"/>
      <c r="AJ788" s="1196"/>
      <c r="AK788" s="1196"/>
      <c r="AL788" s="1196"/>
      <c r="AM788" s="1196"/>
      <c r="AN788" s="1196"/>
      <c r="AO788" s="1196"/>
      <c r="AP788" s="1196"/>
      <c r="AQ788" s="1196"/>
      <c r="AR788" s="1196"/>
      <c r="AS788" s="1196"/>
      <c r="AT788" s="1196"/>
      <c r="AU788" s="1196"/>
      <c r="AV788" s="1196"/>
      <c r="AW788" s="1196"/>
      <c r="AX788" s="1196"/>
      <c r="AY788" s="1196"/>
      <c r="AZ788" s="1196"/>
      <c r="BA788" s="1196"/>
      <c r="BB788" s="1196"/>
      <c r="BC788" s="1196"/>
      <c r="BD788" s="1196"/>
      <c r="BE788" s="1196"/>
      <c r="BF788" s="1196"/>
      <c r="BG788" s="1196"/>
      <c r="BH788" s="1196"/>
      <c r="BI788" s="1196"/>
      <c r="BJ788" s="1196"/>
      <c r="BK788" s="1196"/>
      <c r="BL788" s="1196"/>
      <c r="BM788" s="1196"/>
      <c r="BN788" s="1196"/>
      <c r="BO788" s="1196"/>
      <c r="BP788" s="1196"/>
      <c r="BQ788" s="1196"/>
      <c r="BR788" s="1196"/>
      <c r="BS788" s="1196"/>
      <c r="BT788" s="1196"/>
      <c r="BU788" s="1196"/>
      <c r="BV788" s="1196"/>
      <c r="BW788" s="1196"/>
      <c r="BX788" s="1196"/>
      <c r="BY788" s="1196"/>
      <c r="BZ788" s="1196"/>
      <c r="CA788" s="1196"/>
      <c r="CB788" s="1196"/>
      <c r="CC788" s="1196"/>
      <c r="CD788" s="1196"/>
      <c r="CE788" s="1196"/>
      <c r="CF788" s="1196"/>
      <c r="CG788" s="1196"/>
      <c r="CH788" s="1196"/>
      <c r="CI788" s="1196"/>
      <c r="CJ788" s="1196"/>
      <c r="CK788" s="1196"/>
      <c r="CL788" s="1196"/>
    </row>
    <row r="789" spans="1:90" s="1183" customFormat="1" ht="34.5" customHeight="1" x14ac:dyDescent="0.25">
      <c r="A789" s="1183" t="s">
        <v>4704</v>
      </c>
      <c r="B789" s="1184">
        <v>45043</v>
      </c>
      <c r="C789" s="1185">
        <v>0.95833333333333337</v>
      </c>
      <c r="D789" s="1510" t="s">
        <v>5536</v>
      </c>
      <c r="E789" s="1511"/>
      <c r="F789" s="1511"/>
      <c r="G789" s="1511"/>
      <c r="H789" s="1511"/>
      <c r="I789" s="1511"/>
      <c r="J789" s="1511"/>
      <c r="K789" s="1511"/>
      <c r="L789" s="1511"/>
      <c r="M789" s="1511"/>
      <c r="N789" s="1511"/>
      <c r="O789" s="1511"/>
      <c r="P789" s="1511"/>
      <c r="Q789" s="1511"/>
      <c r="R789" s="1511"/>
      <c r="S789" s="1512"/>
      <c r="T789" s="1194" t="s">
        <v>23</v>
      </c>
      <c r="U789" s="813" t="s">
        <v>4320</v>
      </c>
      <c r="V789" s="1195"/>
      <c r="W789" s="1196"/>
      <c r="X789" s="1196"/>
      <c r="Y789" s="1196"/>
      <c r="Z789" s="1196"/>
      <c r="AA789" s="1196"/>
      <c r="AB789" s="1196"/>
      <c r="AC789" s="1196"/>
      <c r="AD789" s="1196"/>
      <c r="AE789" s="1196"/>
      <c r="AF789" s="1196"/>
      <c r="AG789" s="1196"/>
      <c r="AH789" s="1196"/>
      <c r="AI789" s="1196"/>
      <c r="AJ789" s="1196"/>
      <c r="AK789" s="1196"/>
      <c r="AL789" s="1196"/>
      <c r="AM789" s="1196"/>
      <c r="AN789" s="1196"/>
      <c r="AO789" s="1196"/>
      <c r="AP789" s="1196"/>
      <c r="AQ789" s="1196"/>
      <c r="AR789" s="1196"/>
      <c r="AS789" s="1196"/>
      <c r="AT789" s="1196"/>
      <c r="AU789" s="1196"/>
      <c r="AV789" s="1196"/>
      <c r="AW789" s="1196"/>
      <c r="AX789" s="1196"/>
      <c r="AY789" s="1196"/>
      <c r="AZ789" s="1196"/>
      <c r="BA789" s="1196"/>
      <c r="BB789" s="1196"/>
      <c r="BC789" s="1196"/>
      <c r="BD789" s="1196"/>
      <c r="BE789" s="1196"/>
      <c r="BF789" s="1196"/>
      <c r="BG789" s="1196"/>
      <c r="BH789" s="1196"/>
      <c r="BI789" s="1196"/>
      <c r="BJ789" s="1196"/>
      <c r="BK789" s="1196"/>
      <c r="BL789" s="1196"/>
      <c r="BM789" s="1196"/>
      <c r="BN789" s="1196"/>
      <c r="BO789" s="1196"/>
      <c r="BP789" s="1196"/>
      <c r="BQ789" s="1196"/>
      <c r="BR789" s="1196"/>
      <c r="BS789" s="1196"/>
      <c r="BT789" s="1196"/>
      <c r="BU789" s="1196"/>
      <c r="BV789" s="1196"/>
      <c r="BW789" s="1196"/>
      <c r="BX789" s="1196"/>
      <c r="BY789" s="1196"/>
      <c r="BZ789" s="1196"/>
      <c r="CA789" s="1196"/>
      <c r="CB789" s="1196"/>
      <c r="CC789" s="1196"/>
      <c r="CD789" s="1196"/>
      <c r="CE789" s="1196"/>
      <c r="CF789" s="1196"/>
      <c r="CG789" s="1196"/>
      <c r="CH789" s="1196"/>
      <c r="CI789" s="1196"/>
      <c r="CJ789" s="1196"/>
      <c r="CK789" s="1196"/>
      <c r="CL789" s="1196"/>
    </row>
    <row r="790" spans="1:90" s="1183" customFormat="1" ht="34.5" customHeight="1" x14ac:dyDescent="0.25">
      <c r="A790" s="1183" t="s">
        <v>4704</v>
      </c>
      <c r="B790" s="1184">
        <v>45044</v>
      </c>
      <c r="C790" s="1185">
        <v>0.95833333333333337</v>
      </c>
      <c r="D790" s="1186">
        <v>58</v>
      </c>
      <c r="E790" s="1187">
        <v>13.5</v>
      </c>
      <c r="F790" s="1188">
        <v>17.100000000000001</v>
      </c>
      <c r="G790" s="1189">
        <v>997</v>
      </c>
      <c r="H790" s="1189">
        <v>1976</v>
      </c>
      <c r="I790" s="1189">
        <v>99</v>
      </c>
      <c r="J790" s="1190">
        <v>116.7</v>
      </c>
      <c r="K790" s="1190" t="s">
        <v>5528</v>
      </c>
      <c r="L790" s="1187">
        <v>41.36</v>
      </c>
      <c r="M790" s="1187">
        <v>41</v>
      </c>
      <c r="N790" s="1187">
        <v>56.65</v>
      </c>
      <c r="O790" s="1191" t="s">
        <v>142</v>
      </c>
      <c r="P790" s="1191" t="s">
        <v>142</v>
      </c>
      <c r="Q790" s="1192" t="s">
        <v>142</v>
      </c>
      <c r="R790" s="1191" t="s">
        <v>5529</v>
      </c>
      <c r="S790" s="1193">
        <v>73</v>
      </c>
      <c r="T790" s="1194" t="s">
        <v>23</v>
      </c>
      <c r="U790" s="813" t="s">
        <v>4320</v>
      </c>
      <c r="V790" s="1195" t="s">
        <v>5530</v>
      </c>
      <c r="W790" s="1196"/>
      <c r="X790" s="1196"/>
      <c r="Y790" s="1196"/>
      <c r="Z790" s="1196"/>
      <c r="AA790" s="1196"/>
      <c r="AB790" s="1196"/>
      <c r="AC790" s="1196"/>
      <c r="AD790" s="1196"/>
      <c r="AE790" s="1196"/>
      <c r="AF790" s="1196"/>
      <c r="AG790" s="1196"/>
      <c r="AH790" s="1196"/>
      <c r="AI790" s="1196"/>
      <c r="AJ790" s="1196"/>
      <c r="AK790" s="1196"/>
      <c r="AL790" s="1196"/>
      <c r="AM790" s="1196"/>
      <c r="AN790" s="1196"/>
      <c r="AO790" s="1196"/>
      <c r="AP790" s="1196"/>
      <c r="AQ790" s="1196"/>
      <c r="AR790" s="1196"/>
      <c r="AS790" s="1196"/>
      <c r="AT790" s="1196"/>
      <c r="AU790" s="1196"/>
      <c r="AV790" s="1196"/>
      <c r="AW790" s="1196"/>
      <c r="AX790" s="1196"/>
      <c r="AY790" s="1196"/>
      <c r="AZ790" s="1196"/>
      <c r="BA790" s="1196"/>
      <c r="BB790" s="1196"/>
      <c r="BC790" s="1196"/>
      <c r="BD790" s="1196"/>
      <c r="BE790" s="1196"/>
      <c r="BF790" s="1196"/>
      <c r="BG790" s="1196"/>
      <c r="BH790" s="1196"/>
      <c r="BI790" s="1196"/>
      <c r="BJ790" s="1196"/>
      <c r="BK790" s="1196"/>
      <c r="BL790" s="1196"/>
      <c r="BM790" s="1196"/>
      <c r="BN790" s="1196"/>
      <c r="BO790" s="1196"/>
      <c r="BP790" s="1196"/>
      <c r="BQ790" s="1196"/>
      <c r="BR790" s="1196"/>
      <c r="BS790" s="1196"/>
      <c r="BT790" s="1196"/>
      <c r="BU790" s="1196"/>
      <c r="BV790" s="1196"/>
      <c r="BW790" s="1196"/>
      <c r="BX790" s="1196"/>
      <c r="BY790" s="1196"/>
      <c r="BZ790" s="1196"/>
      <c r="CA790" s="1196"/>
      <c r="CB790" s="1196"/>
      <c r="CC790" s="1196"/>
      <c r="CD790" s="1196"/>
      <c r="CE790" s="1196"/>
      <c r="CF790" s="1196"/>
      <c r="CG790" s="1196"/>
      <c r="CH790" s="1196"/>
      <c r="CI790" s="1196"/>
      <c r="CJ790" s="1196"/>
      <c r="CK790" s="1196"/>
      <c r="CL790" s="1196"/>
    </row>
    <row r="791" spans="1:90" s="1183" customFormat="1" ht="34.5" customHeight="1" x14ac:dyDescent="0.25">
      <c r="A791" s="1183" t="s">
        <v>4704</v>
      </c>
      <c r="B791" s="1184">
        <v>45045</v>
      </c>
      <c r="C791" s="1185">
        <v>0.95833333333333337</v>
      </c>
      <c r="D791" s="1510" t="s">
        <v>5537</v>
      </c>
      <c r="E791" s="1511"/>
      <c r="F791" s="1511"/>
      <c r="G791" s="1511"/>
      <c r="H791" s="1511"/>
      <c r="I791" s="1511"/>
      <c r="J791" s="1511"/>
      <c r="K791" s="1511"/>
      <c r="L791" s="1511"/>
      <c r="M791" s="1511"/>
      <c r="N791" s="1511"/>
      <c r="O791" s="1511"/>
      <c r="P791" s="1511"/>
      <c r="Q791" s="1511"/>
      <c r="R791" s="1511"/>
      <c r="S791" s="1512"/>
      <c r="T791" s="1194" t="s">
        <v>23</v>
      </c>
      <c r="U791" s="813" t="s">
        <v>4320</v>
      </c>
      <c r="V791" s="1195" t="s">
        <v>415</v>
      </c>
      <c r="W791" s="1196"/>
      <c r="X791" s="1196"/>
      <c r="Y791" s="1196"/>
      <c r="Z791" s="1196"/>
      <c r="AA791" s="1196"/>
      <c r="AB791" s="1196"/>
      <c r="AC791" s="1196"/>
      <c r="AD791" s="1196"/>
      <c r="AE791" s="1196"/>
      <c r="AF791" s="1196"/>
      <c r="AG791" s="1196"/>
      <c r="AH791" s="1196"/>
      <c r="AI791" s="1196"/>
      <c r="AJ791" s="1196"/>
      <c r="AK791" s="1196"/>
      <c r="AL791" s="1196"/>
      <c r="AM791" s="1196"/>
      <c r="AN791" s="1196"/>
      <c r="AO791" s="1196"/>
      <c r="AP791" s="1196"/>
      <c r="AQ791" s="1196"/>
      <c r="AR791" s="1196"/>
      <c r="AS791" s="1196"/>
      <c r="AT791" s="1196"/>
      <c r="AU791" s="1196"/>
      <c r="AV791" s="1196"/>
      <c r="AW791" s="1196"/>
      <c r="AX791" s="1196"/>
      <c r="AY791" s="1196"/>
      <c r="AZ791" s="1196"/>
      <c r="BA791" s="1196"/>
      <c r="BB791" s="1196"/>
      <c r="BC791" s="1196"/>
      <c r="BD791" s="1196"/>
      <c r="BE791" s="1196"/>
      <c r="BF791" s="1196"/>
      <c r="BG791" s="1196"/>
      <c r="BH791" s="1196"/>
      <c r="BI791" s="1196"/>
      <c r="BJ791" s="1196"/>
      <c r="BK791" s="1196"/>
      <c r="BL791" s="1196"/>
      <c r="BM791" s="1196"/>
      <c r="BN791" s="1196"/>
      <c r="BO791" s="1196"/>
      <c r="BP791" s="1196"/>
      <c r="BQ791" s="1196"/>
      <c r="BR791" s="1196"/>
      <c r="BS791" s="1196"/>
      <c r="BT791" s="1196"/>
      <c r="BU791" s="1196"/>
      <c r="BV791" s="1196"/>
      <c r="BW791" s="1196"/>
      <c r="BX791" s="1196"/>
      <c r="BY791" s="1196"/>
      <c r="BZ791" s="1196"/>
      <c r="CA791" s="1196"/>
      <c r="CB791" s="1196"/>
      <c r="CC791" s="1196"/>
      <c r="CD791" s="1196"/>
      <c r="CE791" s="1196"/>
      <c r="CF791" s="1196"/>
      <c r="CG791" s="1196"/>
      <c r="CH791" s="1196"/>
      <c r="CI791" s="1196"/>
      <c r="CJ791" s="1196"/>
      <c r="CK791" s="1196"/>
      <c r="CL791" s="1196"/>
    </row>
    <row r="792" spans="1:90" s="1183" customFormat="1" ht="34.5" customHeight="1" x14ac:dyDescent="0.25">
      <c r="A792" s="1183" t="s">
        <v>4704</v>
      </c>
      <c r="B792" s="1184">
        <v>45046</v>
      </c>
      <c r="C792" s="1185">
        <v>0.95833333333333337</v>
      </c>
      <c r="D792" s="1186">
        <v>54</v>
      </c>
      <c r="E792" s="1187">
        <v>12</v>
      </c>
      <c r="F792" s="1188">
        <v>16</v>
      </c>
      <c r="G792" s="1189">
        <v>1016</v>
      </c>
      <c r="H792" s="1189">
        <v>1994</v>
      </c>
      <c r="I792" s="1189">
        <v>99</v>
      </c>
      <c r="J792" s="1190">
        <v>100.8</v>
      </c>
      <c r="K792" s="1190" t="s">
        <v>5541</v>
      </c>
      <c r="L792" s="1187">
        <v>38.24</v>
      </c>
      <c r="M792" s="1187">
        <v>40</v>
      </c>
      <c r="N792" s="1187">
        <v>53.13</v>
      </c>
      <c r="O792" s="1191" t="s">
        <v>142</v>
      </c>
      <c r="P792" s="1191" t="s">
        <v>142</v>
      </c>
      <c r="Q792" s="1192" t="s">
        <v>142</v>
      </c>
      <c r="R792" s="1191" t="s">
        <v>5542</v>
      </c>
      <c r="S792" s="1193">
        <v>68.3</v>
      </c>
      <c r="T792" s="1194" t="s">
        <v>23</v>
      </c>
      <c r="U792" s="813" t="s">
        <v>4320</v>
      </c>
      <c r="V792" s="1195" t="s">
        <v>415</v>
      </c>
      <c r="W792" s="1196"/>
      <c r="X792" s="1196"/>
      <c r="Y792" s="1196"/>
      <c r="Z792" s="1196"/>
      <c r="AA792" s="1196"/>
      <c r="AB792" s="1196"/>
      <c r="AC792" s="1196"/>
      <c r="AD792" s="1196"/>
      <c r="AE792" s="1196"/>
      <c r="AF792" s="1196"/>
      <c r="AG792" s="1196"/>
      <c r="AH792" s="1196"/>
      <c r="AI792" s="1196"/>
      <c r="AJ792" s="1196"/>
      <c r="AK792" s="1196"/>
      <c r="AL792" s="1196"/>
      <c r="AM792" s="1196"/>
      <c r="AN792" s="1196"/>
      <c r="AO792" s="1196"/>
      <c r="AP792" s="1196"/>
      <c r="AQ792" s="1196"/>
      <c r="AR792" s="1196"/>
      <c r="AS792" s="1196"/>
      <c r="AT792" s="1196"/>
      <c r="AU792" s="1196"/>
      <c r="AV792" s="1196"/>
      <c r="AW792" s="1196"/>
      <c r="AX792" s="1196"/>
      <c r="AY792" s="1196"/>
      <c r="AZ792" s="1196"/>
      <c r="BA792" s="1196"/>
      <c r="BB792" s="1196"/>
      <c r="BC792" s="1196"/>
      <c r="BD792" s="1196"/>
      <c r="BE792" s="1196"/>
      <c r="BF792" s="1196"/>
      <c r="BG792" s="1196"/>
      <c r="BH792" s="1196"/>
      <c r="BI792" s="1196"/>
      <c r="BJ792" s="1196"/>
      <c r="BK792" s="1196"/>
      <c r="BL792" s="1196"/>
      <c r="BM792" s="1196"/>
      <c r="BN792" s="1196"/>
      <c r="BO792" s="1196"/>
      <c r="BP792" s="1196"/>
      <c r="BQ792" s="1196"/>
      <c r="BR792" s="1196"/>
      <c r="BS792" s="1196"/>
      <c r="BT792" s="1196"/>
      <c r="BU792" s="1196"/>
      <c r="BV792" s="1196"/>
      <c r="BW792" s="1196"/>
      <c r="BX792" s="1196"/>
      <c r="BY792" s="1196"/>
      <c r="BZ792" s="1196"/>
      <c r="CA792" s="1196"/>
      <c r="CB792" s="1196"/>
      <c r="CC792" s="1196"/>
      <c r="CD792" s="1196"/>
      <c r="CE792" s="1196"/>
      <c r="CF792" s="1196"/>
      <c r="CG792" s="1196"/>
      <c r="CH792" s="1196"/>
      <c r="CI792" s="1196"/>
      <c r="CJ792" s="1196"/>
      <c r="CK792" s="1196"/>
      <c r="CL792" s="1196"/>
    </row>
    <row r="793" spans="1:90" s="1183" customFormat="1" ht="34.5" customHeight="1" x14ac:dyDescent="0.25">
      <c r="A793" s="1183" t="s">
        <v>4704</v>
      </c>
      <c r="B793" s="1184">
        <v>45047</v>
      </c>
      <c r="C793" s="1185">
        <v>0.89583333333333337</v>
      </c>
      <c r="D793" s="1510" t="s">
        <v>5553</v>
      </c>
      <c r="E793" s="1511"/>
      <c r="F793" s="1511"/>
      <c r="G793" s="1511"/>
      <c r="H793" s="1511"/>
      <c r="I793" s="1511"/>
      <c r="J793" s="1511"/>
      <c r="K793" s="1511"/>
      <c r="L793" s="1511"/>
      <c r="M793" s="1511"/>
      <c r="N793" s="1511"/>
      <c r="O793" s="1511"/>
      <c r="P793" s="1511"/>
      <c r="Q793" s="1511"/>
      <c r="R793" s="1511"/>
      <c r="S793" s="1512"/>
      <c r="T793" s="1194" t="s">
        <v>23</v>
      </c>
      <c r="U793" s="813" t="s">
        <v>4320</v>
      </c>
      <c r="V793" s="1195" t="s">
        <v>415</v>
      </c>
      <c r="W793" s="1196"/>
      <c r="X793" s="1196"/>
      <c r="Y793" s="1196"/>
      <c r="Z793" s="1196"/>
      <c r="AA793" s="1196"/>
      <c r="AB793" s="1196"/>
      <c r="AC793" s="1196"/>
      <c r="AD793" s="1196"/>
      <c r="AE793" s="1196"/>
      <c r="AF793" s="1196"/>
      <c r="AG793" s="1196"/>
      <c r="AH793" s="1196"/>
      <c r="AI793" s="1196"/>
      <c r="AJ793" s="1196"/>
      <c r="AK793" s="1196"/>
      <c r="AL793" s="1196"/>
      <c r="AM793" s="1196"/>
      <c r="AN793" s="1196"/>
      <c r="AO793" s="1196"/>
      <c r="AP793" s="1196"/>
      <c r="AQ793" s="1196"/>
      <c r="AR793" s="1196"/>
      <c r="AS793" s="1196"/>
      <c r="AT793" s="1196"/>
      <c r="AU793" s="1196"/>
      <c r="AV793" s="1196"/>
      <c r="AW793" s="1196"/>
      <c r="AX793" s="1196"/>
      <c r="AY793" s="1196"/>
      <c r="AZ793" s="1196"/>
      <c r="BA793" s="1196"/>
      <c r="BB793" s="1196"/>
      <c r="BC793" s="1196"/>
      <c r="BD793" s="1196"/>
      <c r="BE793" s="1196"/>
      <c r="BF793" s="1196"/>
      <c r="BG793" s="1196"/>
      <c r="BH793" s="1196"/>
      <c r="BI793" s="1196"/>
      <c r="BJ793" s="1196"/>
      <c r="BK793" s="1196"/>
      <c r="BL793" s="1196"/>
      <c r="BM793" s="1196"/>
      <c r="BN793" s="1196"/>
      <c r="BO793" s="1196"/>
      <c r="BP793" s="1196"/>
      <c r="BQ793" s="1196"/>
      <c r="BR793" s="1196"/>
      <c r="BS793" s="1196"/>
      <c r="BT793" s="1196"/>
      <c r="BU793" s="1196"/>
      <c r="BV793" s="1196"/>
      <c r="BW793" s="1196"/>
      <c r="BX793" s="1196"/>
      <c r="BY793" s="1196"/>
      <c r="BZ793" s="1196"/>
      <c r="CA793" s="1196"/>
      <c r="CB793" s="1196"/>
      <c r="CC793" s="1196"/>
      <c r="CD793" s="1196"/>
      <c r="CE793" s="1196"/>
      <c r="CF793" s="1196"/>
      <c r="CG793" s="1196"/>
      <c r="CH793" s="1196"/>
      <c r="CI793" s="1196"/>
      <c r="CJ793" s="1196"/>
      <c r="CK793" s="1196"/>
      <c r="CL793" s="1196"/>
    </row>
    <row r="794" spans="1:90" s="1183" customFormat="1" ht="34.5" customHeight="1" x14ac:dyDescent="0.25">
      <c r="A794" s="1183" t="s">
        <v>4704</v>
      </c>
      <c r="B794" s="1184">
        <v>45048</v>
      </c>
      <c r="C794" s="1185">
        <v>0.89583333333333337</v>
      </c>
      <c r="D794" s="1186">
        <v>54.5</v>
      </c>
      <c r="E794" s="1187">
        <v>12</v>
      </c>
      <c r="F794" s="1188">
        <v>16</v>
      </c>
      <c r="G794" s="1189">
        <v>1029</v>
      </c>
      <c r="H794" s="1189">
        <v>2041</v>
      </c>
      <c r="I794" s="1189">
        <v>99</v>
      </c>
      <c r="J794" s="1190">
        <v>113.5</v>
      </c>
      <c r="K794" s="1190" t="s">
        <v>5555</v>
      </c>
      <c r="L794" s="1187">
        <v>39.700000000000003</v>
      </c>
      <c r="M794" s="1187">
        <v>40</v>
      </c>
      <c r="N794" s="1187">
        <v>49.98</v>
      </c>
      <c r="O794" s="1191" t="s">
        <v>142</v>
      </c>
      <c r="P794" s="1191" t="s">
        <v>142</v>
      </c>
      <c r="Q794" s="1192" t="s">
        <v>142</v>
      </c>
      <c r="R794" s="1191" t="s">
        <v>5556</v>
      </c>
      <c r="S794" s="1193">
        <v>68.3</v>
      </c>
      <c r="T794" s="1194" t="s">
        <v>23</v>
      </c>
      <c r="U794" s="813" t="s">
        <v>4320</v>
      </c>
      <c r="V794" s="1195" t="s">
        <v>415</v>
      </c>
      <c r="W794" s="1196"/>
      <c r="X794" s="1196"/>
      <c r="Y794" s="1196"/>
      <c r="Z794" s="1196"/>
      <c r="AA794" s="1196"/>
      <c r="AB794" s="1196"/>
      <c r="AC794" s="1196"/>
      <c r="AD794" s="1196"/>
      <c r="AE794" s="1196"/>
      <c r="AF794" s="1196"/>
      <c r="AG794" s="1196"/>
      <c r="AH794" s="1196"/>
      <c r="AI794" s="1196"/>
      <c r="AJ794" s="1196"/>
      <c r="AK794" s="1196"/>
      <c r="AL794" s="1196"/>
      <c r="AM794" s="1196"/>
      <c r="AN794" s="1196"/>
      <c r="AO794" s="1196"/>
      <c r="AP794" s="1196"/>
      <c r="AQ794" s="1196"/>
      <c r="AR794" s="1196"/>
      <c r="AS794" s="1196"/>
      <c r="AT794" s="1196"/>
      <c r="AU794" s="1196"/>
      <c r="AV794" s="1196"/>
      <c r="AW794" s="1196"/>
      <c r="AX794" s="1196"/>
      <c r="AY794" s="1196"/>
      <c r="AZ794" s="1196"/>
      <c r="BA794" s="1196"/>
      <c r="BB794" s="1196"/>
      <c r="BC794" s="1196"/>
      <c r="BD794" s="1196"/>
      <c r="BE794" s="1196"/>
      <c r="BF794" s="1196"/>
      <c r="BG794" s="1196"/>
      <c r="BH794" s="1196"/>
      <c r="BI794" s="1196"/>
      <c r="BJ794" s="1196"/>
      <c r="BK794" s="1196"/>
      <c r="BL794" s="1196"/>
      <c r="BM794" s="1196"/>
      <c r="BN794" s="1196"/>
      <c r="BO794" s="1196"/>
      <c r="BP794" s="1196"/>
      <c r="BQ794" s="1196"/>
      <c r="BR794" s="1196"/>
      <c r="BS794" s="1196"/>
      <c r="BT794" s="1196"/>
      <c r="BU794" s="1196"/>
      <c r="BV794" s="1196"/>
      <c r="BW794" s="1196"/>
      <c r="BX794" s="1196"/>
      <c r="BY794" s="1196"/>
      <c r="BZ794" s="1196"/>
      <c r="CA794" s="1196"/>
      <c r="CB794" s="1196"/>
      <c r="CC794" s="1196"/>
      <c r="CD794" s="1196"/>
      <c r="CE794" s="1196"/>
      <c r="CF794" s="1196"/>
      <c r="CG794" s="1196"/>
      <c r="CH794" s="1196"/>
      <c r="CI794" s="1196"/>
      <c r="CJ794" s="1196"/>
      <c r="CK794" s="1196"/>
      <c r="CL794" s="1196"/>
    </row>
    <row r="795" spans="1:90" s="1183" customFormat="1" ht="34.5" customHeight="1" x14ac:dyDescent="0.25">
      <c r="A795" s="1183" t="s">
        <v>4704</v>
      </c>
      <c r="B795" s="1184">
        <v>45049</v>
      </c>
      <c r="C795" s="1185">
        <v>0.89583333333333337</v>
      </c>
      <c r="D795" s="1510" t="s">
        <v>5564</v>
      </c>
      <c r="E795" s="1511"/>
      <c r="F795" s="1511"/>
      <c r="G795" s="1511"/>
      <c r="H795" s="1511"/>
      <c r="I795" s="1511"/>
      <c r="J795" s="1511"/>
      <c r="K795" s="1511"/>
      <c r="L795" s="1511"/>
      <c r="M795" s="1511"/>
      <c r="N795" s="1511"/>
      <c r="O795" s="1511"/>
      <c r="P795" s="1511"/>
      <c r="Q795" s="1511"/>
      <c r="R795" s="1511"/>
      <c r="S795" s="1512"/>
      <c r="T795" s="1194" t="s">
        <v>23</v>
      </c>
      <c r="U795" s="813" t="s">
        <v>4320</v>
      </c>
      <c r="V795" s="1195"/>
      <c r="W795" s="1196"/>
      <c r="X795" s="1196"/>
      <c r="Y795" s="1196"/>
      <c r="Z795" s="1196"/>
      <c r="AA795" s="1196"/>
      <c r="AB795" s="1196"/>
      <c r="AC795" s="1196"/>
      <c r="AD795" s="1196"/>
      <c r="AE795" s="1196"/>
      <c r="AF795" s="1196"/>
      <c r="AG795" s="1196"/>
      <c r="AH795" s="1196"/>
      <c r="AI795" s="1196"/>
      <c r="AJ795" s="1196"/>
      <c r="AK795" s="1196"/>
      <c r="AL795" s="1196"/>
      <c r="AM795" s="1196"/>
      <c r="AN795" s="1196"/>
      <c r="AO795" s="1196"/>
      <c r="AP795" s="1196"/>
      <c r="AQ795" s="1196"/>
      <c r="AR795" s="1196"/>
      <c r="AS795" s="1196"/>
      <c r="AT795" s="1196"/>
      <c r="AU795" s="1196"/>
      <c r="AV795" s="1196"/>
      <c r="AW795" s="1196"/>
      <c r="AX795" s="1196"/>
      <c r="AY795" s="1196"/>
      <c r="AZ795" s="1196"/>
      <c r="BA795" s="1196"/>
      <c r="BB795" s="1196"/>
      <c r="BC795" s="1196"/>
      <c r="BD795" s="1196"/>
      <c r="BE795" s="1196"/>
      <c r="BF795" s="1196"/>
      <c r="BG795" s="1196"/>
      <c r="BH795" s="1196"/>
      <c r="BI795" s="1196"/>
      <c r="BJ795" s="1196"/>
      <c r="BK795" s="1196"/>
      <c r="BL795" s="1196"/>
      <c r="BM795" s="1196"/>
      <c r="BN795" s="1196"/>
      <c r="BO795" s="1196"/>
      <c r="BP795" s="1196"/>
      <c r="BQ795" s="1196"/>
      <c r="BR795" s="1196"/>
      <c r="BS795" s="1196"/>
      <c r="BT795" s="1196"/>
      <c r="BU795" s="1196"/>
      <c r="BV795" s="1196"/>
      <c r="BW795" s="1196"/>
      <c r="BX795" s="1196"/>
      <c r="BY795" s="1196"/>
      <c r="BZ795" s="1196"/>
      <c r="CA795" s="1196"/>
      <c r="CB795" s="1196"/>
      <c r="CC795" s="1196"/>
      <c r="CD795" s="1196"/>
      <c r="CE795" s="1196"/>
      <c r="CF795" s="1196"/>
      <c r="CG795" s="1196"/>
      <c r="CH795" s="1196"/>
      <c r="CI795" s="1196"/>
      <c r="CJ795" s="1196"/>
      <c r="CK795" s="1196"/>
      <c r="CL795" s="1196"/>
    </row>
    <row r="796" spans="1:90" s="1183" customFormat="1" ht="34.5" customHeight="1" x14ac:dyDescent="0.25">
      <c r="A796" s="1183" t="s">
        <v>4704</v>
      </c>
      <c r="B796" s="1184">
        <v>45050</v>
      </c>
      <c r="C796" s="1185">
        <v>0.89583333333333337</v>
      </c>
      <c r="D796" s="1186">
        <v>54.5</v>
      </c>
      <c r="E796" s="1187">
        <v>6.9</v>
      </c>
      <c r="F796" s="1188">
        <v>12.9</v>
      </c>
      <c r="G796" s="1189">
        <v>1083</v>
      </c>
      <c r="H796" s="1189">
        <v>1942</v>
      </c>
      <c r="I796" s="1189">
        <v>97.3</v>
      </c>
      <c r="J796" s="1190">
        <v>116</v>
      </c>
      <c r="K796" s="1190" t="s">
        <v>5570</v>
      </c>
      <c r="L796" s="1187">
        <v>39.409999999999997</v>
      </c>
      <c r="M796" s="1187">
        <v>40</v>
      </c>
      <c r="N796" s="1187">
        <v>49.69</v>
      </c>
      <c r="O796" s="1191" t="s">
        <v>142</v>
      </c>
      <c r="P796" s="1191" t="s">
        <v>142</v>
      </c>
      <c r="Q796" s="1192" t="s">
        <v>142</v>
      </c>
      <c r="R796" s="1191" t="s">
        <v>1544</v>
      </c>
      <c r="S796" s="1193">
        <v>55.1</v>
      </c>
      <c r="T796" s="1194" t="s">
        <v>23</v>
      </c>
      <c r="U796" s="813" t="s">
        <v>4320</v>
      </c>
      <c r="V796" s="1195" t="s">
        <v>415</v>
      </c>
      <c r="W796" s="1196"/>
      <c r="X796" s="1196"/>
      <c r="Y796" s="1196"/>
      <c r="Z796" s="1196"/>
      <c r="AA796" s="1196"/>
      <c r="AB796" s="1196"/>
      <c r="AC796" s="1196"/>
      <c r="AD796" s="1196"/>
      <c r="AE796" s="1196"/>
      <c r="AF796" s="1196"/>
      <c r="AG796" s="1196"/>
      <c r="AH796" s="1196"/>
      <c r="AI796" s="1196"/>
      <c r="AJ796" s="1196"/>
      <c r="AK796" s="1196"/>
      <c r="AL796" s="1196"/>
      <c r="AM796" s="1196"/>
      <c r="AN796" s="1196"/>
      <c r="AO796" s="1196"/>
      <c r="AP796" s="1196"/>
      <c r="AQ796" s="1196"/>
      <c r="AR796" s="1196"/>
      <c r="AS796" s="1196"/>
      <c r="AT796" s="1196"/>
      <c r="AU796" s="1196"/>
      <c r="AV796" s="1196"/>
      <c r="AW796" s="1196"/>
      <c r="AX796" s="1196"/>
      <c r="AY796" s="1196"/>
      <c r="AZ796" s="1196"/>
      <c r="BA796" s="1196"/>
      <c r="BB796" s="1196"/>
      <c r="BC796" s="1196"/>
      <c r="BD796" s="1196"/>
      <c r="BE796" s="1196"/>
      <c r="BF796" s="1196"/>
      <c r="BG796" s="1196"/>
      <c r="BH796" s="1196"/>
      <c r="BI796" s="1196"/>
      <c r="BJ796" s="1196"/>
      <c r="BK796" s="1196"/>
      <c r="BL796" s="1196"/>
      <c r="BM796" s="1196"/>
      <c r="BN796" s="1196"/>
      <c r="BO796" s="1196"/>
      <c r="BP796" s="1196"/>
      <c r="BQ796" s="1196"/>
      <c r="BR796" s="1196"/>
      <c r="BS796" s="1196"/>
      <c r="BT796" s="1196"/>
      <c r="BU796" s="1196"/>
      <c r="BV796" s="1196"/>
      <c r="BW796" s="1196"/>
      <c r="BX796" s="1196"/>
      <c r="BY796" s="1196"/>
      <c r="BZ796" s="1196"/>
      <c r="CA796" s="1196"/>
      <c r="CB796" s="1196"/>
      <c r="CC796" s="1196"/>
      <c r="CD796" s="1196"/>
      <c r="CE796" s="1196"/>
      <c r="CF796" s="1196"/>
      <c r="CG796" s="1196"/>
      <c r="CH796" s="1196"/>
      <c r="CI796" s="1196"/>
      <c r="CJ796" s="1196"/>
      <c r="CK796" s="1196"/>
      <c r="CL796" s="1196"/>
    </row>
    <row r="797" spans="1:90" s="1183" customFormat="1" ht="34.5" customHeight="1" x14ac:dyDescent="0.25">
      <c r="A797" s="1183" t="s">
        <v>4704</v>
      </c>
      <c r="B797" s="1184">
        <v>45051</v>
      </c>
      <c r="C797" s="1185">
        <v>0.89583333333333337</v>
      </c>
      <c r="D797" s="1510" t="s">
        <v>5574</v>
      </c>
      <c r="E797" s="1511"/>
      <c r="F797" s="1511"/>
      <c r="G797" s="1511"/>
      <c r="H797" s="1511"/>
      <c r="I797" s="1511"/>
      <c r="J797" s="1511"/>
      <c r="K797" s="1511"/>
      <c r="L797" s="1511"/>
      <c r="M797" s="1511"/>
      <c r="N797" s="1511"/>
      <c r="O797" s="1511"/>
      <c r="P797" s="1511"/>
      <c r="Q797" s="1511"/>
      <c r="R797" s="1511"/>
      <c r="S797" s="1512"/>
      <c r="T797" s="1194" t="s">
        <v>23</v>
      </c>
      <c r="U797" s="813" t="s">
        <v>4320</v>
      </c>
      <c r="V797" s="1195"/>
      <c r="W797" s="1196"/>
      <c r="X797" s="1196"/>
      <c r="Y797" s="1196"/>
      <c r="Z797" s="1196"/>
      <c r="AA797" s="1196"/>
      <c r="AB797" s="1196"/>
      <c r="AC797" s="1196"/>
      <c r="AD797" s="1196"/>
      <c r="AE797" s="1196"/>
      <c r="AF797" s="1196"/>
      <c r="AG797" s="1196"/>
      <c r="AH797" s="1196"/>
      <c r="AI797" s="1196"/>
      <c r="AJ797" s="1196"/>
      <c r="AK797" s="1196"/>
      <c r="AL797" s="1196"/>
      <c r="AM797" s="1196"/>
      <c r="AN797" s="1196"/>
      <c r="AO797" s="1196"/>
      <c r="AP797" s="1196"/>
      <c r="AQ797" s="1196"/>
      <c r="AR797" s="1196"/>
      <c r="AS797" s="1196"/>
      <c r="AT797" s="1196"/>
      <c r="AU797" s="1196"/>
      <c r="AV797" s="1196"/>
      <c r="AW797" s="1196"/>
      <c r="AX797" s="1196"/>
      <c r="AY797" s="1196"/>
      <c r="AZ797" s="1196"/>
      <c r="BA797" s="1196"/>
      <c r="BB797" s="1196"/>
      <c r="BC797" s="1196"/>
      <c r="BD797" s="1196"/>
      <c r="BE797" s="1196"/>
      <c r="BF797" s="1196"/>
      <c r="BG797" s="1196"/>
      <c r="BH797" s="1196"/>
      <c r="BI797" s="1196"/>
      <c r="BJ797" s="1196"/>
      <c r="BK797" s="1196"/>
      <c r="BL797" s="1196"/>
      <c r="BM797" s="1196"/>
      <c r="BN797" s="1196"/>
      <c r="BO797" s="1196"/>
      <c r="BP797" s="1196"/>
      <c r="BQ797" s="1196"/>
      <c r="BR797" s="1196"/>
      <c r="BS797" s="1196"/>
      <c r="BT797" s="1196"/>
      <c r="BU797" s="1196"/>
      <c r="BV797" s="1196"/>
      <c r="BW797" s="1196"/>
      <c r="BX797" s="1196"/>
      <c r="BY797" s="1196"/>
      <c r="BZ797" s="1196"/>
      <c r="CA797" s="1196"/>
      <c r="CB797" s="1196"/>
      <c r="CC797" s="1196"/>
      <c r="CD797" s="1196"/>
      <c r="CE797" s="1196"/>
      <c r="CF797" s="1196"/>
      <c r="CG797" s="1196"/>
      <c r="CH797" s="1196"/>
      <c r="CI797" s="1196"/>
      <c r="CJ797" s="1196"/>
      <c r="CK797" s="1196"/>
      <c r="CL797" s="1196"/>
    </row>
    <row r="798" spans="1:90" s="1183" customFormat="1" ht="34.5" customHeight="1" x14ac:dyDescent="0.25">
      <c r="A798" s="1183" t="s">
        <v>4704</v>
      </c>
      <c r="B798" s="1184">
        <v>45052</v>
      </c>
      <c r="C798" s="1185">
        <v>0.89583333333333337</v>
      </c>
      <c r="D798" s="1510" t="s">
        <v>5574</v>
      </c>
      <c r="E798" s="1511"/>
      <c r="F798" s="1511"/>
      <c r="G798" s="1511"/>
      <c r="H798" s="1511"/>
      <c r="I798" s="1511"/>
      <c r="J798" s="1511"/>
      <c r="K798" s="1511"/>
      <c r="L798" s="1511"/>
      <c r="M798" s="1511"/>
      <c r="N798" s="1511"/>
      <c r="O798" s="1511"/>
      <c r="P798" s="1511"/>
      <c r="Q798" s="1511"/>
      <c r="R798" s="1511"/>
      <c r="S798" s="1512"/>
      <c r="T798" s="1194" t="s">
        <v>23</v>
      </c>
      <c r="U798" s="813" t="s">
        <v>4320</v>
      </c>
      <c r="V798" s="1195"/>
      <c r="W798" s="1196"/>
      <c r="X798" s="1196"/>
      <c r="Y798" s="1196"/>
      <c r="Z798" s="1196"/>
      <c r="AA798" s="1196"/>
      <c r="AB798" s="1196"/>
      <c r="AC798" s="1196"/>
      <c r="AD798" s="1196"/>
      <c r="AE798" s="1196"/>
      <c r="AF798" s="1196"/>
      <c r="AG798" s="1196"/>
      <c r="AH798" s="1196"/>
      <c r="AI798" s="1196"/>
      <c r="AJ798" s="1196"/>
      <c r="AK798" s="1196"/>
      <c r="AL798" s="1196"/>
      <c r="AM798" s="1196"/>
      <c r="AN798" s="1196"/>
      <c r="AO798" s="1196"/>
      <c r="AP798" s="1196"/>
      <c r="AQ798" s="1196"/>
      <c r="AR798" s="1196"/>
      <c r="AS798" s="1196"/>
      <c r="AT798" s="1196"/>
      <c r="AU798" s="1196"/>
      <c r="AV798" s="1196"/>
      <c r="AW798" s="1196"/>
      <c r="AX798" s="1196"/>
      <c r="AY798" s="1196"/>
      <c r="AZ798" s="1196"/>
      <c r="BA798" s="1196"/>
      <c r="BB798" s="1196"/>
      <c r="BC798" s="1196"/>
      <c r="BD798" s="1196"/>
      <c r="BE798" s="1196"/>
      <c r="BF798" s="1196"/>
      <c r="BG798" s="1196"/>
      <c r="BH798" s="1196"/>
      <c r="BI798" s="1196"/>
      <c r="BJ798" s="1196"/>
      <c r="BK798" s="1196"/>
      <c r="BL798" s="1196"/>
      <c r="BM798" s="1196"/>
      <c r="BN798" s="1196"/>
      <c r="BO798" s="1196"/>
      <c r="BP798" s="1196"/>
      <c r="BQ798" s="1196"/>
      <c r="BR798" s="1196"/>
      <c r="BS798" s="1196"/>
      <c r="BT798" s="1196"/>
      <c r="BU798" s="1196"/>
      <c r="BV798" s="1196"/>
      <c r="BW798" s="1196"/>
      <c r="BX798" s="1196"/>
      <c r="BY798" s="1196"/>
      <c r="BZ798" s="1196"/>
      <c r="CA798" s="1196"/>
      <c r="CB798" s="1196"/>
      <c r="CC798" s="1196"/>
      <c r="CD798" s="1196"/>
      <c r="CE798" s="1196"/>
      <c r="CF798" s="1196"/>
      <c r="CG798" s="1196"/>
      <c r="CH798" s="1196"/>
      <c r="CI798" s="1196"/>
      <c r="CJ798" s="1196"/>
      <c r="CK798" s="1196"/>
      <c r="CL798" s="1196"/>
    </row>
    <row r="799" spans="1:90" s="1183" customFormat="1" ht="34.5" customHeight="1" x14ac:dyDescent="0.25">
      <c r="A799" s="1183" t="s">
        <v>4704</v>
      </c>
      <c r="B799" s="1184">
        <v>45053</v>
      </c>
      <c r="C799" s="1185">
        <v>0</v>
      </c>
      <c r="D799" s="1186">
        <v>52.5</v>
      </c>
      <c r="E799" s="1187">
        <v>11.5</v>
      </c>
      <c r="F799" s="1188">
        <v>15.6</v>
      </c>
      <c r="G799" s="1189">
        <v>991</v>
      </c>
      <c r="H799" s="1189">
        <v>1847</v>
      </c>
      <c r="I799" s="1189">
        <v>99</v>
      </c>
      <c r="J799" s="1190">
        <v>112.5</v>
      </c>
      <c r="K799" s="1190" t="s">
        <v>5591</v>
      </c>
      <c r="L799" s="1187">
        <v>31.86</v>
      </c>
      <c r="M799" s="1187">
        <v>39</v>
      </c>
      <c r="N799" s="1187">
        <v>55.2</v>
      </c>
      <c r="O799" s="1191" t="s">
        <v>142</v>
      </c>
      <c r="P799" s="1191" t="s">
        <v>142</v>
      </c>
      <c r="Q799" s="1192" t="s">
        <v>142</v>
      </c>
      <c r="R799" s="1191" t="s">
        <v>2371</v>
      </c>
      <c r="S799" s="1193">
        <v>66.599999999999994</v>
      </c>
      <c r="T799" s="1194" t="s">
        <v>23</v>
      </c>
      <c r="U799" s="813" t="s">
        <v>4320</v>
      </c>
      <c r="V799" s="1195" t="s">
        <v>5590</v>
      </c>
      <c r="W799" s="1196"/>
      <c r="X799" s="1196"/>
      <c r="Y799" s="1196"/>
      <c r="Z799" s="1196"/>
      <c r="AA799" s="1196"/>
      <c r="AB799" s="1196"/>
      <c r="AC799" s="1196"/>
      <c r="AD799" s="1196"/>
      <c r="AE799" s="1196"/>
      <c r="AF799" s="1196"/>
      <c r="AG799" s="1196"/>
      <c r="AH799" s="1196"/>
      <c r="AI799" s="1196"/>
      <c r="AJ799" s="1196"/>
      <c r="AK799" s="1196"/>
      <c r="AL799" s="1196"/>
      <c r="AM799" s="1196"/>
      <c r="AN799" s="1196"/>
      <c r="AO799" s="1196"/>
      <c r="AP799" s="1196"/>
      <c r="AQ799" s="1196"/>
      <c r="AR799" s="1196"/>
      <c r="AS799" s="1196"/>
      <c r="AT799" s="1196"/>
      <c r="AU799" s="1196"/>
      <c r="AV799" s="1196"/>
      <c r="AW799" s="1196"/>
      <c r="AX799" s="1196"/>
      <c r="AY799" s="1196"/>
      <c r="AZ799" s="1196"/>
      <c r="BA799" s="1196"/>
      <c r="BB799" s="1196"/>
      <c r="BC799" s="1196"/>
      <c r="BD799" s="1196"/>
      <c r="BE799" s="1196"/>
      <c r="BF799" s="1196"/>
      <c r="BG799" s="1196"/>
      <c r="BH799" s="1196"/>
      <c r="BI799" s="1196"/>
      <c r="BJ799" s="1196"/>
      <c r="BK799" s="1196"/>
      <c r="BL799" s="1196"/>
      <c r="BM799" s="1196"/>
      <c r="BN799" s="1196"/>
      <c r="BO799" s="1196"/>
      <c r="BP799" s="1196"/>
      <c r="BQ799" s="1196"/>
      <c r="BR799" s="1196"/>
      <c r="BS799" s="1196"/>
      <c r="BT799" s="1196"/>
      <c r="BU799" s="1196"/>
      <c r="BV799" s="1196"/>
      <c r="BW799" s="1196"/>
      <c r="BX799" s="1196"/>
      <c r="BY799" s="1196"/>
      <c r="BZ799" s="1196"/>
      <c r="CA799" s="1196"/>
      <c r="CB799" s="1196"/>
      <c r="CC799" s="1196"/>
      <c r="CD799" s="1196"/>
      <c r="CE799" s="1196"/>
      <c r="CF799" s="1196"/>
      <c r="CG799" s="1196"/>
      <c r="CH799" s="1196"/>
      <c r="CI799" s="1196"/>
      <c r="CJ799" s="1196"/>
      <c r="CK799" s="1196"/>
      <c r="CL799" s="1196"/>
    </row>
    <row r="800" spans="1:90" s="1183" customFormat="1" ht="34.5" customHeight="1" x14ac:dyDescent="0.25">
      <c r="A800" s="1183" t="s">
        <v>4704</v>
      </c>
      <c r="B800" s="1184">
        <v>45054</v>
      </c>
      <c r="C800" s="1185">
        <v>0</v>
      </c>
      <c r="D800" s="1510" t="s">
        <v>5597</v>
      </c>
      <c r="E800" s="1511"/>
      <c r="F800" s="1511"/>
      <c r="G800" s="1511"/>
      <c r="H800" s="1511"/>
      <c r="I800" s="1511"/>
      <c r="J800" s="1511"/>
      <c r="K800" s="1511"/>
      <c r="L800" s="1511"/>
      <c r="M800" s="1511"/>
      <c r="N800" s="1511"/>
      <c r="O800" s="1511"/>
      <c r="P800" s="1511"/>
      <c r="Q800" s="1511"/>
      <c r="R800" s="1511"/>
      <c r="S800" s="1512"/>
      <c r="T800" s="1194" t="s">
        <v>23</v>
      </c>
      <c r="U800" s="813" t="s">
        <v>4320</v>
      </c>
      <c r="V800" s="1195" t="s">
        <v>5590</v>
      </c>
      <c r="W800" s="1196"/>
      <c r="X800" s="1196"/>
      <c r="Y800" s="1196"/>
      <c r="Z800" s="1196"/>
      <c r="AA800" s="1196"/>
      <c r="AB800" s="1196"/>
      <c r="AC800" s="1196"/>
      <c r="AD800" s="1196"/>
      <c r="AE800" s="1196"/>
      <c r="AF800" s="1196"/>
      <c r="AG800" s="1196"/>
      <c r="AH800" s="1196"/>
      <c r="AI800" s="1196"/>
      <c r="AJ800" s="1196"/>
      <c r="AK800" s="1196"/>
      <c r="AL800" s="1196"/>
      <c r="AM800" s="1196"/>
      <c r="AN800" s="1196"/>
      <c r="AO800" s="1196"/>
      <c r="AP800" s="1196"/>
      <c r="AQ800" s="1196"/>
      <c r="AR800" s="1196"/>
      <c r="AS800" s="1196"/>
      <c r="AT800" s="1196"/>
      <c r="AU800" s="1196"/>
      <c r="AV800" s="1196"/>
      <c r="AW800" s="1196"/>
      <c r="AX800" s="1196"/>
      <c r="AY800" s="1196"/>
      <c r="AZ800" s="1196"/>
      <c r="BA800" s="1196"/>
      <c r="BB800" s="1196"/>
      <c r="BC800" s="1196"/>
      <c r="BD800" s="1196"/>
      <c r="BE800" s="1196"/>
      <c r="BF800" s="1196"/>
      <c r="BG800" s="1196"/>
      <c r="BH800" s="1196"/>
      <c r="BI800" s="1196"/>
      <c r="BJ800" s="1196"/>
      <c r="BK800" s="1196"/>
      <c r="BL800" s="1196"/>
      <c r="BM800" s="1196"/>
      <c r="BN800" s="1196"/>
      <c r="BO800" s="1196"/>
      <c r="BP800" s="1196"/>
      <c r="BQ800" s="1196"/>
      <c r="BR800" s="1196"/>
      <c r="BS800" s="1196"/>
      <c r="BT800" s="1196"/>
      <c r="BU800" s="1196"/>
      <c r="BV800" s="1196"/>
      <c r="BW800" s="1196"/>
      <c r="BX800" s="1196"/>
      <c r="BY800" s="1196"/>
      <c r="BZ800" s="1196"/>
      <c r="CA800" s="1196"/>
      <c r="CB800" s="1196"/>
      <c r="CC800" s="1196"/>
      <c r="CD800" s="1196"/>
      <c r="CE800" s="1196"/>
      <c r="CF800" s="1196"/>
      <c r="CG800" s="1196"/>
      <c r="CH800" s="1196"/>
      <c r="CI800" s="1196"/>
      <c r="CJ800" s="1196"/>
      <c r="CK800" s="1196"/>
      <c r="CL800" s="1196"/>
    </row>
    <row r="801" spans="1:90" s="1183" customFormat="1" ht="34.5" customHeight="1" x14ac:dyDescent="0.25">
      <c r="A801" s="1183" t="s">
        <v>4704</v>
      </c>
      <c r="B801" s="1184">
        <v>45055</v>
      </c>
      <c r="C801" s="1185">
        <v>0.875</v>
      </c>
      <c r="D801" s="1186">
        <v>52.5</v>
      </c>
      <c r="E801" s="1187">
        <v>11.6</v>
      </c>
      <c r="F801" s="1188">
        <v>15.7</v>
      </c>
      <c r="G801" s="1189">
        <v>1085</v>
      </c>
      <c r="H801" s="1189">
        <v>1961</v>
      </c>
      <c r="I801" s="1189">
        <v>98.1</v>
      </c>
      <c r="J801" s="1190">
        <v>111.6</v>
      </c>
      <c r="K801" s="1190" t="s">
        <v>5601</v>
      </c>
      <c r="L801" s="1187">
        <v>34.020000000000003</v>
      </c>
      <c r="M801" s="1187">
        <v>39</v>
      </c>
      <c r="N801" s="1187">
        <v>56.12</v>
      </c>
      <c r="O801" s="1191" t="s">
        <v>142</v>
      </c>
      <c r="P801" s="1191" t="s">
        <v>142</v>
      </c>
      <c r="Q801" s="1192" t="s">
        <v>142</v>
      </c>
      <c r="R801" s="1191" t="s">
        <v>2371</v>
      </c>
      <c r="S801" s="1193">
        <v>67</v>
      </c>
      <c r="T801" s="1194" t="s">
        <v>23</v>
      </c>
      <c r="U801" s="813" t="s">
        <v>4320</v>
      </c>
      <c r="V801" s="1195" t="s">
        <v>5602</v>
      </c>
      <c r="W801" s="1196"/>
      <c r="X801" s="1196"/>
      <c r="Y801" s="1196"/>
      <c r="Z801" s="1196"/>
      <c r="AA801" s="1196"/>
      <c r="AB801" s="1196"/>
      <c r="AC801" s="1196"/>
      <c r="AD801" s="1196"/>
      <c r="AE801" s="1196"/>
      <c r="AF801" s="1196"/>
      <c r="AG801" s="1196"/>
      <c r="AH801" s="1196"/>
      <c r="AI801" s="1196"/>
      <c r="AJ801" s="1196"/>
      <c r="AK801" s="1196"/>
      <c r="AL801" s="1196"/>
      <c r="AM801" s="1196"/>
      <c r="AN801" s="1196"/>
      <c r="AO801" s="1196"/>
      <c r="AP801" s="1196"/>
      <c r="AQ801" s="1196"/>
      <c r="AR801" s="1196"/>
      <c r="AS801" s="1196"/>
      <c r="AT801" s="1196"/>
      <c r="AU801" s="1196"/>
      <c r="AV801" s="1196"/>
      <c r="AW801" s="1196"/>
      <c r="AX801" s="1196"/>
      <c r="AY801" s="1196"/>
      <c r="AZ801" s="1196"/>
      <c r="BA801" s="1196"/>
      <c r="BB801" s="1196"/>
      <c r="BC801" s="1196"/>
      <c r="BD801" s="1196"/>
      <c r="BE801" s="1196"/>
      <c r="BF801" s="1196"/>
      <c r="BG801" s="1196"/>
      <c r="BH801" s="1196"/>
      <c r="BI801" s="1196"/>
      <c r="BJ801" s="1196"/>
      <c r="BK801" s="1196"/>
      <c r="BL801" s="1196"/>
      <c r="BM801" s="1196"/>
      <c r="BN801" s="1196"/>
      <c r="BO801" s="1196"/>
      <c r="BP801" s="1196"/>
      <c r="BQ801" s="1196"/>
      <c r="BR801" s="1196"/>
      <c r="BS801" s="1196"/>
      <c r="BT801" s="1196"/>
      <c r="BU801" s="1196"/>
      <c r="BV801" s="1196"/>
      <c r="BW801" s="1196"/>
      <c r="BX801" s="1196"/>
      <c r="BY801" s="1196"/>
      <c r="BZ801" s="1196"/>
      <c r="CA801" s="1196"/>
      <c r="CB801" s="1196"/>
      <c r="CC801" s="1196"/>
      <c r="CD801" s="1196"/>
      <c r="CE801" s="1196"/>
      <c r="CF801" s="1196"/>
      <c r="CG801" s="1196"/>
      <c r="CH801" s="1196"/>
      <c r="CI801" s="1196"/>
      <c r="CJ801" s="1196"/>
      <c r="CK801" s="1196"/>
      <c r="CL801" s="1196"/>
    </row>
    <row r="802" spans="1:90" s="1183" customFormat="1" ht="34.5" customHeight="1" x14ac:dyDescent="0.25">
      <c r="A802" s="1183" t="s">
        <v>4704</v>
      </c>
      <c r="B802" s="1184">
        <v>45056</v>
      </c>
      <c r="C802" s="1185">
        <v>0</v>
      </c>
      <c r="D802" s="1510" t="s">
        <v>5608</v>
      </c>
      <c r="E802" s="1511"/>
      <c r="F802" s="1511"/>
      <c r="G802" s="1511"/>
      <c r="H802" s="1511"/>
      <c r="I802" s="1511"/>
      <c r="J802" s="1511"/>
      <c r="K802" s="1511"/>
      <c r="L802" s="1511"/>
      <c r="M802" s="1511"/>
      <c r="N802" s="1511"/>
      <c r="O802" s="1511"/>
      <c r="P802" s="1511"/>
      <c r="Q802" s="1511"/>
      <c r="R802" s="1511"/>
      <c r="S802" s="1512"/>
      <c r="T802" s="1194" t="s">
        <v>23</v>
      </c>
      <c r="U802" s="813" t="s">
        <v>4320</v>
      </c>
      <c r="V802" s="1195" t="s">
        <v>5590</v>
      </c>
      <c r="W802" s="1196"/>
      <c r="X802" s="1196"/>
      <c r="Y802" s="1196"/>
      <c r="Z802" s="1196"/>
      <c r="AA802" s="1196"/>
      <c r="AB802" s="1196"/>
      <c r="AC802" s="1196"/>
      <c r="AD802" s="1196"/>
      <c r="AE802" s="1196"/>
      <c r="AF802" s="1196"/>
      <c r="AG802" s="1196"/>
      <c r="AH802" s="1196"/>
      <c r="AI802" s="1196"/>
      <c r="AJ802" s="1196"/>
      <c r="AK802" s="1196"/>
      <c r="AL802" s="1196"/>
      <c r="AM802" s="1196"/>
      <c r="AN802" s="1196"/>
      <c r="AO802" s="1196"/>
      <c r="AP802" s="1196"/>
      <c r="AQ802" s="1196"/>
      <c r="AR802" s="1196"/>
      <c r="AS802" s="1196"/>
      <c r="AT802" s="1196"/>
      <c r="AU802" s="1196"/>
      <c r="AV802" s="1196"/>
      <c r="AW802" s="1196"/>
      <c r="AX802" s="1196"/>
      <c r="AY802" s="1196"/>
      <c r="AZ802" s="1196"/>
      <c r="BA802" s="1196"/>
      <c r="BB802" s="1196"/>
      <c r="BC802" s="1196"/>
      <c r="BD802" s="1196"/>
      <c r="BE802" s="1196"/>
      <c r="BF802" s="1196"/>
      <c r="BG802" s="1196"/>
      <c r="BH802" s="1196"/>
      <c r="BI802" s="1196"/>
      <c r="BJ802" s="1196"/>
      <c r="BK802" s="1196"/>
      <c r="BL802" s="1196"/>
      <c r="BM802" s="1196"/>
      <c r="BN802" s="1196"/>
      <c r="BO802" s="1196"/>
      <c r="BP802" s="1196"/>
      <c r="BQ802" s="1196"/>
      <c r="BR802" s="1196"/>
      <c r="BS802" s="1196"/>
      <c r="BT802" s="1196"/>
      <c r="BU802" s="1196"/>
      <c r="BV802" s="1196"/>
      <c r="BW802" s="1196"/>
      <c r="BX802" s="1196"/>
      <c r="BY802" s="1196"/>
      <c r="BZ802" s="1196"/>
      <c r="CA802" s="1196"/>
      <c r="CB802" s="1196"/>
      <c r="CC802" s="1196"/>
      <c r="CD802" s="1196"/>
      <c r="CE802" s="1196"/>
      <c r="CF802" s="1196"/>
      <c r="CG802" s="1196"/>
      <c r="CH802" s="1196"/>
      <c r="CI802" s="1196"/>
      <c r="CJ802" s="1196"/>
      <c r="CK802" s="1196"/>
      <c r="CL802" s="1196"/>
    </row>
    <row r="803" spans="1:90" s="1183" customFormat="1" ht="34.5" customHeight="1" x14ac:dyDescent="0.25">
      <c r="A803" s="1183" t="s">
        <v>4704</v>
      </c>
      <c r="B803" s="1184">
        <v>45057</v>
      </c>
      <c r="C803" s="1185">
        <v>0.875</v>
      </c>
      <c r="D803" s="1186">
        <v>52.5</v>
      </c>
      <c r="E803" s="1187">
        <v>13</v>
      </c>
      <c r="F803" s="1188">
        <v>16.5</v>
      </c>
      <c r="G803" s="1189">
        <v>1082</v>
      </c>
      <c r="H803" s="1189">
        <v>2019</v>
      </c>
      <c r="I803" s="1189">
        <v>98.1</v>
      </c>
      <c r="J803" s="1190">
        <v>114</v>
      </c>
      <c r="K803" s="1190" t="s">
        <v>5613</v>
      </c>
      <c r="L803" s="1187">
        <v>35.67</v>
      </c>
      <c r="M803" s="1187">
        <v>40</v>
      </c>
      <c r="N803" s="1187">
        <v>56.31</v>
      </c>
      <c r="O803" s="1191" t="s">
        <v>142</v>
      </c>
      <c r="P803" s="1191" t="s">
        <v>142</v>
      </c>
      <c r="Q803" s="1192" t="s">
        <v>142</v>
      </c>
      <c r="R803" s="1191" t="s">
        <v>5614</v>
      </c>
      <c r="S803" s="1193">
        <v>71.3</v>
      </c>
      <c r="T803" s="1194" t="s">
        <v>23</v>
      </c>
      <c r="U803" s="813" t="s">
        <v>4320</v>
      </c>
      <c r="V803" s="1195"/>
      <c r="W803" s="1196"/>
      <c r="X803" s="1196"/>
      <c r="Y803" s="1196"/>
      <c r="Z803" s="1196"/>
      <c r="AA803" s="1196"/>
      <c r="AB803" s="1196"/>
      <c r="AC803" s="1196"/>
      <c r="AD803" s="1196"/>
      <c r="AE803" s="1196"/>
      <c r="AF803" s="1196"/>
      <c r="AG803" s="1196"/>
      <c r="AH803" s="1196"/>
      <c r="AI803" s="1196"/>
      <c r="AJ803" s="1196"/>
      <c r="AK803" s="1196"/>
      <c r="AL803" s="1196"/>
      <c r="AM803" s="1196"/>
      <c r="AN803" s="1196"/>
      <c r="AO803" s="1196"/>
      <c r="AP803" s="1196"/>
      <c r="AQ803" s="1196"/>
      <c r="AR803" s="1196"/>
      <c r="AS803" s="1196"/>
      <c r="AT803" s="1196"/>
      <c r="AU803" s="1196"/>
      <c r="AV803" s="1196"/>
      <c r="AW803" s="1196"/>
      <c r="AX803" s="1196"/>
      <c r="AY803" s="1196"/>
      <c r="AZ803" s="1196"/>
      <c r="BA803" s="1196"/>
      <c r="BB803" s="1196"/>
      <c r="BC803" s="1196"/>
      <c r="BD803" s="1196"/>
      <c r="BE803" s="1196"/>
      <c r="BF803" s="1196"/>
      <c r="BG803" s="1196"/>
      <c r="BH803" s="1196"/>
      <c r="BI803" s="1196"/>
      <c r="BJ803" s="1196"/>
      <c r="BK803" s="1196"/>
      <c r="BL803" s="1196"/>
      <c r="BM803" s="1196"/>
      <c r="BN803" s="1196"/>
      <c r="BO803" s="1196"/>
      <c r="BP803" s="1196"/>
      <c r="BQ803" s="1196"/>
      <c r="BR803" s="1196"/>
      <c r="BS803" s="1196"/>
      <c r="BT803" s="1196"/>
      <c r="BU803" s="1196"/>
      <c r="BV803" s="1196"/>
      <c r="BW803" s="1196"/>
      <c r="BX803" s="1196"/>
      <c r="BY803" s="1196"/>
      <c r="BZ803" s="1196"/>
      <c r="CA803" s="1196"/>
      <c r="CB803" s="1196"/>
      <c r="CC803" s="1196"/>
      <c r="CD803" s="1196"/>
      <c r="CE803" s="1196"/>
      <c r="CF803" s="1196"/>
      <c r="CG803" s="1196"/>
      <c r="CH803" s="1196"/>
      <c r="CI803" s="1196"/>
      <c r="CJ803" s="1196"/>
      <c r="CK803" s="1196"/>
      <c r="CL803" s="1196"/>
    </row>
    <row r="804" spans="1:90" s="1183" customFormat="1" ht="29.25" customHeight="1" x14ac:dyDescent="0.25">
      <c r="A804" s="1183" t="s">
        <v>4704</v>
      </c>
      <c r="B804" s="1184">
        <v>45058</v>
      </c>
      <c r="C804" s="1185">
        <v>0.97916666666666663</v>
      </c>
      <c r="D804" s="1186">
        <v>54</v>
      </c>
      <c r="E804" s="1187">
        <v>11.3</v>
      </c>
      <c r="F804" s="1188">
        <v>15.3</v>
      </c>
      <c r="G804" s="1189">
        <v>1054</v>
      </c>
      <c r="H804" s="1189">
        <v>2094</v>
      </c>
      <c r="I804" s="1189">
        <v>97</v>
      </c>
      <c r="J804" s="1190">
        <v>117</v>
      </c>
      <c r="K804" s="1190" t="s">
        <v>5623</v>
      </c>
      <c r="L804" s="1187">
        <v>37.5</v>
      </c>
      <c r="M804" s="1187">
        <v>40</v>
      </c>
      <c r="N804" s="1187">
        <v>49.56</v>
      </c>
      <c r="O804" s="1191" t="s">
        <v>142</v>
      </c>
      <c r="P804" s="1191" t="s">
        <v>142</v>
      </c>
      <c r="Q804" s="1192" t="s">
        <v>142</v>
      </c>
      <c r="R804" s="1191" t="s">
        <v>1511</v>
      </c>
      <c r="S804" s="1193">
        <v>65.3</v>
      </c>
      <c r="T804" s="1194" t="s">
        <v>23</v>
      </c>
      <c r="U804" s="813" t="s">
        <v>236</v>
      </c>
      <c r="V804" s="1195"/>
      <c r="W804" s="1196"/>
      <c r="X804" s="1196"/>
      <c r="Y804" s="1196"/>
      <c r="Z804" s="1196"/>
      <c r="AA804" s="1196"/>
      <c r="AB804" s="1196"/>
      <c r="AC804" s="1196"/>
      <c r="AD804" s="1196"/>
      <c r="AE804" s="1196"/>
      <c r="AF804" s="1196"/>
      <c r="AG804" s="1196"/>
      <c r="AH804" s="1196"/>
      <c r="AI804" s="1196"/>
      <c r="AJ804" s="1196"/>
      <c r="AK804" s="1196"/>
      <c r="AL804" s="1196"/>
      <c r="AM804" s="1196"/>
      <c r="AN804" s="1196"/>
      <c r="AO804" s="1196"/>
      <c r="AP804" s="1196"/>
      <c r="AQ804" s="1196"/>
      <c r="AR804" s="1196"/>
      <c r="AS804" s="1196"/>
      <c r="AT804" s="1196"/>
      <c r="AU804" s="1196"/>
      <c r="AV804" s="1196"/>
      <c r="AW804" s="1196"/>
      <c r="AX804" s="1196"/>
      <c r="AY804" s="1196"/>
      <c r="AZ804" s="1196"/>
      <c r="BA804" s="1196"/>
      <c r="BB804" s="1196"/>
      <c r="BC804" s="1196"/>
      <c r="BD804" s="1196"/>
      <c r="BE804" s="1196"/>
      <c r="BF804" s="1196"/>
      <c r="BG804" s="1196"/>
      <c r="BH804" s="1196"/>
      <c r="BI804" s="1196"/>
      <c r="BJ804" s="1196"/>
      <c r="BK804" s="1196"/>
      <c r="BL804" s="1196"/>
      <c r="BM804" s="1196"/>
      <c r="BN804" s="1196"/>
      <c r="BO804" s="1196"/>
      <c r="BP804" s="1196"/>
      <c r="BQ804" s="1196"/>
      <c r="BR804" s="1196"/>
      <c r="BS804" s="1196"/>
      <c r="BT804" s="1196"/>
      <c r="BU804" s="1196"/>
      <c r="BV804" s="1196"/>
      <c r="BW804" s="1196"/>
      <c r="BX804" s="1196"/>
      <c r="BY804" s="1196"/>
      <c r="BZ804" s="1196"/>
      <c r="CA804" s="1196"/>
      <c r="CB804" s="1196"/>
      <c r="CC804" s="1196"/>
      <c r="CD804" s="1196"/>
      <c r="CE804" s="1196"/>
      <c r="CF804" s="1196"/>
      <c r="CG804" s="1196"/>
      <c r="CH804" s="1196"/>
      <c r="CI804" s="1196"/>
      <c r="CJ804" s="1196"/>
      <c r="CK804" s="1196"/>
      <c r="CL804" s="1196"/>
    </row>
    <row r="805" spans="1:90" s="1183" customFormat="1" ht="29.25" customHeight="1" x14ac:dyDescent="0.25">
      <c r="A805" s="1183" t="s">
        <v>4704</v>
      </c>
      <c r="B805" s="1184">
        <v>45059</v>
      </c>
      <c r="C805" s="1185">
        <v>0.75</v>
      </c>
      <c r="D805" s="1510" t="s">
        <v>5626</v>
      </c>
      <c r="E805" s="1511"/>
      <c r="F805" s="1511"/>
      <c r="G805" s="1511"/>
      <c r="H805" s="1511"/>
      <c r="I805" s="1511"/>
      <c r="J805" s="1511"/>
      <c r="K805" s="1511"/>
      <c r="L805" s="1511"/>
      <c r="M805" s="1511"/>
      <c r="N805" s="1511"/>
      <c r="O805" s="1511"/>
      <c r="P805" s="1511"/>
      <c r="Q805" s="1511"/>
      <c r="R805" s="1511"/>
      <c r="S805" s="1512"/>
      <c r="T805" s="1194" t="s">
        <v>23</v>
      </c>
      <c r="U805" s="813" t="s">
        <v>236</v>
      </c>
      <c r="V805" s="1195"/>
      <c r="W805" s="1196"/>
      <c r="X805" s="1196"/>
      <c r="Y805" s="1196"/>
      <c r="Z805" s="1196"/>
      <c r="AA805" s="1196"/>
      <c r="AB805" s="1196"/>
      <c r="AC805" s="1196"/>
      <c r="AD805" s="1196"/>
      <c r="AE805" s="1196"/>
      <c r="AF805" s="1196"/>
      <c r="AG805" s="1196"/>
      <c r="AH805" s="1196"/>
      <c r="AI805" s="1196"/>
      <c r="AJ805" s="1196"/>
      <c r="AK805" s="1196"/>
      <c r="AL805" s="1196"/>
      <c r="AM805" s="1196"/>
      <c r="AN805" s="1196"/>
      <c r="AO805" s="1196"/>
      <c r="AP805" s="1196"/>
      <c r="AQ805" s="1196"/>
      <c r="AR805" s="1196"/>
      <c r="AS805" s="1196"/>
      <c r="AT805" s="1196"/>
      <c r="AU805" s="1196"/>
      <c r="AV805" s="1196"/>
      <c r="AW805" s="1196"/>
      <c r="AX805" s="1196"/>
      <c r="AY805" s="1196"/>
      <c r="AZ805" s="1196"/>
      <c r="BA805" s="1196"/>
      <c r="BB805" s="1196"/>
      <c r="BC805" s="1196"/>
      <c r="BD805" s="1196"/>
      <c r="BE805" s="1196"/>
      <c r="BF805" s="1196"/>
      <c r="BG805" s="1196"/>
      <c r="BH805" s="1196"/>
      <c r="BI805" s="1196"/>
      <c r="BJ805" s="1196"/>
      <c r="BK805" s="1196"/>
      <c r="BL805" s="1196"/>
      <c r="BM805" s="1196"/>
      <c r="BN805" s="1196"/>
      <c r="BO805" s="1196"/>
      <c r="BP805" s="1196"/>
      <c r="BQ805" s="1196"/>
      <c r="BR805" s="1196"/>
      <c r="BS805" s="1196"/>
      <c r="BT805" s="1196"/>
      <c r="BU805" s="1196"/>
      <c r="BV805" s="1196"/>
      <c r="BW805" s="1196"/>
      <c r="BX805" s="1196"/>
      <c r="BY805" s="1196"/>
      <c r="BZ805" s="1196"/>
      <c r="CA805" s="1196"/>
      <c r="CB805" s="1196"/>
      <c r="CC805" s="1196"/>
      <c r="CD805" s="1196"/>
      <c r="CE805" s="1196"/>
      <c r="CF805" s="1196"/>
      <c r="CG805" s="1196"/>
      <c r="CH805" s="1196"/>
      <c r="CI805" s="1196"/>
      <c r="CJ805" s="1196"/>
      <c r="CK805" s="1196"/>
      <c r="CL805" s="1196"/>
    </row>
    <row r="806" spans="1:90" s="1183" customFormat="1" ht="29.25" customHeight="1" x14ac:dyDescent="0.25">
      <c r="A806" s="1183" t="s">
        <v>4704</v>
      </c>
      <c r="B806" s="1184">
        <v>45060</v>
      </c>
      <c r="C806" s="1185">
        <v>0.77083333333333337</v>
      </c>
      <c r="D806" s="1186">
        <v>53</v>
      </c>
      <c r="E806" s="1187">
        <v>6.8</v>
      </c>
      <c r="F806" s="1188">
        <v>12.9</v>
      </c>
      <c r="G806" s="1189">
        <v>1086</v>
      </c>
      <c r="H806" s="1189">
        <v>1900</v>
      </c>
      <c r="I806" s="1189">
        <v>97.5</v>
      </c>
      <c r="J806" s="1190">
        <v>115.2</v>
      </c>
      <c r="K806" s="1190" t="s">
        <v>5629</v>
      </c>
      <c r="L806" s="1187">
        <v>36.369999999999997</v>
      </c>
      <c r="M806" s="1187">
        <v>39.5</v>
      </c>
      <c r="N806" s="1187">
        <v>43.57</v>
      </c>
      <c r="O806" s="1191" t="s">
        <v>142</v>
      </c>
      <c r="P806" s="1191" t="s">
        <v>142</v>
      </c>
      <c r="Q806" s="1192" t="s">
        <v>142</v>
      </c>
      <c r="R806" s="1191" t="s">
        <v>5630</v>
      </c>
      <c r="S806" s="1193">
        <v>54.2</v>
      </c>
      <c r="T806" s="1194" t="s">
        <v>23</v>
      </c>
      <c r="U806" s="813" t="s">
        <v>236</v>
      </c>
      <c r="V806" s="1195"/>
      <c r="W806" s="1196"/>
      <c r="X806" s="1196"/>
      <c r="Y806" s="1196"/>
      <c r="Z806" s="1196"/>
      <c r="AA806" s="1196"/>
      <c r="AB806" s="1196"/>
      <c r="AC806" s="1196"/>
      <c r="AD806" s="1196"/>
      <c r="AE806" s="1196"/>
      <c r="AF806" s="1196"/>
      <c r="AG806" s="1196"/>
      <c r="AH806" s="1196"/>
      <c r="AI806" s="1196"/>
      <c r="AJ806" s="1196"/>
      <c r="AK806" s="1196"/>
      <c r="AL806" s="1196"/>
      <c r="AM806" s="1196"/>
      <c r="AN806" s="1196"/>
      <c r="AO806" s="1196"/>
      <c r="AP806" s="1196"/>
      <c r="AQ806" s="1196"/>
      <c r="AR806" s="1196"/>
      <c r="AS806" s="1196"/>
      <c r="AT806" s="1196"/>
      <c r="AU806" s="1196"/>
      <c r="AV806" s="1196"/>
      <c r="AW806" s="1196"/>
      <c r="AX806" s="1196"/>
      <c r="AY806" s="1196"/>
      <c r="AZ806" s="1196"/>
      <c r="BA806" s="1196"/>
      <c r="BB806" s="1196"/>
      <c r="BC806" s="1196"/>
      <c r="BD806" s="1196"/>
      <c r="BE806" s="1196"/>
      <c r="BF806" s="1196"/>
      <c r="BG806" s="1196"/>
      <c r="BH806" s="1196"/>
      <c r="BI806" s="1196"/>
      <c r="BJ806" s="1196"/>
      <c r="BK806" s="1196"/>
      <c r="BL806" s="1196"/>
      <c r="BM806" s="1196"/>
      <c r="BN806" s="1196"/>
      <c r="BO806" s="1196"/>
      <c r="BP806" s="1196"/>
      <c r="BQ806" s="1196"/>
      <c r="BR806" s="1196"/>
      <c r="BS806" s="1196"/>
      <c r="BT806" s="1196"/>
      <c r="BU806" s="1196"/>
      <c r="BV806" s="1196"/>
      <c r="BW806" s="1196"/>
      <c r="BX806" s="1196"/>
      <c r="BY806" s="1196"/>
      <c r="BZ806" s="1196"/>
      <c r="CA806" s="1196"/>
      <c r="CB806" s="1196"/>
      <c r="CC806" s="1196"/>
      <c r="CD806" s="1196"/>
      <c r="CE806" s="1196"/>
      <c r="CF806" s="1196"/>
      <c r="CG806" s="1196"/>
      <c r="CH806" s="1196"/>
      <c r="CI806" s="1196"/>
      <c r="CJ806" s="1196"/>
      <c r="CK806" s="1196"/>
      <c r="CL806" s="1196"/>
    </row>
    <row r="807" spans="1:90" s="1183" customFormat="1" ht="29.25" customHeight="1" x14ac:dyDescent="0.25">
      <c r="A807" s="1183" t="s">
        <v>4704</v>
      </c>
      <c r="B807" s="1184">
        <v>45061</v>
      </c>
      <c r="C807" s="1185">
        <v>0.77083333333333337</v>
      </c>
      <c r="D807" s="1186">
        <v>52</v>
      </c>
      <c r="E807" s="1187">
        <v>11.1</v>
      </c>
      <c r="F807" s="1188">
        <v>15.2</v>
      </c>
      <c r="G807" s="1189">
        <v>1071</v>
      </c>
      <c r="H807" s="1189">
        <v>1902</v>
      </c>
      <c r="I807" s="1189">
        <v>98.5</v>
      </c>
      <c r="J807" s="1190">
        <v>113.1</v>
      </c>
      <c r="K807" s="1190" t="s">
        <v>5637</v>
      </c>
      <c r="L807" s="1187">
        <v>36.4</v>
      </c>
      <c r="M807" s="1187">
        <v>39.5</v>
      </c>
      <c r="N807" s="1187">
        <v>51.87</v>
      </c>
      <c r="O807" s="1191" t="s">
        <v>142</v>
      </c>
      <c r="P807" s="1191" t="s">
        <v>142</v>
      </c>
      <c r="Q807" s="1192" t="s">
        <v>142</v>
      </c>
      <c r="R807" s="1191" t="s">
        <v>2053</v>
      </c>
      <c r="S807" s="1193">
        <v>64.900000000000006</v>
      </c>
      <c r="T807" s="1194" t="s">
        <v>23</v>
      </c>
      <c r="U807" s="813" t="s">
        <v>236</v>
      </c>
      <c r="V807" s="1195" t="s">
        <v>5639</v>
      </c>
      <c r="W807" s="1196"/>
      <c r="X807" s="1196"/>
      <c r="Y807" s="1196"/>
      <c r="Z807" s="1196"/>
      <c r="AA807" s="1196"/>
      <c r="AB807" s="1196"/>
      <c r="AC807" s="1196"/>
      <c r="AD807" s="1196"/>
      <c r="AE807" s="1196"/>
      <c r="AF807" s="1196"/>
      <c r="AG807" s="1196"/>
      <c r="AH807" s="1196"/>
      <c r="AI807" s="1196"/>
      <c r="AJ807" s="1196"/>
      <c r="AK807" s="1196"/>
      <c r="AL807" s="1196"/>
      <c r="AM807" s="1196"/>
      <c r="AN807" s="1196"/>
      <c r="AO807" s="1196"/>
      <c r="AP807" s="1196"/>
      <c r="AQ807" s="1196"/>
      <c r="AR807" s="1196"/>
      <c r="AS807" s="1196"/>
      <c r="AT807" s="1196"/>
      <c r="AU807" s="1196"/>
      <c r="AV807" s="1196"/>
      <c r="AW807" s="1196"/>
      <c r="AX807" s="1196"/>
      <c r="AY807" s="1196"/>
      <c r="AZ807" s="1196"/>
      <c r="BA807" s="1196"/>
      <c r="BB807" s="1196"/>
      <c r="BC807" s="1196"/>
      <c r="BD807" s="1196"/>
      <c r="BE807" s="1196"/>
      <c r="BF807" s="1196"/>
      <c r="BG807" s="1196"/>
      <c r="BH807" s="1196"/>
      <c r="BI807" s="1196"/>
      <c r="BJ807" s="1196"/>
      <c r="BK807" s="1196"/>
      <c r="BL807" s="1196"/>
      <c r="BM807" s="1196"/>
      <c r="BN807" s="1196"/>
      <c r="BO807" s="1196"/>
      <c r="BP807" s="1196"/>
      <c r="BQ807" s="1196"/>
      <c r="BR807" s="1196"/>
      <c r="BS807" s="1196"/>
      <c r="BT807" s="1196"/>
      <c r="BU807" s="1196"/>
      <c r="BV807" s="1196"/>
      <c r="BW807" s="1196"/>
      <c r="BX807" s="1196"/>
      <c r="BY807" s="1196"/>
      <c r="BZ807" s="1196"/>
      <c r="CA807" s="1196"/>
      <c r="CB807" s="1196"/>
      <c r="CC807" s="1196"/>
      <c r="CD807" s="1196"/>
      <c r="CE807" s="1196"/>
      <c r="CF807" s="1196"/>
      <c r="CG807" s="1196"/>
      <c r="CH807" s="1196"/>
      <c r="CI807" s="1196"/>
      <c r="CJ807" s="1196"/>
      <c r="CK807" s="1196"/>
      <c r="CL807" s="1196"/>
    </row>
    <row r="808" spans="1:90" s="1183" customFormat="1" ht="29.25" customHeight="1" x14ac:dyDescent="0.25">
      <c r="A808" s="1183" t="s">
        <v>4704</v>
      </c>
      <c r="B808" s="1184">
        <v>45062</v>
      </c>
      <c r="C808" s="1185">
        <v>0.97916666666666663</v>
      </c>
      <c r="D808" s="1186">
        <v>52</v>
      </c>
      <c r="E808" s="1187">
        <v>11.2</v>
      </c>
      <c r="F808" s="1188">
        <v>15.4</v>
      </c>
      <c r="G808" s="1189">
        <v>1107</v>
      </c>
      <c r="H808" s="1189">
        <v>2002</v>
      </c>
      <c r="I808" s="1189">
        <v>98</v>
      </c>
      <c r="J808" s="1190">
        <v>111.4</v>
      </c>
      <c r="K808" s="1190" t="s">
        <v>5641</v>
      </c>
      <c r="L808" s="1187">
        <v>36.799999999999997</v>
      </c>
      <c r="M808" s="1187">
        <v>40</v>
      </c>
      <c r="N808" s="1187">
        <v>52.87</v>
      </c>
      <c r="O808" s="1191" t="s">
        <v>142</v>
      </c>
      <c r="P808" s="1191" t="s">
        <v>142</v>
      </c>
      <c r="Q808" s="1192" t="s">
        <v>142</v>
      </c>
      <c r="R808" s="1191" t="s">
        <v>1361</v>
      </c>
      <c r="S808" s="1193">
        <v>65.8</v>
      </c>
      <c r="T808" s="1194" t="s">
        <v>23</v>
      </c>
      <c r="U808" s="813" t="s">
        <v>236</v>
      </c>
      <c r="V808" s="1195"/>
      <c r="W808" s="1196"/>
      <c r="X808" s="1196"/>
      <c r="Y808" s="1196"/>
      <c r="Z808" s="1196"/>
      <c r="AA808" s="1196"/>
      <c r="AB808" s="1196"/>
      <c r="AC808" s="1196"/>
      <c r="AD808" s="1196"/>
      <c r="AE808" s="1196"/>
      <c r="AF808" s="1196"/>
      <c r="AG808" s="1196"/>
      <c r="AH808" s="1196"/>
      <c r="AI808" s="1196"/>
      <c r="AJ808" s="1196"/>
      <c r="AK808" s="1196"/>
      <c r="AL808" s="1196"/>
      <c r="AM808" s="1196"/>
      <c r="AN808" s="1196"/>
      <c r="AO808" s="1196"/>
      <c r="AP808" s="1196"/>
      <c r="AQ808" s="1196"/>
      <c r="AR808" s="1196"/>
      <c r="AS808" s="1196"/>
      <c r="AT808" s="1196"/>
      <c r="AU808" s="1196"/>
      <c r="AV808" s="1196"/>
      <c r="AW808" s="1196"/>
      <c r="AX808" s="1196"/>
      <c r="AY808" s="1196"/>
      <c r="AZ808" s="1196"/>
      <c r="BA808" s="1196"/>
      <c r="BB808" s="1196"/>
      <c r="BC808" s="1196"/>
      <c r="BD808" s="1196"/>
      <c r="BE808" s="1196"/>
      <c r="BF808" s="1196"/>
      <c r="BG808" s="1196"/>
      <c r="BH808" s="1196"/>
      <c r="BI808" s="1196"/>
      <c r="BJ808" s="1196"/>
      <c r="BK808" s="1196"/>
      <c r="BL808" s="1196"/>
      <c r="BM808" s="1196"/>
      <c r="BN808" s="1196"/>
      <c r="BO808" s="1196"/>
      <c r="BP808" s="1196"/>
      <c r="BQ808" s="1196"/>
      <c r="BR808" s="1196"/>
      <c r="BS808" s="1196"/>
      <c r="BT808" s="1196"/>
      <c r="BU808" s="1196"/>
      <c r="BV808" s="1196"/>
      <c r="BW808" s="1196"/>
      <c r="BX808" s="1196"/>
      <c r="BY808" s="1196"/>
      <c r="BZ808" s="1196"/>
      <c r="CA808" s="1196"/>
      <c r="CB808" s="1196"/>
      <c r="CC808" s="1196"/>
      <c r="CD808" s="1196"/>
      <c r="CE808" s="1196"/>
      <c r="CF808" s="1196"/>
      <c r="CG808" s="1196"/>
      <c r="CH808" s="1196"/>
      <c r="CI808" s="1196"/>
      <c r="CJ808" s="1196"/>
      <c r="CK808" s="1196"/>
      <c r="CL808" s="1196"/>
    </row>
    <row r="809" spans="1:90" s="1183" customFormat="1" ht="29.25" customHeight="1" x14ac:dyDescent="0.25">
      <c r="A809" s="1183" t="s">
        <v>4704</v>
      </c>
      <c r="B809" s="1184">
        <v>45063</v>
      </c>
      <c r="C809" s="1185">
        <v>0.75</v>
      </c>
      <c r="D809" s="1510" t="s">
        <v>5648</v>
      </c>
      <c r="E809" s="1511"/>
      <c r="F809" s="1511"/>
      <c r="G809" s="1511"/>
      <c r="H809" s="1511"/>
      <c r="I809" s="1511"/>
      <c r="J809" s="1511"/>
      <c r="K809" s="1511"/>
      <c r="L809" s="1511"/>
      <c r="M809" s="1511"/>
      <c r="N809" s="1511"/>
      <c r="O809" s="1511"/>
      <c r="P809" s="1511"/>
      <c r="Q809" s="1511"/>
      <c r="R809" s="1511"/>
      <c r="S809" s="1512"/>
      <c r="T809" s="1194" t="s">
        <v>23</v>
      </c>
      <c r="U809" s="813" t="s">
        <v>236</v>
      </c>
      <c r="V809" s="1195"/>
      <c r="W809" s="1196"/>
      <c r="X809" s="1196"/>
      <c r="Y809" s="1196"/>
      <c r="Z809" s="1196"/>
      <c r="AA809" s="1196"/>
      <c r="AB809" s="1196"/>
      <c r="AC809" s="1196"/>
      <c r="AD809" s="1196"/>
      <c r="AE809" s="1196"/>
      <c r="AF809" s="1196"/>
      <c r="AG809" s="1196"/>
      <c r="AH809" s="1196"/>
      <c r="AI809" s="1196"/>
      <c r="AJ809" s="1196"/>
      <c r="AK809" s="1196"/>
      <c r="AL809" s="1196"/>
      <c r="AM809" s="1196"/>
      <c r="AN809" s="1196"/>
      <c r="AO809" s="1196"/>
      <c r="AP809" s="1196"/>
      <c r="AQ809" s="1196"/>
      <c r="AR809" s="1196"/>
      <c r="AS809" s="1196"/>
      <c r="AT809" s="1196"/>
      <c r="AU809" s="1196"/>
      <c r="AV809" s="1196"/>
      <c r="AW809" s="1196"/>
      <c r="AX809" s="1196"/>
      <c r="AY809" s="1196"/>
      <c r="AZ809" s="1196"/>
      <c r="BA809" s="1196"/>
      <c r="BB809" s="1196"/>
      <c r="BC809" s="1196"/>
      <c r="BD809" s="1196"/>
      <c r="BE809" s="1196"/>
      <c r="BF809" s="1196"/>
      <c r="BG809" s="1196"/>
      <c r="BH809" s="1196"/>
      <c r="BI809" s="1196"/>
      <c r="BJ809" s="1196"/>
      <c r="BK809" s="1196"/>
      <c r="BL809" s="1196"/>
      <c r="BM809" s="1196"/>
      <c r="BN809" s="1196"/>
      <c r="BO809" s="1196"/>
      <c r="BP809" s="1196"/>
      <c r="BQ809" s="1196"/>
      <c r="BR809" s="1196"/>
      <c r="BS809" s="1196"/>
      <c r="BT809" s="1196"/>
      <c r="BU809" s="1196"/>
      <c r="BV809" s="1196"/>
      <c r="BW809" s="1196"/>
      <c r="BX809" s="1196"/>
      <c r="BY809" s="1196"/>
      <c r="BZ809" s="1196"/>
      <c r="CA809" s="1196"/>
      <c r="CB809" s="1196"/>
      <c r="CC809" s="1196"/>
      <c r="CD809" s="1196"/>
      <c r="CE809" s="1196"/>
      <c r="CF809" s="1196"/>
      <c r="CG809" s="1196"/>
      <c r="CH809" s="1196"/>
      <c r="CI809" s="1196"/>
      <c r="CJ809" s="1196"/>
      <c r="CK809" s="1196"/>
      <c r="CL809" s="1196"/>
    </row>
    <row r="810" spans="1:90" s="1183" customFormat="1" ht="29.25" customHeight="1" x14ac:dyDescent="0.25">
      <c r="A810" s="1183" t="s">
        <v>4704</v>
      </c>
      <c r="B810" s="1184">
        <v>45064</v>
      </c>
      <c r="C810" s="1185">
        <v>0.75</v>
      </c>
      <c r="D810" s="1186">
        <v>52</v>
      </c>
      <c r="E810" s="1187">
        <v>11.1</v>
      </c>
      <c r="F810" s="1188">
        <v>15.3</v>
      </c>
      <c r="G810" s="1189">
        <v>1074</v>
      </c>
      <c r="H810" s="1189">
        <v>1903</v>
      </c>
      <c r="I810" s="1189">
        <v>98.5</v>
      </c>
      <c r="J810" s="1190">
        <v>111.5</v>
      </c>
      <c r="K810" s="1190" t="s">
        <v>5650</v>
      </c>
      <c r="L810" s="1187">
        <v>35.9</v>
      </c>
      <c r="M810" s="1187">
        <v>39.5</v>
      </c>
      <c r="N810" s="1187">
        <v>51.91</v>
      </c>
      <c r="O810" s="1191" t="s">
        <v>142</v>
      </c>
      <c r="P810" s="1191" t="s">
        <v>142</v>
      </c>
      <c r="Q810" s="1192" t="s">
        <v>142</v>
      </c>
      <c r="R810" s="1191" t="s">
        <v>4700</v>
      </c>
      <c r="S810" s="1193">
        <v>65.3</v>
      </c>
      <c r="T810" s="1194" t="s">
        <v>23</v>
      </c>
      <c r="U810" s="813" t="s">
        <v>236</v>
      </c>
      <c r="V810" s="1195"/>
      <c r="W810" s="1196"/>
      <c r="X810" s="1196"/>
      <c r="Y810" s="1196"/>
      <c r="Z810" s="1196"/>
      <c r="AA810" s="1196"/>
      <c r="AB810" s="1196"/>
      <c r="AC810" s="1196"/>
      <c r="AD810" s="1196"/>
      <c r="AE810" s="1196"/>
      <c r="AF810" s="1196"/>
      <c r="AG810" s="1196"/>
      <c r="AH810" s="1196"/>
      <c r="AI810" s="1196"/>
      <c r="AJ810" s="1196"/>
      <c r="AK810" s="1196"/>
      <c r="AL810" s="1196"/>
      <c r="AM810" s="1196"/>
      <c r="AN810" s="1196"/>
      <c r="AO810" s="1196"/>
      <c r="AP810" s="1196"/>
      <c r="AQ810" s="1196"/>
      <c r="AR810" s="1196"/>
      <c r="AS810" s="1196"/>
      <c r="AT810" s="1196"/>
      <c r="AU810" s="1196"/>
      <c r="AV810" s="1196"/>
      <c r="AW810" s="1196"/>
      <c r="AX810" s="1196"/>
      <c r="AY810" s="1196"/>
      <c r="AZ810" s="1196"/>
      <c r="BA810" s="1196"/>
      <c r="BB810" s="1196"/>
      <c r="BC810" s="1196"/>
      <c r="BD810" s="1196"/>
      <c r="BE810" s="1196"/>
      <c r="BF810" s="1196"/>
      <c r="BG810" s="1196"/>
      <c r="BH810" s="1196"/>
      <c r="BI810" s="1196"/>
      <c r="BJ810" s="1196"/>
      <c r="BK810" s="1196"/>
      <c r="BL810" s="1196"/>
      <c r="BM810" s="1196"/>
      <c r="BN810" s="1196"/>
      <c r="BO810" s="1196"/>
      <c r="BP810" s="1196"/>
      <c r="BQ810" s="1196"/>
      <c r="BR810" s="1196"/>
      <c r="BS810" s="1196"/>
      <c r="BT810" s="1196"/>
      <c r="BU810" s="1196"/>
      <c r="BV810" s="1196"/>
      <c r="BW810" s="1196"/>
      <c r="BX810" s="1196"/>
      <c r="BY810" s="1196"/>
      <c r="BZ810" s="1196"/>
      <c r="CA810" s="1196"/>
      <c r="CB810" s="1196"/>
      <c r="CC810" s="1196"/>
      <c r="CD810" s="1196"/>
      <c r="CE810" s="1196"/>
      <c r="CF810" s="1196"/>
      <c r="CG810" s="1196"/>
      <c r="CH810" s="1196"/>
      <c r="CI810" s="1196"/>
      <c r="CJ810" s="1196"/>
      <c r="CK810" s="1196"/>
      <c r="CL810" s="1196"/>
    </row>
    <row r="811" spans="1:90" s="1183" customFormat="1" ht="29.25" customHeight="1" x14ac:dyDescent="0.25">
      <c r="A811" s="1183" t="s">
        <v>4704</v>
      </c>
      <c r="B811" s="1184">
        <v>45065</v>
      </c>
      <c r="C811" s="1185">
        <v>0.70833333333333337</v>
      </c>
      <c r="D811" s="1510" t="s">
        <v>5659</v>
      </c>
      <c r="E811" s="1511"/>
      <c r="F811" s="1511"/>
      <c r="G811" s="1511"/>
      <c r="H811" s="1511"/>
      <c r="I811" s="1511"/>
      <c r="J811" s="1511"/>
      <c r="K811" s="1511"/>
      <c r="L811" s="1511"/>
      <c r="M811" s="1511"/>
      <c r="N811" s="1511"/>
      <c r="O811" s="1511"/>
      <c r="P811" s="1511"/>
      <c r="Q811" s="1511"/>
      <c r="R811" s="1511"/>
      <c r="S811" s="1512"/>
      <c r="T811" s="1194" t="s">
        <v>23</v>
      </c>
      <c r="U811" s="813" t="s">
        <v>236</v>
      </c>
      <c r="V811" s="1195"/>
      <c r="W811" s="1196"/>
      <c r="X811" s="1196"/>
      <c r="Y811" s="1196"/>
      <c r="Z811" s="1196"/>
      <c r="AA811" s="1196"/>
      <c r="AB811" s="1196"/>
      <c r="AC811" s="1196"/>
      <c r="AD811" s="1196"/>
      <c r="AE811" s="1196"/>
      <c r="AF811" s="1196"/>
      <c r="AG811" s="1196"/>
      <c r="AH811" s="1196"/>
      <c r="AI811" s="1196"/>
      <c r="AJ811" s="1196"/>
      <c r="AK811" s="1196"/>
      <c r="AL811" s="1196"/>
      <c r="AM811" s="1196"/>
      <c r="AN811" s="1196"/>
      <c r="AO811" s="1196"/>
      <c r="AP811" s="1196"/>
      <c r="AQ811" s="1196"/>
      <c r="AR811" s="1196"/>
      <c r="AS811" s="1196"/>
      <c r="AT811" s="1196"/>
      <c r="AU811" s="1196"/>
      <c r="AV811" s="1196"/>
      <c r="AW811" s="1196"/>
      <c r="AX811" s="1196"/>
      <c r="AY811" s="1196"/>
      <c r="AZ811" s="1196"/>
      <c r="BA811" s="1196"/>
      <c r="BB811" s="1196"/>
      <c r="BC811" s="1196"/>
      <c r="BD811" s="1196"/>
      <c r="BE811" s="1196"/>
      <c r="BF811" s="1196"/>
      <c r="BG811" s="1196"/>
      <c r="BH811" s="1196"/>
      <c r="BI811" s="1196"/>
      <c r="BJ811" s="1196"/>
      <c r="BK811" s="1196"/>
      <c r="BL811" s="1196"/>
      <c r="BM811" s="1196"/>
      <c r="BN811" s="1196"/>
      <c r="BO811" s="1196"/>
      <c r="BP811" s="1196"/>
      <c r="BQ811" s="1196"/>
      <c r="BR811" s="1196"/>
      <c r="BS811" s="1196"/>
      <c r="BT811" s="1196"/>
      <c r="BU811" s="1196"/>
      <c r="BV811" s="1196"/>
      <c r="BW811" s="1196"/>
      <c r="BX811" s="1196"/>
      <c r="BY811" s="1196"/>
      <c r="BZ811" s="1196"/>
      <c r="CA811" s="1196"/>
      <c r="CB811" s="1196"/>
      <c r="CC811" s="1196"/>
      <c r="CD811" s="1196"/>
      <c r="CE811" s="1196"/>
      <c r="CF811" s="1196"/>
      <c r="CG811" s="1196"/>
      <c r="CH811" s="1196"/>
      <c r="CI811" s="1196"/>
      <c r="CJ811" s="1196"/>
      <c r="CK811" s="1196"/>
      <c r="CL811" s="1196"/>
    </row>
    <row r="812" spans="1:90" s="1183" customFormat="1" ht="29.25" customHeight="1" x14ac:dyDescent="0.25">
      <c r="A812" s="1183" t="s">
        <v>4704</v>
      </c>
      <c r="B812" s="1184">
        <v>45066</v>
      </c>
      <c r="C812" s="1185">
        <v>0.79166666666666663</v>
      </c>
      <c r="D812" s="1186">
        <v>52</v>
      </c>
      <c r="E812" s="1187">
        <v>11.1</v>
      </c>
      <c r="F812" s="1188">
        <v>15.1</v>
      </c>
      <c r="G812" s="1189">
        <v>1110</v>
      </c>
      <c r="H812" s="1189">
        <v>2018</v>
      </c>
      <c r="I812" s="1189">
        <v>98.5</v>
      </c>
      <c r="J812" s="1190">
        <v>111</v>
      </c>
      <c r="K812" s="1190" t="s">
        <v>5663</v>
      </c>
      <c r="L812" s="1187">
        <v>38.86</v>
      </c>
      <c r="M812" s="1187">
        <v>41</v>
      </c>
      <c r="N812" s="1187">
        <v>49.73</v>
      </c>
      <c r="O812" s="1191" t="s">
        <v>142</v>
      </c>
      <c r="P812" s="1191" t="s">
        <v>142</v>
      </c>
      <c r="Q812" s="1192" t="s">
        <v>142</v>
      </c>
      <c r="R812" s="1191" t="s">
        <v>2053</v>
      </c>
      <c r="S812" s="1193">
        <v>64.5</v>
      </c>
      <c r="T812" s="1194" t="s">
        <v>23</v>
      </c>
      <c r="U812" s="813" t="s">
        <v>236</v>
      </c>
      <c r="V812" s="1195"/>
      <c r="W812" s="1196"/>
      <c r="X812" s="1196"/>
      <c r="Y812" s="1196"/>
      <c r="Z812" s="1196"/>
      <c r="AA812" s="1196"/>
      <c r="AB812" s="1196"/>
      <c r="AC812" s="1196"/>
      <c r="AD812" s="1196"/>
      <c r="AE812" s="1196"/>
      <c r="AF812" s="1196"/>
      <c r="AG812" s="1196"/>
      <c r="AH812" s="1196"/>
      <c r="AI812" s="1196"/>
      <c r="AJ812" s="1196"/>
      <c r="AK812" s="1196"/>
      <c r="AL812" s="1196"/>
      <c r="AM812" s="1196"/>
      <c r="AN812" s="1196"/>
      <c r="AO812" s="1196"/>
      <c r="AP812" s="1196"/>
      <c r="AQ812" s="1196"/>
      <c r="AR812" s="1196"/>
      <c r="AS812" s="1196"/>
      <c r="AT812" s="1196"/>
      <c r="AU812" s="1196"/>
      <c r="AV812" s="1196"/>
      <c r="AW812" s="1196"/>
      <c r="AX812" s="1196"/>
      <c r="AY812" s="1196"/>
      <c r="AZ812" s="1196"/>
      <c r="BA812" s="1196"/>
      <c r="BB812" s="1196"/>
      <c r="BC812" s="1196"/>
      <c r="BD812" s="1196"/>
      <c r="BE812" s="1196"/>
      <c r="BF812" s="1196"/>
      <c r="BG812" s="1196"/>
      <c r="BH812" s="1196"/>
      <c r="BI812" s="1196"/>
      <c r="BJ812" s="1196"/>
      <c r="BK812" s="1196"/>
      <c r="BL812" s="1196"/>
      <c r="BM812" s="1196"/>
      <c r="BN812" s="1196"/>
      <c r="BO812" s="1196"/>
      <c r="BP812" s="1196"/>
      <c r="BQ812" s="1196"/>
      <c r="BR812" s="1196"/>
      <c r="BS812" s="1196"/>
      <c r="BT812" s="1196"/>
      <c r="BU812" s="1196"/>
      <c r="BV812" s="1196"/>
      <c r="BW812" s="1196"/>
      <c r="BX812" s="1196"/>
      <c r="BY812" s="1196"/>
      <c r="BZ812" s="1196"/>
      <c r="CA812" s="1196"/>
      <c r="CB812" s="1196"/>
      <c r="CC812" s="1196"/>
      <c r="CD812" s="1196"/>
      <c r="CE812" s="1196"/>
      <c r="CF812" s="1196"/>
      <c r="CG812" s="1196"/>
      <c r="CH812" s="1196"/>
      <c r="CI812" s="1196"/>
      <c r="CJ812" s="1196"/>
      <c r="CK812" s="1196"/>
      <c r="CL812" s="1196"/>
    </row>
    <row r="813" spans="1:90" s="1183" customFormat="1" ht="29.25" customHeight="1" x14ac:dyDescent="0.25">
      <c r="A813" s="1183" t="s">
        <v>4704</v>
      </c>
      <c r="B813" s="1184">
        <v>45067</v>
      </c>
      <c r="C813" s="1185">
        <v>0.75</v>
      </c>
      <c r="D813" s="1510" t="s">
        <v>5666</v>
      </c>
      <c r="E813" s="1511"/>
      <c r="F813" s="1511"/>
      <c r="G813" s="1511"/>
      <c r="H813" s="1511"/>
      <c r="I813" s="1511"/>
      <c r="J813" s="1511"/>
      <c r="K813" s="1511"/>
      <c r="L813" s="1511"/>
      <c r="M813" s="1511"/>
      <c r="N813" s="1511"/>
      <c r="O813" s="1511"/>
      <c r="P813" s="1511"/>
      <c r="Q813" s="1511"/>
      <c r="R813" s="1511"/>
      <c r="S813" s="1512"/>
      <c r="T813" s="1194" t="s">
        <v>23</v>
      </c>
      <c r="U813" s="813" t="s">
        <v>236</v>
      </c>
      <c r="V813" s="1195"/>
      <c r="W813" s="1196"/>
      <c r="X813" s="1196"/>
      <c r="Y813" s="1196"/>
      <c r="Z813" s="1196"/>
      <c r="AA813" s="1196"/>
      <c r="AB813" s="1196"/>
      <c r="AC813" s="1196"/>
      <c r="AD813" s="1196"/>
      <c r="AE813" s="1196"/>
      <c r="AF813" s="1196"/>
      <c r="AG813" s="1196"/>
      <c r="AH813" s="1196"/>
      <c r="AI813" s="1196"/>
      <c r="AJ813" s="1196"/>
      <c r="AK813" s="1196"/>
      <c r="AL813" s="1196"/>
      <c r="AM813" s="1196"/>
      <c r="AN813" s="1196"/>
      <c r="AO813" s="1196"/>
      <c r="AP813" s="1196"/>
      <c r="AQ813" s="1196"/>
      <c r="AR813" s="1196"/>
      <c r="AS813" s="1196"/>
      <c r="AT813" s="1196"/>
      <c r="AU813" s="1196"/>
      <c r="AV813" s="1196"/>
      <c r="AW813" s="1196"/>
      <c r="AX813" s="1196"/>
      <c r="AY813" s="1196"/>
      <c r="AZ813" s="1196"/>
      <c r="BA813" s="1196"/>
      <c r="BB813" s="1196"/>
      <c r="BC813" s="1196"/>
      <c r="BD813" s="1196"/>
      <c r="BE813" s="1196"/>
      <c r="BF813" s="1196"/>
      <c r="BG813" s="1196"/>
      <c r="BH813" s="1196"/>
      <c r="BI813" s="1196"/>
      <c r="BJ813" s="1196"/>
      <c r="BK813" s="1196"/>
      <c r="BL813" s="1196"/>
      <c r="BM813" s="1196"/>
      <c r="BN813" s="1196"/>
      <c r="BO813" s="1196"/>
      <c r="BP813" s="1196"/>
      <c r="BQ813" s="1196"/>
      <c r="BR813" s="1196"/>
      <c r="BS813" s="1196"/>
      <c r="BT813" s="1196"/>
      <c r="BU813" s="1196"/>
      <c r="BV813" s="1196"/>
      <c r="BW813" s="1196"/>
      <c r="BX813" s="1196"/>
      <c r="BY813" s="1196"/>
      <c r="BZ813" s="1196"/>
      <c r="CA813" s="1196"/>
      <c r="CB813" s="1196"/>
      <c r="CC813" s="1196"/>
      <c r="CD813" s="1196"/>
      <c r="CE813" s="1196"/>
      <c r="CF813" s="1196"/>
      <c r="CG813" s="1196"/>
      <c r="CH813" s="1196"/>
      <c r="CI813" s="1196"/>
      <c r="CJ813" s="1196"/>
      <c r="CK813" s="1196"/>
      <c r="CL813" s="1196"/>
    </row>
    <row r="814" spans="1:90" s="1183" customFormat="1" ht="29.25" customHeight="1" x14ac:dyDescent="0.25">
      <c r="A814" s="1183" t="s">
        <v>4704</v>
      </c>
      <c r="B814" s="1184">
        <v>45068</v>
      </c>
      <c r="C814" s="1185">
        <v>0.75</v>
      </c>
      <c r="D814" s="1186">
        <v>53</v>
      </c>
      <c r="E814" s="1187">
        <v>11.5</v>
      </c>
      <c r="F814" s="1188">
        <v>15.5</v>
      </c>
      <c r="G814" s="1189">
        <v>1100</v>
      </c>
      <c r="H814" s="1189">
        <v>2057</v>
      </c>
      <c r="I814" s="1189">
        <v>98.6</v>
      </c>
      <c r="J814" s="1190">
        <v>112</v>
      </c>
      <c r="K814" s="1190" t="s">
        <v>5669</v>
      </c>
      <c r="L814" s="1187">
        <v>41.34</v>
      </c>
      <c r="M814" s="1187">
        <v>44</v>
      </c>
      <c r="N814" s="1187">
        <v>50.27</v>
      </c>
      <c r="O814" s="1191" t="s">
        <v>142</v>
      </c>
      <c r="P814" s="1191" t="s">
        <v>142</v>
      </c>
      <c r="Q814" s="1192" t="s">
        <v>142</v>
      </c>
      <c r="R814" s="1191" t="s">
        <v>865</v>
      </c>
      <c r="S814" s="1193">
        <v>66.2</v>
      </c>
      <c r="T814" s="1194" t="s">
        <v>23</v>
      </c>
      <c r="U814" s="813" t="s">
        <v>236</v>
      </c>
      <c r="V814" s="1195" t="s">
        <v>5671</v>
      </c>
      <c r="W814" s="1196"/>
      <c r="X814" s="1196"/>
      <c r="Y814" s="1196"/>
      <c r="Z814" s="1196"/>
      <c r="AA814" s="1196"/>
      <c r="AB814" s="1196"/>
      <c r="AC814" s="1196"/>
      <c r="AD814" s="1196"/>
      <c r="AE814" s="1196"/>
      <c r="AF814" s="1196"/>
      <c r="AG814" s="1196"/>
      <c r="AH814" s="1196"/>
      <c r="AI814" s="1196"/>
      <c r="AJ814" s="1196"/>
      <c r="AK814" s="1196"/>
      <c r="AL814" s="1196"/>
      <c r="AM814" s="1196"/>
      <c r="AN814" s="1196"/>
      <c r="AO814" s="1196"/>
      <c r="AP814" s="1196"/>
      <c r="AQ814" s="1196"/>
      <c r="AR814" s="1196"/>
      <c r="AS814" s="1196"/>
      <c r="AT814" s="1196"/>
      <c r="AU814" s="1196"/>
      <c r="AV814" s="1196"/>
      <c r="AW814" s="1196"/>
      <c r="AX814" s="1196"/>
      <c r="AY814" s="1196"/>
      <c r="AZ814" s="1196"/>
      <c r="BA814" s="1196"/>
      <c r="BB814" s="1196"/>
      <c r="BC814" s="1196"/>
      <c r="BD814" s="1196"/>
      <c r="BE814" s="1196"/>
      <c r="BF814" s="1196"/>
      <c r="BG814" s="1196"/>
      <c r="BH814" s="1196"/>
      <c r="BI814" s="1196"/>
      <c r="BJ814" s="1196"/>
      <c r="BK814" s="1196"/>
      <c r="BL814" s="1196"/>
      <c r="BM814" s="1196"/>
      <c r="BN814" s="1196"/>
      <c r="BO814" s="1196"/>
      <c r="BP814" s="1196"/>
      <c r="BQ814" s="1196"/>
      <c r="BR814" s="1196"/>
      <c r="BS814" s="1196"/>
      <c r="BT814" s="1196"/>
      <c r="BU814" s="1196"/>
      <c r="BV814" s="1196"/>
      <c r="BW814" s="1196"/>
      <c r="BX814" s="1196"/>
      <c r="BY814" s="1196"/>
      <c r="BZ814" s="1196"/>
      <c r="CA814" s="1196"/>
      <c r="CB814" s="1196"/>
      <c r="CC814" s="1196"/>
      <c r="CD814" s="1196"/>
      <c r="CE814" s="1196"/>
      <c r="CF814" s="1196"/>
      <c r="CG814" s="1196"/>
      <c r="CH814" s="1196"/>
      <c r="CI814" s="1196"/>
      <c r="CJ814" s="1196"/>
      <c r="CK814" s="1196"/>
      <c r="CL814" s="1196"/>
    </row>
    <row r="815" spans="1:90" s="1183" customFormat="1" ht="29.25" customHeight="1" x14ac:dyDescent="0.25">
      <c r="A815" s="1183" t="s">
        <v>4704</v>
      </c>
      <c r="B815" s="1184">
        <v>45069</v>
      </c>
      <c r="C815" s="1185">
        <v>0.95833333333333337</v>
      </c>
      <c r="D815" s="1186">
        <v>52</v>
      </c>
      <c r="E815" s="1187">
        <v>10.9</v>
      </c>
      <c r="F815" s="1188">
        <v>14.8</v>
      </c>
      <c r="G815" s="1189">
        <v>1123</v>
      </c>
      <c r="H815" s="1189">
        <v>2043</v>
      </c>
      <c r="I815" s="1189">
        <v>98.6</v>
      </c>
      <c r="J815" s="1190">
        <v>114</v>
      </c>
      <c r="K815" s="1190" t="s">
        <v>5637</v>
      </c>
      <c r="L815" s="1187">
        <v>38.43</v>
      </c>
      <c r="M815" s="1187">
        <v>41</v>
      </c>
      <c r="N815" s="1187">
        <v>53.21</v>
      </c>
      <c r="O815" s="1191" t="s">
        <v>142</v>
      </c>
      <c r="P815" s="1191" t="s">
        <v>142</v>
      </c>
      <c r="Q815" s="1192" t="s">
        <v>142</v>
      </c>
      <c r="R815" s="1191" t="s">
        <v>5675</v>
      </c>
      <c r="S815" s="1193">
        <v>64.3</v>
      </c>
      <c r="T815" s="1194" t="s">
        <v>23</v>
      </c>
      <c r="U815" s="813" t="s">
        <v>236</v>
      </c>
      <c r="V815" s="1195" t="s">
        <v>5676</v>
      </c>
      <c r="W815" s="1196"/>
      <c r="X815" s="1196"/>
      <c r="Y815" s="1196"/>
      <c r="Z815" s="1196"/>
      <c r="AA815" s="1196"/>
      <c r="AB815" s="1196"/>
      <c r="AC815" s="1196"/>
      <c r="AD815" s="1196"/>
      <c r="AE815" s="1196"/>
      <c r="AF815" s="1196"/>
      <c r="AG815" s="1196"/>
      <c r="AH815" s="1196"/>
      <c r="AI815" s="1196"/>
      <c r="AJ815" s="1196"/>
      <c r="AK815" s="1196"/>
      <c r="AL815" s="1196"/>
      <c r="AM815" s="1196"/>
      <c r="AN815" s="1196"/>
      <c r="AO815" s="1196"/>
      <c r="AP815" s="1196"/>
      <c r="AQ815" s="1196"/>
      <c r="AR815" s="1196"/>
      <c r="AS815" s="1196"/>
      <c r="AT815" s="1196"/>
      <c r="AU815" s="1196"/>
      <c r="AV815" s="1196"/>
      <c r="AW815" s="1196"/>
      <c r="AX815" s="1196"/>
      <c r="AY815" s="1196"/>
      <c r="AZ815" s="1196"/>
      <c r="BA815" s="1196"/>
      <c r="BB815" s="1196"/>
      <c r="BC815" s="1196"/>
      <c r="BD815" s="1196"/>
      <c r="BE815" s="1196"/>
      <c r="BF815" s="1196"/>
      <c r="BG815" s="1196"/>
      <c r="BH815" s="1196"/>
      <c r="BI815" s="1196"/>
      <c r="BJ815" s="1196"/>
      <c r="BK815" s="1196"/>
      <c r="BL815" s="1196"/>
      <c r="BM815" s="1196"/>
      <c r="BN815" s="1196"/>
      <c r="BO815" s="1196"/>
      <c r="BP815" s="1196"/>
      <c r="BQ815" s="1196"/>
      <c r="BR815" s="1196"/>
      <c r="BS815" s="1196"/>
      <c r="BT815" s="1196"/>
      <c r="BU815" s="1196"/>
      <c r="BV815" s="1196"/>
      <c r="BW815" s="1196"/>
      <c r="BX815" s="1196"/>
      <c r="BY815" s="1196"/>
      <c r="BZ815" s="1196"/>
      <c r="CA815" s="1196"/>
      <c r="CB815" s="1196"/>
      <c r="CC815" s="1196"/>
      <c r="CD815" s="1196"/>
      <c r="CE815" s="1196"/>
      <c r="CF815" s="1196"/>
      <c r="CG815" s="1196"/>
      <c r="CH815" s="1196"/>
      <c r="CI815" s="1196"/>
      <c r="CJ815" s="1196"/>
      <c r="CK815" s="1196"/>
      <c r="CL815" s="1196"/>
    </row>
    <row r="816" spans="1:90" s="1183" customFormat="1" ht="29.25" customHeight="1" x14ac:dyDescent="0.25">
      <c r="A816" s="1183" t="s">
        <v>4704</v>
      </c>
      <c r="B816" s="1184">
        <v>45070</v>
      </c>
      <c r="C816" s="1185">
        <v>0.75</v>
      </c>
      <c r="D816" s="1510" t="s">
        <v>5683</v>
      </c>
      <c r="E816" s="1511"/>
      <c r="F816" s="1511"/>
      <c r="G816" s="1511"/>
      <c r="H816" s="1511"/>
      <c r="I816" s="1511"/>
      <c r="J816" s="1511"/>
      <c r="K816" s="1511"/>
      <c r="L816" s="1511"/>
      <c r="M816" s="1511"/>
      <c r="N816" s="1511"/>
      <c r="O816" s="1511"/>
      <c r="P816" s="1511"/>
      <c r="Q816" s="1511"/>
      <c r="R816" s="1511"/>
      <c r="S816" s="1512"/>
      <c r="T816" s="1194" t="s">
        <v>23</v>
      </c>
      <c r="U816" s="813" t="s">
        <v>236</v>
      </c>
      <c r="V816" s="1195"/>
      <c r="W816" s="1196"/>
      <c r="X816" s="1196"/>
      <c r="Y816" s="1196"/>
      <c r="Z816" s="1196"/>
      <c r="AA816" s="1196"/>
      <c r="AB816" s="1196"/>
      <c r="AC816" s="1196"/>
      <c r="AD816" s="1196"/>
      <c r="AE816" s="1196"/>
      <c r="AF816" s="1196"/>
      <c r="AG816" s="1196"/>
      <c r="AH816" s="1196"/>
      <c r="AI816" s="1196"/>
      <c r="AJ816" s="1196"/>
      <c r="AK816" s="1196"/>
      <c r="AL816" s="1196"/>
      <c r="AM816" s="1196"/>
      <c r="AN816" s="1196"/>
      <c r="AO816" s="1196"/>
      <c r="AP816" s="1196"/>
      <c r="AQ816" s="1196"/>
      <c r="AR816" s="1196"/>
      <c r="AS816" s="1196"/>
      <c r="AT816" s="1196"/>
      <c r="AU816" s="1196"/>
      <c r="AV816" s="1196"/>
      <c r="AW816" s="1196"/>
      <c r="AX816" s="1196"/>
      <c r="AY816" s="1196"/>
      <c r="AZ816" s="1196"/>
      <c r="BA816" s="1196"/>
      <c r="BB816" s="1196"/>
      <c r="BC816" s="1196"/>
      <c r="BD816" s="1196"/>
      <c r="BE816" s="1196"/>
      <c r="BF816" s="1196"/>
      <c r="BG816" s="1196"/>
      <c r="BH816" s="1196"/>
      <c r="BI816" s="1196"/>
      <c r="BJ816" s="1196"/>
      <c r="BK816" s="1196"/>
      <c r="BL816" s="1196"/>
      <c r="BM816" s="1196"/>
      <c r="BN816" s="1196"/>
      <c r="BO816" s="1196"/>
      <c r="BP816" s="1196"/>
      <c r="BQ816" s="1196"/>
      <c r="BR816" s="1196"/>
      <c r="BS816" s="1196"/>
      <c r="BT816" s="1196"/>
      <c r="BU816" s="1196"/>
      <c r="BV816" s="1196"/>
      <c r="BW816" s="1196"/>
      <c r="BX816" s="1196"/>
      <c r="BY816" s="1196"/>
      <c r="BZ816" s="1196"/>
      <c r="CA816" s="1196"/>
      <c r="CB816" s="1196"/>
      <c r="CC816" s="1196"/>
      <c r="CD816" s="1196"/>
      <c r="CE816" s="1196"/>
      <c r="CF816" s="1196"/>
      <c r="CG816" s="1196"/>
      <c r="CH816" s="1196"/>
      <c r="CI816" s="1196"/>
      <c r="CJ816" s="1196"/>
      <c r="CK816" s="1196"/>
      <c r="CL816" s="1196"/>
    </row>
    <row r="817" spans="1:90" s="1183" customFormat="1" ht="29.25" customHeight="1" x14ac:dyDescent="0.25">
      <c r="A817" s="1183" t="s">
        <v>4704</v>
      </c>
      <c r="B817" s="1184">
        <v>45071</v>
      </c>
      <c r="C817" s="1185">
        <v>0.77083333333333337</v>
      </c>
      <c r="D817" s="1510" t="s">
        <v>5685</v>
      </c>
      <c r="E817" s="1511"/>
      <c r="F817" s="1511"/>
      <c r="G817" s="1511"/>
      <c r="H817" s="1511"/>
      <c r="I817" s="1511"/>
      <c r="J817" s="1511"/>
      <c r="K817" s="1511"/>
      <c r="L817" s="1511"/>
      <c r="M817" s="1511"/>
      <c r="N817" s="1511"/>
      <c r="O817" s="1511"/>
      <c r="P817" s="1511"/>
      <c r="Q817" s="1511"/>
      <c r="R817" s="1511"/>
      <c r="S817" s="1512"/>
      <c r="T817" s="1194" t="s">
        <v>23</v>
      </c>
      <c r="U817" s="813" t="s">
        <v>236</v>
      </c>
      <c r="V817" s="1195"/>
      <c r="W817" s="1196"/>
      <c r="X817" s="1196"/>
      <c r="Y817" s="1196"/>
      <c r="Z817" s="1196"/>
      <c r="AA817" s="1196"/>
      <c r="AB817" s="1196"/>
      <c r="AC817" s="1196"/>
      <c r="AD817" s="1196"/>
      <c r="AE817" s="1196"/>
      <c r="AF817" s="1196"/>
      <c r="AG817" s="1196"/>
      <c r="AH817" s="1196"/>
      <c r="AI817" s="1196"/>
      <c r="AJ817" s="1196"/>
      <c r="AK817" s="1196"/>
      <c r="AL817" s="1196"/>
      <c r="AM817" s="1196"/>
      <c r="AN817" s="1196"/>
      <c r="AO817" s="1196"/>
      <c r="AP817" s="1196"/>
      <c r="AQ817" s="1196"/>
      <c r="AR817" s="1196"/>
      <c r="AS817" s="1196"/>
      <c r="AT817" s="1196"/>
      <c r="AU817" s="1196"/>
      <c r="AV817" s="1196"/>
      <c r="AW817" s="1196"/>
      <c r="AX817" s="1196"/>
      <c r="AY817" s="1196"/>
      <c r="AZ817" s="1196"/>
      <c r="BA817" s="1196"/>
      <c r="BB817" s="1196"/>
      <c r="BC817" s="1196"/>
      <c r="BD817" s="1196"/>
      <c r="BE817" s="1196"/>
      <c r="BF817" s="1196"/>
      <c r="BG817" s="1196"/>
      <c r="BH817" s="1196"/>
      <c r="BI817" s="1196"/>
      <c r="BJ817" s="1196"/>
      <c r="BK817" s="1196"/>
      <c r="BL817" s="1196"/>
      <c r="BM817" s="1196"/>
      <c r="BN817" s="1196"/>
      <c r="BO817" s="1196"/>
      <c r="BP817" s="1196"/>
      <c r="BQ817" s="1196"/>
      <c r="BR817" s="1196"/>
      <c r="BS817" s="1196"/>
      <c r="BT817" s="1196"/>
      <c r="BU817" s="1196"/>
      <c r="BV817" s="1196"/>
      <c r="BW817" s="1196"/>
      <c r="BX817" s="1196"/>
      <c r="BY817" s="1196"/>
      <c r="BZ817" s="1196"/>
      <c r="CA817" s="1196"/>
      <c r="CB817" s="1196"/>
      <c r="CC817" s="1196"/>
      <c r="CD817" s="1196"/>
      <c r="CE817" s="1196"/>
      <c r="CF817" s="1196"/>
      <c r="CG817" s="1196"/>
      <c r="CH817" s="1196"/>
      <c r="CI817" s="1196"/>
      <c r="CJ817" s="1196"/>
      <c r="CK817" s="1196"/>
      <c r="CL817" s="1196"/>
    </row>
    <row r="818" spans="1:90" s="1183" customFormat="1" ht="29.25" customHeight="1" x14ac:dyDescent="0.25">
      <c r="A818" s="1183" t="s">
        <v>4704</v>
      </c>
      <c r="B818" s="1184">
        <v>45072</v>
      </c>
      <c r="C818" s="1185">
        <v>0.75</v>
      </c>
      <c r="D818" s="1510" t="s">
        <v>5690</v>
      </c>
      <c r="E818" s="1511"/>
      <c r="F818" s="1511"/>
      <c r="G818" s="1511"/>
      <c r="H818" s="1511"/>
      <c r="I818" s="1511"/>
      <c r="J818" s="1511"/>
      <c r="K818" s="1511"/>
      <c r="L818" s="1511"/>
      <c r="M818" s="1511"/>
      <c r="N818" s="1511"/>
      <c r="O818" s="1511"/>
      <c r="P818" s="1511"/>
      <c r="Q818" s="1511"/>
      <c r="R818" s="1511"/>
      <c r="S818" s="1512"/>
      <c r="T818" s="1194" t="s">
        <v>23</v>
      </c>
      <c r="U818" s="813" t="s">
        <v>236</v>
      </c>
      <c r="V818" s="1195"/>
      <c r="W818" s="1196"/>
      <c r="X818" s="1196"/>
      <c r="Y818" s="1196"/>
      <c r="Z818" s="1196"/>
      <c r="AA818" s="1196"/>
      <c r="AB818" s="1196"/>
      <c r="AC818" s="1196"/>
      <c r="AD818" s="1196"/>
      <c r="AE818" s="1196"/>
      <c r="AF818" s="1196"/>
      <c r="AG818" s="1196"/>
      <c r="AH818" s="1196"/>
      <c r="AI818" s="1196"/>
      <c r="AJ818" s="1196"/>
      <c r="AK818" s="1196"/>
      <c r="AL818" s="1196"/>
      <c r="AM818" s="1196"/>
      <c r="AN818" s="1196"/>
      <c r="AO818" s="1196"/>
      <c r="AP818" s="1196"/>
      <c r="AQ818" s="1196"/>
      <c r="AR818" s="1196"/>
      <c r="AS818" s="1196"/>
      <c r="AT818" s="1196"/>
      <c r="AU818" s="1196"/>
      <c r="AV818" s="1196"/>
      <c r="AW818" s="1196"/>
      <c r="AX818" s="1196"/>
      <c r="AY818" s="1196"/>
      <c r="AZ818" s="1196"/>
      <c r="BA818" s="1196"/>
      <c r="BB818" s="1196"/>
      <c r="BC818" s="1196"/>
      <c r="BD818" s="1196"/>
      <c r="BE818" s="1196"/>
      <c r="BF818" s="1196"/>
      <c r="BG818" s="1196"/>
      <c r="BH818" s="1196"/>
      <c r="BI818" s="1196"/>
      <c r="BJ818" s="1196"/>
      <c r="BK818" s="1196"/>
      <c r="BL818" s="1196"/>
      <c r="BM818" s="1196"/>
      <c r="BN818" s="1196"/>
      <c r="BO818" s="1196"/>
      <c r="BP818" s="1196"/>
      <c r="BQ818" s="1196"/>
      <c r="BR818" s="1196"/>
      <c r="BS818" s="1196"/>
      <c r="BT818" s="1196"/>
      <c r="BU818" s="1196"/>
      <c r="BV818" s="1196"/>
      <c r="BW818" s="1196"/>
      <c r="BX818" s="1196"/>
      <c r="BY818" s="1196"/>
      <c r="BZ818" s="1196"/>
      <c r="CA818" s="1196"/>
      <c r="CB818" s="1196"/>
      <c r="CC818" s="1196"/>
      <c r="CD818" s="1196"/>
      <c r="CE818" s="1196"/>
      <c r="CF818" s="1196"/>
      <c r="CG818" s="1196"/>
      <c r="CH818" s="1196"/>
      <c r="CI818" s="1196"/>
      <c r="CJ818" s="1196"/>
      <c r="CK818" s="1196"/>
      <c r="CL818" s="1196"/>
    </row>
    <row r="819" spans="1:90" s="1183" customFormat="1" ht="29.25" customHeight="1" x14ac:dyDescent="0.25">
      <c r="A819" s="1183" t="s">
        <v>4704</v>
      </c>
      <c r="B819" s="1184">
        <v>45073</v>
      </c>
      <c r="C819" s="1185">
        <v>0.79166666666666663</v>
      </c>
      <c r="D819" s="1186">
        <v>52</v>
      </c>
      <c r="E819" s="1187">
        <v>10.9</v>
      </c>
      <c r="F819" s="1188">
        <v>14.8</v>
      </c>
      <c r="G819" s="1189">
        <v>1123</v>
      </c>
      <c r="H819" s="1189">
        <v>2043</v>
      </c>
      <c r="I819" s="1189">
        <v>98.6</v>
      </c>
      <c r="J819" s="1190">
        <v>114</v>
      </c>
      <c r="K819" s="1190" t="s">
        <v>5637</v>
      </c>
      <c r="L819" s="1187">
        <v>38.43</v>
      </c>
      <c r="M819" s="1187">
        <v>41</v>
      </c>
      <c r="N819" s="1187">
        <v>53.21</v>
      </c>
      <c r="O819" s="1191" t="s">
        <v>142</v>
      </c>
      <c r="P819" s="1191" t="s">
        <v>142</v>
      </c>
      <c r="Q819" s="1192" t="s">
        <v>142</v>
      </c>
      <c r="R819" s="1191" t="s">
        <v>5675</v>
      </c>
      <c r="S819" s="1193">
        <v>64.3</v>
      </c>
      <c r="T819" s="1194" t="s">
        <v>23</v>
      </c>
      <c r="U819" s="813" t="s">
        <v>236</v>
      </c>
      <c r="V819" s="1195"/>
      <c r="W819" s="1196"/>
      <c r="X819" s="1196"/>
      <c r="Y819" s="1196"/>
      <c r="Z819" s="1196"/>
      <c r="AA819" s="1196"/>
      <c r="AB819" s="1196"/>
      <c r="AC819" s="1196"/>
      <c r="AD819" s="1196"/>
      <c r="AE819" s="1196"/>
      <c r="AF819" s="1196"/>
      <c r="AG819" s="1196"/>
      <c r="AH819" s="1196"/>
      <c r="AI819" s="1196"/>
      <c r="AJ819" s="1196"/>
      <c r="AK819" s="1196"/>
      <c r="AL819" s="1196"/>
      <c r="AM819" s="1196"/>
      <c r="AN819" s="1196"/>
      <c r="AO819" s="1196"/>
      <c r="AP819" s="1196"/>
      <c r="AQ819" s="1196"/>
      <c r="AR819" s="1196"/>
      <c r="AS819" s="1196"/>
      <c r="AT819" s="1196"/>
      <c r="AU819" s="1196"/>
      <c r="AV819" s="1196"/>
      <c r="AW819" s="1196"/>
      <c r="AX819" s="1196"/>
      <c r="AY819" s="1196"/>
      <c r="AZ819" s="1196"/>
      <c r="BA819" s="1196"/>
      <c r="BB819" s="1196"/>
      <c r="BC819" s="1196"/>
      <c r="BD819" s="1196"/>
      <c r="BE819" s="1196"/>
      <c r="BF819" s="1196"/>
      <c r="BG819" s="1196"/>
      <c r="BH819" s="1196"/>
      <c r="BI819" s="1196"/>
      <c r="BJ819" s="1196"/>
      <c r="BK819" s="1196"/>
      <c r="BL819" s="1196"/>
      <c r="BM819" s="1196"/>
      <c r="BN819" s="1196"/>
      <c r="BO819" s="1196"/>
      <c r="BP819" s="1196"/>
      <c r="BQ819" s="1196"/>
      <c r="BR819" s="1196"/>
      <c r="BS819" s="1196"/>
      <c r="BT819" s="1196"/>
      <c r="BU819" s="1196"/>
      <c r="BV819" s="1196"/>
      <c r="BW819" s="1196"/>
      <c r="BX819" s="1196"/>
      <c r="BY819" s="1196"/>
      <c r="BZ819" s="1196"/>
      <c r="CA819" s="1196"/>
      <c r="CB819" s="1196"/>
      <c r="CC819" s="1196"/>
      <c r="CD819" s="1196"/>
      <c r="CE819" s="1196"/>
      <c r="CF819" s="1196"/>
      <c r="CG819" s="1196"/>
      <c r="CH819" s="1196"/>
      <c r="CI819" s="1196"/>
      <c r="CJ819" s="1196"/>
      <c r="CK819" s="1196"/>
      <c r="CL819" s="1196"/>
    </row>
    <row r="820" spans="1:90" s="1183" customFormat="1" ht="29.25" customHeight="1" x14ac:dyDescent="0.25">
      <c r="A820" s="1183" t="s">
        <v>4704</v>
      </c>
      <c r="B820" s="1184">
        <v>45074</v>
      </c>
      <c r="C820" s="1185">
        <v>0.72916666666666663</v>
      </c>
      <c r="D820" s="1186">
        <v>52</v>
      </c>
      <c r="E820" s="1187">
        <v>11.1</v>
      </c>
      <c r="F820" s="1188">
        <v>15.3</v>
      </c>
      <c r="G820" s="1189">
        <v>1187</v>
      </c>
      <c r="H820" s="1189">
        <v>1838</v>
      </c>
      <c r="I820" s="1189">
        <v>99.6</v>
      </c>
      <c r="J820" s="1190">
        <v>108.5</v>
      </c>
      <c r="K820" s="1190" t="s">
        <v>5700</v>
      </c>
      <c r="L820" s="1187">
        <v>39.020000000000003</v>
      </c>
      <c r="M820" s="1187">
        <v>43</v>
      </c>
      <c r="N820" s="1187">
        <v>53.66</v>
      </c>
      <c r="O820" s="1191" t="s">
        <v>142</v>
      </c>
      <c r="P820" s="1191" t="s">
        <v>142</v>
      </c>
      <c r="Q820" s="1192" t="s">
        <v>142</v>
      </c>
      <c r="R820" s="1191" t="s">
        <v>3551</v>
      </c>
      <c r="S820" s="1193">
        <v>64.900000000000006</v>
      </c>
      <c r="T820" s="1194" t="s">
        <v>23</v>
      </c>
      <c r="U820" s="813" t="s">
        <v>236</v>
      </c>
      <c r="V820" s="1195"/>
      <c r="W820" s="1196"/>
      <c r="X820" s="1196"/>
      <c r="Y820" s="1196"/>
      <c r="Z820" s="1196"/>
      <c r="AA820" s="1196"/>
      <c r="AB820" s="1196"/>
      <c r="AC820" s="1196"/>
      <c r="AD820" s="1196"/>
      <c r="AE820" s="1196"/>
      <c r="AF820" s="1196"/>
      <c r="AG820" s="1196"/>
      <c r="AH820" s="1196"/>
      <c r="AI820" s="1196"/>
      <c r="AJ820" s="1196"/>
      <c r="AK820" s="1196"/>
      <c r="AL820" s="1196"/>
      <c r="AM820" s="1196"/>
      <c r="AN820" s="1196"/>
      <c r="AO820" s="1196"/>
      <c r="AP820" s="1196"/>
      <c r="AQ820" s="1196"/>
      <c r="AR820" s="1196"/>
      <c r="AS820" s="1196"/>
      <c r="AT820" s="1196"/>
      <c r="AU820" s="1196"/>
      <c r="AV820" s="1196"/>
      <c r="AW820" s="1196"/>
      <c r="AX820" s="1196"/>
      <c r="AY820" s="1196"/>
      <c r="AZ820" s="1196"/>
      <c r="BA820" s="1196"/>
      <c r="BB820" s="1196"/>
      <c r="BC820" s="1196"/>
      <c r="BD820" s="1196"/>
      <c r="BE820" s="1196"/>
      <c r="BF820" s="1196"/>
      <c r="BG820" s="1196"/>
      <c r="BH820" s="1196"/>
      <c r="BI820" s="1196"/>
      <c r="BJ820" s="1196"/>
      <c r="BK820" s="1196"/>
      <c r="BL820" s="1196"/>
      <c r="BM820" s="1196"/>
      <c r="BN820" s="1196"/>
      <c r="BO820" s="1196"/>
      <c r="BP820" s="1196"/>
      <c r="BQ820" s="1196"/>
      <c r="BR820" s="1196"/>
      <c r="BS820" s="1196"/>
      <c r="BT820" s="1196"/>
      <c r="BU820" s="1196"/>
      <c r="BV820" s="1196"/>
      <c r="BW820" s="1196"/>
      <c r="BX820" s="1196"/>
      <c r="BY820" s="1196"/>
      <c r="BZ820" s="1196"/>
      <c r="CA820" s="1196"/>
      <c r="CB820" s="1196"/>
      <c r="CC820" s="1196"/>
      <c r="CD820" s="1196"/>
      <c r="CE820" s="1196"/>
      <c r="CF820" s="1196"/>
      <c r="CG820" s="1196"/>
      <c r="CH820" s="1196"/>
      <c r="CI820" s="1196"/>
      <c r="CJ820" s="1196"/>
      <c r="CK820" s="1196"/>
      <c r="CL820" s="1196"/>
    </row>
    <row r="821" spans="1:90" s="1183" customFormat="1" ht="29.25" customHeight="1" x14ac:dyDescent="0.25">
      <c r="A821" s="1183" t="s">
        <v>4704</v>
      </c>
      <c r="B821" s="1184">
        <v>45075</v>
      </c>
      <c r="C821" s="1185">
        <v>0.72916666666666663</v>
      </c>
      <c r="D821" s="1186">
        <v>52</v>
      </c>
      <c r="E821" s="1187">
        <v>7.6</v>
      </c>
      <c r="F821" s="1188">
        <v>13.1</v>
      </c>
      <c r="G821" s="1189">
        <v>1141</v>
      </c>
      <c r="H821" s="1189">
        <v>1922</v>
      </c>
      <c r="I821" s="1189">
        <v>97.3</v>
      </c>
      <c r="J821" s="1190">
        <v>114.2</v>
      </c>
      <c r="K821" s="1190" t="s">
        <v>5709</v>
      </c>
      <c r="L821" s="1187">
        <v>38.6</v>
      </c>
      <c r="M821" s="1187">
        <v>42</v>
      </c>
      <c r="N821" s="1187">
        <v>45.5</v>
      </c>
      <c r="O821" s="1191" t="s">
        <v>142</v>
      </c>
      <c r="P821" s="1191" t="s">
        <v>142</v>
      </c>
      <c r="Q821" s="1192" t="s">
        <v>142</v>
      </c>
      <c r="R821" s="1191" t="s">
        <v>1789</v>
      </c>
      <c r="S821" s="1193">
        <v>55.9</v>
      </c>
      <c r="T821" s="1194" t="s">
        <v>23</v>
      </c>
      <c r="U821" s="813" t="s">
        <v>236</v>
      </c>
      <c r="V821" s="1195"/>
      <c r="W821" s="1196"/>
      <c r="X821" s="1196"/>
      <c r="Y821" s="1196"/>
      <c r="Z821" s="1196"/>
      <c r="AA821" s="1196"/>
      <c r="AB821" s="1196"/>
      <c r="AC821" s="1196"/>
      <c r="AD821" s="1196"/>
      <c r="AE821" s="1196"/>
      <c r="AF821" s="1196"/>
      <c r="AG821" s="1196"/>
      <c r="AH821" s="1196"/>
      <c r="AI821" s="1196"/>
      <c r="AJ821" s="1196"/>
      <c r="AK821" s="1196"/>
      <c r="AL821" s="1196"/>
      <c r="AM821" s="1196"/>
      <c r="AN821" s="1196"/>
      <c r="AO821" s="1196"/>
      <c r="AP821" s="1196"/>
      <c r="AQ821" s="1196"/>
      <c r="AR821" s="1196"/>
      <c r="AS821" s="1196"/>
      <c r="AT821" s="1196"/>
      <c r="AU821" s="1196"/>
      <c r="AV821" s="1196"/>
      <c r="AW821" s="1196"/>
      <c r="AX821" s="1196"/>
      <c r="AY821" s="1196"/>
      <c r="AZ821" s="1196"/>
      <c r="BA821" s="1196"/>
      <c r="BB821" s="1196"/>
      <c r="BC821" s="1196"/>
      <c r="BD821" s="1196"/>
      <c r="BE821" s="1196"/>
      <c r="BF821" s="1196"/>
      <c r="BG821" s="1196"/>
      <c r="BH821" s="1196"/>
      <c r="BI821" s="1196"/>
      <c r="BJ821" s="1196"/>
      <c r="BK821" s="1196"/>
      <c r="BL821" s="1196"/>
      <c r="BM821" s="1196"/>
      <c r="BN821" s="1196"/>
      <c r="BO821" s="1196"/>
      <c r="BP821" s="1196"/>
      <c r="BQ821" s="1196"/>
      <c r="BR821" s="1196"/>
      <c r="BS821" s="1196"/>
      <c r="BT821" s="1196"/>
      <c r="BU821" s="1196"/>
      <c r="BV821" s="1196"/>
      <c r="BW821" s="1196"/>
      <c r="BX821" s="1196"/>
      <c r="BY821" s="1196"/>
      <c r="BZ821" s="1196"/>
      <c r="CA821" s="1196"/>
      <c r="CB821" s="1196"/>
      <c r="CC821" s="1196"/>
      <c r="CD821" s="1196"/>
      <c r="CE821" s="1196"/>
      <c r="CF821" s="1196"/>
      <c r="CG821" s="1196"/>
      <c r="CH821" s="1196"/>
      <c r="CI821" s="1196"/>
      <c r="CJ821" s="1196"/>
      <c r="CK821" s="1196"/>
      <c r="CL821" s="1196"/>
    </row>
    <row r="822" spans="1:90" s="1183" customFormat="1" ht="29.25" customHeight="1" x14ac:dyDescent="0.25">
      <c r="A822" s="1183" t="s">
        <v>4704</v>
      </c>
      <c r="B822" s="1184">
        <v>45076</v>
      </c>
      <c r="C822" s="1185">
        <v>0.70833333333333337</v>
      </c>
      <c r="D822" s="1186">
        <v>52</v>
      </c>
      <c r="E822" s="1187">
        <v>10.7</v>
      </c>
      <c r="F822" s="1188">
        <v>15</v>
      </c>
      <c r="G822" s="1189">
        <v>1133</v>
      </c>
      <c r="H822" s="1189">
        <v>1952</v>
      </c>
      <c r="I822" s="1189">
        <v>98.2</v>
      </c>
      <c r="J822" s="1190">
        <v>110.5</v>
      </c>
      <c r="K822" s="1190" t="s">
        <v>5714</v>
      </c>
      <c r="L822" s="1187">
        <v>39.450000000000003</v>
      </c>
      <c r="M822" s="1187">
        <v>43</v>
      </c>
      <c r="N822" s="1187">
        <v>50.53</v>
      </c>
      <c r="O822" s="1191" t="s">
        <v>142</v>
      </c>
      <c r="P822" s="1191" t="s">
        <v>142</v>
      </c>
      <c r="Q822" s="1192" t="s">
        <v>142</v>
      </c>
      <c r="R822" s="1191" t="s">
        <v>2156</v>
      </c>
      <c r="S822" s="1193">
        <v>64.099999999999994</v>
      </c>
      <c r="T822" s="1194" t="s">
        <v>23</v>
      </c>
      <c r="U822" s="813" t="s">
        <v>236</v>
      </c>
      <c r="V822" s="1195"/>
      <c r="W822" s="1196"/>
      <c r="X822" s="1196"/>
      <c r="Y822" s="1196"/>
      <c r="Z822" s="1196"/>
      <c r="AA822" s="1196"/>
      <c r="AB822" s="1196"/>
      <c r="AC822" s="1196"/>
      <c r="AD822" s="1196"/>
      <c r="AE822" s="1196"/>
      <c r="AF822" s="1196"/>
      <c r="AG822" s="1196"/>
      <c r="AH822" s="1196"/>
      <c r="AI822" s="1196"/>
      <c r="AJ822" s="1196"/>
      <c r="AK822" s="1196"/>
      <c r="AL822" s="1196"/>
      <c r="AM822" s="1196"/>
      <c r="AN822" s="1196"/>
      <c r="AO822" s="1196"/>
      <c r="AP822" s="1196"/>
      <c r="AQ822" s="1196"/>
      <c r="AR822" s="1196"/>
      <c r="AS822" s="1196"/>
      <c r="AT822" s="1196"/>
      <c r="AU822" s="1196"/>
      <c r="AV822" s="1196"/>
      <c r="AW822" s="1196"/>
      <c r="AX822" s="1196"/>
      <c r="AY822" s="1196"/>
      <c r="AZ822" s="1196"/>
      <c r="BA822" s="1196"/>
      <c r="BB822" s="1196"/>
      <c r="BC822" s="1196"/>
      <c r="BD822" s="1196"/>
      <c r="BE822" s="1196"/>
      <c r="BF822" s="1196"/>
      <c r="BG822" s="1196"/>
      <c r="BH822" s="1196"/>
      <c r="BI822" s="1196"/>
      <c r="BJ822" s="1196"/>
      <c r="BK822" s="1196"/>
      <c r="BL822" s="1196"/>
      <c r="BM822" s="1196"/>
      <c r="BN822" s="1196"/>
      <c r="BO822" s="1196"/>
      <c r="BP822" s="1196"/>
      <c r="BQ822" s="1196"/>
      <c r="BR822" s="1196"/>
      <c r="BS822" s="1196"/>
      <c r="BT822" s="1196"/>
      <c r="BU822" s="1196"/>
      <c r="BV822" s="1196"/>
      <c r="BW822" s="1196"/>
      <c r="BX822" s="1196"/>
      <c r="BY822" s="1196"/>
      <c r="BZ822" s="1196"/>
      <c r="CA822" s="1196"/>
      <c r="CB822" s="1196"/>
      <c r="CC822" s="1196"/>
      <c r="CD822" s="1196"/>
      <c r="CE822" s="1196"/>
      <c r="CF822" s="1196"/>
      <c r="CG822" s="1196"/>
      <c r="CH822" s="1196"/>
      <c r="CI822" s="1196"/>
      <c r="CJ822" s="1196"/>
      <c r="CK822" s="1196"/>
      <c r="CL822" s="1196"/>
    </row>
    <row r="823" spans="1:90" s="1183" customFormat="1" ht="29.25" customHeight="1" x14ac:dyDescent="0.25">
      <c r="A823" s="1183" t="s">
        <v>4704</v>
      </c>
      <c r="B823" s="1184">
        <v>45077</v>
      </c>
      <c r="C823" s="1185">
        <v>0.85416666666666663</v>
      </c>
      <c r="D823" s="1510" t="s">
        <v>5724</v>
      </c>
      <c r="E823" s="1511"/>
      <c r="F823" s="1511"/>
      <c r="G823" s="1511"/>
      <c r="H823" s="1511"/>
      <c r="I823" s="1511"/>
      <c r="J823" s="1511"/>
      <c r="K823" s="1511"/>
      <c r="L823" s="1511"/>
      <c r="M823" s="1511"/>
      <c r="N823" s="1511"/>
      <c r="O823" s="1511"/>
      <c r="P823" s="1511"/>
      <c r="Q823" s="1511"/>
      <c r="R823" s="1511"/>
      <c r="S823" s="1512"/>
      <c r="T823" s="1194" t="s">
        <v>23</v>
      </c>
      <c r="U823" s="813" t="s">
        <v>236</v>
      </c>
      <c r="V823" s="1195"/>
      <c r="W823" s="1196"/>
      <c r="X823" s="1196"/>
      <c r="Y823" s="1196"/>
      <c r="Z823" s="1196"/>
      <c r="AA823" s="1196"/>
      <c r="AB823" s="1196"/>
      <c r="AC823" s="1196"/>
      <c r="AD823" s="1196"/>
      <c r="AE823" s="1196"/>
      <c r="AF823" s="1196"/>
      <c r="AG823" s="1196"/>
      <c r="AH823" s="1196"/>
      <c r="AI823" s="1196"/>
      <c r="AJ823" s="1196"/>
      <c r="AK823" s="1196"/>
      <c r="AL823" s="1196"/>
      <c r="AM823" s="1196"/>
      <c r="AN823" s="1196"/>
      <c r="AO823" s="1196"/>
      <c r="AP823" s="1196"/>
      <c r="AQ823" s="1196"/>
      <c r="AR823" s="1196"/>
      <c r="AS823" s="1196"/>
      <c r="AT823" s="1196"/>
      <c r="AU823" s="1196"/>
      <c r="AV823" s="1196"/>
      <c r="AW823" s="1196"/>
      <c r="AX823" s="1196"/>
      <c r="AY823" s="1196"/>
      <c r="AZ823" s="1196"/>
      <c r="BA823" s="1196"/>
      <c r="BB823" s="1196"/>
      <c r="BC823" s="1196"/>
      <c r="BD823" s="1196"/>
      <c r="BE823" s="1196"/>
      <c r="BF823" s="1196"/>
      <c r="BG823" s="1196"/>
      <c r="BH823" s="1196"/>
      <c r="BI823" s="1196"/>
      <c r="BJ823" s="1196"/>
      <c r="BK823" s="1196"/>
      <c r="BL823" s="1196"/>
      <c r="BM823" s="1196"/>
      <c r="BN823" s="1196"/>
      <c r="BO823" s="1196"/>
      <c r="BP823" s="1196"/>
      <c r="BQ823" s="1196"/>
      <c r="BR823" s="1196"/>
      <c r="BS823" s="1196"/>
      <c r="BT823" s="1196"/>
      <c r="BU823" s="1196"/>
      <c r="BV823" s="1196"/>
      <c r="BW823" s="1196"/>
      <c r="BX823" s="1196"/>
      <c r="BY823" s="1196"/>
      <c r="BZ823" s="1196"/>
      <c r="CA823" s="1196"/>
      <c r="CB823" s="1196"/>
      <c r="CC823" s="1196"/>
      <c r="CD823" s="1196"/>
      <c r="CE823" s="1196"/>
      <c r="CF823" s="1196"/>
      <c r="CG823" s="1196"/>
      <c r="CH823" s="1196"/>
      <c r="CI823" s="1196"/>
      <c r="CJ823" s="1196"/>
      <c r="CK823" s="1196"/>
      <c r="CL823" s="1196"/>
    </row>
    <row r="824" spans="1:90" s="1183" customFormat="1" ht="29.25" customHeight="1" x14ac:dyDescent="0.25">
      <c r="A824" s="1183" t="s">
        <v>4704</v>
      </c>
      <c r="B824" s="1184">
        <v>45078</v>
      </c>
      <c r="C824" s="1185">
        <v>0.77083333333333337</v>
      </c>
      <c r="D824" s="1186">
        <v>52</v>
      </c>
      <c r="E824" s="1187">
        <v>10.6</v>
      </c>
      <c r="F824" s="1188">
        <v>14.9</v>
      </c>
      <c r="G824" s="1189">
        <v>1096</v>
      </c>
      <c r="H824" s="1189">
        <v>1959</v>
      </c>
      <c r="I824" s="1189">
        <v>98.6</v>
      </c>
      <c r="J824" s="1190">
        <v>111.3</v>
      </c>
      <c r="K824" s="1190" t="s">
        <v>5731</v>
      </c>
      <c r="L824" s="1187">
        <v>36.909999999999997</v>
      </c>
      <c r="M824" s="1187">
        <v>40</v>
      </c>
      <c r="N824" s="1187">
        <v>51.3</v>
      </c>
      <c r="O824" s="1191" t="s">
        <v>142</v>
      </c>
      <c r="P824" s="1191" t="s">
        <v>142</v>
      </c>
      <c r="Q824" s="1192" t="s">
        <v>142</v>
      </c>
      <c r="R824" s="1191" t="s">
        <v>3892</v>
      </c>
      <c r="S824" s="1193">
        <v>63.6</v>
      </c>
      <c r="T824" s="1194" t="s">
        <v>23</v>
      </c>
      <c r="U824" s="813" t="s">
        <v>236</v>
      </c>
      <c r="V824" s="1195"/>
      <c r="W824" s="1196"/>
      <c r="X824" s="1196"/>
      <c r="Y824" s="1196"/>
      <c r="Z824" s="1196"/>
      <c r="AA824" s="1196"/>
      <c r="AB824" s="1196"/>
      <c r="AC824" s="1196"/>
      <c r="AD824" s="1196"/>
      <c r="AE824" s="1196"/>
      <c r="AF824" s="1196"/>
      <c r="AG824" s="1196"/>
      <c r="AH824" s="1196"/>
      <c r="AI824" s="1196"/>
      <c r="AJ824" s="1196"/>
      <c r="AK824" s="1196"/>
      <c r="AL824" s="1196"/>
      <c r="AM824" s="1196"/>
      <c r="AN824" s="1196"/>
      <c r="AO824" s="1196"/>
      <c r="AP824" s="1196"/>
      <c r="AQ824" s="1196"/>
      <c r="AR824" s="1196"/>
      <c r="AS824" s="1196"/>
      <c r="AT824" s="1196"/>
      <c r="AU824" s="1196"/>
      <c r="AV824" s="1196"/>
      <c r="AW824" s="1196"/>
      <c r="AX824" s="1196"/>
      <c r="AY824" s="1196"/>
      <c r="AZ824" s="1196"/>
      <c r="BA824" s="1196"/>
      <c r="BB824" s="1196"/>
      <c r="BC824" s="1196"/>
      <c r="BD824" s="1196"/>
      <c r="BE824" s="1196"/>
      <c r="BF824" s="1196"/>
      <c r="BG824" s="1196"/>
      <c r="BH824" s="1196"/>
      <c r="BI824" s="1196"/>
      <c r="BJ824" s="1196"/>
      <c r="BK824" s="1196"/>
      <c r="BL824" s="1196"/>
      <c r="BM824" s="1196"/>
      <c r="BN824" s="1196"/>
      <c r="BO824" s="1196"/>
      <c r="BP824" s="1196"/>
      <c r="BQ824" s="1196"/>
      <c r="BR824" s="1196"/>
      <c r="BS824" s="1196"/>
      <c r="BT824" s="1196"/>
      <c r="BU824" s="1196"/>
      <c r="BV824" s="1196"/>
      <c r="BW824" s="1196"/>
      <c r="BX824" s="1196"/>
      <c r="BY824" s="1196"/>
      <c r="BZ824" s="1196"/>
      <c r="CA824" s="1196"/>
      <c r="CB824" s="1196"/>
      <c r="CC824" s="1196"/>
      <c r="CD824" s="1196"/>
      <c r="CE824" s="1196"/>
      <c r="CF824" s="1196"/>
      <c r="CG824" s="1196"/>
      <c r="CH824" s="1196"/>
      <c r="CI824" s="1196"/>
      <c r="CJ824" s="1196"/>
      <c r="CK824" s="1196"/>
      <c r="CL824" s="1196"/>
    </row>
    <row r="825" spans="1:90" s="1183" customFormat="1" ht="29.25" customHeight="1" x14ac:dyDescent="0.25">
      <c r="A825" s="1183" t="s">
        <v>4704</v>
      </c>
      <c r="B825" s="1184">
        <v>45079</v>
      </c>
      <c r="C825" s="1185">
        <v>0.95833333333333337</v>
      </c>
      <c r="D825" s="1186">
        <v>52</v>
      </c>
      <c r="E825" s="1187">
        <v>13.3</v>
      </c>
      <c r="F825" s="1188">
        <v>16.899999999999999</v>
      </c>
      <c r="G825" s="1189">
        <v>1162</v>
      </c>
      <c r="H825" s="1189">
        <v>2068</v>
      </c>
      <c r="I825" s="1189">
        <v>97.5</v>
      </c>
      <c r="J825" s="1190">
        <v>112</v>
      </c>
      <c r="K825" s="1190" t="s">
        <v>5733</v>
      </c>
      <c r="L825" s="1187">
        <v>36.909999999999997</v>
      </c>
      <c r="M825" s="1187">
        <v>40</v>
      </c>
      <c r="N825" s="1187">
        <v>51.3</v>
      </c>
      <c r="O825" s="1191" t="s">
        <v>142</v>
      </c>
      <c r="P825" s="1191" t="s">
        <v>142</v>
      </c>
      <c r="Q825" s="1192" t="s">
        <v>142</v>
      </c>
      <c r="R825" s="1191" t="s">
        <v>4063</v>
      </c>
      <c r="S825" s="1193">
        <v>72.2</v>
      </c>
      <c r="T825" s="1194" t="s">
        <v>23</v>
      </c>
      <c r="U825" s="813" t="s">
        <v>236</v>
      </c>
      <c r="V825" s="1195" t="s">
        <v>5737</v>
      </c>
      <c r="W825" s="1196"/>
      <c r="X825" s="1196"/>
      <c r="Y825" s="1196"/>
      <c r="Z825" s="1196"/>
      <c r="AA825" s="1196"/>
      <c r="AB825" s="1196"/>
      <c r="AC825" s="1196"/>
      <c r="AD825" s="1196"/>
      <c r="AE825" s="1196"/>
      <c r="AF825" s="1196"/>
      <c r="AG825" s="1196"/>
      <c r="AH825" s="1196"/>
      <c r="AI825" s="1196"/>
      <c r="AJ825" s="1196"/>
      <c r="AK825" s="1196"/>
      <c r="AL825" s="1196"/>
      <c r="AM825" s="1196"/>
      <c r="AN825" s="1196"/>
      <c r="AO825" s="1196"/>
      <c r="AP825" s="1196"/>
      <c r="AQ825" s="1196"/>
      <c r="AR825" s="1196"/>
      <c r="AS825" s="1196"/>
      <c r="AT825" s="1196"/>
      <c r="AU825" s="1196"/>
      <c r="AV825" s="1196"/>
      <c r="AW825" s="1196"/>
      <c r="AX825" s="1196"/>
      <c r="AY825" s="1196"/>
      <c r="AZ825" s="1196"/>
      <c r="BA825" s="1196"/>
      <c r="BB825" s="1196"/>
      <c r="BC825" s="1196"/>
      <c r="BD825" s="1196"/>
      <c r="BE825" s="1196"/>
      <c r="BF825" s="1196"/>
      <c r="BG825" s="1196"/>
      <c r="BH825" s="1196"/>
      <c r="BI825" s="1196"/>
      <c r="BJ825" s="1196"/>
      <c r="BK825" s="1196"/>
      <c r="BL825" s="1196"/>
      <c r="BM825" s="1196"/>
      <c r="BN825" s="1196"/>
      <c r="BO825" s="1196"/>
      <c r="BP825" s="1196"/>
      <c r="BQ825" s="1196"/>
      <c r="BR825" s="1196"/>
      <c r="BS825" s="1196"/>
      <c r="BT825" s="1196"/>
      <c r="BU825" s="1196"/>
      <c r="BV825" s="1196"/>
      <c r="BW825" s="1196"/>
      <c r="BX825" s="1196"/>
      <c r="BY825" s="1196"/>
      <c r="BZ825" s="1196"/>
      <c r="CA825" s="1196"/>
      <c r="CB825" s="1196"/>
      <c r="CC825" s="1196"/>
      <c r="CD825" s="1196"/>
      <c r="CE825" s="1196"/>
      <c r="CF825" s="1196"/>
      <c r="CG825" s="1196"/>
      <c r="CH825" s="1196"/>
      <c r="CI825" s="1196"/>
      <c r="CJ825" s="1196"/>
      <c r="CK825" s="1196"/>
      <c r="CL825" s="1196"/>
    </row>
    <row r="826" spans="1:90" s="1183" customFormat="1" ht="29.25" customHeight="1" x14ac:dyDescent="0.25">
      <c r="A826" s="1183" t="s">
        <v>4704</v>
      </c>
      <c r="B826" s="1184">
        <v>45080</v>
      </c>
      <c r="C826" s="1185">
        <v>0.79166666666666663</v>
      </c>
      <c r="D826" s="1186">
        <v>52</v>
      </c>
      <c r="E826" s="1187">
        <v>10.7</v>
      </c>
      <c r="F826" s="1188">
        <v>15</v>
      </c>
      <c r="G826" s="1189">
        <v>1106</v>
      </c>
      <c r="H826" s="1189">
        <v>1827</v>
      </c>
      <c r="I826" s="1189">
        <v>98.5</v>
      </c>
      <c r="J826" s="1190">
        <v>110.6</v>
      </c>
      <c r="K826" s="1190" t="s">
        <v>5742</v>
      </c>
      <c r="L826" s="1187">
        <v>35.69</v>
      </c>
      <c r="M826" s="1187">
        <v>40</v>
      </c>
      <c r="N826" s="1187">
        <v>53.32</v>
      </c>
      <c r="O826" s="1191" t="s">
        <v>142</v>
      </c>
      <c r="P826" s="1191" t="s">
        <v>142</v>
      </c>
      <c r="Q826" s="1192" t="s">
        <v>142</v>
      </c>
      <c r="R826" s="1191" t="s">
        <v>1638</v>
      </c>
      <c r="S826" s="1193">
        <v>64.099999999999994</v>
      </c>
      <c r="T826" s="1194" t="s">
        <v>23</v>
      </c>
      <c r="U826" s="813" t="s">
        <v>236</v>
      </c>
      <c r="V826" s="1195"/>
      <c r="W826" s="1196"/>
      <c r="X826" s="1196"/>
      <c r="Y826" s="1196"/>
      <c r="Z826" s="1196"/>
      <c r="AA826" s="1196"/>
      <c r="AB826" s="1196"/>
      <c r="AC826" s="1196"/>
      <c r="AD826" s="1196"/>
      <c r="AE826" s="1196"/>
      <c r="AF826" s="1196"/>
      <c r="AG826" s="1196"/>
      <c r="AH826" s="1196"/>
      <c r="AI826" s="1196"/>
      <c r="AJ826" s="1196"/>
      <c r="AK826" s="1196"/>
      <c r="AL826" s="1196"/>
      <c r="AM826" s="1196"/>
      <c r="AN826" s="1196"/>
      <c r="AO826" s="1196"/>
      <c r="AP826" s="1196"/>
      <c r="AQ826" s="1196"/>
      <c r="AR826" s="1196"/>
      <c r="AS826" s="1196"/>
      <c r="AT826" s="1196"/>
      <c r="AU826" s="1196"/>
      <c r="AV826" s="1196"/>
      <c r="AW826" s="1196"/>
      <c r="AX826" s="1196"/>
      <c r="AY826" s="1196"/>
      <c r="AZ826" s="1196"/>
      <c r="BA826" s="1196"/>
      <c r="BB826" s="1196"/>
      <c r="BC826" s="1196"/>
      <c r="BD826" s="1196"/>
      <c r="BE826" s="1196"/>
      <c r="BF826" s="1196"/>
      <c r="BG826" s="1196"/>
      <c r="BH826" s="1196"/>
      <c r="BI826" s="1196"/>
      <c r="BJ826" s="1196"/>
      <c r="BK826" s="1196"/>
      <c r="BL826" s="1196"/>
      <c r="BM826" s="1196"/>
      <c r="BN826" s="1196"/>
      <c r="BO826" s="1196"/>
      <c r="BP826" s="1196"/>
      <c r="BQ826" s="1196"/>
      <c r="BR826" s="1196"/>
      <c r="BS826" s="1196"/>
      <c r="BT826" s="1196"/>
      <c r="BU826" s="1196"/>
      <c r="BV826" s="1196"/>
      <c r="BW826" s="1196"/>
      <c r="BX826" s="1196"/>
      <c r="BY826" s="1196"/>
      <c r="BZ826" s="1196"/>
      <c r="CA826" s="1196"/>
      <c r="CB826" s="1196"/>
      <c r="CC826" s="1196"/>
      <c r="CD826" s="1196"/>
      <c r="CE826" s="1196"/>
      <c r="CF826" s="1196"/>
      <c r="CG826" s="1196"/>
      <c r="CH826" s="1196"/>
      <c r="CI826" s="1196"/>
      <c r="CJ826" s="1196"/>
      <c r="CK826" s="1196"/>
      <c r="CL826" s="1196"/>
    </row>
    <row r="827" spans="1:90" s="1183" customFormat="1" ht="29.25" customHeight="1" x14ac:dyDescent="0.25">
      <c r="A827" s="1183" t="s">
        <v>4704</v>
      </c>
      <c r="B827" s="1184">
        <v>45081</v>
      </c>
      <c r="C827" s="1185">
        <v>0.75</v>
      </c>
      <c r="D827" s="1510" t="s">
        <v>5753</v>
      </c>
      <c r="E827" s="1511"/>
      <c r="F827" s="1511"/>
      <c r="G827" s="1511"/>
      <c r="H827" s="1511"/>
      <c r="I827" s="1511"/>
      <c r="J827" s="1511"/>
      <c r="K827" s="1511"/>
      <c r="L827" s="1511"/>
      <c r="M827" s="1511"/>
      <c r="N827" s="1511"/>
      <c r="O827" s="1511"/>
      <c r="P827" s="1511"/>
      <c r="Q827" s="1511"/>
      <c r="R827" s="1511"/>
      <c r="S827" s="1512"/>
      <c r="T827" s="1194" t="s">
        <v>23</v>
      </c>
      <c r="U827" s="813" t="s">
        <v>236</v>
      </c>
      <c r="V827" s="1195"/>
      <c r="W827" s="1196"/>
      <c r="X827" s="1196"/>
      <c r="Y827" s="1196"/>
      <c r="Z827" s="1196"/>
      <c r="AA827" s="1196"/>
      <c r="AB827" s="1196"/>
      <c r="AC827" s="1196"/>
      <c r="AD827" s="1196"/>
      <c r="AE827" s="1196"/>
      <c r="AF827" s="1196"/>
      <c r="AG827" s="1196"/>
      <c r="AH827" s="1196"/>
      <c r="AI827" s="1196"/>
      <c r="AJ827" s="1196"/>
      <c r="AK827" s="1196"/>
      <c r="AL827" s="1196"/>
      <c r="AM827" s="1196"/>
      <c r="AN827" s="1196"/>
      <c r="AO827" s="1196"/>
      <c r="AP827" s="1196"/>
      <c r="AQ827" s="1196"/>
      <c r="AR827" s="1196"/>
      <c r="AS827" s="1196"/>
      <c r="AT827" s="1196"/>
      <c r="AU827" s="1196"/>
      <c r="AV827" s="1196"/>
      <c r="AW827" s="1196"/>
      <c r="AX827" s="1196"/>
      <c r="AY827" s="1196"/>
      <c r="AZ827" s="1196"/>
      <c r="BA827" s="1196"/>
      <c r="BB827" s="1196"/>
      <c r="BC827" s="1196"/>
      <c r="BD827" s="1196"/>
      <c r="BE827" s="1196"/>
      <c r="BF827" s="1196"/>
      <c r="BG827" s="1196"/>
      <c r="BH827" s="1196"/>
      <c r="BI827" s="1196"/>
      <c r="BJ827" s="1196"/>
      <c r="BK827" s="1196"/>
      <c r="BL827" s="1196"/>
      <c r="BM827" s="1196"/>
      <c r="BN827" s="1196"/>
      <c r="BO827" s="1196"/>
      <c r="BP827" s="1196"/>
      <c r="BQ827" s="1196"/>
      <c r="BR827" s="1196"/>
      <c r="BS827" s="1196"/>
      <c r="BT827" s="1196"/>
      <c r="BU827" s="1196"/>
      <c r="BV827" s="1196"/>
      <c r="BW827" s="1196"/>
      <c r="BX827" s="1196"/>
      <c r="BY827" s="1196"/>
      <c r="BZ827" s="1196"/>
      <c r="CA827" s="1196"/>
      <c r="CB827" s="1196"/>
      <c r="CC827" s="1196"/>
      <c r="CD827" s="1196"/>
      <c r="CE827" s="1196"/>
      <c r="CF827" s="1196"/>
      <c r="CG827" s="1196"/>
      <c r="CH827" s="1196"/>
      <c r="CI827" s="1196"/>
      <c r="CJ827" s="1196"/>
      <c r="CK827" s="1196"/>
      <c r="CL827" s="1196"/>
    </row>
    <row r="828" spans="1:90" s="1183" customFormat="1" ht="29.25" customHeight="1" x14ac:dyDescent="0.25">
      <c r="A828" s="1183" t="s">
        <v>4704</v>
      </c>
      <c r="B828" s="1184">
        <v>45082</v>
      </c>
      <c r="C828" s="1185">
        <v>0.95833333333333337</v>
      </c>
      <c r="D828" s="1510" t="s">
        <v>5759</v>
      </c>
      <c r="E828" s="1511"/>
      <c r="F828" s="1511"/>
      <c r="G828" s="1511"/>
      <c r="H828" s="1511"/>
      <c r="I828" s="1511"/>
      <c r="J828" s="1511"/>
      <c r="K828" s="1511"/>
      <c r="L828" s="1511"/>
      <c r="M828" s="1511"/>
      <c r="N828" s="1511"/>
      <c r="O828" s="1511"/>
      <c r="P828" s="1511"/>
      <c r="Q828" s="1511"/>
      <c r="R828" s="1511"/>
      <c r="S828" s="1512"/>
      <c r="T828" s="1194" t="s">
        <v>23</v>
      </c>
      <c r="U828" s="813" t="s">
        <v>236</v>
      </c>
      <c r="V828" s="1195"/>
      <c r="W828" s="1196"/>
      <c r="X828" s="1196"/>
      <c r="Y828" s="1196"/>
      <c r="Z828" s="1196"/>
      <c r="AA828" s="1196"/>
      <c r="AB828" s="1196"/>
      <c r="AC828" s="1196"/>
      <c r="AD828" s="1196"/>
      <c r="AE828" s="1196"/>
      <c r="AF828" s="1196"/>
      <c r="AG828" s="1196"/>
      <c r="AH828" s="1196"/>
      <c r="AI828" s="1196"/>
      <c r="AJ828" s="1196"/>
      <c r="AK828" s="1196"/>
      <c r="AL828" s="1196"/>
      <c r="AM828" s="1196"/>
      <c r="AN828" s="1196"/>
      <c r="AO828" s="1196"/>
      <c r="AP828" s="1196"/>
      <c r="AQ828" s="1196"/>
      <c r="AR828" s="1196"/>
      <c r="AS828" s="1196"/>
      <c r="AT828" s="1196"/>
      <c r="AU828" s="1196"/>
      <c r="AV828" s="1196"/>
      <c r="AW828" s="1196"/>
      <c r="AX828" s="1196"/>
      <c r="AY828" s="1196"/>
      <c r="AZ828" s="1196"/>
      <c r="BA828" s="1196"/>
      <c r="BB828" s="1196"/>
      <c r="BC828" s="1196"/>
      <c r="BD828" s="1196"/>
      <c r="BE828" s="1196"/>
      <c r="BF828" s="1196"/>
      <c r="BG828" s="1196"/>
      <c r="BH828" s="1196"/>
      <c r="BI828" s="1196"/>
      <c r="BJ828" s="1196"/>
      <c r="BK828" s="1196"/>
      <c r="BL828" s="1196"/>
      <c r="BM828" s="1196"/>
      <c r="BN828" s="1196"/>
      <c r="BO828" s="1196"/>
      <c r="BP828" s="1196"/>
      <c r="BQ828" s="1196"/>
      <c r="BR828" s="1196"/>
      <c r="BS828" s="1196"/>
      <c r="BT828" s="1196"/>
      <c r="BU828" s="1196"/>
      <c r="BV828" s="1196"/>
      <c r="BW828" s="1196"/>
      <c r="BX828" s="1196"/>
      <c r="BY828" s="1196"/>
      <c r="BZ828" s="1196"/>
      <c r="CA828" s="1196"/>
      <c r="CB828" s="1196"/>
      <c r="CC828" s="1196"/>
      <c r="CD828" s="1196"/>
      <c r="CE828" s="1196"/>
      <c r="CF828" s="1196"/>
      <c r="CG828" s="1196"/>
      <c r="CH828" s="1196"/>
      <c r="CI828" s="1196"/>
      <c r="CJ828" s="1196"/>
      <c r="CK828" s="1196"/>
      <c r="CL828" s="1196"/>
    </row>
    <row r="829" spans="1:90" s="1183" customFormat="1" ht="29.25" customHeight="1" x14ac:dyDescent="0.25">
      <c r="A829" s="1183" t="s">
        <v>4704</v>
      </c>
      <c r="B829" s="1184">
        <v>45083</v>
      </c>
      <c r="C829" s="1185">
        <v>0.70833333333333337</v>
      </c>
      <c r="D829" s="1186">
        <v>52</v>
      </c>
      <c r="E829" s="1187">
        <v>12.9</v>
      </c>
      <c r="F829" s="1188">
        <v>16.5</v>
      </c>
      <c r="G829" s="1189">
        <v>1256</v>
      </c>
      <c r="H829" s="1189">
        <v>1901</v>
      </c>
      <c r="I829" s="1189">
        <v>96.7</v>
      </c>
      <c r="J829" s="1190">
        <v>110.5</v>
      </c>
      <c r="K829" s="1190" t="s">
        <v>5762</v>
      </c>
      <c r="L829" s="1187">
        <v>39.36</v>
      </c>
      <c r="M829" s="1187">
        <v>43.5</v>
      </c>
      <c r="N829" s="1187">
        <v>40.32</v>
      </c>
      <c r="O829" s="1191" t="s">
        <v>142</v>
      </c>
      <c r="P829" s="1191" t="s">
        <v>142</v>
      </c>
      <c r="Q829" s="1192" t="s">
        <v>142</v>
      </c>
      <c r="R829" s="1191" t="s">
        <v>3963</v>
      </c>
      <c r="S829" s="1193">
        <v>70.5</v>
      </c>
      <c r="T829" s="1194" t="s">
        <v>23</v>
      </c>
      <c r="U829" s="813" t="s">
        <v>236</v>
      </c>
      <c r="V829" s="1195" t="s">
        <v>5768</v>
      </c>
      <c r="W829" s="1196"/>
      <c r="X829" s="1196"/>
      <c r="Y829" s="1196"/>
      <c r="Z829" s="1196"/>
      <c r="AA829" s="1196"/>
      <c r="AB829" s="1196"/>
      <c r="AC829" s="1196"/>
      <c r="AD829" s="1196"/>
      <c r="AE829" s="1196"/>
      <c r="AF829" s="1196"/>
      <c r="AG829" s="1196"/>
      <c r="AH829" s="1196"/>
      <c r="AI829" s="1196"/>
      <c r="AJ829" s="1196"/>
      <c r="AK829" s="1196"/>
      <c r="AL829" s="1196"/>
      <c r="AM829" s="1196"/>
      <c r="AN829" s="1196"/>
      <c r="AO829" s="1196"/>
      <c r="AP829" s="1196"/>
      <c r="AQ829" s="1196"/>
      <c r="AR829" s="1196"/>
      <c r="AS829" s="1196"/>
      <c r="AT829" s="1196"/>
      <c r="AU829" s="1196"/>
      <c r="AV829" s="1196"/>
      <c r="AW829" s="1196"/>
      <c r="AX829" s="1196"/>
      <c r="AY829" s="1196"/>
      <c r="AZ829" s="1196"/>
      <c r="BA829" s="1196"/>
      <c r="BB829" s="1196"/>
      <c r="BC829" s="1196"/>
      <c r="BD829" s="1196"/>
      <c r="BE829" s="1196"/>
      <c r="BF829" s="1196"/>
      <c r="BG829" s="1196"/>
      <c r="BH829" s="1196"/>
      <c r="BI829" s="1196"/>
      <c r="BJ829" s="1196"/>
      <c r="BK829" s="1196"/>
      <c r="BL829" s="1196"/>
      <c r="BM829" s="1196"/>
      <c r="BN829" s="1196"/>
      <c r="BO829" s="1196"/>
      <c r="BP829" s="1196"/>
      <c r="BQ829" s="1196"/>
      <c r="BR829" s="1196"/>
      <c r="BS829" s="1196"/>
      <c r="BT829" s="1196"/>
      <c r="BU829" s="1196"/>
      <c r="BV829" s="1196"/>
      <c r="BW829" s="1196"/>
      <c r="BX829" s="1196"/>
      <c r="BY829" s="1196"/>
      <c r="BZ829" s="1196"/>
      <c r="CA829" s="1196"/>
      <c r="CB829" s="1196"/>
      <c r="CC829" s="1196"/>
      <c r="CD829" s="1196"/>
      <c r="CE829" s="1196"/>
      <c r="CF829" s="1196"/>
      <c r="CG829" s="1196"/>
      <c r="CH829" s="1196"/>
      <c r="CI829" s="1196"/>
      <c r="CJ829" s="1196"/>
      <c r="CK829" s="1196"/>
      <c r="CL829" s="1196"/>
    </row>
    <row r="830" spans="1:90" s="1183" customFormat="1" ht="29.25" customHeight="1" x14ac:dyDescent="0.25">
      <c r="A830" s="1183" t="s">
        <v>4704</v>
      </c>
      <c r="B830" s="1184">
        <v>45084</v>
      </c>
      <c r="C830" s="1185">
        <v>0.72916666666666663</v>
      </c>
      <c r="D830" s="1186">
        <v>52</v>
      </c>
      <c r="E830" s="1187">
        <v>6.9</v>
      </c>
      <c r="F830" s="1188">
        <v>13.1</v>
      </c>
      <c r="G830" s="1189">
        <v>1107</v>
      </c>
      <c r="H830" s="1189">
        <v>1939</v>
      </c>
      <c r="I830" s="1189">
        <v>97.8</v>
      </c>
      <c r="J830" s="1190">
        <v>114.3</v>
      </c>
      <c r="K830" s="1190" t="s">
        <v>5772</v>
      </c>
      <c r="L830" s="1187">
        <v>37.590000000000003</v>
      </c>
      <c r="M830" s="1187">
        <v>41.5</v>
      </c>
      <c r="N830" s="1187">
        <v>48.72</v>
      </c>
      <c r="O830" s="1191" t="s">
        <v>142</v>
      </c>
      <c r="P830" s="1191" t="s">
        <v>142</v>
      </c>
      <c r="Q830" s="1192" t="s">
        <v>142</v>
      </c>
      <c r="R830" s="1191" t="s">
        <v>5773</v>
      </c>
      <c r="S830" s="1193">
        <v>56.3</v>
      </c>
      <c r="T830" s="1194" t="s">
        <v>23</v>
      </c>
      <c r="U830" s="813" t="s">
        <v>236</v>
      </c>
      <c r="V830" s="1195" t="s">
        <v>5775</v>
      </c>
      <c r="W830" s="1196"/>
      <c r="X830" s="1196"/>
      <c r="Y830" s="1196"/>
      <c r="Z830" s="1196"/>
      <c r="AA830" s="1196"/>
      <c r="AB830" s="1196"/>
      <c r="AC830" s="1196"/>
      <c r="AD830" s="1196"/>
      <c r="AE830" s="1196"/>
      <c r="AF830" s="1196"/>
      <c r="AG830" s="1196"/>
      <c r="AH830" s="1196"/>
      <c r="AI830" s="1196"/>
      <c r="AJ830" s="1196"/>
      <c r="AK830" s="1196"/>
      <c r="AL830" s="1196"/>
      <c r="AM830" s="1196"/>
      <c r="AN830" s="1196"/>
      <c r="AO830" s="1196"/>
      <c r="AP830" s="1196"/>
      <c r="AQ830" s="1196"/>
      <c r="AR830" s="1196"/>
      <c r="AS830" s="1196"/>
      <c r="AT830" s="1196"/>
      <c r="AU830" s="1196"/>
      <c r="AV830" s="1196"/>
      <c r="AW830" s="1196"/>
      <c r="AX830" s="1196"/>
      <c r="AY830" s="1196"/>
      <c r="AZ830" s="1196"/>
      <c r="BA830" s="1196"/>
      <c r="BB830" s="1196"/>
      <c r="BC830" s="1196"/>
      <c r="BD830" s="1196"/>
      <c r="BE830" s="1196"/>
      <c r="BF830" s="1196"/>
      <c r="BG830" s="1196"/>
      <c r="BH830" s="1196"/>
      <c r="BI830" s="1196"/>
      <c r="BJ830" s="1196"/>
      <c r="BK830" s="1196"/>
      <c r="BL830" s="1196"/>
      <c r="BM830" s="1196"/>
      <c r="BN830" s="1196"/>
      <c r="BO830" s="1196"/>
      <c r="BP830" s="1196"/>
      <c r="BQ830" s="1196"/>
      <c r="BR830" s="1196"/>
      <c r="BS830" s="1196"/>
      <c r="BT830" s="1196"/>
      <c r="BU830" s="1196"/>
      <c r="BV830" s="1196"/>
      <c r="BW830" s="1196"/>
      <c r="BX830" s="1196"/>
      <c r="BY830" s="1196"/>
      <c r="BZ830" s="1196"/>
      <c r="CA830" s="1196"/>
      <c r="CB830" s="1196"/>
      <c r="CC830" s="1196"/>
      <c r="CD830" s="1196"/>
      <c r="CE830" s="1196"/>
      <c r="CF830" s="1196"/>
      <c r="CG830" s="1196"/>
      <c r="CH830" s="1196"/>
      <c r="CI830" s="1196"/>
      <c r="CJ830" s="1196"/>
      <c r="CK830" s="1196"/>
      <c r="CL830" s="1196"/>
    </row>
    <row r="831" spans="1:90" s="1183" customFormat="1" ht="29.25" customHeight="1" x14ac:dyDescent="0.25">
      <c r="A831" s="1183" t="s">
        <v>4704</v>
      </c>
      <c r="B831" s="1184">
        <v>45085</v>
      </c>
      <c r="C831" s="1185">
        <v>0.91666666666666663</v>
      </c>
      <c r="D831" s="1186">
        <v>52</v>
      </c>
      <c r="E831" s="1187">
        <v>11.1</v>
      </c>
      <c r="F831" s="1188">
        <v>15.2</v>
      </c>
      <c r="G831" s="1189">
        <v>1064</v>
      </c>
      <c r="H831" s="1189">
        <v>1857</v>
      </c>
      <c r="I831" s="1189">
        <v>98.7</v>
      </c>
      <c r="J831" s="1190">
        <v>111.1</v>
      </c>
      <c r="K831" s="1190" t="s">
        <v>5779</v>
      </c>
      <c r="L831" s="1187">
        <v>35.340000000000003</v>
      </c>
      <c r="M831" s="1187">
        <v>39</v>
      </c>
      <c r="N831" s="1187">
        <v>53.55</v>
      </c>
      <c r="O831" s="1191" t="s">
        <v>142</v>
      </c>
      <c r="P831" s="1191" t="s">
        <v>142</v>
      </c>
      <c r="Q831" s="1192" t="s">
        <v>142</v>
      </c>
      <c r="R831" s="1191" t="s">
        <v>2507</v>
      </c>
      <c r="S831" s="1193">
        <v>63.2</v>
      </c>
      <c r="T831" s="1194" t="s">
        <v>23</v>
      </c>
      <c r="U831" s="813" t="s">
        <v>236</v>
      </c>
      <c r="V831" s="1195"/>
      <c r="W831" s="1196"/>
      <c r="X831" s="1196"/>
      <c r="Y831" s="1196"/>
      <c r="Z831" s="1196"/>
      <c r="AA831" s="1196"/>
      <c r="AB831" s="1196"/>
      <c r="AC831" s="1196"/>
      <c r="AD831" s="1196"/>
      <c r="AE831" s="1196"/>
      <c r="AF831" s="1196"/>
      <c r="AG831" s="1196"/>
      <c r="AH831" s="1196"/>
      <c r="AI831" s="1196"/>
      <c r="AJ831" s="1196"/>
      <c r="AK831" s="1196"/>
      <c r="AL831" s="1196"/>
      <c r="AM831" s="1196"/>
      <c r="AN831" s="1196"/>
      <c r="AO831" s="1196"/>
      <c r="AP831" s="1196"/>
      <c r="AQ831" s="1196"/>
      <c r="AR831" s="1196"/>
      <c r="AS831" s="1196"/>
      <c r="AT831" s="1196"/>
      <c r="AU831" s="1196"/>
      <c r="AV831" s="1196"/>
      <c r="AW831" s="1196"/>
      <c r="AX831" s="1196"/>
      <c r="AY831" s="1196"/>
      <c r="AZ831" s="1196"/>
      <c r="BA831" s="1196"/>
      <c r="BB831" s="1196"/>
      <c r="BC831" s="1196"/>
      <c r="BD831" s="1196"/>
      <c r="BE831" s="1196"/>
      <c r="BF831" s="1196"/>
      <c r="BG831" s="1196"/>
      <c r="BH831" s="1196"/>
      <c r="BI831" s="1196"/>
      <c r="BJ831" s="1196"/>
      <c r="BK831" s="1196"/>
      <c r="BL831" s="1196"/>
      <c r="BM831" s="1196"/>
      <c r="BN831" s="1196"/>
      <c r="BO831" s="1196"/>
      <c r="BP831" s="1196"/>
      <c r="BQ831" s="1196"/>
      <c r="BR831" s="1196"/>
      <c r="BS831" s="1196"/>
      <c r="BT831" s="1196"/>
      <c r="BU831" s="1196"/>
      <c r="BV831" s="1196"/>
      <c r="BW831" s="1196"/>
      <c r="BX831" s="1196"/>
      <c r="BY831" s="1196"/>
      <c r="BZ831" s="1196"/>
      <c r="CA831" s="1196"/>
      <c r="CB831" s="1196"/>
      <c r="CC831" s="1196"/>
      <c r="CD831" s="1196"/>
      <c r="CE831" s="1196"/>
      <c r="CF831" s="1196"/>
      <c r="CG831" s="1196"/>
      <c r="CH831" s="1196"/>
      <c r="CI831" s="1196"/>
      <c r="CJ831" s="1196"/>
      <c r="CK831" s="1196"/>
      <c r="CL831" s="1196"/>
    </row>
    <row r="832" spans="1:90" s="1183" customFormat="1" ht="29.25" customHeight="1" x14ac:dyDescent="0.25">
      <c r="A832" s="1183" t="s">
        <v>4704</v>
      </c>
      <c r="B832" s="1184">
        <v>45086</v>
      </c>
      <c r="C832" s="1185">
        <v>0.79166666666666663</v>
      </c>
      <c r="D832" s="1510" t="s">
        <v>5786</v>
      </c>
      <c r="E832" s="1511"/>
      <c r="F832" s="1511"/>
      <c r="G832" s="1511"/>
      <c r="H832" s="1511"/>
      <c r="I832" s="1511"/>
      <c r="J832" s="1511"/>
      <c r="K832" s="1511"/>
      <c r="L832" s="1511"/>
      <c r="M832" s="1511"/>
      <c r="N832" s="1511"/>
      <c r="O832" s="1511"/>
      <c r="P832" s="1511"/>
      <c r="Q832" s="1511"/>
      <c r="R832" s="1511"/>
      <c r="S832" s="1512"/>
      <c r="T832" s="1194" t="s">
        <v>23</v>
      </c>
      <c r="U832" s="813" t="s">
        <v>236</v>
      </c>
      <c r="V832" s="1195"/>
      <c r="W832" s="1196"/>
      <c r="X832" s="1196"/>
      <c r="Y832" s="1196"/>
      <c r="Z832" s="1196"/>
      <c r="AA832" s="1196"/>
      <c r="AB832" s="1196"/>
      <c r="AC832" s="1196"/>
      <c r="AD832" s="1196"/>
      <c r="AE832" s="1196"/>
      <c r="AF832" s="1196"/>
      <c r="AG832" s="1196"/>
      <c r="AH832" s="1196"/>
      <c r="AI832" s="1196"/>
      <c r="AJ832" s="1196"/>
      <c r="AK832" s="1196"/>
      <c r="AL832" s="1196"/>
      <c r="AM832" s="1196"/>
      <c r="AN832" s="1196"/>
      <c r="AO832" s="1196"/>
      <c r="AP832" s="1196"/>
      <c r="AQ832" s="1196"/>
      <c r="AR832" s="1196"/>
      <c r="AS832" s="1196"/>
      <c r="AT832" s="1196"/>
      <c r="AU832" s="1196"/>
      <c r="AV832" s="1196"/>
      <c r="AW832" s="1196"/>
      <c r="AX832" s="1196"/>
      <c r="AY832" s="1196"/>
      <c r="AZ832" s="1196"/>
      <c r="BA832" s="1196"/>
      <c r="BB832" s="1196"/>
      <c r="BC832" s="1196"/>
      <c r="BD832" s="1196"/>
      <c r="BE832" s="1196"/>
      <c r="BF832" s="1196"/>
      <c r="BG832" s="1196"/>
      <c r="BH832" s="1196"/>
      <c r="BI832" s="1196"/>
      <c r="BJ832" s="1196"/>
      <c r="BK832" s="1196"/>
      <c r="BL832" s="1196"/>
      <c r="BM832" s="1196"/>
      <c r="BN832" s="1196"/>
      <c r="BO832" s="1196"/>
      <c r="BP832" s="1196"/>
      <c r="BQ832" s="1196"/>
      <c r="BR832" s="1196"/>
      <c r="BS832" s="1196"/>
      <c r="BT832" s="1196"/>
      <c r="BU832" s="1196"/>
      <c r="BV832" s="1196"/>
      <c r="BW832" s="1196"/>
      <c r="BX832" s="1196"/>
      <c r="BY832" s="1196"/>
      <c r="BZ832" s="1196"/>
      <c r="CA832" s="1196"/>
      <c r="CB832" s="1196"/>
      <c r="CC832" s="1196"/>
      <c r="CD832" s="1196"/>
      <c r="CE832" s="1196"/>
      <c r="CF832" s="1196"/>
      <c r="CG832" s="1196"/>
      <c r="CH832" s="1196"/>
      <c r="CI832" s="1196"/>
      <c r="CJ832" s="1196"/>
      <c r="CK832" s="1196"/>
      <c r="CL832" s="1196"/>
    </row>
    <row r="833" spans="1:90" s="1183" customFormat="1" ht="29.25" customHeight="1" x14ac:dyDescent="0.25">
      <c r="A833" s="1183" t="s">
        <v>4704</v>
      </c>
      <c r="B833" s="1184">
        <v>45087</v>
      </c>
      <c r="C833" s="1185">
        <v>0.79166666666666663</v>
      </c>
      <c r="D833" s="1186">
        <v>52</v>
      </c>
      <c r="E833" s="1187">
        <v>10.3</v>
      </c>
      <c r="F833" s="1188">
        <v>14.8</v>
      </c>
      <c r="G833" s="1189">
        <v>1054</v>
      </c>
      <c r="H833" s="1189">
        <v>1910</v>
      </c>
      <c r="I833" s="1189">
        <v>98.8</v>
      </c>
      <c r="J833" s="1190">
        <v>111</v>
      </c>
      <c r="K833" s="1190" t="s">
        <v>5788</v>
      </c>
      <c r="L833" s="1187">
        <v>34.659999999999997</v>
      </c>
      <c r="M833" s="1187">
        <v>38</v>
      </c>
      <c r="N833" s="1187">
        <v>51.69</v>
      </c>
      <c r="O833" s="1191" t="s">
        <v>142</v>
      </c>
      <c r="P833" s="1191" t="s">
        <v>142</v>
      </c>
      <c r="Q833" s="1192" t="s">
        <v>142</v>
      </c>
      <c r="R833" s="1191" t="s">
        <v>2507</v>
      </c>
      <c r="S833" s="1193">
        <v>63.2</v>
      </c>
      <c r="T833" s="1194" t="s">
        <v>23</v>
      </c>
      <c r="U833" s="813" t="s">
        <v>236</v>
      </c>
      <c r="V833" s="1195"/>
      <c r="W833" s="1196"/>
      <c r="X833" s="1196"/>
      <c r="Y833" s="1196"/>
      <c r="Z833" s="1196"/>
      <c r="AA833" s="1196"/>
      <c r="AB833" s="1196"/>
      <c r="AC833" s="1196"/>
      <c r="AD833" s="1196"/>
      <c r="AE833" s="1196"/>
      <c r="AF833" s="1196"/>
      <c r="AG833" s="1196"/>
      <c r="AH833" s="1196"/>
      <c r="AI833" s="1196"/>
      <c r="AJ833" s="1196"/>
      <c r="AK833" s="1196"/>
      <c r="AL833" s="1196"/>
      <c r="AM833" s="1196"/>
      <c r="AN833" s="1196"/>
      <c r="AO833" s="1196"/>
      <c r="AP833" s="1196"/>
      <c r="AQ833" s="1196"/>
      <c r="AR833" s="1196"/>
      <c r="AS833" s="1196"/>
      <c r="AT833" s="1196"/>
      <c r="AU833" s="1196"/>
      <c r="AV833" s="1196"/>
      <c r="AW833" s="1196"/>
      <c r="AX833" s="1196"/>
      <c r="AY833" s="1196"/>
      <c r="AZ833" s="1196"/>
      <c r="BA833" s="1196"/>
      <c r="BB833" s="1196"/>
      <c r="BC833" s="1196"/>
      <c r="BD833" s="1196"/>
      <c r="BE833" s="1196"/>
      <c r="BF833" s="1196"/>
      <c r="BG833" s="1196"/>
      <c r="BH833" s="1196"/>
      <c r="BI833" s="1196"/>
      <c r="BJ833" s="1196"/>
      <c r="BK833" s="1196"/>
      <c r="BL833" s="1196"/>
      <c r="BM833" s="1196"/>
      <c r="BN833" s="1196"/>
      <c r="BO833" s="1196"/>
      <c r="BP833" s="1196"/>
      <c r="BQ833" s="1196"/>
      <c r="BR833" s="1196"/>
      <c r="BS833" s="1196"/>
      <c r="BT833" s="1196"/>
      <c r="BU833" s="1196"/>
      <c r="BV833" s="1196"/>
      <c r="BW833" s="1196"/>
      <c r="BX833" s="1196"/>
      <c r="BY833" s="1196"/>
      <c r="BZ833" s="1196"/>
      <c r="CA833" s="1196"/>
      <c r="CB833" s="1196"/>
      <c r="CC833" s="1196"/>
      <c r="CD833" s="1196"/>
      <c r="CE833" s="1196"/>
      <c r="CF833" s="1196"/>
      <c r="CG833" s="1196"/>
      <c r="CH833" s="1196"/>
      <c r="CI833" s="1196"/>
      <c r="CJ833" s="1196"/>
      <c r="CK833" s="1196"/>
      <c r="CL833" s="1196"/>
    </row>
    <row r="834" spans="1:90" s="1183" customFormat="1" ht="29.25" customHeight="1" x14ac:dyDescent="0.25">
      <c r="A834" s="1183" t="s">
        <v>4704</v>
      </c>
      <c r="B834" s="1184">
        <v>45088</v>
      </c>
      <c r="C834" s="1185">
        <v>0.97916666666666663</v>
      </c>
      <c r="D834" s="1186">
        <v>52</v>
      </c>
      <c r="E834" s="1187">
        <v>13.7</v>
      </c>
      <c r="F834" s="1188">
        <v>17.3</v>
      </c>
      <c r="G834" s="1189">
        <v>1166</v>
      </c>
      <c r="H834" s="1189">
        <v>2003</v>
      </c>
      <c r="I834" s="1189">
        <v>97</v>
      </c>
      <c r="J834" s="1190">
        <v>111.7</v>
      </c>
      <c r="K834" s="1190" t="s">
        <v>5792</v>
      </c>
      <c r="L834" s="1187">
        <v>36.57</v>
      </c>
      <c r="M834" s="1187">
        <v>40</v>
      </c>
      <c r="N834" s="1187">
        <v>55.76</v>
      </c>
      <c r="O834" s="1191" t="s">
        <v>142</v>
      </c>
      <c r="P834" s="1191" t="s">
        <v>142</v>
      </c>
      <c r="Q834" s="1192" t="s">
        <v>142</v>
      </c>
      <c r="R834" s="1191" t="s">
        <v>5793</v>
      </c>
      <c r="S834" s="1193">
        <v>73.900000000000006</v>
      </c>
      <c r="T834" s="1194" t="s">
        <v>23</v>
      </c>
      <c r="U834" s="813" t="s">
        <v>236</v>
      </c>
      <c r="V834" s="1195" t="s">
        <v>5794</v>
      </c>
      <c r="W834" s="1196"/>
      <c r="X834" s="1196"/>
      <c r="Y834" s="1196"/>
      <c r="Z834" s="1196"/>
      <c r="AA834" s="1196"/>
      <c r="AB834" s="1196"/>
      <c r="AC834" s="1196"/>
      <c r="AD834" s="1196"/>
      <c r="AE834" s="1196"/>
      <c r="AF834" s="1196"/>
      <c r="AG834" s="1196"/>
      <c r="AH834" s="1196"/>
      <c r="AI834" s="1196"/>
      <c r="AJ834" s="1196"/>
      <c r="AK834" s="1196"/>
      <c r="AL834" s="1196"/>
      <c r="AM834" s="1196"/>
      <c r="AN834" s="1196"/>
      <c r="AO834" s="1196"/>
      <c r="AP834" s="1196"/>
      <c r="AQ834" s="1196"/>
      <c r="AR834" s="1196"/>
      <c r="AS834" s="1196"/>
      <c r="AT834" s="1196"/>
      <c r="AU834" s="1196"/>
      <c r="AV834" s="1196"/>
      <c r="AW834" s="1196"/>
      <c r="AX834" s="1196"/>
      <c r="AY834" s="1196"/>
      <c r="AZ834" s="1196"/>
      <c r="BA834" s="1196"/>
      <c r="BB834" s="1196"/>
      <c r="BC834" s="1196"/>
      <c r="BD834" s="1196"/>
      <c r="BE834" s="1196"/>
      <c r="BF834" s="1196"/>
      <c r="BG834" s="1196"/>
      <c r="BH834" s="1196"/>
      <c r="BI834" s="1196"/>
      <c r="BJ834" s="1196"/>
      <c r="BK834" s="1196"/>
      <c r="BL834" s="1196"/>
      <c r="BM834" s="1196"/>
      <c r="BN834" s="1196"/>
      <c r="BO834" s="1196"/>
      <c r="BP834" s="1196"/>
      <c r="BQ834" s="1196"/>
      <c r="BR834" s="1196"/>
      <c r="BS834" s="1196"/>
      <c r="BT834" s="1196"/>
      <c r="BU834" s="1196"/>
      <c r="BV834" s="1196"/>
      <c r="BW834" s="1196"/>
      <c r="BX834" s="1196"/>
      <c r="BY834" s="1196"/>
      <c r="BZ834" s="1196"/>
      <c r="CA834" s="1196"/>
      <c r="CB834" s="1196"/>
      <c r="CC834" s="1196"/>
      <c r="CD834" s="1196"/>
      <c r="CE834" s="1196"/>
      <c r="CF834" s="1196"/>
      <c r="CG834" s="1196"/>
      <c r="CH834" s="1196"/>
      <c r="CI834" s="1196"/>
      <c r="CJ834" s="1196"/>
      <c r="CK834" s="1196"/>
      <c r="CL834" s="1196"/>
    </row>
    <row r="835" spans="1:90" s="1183" customFormat="1" ht="29.25" customHeight="1" x14ac:dyDescent="0.25">
      <c r="A835" s="1183" t="s">
        <v>4704</v>
      </c>
      <c r="B835" s="1184">
        <v>45089</v>
      </c>
      <c r="C835" s="1185">
        <v>0.77083333333333337</v>
      </c>
      <c r="D835" s="1186">
        <v>52</v>
      </c>
      <c r="E835" s="1187">
        <v>10.8</v>
      </c>
      <c r="F835" s="1188">
        <v>15</v>
      </c>
      <c r="G835" s="1189">
        <v>1053</v>
      </c>
      <c r="H835" s="1189">
        <v>1936</v>
      </c>
      <c r="I835" s="1189">
        <v>98.8</v>
      </c>
      <c r="J835" s="1190">
        <v>111</v>
      </c>
      <c r="K835" s="1190" t="s">
        <v>5797</v>
      </c>
      <c r="L835" s="1187">
        <v>35.39</v>
      </c>
      <c r="M835" s="1187">
        <v>39.5</v>
      </c>
      <c r="N835" s="1187">
        <v>49.85</v>
      </c>
      <c r="O835" s="1191" t="s">
        <v>142</v>
      </c>
      <c r="P835" s="1191" t="s">
        <v>142</v>
      </c>
      <c r="Q835" s="1192" t="s">
        <v>142</v>
      </c>
      <c r="R835" s="1191" t="s">
        <v>3551</v>
      </c>
      <c r="S835" s="1193">
        <v>64.099999999999994</v>
      </c>
      <c r="T835" s="1194" t="s">
        <v>23</v>
      </c>
      <c r="U835" s="813" t="s">
        <v>236</v>
      </c>
      <c r="V835" s="1195" t="s">
        <v>5799</v>
      </c>
      <c r="W835" s="1196"/>
      <c r="X835" s="1196"/>
      <c r="Y835" s="1196"/>
      <c r="Z835" s="1196"/>
      <c r="AA835" s="1196"/>
      <c r="AB835" s="1196"/>
      <c r="AC835" s="1196"/>
      <c r="AD835" s="1196"/>
      <c r="AE835" s="1196"/>
      <c r="AF835" s="1196"/>
      <c r="AG835" s="1196"/>
      <c r="AH835" s="1196"/>
      <c r="AI835" s="1196"/>
      <c r="AJ835" s="1196"/>
      <c r="AK835" s="1196"/>
      <c r="AL835" s="1196"/>
      <c r="AM835" s="1196"/>
      <c r="AN835" s="1196"/>
      <c r="AO835" s="1196"/>
      <c r="AP835" s="1196"/>
      <c r="AQ835" s="1196"/>
      <c r="AR835" s="1196"/>
      <c r="AS835" s="1196"/>
      <c r="AT835" s="1196"/>
      <c r="AU835" s="1196"/>
      <c r="AV835" s="1196"/>
      <c r="AW835" s="1196"/>
      <c r="AX835" s="1196"/>
      <c r="AY835" s="1196"/>
      <c r="AZ835" s="1196"/>
      <c r="BA835" s="1196"/>
      <c r="BB835" s="1196"/>
      <c r="BC835" s="1196"/>
      <c r="BD835" s="1196"/>
      <c r="BE835" s="1196"/>
      <c r="BF835" s="1196"/>
      <c r="BG835" s="1196"/>
      <c r="BH835" s="1196"/>
      <c r="BI835" s="1196"/>
      <c r="BJ835" s="1196"/>
      <c r="BK835" s="1196"/>
      <c r="BL835" s="1196"/>
      <c r="BM835" s="1196"/>
      <c r="BN835" s="1196"/>
      <c r="BO835" s="1196"/>
      <c r="BP835" s="1196"/>
      <c r="BQ835" s="1196"/>
      <c r="BR835" s="1196"/>
      <c r="BS835" s="1196"/>
      <c r="BT835" s="1196"/>
      <c r="BU835" s="1196"/>
      <c r="BV835" s="1196"/>
      <c r="BW835" s="1196"/>
      <c r="BX835" s="1196"/>
      <c r="BY835" s="1196"/>
      <c r="BZ835" s="1196"/>
      <c r="CA835" s="1196"/>
      <c r="CB835" s="1196"/>
      <c r="CC835" s="1196"/>
      <c r="CD835" s="1196"/>
      <c r="CE835" s="1196"/>
      <c r="CF835" s="1196"/>
      <c r="CG835" s="1196"/>
      <c r="CH835" s="1196"/>
      <c r="CI835" s="1196"/>
      <c r="CJ835" s="1196"/>
      <c r="CK835" s="1196"/>
      <c r="CL835" s="1196"/>
    </row>
    <row r="836" spans="1:90" s="1183" customFormat="1" ht="29.25" customHeight="1" x14ac:dyDescent="0.25">
      <c r="A836" s="1183" t="s">
        <v>4704</v>
      </c>
      <c r="B836" s="1184">
        <v>45090</v>
      </c>
      <c r="C836" s="1185">
        <v>0.8125</v>
      </c>
      <c r="D836" s="1186">
        <v>52</v>
      </c>
      <c r="E836" s="1187">
        <v>11.1</v>
      </c>
      <c r="F836" s="1188">
        <v>15.3</v>
      </c>
      <c r="G836" s="1189">
        <v>1101</v>
      </c>
      <c r="H836" s="1189">
        <v>1948</v>
      </c>
      <c r="I836" s="1189">
        <v>98.2</v>
      </c>
      <c r="J836" s="1190">
        <v>110.8</v>
      </c>
      <c r="K836" s="1190" t="s">
        <v>5801</v>
      </c>
      <c r="L836" s="1187">
        <v>36.43</v>
      </c>
      <c r="M836" s="1187">
        <v>40.5</v>
      </c>
      <c r="N836" s="1187">
        <v>53.94</v>
      </c>
      <c r="O836" s="1191" t="s">
        <v>142</v>
      </c>
      <c r="P836" s="1191" t="s">
        <v>142</v>
      </c>
      <c r="Q836" s="1192" t="s">
        <v>142</v>
      </c>
      <c r="R836" s="1191" t="s">
        <v>4024</v>
      </c>
      <c r="S836" s="1193">
        <v>65.3</v>
      </c>
      <c r="T836" s="1194" t="s">
        <v>23</v>
      </c>
      <c r="U836" s="813" t="s">
        <v>236</v>
      </c>
      <c r="V836" s="1195"/>
      <c r="W836" s="1196"/>
      <c r="X836" s="1196"/>
      <c r="Y836" s="1196"/>
      <c r="Z836" s="1196"/>
      <c r="AA836" s="1196"/>
      <c r="AB836" s="1196"/>
      <c r="AC836" s="1196"/>
      <c r="AD836" s="1196"/>
      <c r="AE836" s="1196"/>
      <c r="AF836" s="1196"/>
      <c r="AG836" s="1196"/>
      <c r="AH836" s="1196"/>
      <c r="AI836" s="1196"/>
      <c r="AJ836" s="1196"/>
      <c r="AK836" s="1196"/>
      <c r="AL836" s="1196"/>
      <c r="AM836" s="1196"/>
      <c r="AN836" s="1196"/>
      <c r="AO836" s="1196"/>
      <c r="AP836" s="1196"/>
      <c r="AQ836" s="1196"/>
      <c r="AR836" s="1196"/>
      <c r="AS836" s="1196"/>
      <c r="AT836" s="1196"/>
      <c r="AU836" s="1196"/>
      <c r="AV836" s="1196"/>
      <c r="AW836" s="1196"/>
      <c r="AX836" s="1196"/>
      <c r="AY836" s="1196"/>
      <c r="AZ836" s="1196"/>
      <c r="BA836" s="1196"/>
      <c r="BB836" s="1196"/>
      <c r="BC836" s="1196"/>
      <c r="BD836" s="1196"/>
      <c r="BE836" s="1196"/>
      <c r="BF836" s="1196"/>
      <c r="BG836" s="1196"/>
      <c r="BH836" s="1196"/>
      <c r="BI836" s="1196"/>
      <c r="BJ836" s="1196"/>
      <c r="BK836" s="1196"/>
      <c r="BL836" s="1196"/>
      <c r="BM836" s="1196"/>
      <c r="BN836" s="1196"/>
      <c r="BO836" s="1196"/>
      <c r="BP836" s="1196"/>
      <c r="BQ836" s="1196"/>
      <c r="BR836" s="1196"/>
      <c r="BS836" s="1196"/>
      <c r="BT836" s="1196"/>
      <c r="BU836" s="1196"/>
      <c r="BV836" s="1196"/>
      <c r="BW836" s="1196"/>
      <c r="BX836" s="1196"/>
      <c r="BY836" s="1196"/>
      <c r="BZ836" s="1196"/>
      <c r="CA836" s="1196"/>
      <c r="CB836" s="1196"/>
      <c r="CC836" s="1196"/>
      <c r="CD836" s="1196"/>
      <c r="CE836" s="1196"/>
      <c r="CF836" s="1196"/>
      <c r="CG836" s="1196"/>
      <c r="CH836" s="1196"/>
      <c r="CI836" s="1196"/>
      <c r="CJ836" s="1196"/>
      <c r="CK836" s="1196"/>
      <c r="CL836" s="1196"/>
    </row>
    <row r="837" spans="1:90" s="1183" customFormat="1" ht="29.25" customHeight="1" x14ac:dyDescent="0.25">
      <c r="A837" s="1183" t="s">
        <v>4704</v>
      </c>
      <c r="B837" s="1184">
        <v>45091</v>
      </c>
      <c r="C837" s="1185">
        <v>0.79166666666666663</v>
      </c>
      <c r="D837" s="1186">
        <v>52</v>
      </c>
      <c r="E837" s="1187">
        <v>9.6999999999999993</v>
      </c>
      <c r="F837" s="1188">
        <v>14.3</v>
      </c>
      <c r="G837" s="1189">
        <v>950</v>
      </c>
      <c r="H837" s="1189">
        <v>1395</v>
      </c>
      <c r="I837" s="1189">
        <v>98.7</v>
      </c>
      <c r="J837" s="1190">
        <v>100.7</v>
      </c>
      <c r="K837" s="1190" t="s">
        <v>5812</v>
      </c>
      <c r="L837" s="1187">
        <v>24.79</v>
      </c>
      <c r="M837" s="1187">
        <v>29.5</v>
      </c>
      <c r="N837" s="1187">
        <v>55.39</v>
      </c>
      <c r="O837" s="1191" t="s">
        <v>142</v>
      </c>
      <c r="P837" s="1191" t="s">
        <v>142</v>
      </c>
      <c r="Q837" s="1192" t="s">
        <v>142</v>
      </c>
      <c r="R837" s="1191" t="s">
        <v>5813</v>
      </c>
      <c r="S837" s="1193">
        <v>61.1</v>
      </c>
      <c r="T837" s="1194" t="s">
        <v>23</v>
      </c>
      <c r="U837" s="813" t="s">
        <v>236</v>
      </c>
      <c r="V837" s="1195" t="s">
        <v>5815</v>
      </c>
      <c r="W837" s="1196"/>
      <c r="X837" s="1196"/>
      <c r="Y837" s="1196"/>
      <c r="Z837" s="1196"/>
      <c r="AA837" s="1196"/>
      <c r="AB837" s="1196"/>
      <c r="AC837" s="1196"/>
      <c r="AD837" s="1196"/>
      <c r="AE837" s="1196"/>
      <c r="AF837" s="1196"/>
      <c r="AG837" s="1196"/>
      <c r="AH837" s="1196"/>
      <c r="AI837" s="1196"/>
      <c r="AJ837" s="1196"/>
      <c r="AK837" s="1196"/>
      <c r="AL837" s="1196"/>
      <c r="AM837" s="1196"/>
      <c r="AN837" s="1196"/>
      <c r="AO837" s="1196"/>
      <c r="AP837" s="1196"/>
      <c r="AQ837" s="1196"/>
      <c r="AR837" s="1196"/>
      <c r="AS837" s="1196"/>
      <c r="AT837" s="1196"/>
      <c r="AU837" s="1196"/>
      <c r="AV837" s="1196"/>
      <c r="AW837" s="1196"/>
      <c r="AX837" s="1196"/>
      <c r="AY837" s="1196"/>
      <c r="AZ837" s="1196"/>
      <c r="BA837" s="1196"/>
      <c r="BB837" s="1196"/>
      <c r="BC837" s="1196"/>
      <c r="BD837" s="1196"/>
      <c r="BE837" s="1196"/>
      <c r="BF837" s="1196"/>
      <c r="BG837" s="1196"/>
      <c r="BH837" s="1196"/>
      <c r="BI837" s="1196"/>
      <c r="BJ837" s="1196"/>
      <c r="BK837" s="1196"/>
      <c r="BL837" s="1196"/>
      <c r="BM837" s="1196"/>
      <c r="BN837" s="1196"/>
      <c r="BO837" s="1196"/>
      <c r="BP837" s="1196"/>
      <c r="BQ837" s="1196"/>
      <c r="BR837" s="1196"/>
      <c r="BS837" s="1196"/>
      <c r="BT837" s="1196"/>
      <c r="BU837" s="1196"/>
      <c r="BV837" s="1196"/>
      <c r="BW837" s="1196"/>
      <c r="BX837" s="1196"/>
      <c r="BY837" s="1196"/>
      <c r="BZ837" s="1196"/>
      <c r="CA837" s="1196"/>
      <c r="CB837" s="1196"/>
      <c r="CC837" s="1196"/>
      <c r="CD837" s="1196"/>
      <c r="CE837" s="1196"/>
      <c r="CF837" s="1196"/>
      <c r="CG837" s="1196"/>
      <c r="CH837" s="1196"/>
      <c r="CI837" s="1196"/>
      <c r="CJ837" s="1196"/>
      <c r="CK837" s="1196"/>
      <c r="CL837" s="1196"/>
    </row>
    <row r="838" spans="1:90" s="1183" customFormat="1" ht="29.25" customHeight="1" x14ac:dyDescent="0.25">
      <c r="A838" s="1183" t="s">
        <v>4704</v>
      </c>
      <c r="B838" s="1184">
        <v>45092</v>
      </c>
      <c r="C838" s="1185">
        <v>0.77083333333333337</v>
      </c>
      <c r="D838" s="1510" t="s">
        <v>5826</v>
      </c>
      <c r="E838" s="1511"/>
      <c r="F838" s="1511"/>
      <c r="G838" s="1511"/>
      <c r="H838" s="1511"/>
      <c r="I838" s="1511"/>
      <c r="J838" s="1511"/>
      <c r="K838" s="1511"/>
      <c r="L838" s="1511"/>
      <c r="M838" s="1511"/>
      <c r="N838" s="1511"/>
      <c r="O838" s="1511"/>
      <c r="P838" s="1511"/>
      <c r="Q838" s="1511"/>
      <c r="R838" s="1511"/>
      <c r="S838" s="1512"/>
      <c r="T838" s="1194" t="s">
        <v>23</v>
      </c>
      <c r="U838" s="813" t="s">
        <v>236</v>
      </c>
      <c r="V838" s="1195"/>
      <c r="W838" s="1196"/>
      <c r="X838" s="1196"/>
      <c r="Y838" s="1196"/>
      <c r="Z838" s="1196"/>
      <c r="AA838" s="1196"/>
      <c r="AB838" s="1196"/>
      <c r="AC838" s="1196"/>
      <c r="AD838" s="1196"/>
      <c r="AE838" s="1196"/>
      <c r="AF838" s="1196"/>
      <c r="AG838" s="1196"/>
      <c r="AH838" s="1196"/>
      <c r="AI838" s="1196"/>
      <c r="AJ838" s="1196"/>
      <c r="AK838" s="1196"/>
      <c r="AL838" s="1196"/>
      <c r="AM838" s="1196"/>
      <c r="AN838" s="1196"/>
      <c r="AO838" s="1196"/>
      <c r="AP838" s="1196"/>
      <c r="AQ838" s="1196"/>
      <c r="AR838" s="1196"/>
      <c r="AS838" s="1196"/>
      <c r="AT838" s="1196"/>
      <c r="AU838" s="1196"/>
      <c r="AV838" s="1196"/>
      <c r="AW838" s="1196"/>
      <c r="AX838" s="1196"/>
      <c r="AY838" s="1196"/>
      <c r="AZ838" s="1196"/>
      <c r="BA838" s="1196"/>
      <c r="BB838" s="1196"/>
      <c r="BC838" s="1196"/>
      <c r="BD838" s="1196"/>
      <c r="BE838" s="1196"/>
      <c r="BF838" s="1196"/>
      <c r="BG838" s="1196"/>
      <c r="BH838" s="1196"/>
      <c r="BI838" s="1196"/>
      <c r="BJ838" s="1196"/>
      <c r="BK838" s="1196"/>
      <c r="BL838" s="1196"/>
      <c r="BM838" s="1196"/>
      <c r="BN838" s="1196"/>
      <c r="BO838" s="1196"/>
      <c r="BP838" s="1196"/>
      <c r="BQ838" s="1196"/>
      <c r="BR838" s="1196"/>
      <c r="BS838" s="1196"/>
      <c r="BT838" s="1196"/>
      <c r="BU838" s="1196"/>
      <c r="BV838" s="1196"/>
      <c r="BW838" s="1196"/>
      <c r="BX838" s="1196"/>
      <c r="BY838" s="1196"/>
      <c r="BZ838" s="1196"/>
      <c r="CA838" s="1196"/>
      <c r="CB838" s="1196"/>
      <c r="CC838" s="1196"/>
      <c r="CD838" s="1196"/>
      <c r="CE838" s="1196"/>
      <c r="CF838" s="1196"/>
      <c r="CG838" s="1196"/>
      <c r="CH838" s="1196"/>
      <c r="CI838" s="1196"/>
      <c r="CJ838" s="1196"/>
      <c r="CK838" s="1196"/>
      <c r="CL838" s="1196"/>
    </row>
    <row r="839" spans="1:90" s="1183" customFormat="1" ht="29.25" customHeight="1" x14ac:dyDescent="0.25">
      <c r="A839" s="1183" t="s">
        <v>4704</v>
      </c>
      <c r="B839" s="1184">
        <v>45093</v>
      </c>
      <c r="C839" s="1185">
        <v>0.75</v>
      </c>
      <c r="D839" s="1186">
        <v>52</v>
      </c>
      <c r="E839" s="1187">
        <v>10.3</v>
      </c>
      <c r="F839" s="1188">
        <v>14.6</v>
      </c>
      <c r="G839" s="1189">
        <v>957</v>
      </c>
      <c r="H839" s="1189">
        <v>1615</v>
      </c>
      <c r="I839" s="1189">
        <v>98.8</v>
      </c>
      <c r="J839" s="1190">
        <v>110.2</v>
      </c>
      <c r="K839" s="1190" t="s">
        <v>5821</v>
      </c>
      <c r="L839" s="1187">
        <v>25.13</v>
      </c>
      <c r="M839" s="1187">
        <v>30</v>
      </c>
      <c r="N839" s="1187">
        <v>54.93</v>
      </c>
      <c r="O839" s="1191" t="s">
        <v>142</v>
      </c>
      <c r="P839" s="1191" t="s">
        <v>142</v>
      </c>
      <c r="Q839" s="1192" t="s">
        <v>142</v>
      </c>
      <c r="R839" s="1191" t="s">
        <v>3095</v>
      </c>
      <c r="S839" s="1193">
        <v>62.3</v>
      </c>
      <c r="T839" s="1194" t="s">
        <v>23</v>
      </c>
      <c r="U839" s="813" t="s">
        <v>236</v>
      </c>
      <c r="V839" s="1195"/>
      <c r="W839" s="1196"/>
      <c r="X839" s="1196"/>
      <c r="Y839" s="1196"/>
      <c r="Z839" s="1196"/>
      <c r="AA839" s="1196"/>
      <c r="AB839" s="1196"/>
      <c r="AC839" s="1196"/>
      <c r="AD839" s="1196"/>
      <c r="AE839" s="1196"/>
      <c r="AF839" s="1196"/>
      <c r="AG839" s="1196"/>
      <c r="AH839" s="1196"/>
      <c r="AI839" s="1196"/>
      <c r="AJ839" s="1196"/>
      <c r="AK839" s="1196"/>
      <c r="AL839" s="1196"/>
      <c r="AM839" s="1196"/>
      <c r="AN839" s="1196"/>
      <c r="AO839" s="1196"/>
      <c r="AP839" s="1196"/>
      <c r="AQ839" s="1196"/>
      <c r="AR839" s="1196"/>
      <c r="AS839" s="1196"/>
      <c r="AT839" s="1196"/>
      <c r="AU839" s="1196"/>
      <c r="AV839" s="1196"/>
      <c r="AW839" s="1196"/>
      <c r="AX839" s="1196"/>
      <c r="AY839" s="1196"/>
      <c r="AZ839" s="1196"/>
      <c r="BA839" s="1196"/>
      <c r="BB839" s="1196"/>
      <c r="BC839" s="1196"/>
      <c r="BD839" s="1196"/>
      <c r="BE839" s="1196"/>
      <c r="BF839" s="1196"/>
      <c r="BG839" s="1196"/>
      <c r="BH839" s="1196"/>
      <c r="BI839" s="1196"/>
      <c r="BJ839" s="1196"/>
      <c r="BK839" s="1196"/>
      <c r="BL839" s="1196"/>
      <c r="BM839" s="1196"/>
      <c r="BN839" s="1196"/>
      <c r="BO839" s="1196"/>
      <c r="BP839" s="1196"/>
      <c r="BQ839" s="1196"/>
      <c r="BR839" s="1196"/>
      <c r="BS839" s="1196"/>
      <c r="BT839" s="1196"/>
      <c r="BU839" s="1196"/>
      <c r="BV839" s="1196"/>
      <c r="BW839" s="1196"/>
      <c r="BX839" s="1196"/>
      <c r="BY839" s="1196"/>
      <c r="BZ839" s="1196"/>
      <c r="CA839" s="1196"/>
      <c r="CB839" s="1196"/>
      <c r="CC839" s="1196"/>
      <c r="CD839" s="1196"/>
      <c r="CE839" s="1196"/>
      <c r="CF839" s="1196"/>
      <c r="CG839" s="1196"/>
      <c r="CH839" s="1196"/>
      <c r="CI839" s="1196"/>
      <c r="CJ839" s="1196"/>
      <c r="CK839" s="1196"/>
      <c r="CL839" s="1196"/>
    </row>
    <row r="840" spans="1:90" s="1183" customFormat="1" ht="29.25" customHeight="1" x14ac:dyDescent="0.25">
      <c r="A840" s="1183" t="s">
        <v>4704</v>
      </c>
      <c r="B840" s="1184">
        <v>45094</v>
      </c>
      <c r="C840" s="1185">
        <v>0.75</v>
      </c>
      <c r="D840" s="1510" t="s">
        <v>5830</v>
      </c>
      <c r="E840" s="1511"/>
      <c r="F840" s="1511"/>
      <c r="G840" s="1511"/>
      <c r="H840" s="1511"/>
      <c r="I840" s="1511"/>
      <c r="J840" s="1511"/>
      <c r="K840" s="1511"/>
      <c r="L840" s="1511"/>
      <c r="M840" s="1511"/>
      <c r="N840" s="1511"/>
      <c r="O840" s="1511"/>
      <c r="P840" s="1511"/>
      <c r="Q840" s="1511"/>
      <c r="R840" s="1511"/>
      <c r="S840" s="1512"/>
      <c r="T840" s="1194" t="s">
        <v>23</v>
      </c>
      <c r="U840" s="813" t="s">
        <v>236</v>
      </c>
      <c r="V840" s="1195"/>
      <c r="W840" s="1196"/>
      <c r="X840" s="1196"/>
      <c r="Y840" s="1196"/>
      <c r="Z840" s="1196"/>
      <c r="AA840" s="1196"/>
      <c r="AB840" s="1196"/>
      <c r="AC840" s="1196"/>
      <c r="AD840" s="1196"/>
      <c r="AE840" s="1196"/>
      <c r="AF840" s="1196"/>
      <c r="AG840" s="1196"/>
      <c r="AH840" s="1196"/>
      <c r="AI840" s="1196"/>
      <c r="AJ840" s="1196"/>
      <c r="AK840" s="1196"/>
      <c r="AL840" s="1196"/>
      <c r="AM840" s="1196"/>
      <c r="AN840" s="1196"/>
      <c r="AO840" s="1196"/>
      <c r="AP840" s="1196"/>
      <c r="AQ840" s="1196"/>
      <c r="AR840" s="1196"/>
      <c r="AS840" s="1196"/>
      <c r="AT840" s="1196"/>
      <c r="AU840" s="1196"/>
      <c r="AV840" s="1196"/>
      <c r="AW840" s="1196"/>
      <c r="AX840" s="1196"/>
      <c r="AY840" s="1196"/>
      <c r="AZ840" s="1196"/>
      <c r="BA840" s="1196"/>
      <c r="BB840" s="1196"/>
      <c r="BC840" s="1196"/>
      <c r="BD840" s="1196"/>
      <c r="BE840" s="1196"/>
      <c r="BF840" s="1196"/>
      <c r="BG840" s="1196"/>
      <c r="BH840" s="1196"/>
      <c r="BI840" s="1196"/>
      <c r="BJ840" s="1196"/>
      <c r="BK840" s="1196"/>
      <c r="BL840" s="1196"/>
      <c r="BM840" s="1196"/>
      <c r="BN840" s="1196"/>
      <c r="BO840" s="1196"/>
      <c r="BP840" s="1196"/>
      <c r="BQ840" s="1196"/>
      <c r="BR840" s="1196"/>
      <c r="BS840" s="1196"/>
      <c r="BT840" s="1196"/>
      <c r="BU840" s="1196"/>
      <c r="BV840" s="1196"/>
      <c r="BW840" s="1196"/>
      <c r="BX840" s="1196"/>
      <c r="BY840" s="1196"/>
      <c r="BZ840" s="1196"/>
      <c r="CA840" s="1196"/>
      <c r="CB840" s="1196"/>
      <c r="CC840" s="1196"/>
      <c r="CD840" s="1196"/>
      <c r="CE840" s="1196"/>
      <c r="CF840" s="1196"/>
      <c r="CG840" s="1196"/>
      <c r="CH840" s="1196"/>
      <c r="CI840" s="1196"/>
      <c r="CJ840" s="1196"/>
      <c r="CK840" s="1196"/>
      <c r="CL840" s="1196"/>
    </row>
    <row r="841" spans="1:90" s="1183" customFormat="1" ht="29.25" customHeight="1" x14ac:dyDescent="0.25">
      <c r="A841" s="1183" t="s">
        <v>4704</v>
      </c>
      <c r="B841" s="1184">
        <v>45095</v>
      </c>
      <c r="C841" s="1185">
        <v>0.75</v>
      </c>
      <c r="D841" s="1186">
        <v>50</v>
      </c>
      <c r="E841" s="1187">
        <v>9.8000000000000007</v>
      </c>
      <c r="F841" s="1188">
        <v>14.3</v>
      </c>
      <c r="G841" s="1189" t="s">
        <v>142</v>
      </c>
      <c r="H841" s="1189" t="s">
        <v>142</v>
      </c>
      <c r="I841" s="1189" t="s">
        <v>142</v>
      </c>
      <c r="J841" s="1190" t="s">
        <v>142</v>
      </c>
      <c r="K841" s="1190" t="s">
        <v>142</v>
      </c>
      <c r="L841" s="1187">
        <v>25.2</v>
      </c>
      <c r="M841" s="1187">
        <v>30</v>
      </c>
      <c r="N841" s="1187">
        <v>51.91</v>
      </c>
      <c r="O841" s="1191" t="s">
        <v>142</v>
      </c>
      <c r="P841" s="1191" t="s">
        <v>142</v>
      </c>
      <c r="Q841" s="1192" t="s">
        <v>142</v>
      </c>
      <c r="R841" s="1191" t="s">
        <v>5833</v>
      </c>
      <c r="S841" s="1193">
        <v>61.1</v>
      </c>
      <c r="T841" s="1194" t="s">
        <v>23</v>
      </c>
      <c r="U841" s="813" t="s">
        <v>236</v>
      </c>
      <c r="V841" s="1195" t="s">
        <v>5835</v>
      </c>
      <c r="W841" s="1196"/>
      <c r="X841" s="1196"/>
      <c r="Y841" s="1196"/>
      <c r="Z841" s="1196"/>
      <c r="AA841" s="1196"/>
      <c r="AB841" s="1196"/>
      <c r="AC841" s="1196"/>
      <c r="AD841" s="1196"/>
      <c r="AE841" s="1196"/>
      <c r="AF841" s="1196"/>
      <c r="AG841" s="1196"/>
      <c r="AH841" s="1196"/>
      <c r="AI841" s="1196"/>
      <c r="AJ841" s="1196"/>
      <c r="AK841" s="1196"/>
      <c r="AL841" s="1196"/>
      <c r="AM841" s="1196"/>
      <c r="AN841" s="1196"/>
      <c r="AO841" s="1196"/>
      <c r="AP841" s="1196"/>
      <c r="AQ841" s="1196"/>
      <c r="AR841" s="1196"/>
      <c r="AS841" s="1196"/>
      <c r="AT841" s="1196"/>
      <c r="AU841" s="1196"/>
      <c r="AV841" s="1196"/>
      <c r="AW841" s="1196"/>
      <c r="AX841" s="1196"/>
      <c r="AY841" s="1196"/>
      <c r="AZ841" s="1196"/>
      <c r="BA841" s="1196"/>
      <c r="BB841" s="1196"/>
      <c r="BC841" s="1196"/>
      <c r="BD841" s="1196"/>
      <c r="BE841" s="1196"/>
      <c r="BF841" s="1196"/>
      <c r="BG841" s="1196"/>
      <c r="BH841" s="1196"/>
      <c r="BI841" s="1196"/>
      <c r="BJ841" s="1196"/>
      <c r="BK841" s="1196"/>
      <c r="BL841" s="1196"/>
      <c r="BM841" s="1196"/>
      <c r="BN841" s="1196"/>
      <c r="BO841" s="1196"/>
      <c r="BP841" s="1196"/>
      <c r="BQ841" s="1196"/>
      <c r="BR841" s="1196"/>
      <c r="BS841" s="1196"/>
      <c r="BT841" s="1196"/>
      <c r="BU841" s="1196"/>
      <c r="BV841" s="1196"/>
      <c r="BW841" s="1196"/>
      <c r="BX841" s="1196"/>
      <c r="BY841" s="1196"/>
      <c r="BZ841" s="1196"/>
      <c r="CA841" s="1196"/>
      <c r="CB841" s="1196"/>
      <c r="CC841" s="1196"/>
      <c r="CD841" s="1196"/>
      <c r="CE841" s="1196"/>
      <c r="CF841" s="1196"/>
      <c r="CG841" s="1196"/>
      <c r="CH841" s="1196"/>
      <c r="CI841" s="1196"/>
      <c r="CJ841" s="1196"/>
      <c r="CK841" s="1196"/>
      <c r="CL841" s="1196"/>
    </row>
    <row r="842" spans="1:90" s="1183" customFormat="1" ht="29.25" customHeight="1" x14ac:dyDescent="0.25">
      <c r="A842" s="1183" t="s">
        <v>4704</v>
      </c>
      <c r="B842" s="1184">
        <v>45096</v>
      </c>
      <c r="C842" s="1185">
        <v>0.75</v>
      </c>
      <c r="D842" s="1186">
        <v>50</v>
      </c>
      <c r="E842" s="1187">
        <v>9.8000000000000007</v>
      </c>
      <c r="F842" s="1188">
        <v>14.8</v>
      </c>
      <c r="G842" s="1189" t="s">
        <v>142</v>
      </c>
      <c r="H842" s="1189" t="s">
        <v>142</v>
      </c>
      <c r="I842" s="1189" t="s">
        <v>142</v>
      </c>
      <c r="J842" s="1190" t="s">
        <v>142</v>
      </c>
      <c r="K842" s="1190" t="s">
        <v>142</v>
      </c>
      <c r="L842" s="1187">
        <v>24.72</v>
      </c>
      <c r="M842" s="1187">
        <v>28.5</v>
      </c>
      <c r="N842" s="1187">
        <v>54.7</v>
      </c>
      <c r="O842" s="1191" t="s">
        <v>142</v>
      </c>
      <c r="P842" s="1191" t="s">
        <v>142</v>
      </c>
      <c r="Q842" s="1192" t="s">
        <v>142</v>
      </c>
      <c r="R842" s="1191" t="s">
        <v>2376</v>
      </c>
      <c r="S842" s="1193">
        <v>63.2</v>
      </c>
      <c r="T842" s="1194" t="s">
        <v>23</v>
      </c>
      <c r="U842" s="813" t="s">
        <v>236</v>
      </c>
      <c r="V842" s="1195"/>
      <c r="W842" s="1196"/>
      <c r="X842" s="1196"/>
      <c r="Y842" s="1196"/>
      <c r="Z842" s="1196"/>
      <c r="AA842" s="1196"/>
      <c r="AB842" s="1196"/>
      <c r="AC842" s="1196"/>
      <c r="AD842" s="1196"/>
      <c r="AE842" s="1196"/>
      <c r="AF842" s="1196"/>
      <c r="AG842" s="1196"/>
      <c r="AH842" s="1196"/>
      <c r="AI842" s="1196"/>
      <c r="AJ842" s="1196"/>
      <c r="AK842" s="1196"/>
      <c r="AL842" s="1196"/>
      <c r="AM842" s="1196"/>
      <c r="AN842" s="1196"/>
      <c r="AO842" s="1196"/>
      <c r="AP842" s="1196"/>
      <c r="AQ842" s="1196"/>
      <c r="AR842" s="1196"/>
      <c r="AS842" s="1196"/>
      <c r="AT842" s="1196"/>
      <c r="AU842" s="1196"/>
      <c r="AV842" s="1196"/>
      <c r="AW842" s="1196"/>
      <c r="AX842" s="1196"/>
      <c r="AY842" s="1196"/>
      <c r="AZ842" s="1196"/>
      <c r="BA842" s="1196"/>
      <c r="BB842" s="1196"/>
      <c r="BC842" s="1196"/>
      <c r="BD842" s="1196"/>
      <c r="BE842" s="1196"/>
      <c r="BF842" s="1196"/>
      <c r="BG842" s="1196"/>
      <c r="BH842" s="1196"/>
      <c r="BI842" s="1196"/>
      <c r="BJ842" s="1196"/>
      <c r="BK842" s="1196"/>
      <c r="BL842" s="1196"/>
      <c r="BM842" s="1196"/>
      <c r="BN842" s="1196"/>
      <c r="BO842" s="1196"/>
      <c r="BP842" s="1196"/>
      <c r="BQ842" s="1196"/>
      <c r="BR842" s="1196"/>
      <c r="BS842" s="1196"/>
      <c r="BT842" s="1196"/>
      <c r="BU842" s="1196"/>
      <c r="BV842" s="1196"/>
      <c r="BW842" s="1196"/>
      <c r="BX842" s="1196"/>
      <c r="BY842" s="1196"/>
      <c r="BZ842" s="1196"/>
      <c r="CA842" s="1196"/>
      <c r="CB842" s="1196"/>
      <c r="CC842" s="1196"/>
      <c r="CD842" s="1196"/>
      <c r="CE842" s="1196"/>
      <c r="CF842" s="1196"/>
      <c r="CG842" s="1196"/>
      <c r="CH842" s="1196"/>
      <c r="CI842" s="1196"/>
      <c r="CJ842" s="1196"/>
      <c r="CK842" s="1196"/>
      <c r="CL842" s="1196"/>
    </row>
    <row r="843" spans="1:90" s="1183" customFormat="1" ht="29.25" customHeight="1" x14ac:dyDescent="0.25">
      <c r="A843" s="1183" t="s">
        <v>4704</v>
      </c>
      <c r="B843" s="1184">
        <v>45097</v>
      </c>
      <c r="C843" s="1185">
        <v>0.70833333333333337</v>
      </c>
      <c r="D843" s="1510" t="s">
        <v>5843</v>
      </c>
      <c r="E843" s="1511"/>
      <c r="F843" s="1511"/>
      <c r="G843" s="1511"/>
      <c r="H843" s="1511"/>
      <c r="I843" s="1511"/>
      <c r="J843" s="1511"/>
      <c r="K843" s="1511"/>
      <c r="L843" s="1511"/>
      <c r="M843" s="1511"/>
      <c r="N843" s="1511"/>
      <c r="O843" s="1511"/>
      <c r="P843" s="1511"/>
      <c r="Q843" s="1511"/>
      <c r="R843" s="1511"/>
      <c r="S843" s="1512"/>
      <c r="T843" s="1194" t="s">
        <v>23</v>
      </c>
      <c r="U843" s="813" t="s">
        <v>236</v>
      </c>
      <c r="V843" s="1195"/>
      <c r="W843" s="1196"/>
      <c r="X843" s="1196"/>
      <c r="Y843" s="1196"/>
      <c r="Z843" s="1196"/>
      <c r="AA843" s="1196"/>
      <c r="AB843" s="1196"/>
      <c r="AC843" s="1196"/>
      <c r="AD843" s="1196"/>
      <c r="AE843" s="1196"/>
      <c r="AF843" s="1196"/>
      <c r="AG843" s="1196"/>
      <c r="AH843" s="1196"/>
      <c r="AI843" s="1196"/>
      <c r="AJ843" s="1196"/>
      <c r="AK843" s="1196"/>
      <c r="AL843" s="1196"/>
      <c r="AM843" s="1196"/>
      <c r="AN843" s="1196"/>
      <c r="AO843" s="1196"/>
      <c r="AP843" s="1196"/>
      <c r="AQ843" s="1196"/>
      <c r="AR843" s="1196"/>
      <c r="AS843" s="1196"/>
      <c r="AT843" s="1196"/>
      <c r="AU843" s="1196"/>
      <c r="AV843" s="1196"/>
      <c r="AW843" s="1196"/>
      <c r="AX843" s="1196"/>
      <c r="AY843" s="1196"/>
      <c r="AZ843" s="1196"/>
      <c r="BA843" s="1196"/>
      <c r="BB843" s="1196"/>
      <c r="BC843" s="1196"/>
      <c r="BD843" s="1196"/>
      <c r="BE843" s="1196"/>
      <c r="BF843" s="1196"/>
      <c r="BG843" s="1196"/>
      <c r="BH843" s="1196"/>
      <c r="BI843" s="1196"/>
      <c r="BJ843" s="1196"/>
      <c r="BK843" s="1196"/>
      <c r="BL843" s="1196"/>
      <c r="BM843" s="1196"/>
      <c r="BN843" s="1196"/>
      <c r="BO843" s="1196"/>
      <c r="BP843" s="1196"/>
      <c r="BQ843" s="1196"/>
      <c r="BR843" s="1196"/>
      <c r="BS843" s="1196"/>
      <c r="BT843" s="1196"/>
      <c r="BU843" s="1196"/>
      <c r="BV843" s="1196"/>
      <c r="BW843" s="1196"/>
      <c r="BX843" s="1196"/>
      <c r="BY843" s="1196"/>
      <c r="BZ843" s="1196"/>
      <c r="CA843" s="1196"/>
      <c r="CB843" s="1196"/>
      <c r="CC843" s="1196"/>
      <c r="CD843" s="1196"/>
      <c r="CE843" s="1196"/>
      <c r="CF843" s="1196"/>
      <c r="CG843" s="1196"/>
      <c r="CH843" s="1196"/>
      <c r="CI843" s="1196"/>
      <c r="CJ843" s="1196"/>
      <c r="CK843" s="1196"/>
      <c r="CL843" s="1196"/>
    </row>
    <row r="844" spans="1:90" s="1183" customFormat="1" ht="29.25" customHeight="1" x14ac:dyDescent="0.25">
      <c r="A844" s="1183" t="s">
        <v>4704</v>
      </c>
      <c r="B844" s="1184">
        <v>45098</v>
      </c>
      <c r="C844" s="1185">
        <v>0.72916666666666663</v>
      </c>
      <c r="D844" s="1186">
        <v>52</v>
      </c>
      <c r="E844" s="1187">
        <v>10.199999999999999</v>
      </c>
      <c r="F844" s="1188">
        <v>14.7</v>
      </c>
      <c r="G844" s="1189" t="s">
        <v>142</v>
      </c>
      <c r="H844" s="1189" t="s">
        <v>142</v>
      </c>
      <c r="I844" s="1189" t="s">
        <v>142</v>
      </c>
      <c r="J844" s="1190" t="s">
        <v>142</v>
      </c>
      <c r="K844" s="1190" t="s">
        <v>142</v>
      </c>
      <c r="L844" s="1187">
        <v>31.12</v>
      </c>
      <c r="M844" s="1187">
        <v>34.5</v>
      </c>
      <c r="N844" s="1187">
        <v>51.07</v>
      </c>
      <c r="O844" s="1191" t="s">
        <v>142</v>
      </c>
      <c r="P844" s="1191" t="s">
        <v>142</v>
      </c>
      <c r="Q844" s="1192" t="s">
        <v>142</v>
      </c>
      <c r="R844" s="1191" t="s">
        <v>2507</v>
      </c>
      <c r="S844" s="1193">
        <v>62.8</v>
      </c>
      <c r="T844" s="1194" t="s">
        <v>23</v>
      </c>
      <c r="U844" s="813" t="s">
        <v>236</v>
      </c>
      <c r="V844" s="1195" t="s">
        <v>5850</v>
      </c>
      <c r="W844" s="1196"/>
      <c r="X844" s="1196"/>
      <c r="Y844" s="1196"/>
      <c r="Z844" s="1196"/>
      <c r="AA844" s="1196"/>
      <c r="AB844" s="1196"/>
      <c r="AC844" s="1196"/>
      <c r="AD844" s="1196"/>
      <c r="AE844" s="1196"/>
      <c r="AF844" s="1196"/>
      <c r="AG844" s="1196"/>
      <c r="AH844" s="1196"/>
      <c r="AI844" s="1196"/>
      <c r="AJ844" s="1196"/>
      <c r="AK844" s="1196"/>
      <c r="AL844" s="1196"/>
      <c r="AM844" s="1196"/>
      <c r="AN844" s="1196"/>
      <c r="AO844" s="1196"/>
      <c r="AP844" s="1196"/>
      <c r="AQ844" s="1196"/>
      <c r="AR844" s="1196"/>
      <c r="AS844" s="1196"/>
      <c r="AT844" s="1196"/>
      <c r="AU844" s="1196"/>
      <c r="AV844" s="1196"/>
      <c r="AW844" s="1196"/>
      <c r="AX844" s="1196"/>
      <c r="AY844" s="1196"/>
      <c r="AZ844" s="1196"/>
      <c r="BA844" s="1196"/>
      <c r="BB844" s="1196"/>
      <c r="BC844" s="1196"/>
      <c r="BD844" s="1196"/>
      <c r="BE844" s="1196"/>
      <c r="BF844" s="1196"/>
      <c r="BG844" s="1196"/>
      <c r="BH844" s="1196"/>
      <c r="BI844" s="1196"/>
      <c r="BJ844" s="1196"/>
      <c r="BK844" s="1196"/>
      <c r="BL844" s="1196"/>
      <c r="BM844" s="1196"/>
      <c r="BN844" s="1196"/>
      <c r="BO844" s="1196"/>
      <c r="BP844" s="1196"/>
      <c r="BQ844" s="1196"/>
      <c r="BR844" s="1196"/>
      <c r="BS844" s="1196"/>
      <c r="BT844" s="1196"/>
      <c r="BU844" s="1196"/>
      <c r="BV844" s="1196"/>
      <c r="BW844" s="1196"/>
      <c r="BX844" s="1196"/>
      <c r="BY844" s="1196"/>
      <c r="BZ844" s="1196"/>
      <c r="CA844" s="1196"/>
      <c r="CB844" s="1196"/>
      <c r="CC844" s="1196"/>
      <c r="CD844" s="1196"/>
      <c r="CE844" s="1196"/>
      <c r="CF844" s="1196"/>
      <c r="CG844" s="1196"/>
      <c r="CH844" s="1196"/>
      <c r="CI844" s="1196"/>
      <c r="CJ844" s="1196"/>
      <c r="CK844" s="1196"/>
      <c r="CL844" s="1196"/>
    </row>
    <row r="845" spans="1:90" s="1183" customFormat="1" ht="29.25" customHeight="1" x14ac:dyDescent="0.25">
      <c r="A845" s="1183" t="s">
        <v>4704</v>
      </c>
      <c r="B845" s="1184">
        <v>45099</v>
      </c>
      <c r="C845" s="1185">
        <v>0.95833333333333337</v>
      </c>
      <c r="D845" s="1186">
        <v>52</v>
      </c>
      <c r="E845" s="1187">
        <v>11.5</v>
      </c>
      <c r="F845" s="1188">
        <v>15.5</v>
      </c>
      <c r="G845" s="1189" t="s">
        <v>142</v>
      </c>
      <c r="H845" s="1189" t="s">
        <v>142</v>
      </c>
      <c r="I845" s="1189" t="s">
        <v>142</v>
      </c>
      <c r="J845" s="1190" t="s">
        <v>142</v>
      </c>
      <c r="K845" s="1190" t="s">
        <v>142</v>
      </c>
      <c r="L845" s="1187">
        <v>35.14</v>
      </c>
      <c r="M845" s="1187">
        <v>39</v>
      </c>
      <c r="N845" s="1187">
        <v>53.13</v>
      </c>
      <c r="O845" s="1191" t="s">
        <v>142</v>
      </c>
      <c r="P845" s="1191" t="s">
        <v>142</v>
      </c>
      <c r="Q845" s="1192" t="s">
        <v>142</v>
      </c>
      <c r="R845" s="1191" t="s">
        <v>865</v>
      </c>
      <c r="S845" s="1193">
        <v>66.2</v>
      </c>
      <c r="T845" s="1194" t="s">
        <v>23</v>
      </c>
      <c r="U845" s="813" t="s">
        <v>236</v>
      </c>
      <c r="V845" s="1195"/>
      <c r="W845" s="1196"/>
      <c r="X845" s="1196"/>
      <c r="Y845" s="1196"/>
      <c r="Z845" s="1196"/>
      <c r="AA845" s="1196"/>
      <c r="AB845" s="1196"/>
      <c r="AC845" s="1196"/>
      <c r="AD845" s="1196"/>
      <c r="AE845" s="1196"/>
      <c r="AF845" s="1196"/>
      <c r="AG845" s="1196"/>
      <c r="AH845" s="1196"/>
      <c r="AI845" s="1196"/>
      <c r="AJ845" s="1196"/>
      <c r="AK845" s="1196"/>
      <c r="AL845" s="1196"/>
      <c r="AM845" s="1196"/>
      <c r="AN845" s="1196"/>
      <c r="AO845" s="1196"/>
      <c r="AP845" s="1196"/>
      <c r="AQ845" s="1196"/>
      <c r="AR845" s="1196"/>
      <c r="AS845" s="1196"/>
      <c r="AT845" s="1196"/>
      <c r="AU845" s="1196"/>
      <c r="AV845" s="1196"/>
      <c r="AW845" s="1196"/>
      <c r="AX845" s="1196"/>
      <c r="AY845" s="1196"/>
      <c r="AZ845" s="1196"/>
      <c r="BA845" s="1196"/>
      <c r="BB845" s="1196"/>
      <c r="BC845" s="1196"/>
      <c r="BD845" s="1196"/>
      <c r="BE845" s="1196"/>
      <c r="BF845" s="1196"/>
      <c r="BG845" s="1196"/>
      <c r="BH845" s="1196"/>
      <c r="BI845" s="1196"/>
      <c r="BJ845" s="1196"/>
      <c r="BK845" s="1196"/>
      <c r="BL845" s="1196"/>
      <c r="BM845" s="1196"/>
      <c r="BN845" s="1196"/>
      <c r="BO845" s="1196"/>
      <c r="BP845" s="1196"/>
      <c r="BQ845" s="1196"/>
      <c r="BR845" s="1196"/>
      <c r="BS845" s="1196"/>
      <c r="BT845" s="1196"/>
      <c r="BU845" s="1196"/>
      <c r="BV845" s="1196"/>
      <c r="BW845" s="1196"/>
      <c r="BX845" s="1196"/>
      <c r="BY845" s="1196"/>
      <c r="BZ845" s="1196"/>
      <c r="CA845" s="1196"/>
      <c r="CB845" s="1196"/>
      <c r="CC845" s="1196"/>
      <c r="CD845" s="1196"/>
      <c r="CE845" s="1196"/>
      <c r="CF845" s="1196"/>
      <c r="CG845" s="1196"/>
      <c r="CH845" s="1196"/>
      <c r="CI845" s="1196"/>
      <c r="CJ845" s="1196"/>
      <c r="CK845" s="1196"/>
      <c r="CL845" s="1196"/>
    </row>
    <row r="846" spans="1:90" s="1183" customFormat="1" ht="29.25" customHeight="1" x14ac:dyDescent="0.25">
      <c r="A846" s="1183" t="s">
        <v>4704</v>
      </c>
      <c r="B846" s="1184">
        <v>45100</v>
      </c>
      <c r="C846" s="1185">
        <v>0.70833333333333337</v>
      </c>
      <c r="D846" s="1510" t="s">
        <v>5861</v>
      </c>
      <c r="E846" s="1511"/>
      <c r="F846" s="1511"/>
      <c r="G846" s="1511"/>
      <c r="H846" s="1511"/>
      <c r="I846" s="1511"/>
      <c r="J846" s="1511"/>
      <c r="K846" s="1511"/>
      <c r="L846" s="1511"/>
      <c r="M846" s="1511"/>
      <c r="N846" s="1511"/>
      <c r="O846" s="1511"/>
      <c r="P846" s="1511"/>
      <c r="Q846" s="1511"/>
      <c r="R846" s="1511"/>
      <c r="S846" s="1512"/>
      <c r="T846" s="1194" t="s">
        <v>23</v>
      </c>
      <c r="U846" s="813" t="s">
        <v>236</v>
      </c>
      <c r="V846" s="1195"/>
      <c r="W846" s="1196"/>
      <c r="X846" s="1196"/>
      <c r="Y846" s="1196"/>
      <c r="Z846" s="1196"/>
      <c r="AA846" s="1196"/>
      <c r="AB846" s="1196"/>
      <c r="AC846" s="1196"/>
      <c r="AD846" s="1196"/>
      <c r="AE846" s="1196"/>
      <c r="AF846" s="1196"/>
      <c r="AG846" s="1196"/>
      <c r="AH846" s="1196"/>
      <c r="AI846" s="1196"/>
      <c r="AJ846" s="1196"/>
      <c r="AK846" s="1196"/>
      <c r="AL846" s="1196"/>
      <c r="AM846" s="1196"/>
      <c r="AN846" s="1196"/>
      <c r="AO846" s="1196"/>
      <c r="AP846" s="1196"/>
      <c r="AQ846" s="1196"/>
      <c r="AR846" s="1196"/>
      <c r="AS846" s="1196"/>
      <c r="AT846" s="1196"/>
      <c r="AU846" s="1196"/>
      <c r="AV846" s="1196"/>
      <c r="AW846" s="1196"/>
      <c r="AX846" s="1196"/>
      <c r="AY846" s="1196"/>
      <c r="AZ846" s="1196"/>
      <c r="BA846" s="1196"/>
      <c r="BB846" s="1196"/>
      <c r="BC846" s="1196"/>
      <c r="BD846" s="1196"/>
      <c r="BE846" s="1196"/>
      <c r="BF846" s="1196"/>
      <c r="BG846" s="1196"/>
      <c r="BH846" s="1196"/>
      <c r="BI846" s="1196"/>
      <c r="BJ846" s="1196"/>
      <c r="BK846" s="1196"/>
      <c r="BL846" s="1196"/>
      <c r="BM846" s="1196"/>
      <c r="BN846" s="1196"/>
      <c r="BO846" s="1196"/>
      <c r="BP846" s="1196"/>
      <c r="BQ846" s="1196"/>
      <c r="BR846" s="1196"/>
      <c r="BS846" s="1196"/>
      <c r="BT846" s="1196"/>
      <c r="BU846" s="1196"/>
      <c r="BV846" s="1196"/>
      <c r="BW846" s="1196"/>
      <c r="BX846" s="1196"/>
      <c r="BY846" s="1196"/>
      <c r="BZ846" s="1196"/>
      <c r="CA846" s="1196"/>
      <c r="CB846" s="1196"/>
      <c r="CC846" s="1196"/>
      <c r="CD846" s="1196"/>
      <c r="CE846" s="1196"/>
      <c r="CF846" s="1196"/>
      <c r="CG846" s="1196"/>
      <c r="CH846" s="1196"/>
      <c r="CI846" s="1196"/>
      <c r="CJ846" s="1196"/>
      <c r="CK846" s="1196"/>
      <c r="CL846" s="1196"/>
    </row>
    <row r="847" spans="1:90" s="1183" customFormat="1" ht="29.25" customHeight="1" x14ac:dyDescent="0.25">
      <c r="A847" s="1183" t="s">
        <v>4704</v>
      </c>
      <c r="B847" s="1184">
        <v>45101</v>
      </c>
      <c r="C847" s="1185">
        <v>0.8125</v>
      </c>
      <c r="D847" s="1186">
        <v>52</v>
      </c>
      <c r="E847" s="1187">
        <v>11.8</v>
      </c>
      <c r="F847" s="1188">
        <v>15.9</v>
      </c>
      <c r="G847" s="1189" t="s">
        <v>142</v>
      </c>
      <c r="H847" s="1189" t="s">
        <v>142</v>
      </c>
      <c r="I847" s="1189" t="s">
        <v>142</v>
      </c>
      <c r="J847" s="1190" t="s">
        <v>142</v>
      </c>
      <c r="K847" s="1190" t="s">
        <v>142</v>
      </c>
      <c r="L847" s="1187">
        <v>31.08</v>
      </c>
      <c r="M847" s="1187">
        <v>35</v>
      </c>
      <c r="N847" s="1187">
        <v>51.69</v>
      </c>
      <c r="O847" s="1191" t="s">
        <v>142</v>
      </c>
      <c r="P847" s="1191" t="s">
        <v>142</v>
      </c>
      <c r="Q847" s="1192" t="s">
        <v>142</v>
      </c>
      <c r="R847" s="1191" t="s">
        <v>2255</v>
      </c>
      <c r="S847" s="1193">
        <v>67.900000000000006</v>
      </c>
      <c r="T847" s="1194" t="s">
        <v>23</v>
      </c>
      <c r="U847" s="813" t="s">
        <v>236</v>
      </c>
      <c r="V847" s="1195"/>
      <c r="W847" s="1196"/>
      <c r="X847" s="1196"/>
      <c r="Y847" s="1196"/>
      <c r="Z847" s="1196"/>
      <c r="AA847" s="1196"/>
      <c r="AB847" s="1196"/>
      <c r="AC847" s="1196"/>
      <c r="AD847" s="1196"/>
      <c r="AE847" s="1196"/>
      <c r="AF847" s="1196"/>
      <c r="AG847" s="1196"/>
      <c r="AH847" s="1196"/>
      <c r="AI847" s="1196"/>
      <c r="AJ847" s="1196"/>
      <c r="AK847" s="1196"/>
      <c r="AL847" s="1196"/>
      <c r="AM847" s="1196"/>
      <c r="AN847" s="1196"/>
      <c r="AO847" s="1196"/>
      <c r="AP847" s="1196"/>
      <c r="AQ847" s="1196"/>
      <c r="AR847" s="1196"/>
      <c r="AS847" s="1196"/>
      <c r="AT847" s="1196"/>
      <c r="AU847" s="1196"/>
      <c r="AV847" s="1196"/>
      <c r="AW847" s="1196"/>
      <c r="AX847" s="1196"/>
      <c r="AY847" s="1196"/>
      <c r="AZ847" s="1196"/>
      <c r="BA847" s="1196"/>
      <c r="BB847" s="1196"/>
      <c r="BC847" s="1196"/>
      <c r="BD847" s="1196"/>
      <c r="BE847" s="1196"/>
      <c r="BF847" s="1196"/>
      <c r="BG847" s="1196"/>
      <c r="BH847" s="1196"/>
      <c r="BI847" s="1196"/>
      <c r="BJ847" s="1196"/>
      <c r="BK847" s="1196"/>
      <c r="BL847" s="1196"/>
      <c r="BM847" s="1196"/>
      <c r="BN847" s="1196"/>
      <c r="BO847" s="1196"/>
      <c r="BP847" s="1196"/>
      <c r="BQ847" s="1196"/>
      <c r="BR847" s="1196"/>
      <c r="BS847" s="1196"/>
      <c r="BT847" s="1196"/>
      <c r="BU847" s="1196"/>
      <c r="BV847" s="1196"/>
      <c r="BW847" s="1196"/>
      <c r="BX847" s="1196"/>
      <c r="BY847" s="1196"/>
      <c r="BZ847" s="1196"/>
      <c r="CA847" s="1196"/>
      <c r="CB847" s="1196"/>
      <c r="CC847" s="1196"/>
      <c r="CD847" s="1196"/>
      <c r="CE847" s="1196"/>
      <c r="CF847" s="1196"/>
      <c r="CG847" s="1196"/>
      <c r="CH847" s="1196"/>
      <c r="CI847" s="1196"/>
      <c r="CJ847" s="1196"/>
      <c r="CK847" s="1196"/>
      <c r="CL847" s="1196"/>
    </row>
    <row r="848" spans="1:90" s="1183" customFormat="1" ht="29.25" customHeight="1" x14ac:dyDescent="0.25">
      <c r="A848" s="1183" t="s">
        <v>4704</v>
      </c>
      <c r="B848" s="1184">
        <v>45102</v>
      </c>
      <c r="C848" s="1185">
        <v>0.79166666666666663</v>
      </c>
      <c r="D848" s="1510" t="s">
        <v>5870</v>
      </c>
      <c r="E848" s="1511"/>
      <c r="F848" s="1511"/>
      <c r="G848" s="1511"/>
      <c r="H848" s="1511"/>
      <c r="I848" s="1511"/>
      <c r="J848" s="1511"/>
      <c r="K848" s="1511"/>
      <c r="L848" s="1511"/>
      <c r="M848" s="1511"/>
      <c r="N848" s="1511"/>
      <c r="O848" s="1511"/>
      <c r="P848" s="1511"/>
      <c r="Q848" s="1511"/>
      <c r="R848" s="1511"/>
      <c r="S848" s="1512"/>
      <c r="T848" s="1194" t="s">
        <v>23</v>
      </c>
      <c r="U848" s="813" t="s">
        <v>236</v>
      </c>
      <c r="V848" s="1195"/>
      <c r="W848" s="1196"/>
      <c r="X848" s="1196"/>
      <c r="Y848" s="1196"/>
      <c r="Z848" s="1196"/>
      <c r="AA848" s="1196"/>
      <c r="AB848" s="1196"/>
      <c r="AC848" s="1196"/>
      <c r="AD848" s="1196"/>
      <c r="AE848" s="1196"/>
      <c r="AF848" s="1196"/>
      <c r="AG848" s="1196"/>
      <c r="AH848" s="1196"/>
      <c r="AI848" s="1196"/>
      <c r="AJ848" s="1196"/>
      <c r="AK848" s="1196"/>
      <c r="AL848" s="1196"/>
      <c r="AM848" s="1196"/>
      <c r="AN848" s="1196"/>
      <c r="AO848" s="1196"/>
      <c r="AP848" s="1196"/>
      <c r="AQ848" s="1196"/>
      <c r="AR848" s="1196"/>
      <c r="AS848" s="1196"/>
      <c r="AT848" s="1196"/>
      <c r="AU848" s="1196"/>
      <c r="AV848" s="1196"/>
      <c r="AW848" s="1196"/>
      <c r="AX848" s="1196"/>
      <c r="AY848" s="1196"/>
      <c r="AZ848" s="1196"/>
      <c r="BA848" s="1196"/>
      <c r="BB848" s="1196"/>
      <c r="BC848" s="1196"/>
      <c r="BD848" s="1196"/>
      <c r="BE848" s="1196"/>
      <c r="BF848" s="1196"/>
      <c r="BG848" s="1196"/>
      <c r="BH848" s="1196"/>
      <c r="BI848" s="1196"/>
      <c r="BJ848" s="1196"/>
      <c r="BK848" s="1196"/>
      <c r="BL848" s="1196"/>
      <c r="BM848" s="1196"/>
      <c r="BN848" s="1196"/>
      <c r="BO848" s="1196"/>
      <c r="BP848" s="1196"/>
      <c r="BQ848" s="1196"/>
      <c r="BR848" s="1196"/>
      <c r="BS848" s="1196"/>
      <c r="BT848" s="1196"/>
      <c r="BU848" s="1196"/>
      <c r="BV848" s="1196"/>
      <c r="BW848" s="1196"/>
      <c r="BX848" s="1196"/>
      <c r="BY848" s="1196"/>
      <c r="BZ848" s="1196"/>
      <c r="CA848" s="1196"/>
      <c r="CB848" s="1196"/>
      <c r="CC848" s="1196"/>
      <c r="CD848" s="1196"/>
      <c r="CE848" s="1196"/>
      <c r="CF848" s="1196"/>
      <c r="CG848" s="1196"/>
      <c r="CH848" s="1196"/>
      <c r="CI848" s="1196"/>
      <c r="CJ848" s="1196"/>
      <c r="CK848" s="1196"/>
      <c r="CL848" s="1196"/>
    </row>
    <row r="849" spans="1:90" s="1183" customFormat="1" ht="29.25" customHeight="1" x14ac:dyDescent="0.25">
      <c r="A849" s="1183" t="s">
        <v>4704</v>
      </c>
      <c r="B849" s="1184">
        <v>45103</v>
      </c>
      <c r="C849" s="1185">
        <v>0.79166666666666663</v>
      </c>
      <c r="D849" s="1186">
        <v>54</v>
      </c>
      <c r="E849" s="1187">
        <v>11.9</v>
      </c>
      <c r="F849" s="1188">
        <v>15.9</v>
      </c>
      <c r="G849" s="1189" t="s">
        <v>142</v>
      </c>
      <c r="H849" s="1189" t="s">
        <v>142</v>
      </c>
      <c r="I849" s="1189" t="s">
        <v>142</v>
      </c>
      <c r="J849" s="1190" t="s">
        <v>142</v>
      </c>
      <c r="K849" s="1190" t="s">
        <v>142</v>
      </c>
      <c r="L849" s="1187">
        <v>30.27</v>
      </c>
      <c r="M849" s="1187">
        <v>35</v>
      </c>
      <c r="N849" s="1187">
        <v>55.55</v>
      </c>
      <c r="O849" s="1191" t="s">
        <v>142</v>
      </c>
      <c r="P849" s="1191" t="s">
        <v>142</v>
      </c>
      <c r="Q849" s="1192" t="s">
        <v>142</v>
      </c>
      <c r="R849" s="1191" t="s">
        <v>5875</v>
      </c>
      <c r="S849" s="1193">
        <v>67.900000000000006</v>
      </c>
      <c r="T849" s="1194" t="s">
        <v>23</v>
      </c>
      <c r="U849" s="813" t="s">
        <v>236</v>
      </c>
      <c r="V849" s="1195"/>
      <c r="W849" s="1196"/>
      <c r="X849" s="1196"/>
      <c r="Y849" s="1196"/>
      <c r="Z849" s="1196"/>
      <c r="AA849" s="1196"/>
      <c r="AB849" s="1196"/>
      <c r="AC849" s="1196"/>
      <c r="AD849" s="1196"/>
      <c r="AE849" s="1196"/>
      <c r="AF849" s="1196"/>
      <c r="AG849" s="1196"/>
      <c r="AH849" s="1196"/>
      <c r="AI849" s="1196"/>
      <c r="AJ849" s="1196"/>
      <c r="AK849" s="1196"/>
      <c r="AL849" s="1196"/>
      <c r="AM849" s="1196"/>
      <c r="AN849" s="1196"/>
      <c r="AO849" s="1196"/>
      <c r="AP849" s="1196"/>
      <c r="AQ849" s="1196"/>
      <c r="AR849" s="1196"/>
      <c r="AS849" s="1196"/>
      <c r="AT849" s="1196"/>
      <c r="AU849" s="1196"/>
      <c r="AV849" s="1196"/>
      <c r="AW849" s="1196"/>
      <c r="AX849" s="1196"/>
      <c r="AY849" s="1196"/>
      <c r="AZ849" s="1196"/>
      <c r="BA849" s="1196"/>
      <c r="BB849" s="1196"/>
      <c r="BC849" s="1196"/>
      <c r="BD849" s="1196"/>
      <c r="BE849" s="1196"/>
      <c r="BF849" s="1196"/>
      <c r="BG849" s="1196"/>
      <c r="BH849" s="1196"/>
      <c r="BI849" s="1196"/>
      <c r="BJ849" s="1196"/>
      <c r="BK849" s="1196"/>
      <c r="BL849" s="1196"/>
      <c r="BM849" s="1196"/>
      <c r="BN849" s="1196"/>
      <c r="BO849" s="1196"/>
      <c r="BP849" s="1196"/>
      <c r="BQ849" s="1196"/>
      <c r="BR849" s="1196"/>
      <c r="BS849" s="1196"/>
      <c r="BT849" s="1196"/>
      <c r="BU849" s="1196"/>
      <c r="BV849" s="1196"/>
      <c r="BW849" s="1196"/>
      <c r="BX849" s="1196"/>
      <c r="BY849" s="1196"/>
      <c r="BZ849" s="1196"/>
      <c r="CA849" s="1196"/>
      <c r="CB849" s="1196"/>
      <c r="CC849" s="1196"/>
      <c r="CD849" s="1196"/>
      <c r="CE849" s="1196"/>
      <c r="CF849" s="1196"/>
      <c r="CG849" s="1196"/>
      <c r="CH849" s="1196"/>
      <c r="CI849" s="1196"/>
      <c r="CJ849" s="1196"/>
      <c r="CK849" s="1196"/>
      <c r="CL849" s="1196"/>
    </row>
    <row r="850" spans="1:90" s="1183" customFormat="1" ht="29.25" customHeight="1" x14ac:dyDescent="0.25">
      <c r="A850" s="1183" t="s">
        <v>4704</v>
      </c>
      <c r="B850" s="1184">
        <v>45104</v>
      </c>
      <c r="C850" s="1185">
        <v>0.75</v>
      </c>
      <c r="D850" s="1510" t="s">
        <v>5877</v>
      </c>
      <c r="E850" s="1511"/>
      <c r="F850" s="1511"/>
      <c r="G850" s="1511"/>
      <c r="H850" s="1511"/>
      <c r="I850" s="1511"/>
      <c r="J850" s="1511"/>
      <c r="K850" s="1511"/>
      <c r="L850" s="1511"/>
      <c r="M850" s="1511"/>
      <c r="N850" s="1511"/>
      <c r="O850" s="1511"/>
      <c r="P850" s="1511"/>
      <c r="Q850" s="1511"/>
      <c r="R850" s="1511"/>
      <c r="S850" s="1512"/>
      <c r="T850" s="1194" t="s">
        <v>23</v>
      </c>
      <c r="U850" s="813" t="s">
        <v>236</v>
      </c>
      <c r="V850" s="1195"/>
      <c r="W850" s="1196"/>
      <c r="X850" s="1196"/>
      <c r="Y850" s="1196"/>
      <c r="Z850" s="1196"/>
      <c r="AA850" s="1196"/>
      <c r="AB850" s="1196"/>
      <c r="AC850" s="1196"/>
      <c r="AD850" s="1196"/>
      <c r="AE850" s="1196"/>
      <c r="AF850" s="1196"/>
      <c r="AG850" s="1196"/>
      <c r="AH850" s="1196"/>
      <c r="AI850" s="1196"/>
      <c r="AJ850" s="1196"/>
      <c r="AK850" s="1196"/>
      <c r="AL850" s="1196"/>
      <c r="AM850" s="1196"/>
      <c r="AN850" s="1196"/>
      <c r="AO850" s="1196"/>
      <c r="AP850" s="1196"/>
      <c r="AQ850" s="1196"/>
      <c r="AR850" s="1196"/>
      <c r="AS850" s="1196"/>
      <c r="AT850" s="1196"/>
      <c r="AU850" s="1196"/>
      <c r="AV850" s="1196"/>
      <c r="AW850" s="1196"/>
      <c r="AX850" s="1196"/>
      <c r="AY850" s="1196"/>
      <c r="AZ850" s="1196"/>
      <c r="BA850" s="1196"/>
      <c r="BB850" s="1196"/>
      <c r="BC850" s="1196"/>
      <c r="BD850" s="1196"/>
      <c r="BE850" s="1196"/>
      <c r="BF850" s="1196"/>
      <c r="BG850" s="1196"/>
      <c r="BH850" s="1196"/>
      <c r="BI850" s="1196"/>
      <c r="BJ850" s="1196"/>
      <c r="BK850" s="1196"/>
      <c r="BL850" s="1196"/>
      <c r="BM850" s="1196"/>
      <c r="BN850" s="1196"/>
      <c r="BO850" s="1196"/>
      <c r="BP850" s="1196"/>
      <c r="BQ850" s="1196"/>
      <c r="BR850" s="1196"/>
      <c r="BS850" s="1196"/>
      <c r="BT850" s="1196"/>
      <c r="BU850" s="1196"/>
      <c r="BV850" s="1196"/>
      <c r="BW850" s="1196"/>
      <c r="BX850" s="1196"/>
      <c r="BY850" s="1196"/>
      <c r="BZ850" s="1196"/>
      <c r="CA850" s="1196"/>
      <c r="CB850" s="1196"/>
      <c r="CC850" s="1196"/>
      <c r="CD850" s="1196"/>
      <c r="CE850" s="1196"/>
      <c r="CF850" s="1196"/>
      <c r="CG850" s="1196"/>
      <c r="CH850" s="1196"/>
      <c r="CI850" s="1196"/>
      <c r="CJ850" s="1196"/>
      <c r="CK850" s="1196"/>
      <c r="CL850" s="1196"/>
    </row>
    <row r="851" spans="1:90" s="1183" customFormat="1" ht="29.25" customHeight="1" x14ac:dyDescent="0.25">
      <c r="A851" s="1183" t="s">
        <v>4704</v>
      </c>
      <c r="B851" s="1184">
        <v>45105</v>
      </c>
      <c r="C851" s="1185">
        <v>0.79166666666666663</v>
      </c>
      <c r="D851" s="1186">
        <v>54</v>
      </c>
      <c r="E851" s="1187">
        <v>12</v>
      </c>
      <c r="F851" s="1188">
        <v>15.9</v>
      </c>
      <c r="G851" s="1189" t="s">
        <v>142</v>
      </c>
      <c r="H851" s="1189" t="s">
        <v>142</v>
      </c>
      <c r="I851" s="1189" t="s">
        <v>142</v>
      </c>
      <c r="J851" s="1190" t="s">
        <v>142</v>
      </c>
      <c r="K851" s="1190" t="s">
        <v>142</v>
      </c>
      <c r="L851" s="1187">
        <v>32.04</v>
      </c>
      <c r="M851" s="1187">
        <v>36</v>
      </c>
      <c r="N851" s="1187">
        <v>56</v>
      </c>
      <c r="O851" s="1191" t="s">
        <v>142</v>
      </c>
      <c r="P851" s="1191" t="s">
        <v>142</v>
      </c>
      <c r="Q851" s="1192" t="s">
        <v>142</v>
      </c>
      <c r="R851" s="1191" t="s">
        <v>5542</v>
      </c>
      <c r="S851" s="1193">
        <v>67.900000000000006</v>
      </c>
      <c r="T851" s="1194" t="s">
        <v>23</v>
      </c>
      <c r="U851" s="813" t="s">
        <v>236</v>
      </c>
      <c r="V851" s="1195"/>
      <c r="W851" s="1196"/>
      <c r="X851" s="1196"/>
      <c r="Y851" s="1196"/>
      <c r="Z851" s="1196"/>
      <c r="AA851" s="1196"/>
      <c r="AB851" s="1196"/>
      <c r="AC851" s="1196"/>
      <c r="AD851" s="1196"/>
      <c r="AE851" s="1196"/>
      <c r="AF851" s="1196"/>
      <c r="AG851" s="1196"/>
      <c r="AH851" s="1196"/>
      <c r="AI851" s="1196"/>
      <c r="AJ851" s="1196"/>
      <c r="AK851" s="1196"/>
      <c r="AL851" s="1196"/>
      <c r="AM851" s="1196"/>
      <c r="AN851" s="1196"/>
      <c r="AO851" s="1196"/>
      <c r="AP851" s="1196"/>
      <c r="AQ851" s="1196"/>
      <c r="AR851" s="1196"/>
      <c r="AS851" s="1196"/>
      <c r="AT851" s="1196"/>
      <c r="AU851" s="1196"/>
      <c r="AV851" s="1196"/>
      <c r="AW851" s="1196"/>
      <c r="AX851" s="1196"/>
      <c r="AY851" s="1196"/>
      <c r="AZ851" s="1196"/>
      <c r="BA851" s="1196"/>
      <c r="BB851" s="1196"/>
      <c r="BC851" s="1196"/>
      <c r="BD851" s="1196"/>
      <c r="BE851" s="1196"/>
      <c r="BF851" s="1196"/>
      <c r="BG851" s="1196"/>
      <c r="BH851" s="1196"/>
      <c r="BI851" s="1196"/>
      <c r="BJ851" s="1196"/>
      <c r="BK851" s="1196"/>
      <c r="BL851" s="1196"/>
      <c r="BM851" s="1196"/>
      <c r="BN851" s="1196"/>
      <c r="BO851" s="1196"/>
      <c r="BP851" s="1196"/>
      <c r="BQ851" s="1196"/>
      <c r="BR851" s="1196"/>
      <c r="BS851" s="1196"/>
      <c r="BT851" s="1196"/>
      <c r="BU851" s="1196"/>
      <c r="BV851" s="1196"/>
      <c r="BW851" s="1196"/>
      <c r="BX851" s="1196"/>
      <c r="BY851" s="1196"/>
      <c r="BZ851" s="1196"/>
      <c r="CA851" s="1196"/>
      <c r="CB851" s="1196"/>
      <c r="CC851" s="1196"/>
      <c r="CD851" s="1196"/>
      <c r="CE851" s="1196"/>
      <c r="CF851" s="1196"/>
      <c r="CG851" s="1196"/>
      <c r="CH851" s="1196"/>
      <c r="CI851" s="1196"/>
      <c r="CJ851" s="1196"/>
      <c r="CK851" s="1196"/>
      <c r="CL851" s="1196"/>
    </row>
    <row r="852" spans="1:90" s="1183" customFormat="1" ht="29.25" customHeight="1" x14ac:dyDescent="0.25">
      <c r="A852" s="1183" t="s">
        <v>4704</v>
      </c>
      <c r="B852" s="1184">
        <v>45106</v>
      </c>
      <c r="C852" s="1185">
        <v>0.875</v>
      </c>
      <c r="D852" s="1510" t="s">
        <v>5883</v>
      </c>
      <c r="E852" s="1511"/>
      <c r="F852" s="1511"/>
      <c r="G852" s="1511"/>
      <c r="H852" s="1511"/>
      <c r="I852" s="1511"/>
      <c r="J852" s="1511"/>
      <c r="K852" s="1511"/>
      <c r="L852" s="1511"/>
      <c r="M852" s="1511"/>
      <c r="N852" s="1511"/>
      <c r="O852" s="1511"/>
      <c r="P852" s="1511"/>
      <c r="Q852" s="1511"/>
      <c r="R852" s="1511"/>
      <c r="S852" s="1512"/>
      <c r="T852" s="1194" t="s">
        <v>23</v>
      </c>
      <c r="U852" s="813" t="s">
        <v>4320</v>
      </c>
      <c r="V852" s="1195"/>
      <c r="W852" s="1196"/>
      <c r="X852" s="1196"/>
      <c r="Y852" s="1196"/>
      <c r="Z852" s="1196"/>
      <c r="AA852" s="1196"/>
      <c r="AB852" s="1196"/>
      <c r="AC852" s="1196"/>
      <c r="AD852" s="1196"/>
      <c r="AE852" s="1196"/>
      <c r="AF852" s="1196"/>
      <c r="AG852" s="1196"/>
      <c r="AH852" s="1196"/>
      <c r="AI852" s="1196"/>
      <c r="AJ852" s="1196"/>
      <c r="AK852" s="1196"/>
      <c r="AL852" s="1196"/>
      <c r="AM852" s="1196"/>
      <c r="AN852" s="1196"/>
      <c r="AO852" s="1196"/>
      <c r="AP852" s="1196"/>
      <c r="AQ852" s="1196"/>
      <c r="AR852" s="1196"/>
      <c r="AS852" s="1196"/>
      <c r="AT852" s="1196"/>
      <c r="AU852" s="1196"/>
      <c r="AV852" s="1196"/>
      <c r="AW852" s="1196"/>
      <c r="AX852" s="1196"/>
      <c r="AY852" s="1196"/>
      <c r="AZ852" s="1196"/>
      <c r="BA852" s="1196"/>
      <c r="BB852" s="1196"/>
      <c r="BC852" s="1196"/>
      <c r="BD852" s="1196"/>
      <c r="BE852" s="1196"/>
      <c r="BF852" s="1196"/>
      <c r="BG852" s="1196"/>
      <c r="BH852" s="1196"/>
      <c r="BI852" s="1196"/>
      <c r="BJ852" s="1196"/>
      <c r="BK852" s="1196"/>
      <c r="BL852" s="1196"/>
      <c r="BM852" s="1196"/>
      <c r="BN852" s="1196"/>
      <c r="BO852" s="1196"/>
      <c r="BP852" s="1196"/>
      <c r="BQ852" s="1196"/>
      <c r="BR852" s="1196"/>
      <c r="BS852" s="1196"/>
      <c r="BT852" s="1196"/>
      <c r="BU852" s="1196"/>
      <c r="BV852" s="1196"/>
      <c r="BW852" s="1196"/>
      <c r="BX852" s="1196"/>
      <c r="BY852" s="1196"/>
      <c r="BZ852" s="1196"/>
      <c r="CA852" s="1196"/>
      <c r="CB852" s="1196"/>
      <c r="CC852" s="1196"/>
      <c r="CD852" s="1196"/>
      <c r="CE852" s="1196"/>
      <c r="CF852" s="1196"/>
      <c r="CG852" s="1196"/>
      <c r="CH852" s="1196"/>
      <c r="CI852" s="1196"/>
      <c r="CJ852" s="1196"/>
      <c r="CK852" s="1196"/>
      <c r="CL852" s="1196"/>
    </row>
    <row r="853" spans="1:90" s="1183" customFormat="1" ht="29.25" customHeight="1" x14ac:dyDescent="0.25">
      <c r="A853" s="1183" t="s">
        <v>4704</v>
      </c>
      <c r="B853" s="1184">
        <v>45107</v>
      </c>
      <c r="C853" s="1185">
        <v>0.79166666666666663</v>
      </c>
      <c r="D853" s="1186">
        <v>54</v>
      </c>
      <c r="E853" s="1187">
        <v>11.8</v>
      </c>
      <c r="F853" s="1188">
        <v>15.8</v>
      </c>
      <c r="G853" s="1189" t="s">
        <v>142</v>
      </c>
      <c r="H853" s="1189" t="s">
        <v>142</v>
      </c>
      <c r="I853" s="1189" t="s">
        <v>142</v>
      </c>
      <c r="J853" s="1190" t="s">
        <v>142</v>
      </c>
      <c r="K853" s="1190" t="s">
        <v>142</v>
      </c>
      <c r="L853" s="1187">
        <v>35.6</v>
      </c>
      <c r="M853" s="1187">
        <v>36</v>
      </c>
      <c r="N853" s="1187">
        <v>54.28</v>
      </c>
      <c r="O853" s="1191" t="s">
        <v>142</v>
      </c>
      <c r="P853" s="1191" t="s">
        <v>142</v>
      </c>
      <c r="Q853" s="1192" t="s">
        <v>142</v>
      </c>
      <c r="R853" s="1191" t="s">
        <v>2255</v>
      </c>
      <c r="S853" s="1193">
        <v>67.5</v>
      </c>
      <c r="T853" s="1194" t="s">
        <v>23</v>
      </c>
      <c r="U853" s="813" t="s">
        <v>4320</v>
      </c>
      <c r="V853" s="1195"/>
      <c r="W853" s="1196"/>
      <c r="X853" s="1196"/>
      <c r="Y853" s="1196"/>
      <c r="Z853" s="1196"/>
      <c r="AA853" s="1196"/>
      <c r="AB853" s="1196"/>
      <c r="AC853" s="1196"/>
      <c r="AD853" s="1196"/>
      <c r="AE853" s="1196"/>
      <c r="AF853" s="1196"/>
      <c r="AG853" s="1196"/>
      <c r="AH853" s="1196"/>
      <c r="AI853" s="1196"/>
      <c r="AJ853" s="1196"/>
      <c r="AK853" s="1196"/>
      <c r="AL853" s="1196"/>
      <c r="AM853" s="1196"/>
      <c r="AN853" s="1196"/>
      <c r="AO853" s="1196"/>
      <c r="AP853" s="1196"/>
      <c r="AQ853" s="1196"/>
      <c r="AR853" s="1196"/>
      <c r="AS853" s="1196"/>
      <c r="AT853" s="1196"/>
      <c r="AU853" s="1196"/>
      <c r="AV853" s="1196"/>
      <c r="AW853" s="1196"/>
      <c r="AX853" s="1196"/>
      <c r="AY853" s="1196"/>
      <c r="AZ853" s="1196"/>
      <c r="BA853" s="1196"/>
      <c r="BB853" s="1196"/>
      <c r="BC853" s="1196"/>
      <c r="BD853" s="1196"/>
      <c r="BE853" s="1196"/>
      <c r="BF853" s="1196"/>
      <c r="BG853" s="1196"/>
      <c r="BH853" s="1196"/>
      <c r="BI853" s="1196"/>
      <c r="BJ853" s="1196"/>
      <c r="BK853" s="1196"/>
      <c r="BL853" s="1196"/>
      <c r="BM853" s="1196"/>
      <c r="BN853" s="1196"/>
      <c r="BO853" s="1196"/>
      <c r="BP853" s="1196"/>
      <c r="BQ853" s="1196"/>
      <c r="BR853" s="1196"/>
      <c r="BS853" s="1196"/>
      <c r="BT853" s="1196"/>
      <c r="BU853" s="1196"/>
      <c r="BV853" s="1196"/>
      <c r="BW853" s="1196"/>
      <c r="BX853" s="1196"/>
      <c r="BY853" s="1196"/>
      <c r="BZ853" s="1196"/>
      <c r="CA853" s="1196"/>
      <c r="CB853" s="1196"/>
      <c r="CC853" s="1196"/>
      <c r="CD853" s="1196"/>
      <c r="CE853" s="1196"/>
      <c r="CF853" s="1196"/>
      <c r="CG853" s="1196"/>
      <c r="CH853" s="1196"/>
      <c r="CI853" s="1196"/>
      <c r="CJ853" s="1196"/>
      <c r="CK853" s="1196"/>
      <c r="CL853" s="1196"/>
    </row>
    <row r="854" spans="1:90" s="1183" customFormat="1" ht="29.25" customHeight="1" x14ac:dyDescent="0.25">
      <c r="A854" s="1183" t="s">
        <v>4704</v>
      </c>
      <c r="B854" s="1184">
        <v>45108</v>
      </c>
      <c r="C854" s="1185">
        <v>0.875</v>
      </c>
      <c r="D854" s="1510" t="s">
        <v>5907</v>
      </c>
      <c r="E854" s="1511"/>
      <c r="F854" s="1511"/>
      <c r="G854" s="1511"/>
      <c r="H854" s="1511"/>
      <c r="I854" s="1511"/>
      <c r="J854" s="1511"/>
      <c r="K854" s="1511"/>
      <c r="L854" s="1511"/>
      <c r="M854" s="1511"/>
      <c r="N854" s="1511"/>
      <c r="O854" s="1511"/>
      <c r="P854" s="1511"/>
      <c r="Q854" s="1511"/>
      <c r="R854" s="1511"/>
      <c r="S854" s="1512"/>
      <c r="T854" s="1194" t="s">
        <v>23</v>
      </c>
      <c r="U854" s="813" t="s">
        <v>4320</v>
      </c>
      <c r="V854" s="1195"/>
      <c r="W854" s="1196"/>
      <c r="X854" s="1196"/>
      <c r="Y854" s="1196"/>
      <c r="Z854" s="1196"/>
      <c r="AA854" s="1196"/>
      <c r="AB854" s="1196"/>
      <c r="AC854" s="1196"/>
      <c r="AD854" s="1196"/>
      <c r="AE854" s="1196"/>
      <c r="AF854" s="1196"/>
      <c r="AG854" s="1196"/>
      <c r="AH854" s="1196"/>
      <c r="AI854" s="1196"/>
      <c r="AJ854" s="1196"/>
      <c r="AK854" s="1196"/>
      <c r="AL854" s="1196"/>
      <c r="AM854" s="1196"/>
      <c r="AN854" s="1196"/>
      <c r="AO854" s="1196"/>
      <c r="AP854" s="1196"/>
      <c r="AQ854" s="1196"/>
      <c r="AR854" s="1196"/>
      <c r="AS854" s="1196"/>
      <c r="AT854" s="1196"/>
      <c r="AU854" s="1196"/>
      <c r="AV854" s="1196"/>
      <c r="AW854" s="1196"/>
      <c r="AX854" s="1196"/>
      <c r="AY854" s="1196"/>
      <c r="AZ854" s="1196"/>
      <c r="BA854" s="1196"/>
      <c r="BB854" s="1196"/>
      <c r="BC854" s="1196"/>
      <c r="BD854" s="1196"/>
      <c r="BE854" s="1196"/>
      <c r="BF854" s="1196"/>
      <c r="BG854" s="1196"/>
      <c r="BH854" s="1196"/>
      <c r="BI854" s="1196"/>
      <c r="BJ854" s="1196"/>
      <c r="BK854" s="1196"/>
      <c r="BL854" s="1196"/>
      <c r="BM854" s="1196"/>
      <c r="BN854" s="1196"/>
      <c r="BO854" s="1196"/>
      <c r="BP854" s="1196"/>
      <c r="BQ854" s="1196"/>
      <c r="BR854" s="1196"/>
      <c r="BS854" s="1196"/>
      <c r="BT854" s="1196"/>
      <c r="BU854" s="1196"/>
      <c r="BV854" s="1196"/>
      <c r="BW854" s="1196"/>
      <c r="BX854" s="1196"/>
      <c r="BY854" s="1196"/>
      <c r="BZ854" s="1196"/>
      <c r="CA854" s="1196"/>
      <c r="CB854" s="1196"/>
      <c r="CC854" s="1196"/>
      <c r="CD854" s="1196"/>
      <c r="CE854" s="1196"/>
      <c r="CF854" s="1196"/>
      <c r="CG854" s="1196"/>
      <c r="CH854" s="1196"/>
      <c r="CI854" s="1196"/>
      <c r="CJ854" s="1196"/>
      <c r="CK854" s="1196"/>
      <c r="CL854" s="1196"/>
    </row>
    <row r="855" spans="1:90" s="1183" customFormat="1" ht="29.25" customHeight="1" x14ac:dyDescent="0.25">
      <c r="A855" s="1183" t="s">
        <v>4704</v>
      </c>
      <c r="B855" s="1184">
        <v>45109</v>
      </c>
      <c r="C855" s="1185">
        <v>0.875</v>
      </c>
      <c r="D855" s="1186">
        <v>54</v>
      </c>
      <c r="E855" s="1187">
        <v>12.1</v>
      </c>
      <c r="F855" s="1188">
        <v>16.100000000000001</v>
      </c>
      <c r="G855" s="1189" t="s">
        <v>142</v>
      </c>
      <c r="H855" s="1189" t="s">
        <v>142</v>
      </c>
      <c r="I855" s="1189" t="s">
        <v>142</v>
      </c>
      <c r="J855" s="1190" t="s">
        <v>142</v>
      </c>
      <c r="K855" s="1190" t="s">
        <v>142</v>
      </c>
      <c r="L855" s="1187">
        <v>35.46</v>
      </c>
      <c r="M855" s="1187">
        <v>36</v>
      </c>
      <c r="N855" s="1187">
        <v>55.35</v>
      </c>
      <c r="O855" s="1191" t="s">
        <v>142</v>
      </c>
      <c r="P855" s="1191" t="s">
        <v>142</v>
      </c>
      <c r="Q855" s="1192" t="s">
        <v>142</v>
      </c>
      <c r="R855" s="1191" t="s">
        <v>5556</v>
      </c>
      <c r="S855" s="1193">
        <v>68.8</v>
      </c>
      <c r="T855" s="1194" t="s">
        <v>23</v>
      </c>
      <c r="U855" s="813" t="s">
        <v>4320</v>
      </c>
      <c r="V855" s="1195"/>
      <c r="W855" s="1196"/>
      <c r="X855" s="1196"/>
      <c r="Y855" s="1196"/>
      <c r="Z855" s="1196"/>
      <c r="AA855" s="1196"/>
      <c r="AB855" s="1196"/>
      <c r="AC855" s="1196"/>
      <c r="AD855" s="1196"/>
      <c r="AE855" s="1196"/>
      <c r="AF855" s="1196"/>
      <c r="AG855" s="1196"/>
      <c r="AH855" s="1196"/>
      <c r="AI855" s="1196"/>
      <c r="AJ855" s="1196"/>
      <c r="AK855" s="1196"/>
      <c r="AL855" s="1196"/>
      <c r="AM855" s="1196"/>
      <c r="AN855" s="1196"/>
      <c r="AO855" s="1196"/>
      <c r="AP855" s="1196"/>
      <c r="AQ855" s="1196"/>
      <c r="AR855" s="1196"/>
      <c r="AS855" s="1196"/>
      <c r="AT855" s="1196"/>
      <c r="AU855" s="1196"/>
      <c r="AV855" s="1196"/>
      <c r="AW855" s="1196"/>
      <c r="AX855" s="1196"/>
      <c r="AY855" s="1196"/>
      <c r="AZ855" s="1196"/>
      <c r="BA855" s="1196"/>
      <c r="BB855" s="1196"/>
      <c r="BC855" s="1196"/>
      <c r="BD855" s="1196"/>
      <c r="BE855" s="1196"/>
      <c r="BF855" s="1196"/>
      <c r="BG855" s="1196"/>
      <c r="BH855" s="1196"/>
      <c r="BI855" s="1196"/>
      <c r="BJ855" s="1196"/>
      <c r="BK855" s="1196"/>
      <c r="BL855" s="1196"/>
      <c r="BM855" s="1196"/>
      <c r="BN855" s="1196"/>
      <c r="BO855" s="1196"/>
      <c r="BP855" s="1196"/>
      <c r="BQ855" s="1196"/>
      <c r="BR855" s="1196"/>
      <c r="BS855" s="1196"/>
      <c r="BT855" s="1196"/>
      <c r="BU855" s="1196"/>
      <c r="BV855" s="1196"/>
      <c r="BW855" s="1196"/>
      <c r="BX855" s="1196"/>
      <c r="BY855" s="1196"/>
      <c r="BZ855" s="1196"/>
      <c r="CA855" s="1196"/>
      <c r="CB855" s="1196"/>
      <c r="CC855" s="1196"/>
      <c r="CD855" s="1196"/>
      <c r="CE855" s="1196"/>
      <c r="CF855" s="1196"/>
      <c r="CG855" s="1196"/>
      <c r="CH855" s="1196"/>
      <c r="CI855" s="1196"/>
      <c r="CJ855" s="1196"/>
      <c r="CK855" s="1196"/>
      <c r="CL855" s="1196"/>
    </row>
    <row r="856" spans="1:90" s="1183" customFormat="1" ht="29.25" customHeight="1" x14ac:dyDescent="0.25">
      <c r="A856" s="1183" t="s">
        <v>4704</v>
      </c>
      <c r="B856" s="1184">
        <v>45110</v>
      </c>
      <c r="C856" s="1185">
        <v>0.875</v>
      </c>
      <c r="D856" s="1510" t="s">
        <v>5917</v>
      </c>
      <c r="E856" s="1511"/>
      <c r="F856" s="1511"/>
      <c r="G856" s="1511"/>
      <c r="H856" s="1511"/>
      <c r="I856" s="1511"/>
      <c r="J856" s="1511"/>
      <c r="K856" s="1511"/>
      <c r="L856" s="1511"/>
      <c r="M856" s="1511"/>
      <c r="N856" s="1511"/>
      <c r="O856" s="1511"/>
      <c r="P856" s="1511"/>
      <c r="Q856" s="1511"/>
      <c r="R856" s="1511"/>
      <c r="S856" s="1512"/>
      <c r="T856" s="1194" t="s">
        <v>23</v>
      </c>
      <c r="U856" s="813" t="s">
        <v>4320</v>
      </c>
      <c r="V856" s="1195"/>
      <c r="W856" s="1196"/>
      <c r="X856" s="1196"/>
      <c r="Y856" s="1196"/>
      <c r="Z856" s="1196"/>
      <c r="AA856" s="1196"/>
      <c r="AB856" s="1196"/>
      <c r="AC856" s="1196"/>
      <c r="AD856" s="1196"/>
      <c r="AE856" s="1196"/>
      <c r="AF856" s="1196"/>
      <c r="AG856" s="1196"/>
      <c r="AH856" s="1196"/>
      <c r="AI856" s="1196"/>
      <c r="AJ856" s="1196"/>
      <c r="AK856" s="1196"/>
      <c r="AL856" s="1196"/>
      <c r="AM856" s="1196"/>
      <c r="AN856" s="1196"/>
      <c r="AO856" s="1196"/>
      <c r="AP856" s="1196"/>
      <c r="AQ856" s="1196"/>
      <c r="AR856" s="1196"/>
      <c r="AS856" s="1196"/>
      <c r="AT856" s="1196"/>
      <c r="AU856" s="1196"/>
      <c r="AV856" s="1196"/>
      <c r="AW856" s="1196"/>
      <c r="AX856" s="1196"/>
      <c r="AY856" s="1196"/>
      <c r="AZ856" s="1196"/>
      <c r="BA856" s="1196"/>
      <c r="BB856" s="1196"/>
      <c r="BC856" s="1196"/>
      <c r="BD856" s="1196"/>
      <c r="BE856" s="1196"/>
      <c r="BF856" s="1196"/>
      <c r="BG856" s="1196"/>
      <c r="BH856" s="1196"/>
      <c r="BI856" s="1196"/>
      <c r="BJ856" s="1196"/>
      <c r="BK856" s="1196"/>
      <c r="BL856" s="1196"/>
      <c r="BM856" s="1196"/>
      <c r="BN856" s="1196"/>
      <c r="BO856" s="1196"/>
      <c r="BP856" s="1196"/>
      <c r="BQ856" s="1196"/>
      <c r="BR856" s="1196"/>
      <c r="BS856" s="1196"/>
      <c r="BT856" s="1196"/>
      <c r="BU856" s="1196"/>
      <c r="BV856" s="1196"/>
      <c r="BW856" s="1196"/>
      <c r="BX856" s="1196"/>
      <c r="BY856" s="1196"/>
      <c r="BZ856" s="1196"/>
      <c r="CA856" s="1196"/>
      <c r="CB856" s="1196"/>
      <c r="CC856" s="1196"/>
      <c r="CD856" s="1196"/>
      <c r="CE856" s="1196"/>
      <c r="CF856" s="1196"/>
      <c r="CG856" s="1196"/>
      <c r="CH856" s="1196"/>
      <c r="CI856" s="1196"/>
      <c r="CJ856" s="1196"/>
      <c r="CK856" s="1196"/>
      <c r="CL856" s="1196"/>
    </row>
    <row r="857" spans="1:90" s="1183" customFormat="1" ht="29.25" customHeight="1" x14ac:dyDescent="0.25">
      <c r="A857" s="1183" t="s">
        <v>4704</v>
      </c>
      <c r="B857" s="1184">
        <v>45111</v>
      </c>
      <c r="C857" s="1185">
        <v>0.875</v>
      </c>
      <c r="D857" s="1186">
        <v>54</v>
      </c>
      <c r="E857" s="1187">
        <v>11.1</v>
      </c>
      <c r="F857" s="1188">
        <v>15.3</v>
      </c>
      <c r="G857" s="1189" t="s">
        <v>142</v>
      </c>
      <c r="H857" s="1189" t="s">
        <v>142</v>
      </c>
      <c r="I857" s="1189" t="s">
        <v>142</v>
      </c>
      <c r="J857" s="1190" t="s">
        <v>142</v>
      </c>
      <c r="K857" s="1190" t="s">
        <v>142</v>
      </c>
      <c r="L857" s="1187">
        <v>33.24</v>
      </c>
      <c r="M857" s="1187">
        <v>36</v>
      </c>
      <c r="N857" s="1187">
        <v>53.41</v>
      </c>
      <c r="O857" s="1191" t="s">
        <v>142</v>
      </c>
      <c r="P857" s="1191" t="s">
        <v>142</v>
      </c>
      <c r="Q857" s="1192" t="s">
        <v>142</v>
      </c>
      <c r="R857" s="1191" t="s">
        <v>5922</v>
      </c>
      <c r="S857" s="1193">
        <v>65.3</v>
      </c>
      <c r="T857" s="1194" t="s">
        <v>23</v>
      </c>
      <c r="U857" s="813" t="s">
        <v>4320</v>
      </c>
      <c r="V857" s="1195"/>
      <c r="W857" s="1196"/>
      <c r="X857" s="1196"/>
      <c r="Y857" s="1196"/>
      <c r="Z857" s="1196"/>
      <c r="AA857" s="1196"/>
      <c r="AB857" s="1196"/>
      <c r="AC857" s="1196"/>
      <c r="AD857" s="1196"/>
      <c r="AE857" s="1196"/>
      <c r="AF857" s="1196"/>
      <c r="AG857" s="1196"/>
      <c r="AH857" s="1196"/>
      <c r="AI857" s="1196"/>
      <c r="AJ857" s="1196"/>
      <c r="AK857" s="1196"/>
      <c r="AL857" s="1196"/>
      <c r="AM857" s="1196"/>
      <c r="AN857" s="1196"/>
      <c r="AO857" s="1196"/>
      <c r="AP857" s="1196"/>
      <c r="AQ857" s="1196"/>
      <c r="AR857" s="1196"/>
      <c r="AS857" s="1196"/>
      <c r="AT857" s="1196"/>
      <c r="AU857" s="1196"/>
      <c r="AV857" s="1196"/>
      <c r="AW857" s="1196"/>
      <c r="AX857" s="1196"/>
      <c r="AY857" s="1196"/>
      <c r="AZ857" s="1196"/>
      <c r="BA857" s="1196"/>
      <c r="BB857" s="1196"/>
      <c r="BC857" s="1196"/>
      <c r="BD857" s="1196"/>
      <c r="BE857" s="1196"/>
      <c r="BF857" s="1196"/>
      <c r="BG857" s="1196"/>
      <c r="BH857" s="1196"/>
      <c r="BI857" s="1196"/>
      <c r="BJ857" s="1196"/>
      <c r="BK857" s="1196"/>
      <c r="BL857" s="1196"/>
      <c r="BM857" s="1196"/>
      <c r="BN857" s="1196"/>
      <c r="BO857" s="1196"/>
      <c r="BP857" s="1196"/>
      <c r="BQ857" s="1196"/>
      <c r="BR857" s="1196"/>
      <c r="BS857" s="1196"/>
      <c r="BT857" s="1196"/>
      <c r="BU857" s="1196"/>
      <c r="BV857" s="1196"/>
      <c r="BW857" s="1196"/>
      <c r="BX857" s="1196"/>
      <c r="BY857" s="1196"/>
      <c r="BZ857" s="1196"/>
      <c r="CA857" s="1196"/>
      <c r="CB857" s="1196"/>
      <c r="CC857" s="1196"/>
      <c r="CD857" s="1196"/>
      <c r="CE857" s="1196"/>
      <c r="CF857" s="1196"/>
      <c r="CG857" s="1196"/>
      <c r="CH857" s="1196"/>
      <c r="CI857" s="1196"/>
      <c r="CJ857" s="1196"/>
      <c r="CK857" s="1196"/>
      <c r="CL857" s="1196"/>
    </row>
    <row r="858" spans="1:90" s="1183" customFormat="1" ht="29.25" customHeight="1" x14ac:dyDescent="0.25">
      <c r="A858" s="1183" t="s">
        <v>4704</v>
      </c>
      <c r="B858" s="1184">
        <v>45112</v>
      </c>
      <c r="C858" s="1185">
        <v>0.875</v>
      </c>
      <c r="D858" s="1510" t="s">
        <v>5925</v>
      </c>
      <c r="E858" s="1511"/>
      <c r="F858" s="1511"/>
      <c r="G858" s="1511"/>
      <c r="H858" s="1511"/>
      <c r="I858" s="1511"/>
      <c r="J858" s="1511"/>
      <c r="K858" s="1511"/>
      <c r="L858" s="1511"/>
      <c r="M858" s="1511"/>
      <c r="N858" s="1511"/>
      <c r="O858" s="1511"/>
      <c r="P858" s="1511"/>
      <c r="Q858" s="1511"/>
      <c r="R858" s="1511"/>
      <c r="S858" s="1512"/>
      <c r="T858" s="1194" t="s">
        <v>23</v>
      </c>
      <c r="U858" s="813" t="s">
        <v>4320</v>
      </c>
      <c r="V858" s="1195"/>
      <c r="W858" s="1196"/>
      <c r="X858" s="1196"/>
      <c r="Y858" s="1196"/>
      <c r="Z858" s="1196"/>
      <c r="AA858" s="1196"/>
      <c r="AB858" s="1196"/>
      <c r="AC858" s="1196"/>
      <c r="AD858" s="1196"/>
      <c r="AE858" s="1196"/>
      <c r="AF858" s="1196"/>
      <c r="AG858" s="1196"/>
      <c r="AH858" s="1196"/>
      <c r="AI858" s="1196"/>
      <c r="AJ858" s="1196"/>
      <c r="AK858" s="1196"/>
      <c r="AL858" s="1196"/>
      <c r="AM858" s="1196"/>
      <c r="AN858" s="1196"/>
      <c r="AO858" s="1196"/>
      <c r="AP858" s="1196"/>
      <c r="AQ858" s="1196"/>
      <c r="AR858" s="1196"/>
      <c r="AS858" s="1196"/>
      <c r="AT858" s="1196"/>
      <c r="AU858" s="1196"/>
      <c r="AV858" s="1196"/>
      <c r="AW858" s="1196"/>
      <c r="AX858" s="1196"/>
      <c r="AY858" s="1196"/>
      <c r="AZ858" s="1196"/>
      <c r="BA858" s="1196"/>
      <c r="BB858" s="1196"/>
      <c r="BC858" s="1196"/>
      <c r="BD858" s="1196"/>
      <c r="BE858" s="1196"/>
      <c r="BF858" s="1196"/>
      <c r="BG858" s="1196"/>
      <c r="BH858" s="1196"/>
      <c r="BI858" s="1196"/>
      <c r="BJ858" s="1196"/>
      <c r="BK858" s="1196"/>
      <c r="BL858" s="1196"/>
      <c r="BM858" s="1196"/>
      <c r="BN858" s="1196"/>
      <c r="BO858" s="1196"/>
      <c r="BP858" s="1196"/>
      <c r="BQ858" s="1196"/>
      <c r="BR858" s="1196"/>
      <c r="BS858" s="1196"/>
      <c r="BT858" s="1196"/>
      <c r="BU858" s="1196"/>
      <c r="BV858" s="1196"/>
      <c r="BW858" s="1196"/>
      <c r="BX858" s="1196"/>
      <c r="BY858" s="1196"/>
      <c r="BZ858" s="1196"/>
      <c r="CA858" s="1196"/>
      <c r="CB858" s="1196"/>
      <c r="CC858" s="1196"/>
      <c r="CD858" s="1196"/>
      <c r="CE858" s="1196"/>
      <c r="CF858" s="1196"/>
      <c r="CG858" s="1196"/>
      <c r="CH858" s="1196"/>
      <c r="CI858" s="1196"/>
      <c r="CJ858" s="1196"/>
      <c r="CK858" s="1196"/>
      <c r="CL858" s="1196"/>
    </row>
    <row r="859" spans="1:90" s="1183" customFormat="1" ht="29.25" customHeight="1" x14ac:dyDescent="0.25">
      <c r="A859" s="1183" t="s">
        <v>4704</v>
      </c>
      <c r="B859" s="1184">
        <v>45113</v>
      </c>
      <c r="C859" s="1185">
        <v>0.95833333333333337</v>
      </c>
      <c r="D859" s="1186">
        <v>54</v>
      </c>
      <c r="E859" s="1187">
        <v>11.6</v>
      </c>
      <c r="F859" s="1188">
        <v>15.7</v>
      </c>
      <c r="G859" s="1189" t="s">
        <v>142</v>
      </c>
      <c r="H859" s="1189" t="s">
        <v>142</v>
      </c>
      <c r="I859" s="1189" t="s">
        <v>142</v>
      </c>
      <c r="J859" s="1190" t="s">
        <v>142</v>
      </c>
      <c r="K859" s="1190" t="s">
        <v>142</v>
      </c>
      <c r="L859" s="1187">
        <v>35.090000000000003</v>
      </c>
      <c r="M859" s="1187">
        <v>36</v>
      </c>
      <c r="N859" s="1187">
        <v>53.52</v>
      </c>
      <c r="O859" s="1191" t="s">
        <v>142</v>
      </c>
      <c r="P859" s="1191" t="s">
        <v>142</v>
      </c>
      <c r="Q859" s="1192" t="s">
        <v>142</v>
      </c>
      <c r="R859" s="1191" t="s">
        <v>2371</v>
      </c>
      <c r="S859" s="1193">
        <v>67</v>
      </c>
      <c r="T859" s="1194" t="s">
        <v>23</v>
      </c>
      <c r="U859" s="813" t="s">
        <v>4320</v>
      </c>
      <c r="V859" s="1195"/>
      <c r="W859" s="1196"/>
      <c r="X859" s="1196"/>
      <c r="Y859" s="1196"/>
      <c r="Z859" s="1196"/>
      <c r="AA859" s="1196"/>
      <c r="AB859" s="1196"/>
      <c r="AC859" s="1196"/>
      <c r="AD859" s="1196"/>
      <c r="AE859" s="1196"/>
      <c r="AF859" s="1196"/>
      <c r="AG859" s="1196"/>
      <c r="AH859" s="1196"/>
      <c r="AI859" s="1196"/>
      <c r="AJ859" s="1196"/>
      <c r="AK859" s="1196"/>
      <c r="AL859" s="1196"/>
      <c r="AM859" s="1196"/>
      <c r="AN859" s="1196"/>
      <c r="AO859" s="1196"/>
      <c r="AP859" s="1196"/>
      <c r="AQ859" s="1196"/>
      <c r="AR859" s="1196"/>
      <c r="AS859" s="1196"/>
      <c r="AT859" s="1196"/>
      <c r="AU859" s="1196"/>
      <c r="AV859" s="1196"/>
      <c r="AW859" s="1196"/>
      <c r="AX859" s="1196"/>
      <c r="AY859" s="1196"/>
      <c r="AZ859" s="1196"/>
      <c r="BA859" s="1196"/>
      <c r="BB859" s="1196"/>
      <c r="BC859" s="1196"/>
      <c r="BD859" s="1196"/>
      <c r="BE859" s="1196"/>
      <c r="BF859" s="1196"/>
      <c r="BG859" s="1196"/>
      <c r="BH859" s="1196"/>
      <c r="BI859" s="1196"/>
      <c r="BJ859" s="1196"/>
      <c r="BK859" s="1196"/>
      <c r="BL859" s="1196"/>
      <c r="BM859" s="1196"/>
      <c r="BN859" s="1196"/>
      <c r="BO859" s="1196"/>
      <c r="BP859" s="1196"/>
      <c r="BQ859" s="1196"/>
      <c r="BR859" s="1196"/>
      <c r="BS859" s="1196"/>
      <c r="BT859" s="1196"/>
      <c r="BU859" s="1196"/>
      <c r="BV859" s="1196"/>
      <c r="BW859" s="1196"/>
      <c r="BX859" s="1196"/>
      <c r="BY859" s="1196"/>
      <c r="BZ859" s="1196"/>
      <c r="CA859" s="1196"/>
      <c r="CB859" s="1196"/>
      <c r="CC859" s="1196"/>
      <c r="CD859" s="1196"/>
      <c r="CE859" s="1196"/>
      <c r="CF859" s="1196"/>
      <c r="CG859" s="1196"/>
      <c r="CH859" s="1196"/>
      <c r="CI859" s="1196"/>
      <c r="CJ859" s="1196"/>
      <c r="CK859" s="1196"/>
      <c r="CL859" s="1196"/>
    </row>
    <row r="860" spans="1:90" s="1183" customFormat="1" ht="29.25" customHeight="1" x14ac:dyDescent="0.25">
      <c r="A860" s="1183" t="s">
        <v>4704</v>
      </c>
      <c r="B860" s="1184">
        <v>45114</v>
      </c>
      <c r="C860" s="1185">
        <v>0.75</v>
      </c>
      <c r="D860" s="1510" t="s">
        <v>5932</v>
      </c>
      <c r="E860" s="1511"/>
      <c r="F860" s="1511"/>
      <c r="G860" s="1511"/>
      <c r="H860" s="1511"/>
      <c r="I860" s="1511"/>
      <c r="J860" s="1511"/>
      <c r="K860" s="1511"/>
      <c r="L860" s="1511"/>
      <c r="M860" s="1511"/>
      <c r="N860" s="1511"/>
      <c r="O860" s="1511"/>
      <c r="P860" s="1511"/>
      <c r="Q860" s="1511"/>
      <c r="R860" s="1511"/>
      <c r="S860" s="1512"/>
      <c r="T860" s="1194" t="s">
        <v>23</v>
      </c>
      <c r="U860" s="813" t="s">
        <v>4320</v>
      </c>
      <c r="V860" s="1195"/>
      <c r="W860" s="1196"/>
      <c r="X860" s="1196"/>
      <c r="Y860" s="1196"/>
      <c r="Z860" s="1196"/>
      <c r="AA860" s="1196"/>
      <c r="AB860" s="1196"/>
      <c r="AC860" s="1196"/>
      <c r="AD860" s="1196"/>
      <c r="AE860" s="1196"/>
      <c r="AF860" s="1196"/>
      <c r="AG860" s="1196"/>
      <c r="AH860" s="1196"/>
      <c r="AI860" s="1196"/>
      <c r="AJ860" s="1196"/>
      <c r="AK860" s="1196"/>
      <c r="AL860" s="1196"/>
      <c r="AM860" s="1196"/>
      <c r="AN860" s="1196"/>
      <c r="AO860" s="1196"/>
      <c r="AP860" s="1196"/>
      <c r="AQ860" s="1196"/>
      <c r="AR860" s="1196"/>
      <c r="AS860" s="1196"/>
      <c r="AT860" s="1196"/>
      <c r="AU860" s="1196"/>
      <c r="AV860" s="1196"/>
      <c r="AW860" s="1196"/>
      <c r="AX860" s="1196"/>
      <c r="AY860" s="1196"/>
      <c r="AZ860" s="1196"/>
      <c r="BA860" s="1196"/>
      <c r="BB860" s="1196"/>
      <c r="BC860" s="1196"/>
      <c r="BD860" s="1196"/>
      <c r="BE860" s="1196"/>
      <c r="BF860" s="1196"/>
      <c r="BG860" s="1196"/>
      <c r="BH860" s="1196"/>
      <c r="BI860" s="1196"/>
      <c r="BJ860" s="1196"/>
      <c r="BK860" s="1196"/>
      <c r="BL860" s="1196"/>
      <c r="BM860" s="1196"/>
      <c r="BN860" s="1196"/>
      <c r="BO860" s="1196"/>
      <c r="BP860" s="1196"/>
      <c r="BQ860" s="1196"/>
      <c r="BR860" s="1196"/>
      <c r="BS860" s="1196"/>
      <c r="BT860" s="1196"/>
      <c r="BU860" s="1196"/>
      <c r="BV860" s="1196"/>
      <c r="BW860" s="1196"/>
      <c r="BX860" s="1196"/>
      <c r="BY860" s="1196"/>
      <c r="BZ860" s="1196"/>
      <c r="CA860" s="1196"/>
      <c r="CB860" s="1196"/>
      <c r="CC860" s="1196"/>
      <c r="CD860" s="1196"/>
      <c r="CE860" s="1196"/>
      <c r="CF860" s="1196"/>
      <c r="CG860" s="1196"/>
      <c r="CH860" s="1196"/>
      <c r="CI860" s="1196"/>
      <c r="CJ860" s="1196"/>
      <c r="CK860" s="1196"/>
      <c r="CL860" s="1196"/>
    </row>
    <row r="861" spans="1:90" s="1183" customFormat="1" ht="29.25" customHeight="1" x14ac:dyDescent="0.25">
      <c r="A861" s="1183" t="s">
        <v>4704</v>
      </c>
      <c r="B861" s="1184">
        <v>45115</v>
      </c>
      <c r="C861" s="1185">
        <v>0.85416666666666663</v>
      </c>
      <c r="D861" s="1186">
        <v>54</v>
      </c>
      <c r="E861" s="1187">
        <v>11.5</v>
      </c>
      <c r="F861" s="1188">
        <v>15.6</v>
      </c>
      <c r="G861" s="1189" t="s">
        <v>142</v>
      </c>
      <c r="H861" s="1189" t="s">
        <v>142</v>
      </c>
      <c r="I861" s="1189" t="s">
        <v>142</v>
      </c>
      <c r="J861" s="1190" t="s">
        <v>142</v>
      </c>
      <c r="K861" s="1190" t="s">
        <v>142</v>
      </c>
      <c r="L861" s="1187">
        <v>34.090000000000003</v>
      </c>
      <c r="M861" s="1187">
        <v>37</v>
      </c>
      <c r="N861" s="1187">
        <v>54.55</v>
      </c>
      <c r="O861" s="1191" t="s">
        <v>142</v>
      </c>
      <c r="P861" s="1191" t="s">
        <v>142</v>
      </c>
      <c r="Q861" s="1192" t="s">
        <v>142</v>
      </c>
      <c r="R861" s="1191" t="s">
        <v>2371</v>
      </c>
      <c r="S861" s="1193">
        <v>67</v>
      </c>
      <c r="T861" s="1194" t="s">
        <v>23</v>
      </c>
      <c r="U861" s="813" t="s">
        <v>4320</v>
      </c>
      <c r="V861" s="1195"/>
      <c r="W861" s="1196"/>
      <c r="X861" s="1196"/>
      <c r="Y861" s="1196"/>
      <c r="Z861" s="1196"/>
      <c r="AA861" s="1196"/>
      <c r="AB861" s="1196"/>
      <c r="AC861" s="1196"/>
      <c r="AD861" s="1196"/>
      <c r="AE861" s="1196"/>
      <c r="AF861" s="1196"/>
      <c r="AG861" s="1196"/>
      <c r="AH861" s="1196"/>
      <c r="AI861" s="1196"/>
      <c r="AJ861" s="1196"/>
      <c r="AK861" s="1196"/>
      <c r="AL861" s="1196"/>
      <c r="AM861" s="1196"/>
      <c r="AN861" s="1196"/>
      <c r="AO861" s="1196"/>
      <c r="AP861" s="1196"/>
      <c r="AQ861" s="1196"/>
      <c r="AR861" s="1196"/>
      <c r="AS861" s="1196"/>
      <c r="AT861" s="1196"/>
      <c r="AU861" s="1196"/>
      <c r="AV861" s="1196"/>
      <c r="AW861" s="1196"/>
      <c r="AX861" s="1196"/>
      <c r="AY861" s="1196"/>
      <c r="AZ861" s="1196"/>
      <c r="BA861" s="1196"/>
      <c r="BB861" s="1196"/>
      <c r="BC861" s="1196"/>
      <c r="BD861" s="1196"/>
      <c r="BE861" s="1196"/>
      <c r="BF861" s="1196"/>
      <c r="BG861" s="1196"/>
      <c r="BH861" s="1196"/>
      <c r="BI861" s="1196"/>
      <c r="BJ861" s="1196"/>
      <c r="BK861" s="1196"/>
      <c r="BL861" s="1196"/>
      <c r="BM861" s="1196"/>
      <c r="BN861" s="1196"/>
      <c r="BO861" s="1196"/>
      <c r="BP861" s="1196"/>
      <c r="BQ861" s="1196"/>
      <c r="BR861" s="1196"/>
      <c r="BS861" s="1196"/>
      <c r="BT861" s="1196"/>
      <c r="BU861" s="1196"/>
      <c r="BV861" s="1196"/>
      <c r="BW861" s="1196"/>
      <c r="BX861" s="1196"/>
      <c r="BY861" s="1196"/>
      <c r="BZ861" s="1196"/>
      <c r="CA861" s="1196"/>
      <c r="CB861" s="1196"/>
      <c r="CC861" s="1196"/>
      <c r="CD861" s="1196"/>
      <c r="CE861" s="1196"/>
      <c r="CF861" s="1196"/>
      <c r="CG861" s="1196"/>
      <c r="CH861" s="1196"/>
      <c r="CI861" s="1196"/>
      <c r="CJ861" s="1196"/>
      <c r="CK861" s="1196"/>
      <c r="CL861" s="1196"/>
    </row>
    <row r="862" spans="1:90" s="1183" customFormat="1" ht="29.25" customHeight="1" x14ac:dyDescent="0.25">
      <c r="A862" s="1183" t="s">
        <v>4704</v>
      </c>
      <c r="B862" s="1184">
        <v>45116</v>
      </c>
      <c r="C862" s="1185">
        <v>0.85416666666666663</v>
      </c>
      <c r="D862" s="1510" t="s">
        <v>5945</v>
      </c>
      <c r="E862" s="1511"/>
      <c r="F862" s="1511"/>
      <c r="G862" s="1511"/>
      <c r="H862" s="1511"/>
      <c r="I862" s="1511"/>
      <c r="J862" s="1511"/>
      <c r="K862" s="1511"/>
      <c r="L862" s="1511"/>
      <c r="M862" s="1511"/>
      <c r="N862" s="1511"/>
      <c r="O862" s="1511"/>
      <c r="P862" s="1511"/>
      <c r="Q862" s="1511"/>
      <c r="R862" s="1511"/>
      <c r="S862" s="1512"/>
      <c r="T862" s="1194" t="s">
        <v>23</v>
      </c>
      <c r="U862" s="813" t="s">
        <v>4320</v>
      </c>
      <c r="V862" s="1195"/>
      <c r="W862" s="1196"/>
      <c r="X862" s="1196"/>
      <c r="Y862" s="1196"/>
      <c r="Z862" s="1196"/>
      <c r="AA862" s="1196"/>
      <c r="AB862" s="1196"/>
      <c r="AC862" s="1196"/>
      <c r="AD862" s="1196"/>
      <c r="AE862" s="1196"/>
      <c r="AF862" s="1196"/>
      <c r="AG862" s="1196"/>
      <c r="AH862" s="1196"/>
      <c r="AI862" s="1196"/>
      <c r="AJ862" s="1196"/>
      <c r="AK862" s="1196"/>
      <c r="AL862" s="1196"/>
      <c r="AM862" s="1196"/>
      <c r="AN862" s="1196"/>
      <c r="AO862" s="1196"/>
      <c r="AP862" s="1196"/>
      <c r="AQ862" s="1196"/>
      <c r="AR862" s="1196"/>
      <c r="AS862" s="1196"/>
      <c r="AT862" s="1196"/>
      <c r="AU862" s="1196"/>
      <c r="AV862" s="1196"/>
      <c r="AW862" s="1196"/>
      <c r="AX862" s="1196"/>
      <c r="AY862" s="1196"/>
      <c r="AZ862" s="1196"/>
      <c r="BA862" s="1196"/>
      <c r="BB862" s="1196"/>
      <c r="BC862" s="1196"/>
      <c r="BD862" s="1196"/>
      <c r="BE862" s="1196"/>
      <c r="BF862" s="1196"/>
      <c r="BG862" s="1196"/>
      <c r="BH862" s="1196"/>
      <c r="BI862" s="1196"/>
      <c r="BJ862" s="1196"/>
      <c r="BK862" s="1196"/>
      <c r="BL862" s="1196"/>
      <c r="BM862" s="1196"/>
      <c r="BN862" s="1196"/>
      <c r="BO862" s="1196"/>
      <c r="BP862" s="1196"/>
      <c r="BQ862" s="1196"/>
      <c r="BR862" s="1196"/>
      <c r="BS862" s="1196"/>
      <c r="BT862" s="1196"/>
      <c r="BU862" s="1196"/>
      <c r="BV862" s="1196"/>
      <c r="BW862" s="1196"/>
      <c r="BX862" s="1196"/>
      <c r="BY862" s="1196"/>
      <c r="BZ862" s="1196"/>
      <c r="CA862" s="1196"/>
      <c r="CB862" s="1196"/>
      <c r="CC862" s="1196"/>
      <c r="CD862" s="1196"/>
      <c r="CE862" s="1196"/>
      <c r="CF862" s="1196"/>
      <c r="CG862" s="1196"/>
      <c r="CH862" s="1196"/>
      <c r="CI862" s="1196"/>
      <c r="CJ862" s="1196"/>
      <c r="CK862" s="1196"/>
      <c r="CL862" s="1196"/>
    </row>
    <row r="863" spans="1:90" s="1183" customFormat="1" ht="29.25" customHeight="1" x14ac:dyDescent="0.25">
      <c r="A863" s="1183" t="s">
        <v>4704</v>
      </c>
      <c r="B863" s="1184">
        <v>45117</v>
      </c>
      <c r="C863" s="1185">
        <v>0.72916666666666663</v>
      </c>
      <c r="D863" s="1186">
        <v>54</v>
      </c>
      <c r="E863" s="1187">
        <v>12</v>
      </c>
      <c r="F863" s="1188">
        <v>15.9</v>
      </c>
      <c r="G863" s="1189" t="s">
        <v>142</v>
      </c>
      <c r="H863" s="1189" t="s">
        <v>142</v>
      </c>
      <c r="I863" s="1189" t="s">
        <v>142</v>
      </c>
      <c r="J863" s="1190" t="s">
        <v>142</v>
      </c>
      <c r="K863" s="1190" t="s">
        <v>142</v>
      </c>
      <c r="L863" s="1187">
        <v>33.799999999999997</v>
      </c>
      <c r="M863" s="1187">
        <v>37</v>
      </c>
      <c r="N863" s="1187">
        <v>54.55</v>
      </c>
      <c r="O863" s="1191" t="s">
        <v>142</v>
      </c>
      <c r="P863" s="1191" t="s">
        <v>142</v>
      </c>
      <c r="Q863" s="1192" t="s">
        <v>142</v>
      </c>
      <c r="R863" s="1191" t="s">
        <v>5957</v>
      </c>
      <c r="S863" s="1193">
        <v>67.900000000000006</v>
      </c>
      <c r="T863" s="1194" t="s">
        <v>23</v>
      </c>
      <c r="U863" s="813" t="s">
        <v>4320</v>
      </c>
      <c r="V863" s="1195"/>
      <c r="W863" s="1196"/>
      <c r="X863" s="1196"/>
      <c r="Y863" s="1196"/>
      <c r="Z863" s="1196"/>
      <c r="AA863" s="1196"/>
      <c r="AB863" s="1196"/>
      <c r="AC863" s="1196"/>
      <c r="AD863" s="1196"/>
      <c r="AE863" s="1196"/>
      <c r="AF863" s="1196"/>
      <c r="AG863" s="1196"/>
      <c r="AH863" s="1196"/>
      <c r="AI863" s="1196"/>
      <c r="AJ863" s="1196"/>
      <c r="AK863" s="1196"/>
      <c r="AL863" s="1196"/>
      <c r="AM863" s="1196"/>
      <c r="AN863" s="1196"/>
      <c r="AO863" s="1196"/>
      <c r="AP863" s="1196"/>
      <c r="AQ863" s="1196"/>
      <c r="AR863" s="1196"/>
      <c r="AS863" s="1196"/>
      <c r="AT863" s="1196"/>
      <c r="AU863" s="1196"/>
      <c r="AV863" s="1196"/>
      <c r="AW863" s="1196"/>
      <c r="AX863" s="1196"/>
      <c r="AY863" s="1196"/>
      <c r="AZ863" s="1196"/>
      <c r="BA863" s="1196"/>
      <c r="BB863" s="1196"/>
      <c r="BC863" s="1196"/>
      <c r="BD863" s="1196"/>
      <c r="BE863" s="1196"/>
      <c r="BF863" s="1196"/>
      <c r="BG863" s="1196"/>
      <c r="BH863" s="1196"/>
      <c r="BI863" s="1196"/>
      <c r="BJ863" s="1196"/>
      <c r="BK863" s="1196"/>
      <c r="BL863" s="1196"/>
      <c r="BM863" s="1196"/>
      <c r="BN863" s="1196"/>
      <c r="BO863" s="1196"/>
      <c r="BP863" s="1196"/>
      <c r="BQ863" s="1196"/>
      <c r="BR863" s="1196"/>
      <c r="BS863" s="1196"/>
      <c r="BT863" s="1196"/>
      <c r="BU863" s="1196"/>
      <c r="BV863" s="1196"/>
      <c r="BW863" s="1196"/>
      <c r="BX863" s="1196"/>
      <c r="BY863" s="1196"/>
      <c r="BZ863" s="1196"/>
      <c r="CA863" s="1196"/>
      <c r="CB863" s="1196"/>
      <c r="CC863" s="1196"/>
      <c r="CD863" s="1196"/>
      <c r="CE863" s="1196"/>
      <c r="CF863" s="1196"/>
      <c r="CG863" s="1196"/>
      <c r="CH863" s="1196"/>
      <c r="CI863" s="1196"/>
      <c r="CJ863" s="1196"/>
      <c r="CK863" s="1196"/>
      <c r="CL863" s="1196"/>
    </row>
    <row r="864" spans="1:90" s="1183" customFormat="1" ht="29.25" customHeight="1" x14ac:dyDescent="0.25">
      <c r="A864" s="1183" t="s">
        <v>4704</v>
      </c>
      <c r="B864" s="1184">
        <v>45118</v>
      </c>
      <c r="C864" s="1185">
        <v>0.85416666666666663</v>
      </c>
      <c r="D864" s="1510" t="s">
        <v>5964</v>
      </c>
      <c r="E864" s="1511"/>
      <c r="F864" s="1511"/>
      <c r="G864" s="1511"/>
      <c r="H864" s="1511"/>
      <c r="I864" s="1511"/>
      <c r="J864" s="1511"/>
      <c r="K864" s="1511"/>
      <c r="L864" s="1511"/>
      <c r="M864" s="1511"/>
      <c r="N864" s="1511"/>
      <c r="O864" s="1511"/>
      <c r="P864" s="1511"/>
      <c r="Q864" s="1511"/>
      <c r="R864" s="1511"/>
      <c r="S864" s="1512"/>
      <c r="T864" s="1194" t="s">
        <v>23</v>
      </c>
      <c r="U864" s="813" t="s">
        <v>4320</v>
      </c>
      <c r="V864" s="1195"/>
      <c r="W864" s="1196"/>
      <c r="X864" s="1196"/>
      <c r="Y864" s="1196"/>
      <c r="Z864" s="1196"/>
      <c r="AA864" s="1196"/>
      <c r="AB864" s="1196"/>
      <c r="AC864" s="1196"/>
      <c r="AD864" s="1196"/>
      <c r="AE864" s="1196"/>
      <c r="AF864" s="1196"/>
      <c r="AG864" s="1196"/>
      <c r="AH864" s="1196"/>
      <c r="AI864" s="1196"/>
      <c r="AJ864" s="1196"/>
      <c r="AK864" s="1196"/>
      <c r="AL864" s="1196"/>
      <c r="AM864" s="1196"/>
      <c r="AN864" s="1196"/>
      <c r="AO864" s="1196"/>
      <c r="AP864" s="1196"/>
      <c r="AQ864" s="1196"/>
      <c r="AR864" s="1196"/>
      <c r="AS864" s="1196"/>
      <c r="AT864" s="1196"/>
      <c r="AU864" s="1196"/>
      <c r="AV864" s="1196"/>
      <c r="AW864" s="1196"/>
      <c r="AX864" s="1196"/>
      <c r="AY864" s="1196"/>
      <c r="AZ864" s="1196"/>
      <c r="BA864" s="1196"/>
      <c r="BB864" s="1196"/>
      <c r="BC864" s="1196"/>
      <c r="BD864" s="1196"/>
      <c r="BE864" s="1196"/>
      <c r="BF864" s="1196"/>
      <c r="BG864" s="1196"/>
      <c r="BH864" s="1196"/>
      <c r="BI864" s="1196"/>
      <c r="BJ864" s="1196"/>
      <c r="BK864" s="1196"/>
      <c r="BL864" s="1196"/>
      <c r="BM864" s="1196"/>
      <c r="BN864" s="1196"/>
      <c r="BO864" s="1196"/>
      <c r="BP864" s="1196"/>
      <c r="BQ864" s="1196"/>
      <c r="BR864" s="1196"/>
      <c r="BS864" s="1196"/>
      <c r="BT864" s="1196"/>
      <c r="BU864" s="1196"/>
      <c r="BV864" s="1196"/>
      <c r="BW864" s="1196"/>
      <c r="BX864" s="1196"/>
      <c r="BY864" s="1196"/>
      <c r="BZ864" s="1196"/>
      <c r="CA864" s="1196"/>
      <c r="CB864" s="1196"/>
      <c r="CC864" s="1196"/>
      <c r="CD864" s="1196"/>
      <c r="CE864" s="1196"/>
      <c r="CF864" s="1196"/>
      <c r="CG864" s="1196"/>
      <c r="CH864" s="1196"/>
      <c r="CI864" s="1196"/>
      <c r="CJ864" s="1196"/>
      <c r="CK864" s="1196"/>
      <c r="CL864" s="1196"/>
    </row>
    <row r="865" spans="1:90" s="1183" customFormat="1" ht="29.25" customHeight="1" x14ac:dyDescent="0.25">
      <c r="A865" s="1183" t="s">
        <v>4704</v>
      </c>
      <c r="B865" s="1184">
        <v>45119</v>
      </c>
      <c r="C865" s="1185">
        <v>0.83333333333333337</v>
      </c>
      <c r="D865" s="1186">
        <v>54</v>
      </c>
      <c r="E865" s="1187">
        <v>11.8</v>
      </c>
      <c r="F865" s="1188">
        <v>15.9</v>
      </c>
      <c r="G865" s="1189" t="s">
        <v>142</v>
      </c>
      <c r="H865" s="1189" t="s">
        <v>142</v>
      </c>
      <c r="I865" s="1189" t="s">
        <v>142</v>
      </c>
      <c r="J865" s="1190" t="s">
        <v>142</v>
      </c>
      <c r="K865" s="1190" t="s">
        <v>142</v>
      </c>
      <c r="L865" s="1187">
        <v>33.880000000000003</v>
      </c>
      <c r="M865" s="1187">
        <v>37</v>
      </c>
      <c r="N865" s="1187">
        <v>53.94</v>
      </c>
      <c r="O865" s="1191" t="s">
        <v>142</v>
      </c>
      <c r="P865" s="1191" t="s">
        <v>142</v>
      </c>
      <c r="Q865" s="1192" t="s">
        <v>142</v>
      </c>
      <c r="R865" s="1191" t="s">
        <v>5967</v>
      </c>
      <c r="S865" s="1193">
        <v>67.900000000000006</v>
      </c>
      <c r="T865" s="1194" t="s">
        <v>23</v>
      </c>
      <c r="U865" s="813" t="s">
        <v>4320</v>
      </c>
      <c r="V865" s="1195"/>
      <c r="W865" s="1196"/>
      <c r="X865" s="1196"/>
      <c r="Y865" s="1196"/>
      <c r="Z865" s="1196"/>
      <c r="AA865" s="1196"/>
      <c r="AB865" s="1196"/>
      <c r="AC865" s="1196"/>
      <c r="AD865" s="1196"/>
      <c r="AE865" s="1196"/>
      <c r="AF865" s="1196"/>
      <c r="AG865" s="1196"/>
      <c r="AH865" s="1196"/>
      <c r="AI865" s="1196"/>
      <c r="AJ865" s="1196"/>
      <c r="AK865" s="1196"/>
      <c r="AL865" s="1196"/>
      <c r="AM865" s="1196"/>
      <c r="AN865" s="1196"/>
      <c r="AO865" s="1196"/>
      <c r="AP865" s="1196"/>
      <c r="AQ865" s="1196"/>
      <c r="AR865" s="1196"/>
      <c r="AS865" s="1196"/>
      <c r="AT865" s="1196"/>
      <c r="AU865" s="1196"/>
      <c r="AV865" s="1196"/>
      <c r="AW865" s="1196"/>
      <c r="AX865" s="1196"/>
      <c r="AY865" s="1196"/>
      <c r="AZ865" s="1196"/>
      <c r="BA865" s="1196"/>
      <c r="BB865" s="1196"/>
      <c r="BC865" s="1196"/>
      <c r="BD865" s="1196"/>
      <c r="BE865" s="1196"/>
      <c r="BF865" s="1196"/>
      <c r="BG865" s="1196"/>
      <c r="BH865" s="1196"/>
      <c r="BI865" s="1196"/>
      <c r="BJ865" s="1196"/>
      <c r="BK865" s="1196"/>
      <c r="BL865" s="1196"/>
      <c r="BM865" s="1196"/>
      <c r="BN865" s="1196"/>
      <c r="BO865" s="1196"/>
      <c r="BP865" s="1196"/>
      <c r="BQ865" s="1196"/>
      <c r="BR865" s="1196"/>
      <c r="BS865" s="1196"/>
      <c r="BT865" s="1196"/>
      <c r="BU865" s="1196"/>
      <c r="BV865" s="1196"/>
      <c r="BW865" s="1196"/>
      <c r="BX865" s="1196"/>
      <c r="BY865" s="1196"/>
      <c r="BZ865" s="1196"/>
      <c r="CA865" s="1196"/>
      <c r="CB865" s="1196"/>
      <c r="CC865" s="1196"/>
      <c r="CD865" s="1196"/>
      <c r="CE865" s="1196"/>
      <c r="CF865" s="1196"/>
      <c r="CG865" s="1196"/>
      <c r="CH865" s="1196"/>
      <c r="CI865" s="1196"/>
      <c r="CJ865" s="1196"/>
      <c r="CK865" s="1196"/>
      <c r="CL865" s="1196"/>
    </row>
    <row r="866" spans="1:90" s="1183" customFormat="1" ht="29.25" customHeight="1" x14ac:dyDescent="0.25">
      <c r="A866" s="1183" t="s">
        <v>4704</v>
      </c>
      <c r="B866" s="1184">
        <v>45120</v>
      </c>
      <c r="C866" s="1185">
        <v>0.85416666666666663</v>
      </c>
      <c r="D866" s="1510" t="s">
        <v>5972</v>
      </c>
      <c r="E866" s="1511"/>
      <c r="F866" s="1511"/>
      <c r="G866" s="1511"/>
      <c r="H866" s="1511"/>
      <c r="I866" s="1511"/>
      <c r="J866" s="1511"/>
      <c r="K866" s="1511"/>
      <c r="L866" s="1511"/>
      <c r="M866" s="1511"/>
      <c r="N866" s="1511"/>
      <c r="O866" s="1511"/>
      <c r="P866" s="1511"/>
      <c r="Q866" s="1511"/>
      <c r="R866" s="1511"/>
      <c r="S866" s="1512"/>
      <c r="T866" s="1194" t="s">
        <v>23</v>
      </c>
      <c r="U866" s="813" t="s">
        <v>4320</v>
      </c>
      <c r="V866" s="1195"/>
      <c r="W866" s="1196"/>
      <c r="X866" s="1196"/>
      <c r="Y866" s="1196"/>
      <c r="Z866" s="1196"/>
      <c r="AA866" s="1196"/>
      <c r="AB866" s="1196"/>
      <c r="AC866" s="1196"/>
      <c r="AD866" s="1196"/>
      <c r="AE866" s="1196"/>
      <c r="AF866" s="1196"/>
      <c r="AG866" s="1196"/>
      <c r="AH866" s="1196"/>
      <c r="AI866" s="1196"/>
      <c r="AJ866" s="1196"/>
      <c r="AK866" s="1196"/>
      <c r="AL866" s="1196"/>
      <c r="AM866" s="1196"/>
      <c r="AN866" s="1196"/>
      <c r="AO866" s="1196"/>
      <c r="AP866" s="1196"/>
      <c r="AQ866" s="1196"/>
      <c r="AR866" s="1196"/>
      <c r="AS866" s="1196"/>
      <c r="AT866" s="1196"/>
      <c r="AU866" s="1196"/>
      <c r="AV866" s="1196"/>
      <c r="AW866" s="1196"/>
      <c r="AX866" s="1196"/>
      <c r="AY866" s="1196"/>
      <c r="AZ866" s="1196"/>
      <c r="BA866" s="1196"/>
      <c r="BB866" s="1196"/>
      <c r="BC866" s="1196"/>
      <c r="BD866" s="1196"/>
      <c r="BE866" s="1196"/>
      <c r="BF866" s="1196"/>
      <c r="BG866" s="1196"/>
      <c r="BH866" s="1196"/>
      <c r="BI866" s="1196"/>
      <c r="BJ866" s="1196"/>
      <c r="BK866" s="1196"/>
      <c r="BL866" s="1196"/>
      <c r="BM866" s="1196"/>
      <c r="BN866" s="1196"/>
      <c r="BO866" s="1196"/>
      <c r="BP866" s="1196"/>
      <c r="BQ866" s="1196"/>
      <c r="BR866" s="1196"/>
      <c r="BS866" s="1196"/>
      <c r="BT866" s="1196"/>
      <c r="BU866" s="1196"/>
      <c r="BV866" s="1196"/>
      <c r="BW866" s="1196"/>
      <c r="BX866" s="1196"/>
      <c r="BY866" s="1196"/>
      <c r="BZ866" s="1196"/>
      <c r="CA866" s="1196"/>
      <c r="CB866" s="1196"/>
      <c r="CC866" s="1196"/>
      <c r="CD866" s="1196"/>
      <c r="CE866" s="1196"/>
      <c r="CF866" s="1196"/>
      <c r="CG866" s="1196"/>
      <c r="CH866" s="1196"/>
      <c r="CI866" s="1196"/>
      <c r="CJ866" s="1196"/>
      <c r="CK866" s="1196"/>
      <c r="CL866" s="1196"/>
    </row>
    <row r="867" spans="1:90" s="1183" customFormat="1" ht="29.25" customHeight="1" x14ac:dyDescent="0.25">
      <c r="A867" s="1183" t="s">
        <v>4704</v>
      </c>
      <c r="B867" s="1184">
        <v>45121</v>
      </c>
      <c r="C867" s="1185">
        <v>0.83333333333333337</v>
      </c>
      <c r="D867" s="1186">
        <v>54</v>
      </c>
      <c r="E867" s="1187">
        <v>10.7</v>
      </c>
      <c r="F867" s="1188">
        <v>15</v>
      </c>
      <c r="G867" s="1189" t="s">
        <v>142</v>
      </c>
      <c r="H867" s="1189" t="s">
        <v>142</v>
      </c>
      <c r="I867" s="1189" t="s">
        <v>142</v>
      </c>
      <c r="J867" s="1190" t="s">
        <v>142</v>
      </c>
      <c r="K867" s="1190" t="s">
        <v>142</v>
      </c>
      <c r="L867" s="1187">
        <v>33.020000000000003</v>
      </c>
      <c r="M867" s="1187">
        <v>38</v>
      </c>
      <c r="N867" s="1187">
        <v>54.44</v>
      </c>
      <c r="O867" s="1191" t="s">
        <v>142</v>
      </c>
      <c r="P867" s="1191" t="s">
        <v>142</v>
      </c>
      <c r="Q867" s="1192" t="s">
        <v>142</v>
      </c>
      <c r="R867" s="1191" t="s">
        <v>5977</v>
      </c>
      <c r="S867" s="1193">
        <v>64.099999999999994</v>
      </c>
      <c r="T867" s="1194" t="s">
        <v>23</v>
      </c>
      <c r="U867" s="813" t="s">
        <v>4320</v>
      </c>
      <c r="V867" s="1195"/>
      <c r="W867" s="1196"/>
      <c r="X867" s="1196"/>
      <c r="Y867" s="1196"/>
      <c r="Z867" s="1196"/>
      <c r="AA867" s="1196"/>
      <c r="AB867" s="1196"/>
      <c r="AC867" s="1196"/>
      <c r="AD867" s="1196"/>
      <c r="AE867" s="1196"/>
      <c r="AF867" s="1196"/>
      <c r="AG867" s="1196"/>
      <c r="AH867" s="1196"/>
      <c r="AI867" s="1196"/>
      <c r="AJ867" s="1196"/>
      <c r="AK867" s="1196"/>
      <c r="AL867" s="1196"/>
      <c r="AM867" s="1196"/>
      <c r="AN867" s="1196"/>
      <c r="AO867" s="1196"/>
      <c r="AP867" s="1196"/>
      <c r="AQ867" s="1196"/>
      <c r="AR867" s="1196"/>
      <c r="AS867" s="1196"/>
      <c r="AT867" s="1196"/>
      <c r="AU867" s="1196"/>
      <c r="AV867" s="1196"/>
      <c r="AW867" s="1196"/>
      <c r="AX867" s="1196"/>
      <c r="AY867" s="1196"/>
      <c r="AZ867" s="1196"/>
      <c r="BA867" s="1196"/>
      <c r="BB867" s="1196"/>
      <c r="BC867" s="1196"/>
      <c r="BD867" s="1196"/>
      <c r="BE867" s="1196"/>
      <c r="BF867" s="1196"/>
      <c r="BG867" s="1196"/>
      <c r="BH867" s="1196"/>
      <c r="BI867" s="1196"/>
      <c r="BJ867" s="1196"/>
      <c r="BK867" s="1196"/>
      <c r="BL867" s="1196"/>
      <c r="BM867" s="1196"/>
      <c r="BN867" s="1196"/>
      <c r="BO867" s="1196"/>
      <c r="BP867" s="1196"/>
      <c r="BQ867" s="1196"/>
      <c r="BR867" s="1196"/>
      <c r="BS867" s="1196"/>
      <c r="BT867" s="1196"/>
      <c r="BU867" s="1196"/>
      <c r="BV867" s="1196"/>
      <c r="BW867" s="1196"/>
      <c r="BX867" s="1196"/>
      <c r="BY867" s="1196"/>
      <c r="BZ867" s="1196"/>
      <c r="CA867" s="1196"/>
      <c r="CB867" s="1196"/>
      <c r="CC867" s="1196"/>
      <c r="CD867" s="1196"/>
      <c r="CE867" s="1196"/>
      <c r="CF867" s="1196"/>
      <c r="CG867" s="1196"/>
      <c r="CH867" s="1196"/>
      <c r="CI867" s="1196"/>
      <c r="CJ867" s="1196"/>
      <c r="CK867" s="1196"/>
      <c r="CL867" s="1196"/>
    </row>
    <row r="868" spans="1:90" s="1183" customFormat="1" ht="29.25" customHeight="1" x14ac:dyDescent="0.25">
      <c r="A868" s="1183" t="s">
        <v>4704</v>
      </c>
      <c r="B868" s="1184">
        <v>45122</v>
      </c>
      <c r="C868" s="1185">
        <v>4.1666666666666664E-2</v>
      </c>
      <c r="D868" s="1510" t="s">
        <v>5985</v>
      </c>
      <c r="E868" s="1511"/>
      <c r="F868" s="1511"/>
      <c r="G868" s="1511"/>
      <c r="H868" s="1511"/>
      <c r="I868" s="1511"/>
      <c r="J868" s="1511"/>
      <c r="K868" s="1511"/>
      <c r="L868" s="1511"/>
      <c r="M868" s="1511"/>
      <c r="N868" s="1511"/>
      <c r="O868" s="1511"/>
      <c r="P868" s="1511"/>
      <c r="Q868" s="1511"/>
      <c r="R868" s="1511"/>
      <c r="S868" s="1512"/>
      <c r="T868" s="1194" t="s">
        <v>23</v>
      </c>
      <c r="U868" s="813" t="s">
        <v>4320</v>
      </c>
      <c r="V868" s="1195"/>
      <c r="W868" s="1196"/>
      <c r="X868" s="1196"/>
      <c r="Y868" s="1196"/>
      <c r="Z868" s="1196"/>
      <c r="AA868" s="1196"/>
      <c r="AB868" s="1196"/>
      <c r="AC868" s="1196"/>
      <c r="AD868" s="1196"/>
      <c r="AE868" s="1196"/>
      <c r="AF868" s="1196"/>
      <c r="AG868" s="1196"/>
      <c r="AH868" s="1196"/>
      <c r="AI868" s="1196"/>
      <c r="AJ868" s="1196"/>
      <c r="AK868" s="1196"/>
      <c r="AL868" s="1196"/>
      <c r="AM868" s="1196"/>
      <c r="AN868" s="1196"/>
      <c r="AO868" s="1196"/>
      <c r="AP868" s="1196"/>
      <c r="AQ868" s="1196"/>
      <c r="AR868" s="1196"/>
      <c r="AS868" s="1196"/>
      <c r="AT868" s="1196"/>
      <c r="AU868" s="1196"/>
      <c r="AV868" s="1196"/>
      <c r="AW868" s="1196"/>
      <c r="AX868" s="1196"/>
      <c r="AY868" s="1196"/>
      <c r="AZ868" s="1196"/>
      <c r="BA868" s="1196"/>
      <c r="BB868" s="1196"/>
      <c r="BC868" s="1196"/>
      <c r="BD868" s="1196"/>
      <c r="BE868" s="1196"/>
      <c r="BF868" s="1196"/>
      <c r="BG868" s="1196"/>
      <c r="BH868" s="1196"/>
      <c r="BI868" s="1196"/>
      <c r="BJ868" s="1196"/>
      <c r="BK868" s="1196"/>
      <c r="BL868" s="1196"/>
      <c r="BM868" s="1196"/>
      <c r="BN868" s="1196"/>
      <c r="BO868" s="1196"/>
      <c r="BP868" s="1196"/>
      <c r="BQ868" s="1196"/>
      <c r="BR868" s="1196"/>
      <c r="BS868" s="1196"/>
      <c r="BT868" s="1196"/>
      <c r="BU868" s="1196"/>
      <c r="BV868" s="1196"/>
      <c r="BW868" s="1196"/>
      <c r="BX868" s="1196"/>
      <c r="BY868" s="1196"/>
      <c r="BZ868" s="1196"/>
      <c r="CA868" s="1196"/>
      <c r="CB868" s="1196"/>
      <c r="CC868" s="1196"/>
      <c r="CD868" s="1196"/>
      <c r="CE868" s="1196"/>
      <c r="CF868" s="1196"/>
      <c r="CG868" s="1196"/>
      <c r="CH868" s="1196"/>
      <c r="CI868" s="1196"/>
      <c r="CJ868" s="1196"/>
      <c r="CK868" s="1196"/>
      <c r="CL868" s="1196"/>
    </row>
    <row r="869" spans="1:90" s="1183" customFormat="1" ht="29.25" customHeight="1" x14ac:dyDescent="0.25">
      <c r="A869" s="1183" t="s">
        <v>4704</v>
      </c>
      <c r="B869" s="1184">
        <v>45123</v>
      </c>
      <c r="C869" s="1185">
        <v>0.875</v>
      </c>
      <c r="D869" s="1186">
        <v>53</v>
      </c>
      <c r="E869" s="1187">
        <v>11.7</v>
      </c>
      <c r="F869" s="1188">
        <v>15.8</v>
      </c>
      <c r="G869" s="1189" t="s">
        <v>142</v>
      </c>
      <c r="H869" s="1189" t="s">
        <v>142</v>
      </c>
      <c r="I869" s="1189" t="s">
        <v>142</v>
      </c>
      <c r="J869" s="1190" t="s">
        <v>142</v>
      </c>
      <c r="K869" s="1190" t="s">
        <v>142</v>
      </c>
      <c r="L869" s="1187">
        <v>33.76</v>
      </c>
      <c r="M869" s="1187">
        <v>38</v>
      </c>
      <c r="N869" s="1187">
        <v>53.63</v>
      </c>
      <c r="O869" s="1191" t="s">
        <v>142</v>
      </c>
      <c r="P869" s="1191" t="s">
        <v>142</v>
      </c>
      <c r="Q869" s="1192" t="s">
        <v>142</v>
      </c>
      <c r="R869" s="1191" t="s">
        <v>1185</v>
      </c>
      <c r="S869" s="1193">
        <v>67.5</v>
      </c>
      <c r="T869" s="1194" t="s">
        <v>23</v>
      </c>
      <c r="U869" s="813" t="s">
        <v>4320</v>
      </c>
      <c r="V869" s="1195" t="s">
        <v>5995</v>
      </c>
      <c r="W869" s="1196"/>
      <c r="X869" s="1196"/>
      <c r="Y869" s="1196"/>
      <c r="Z869" s="1196"/>
      <c r="AA869" s="1196"/>
      <c r="AB869" s="1196"/>
      <c r="AC869" s="1196"/>
      <c r="AD869" s="1196"/>
      <c r="AE869" s="1196"/>
      <c r="AF869" s="1196"/>
      <c r="AG869" s="1196"/>
      <c r="AH869" s="1196"/>
      <c r="AI869" s="1196"/>
      <c r="AJ869" s="1196"/>
      <c r="AK869" s="1196"/>
      <c r="AL869" s="1196"/>
      <c r="AM869" s="1196"/>
      <c r="AN869" s="1196"/>
      <c r="AO869" s="1196"/>
      <c r="AP869" s="1196"/>
      <c r="AQ869" s="1196"/>
      <c r="AR869" s="1196"/>
      <c r="AS869" s="1196"/>
      <c r="AT869" s="1196"/>
      <c r="AU869" s="1196"/>
      <c r="AV869" s="1196"/>
      <c r="AW869" s="1196"/>
      <c r="AX869" s="1196"/>
      <c r="AY869" s="1196"/>
      <c r="AZ869" s="1196"/>
      <c r="BA869" s="1196"/>
      <c r="BB869" s="1196"/>
      <c r="BC869" s="1196"/>
      <c r="BD869" s="1196"/>
      <c r="BE869" s="1196"/>
      <c r="BF869" s="1196"/>
      <c r="BG869" s="1196"/>
      <c r="BH869" s="1196"/>
      <c r="BI869" s="1196"/>
      <c r="BJ869" s="1196"/>
      <c r="BK869" s="1196"/>
      <c r="BL869" s="1196"/>
      <c r="BM869" s="1196"/>
      <c r="BN869" s="1196"/>
      <c r="BO869" s="1196"/>
      <c r="BP869" s="1196"/>
      <c r="BQ869" s="1196"/>
      <c r="BR869" s="1196"/>
      <c r="BS869" s="1196"/>
      <c r="BT869" s="1196"/>
      <c r="BU869" s="1196"/>
      <c r="BV869" s="1196"/>
      <c r="BW869" s="1196"/>
      <c r="BX869" s="1196"/>
      <c r="BY869" s="1196"/>
      <c r="BZ869" s="1196"/>
      <c r="CA869" s="1196"/>
      <c r="CB869" s="1196"/>
      <c r="CC869" s="1196"/>
      <c r="CD869" s="1196"/>
      <c r="CE869" s="1196"/>
      <c r="CF869" s="1196"/>
      <c r="CG869" s="1196"/>
      <c r="CH869" s="1196"/>
      <c r="CI869" s="1196"/>
      <c r="CJ869" s="1196"/>
      <c r="CK869" s="1196"/>
      <c r="CL869" s="1196"/>
    </row>
    <row r="870" spans="1:90" s="1183" customFormat="1" ht="29.25" customHeight="1" x14ac:dyDescent="0.25">
      <c r="A870" s="1183" t="s">
        <v>4704</v>
      </c>
      <c r="B870" s="1184">
        <v>45124</v>
      </c>
      <c r="C870" s="1185">
        <v>0.875</v>
      </c>
      <c r="D870" s="1510" t="s">
        <v>6005</v>
      </c>
      <c r="E870" s="1511"/>
      <c r="F870" s="1511"/>
      <c r="G870" s="1511"/>
      <c r="H870" s="1511"/>
      <c r="I870" s="1511"/>
      <c r="J870" s="1511"/>
      <c r="K870" s="1511"/>
      <c r="L870" s="1511"/>
      <c r="M870" s="1511"/>
      <c r="N870" s="1511"/>
      <c r="O870" s="1511"/>
      <c r="P870" s="1511"/>
      <c r="Q870" s="1511"/>
      <c r="R870" s="1511"/>
      <c r="S870" s="1512"/>
      <c r="T870" s="1194" t="s">
        <v>23</v>
      </c>
      <c r="U870" s="813" t="s">
        <v>4320</v>
      </c>
      <c r="V870" s="1195"/>
      <c r="W870" s="1196"/>
      <c r="X870" s="1196"/>
      <c r="Y870" s="1196"/>
      <c r="Z870" s="1196"/>
      <c r="AA870" s="1196"/>
      <c r="AB870" s="1196"/>
      <c r="AC870" s="1196"/>
      <c r="AD870" s="1196"/>
      <c r="AE870" s="1196"/>
      <c r="AF870" s="1196"/>
      <c r="AG870" s="1196"/>
      <c r="AH870" s="1196"/>
      <c r="AI870" s="1196"/>
      <c r="AJ870" s="1196"/>
      <c r="AK870" s="1196"/>
      <c r="AL870" s="1196"/>
      <c r="AM870" s="1196"/>
      <c r="AN870" s="1196"/>
      <c r="AO870" s="1196"/>
      <c r="AP870" s="1196"/>
      <c r="AQ870" s="1196"/>
      <c r="AR870" s="1196"/>
      <c r="AS870" s="1196"/>
      <c r="AT870" s="1196"/>
      <c r="AU870" s="1196"/>
      <c r="AV870" s="1196"/>
      <c r="AW870" s="1196"/>
      <c r="AX870" s="1196"/>
      <c r="AY870" s="1196"/>
      <c r="AZ870" s="1196"/>
      <c r="BA870" s="1196"/>
      <c r="BB870" s="1196"/>
      <c r="BC870" s="1196"/>
      <c r="BD870" s="1196"/>
      <c r="BE870" s="1196"/>
      <c r="BF870" s="1196"/>
      <c r="BG870" s="1196"/>
      <c r="BH870" s="1196"/>
      <c r="BI870" s="1196"/>
      <c r="BJ870" s="1196"/>
      <c r="BK870" s="1196"/>
      <c r="BL870" s="1196"/>
      <c r="BM870" s="1196"/>
      <c r="BN870" s="1196"/>
      <c r="BO870" s="1196"/>
      <c r="BP870" s="1196"/>
      <c r="BQ870" s="1196"/>
      <c r="BR870" s="1196"/>
      <c r="BS870" s="1196"/>
      <c r="BT870" s="1196"/>
      <c r="BU870" s="1196"/>
      <c r="BV870" s="1196"/>
      <c r="BW870" s="1196"/>
      <c r="BX870" s="1196"/>
      <c r="BY870" s="1196"/>
      <c r="BZ870" s="1196"/>
      <c r="CA870" s="1196"/>
      <c r="CB870" s="1196"/>
      <c r="CC870" s="1196"/>
      <c r="CD870" s="1196"/>
      <c r="CE870" s="1196"/>
      <c r="CF870" s="1196"/>
      <c r="CG870" s="1196"/>
      <c r="CH870" s="1196"/>
      <c r="CI870" s="1196"/>
      <c r="CJ870" s="1196"/>
      <c r="CK870" s="1196"/>
      <c r="CL870" s="1196"/>
    </row>
    <row r="871" spans="1:90" s="1183" customFormat="1" ht="29.25" customHeight="1" x14ac:dyDescent="0.25">
      <c r="A871" s="1183" t="s">
        <v>4704</v>
      </c>
      <c r="B871" s="1184">
        <v>45125</v>
      </c>
      <c r="C871" s="1185">
        <v>0.875</v>
      </c>
      <c r="D871" s="1186">
        <v>53</v>
      </c>
      <c r="E871" s="1187">
        <v>11.2</v>
      </c>
      <c r="F871" s="1188">
        <v>15.3</v>
      </c>
      <c r="G871" s="1189" t="s">
        <v>142</v>
      </c>
      <c r="H871" s="1189" t="s">
        <v>142</v>
      </c>
      <c r="I871" s="1189" t="s">
        <v>142</v>
      </c>
      <c r="J871" s="1190" t="s">
        <v>142</v>
      </c>
      <c r="K871" s="1190" t="s">
        <v>142</v>
      </c>
      <c r="L871" s="1187">
        <v>34.590000000000003</v>
      </c>
      <c r="M871" s="1187">
        <v>37</v>
      </c>
      <c r="N871" s="1187">
        <v>52.44</v>
      </c>
      <c r="O871" s="1191" t="s">
        <v>142</v>
      </c>
      <c r="P871" s="1191" t="s">
        <v>142</v>
      </c>
      <c r="Q871" s="1192" t="s">
        <v>142</v>
      </c>
      <c r="R871" s="1191" t="s">
        <v>4630</v>
      </c>
      <c r="S871" s="1193">
        <v>65.3</v>
      </c>
      <c r="T871" s="1194" t="s">
        <v>23</v>
      </c>
      <c r="U871" s="813" t="s">
        <v>4320</v>
      </c>
      <c r="V871" s="1195"/>
      <c r="W871" s="1196"/>
      <c r="X871" s="1196"/>
      <c r="Y871" s="1196"/>
      <c r="Z871" s="1196"/>
      <c r="AA871" s="1196"/>
      <c r="AB871" s="1196"/>
      <c r="AC871" s="1196"/>
      <c r="AD871" s="1196"/>
      <c r="AE871" s="1196"/>
      <c r="AF871" s="1196"/>
      <c r="AG871" s="1196"/>
      <c r="AH871" s="1196"/>
      <c r="AI871" s="1196"/>
      <c r="AJ871" s="1196"/>
      <c r="AK871" s="1196"/>
      <c r="AL871" s="1196"/>
      <c r="AM871" s="1196"/>
      <c r="AN871" s="1196"/>
      <c r="AO871" s="1196"/>
      <c r="AP871" s="1196"/>
      <c r="AQ871" s="1196"/>
      <c r="AR871" s="1196"/>
      <c r="AS871" s="1196"/>
      <c r="AT871" s="1196"/>
      <c r="AU871" s="1196"/>
      <c r="AV871" s="1196"/>
      <c r="AW871" s="1196"/>
      <c r="AX871" s="1196"/>
      <c r="AY871" s="1196"/>
      <c r="AZ871" s="1196"/>
      <c r="BA871" s="1196"/>
      <c r="BB871" s="1196"/>
      <c r="BC871" s="1196"/>
      <c r="BD871" s="1196"/>
      <c r="BE871" s="1196"/>
      <c r="BF871" s="1196"/>
      <c r="BG871" s="1196"/>
      <c r="BH871" s="1196"/>
      <c r="BI871" s="1196"/>
      <c r="BJ871" s="1196"/>
      <c r="BK871" s="1196"/>
      <c r="BL871" s="1196"/>
      <c r="BM871" s="1196"/>
      <c r="BN871" s="1196"/>
      <c r="BO871" s="1196"/>
      <c r="BP871" s="1196"/>
      <c r="BQ871" s="1196"/>
      <c r="BR871" s="1196"/>
      <c r="BS871" s="1196"/>
      <c r="BT871" s="1196"/>
      <c r="BU871" s="1196"/>
      <c r="BV871" s="1196"/>
      <c r="BW871" s="1196"/>
      <c r="BX871" s="1196"/>
      <c r="BY871" s="1196"/>
      <c r="BZ871" s="1196"/>
      <c r="CA871" s="1196"/>
      <c r="CB871" s="1196"/>
      <c r="CC871" s="1196"/>
      <c r="CD871" s="1196"/>
      <c r="CE871" s="1196"/>
      <c r="CF871" s="1196"/>
      <c r="CG871" s="1196"/>
      <c r="CH871" s="1196"/>
      <c r="CI871" s="1196"/>
      <c r="CJ871" s="1196"/>
      <c r="CK871" s="1196"/>
      <c r="CL871" s="1196"/>
    </row>
    <row r="872" spans="1:90" s="1183" customFormat="1" ht="29.25" customHeight="1" x14ac:dyDescent="0.25">
      <c r="A872" s="1183" t="s">
        <v>4704</v>
      </c>
      <c r="B872" s="1184">
        <v>45126</v>
      </c>
      <c r="C872" s="1185">
        <v>0.875</v>
      </c>
      <c r="D872" s="1510" t="s">
        <v>6020</v>
      </c>
      <c r="E872" s="1511"/>
      <c r="F872" s="1511"/>
      <c r="G872" s="1511"/>
      <c r="H872" s="1511"/>
      <c r="I872" s="1511"/>
      <c r="J872" s="1511"/>
      <c r="K872" s="1511"/>
      <c r="L872" s="1511"/>
      <c r="M872" s="1511"/>
      <c r="N872" s="1511"/>
      <c r="O872" s="1511"/>
      <c r="P872" s="1511"/>
      <c r="Q872" s="1511"/>
      <c r="R872" s="1511"/>
      <c r="S872" s="1512"/>
      <c r="T872" s="1194" t="s">
        <v>23</v>
      </c>
      <c r="U872" s="813" t="s">
        <v>4320</v>
      </c>
      <c r="V872" s="1195"/>
      <c r="W872" s="1196"/>
      <c r="X872" s="1196"/>
      <c r="Y872" s="1196"/>
      <c r="Z872" s="1196"/>
      <c r="AA872" s="1196"/>
      <c r="AB872" s="1196"/>
      <c r="AC872" s="1196"/>
      <c r="AD872" s="1196"/>
      <c r="AE872" s="1196"/>
      <c r="AF872" s="1196"/>
      <c r="AG872" s="1196"/>
      <c r="AH872" s="1196"/>
      <c r="AI872" s="1196"/>
      <c r="AJ872" s="1196"/>
      <c r="AK872" s="1196"/>
      <c r="AL872" s="1196"/>
      <c r="AM872" s="1196"/>
      <c r="AN872" s="1196"/>
      <c r="AO872" s="1196"/>
      <c r="AP872" s="1196"/>
      <c r="AQ872" s="1196"/>
      <c r="AR872" s="1196"/>
      <c r="AS872" s="1196"/>
      <c r="AT872" s="1196"/>
      <c r="AU872" s="1196"/>
      <c r="AV872" s="1196"/>
      <c r="AW872" s="1196"/>
      <c r="AX872" s="1196"/>
      <c r="AY872" s="1196"/>
      <c r="AZ872" s="1196"/>
      <c r="BA872" s="1196"/>
      <c r="BB872" s="1196"/>
      <c r="BC872" s="1196"/>
      <c r="BD872" s="1196"/>
      <c r="BE872" s="1196"/>
      <c r="BF872" s="1196"/>
      <c r="BG872" s="1196"/>
      <c r="BH872" s="1196"/>
      <c r="BI872" s="1196"/>
      <c r="BJ872" s="1196"/>
      <c r="BK872" s="1196"/>
      <c r="BL872" s="1196"/>
      <c r="BM872" s="1196"/>
      <c r="BN872" s="1196"/>
      <c r="BO872" s="1196"/>
      <c r="BP872" s="1196"/>
      <c r="BQ872" s="1196"/>
      <c r="BR872" s="1196"/>
      <c r="BS872" s="1196"/>
      <c r="BT872" s="1196"/>
      <c r="BU872" s="1196"/>
      <c r="BV872" s="1196"/>
      <c r="BW872" s="1196"/>
      <c r="BX872" s="1196"/>
      <c r="BY872" s="1196"/>
      <c r="BZ872" s="1196"/>
      <c r="CA872" s="1196"/>
      <c r="CB872" s="1196"/>
      <c r="CC872" s="1196"/>
      <c r="CD872" s="1196"/>
      <c r="CE872" s="1196"/>
      <c r="CF872" s="1196"/>
      <c r="CG872" s="1196"/>
      <c r="CH872" s="1196"/>
      <c r="CI872" s="1196"/>
      <c r="CJ872" s="1196"/>
      <c r="CK872" s="1196"/>
      <c r="CL872" s="1196"/>
    </row>
    <row r="873" spans="1:90" s="1183" customFormat="1" ht="29.25" customHeight="1" x14ac:dyDescent="0.25">
      <c r="A873" s="1183" t="s">
        <v>4704</v>
      </c>
      <c r="B873" s="1184">
        <v>45127</v>
      </c>
      <c r="C873" s="1185">
        <v>0.875</v>
      </c>
      <c r="D873" s="1186">
        <v>53</v>
      </c>
      <c r="E873" s="1187">
        <v>11.1</v>
      </c>
      <c r="F873" s="1188">
        <v>15.3</v>
      </c>
      <c r="G873" s="1189" t="s">
        <v>142</v>
      </c>
      <c r="H873" s="1189" t="s">
        <v>142</v>
      </c>
      <c r="I873" s="1189" t="s">
        <v>142</v>
      </c>
      <c r="J873" s="1190" t="s">
        <v>142</v>
      </c>
      <c r="K873" s="1190" t="s">
        <v>142</v>
      </c>
      <c r="L873" s="1187">
        <v>34.61</v>
      </c>
      <c r="M873" s="1187">
        <v>37</v>
      </c>
      <c r="N873" s="1187">
        <v>52.6</v>
      </c>
      <c r="O873" s="1191" t="s">
        <v>142</v>
      </c>
      <c r="P873" s="1191" t="s">
        <v>142</v>
      </c>
      <c r="Q873" s="1192" t="s">
        <v>142</v>
      </c>
      <c r="R873" s="1191" t="s">
        <v>2127</v>
      </c>
      <c r="S873" s="1193">
        <v>65.3</v>
      </c>
      <c r="T873" s="1194" t="s">
        <v>23</v>
      </c>
      <c r="U873" s="813" t="s">
        <v>4320</v>
      </c>
      <c r="V873" s="1195"/>
      <c r="W873" s="1196"/>
      <c r="X873" s="1196"/>
      <c r="Y873" s="1196"/>
      <c r="Z873" s="1196"/>
      <c r="AA873" s="1196"/>
      <c r="AB873" s="1196"/>
      <c r="AC873" s="1196"/>
      <c r="AD873" s="1196"/>
      <c r="AE873" s="1196"/>
      <c r="AF873" s="1196"/>
      <c r="AG873" s="1196"/>
      <c r="AH873" s="1196"/>
      <c r="AI873" s="1196"/>
      <c r="AJ873" s="1196"/>
      <c r="AK873" s="1196"/>
      <c r="AL873" s="1196"/>
      <c r="AM873" s="1196"/>
      <c r="AN873" s="1196"/>
      <c r="AO873" s="1196"/>
      <c r="AP873" s="1196"/>
      <c r="AQ873" s="1196"/>
      <c r="AR873" s="1196"/>
      <c r="AS873" s="1196"/>
      <c r="AT873" s="1196"/>
      <c r="AU873" s="1196"/>
      <c r="AV873" s="1196"/>
      <c r="AW873" s="1196"/>
      <c r="AX873" s="1196"/>
      <c r="AY873" s="1196"/>
      <c r="AZ873" s="1196"/>
      <c r="BA873" s="1196"/>
      <c r="BB873" s="1196"/>
      <c r="BC873" s="1196"/>
      <c r="BD873" s="1196"/>
      <c r="BE873" s="1196"/>
      <c r="BF873" s="1196"/>
      <c r="BG873" s="1196"/>
      <c r="BH873" s="1196"/>
      <c r="BI873" s="1196"/>
      <c r="BJ873" s="1196"/>
      <c r="BK873" s="1196"/>
      <c r="BL873" s="1196"/>
      <c r="BM873" s="1196"/>
      <c r="BN873" s="1196"/>
      <c r="BO873" s="1196"/>
      <c r="BP873" s="1196"/>
      <c r="BQ873" s="1196"/>
      <c r="BR873" s="1196"/>
      <c r="BS873" s="1196"/>
      <c r="BT873" s="1196"/>
      <c r="BU873" s="1196"/>
      <c r="BV873" s="1196"/>
      <c r="BW873" s="1196"/>
      <c r="BX873" s="1196"/>
      <c r="BY873" s="1196"/>
      <c r="BZ873" s="1196"/>
      <c r="CA873" s="1196"/>
      <c r="CB873" s="1196"/>
      <c r="CC873" s="1196"/>
      <c r="CD873" s="1196"/>
      <c r="CE873" s="1196"/>
      <c r="CF873" s="1196"/>
      <c r="CG873" s="1196"/>
      <c r="CH873" s="1196"/>
      <c r="CI873" s="1196"/>
      <c r="CJ873" s="1196"/>
      <c r="CK873" s="1196"/>
      <c r="CL873" s="1196"/>
    </row>
    <row r="874" spans="1:90" s="1183" customFormat="1" ht="29.25" customHeight="1" x14ac:dyDescent="0.25">
      <c r="A874" s="1183" t="s">
        <v>4704</v>
      </c>
      <c r="B874" s="1184">
        <v>45128</v>
      </c>
      <c r="C874" s="1185">
        <v>0.875</v>
      </c>
      <c r="D874" s="1510" t="s">
        <v>6032</v>
      </c>
      <c r="E874" s="1511"/>
      <c r="F874" s="1511"/>
      <c r="G874" s="1511"/>
      <c r="H874" s="1511"/>
      <c r="I874" s="1511"/>
      <c r="J874" s="1511"/>
      <c r="K874" s="1511"/>
      <c r="L874" s="1511"/>
      <c r="M874" s="1511"/>
      <c r="N874" s="1511"/>
      <c r="O874" s="1511"/>
      <c r="P874" s="1511"/>
      <c r="Q874" s="1511"/>
      <c r="R874" s="1511"/>
      <c r="S874" s="1512"/>
      <c r="T874" s="1194" t="s">
        <v>23</v>
      </c>
      <c r="U874" s="813" t="s">
        <v>4320</v>
      </c>
      <c r="V874" s="1195"/>
      <c r="W874" s="1196"/>
      <c r="X874" s="1196"/>
      <c r="Y874" s="1196"/>
      <c r="Z874" s="1196"/>
      <c r="AA874" s="1196"/>
      <c r="AB874" s="1196"/>
      <c r="AC874" s="1196"/>
      <c r="AD874" s="1196"/>
      <c r="AE874" s="1196"/>
      <c r="AF874" s="1196"/>
      <c r="AG874" s="1196"/>
      <c r="AH874" s="1196"/>
      <c r="AI874" s="1196"/>
      <c r="AJ874" s="1196"/>
      <c r="AK874" s="1196"/>
      <c r="AL874" s="1196"/>
      <c r="AM874" s="1196"/>
      <c r="AN874" s="1196"/>
      <c r="AO874" s="1196"/>
      <c r="AP874" s="1196"/>
      <c r="AQ874" s="1196"/>
      <c r="AR874" s="1196"/>
      <c r="AS874" s="1196"/>
      <c r="AT874" s="1196"/>
      <c r="AU874" s="1196"/>
      <c r="AV874" s="1196"/>
      <c r="AW874" s="1196"/>
      <c r="AX874" s="1196"/>
      <c r="AY874" s="1196"/>
      <c r="AZ874" s="1196"/>
      <c r="BA874" s="1196"/>
      <c r="BB874" s="1196"/>
      <c r="BC874" s="1196"/>
      <c r="BD874" s="1196"/>
      <c r="BE874" s="1196"/>
      <c r="BF874" s="1196"/>
      <c r="BG874" s="1196"/>
      <c r="BH874" s="1196"/>
      <c r="BI874" s="1196"/>
      <c r="BJ874" s="1196"/>
      <c r="BK874" s="1196"/>
      <c r="BL874" s="1196"/>
      <c r="BM874" s="1196"/>
      <c r="BN874" s="1196"/>
      <c r="BO874" s="1196"/>
      <c r="BP874" s="1196"/>
      <c r="BQ874" s="1196"/>
      <c r="BR874" s="1196"/>
      <c r="BS874" s="1196"/>
      <c r="BT874" s="1196"/>
      <c r="BU874" s="1196"/>
      <c r="BV874" s="1196"/>
      <c r="BW874" s="1196"/>
      <c r="BX874" s="1196"/>
      <c r="BY874" s="1196"/>
      <c r="BZ874" s="1196"/>
      <c r="CA874" s="1196"/>
      <c r="CB874" s="1196"/>
      <c r="CC874" s="1196"/>
      <c r="CD874" s="1196"/>
      <c r="CE874" s="1196"/>
      <c r="CF874" s="1196"/>
      <c r="CG874" s="1196"/>
      <c r="CH874" s="1196"/>
      <c r="CI874" s="1196"/>
      <c r="CJ874" s="1196"/>
      <c r="CK874" s="1196"/>
      <c r="CL874" s="1196"/>
    </row>
    <row r="875" spans="1:90" s="1183" customFormat="1" ht="29.25" customHeight="1" x14ac:dyDescent="0.25">
      <c r="A875" s="1183" t="s">
        <v>4704</v>
      </c>
      <c r="B875" s="1184">
        <v>45129</v>
      </c>
      <c r="C875" s="1185">
        <v>0.91666666666666663</v>
      </c>
      <c r="D875" s="1186">
        <v>53</v>
      </c>
      <c r="E875" s="1187">
        <v>10.7</v>
      </c>
      <c r="F875" s="1188">
        <v>15.1</v>
      </c>
      <c r="G875" s="1189" t="s">
        <v>142</v>
      </c>
      <c r="H875" s="1189" t="s">
        <v>142</v>
      </c>
      <c r="I875" s="1189" t="s">
        <v>142</v>
      </c>
      <c r="J875" s="1190" t="s">
        <v>142</v>
      </c>
      <c r="K875" s="1190" t="s">
        <v>142</v>
      </c>
      <c r="L875" s="1187">
        <v>34.200000000000003</v>
      </c>
      <c r="M875" s="1187">
        <v>37</v>
      </c>
      <c r="N875" s="1187">
        <v>50.84</v>
      </c>
      <c r="O875" s="1191" t="s">
        <v>142</v>
      </c>
      <c r="P875" s="1191" t="s">
        <v>142</v>
      </c>
      <c r="Q875" s="1192" t="s">
        <v>142</v>
      </c>
      <c r="R875" s="1191" t="s">
        <v>5206</v>
      </c>
      <c r="S875" s="1193">
        <v>64.5</v>
      </c>
      <c r="T875" s="1194" t="s">
        <v>23</v>
      </c>
      <c r="U875" s="813" t="s">
        <v>4320</v>
      </c>
      <c r="V875" s="1195"/>
      <c r="W875" s="1196"/>
      <c r="X875" s="1196"/>
      <c r="Y875" s="1196"/>
      <c r="Z875" s="1196"/>
      <c r="AA875" s="1196"/>
      <c r="AB875" s="1196"/>
      <c r="AC875" s="1196"/>
      <c r="AD875" s="1196"/>
      <c r="AE875" s="1196"/>
      <c r="AF875" s="1196"/>
      <c r="AG875" s="1196"/>
      <c r="AH875" s="1196"/>
      <c r="AI875" s="1196"/>
      <c r="AJ875" s="1196"/>
      <c r="AK875" s="1196"/>
      <c r="AL875" s="1196"/>
      <c r="AM875" s="1196"/>
      <c r="AN875" s="1196"/>
      <c r="AO875" s="1196"/>
      <c r="AP875" s="1196"/>
      <c r="AQ875" s="1196"/>
      <c r="AR875" s="1196"/>
      <c r="AS875" s="1196"/>
      <c r="AT875" s="1196"/>
      <c r="AU875" s="1196"/>
      <c r="AV875" s="1196"/>
      <c r="AW875" s="1196"/>
      <c r="AX875" s="1196"/>
      <c r="AY875" s="1196"/>
      <c r="AZ875" s="1196"/>
      <c r="BA875" s="1196"/>
      <c r="BB875" s="1196"/>
      <c r="BC875" s="1196"/>
      <c r="BD875" s="1196"/>
      <c r="BE875" s="1196"/>
      <c r="BF875" s="1196"/>
      <c r="BG875" s="1196"/>
      <c r="BH875" s="1196"/>
      <c r="BI875" s="1196"/>
      <c r="BJ875" s="1196"/>
      <c r="BK875" s="1196"/>
      <c r="BL875" s="1196"/>
      <c r="BM875" s="1196"/>
      <c r="BN875" s="1196"/>
      <c r="BO875" s="1196"/>
      <c r="BP875" s="1196"/>
      <c r="BQ875" s="1196"/>
      <c r="BR875" s="1196"/>
      <c r="BS875" s="1196"/>
      <c r="BT875" s="1196"/>
      <c r="BU875" s="1196"/>
      <c r="BV875" s="1196"/>
      <c r="BW875" s="1196"/>
      <c r="BX875" s="1196"/>
      <c r="BY875" s="1196"/>
      <c r="BZ875" s="1196"/>
      <c r="CA875" s="1196"/>
      <c r="CB875" s="1196"/>
      <c r="CC875" s="1196"/>
      <c r="CD875" s="1196"/>
      <c r="CE875" s="1196"/>
      <c r="CF875" s="1196"/>
      <c r="CG875" s="1196"/>
      <c r="CH875" s="1196"/>
      <c r="CI875" s="1196"/>
      <c r="CJ875" s="1196"/>
      <c r="CK875" s="1196"/>
      <c r="CL875" s="1196"/>
    </row>
    <row r="876" spans="1:90" s="1183" customFormat="1" ht="29.25" customHeight="1" x14ac:dyDescent="0.25">
      <c r="A876" s="1183" t="s">
        <v>4704</v>
      </c>
      <c r="B876" s="1184">
        <v>45130</v>
      </c>
      <c r="C876" s="1185">
        <v>0.91666666666666663</v>
      </c>
      <c r="D876" s="1510" t="s">
        <v>6048</v>
      </c>
      <c r="E876" s="1511"/>
      <c r="F876" s="1511"/>
      <c r="G876" s="1511"/>
      <c r="H876" s="1511"/>
      <c r="I876" s="1511"/>
      <c r="J876" s="1511"/>
      <c r="K876" s="1511"/>
      <c r="L876" s="1511"/>
      <c r="M876" s="1511"/>
      <c r="N876" s="1511"/>
      <c r="O876" s="1511"/>
      <c r="P876" s="1511"/>
      <c r="Q876" s="1511"/>
      <c r="R876" s="1511"/>
      <c r="S876" s="1512"/>
      <c r="T876" s="1194" t="s">
        <v>23</v>
      </c>
      <c r="U876" s="813" t="s">
        <v>4320</v>
      </c>
      <c r="V876" s="1195"/>
      <c r="W876" s="1196"/>
      <c r="X876" s="1196"/>
      <c r="Y876" s="1196"/>
      <c r="Z876" s="1196"/>
      <c r="AA876" s="1196"/>
      <c r="AB876" s="1196"/>
      <c r="AC876" s="1196"/>
      <c r="AD876" s="1196"/>
      <c r="AE876" s="1196"/>
      <c r="AF876" s="1196"/>
      <c r="AG876" s="1196"/>
      <c r="AH876" s="1196"/>
      <c r="AI876" s="1196"/>
      <c r="AJ876" s="1196"/>
      <c r="AK876" s="1196"/>
      <c r="AL876" s="1196"/>
      <c r="AM876" s="1196"/>
      <c r="AN876" s="1196"/>
      <c r="AO876" s="1196"/>
      <c r="AP876" s="1196"/>
      <c r="AQ876" s="1196"/>
      <c r="AR876" s="1196"/>
      <c r="AS876" s="1196"/>
      <c r="AT876" s="1196"/>
      <c r="AU876" s="1196"/>
      <c r="AV876" s="1196"/>
      <c r="AW876" s="1196"/>
      <c r="AX876" s="1196"/>
      <c r="AY876" s="1196"/>
      <c r="AZ876" s="1196"/>
      <c r="BA876" s="1196"/>
      <c r="BB876" s="1196"/>
      <c r="BC876" s="1196"/>
      <c r="BD876" s="1196"/>
      <c r="BE876" s="1196"/>
      <c r="BF876" s="1196"/>
      <c r="BG876" s="1196"/>
      <c r="BH876" s="1196"/>
      <c r="BI876" s="1196"/>
      <c r="BJ876" s="1196"/>
      <c r="BK876" s="1196"/>
      <c r="BL876" s="1196"/>
      <c r="BM876" s="1196"/>
      <c r="BN876" s="1196"/>
      <c r="BO876" s="1196"/>
      <c r="BP876" s="1196"/>
      <c r="BQ876" s="1196"/>
      <c r="BR876" s="1196"/>
      <c r="BS876" s="1196"/>
      <c r="BT876" s="1196"/>
      <c r="BU876" s="1196"/>
      <c r="BV876" s="1196"/>
      <c r="BW876" s="1196"/>
      <c r="BX876" s="1196"/>
      <c r="BY876" s="1196"/>
      <c r="BZ876" s="1196"/>
      <c r="CA876" s="1196"/>
      <c r="CB876" s="1196"/>
      <c r="CC876" s="1196"/>
      <c r="CD876" s="1196"/>
      <c r="CE876" s="1196"/>
      <c r="CF876" s="1196"/>
      <c r="CG876" s="1196"/>
      <c r="CH876" s="1196"/>
      <c r="CI876" s="1196"/>
      <c r="CJ876" s="1196"/>
      <c r="CK876" s="1196"/>
      <c r="CL876" s="1196"/>
    </row>
    <row r="877" spans="1:90" s="1183" customFormat="1" ht="29.25" customHeight="1" x14ac:dyDescent="0.25">
      <c r="A877" s="1183" t="s">
        <v>4704</v>
      </c>
      <c r="B877" s="1184">
        <v>45131</v>
      </c>
      <c r="C877" s="1185">
        <v>0.91666666666666663</v>
      </c>
      <c r="D877" s="1186">
        <v>53</v>
      </c>
      <c r="E877" s="1187">
        <v>11.7</v>
      </c>
      <c r="F877" s="1188">
        <v>15.6</v>
      </c>
      <c r="G877" s="1189" t="s">
        <v>142</v>
      </c>
      <c r="H877" s="1189" t="s">
        <v>142</v>
      </c>
      <c r="I877" s="1189" t="s">
        <v>142</v>
      </c>
      <c r="J877" s="1190" t="s">
        <v>142</v>
      </c>
      <c r="K877" s="1190" t="s">
        <v>142</v>
      </c>
      <c r="L877" s="1187">
        <v>33.799999999999997</v>
      </c>
      <c r="M877" s="1187">
        <v>37</v>
      </c>
      <c r="N877" s="1187">
        <v>55.35</v>
      </c>
      <c r="O877" s="1191" t="s">
        <v>142</v>
      </c>
      <c r="P877" s="1191" t="s">
        <v>142</v>
      </c>
      <c r="Q877" s="1192" t="s">
        <v>142</v>
      </c>
      <c r="R877" s="1191" t="s">
        <v>1185</v>
      </c>
      <c r="S877" s="1193">
        <v>66.599999999999994</v>
      </c>
      <c r="T877" s="1194" t="s">
        <v>23</v>
      </c>
      <c r="U877" s="813" t="s">
        <v>4320</v>
      </c>
      <c r="V877" s="1195"/>
      <c r="W877" s="1196"/>
      <c r="X877" s="1196"/>
      <c r="Y877" s="1196"/>
      <c r="Z877" s="1196"/>
      <c r="AA877" s="1196"/>
      <c r="AB877" s="1196"/>
      <c r="AC877" s="1196"/>
      <c r="AD877" s="1196"/>
      <c r="AE877" s="1196"/>
      <c r="AF877" s="1196"/>
      <c r="AG877" s="1196"/>
      <c r="AH877" s="1196"/>
      <c r="AI877" s="1196"/>
      <c r="AJ877" s="1196"/>
      <c r="AK877" s="1196"/>
      <c r="AL877" s="1196"/>
      <c r="AM877" s="1196"/>
      <c r="AN877" s="1196"/>
      <c r="AO877" s="1196"/>
      <c r="AP877" s="1196"/>
      <c r="AQ877" s="1196"/>
      <c r="AR877" s="1196"/>
      <c r="AS877" s="1196"/>
      <c r="AT877" s="1196"/>
      <c r="AU877" s="1196"/>
      <c r="AV877" s="1196"/>
      <c r="AW877" s="1196"/>
      <c r="AX877" s="1196"/>
      <c r="AY877" s="1196"/>
      <c r="AZ877" s="1196"/>
      <c r="BA877" s="1196"/>
      <c r="BB877" s="1196"/>
      <c r="BC877" s="1196"/>
      <c r="BD877" s="1196"/>
      <c r="BE877" s="1196"/>
      <c r="BF877" s="1196"/>
      <c r="BG877" s="1196"/>
      <c r="BH877" s="1196"/>
      <c r="BI877" s="1196"/>
      <c r="BJ877" s="1196"/>
      <c r="BK877" s="1196"/>
      <c r="BL877" s="1196"/>
      <c r="BM877" s="1196"/>
      <c r="BN877" s="1196"/>
      <c r="BO877" s="1196"/>
      <c r="BP877" s="1196"/>
      <c r="BQ877" s="1196"/>
      <c r="BR877" s="1196"/>
      <c r="BS877" s="1196"/>
      <c r="BT877" s="1196"/>
      <c r="BU877" s="1196"/>
      <c r="BV877" s="1196"/>
      <c r="BW877" s="1196"/>
      <c r="BX877" s="1196"/>
      <c r="BY877" s="1196"/>
      <c r="BZ877" s="1196"/>
      <c r="CA877" s="1196"/>
      <c r="CB877" s="1196"/>
      <c r="CC877" s="1196"/>
      <c r="CD877" s="1196"/>
      <c r="CE877" s="1196"/>
      <c r="CF877" s="1196"/>
      <c r="CG877" s="1196"/>
      <c r="CH877" s="1196"/>
      <c r="CI877" s="1196"/>
      <c r="CJ877" s="1196"/>
      <c r="CK877" s="1196"/>
      <c r="CL877" s="1196"/>
    </row>
    <row r="878" spans="1:90" s="1183" customFormat="1" ht="29.25" customHeight="1" x14ac:dyDescent="0.25">
      <c r="A878" s="1183" t="s">
        <v>4704</v>
      </c>
      <c r="B878" s="1184">
        <v>45132</v>
      </c>
      <c r="C878" s="1185">
        <v>0.91666666666666663</v>
      </c>
      <c r="D878" s="1510" t="s">
        <v>6060</v>
      </c>
      <c r="E878" s="1511"/>
      <c r="F878" s="1511"/>
      <c r="G878" s="1511"/>
      <c r="H878" s="1511"/>
      <c r="I878" s="1511"/>
      <c r="J878" s="1511"/>
      <c r="K878" s="1511"/>
      <c r="L878" s="1511"/>
      <c r="M878" s="1511"/>
      <c r="N878" s="1511"/>
      <c r="O878" s="1511"/>
      <c r="P878" s="1511"/>
      <c r="Q878" s="1511"/>
      <c r="R878" s="1511"/>
      <c r="S878" s="1512"/>
      <c r="T878" s="1194" t="s">
        <v>23</v>
      </c>
      <c r="U878" s="813" t="s">
        <v>4320</v>
      </c>
      <c r="V878" s="1195"/>
      <c r="W878" s="1196"/>
      <c r="X878" s="1196"/>
      <c r="Y878" s="1196"/>
      <c r="Z878" s="1196"/>
      <c r="AA878" s="1196"/>
      <c r="AB878" s="1196"/>
      <c r="AC878" s="1196"/>
      <c r="AD878" s="1196"/>
      <c r="AE878" s="1196"/>
      <c r="AF878" s="1196"/>
      <c r="AG878" s="1196"/>
      <c r="AH878" s="1196"/>
      <c r="AI878" s="1196"/>
      <c r="AJ878" s="1196"/>
      <c r="AK878" s="1196"/>
      <c r="AL878" s="1196"/>
      <c r="AM878" s="1196"/>
      <c r="AN878" s="1196"/>
      <c r="AO878" s="1196"/>
      <c r="AP878" s="1196"/>
      <c r="AQ878" s="1196"/>
      <c r="AR878" s="1196"/>
      <c r="AS878" s="1196"/>
      <c r="AT878" s="1196"/>
      <c r="AU878" s="1196"/>
      <c r="AV878" s="1196"/>
      <c r="AW878" s="1196"/>
      <c r="AX878" s="1196"/>
      <c r="AY878" s="1196"/>
      <c r="AZ878" s="1196"/>
      <c r="BA878" s="1196"/>
      <c r="BB878" s="1196"/>
      <c r="BC878" s="1196"/>
      <c r="BD878" s="1196"/>
      <c r="BE878" s="1196"/>
      <c r="BF878" s="1196"/>
      <c r="BG878" s="1196"/>
      <c r="BH878" s="1196"/>
      <c r="BI878" s="1196"/>
      <c r="BJ878" s="1196"/>
      <c r="BK878" s="1196"/>
      <c r="BL878" s="1196"/>
      <c r="BM878" s="1196"/>
      <c r="BN878" s="1196"/>
      <c r="BO878" s="1196"/>
      <c r="BP878" s="1196"/>
      <c r="BQ878" s="1196"/>
      <c r="BR878" s="1196"/>
      <c r="BS878" s="1196"/>
      <c r="BT878" s="1196"/>
      <c r="BU878" s="1196"/>
      <c r="BV878" s="1196"/>
      <c r="BW878" s="1196"/>
      <c r="BX878" s="1196"/>
      <c r="BY878" s="1196"/>
      <c r="BZ878" s="1196"/>
      <c r="CA878" s="1196"/>
      <c r="CB878" s="1196"/>
      <c r="CC878" s="1196"/>
      <c r="CD878" s="1196"/>
      <c r="CE878" s="1196"/>
      <c r="CF878" s="1196"/>
      <c r="CG878" s="1196"/>
      <c r="CH878" s="1196"/>
      <c r="CI878" s="1196"/>
      <c r="CJ878" s="1196"/>
      <c r="CK878" s="1196"/>
      <c r="CL878" s="1196"/>
    </row>
    <row r="879" spans="1:90" s="1183" customFormat="1" ht="29.25" customHeight="1" x14ac:dyDescent="0.25">
      <c r="A879" s="1183" t="s">
        <v>4704</v>
      </c>
      <c r="B879" s="1184">
        <v>45133</v>
      </c>
      <c r="C879" s="1185">
        <v>0.91666666666666663</v>
      </c>
      <c r="D879" s="1186">
        <v>54</v>
      </c>
      <c r="E879" s="1187">
        <v>11.4</v>
      </c>
      <c r="F879" s="1188">
        <v>15.5</v>
      </c>
      <c r="G879" s="1189" t="s">
        <v>142</v>
      </c>
      <c r="H879" s="1189" t="s">
        <v>142</v>
      </c>
      <c r="I879" s="1189" t="s">
        <v>142</v>
      </c>
      <c r="J879" s="1190" t="s">
        <v>142</v>
      </c>
      <c r="K879" s="1190" t="s">
        <v>142</v>
      </c>
      <c r="L879" s="1187">
        <v>34.68</v>
      </c>
      <c r="M879" s="1187">
        <v>37</v>
      </c>
      <c r="N879" s="1187">
        <v>53.41</v>
      </c>
      <c r="O879" s="1191" t="s">
        <v>142</v>
      </c>
      <c r="P879" s="1191" t="s">
        <v>142</v>
      </c>
      <c r="Q879" s="1192" t="s">
        <v>142</v>
      </c>
      <c r="R879" s="1191" t="s">
        <v>1816</v>
      </c>
      <c r="S879" s="1193">
        <v>66.2</v>
      </c>
      <c r="T879" s="1194" t="s">
        <v>23</v>
      </c>
      <c r="U879" s="813" t="s">
        <v>4320</v>
      </c>
      <c r="V879" s="1195"/>
      <c r="W879" s="1196"/>
      <c r="X879" s="1196"/>
      <c r="Y879" s="1196"/>
      <c r="Z879" s="1196"/>
      <c r="AA879" s="1196"/>
      <c r="AB879" s="1196"/>
      <c r="AC879" s="1196"/>
      <c r="AD879" s="1196"/>
      <c r="AE879" s="1196"/>
      <c r="AF879" s="1196"/>
      <c r="AG879" s="1196"/>
      <c r="AH879" s="1196"/>
      <c r="AI879" s="1196"/>
      <c r="AJ879" s="1196"/>
      <c r="AK879" s="1196"/>
      <c r="AL879" s="1196"/>
      <c r="AM879" s="1196"/>
      <c r="AN879" s="1196"/>
      <c r="AO879" s="1196"/>
      <c r="AP879" s="1196"/>
      <c r="AQ879" s="1196"/>
      <c r="AR879" s="1196"/>
      <c r="AS879" s="1196"/>
      <c r="AT879" s="1196"/>
      <c r="AU879" s="1196"/>
      <c r="AV879" s="1196"/>
      <c r="AW879" s="1196"/>
      <c r="AX879" s="1196"/>
      <c r="AY879" s="1196"/>
      <c r="AZ879" s="1196"/>
      <c r="BA879" s="1196"/>
      <c r="BB879" s="1196"/>
      <c r="BC879" s="1196"/>
      <c r="BD879" s="1196"/>
      <c r="BE879" s="1196"/>
      <c r="BF879" s="1196"/>
      <c r="BG879" s="1196"/>
      <c r="BH879" s="1196"/>
      <c r="BI879" s="1196"/>
      <c r="BJ879" s="1196"/>
      <c r="BK879" s="1196"/>
      <c r="BL879" s="1196"/>
      <c r="BM879" s="1196"/>
      <c r="BN879" s="1196"/>
      <c r="BO879" s="1196"/>
      <c r="BP879" s="1196"/>
      <c r="BQ879" s="1196"/>
      <c r="BR879" s="1196"/>
      <c r="BS879" s="1196"/>
      <c r="BT879" s="1196"/>
      <c r="BU879" s="1196"/>
      <c r="BV879" s="1196"/>
      <c r="BW879" s="1196"/>
      <c r="BX879" s="1196"/>
      <c r="BY879" s="1196"/>
      <c r="BZ879" s="1196"/>
      <c r="CA879" s="1196"/>
      <c r="CB879" s="1196"/>
      <c r="CC879" s="1196"/>
      <c r="CD879" s="1196"/>
      <c r="CE879" s="1196"/>
      <c r="CF879" s="1196"/>
      <c r="CG879" s="1196"/>
      <c r="CH879" s="1196"/>
      <c r="CI879" s="1196"/>
      <c r="CJ879" s="1196"/>
      <c r="CK879" s="1196"/>
      <c r="CL879" s="1196"/>
    </row>
    <row r="880" spans="1:90" s="1183" customFormat="1" ht="29.25" customHeight="1" x14ac:dyDescent="0.25">
      <c r="A880" s="1183" t="s">
        <v>4704</v>
      </c>
      <c r="B880" s="1184">
        <v>45134</v>
      </c>
      <c r="C880" s="1185">
        <v>0.875</v>
      </c>
      <c r="D880" s="1186">
        <v>54</v>
      </c>
      <c r="E880" s="1187">
        <v>13.8</v>
      </c>
      <c r="F880" s="1188">
        <v>17.5</v>
      </c>
      <c r="G880" s="1189" t="s">
        <v>142</v>
      </c>
      <c r="H880" s="1189" t="s">
        <v>142</v>
      </c>
      <c r="I880" s="1189" t="s">
        <v>142</v>
      </c>
      <c r="J880" s="1190" t="s">
        <v>142</v>
      </c>
      <c r="K880" s="1190" t="s">
        <v>142</v>
      </c>
      <c r="L880" s="1187">
        <v>35.090000000000003</v>
      </c>
      <c r="M880" s="1187">
        <v>37</v>
      </c>
      <c r="N880" s="1187">
        <v>55.79</v>
      </c>
      <c r="O880" s="1191" t="s">
        <v>142</v>
      </c>
      <c r="P880" s="1191" t="s">
        <v>142</v>
      </c>
      <c r="Q880" s="1192" t="s">
        <v>142</v>
      </c>
      <c r="R880" s="1191" t="s">
        <v>1933</v>
      </c>
      <c r="S880" s="1193">
        <v>74.7</v>
      </c>
      <c r="T880" s="1194" t="s">
        <v>23</v>
      </c>
      <c r="U880" s="813" t="s">
        <v>4320</v>
      </c>
      <c r="V880" s="1195"/>
      <c r="W880" s="1196"/>
      <c r="X880" s="1196"/>
      <c r="Y880" s="1196"/>
      <c r="Z880" s="1196"/>
      <c r="AA880" s="1196"/>
      <c r="AB880" s="1196"/>
      <c r="AC880" s="1196"/>
      <c r="AD880" s="1196"/>
      <c r="AE880" s="1196"/>
      <c r="AF880" s="1196"/>
      <c r="AG880" s="1196"/>
      <c r="AH880" s="1196"/>
      <c r="AI880" s="1196"/>
      <c r="AJ880" s="1196"/>
      <c r="AK880" s="1196"/>
      <c r="AL880" s="1196"/>
      <c r="AM880" s="1196"/>
      <c r="AN880" s="1196"/>
      <c r="AO880" s="1196"/>
      <c r="AP880" s="1196"/>
      <c r="AQ880" s="1196"/>
      <c r="AR880" s="1196"/>
      <c r="AS880" s="1196"/>
      <c r="AT880" s="1196"/>
      <c r="AU880" s="1196"/>
      <c r="AV880" s="1196"/>
      <c r="AW880" s="1196"/>
      <c r="AX880" s="1196"/>
      <c r="AY880" s="1196"/>
      <c r="AZ880" s="1196"/>
      <c r="BA880" s="1196"/>
      <c r="BB880" s="1196"/>
      <c r="BC880" s="1196"/>
      <c r="BD880" s="1196"/>
      <c r="BE880" s="1196"/>
      <c r="BF880" s="1196"/>
      <c r="BG880" s="1196"/>
      <c r="BH880" s="1196"/>
      <c r="BI880" s="1196"/>
      <c r="BJ880" s="1196"/>
      <c r="BK880" s="1196"/>
      <c r="BL880" s="1196"/>
      <c r="BM880" s="1196"/>
      <c r="BN880" s="1196"/>
      <c r="BO880" s="1196"/>
      <c r="BP880" s="1196"/>
      <c r="BQ880" s="1196"/>
      <c r="BR880" s="1196"/>
      <c r="BS880" s="1196"/>
      <c r="BT880" s="1196"/>
      <c r="BU880" s="1196"/>
      <c r="BV880" s="1196"/>
      <c r="BW880" s="1196"/>
      <c r="BX880" s="1196"/>
      <c r="BY880" s="1196"/>
      <c r="BZ880" s="1196"/>
      <c r="CA880" s="1196"/>
      <c r="CB880" s="1196"/>
      <c r="CC880" s="1196"/>
      <c r="CD880" s="1196"/>
      <c r="CE880" s="1196"/>
      <c r="CF880" s="1196"/>
      <c r="CG880" s="1196"/>
      <c r="CH880" s="1196"/>
      <c r="CI880" s="1196"/>
      <c r="CJ880" s="1196"/>
      <c r="CK880" s="1196"/>
      <c r="CL880" s="1196"/>
    </row>
    <row r="881" spans="2:103" s="273" customFormat="1" x14ac:dyDescent="0.25">
      <c r="B881" s="270"/>
      <c r="C881" s="325"/>
      <c r="D881" s="148"/>
      <c r="E881" s="326"/>
      <c r="F881" s="336"/>
      <c r="G881" s="1300"/>
      <c r="H881" s="1301"/>
      <c r="I881" s="1301"/>
      <c r="J881" s="1301"/>
      <c r="K881" s="337"/>
      <c r="L881" s="337"/>
      <c r="M881" s="327"/>
      <c r="N881" s="327"/>
      <c r="O881" s="327"/>
      <c r="P881" s="327"/>
      <c r="Q881" s="327"/>
      <c r="R881" s="327"/>
      <c r="S881" s="327"/>
      <c r="T881" s="327"/>
      <c r="U881" s="148"/>
      <c r="V881" s="322"/>
      <c r="CM881" s="271"/>
      <c r="CN881" s="271"/>
      <c r="CO881" s="271"/>
      <c r="CP881" s="271"/>
      <c r="CQ881" s="271"/>
      <c r="CR881" s="271"/>
      <c r="CS881" s="271"/>
      <c r="CT881" s="271"/>
      <c r="CU881" s="271"/>
      <c r="CV881" s="271"/>
      <c r="CW881" s="271"/>
      <c r="CX881" s="271"/>
      <c r="CY881" s="271"/>
    </row>
    <row r="882" spans="2:103" s="273" customFormat="1" x14ac:dyDescent="0.25">
      <c r="B882" s="270"/>
      <c r="C882" s="325"/>
      <c r="D882" s="148"/>
      <c r="E882" s="326"/>
      <c r="F882" s="336"/>
      <c r="G882" s="1300"/>
      <c r="H882" s="1301"/>
      <c r="I882" s="1301"/>
      <c r="J882" s="1301"/>
      <c r="K882" s="337"/>
      <c r="L882" s="337"/>
      <c r="M882" s="327"/>
      <c r="N882" s="327"/>
      <c r="O882" s="327"/>
      <c r="P882" s="327"/>
      <c r="Q882" s="327"/>
      <c r="R882" s="327"/>
      <c r="S882" s="327"/>
      <c r="T882" s="327"/>
      <c r="U882" s="148"/>
      <c r="V882" s="322"/>
      <c r="CM882" s="271"/>
      <c r="CN882" s="271"/>
      <c r="CO882" s="271"/>
      <c r="CP882" s="271"/>
      <c r="CQ882" s="271"/>
      <c r="CR882" s="271"/>
      <c r="CS882" s="271"/>
      <c r="CT882" s="271"/>
      <c r="CU882" s="271"/>
      <c r="CV882" s="271"/>
      <c r="CW882" s="271"/>
      <c r="CX882" s="271"/>
      <c r="CY882" s="271"/>
    </row>
    <row r="883" spans="2:103" s="273" customFormat="1" x14ac:dyDescent="0.25">
      <c r="B883" s="270"/>
      <c r="C883" s="325"/>
      <c r="D883" s="148"/>
      <c r="E883" s="326"/>
      <c r="F883" s="336"/>
      <c r="G883" s="1300"/>
      <c r="H883" s="1301"/>
      <c r="I883" s="1301"/>
      <c r="J883" s="1301"/>
      <c r="K883" s="337"/>
      <c r="L883" s="337"/>
      <c r="M883" s="327"/>
      <c r="N883" s="327"/>
      <c r="O883" s="327"/>
      <c r="P883" s="327"/>
      <c r="Q883" s="327"/>
      <c r="R883" s="327"/>
      <c r="S883" s="327"/>
      <c r="T883" s="327"/>
      <c r="U883" s="148"/>
      <c r="V883" s="322"/>
      <c r="CM883" s="271"/>
      <c r="CN883" s="271"/>
      <c r="CO883" s="271"/>
      <c r="CP883" s="271"/>
      <c r="CQ883" s="271"/>
      <c r="CR883" s="271"/>
      <c r="CS883" s="271"/>
      <c r="CT883" s="271"/>
      <c r="CU883" s="271"/>
      <c r="CV883" s="271"/>
      <c r="CW883" s="271"/>
      <c r="CX883" s="271"/>
      <c r="CY883" s="271"/>
    </row>
    <row r="884" spans="2:103" s="273" customFormat="1" x14ac:dyDescent="0.25">
      <c r="B884" s="270"/>
      <c r="C884" s="325"/>
      <c r="D884" s="148"/>
      <c r="E884" s="326"/>
      <c r="F884" s="336"/>
      <c r="G884" s="1300"/>
      <c r="H884" s="1301"/>
      <c r="I884" s="1301"/>
      <c r="J884" s="1301"/>
      <c r="K884" s="337"/>
      <c r="L884" s="337"/>
      <c r="M884" s="327"/>
      <c r="N884" s="327"/>
      <c r="O884" s="327"/>
      <c r="P884" s="327"/>
      <c r="Q884" s="327"/>
      <c r="R884" s="327"/>
      <c r="S884" s="327"/>
      <c r="T884" s="327"/>
      <c r="U884" s="148"/>
      <c r="V884" s="322"/>
      <c r="CM884" s="271"/>
      <c r="CN884" s="271"/>
      <c r="CO884" s="271"/>
      <c r="CP884" s="271"/>
      <c r="CQ884" s="271"/>
      <c r="CR884" s="271"/>
      <c r="CS884" s="271"/>
      <c r="CT884" s="271"/>
      <c r="CU884" s="271"/>
      <c r="CV884" s="271"/>
      <c r="CW884" s="271"/>
      <c r="CX884" s="271"/>
      <c r="CY884" s="271"/>
    </row>
    <row r="885" spans="2:103" s="273" customFormat="1" x14ac:dyDescent="0.25">
      <c r="B885" s="270"/>
      <c r="C885" s="325"/>
      <c r="D885" s="148"/>
      <c r="E885" s="326"/>
      <c r="F885" s="336"/>
      <c r="G885" s="1300"/>
      <c r="H885" s="1301"/>
      <c r="I885" s="1301"/>
      <c r="J885" s="1301"/>
      <c r="K885" s="337"/>
      <c r="L885" s="337"/>
      <c r="M885" s="327"/>
      <c r="N885" s="327"/>
      <c r="O885" s="327"/>
      <c r="P885" s="327"/>
      <c r="Q885" s="327"/>
      <c r="R885" s="327"/>
      <c r="S885" s="327"/>
      <c r="T885" s="327"/>
      <c r="U885" s="148"/>
      <c r="V885" s="322"/>
      <c r="CM885" s="271"/>
      <c r="CN885" s="271"/>
      <c r="CO885" s="271"/>
      <c r="CP885" s="271"/>
      <c r="CQ885" s="271"/>
      <c r="CR885" s="271"/>
      <c r="CS885" s="271"/>
      <c r="CT885" s="271"/>
      <c r="CU885" s="271"/>
      <c r="CV885" s="271"/>
      <c r="CW885" s="271"/>
      <c r="CX885" s="271"/>
      <c r="CY885" s="271"/>
    </row>
    <row r="886" spans="2:103" s="273" customFormat="1" x14ac:dyDescent="0.25">
      <c r="B886" s="270"/>
      <c r="C886" s="325"/>
      <c r="D886" s="148"/>
      <c r="E886" s="326"/>
      <c r="F886" s="336"/>
      <c r="G886" s="1300"/>
      <c r="H886" s="1301"/>
      <c r="I886" s="1301"/>
      <c r="J886" s="1301"/>
      <c r="K886" s="337"/>
      <c r="L886" s="337"/>
      <c r="M886" s="327"/>
      <c r="N886" s="327"/>
      <c r="O886" s="327"/>
      <c r="P886" s="327"/>
      <c r="Q886" s="327"/>
      <c r="R886" s="327"/>
      <c r="S886" s="327"/>
      <c r="T886" s="327"/>
      <c r="U886" s="148"/>
      <c r="V886" s="322"/>
      <c r="CM886" s="271"/>
      <c r="CN886" s="271"/>
      <c r="CO886" s="271"/>
      <c r="CP886" s="271"/>
      <c r="CQ886" s="271"/>
      <c r="CR886" s="271"/>
      <c r="CS886" s="271"/>
      <c r="CT886" s="271"/>
      <c r="CU886" s="271"/>
      <c r="CV886" s="271"/>
      <c r="CW886" s="271"/>
      <c r="CX886" s="271"/>
      <c r="CY886" s="271"/>
    </row>
    <row r="887" spans="2:103" s="273" customFormat="1" x14ac:dyDescent="0.25">
      <c r="B887" s="270"/>
      <c r="C887" s="325"/>
      <c r="D887" s="148"/>
      <c r="E887" s="326"/>
      <c r="F887" s="336"/>
      <c r="G887" s="1300"/>
      <c r="H887" s="1301"/>
      <c r="I887" s="1301"/>
      <c r="J887" s="1301"/>
      <c r="K887" s="337"/>
      <c r="L887" s="337"/>
      <c r="M887" s="327"/>
      <c r="N887" s="327"/>
      <c r="O887" s="327"/>
      <c r="P887" s="327"/>
      <c r="Q887" s="327"/>
      <c r="R887" s="327"/>
      <c r="S887" s="327"/>
      <c r="T887" s="327"/>
      <c r="U887" s="148"/>
      <c r="V887" s="322"/>
      <c r="CM887" s="271"/>
      <c r="CN887" s="271"/>
      <c r="CO887" s="271"/>
      <c r="CP887" s="271"/>
      <c r="CQ887" s="271"/>
      <c r="CR887" s="271"/>
      <c r="CS887" s="271"/>
      <c r="CT887" s="271"/>
      <c r="CU887" s="271"/>
      <c r="CV887" s="271"/>
      <c r="CW887" s="271"/>
      <c r="CX887" s="271"/>
      <c r="CY887" s="271"/>
    </row>
    <row r="888" spans="2:103" s="273" customFormat="1" x14ac:dyDescent="0.25">
      <c r="B888" s="270"/>
      <c r="C888" s="325"/>
      <c r="D888" s="148"/>
      <c r="E888" s="326"/>
      <c r="F888" s="336"/>
      <c r="G888" s="1300"/>
      <c r="H888" s="1301"/>
      <c r="I888" s="1301"/>
      <c r="J888" s="1301"/>
      <c r="K888" s="337"/>
      <c r="L888" s="337"/>
      <c r="M888" s="327"/>
      <c r="N888" s="327"/>
      <c r="O888" s="327"/>
      <c r="P888" s="327"/>
      <c r="Q888" s="327"/>
      <c r="R888" s="327"/>
      <c r="S888" s="327"/>
      <c r="T888" s="327"/>
      <c r="U888" s="148"/>
      <c r="V888" s="322"/>
      <c r="CM888" s="271"/>
      <c r="CN888" s="271"/>
      <c r="CO888" s="271"/>
      <c r="CP888" s="271"/>
      <c r="CQ888" s="271"/>
      <c r="CR888" s="271"/>
      <c r="CS888" s="271"/>
      <c r="CT888" s="271"/>
      <c r="CU888" s="271"/>
      <c r="CV888" s="271"/>
      <c r="CW888" s="271"/>
      <c r="CX888" s="271"/>
      <c r="CY888" s="271"/>
    </row>
    <row r="889" spans="2:103" s="273" customFormat="1" x14ac:dyDescent="0.25">
      <c r="B889" s="270"/>
      <c r="C889" s="325"/>
      <c r="D889" s="148"/>
      <c r="E889" s="326"/>
      <c r="F889" s="336"/>
      <c r="G889" s="1300"/>
      <c r="H889" s="1301"/>
      <c r="I889" s="1301"/>
      <c r="J889" s="1301"/>
      <c r="K889" s="337"/>
      <c r="L889" s="337"/>
      <c r="M889" s="327"/>
      <c r="N889" s="327"/>
      <c r="O889" s="327"/>
      <c r="P889" s="327"/>
      <c r="Q889" s="327"/>
      <c r="R889" s="327"/>
      <c r="S889" s="327"/>
      <c r="T889" s="327"/>
      <c r="U889" s="148"/>
      <c r="V889" s="322"/>
      <c r="CM889" s="271"/>
      <c r="CN889" s="271"/>
      <c r="CO889" s="271"/>
      <c r="CP889" s="271"/>
      <c r="CQ889" s="271"/>
      <c r="CR889" s="271"/>
      <c r="CS889" s="271"/>
      <c r="CT889" s="271"/>
      <c r="CU889" s="271"/>
      <c r="CV889" s="271"/>
      <c r="CW889" s="271"/>
      <c r="CX889" s="271"/>
      <c r="CY889" s="271"/>
    </row>
    <row r="890" spans="2:103" s="273" customFormat="1" x14ac:dyDescent="0.25">
      <c r="B890" s="270"/>
      <c r="C890" s="325"/>
      <c r="D890" s="148"/>
      <c r="E890" s="326"/>
      <c r="F890" s="336"/>
      <c r="G890" s="1300"/>
      <c r="H890" s="1301"/>
      <c r="I890" s="1301"/>
      <c r="J890" s="1301"/>
      <c r="K890" s="337"/>
      <c r="L890" s="337"/>
      <c r="M890" s="327"/>
      <c r="N890" s="327"/>
      <c r="O890" s="327"/>
      <c r="P890" s="327"/>
      <c r="Q890" s="327"/>
      <c r="R890" s="327"/>
      <c r="S890" s="327"/>
      <c r="T890" s="327"/>
      <c r="U890" s="148"/>
      <c r="V890" s="322"/>
      <c r="CM890" s="271"/>
      <c r="CN890" s="271"/>
      <c r="CO890" s="271"/>
      <c r="CP890" s="271"/>
      <c r="CQ890" s="271"/>
      <c r="CR890" s="271"/>
      <c r="CS890" s="271"/>
      <c r="CT890" s="271"/>
      <c r="CU890" s="271"/>
      <c r="CV890" s="271"/>
      <c r="CW890" s="271"/>
      <c r="CX890" s="271"/>
      <c r="CY890" s="271"/>
    </row>
    <row r="891" spans="2:103" s="273" customFormat="1" x14ac:dyDescent="0.25">
      <c r="B891" s="270"/>
      <c r="C891" s="325"/>
      <c r="D891" s="148"/>
      <c r="E891" s="326"/>
      <c r="F891" s="336"/>
      <c r="G891" s="1300"/>
      <c r="H891" s="1301"/>
      <c r="I891" s="1301"/>
      <c r="J891" s="1301"/>
      <c r="K891" s="337"/>
      <c r="L891" s="337"/>
      <c r="M891" s="327"/>
      <c r="N891" s="327"/>
      <c r="O891" s="327"/>
      <c r="P891" s="327"/>
      <c r="Q891" s="327"/>
      <c r="R891" s="327"/>
      <c r="S891" s="327"/>
      <c r="T891" s="327"/>
      <c r="U891" s="148"/>
      <c r="V891" s="322"/>
      <c r="CM891" s="271"/>
      <c r="CN891" s="271"/>
      <c r="CO891" s="271"/>
      <c r="CP891" s="271"/>
      <c r="CQ891" s="271"/>
      <c r="CR891" s="271"/>
      <c r="CS891" s="271"/>
      <c r="CT891" s="271"/>
      <c r="CU891" s="271"/>
      <c r="CV891" s="271"/>
      <c r="CW891" s="271"/>
      <c r="CX891" s="271"/>
      <c r="CY891" s="271"/>
    </row>
    <row r="892" spans="2:103" s="273" customFormat="1" x14ac:dyDescent="0.25">
      <c r="B892" s="270"/>
      <c r="C892" s="325"/>
      <c r="D892" s="148"/>
      <c r="E892" s="326"/>
      <c r="F892" s="336"/>
      <c r="G892" s="1300"/>
      <c r="H892" s="1301"/>
      <c r="I892" s="1301"/>
      <c r="J892" s="1301"/>
      <c r="K892" s="337"/>
      <c r="L892" s="337"/>
      <c r="M892" s="327"/>
      <c r="N892" s="327"/>
      <c r="O892" s="327"/>
      <c r="P892" s="327"/>
      <c r="Q892" s="327"/>
      <c r="R892" s="327"/>
      <c r="S892" s="327"/>
      <c r="T892" s="327"/>
      <c r="U892" s="148"/>
      <c r="V892" s="322"/>
      <c r="CM892" s="271"/>
      <c r="CN892" s="271"/>
      <c r="CO892" s="271"/>
      <c r="CP892" s="271"/>
      <c r="CQ892" s="271"/>
      <c r="CR892" s="271"/>
      <c r="CS892" s="271"/>
      <c r="CT892" s="271"/>
      <c r="CU892" s="271"/>
      <c r="CV892" s="271"/>
      <c r="CW892" s="271"/>
      <c r="CX892" s="271"/>
      <c r="CY892" s="271"/>
    </row>
    <row r="893" spans="2:103" s="273" customFormat="1" x14ac:dyDescent="0.25">
      <c r="B893" s="270"/>
      <c r="C893" s="325"/>
      <c r="D893" s="148"/>
      <c r="E893" s="326"/>
      <c r="F893" s="336"/>
      <c r="G893" s="1300"/>
      <c r="H893" s="1301"/>
      <c r="I893" s="1301"/>
      <c r="J893" s="1301"/>
      <c r="K893" s="337"/>
      <c r="L893" s="337"/>
      <c r="M893" s="327"/>
      <c r="N893" s="327"/>
      <c r="O893" s="327"/>
      <c r="P893" s="327"/>
      <c r="Q893" s="327"/>
      <c r="R893" s="327"/>
      <c r="S893" s="327"/>
      <c r="T893" s="327"/>
      <c r="U893" s="148"/>
      <c r="V893" s="322"/>
      <c r="CM893" s="271"/>
      <c r="CN893" s="271"/>
      <c r="CO893" s="271"/>
      <c r="CP893" s="271"/>
      <c r="CQ893" s="271"/>
      <c r="CR893" s="271"/>
      <c r="CS893" s="271"/>
      <c r="CT893" s="271"/>
      <c r="CU893" s="271"/>
      <c r="CV893" s="271"/>
      <c r="CW893" s="271"/>
      <c r="CX893" s="271"/>
      <c r="CY893" s="271"/>
    </row>
    <row r="894" spans="2:103" s="273" customFormat="1" x14ac:dyDescent="0.25">
      <c r="B894" s="270"/>
      <c r="C894" s="325"/>
      <c r="D894" s="148"/>
      <c r="E894" s="326"/>
      <c r="F894" s="336"/>
      <c r="G894" s="1300"/>
      <c r="H894" s="1301"/>
      <c r="I894" s="1301"/>
      <c r="J894" s="1301"/>
      <c r="K894" s="337"/>
      <c r="L894" s="337"/>
      <c r="M894" s="327"/>
      <c r="N894" s="327"/>
      <c r="O894" s="327"/>
      <c r="P894" s="327"/>
      <c r="Q894" s="327"/>
      <c r="R894" s="327"/>
      <c r="S894" s="327"/>
      <c r="T894" s="327"/>
      <c r="U894" s="148"/>
      <c r="V894" s="322"/>
      <c r="CM894" s="271"/>
      <c r="CN894" s="271"/>
      <c r="CO894" s="271"/>
      <c r="CP894" s="271"/>
      <c r="CQ894" s="271"/>
      <c r="CR894" s="271"/>
      <c r="CS894" s="271"/>
      <c r="CT894" s="271"/>
      <c r="CU894" s="271"/>
      <c r="CV894" s="271"/>
      <c r="CW894" s="271"/>
      <c r="CX894" s="271"/>
      <c r="CY894" s="271"/>
    </row>
    <row r="895" spans="2:103" s="273" customFormat="1" x14ac:dyDescent="0.25">
      <c r="B895" s="270"/>
      <c r="C895" s="325"/>
      <c r="D895" s="148"/>
      <c r="E895" s="326"/>
      <c r="F895" s="336"/>
      <c r="G895" s="1300"/>
      <c r="H895" s="1301"/>
      <c r="I895" s="1301"/>
      <c r="J895" s="1301"/>
      <c r="K895" s="337"/>
      <c r="L895" s="337"/>
      <c r="M895" s="327"/>
      <c r="N895" s="327"/>
      <c r="O895" s="327"/>
      <c r="P895" s="327"/>
      <c r="Q895" s="327"/>
      <c r="R895" s="327"/>
      <c r="S895" s="327"/>
      <c r="T895" s="327"/>
      <c r="U895" s="148"/>
      <c r="V895" s="322"/>
      <c r="CM895" s="271"/>
      <c r="CN895" s="271"/>
      <c r="CO895" s="271"/>
      <c r="CP895" s="271"/>
      <c r="CQ895" s="271"/>
      <c r="CR895" s="271"/>
      <c r="CS895" s="271"/>
      <c r="CT895" s="271"/>
      <c r="CU895" s="271"/>
      <c r="CV895" s="271"/>
      <c r="CW895" s="271"/>
      <c r="CX895" s="271"/>
      <c r="CY895" s="271"/>
    </row>
    <row r="896" spans="2:103" s="273" customFormat="1" x14ac:dyDescent="0.25">
      <c r="B896" s="270"/>
      <c r="C896" s="325"/>
      <c r="D896" s="148"/>
      <c r="E896" s="326"/>
      <c r="F896" s="336"/>
      <c r="G896" s="1300"/>
      <c r="H896" s="1301"/>
      <c r="I896" s="1301"/>
      <c r="J896" s="1301"/>
      <c r="K896" s="337"/>
      <c r="L896" s="337"/>
      <c r="M896" s="327"/>
      <c r="N896" s="327"/>
      <c r="O896" s="327"/>
      <c r="P896" s="327"/>
      <c r="Q896" s="327"/>
      <c r="R896" s="327"/>
      <c r="S896" s="327"/>
      <c r="T896" s="327"/>
      <c r="U896" s="148"/>
      <c r="V896" s="322"/>
      <c r="CM896" s="271"/>
      <c r="CN896" s="271"/>
      <c r="CO896" s="271"/>
      <c r="CP896" s="271"/>
      <c r="CQ896" s="271"/>
      <c r="CR896" s="271"/>
      <c r="CS896" s="271"/>
      <c r="CT896" s="271"/>
      <c r="CU896" s="271"/>
      <c r="CV896" s="271"/>
      <c r="CW896" s="271"/>
      <c r="CX896" s="271"/>
      <c r="CY896" s="271"/>
    </row>
    <row r="897" spans="2:103" s="273" customFormat="1" x14ac:dyDescent="0.25">
      <c r="B897" s="270"/>
      <c r="C897" s="325"/>
      <c r="D897" s="148"/>
      <c r="E897" s="326"/>
      <c r="F897" s="336"/>
      <c r="G897" s="1300"/>
      <c r="H897" s="1301"/>
      <c r="I897" s="1301"/>
      <c r="J897" s="1301"/>
      <c r="K897" s="337"/>
      <c r="L897" s="337"/>
      <c r="M897" s="327"/>
      <c r="N897" s="327"/>
      <c r="O897" s="327"/>
      <c r="P897" s="327"/>
      <c r="Q897" s="327"/>
      <c r="R897" s="327"/>
      <c r="S897" s="327"/>
      <c r="T897" s="327"/>
      <c r="U897" s="148"/>
      <c r="V897" s="322"/>
      <c r="CM897" s="271"/>
      <c r="CN897" s="271"/>
      <c r="CO897" s="271"/>
      <c r="CP897" s="271"/>
      <c r="CQ897" s="271"/>
      <c r="CR897" s="271"/>
      <c r="CS897" s="271"/>
      <c r="CT897" s="271"/>
      <c r="CU897" s="271"/>
      <c r="CV897" s="271"/>
      <c r="CW897" s="271"/>
      <c r="CX897" s="271"/>
      <c r="CY897" s="271"/>
    </row>
    <row r="898" spans="2:103" s="273" customFormat="1" x14ac:dyDescent="0.25">
      <c r="B898" s="270"/>
      <c r="C898" s="325"/>
      <c r="D898" s="148"/>
      <c r="E898" s="326"/>
      <c r="F898" s="336"/>
      <c r="G898" s="1300"/>
      <c r="H898" s="1301"/>
      <c r="I898" s="1301"/>
      <c r="J898" s="1301"/>
      <c r="K898" s="337"/>
      <c r="L898" s="337"/>
      <c r="M898" s="327"/>
      <c r="N898" s="327"/>
      <c r="O898" s="327"/>
      <c r="P898" s="327"/>
      <c r="Q898" s="327"/>
      <c r="R898" s="327"/>
      <c r="S898" s="327"/>
      <c r="T898" s="327"/>
      <c r="U898" s="148"/>
      <c r="V898" s="322"/>
      <c r="CM898" s="271"/>
      <c r="CN898" s="271"/>
      <c r="CO898" s="271"/>
      <c r="CP898" s="271"/>
      <c r="CQ898" s="271"/>
      <c r="CR898" s="271"/>
      <c r="CS898" s="271"/>
      <c r="CT898" s="271"/>
      <c r="CU898" s="271"/>
      <c r="CV898" s="271"/>
      <c r="CW898" s="271"/>
      <c r="CX898" s="271"/>
      <c r="CY898" s="271"/>
    </row>
    <row r="899" spans="2:103" s="273" customFormat="1" x14ac:dyDescent="0.25">
      <c r="B899" s="270"/>
      <c r="C899" s="325"/>
      <c r="D899" s="148"/>
      <c r="E899" s="326"/>
      <c r="F899" s="336"/>
      <c r="G899" s="1300"/>
      <c r="H899" s="1301"/>
      <c r="I899" s="1301"/>
      <c r="J899" s="1301"/>
      <c r="K899" s="337"/>
      <c r="L899" s="337"/>
      <c r="M899" s="327"/>
      <c r="N899" s="327"/>
      <c r="O899" s="327"/>
      <c r="P899" s="327"/>
      <c r="Q899" s="327"/>
      <c r="R899" s="327"/>
      <c r="S899" s="327"/>
      <c r="T899" s="327"/>
      <c r="U899" s="148"/>
      <c r="V899" s="322"/>
      <c r="CM899" s="271"/>
      <c r="CN899" s="271"/>
      <c r="CO899" s="271"/>
      <c r="CP899" s="271"/>
      <c r="CQ899" s="271"/>
      <c r="CR899" s="271"/>
      <c r="CS899" s="271"/>
      <c r="CT899" s="271"/>
      <c r="CU899" s="271"/>
      <c r="CV899" s="271"/>
      <c r="CW899" s="271"/>
      <c r="CX899" s="271"/>
      <c r="CY899" s="271"/>
    </row>
    <row r="900" spans="2:103" s="273" customFormat="1" x14ac:dyDescent="0.25">
      <c r="B900" s="270"/>
      <c r="C900" s="325"/>
      <c r="D900" s="148"/>
      <c r="E900" s="326"/>
      <c r="F900" s="336"/>
      <c r="G900" s="1300"/>
      <c r="H900" s="1301"/>
      <c r="I900" s="1301"/>
      <c r="J900" s="1301"/>
      <c r="K900" s="337"/>
      <c r="L900" s="337"/>
      <c r="M900" s="327"/>
      <c r="N900" s="327"/>
      <c r="O900" s="327"/>
      <c r="P900" s="327"/>
      <c r="Q900" s="327"/>
      <c r="R900" s="327"/>
      <c r="S900" s="327"/>
      <c r="T900" s="327"/>
      <c r="U900" s="148"/>
      <c r="V900" s="322"/>
      <c r="CM900" s="271"/>
      <c r="CN900" s="271"/>
      <c r="CO900" s="271"/>
      <c r="CP900" s="271"/>
      <c r="CQ900" s="271"/>
      <c r="CR900" s="271"/>
      <c r="CS900" s="271"/>
      <c r="CT900" s="271"/>
      <c r="CU900" s="271"/>
      <c r="CV900" s="271"/>
      <c r="CW900" s="271"/>
      <c r="CX900" s="271"/>
      <c r="CY900" s="271"/>
    </row>
    <row r="901" spans="2:103" s="273" customFormat="1" x14ac:dyDescent="0.25">
      <c r="B901" s="270"/>
      <c r="C901" s="325"/>
      <c r="D901" s="148"/>
      <c r="E901" s="326"/>
      <c r="F901" s="336"/>
      <c r="G901" s="1300"/>
      <c r="H901" s="1301"/>
      <c r="I901" s="1301"/>
      <c r="J901" s="1301"/>
      <c r="K901" s="337"/>
      <c r="L901" s="337"/>
      <c r="M901" s="327"/>
      <c r="N901" s="327"/>
      <c r="O901" s="327"/>
      <c r="P901" s="327"/>
      <c r="Q901" s="327"/>
      <c r="R901" s="327"/>
      <c r="S901" s="327"/>
      <c r="T901" s="327"/>
      <c r="U901" s="148"/>
      <c r="V901" s="322"/>
      <c r="CM901" s="271"/>
      <c r="CN901" s="271"/>
      <c r="CO901" s="271"/>
      <c r="CP901" s="271"/>
      <c r="CQ901" s="271"/>
      <c r="CR901" s="271"/>
      <c r="CS901" s="271"/>
      <c r="CT901" s="271"/>
      <c r="CU901" s="271"/>
      <c r="CV901" s="271"/>
      <c r="CW901" s="271"/>
      <c r="CX901" s="271"/>
      <c r="CY901" s="271"/>
    </row>
    <row r="902" spans="2:103" s="273" customFormat="1" x14ac:dyDescent="0.25">
      <c r="B902" s="270"/>
      <c r="C902" s="325"/>
      <c r="D902" s="148"/>
      <c r="E902" s="326"/>
      <c r="F902" s="336"/>
      <c r="G902" s="1300"/>
      <c r="H902" s="1301"/>
      <c r="I902" s="1301"/>
      <c r="J902" s="1301"/>
      <c r="K902" s="337"/>
      <c r="L902" s="337"/>
      <c r="M902" s="327"/>
      <c r="N902" s="327"/>
      <c r="O902" s="327"/>
      <c r="P902" s="327"/>
      <c r="Q902" s="327"/>
      <c r="R902" s="327"/>
      <c r="S902" s="327"/>
      <c r="T902" s="327"/>
      <c r="U902" s="148"/>
      <c r="V902" s="322"/>
      <c r="CM902" s="271"/>
      <c r="CN902" s="271"/>
      <c r="CO902" s="271"/>
      <c r="CP902" s="271"/>
      <c r="CQ902" s="271"/>
      <c r="CR902" s="271"/>
      <c r="CS902" s="271"/>
      <c r="CT902" s="271"/>
      <c r="CU902" s="271"/>
      <c r="CV902" s="271"/>
      <c r="CW902" s="271"/>
      <c r="CX902" s="271"/>
      <c r="CY902" s="271"/>
    </row>
    <row r="903" spans="2:103" s="273" customFormat="1" x14ac:dyDescent="0.25">
      <c r="B903" s="270"/>
      <c r="C903" s="325"/>
      <c r="D903" s="148"/>
      <c r="E903" s="326"/>
      <c r="F903" s="336"/>
      <c r="G903" s="1300"/>
      <c r="H903" s="1301"/>
      <c r="I903" s="1301"/>
      <c r="J903" s="1301"/>
      <c r="K903" s="337"/>
      <c r="L903" s="337"/>
      <c r="M903" s="327"/>
      <c r="N903" s="327"/>
      <c r="O903" s="327"/>
      <c r="P903" s="327"/>
      <c r="Q903" s="327"/>
      <c r="R903" s="327"/>
      <c r="S903" s="327"/>
      <c r="T903" s="327"/>
      <c r="U903" s="148"/>
      <c r="V903" s="322"/>
      <c r="CM903" s="271"/>
      <c r="CN903" s="271"/>
      <c r="CO903" s="271"/>
      <c r="CP903" s="271"/>
      <c r="CQ903" s="271"/>
      <c r="CR903" s="271"/>
      <c r="CS903" s="271"/>
      <c r="CT903" s="271"/>
      <c r="CU903" s="271"/>
      <c r="CV903" s="271"/>
      <c r="CW903" s="271"/>
      <c r="CX903" s="271"/>
      <c r="CY903" s="271"/>
    </row>
    <row r="904" spans="2:103" s="273" customFormat="1" x14ac:dyDescent="0.25">
      <c r="B904" s="270"/>
      <c r="C904" s="325"/>
      <c r="D904" s="148"/>
      <c r="E904" s="326"/>
      <c r="F904" s="336"/>
      <c r="G904" s="1300"/>
      <c r="H904" s="1301"/>
      <c r="I904" s="1301"/>
      <c r="J904" s="1301"/>
      <c r="K904" s="337"/>
      <c r="L904" s="337"/>
      <c r="M904" s="327"/>
      <c r="N904" s="327"/>
      <c r="O904" s="327"/>
      <c r="P904" s="327"/>
      <c r="Q904" s="327"/>
      <c r="R904" s="327"/>
      <c r="S904" s="327"/>
      <c r="T904" s="327"/>
      <c r="U904" s="148"/>
      <c r="V904" s="322"/>
      <c r="CM904" s="271"/>
      <c r="CN904" s="271"/>
      <c r="CO904" s="271"/>
      <c r="CP904" s="271"/>
      <c r="CQ904" s="271"/>
      <c r="CR904" s="271"/>
      <c r="CS904" s="271"/>
      <c r="CT904" s="271"/>
      <c r="CU904" s="271"/>
      <c r="CV904" s="271"/>
      <c r="CW904" s="271"/>
      <c r="CX904" s="271"/>
      <c r="CY904" s="271"/>
    </row>
    <row r="905" spans="2:103" s="273" customFormat="1" x14ac:dyDescent="0.25">
      <c r="B905" s="270"/>
      <c r="C905" s="325"/>
      <c r="D905" s="148"/>
      <c r="E905" s="326"/>
      <c r="F905" s="336"/>
      <c r="G905" s="1300"/>
      <c r="H905" s="1301"/>
      <c r="I905" s="1301"/>
      <c r="J905" s="1301"/>
      <c r="K905" s="337"/>
      <c r="L905" s="337"/>
      <c r="M905" s="327"/>
      <c r="N905" s="327"/>
      <c r="O905" s="327"/>
      <c r="P905" s="327"/>
      <c r="Q905" s="327"/>
      <c r="R905" s="327"/>
      <c r="S905" s="327"/>
      <c r="T905" s="327"/>
      <c r="U905" s="148"/>
      <c r="V905" s="322"/>
      <c r="CM905" s="271"/>
      <c r="CN905" s="271"/>
      <c r="CO905" s="271"/>
      <c r="CP905" s="271"/>
      <c r="CQ905" s="271"/>
      <c r="CR905" s="271"/>
      <c r="CS905" s="271"/>
      <c r="CT905" s="271"/>
      <c r="CU905" s="271"/>
      <c r="CV905" s="271"/>
      <c r="CW905" s="271"/>
      <c r="CX905" s="271"/>
      <c r="CY905" s="271"/>
    </row>
    <row r="906" spans="2:103" s="273" customFormat="1" x14ac:dyDescent="0.25">
      <c r="B906" s="270"/>
      <c r="C906" s="325"/>
      <c r="D906" s="148"/>
      <c r="E906" s="326"/>
      <c r="F906" s="336"/>
      <c r="G906" s="1300"/>
      <c r="H906" s="1301"/>
      <c r="I906" s="1301"/>
      <c r="J906" s="1301"/>
      <c r="K906" s="337"/>
      <c r="L906" s="337"/>
      <c r="M906" s="327"/>
      <c r="N906" s="327"/>
      <c r="O906" s="327"/>
      <c r="P906" s="327"/>
      <c r="Q906" s="327"/>
      <c r="R906" s="327"/>
      <c r="S906" s="327"/>
      <c r="T906" s="327"/>
      <c r="U906" s="148"/>
      <c r="V906" s="322"/>
      <c r="CM906" s="271"/>
      <c r="CN906" s="271"/>
      <c r="CO906" s="271"/>
      <c r="CP906" s="271"/>
      <c r="CQ906" s="271"/>
      <c r="CR906" s="271"/>
      <c r="CS906" s="271"/>
      <c r="CT906" s="271"/>
      <c r="CU906" s="271"/>
      <c r="CV906" s="271"/>
      <c r="CW906" s="271"/>
      <c r="CX906" s="271"/>
      <c r="CY906" s="271"/>
    </row>
    <row r="907" spans="2:103" s="273" customFormat="1" x14ac:dyDescent="0.25">
      <c r="B907" s="270"/>
      <c r="C907" s="325"/>
      <c r="D907" s="148"/>
      <c r="E907" s="326"/>
      <c r="F907" s="336"/>
      <c r="G907" s="1300"/>
      <c r="H907" s="1301"/>
      <c r="I907" s="1301"/>
      <c r="J907" s="1301"/>
      <c r="K907" s="337"/>
      <c r="L907" s="337"/>
      <c r="M907" s="327"/>
      <c r="N907" s="327"/>
      <c r="O907" s="327"/>
      <c r="P907" s="327"/>
      <c r="Q907" s="327"/>
      <c r="R907" s="327"/>
      <c r="S907" s="327"/>
      <c r="T907" s="327"/>
      <c r="U907" s="148"/>
      <c r="V907" s="322"/>
      <c r="CM907" s="271"/>
      <c r="CN907" s="271"/>
      <c r="CO907" s="271"/>
      <c r="CP907" s="271"/>
      <c r="CQ907" s="271"/>
      <c r="CR907" s="271"/>
      <c r="CS907" s="271"/>
      <c r="CT907" s="271"/>
      <c r="CU907" s="271"/>
      <c r="CV907" s="271"/>
      <c r="CW907" s="271"/>
      <c r="CX907" s="271"/>
      <c r="CY907" s="271"/>
    </row>
    <row r="908" spans="2:103" s="273" customFormat="1" x14ac:dyDescent="0.25">
      <c r="B908" s="270"/>
      <c r="C908" s="325"/>
      <c r="D908" s="148"/>
      <c r="E908" s="326"/>
      <c r="F908" s="336"/>
      <c r="G908" s="1300"/>
      <c r="H908" s="1301"/>
      <c r="I908" s="1301"/>
      <c r="J908" s="1301"/>
      <c r="K908" s="337"/>
      <c r="L908" s="337"/>
      <c r="M908" s="327"/>
      <c r="N908" s="327"/>
      <c r="O908" s="327"/>
      <c r="P908" s="327"/>
      <c r="Q908" s="327"/>
      <c r="R908" s="327"/>
      <c r="S908" s="327"/>
      <c r="T908" s="327"/>
      <c r="U908" s="148"/>
      <c r="V908" s="322"/>
      <c r="CM908" s="271"/>
      <c r="CN908" s="271"/>
      <c r="CO908" s="271"/>
      <c r="CP908" s="271"/>
      <c r="CQ908" s="271"/>
      <c r="CR908" s="271"/>
      <c r="CS908" s="271"/>
      <c r="CT908" s="271"/>
      <c r="CU908" s="271"/>
      <c r="CV908" s="271"/>
      <c r="CW908" s="271"/>
      <c r="CX908" s="271"/>
      <c r="CY908" s="271"/>
    </row>
    <row r="909" spans="2:103" s="273" customFormat="1" x14ac:dyDescent="0.25">
      <c r="B909" s="270"/>
      <c r="C909" s="325"/>
      <c r="D909" s="148"/>
      <c r="E909" s="326"/>
      <c r="F909" s="336"/>
      <c r="G909" s="1300"/>
      <c r="H909" s="1301"/>
      <c r="I909" s="1301"/>
      <c r="J909" s="1301"/>
      <c r="K909" s="337"/>
      <c r="L909" s="337"/>
      <c r="M909" s="327"/>
      <c r="N909" s="327"/>
      <c r="O909" s="327"/>
      <c r="P909" s="327"/>
      <c r="Q909" s="327"/>
      <c r="R909" s="327"/>
      <c r="S909" s="327"/>
      <c r="T909" s="327"/>
      <c r="U909" s="148"/>
      <c r="V909" s="322"/>
      <c r="CM909" s="271"/>
      <c r="CN909" s="271"/>
      <c r="CO909" s="271"/>
      <c r="CP909" s="271"/>
      <c r="CQ909" s="271"/>
      <c r="CR909" s="271"/>
      <c r="CS909" s="271"/>
      <c r="CT909" s="271"/>
      <c r="CU909" s="271"/>
      <c r="CV909" s="271"/>
      <c r="CW909" s="271"/>
      <c r="CX909" s="271"/>
      <c r="CY909" s="271"/>
    </row>
    <row r="910" spans="2:103" s="273" customFormat="1" x14ac:dyDescent="0.25">
      <c r="B910" s="270"/>
      <c r="C910" s="325"/>
      <c r="D910" s="148"/>
      <c r="E910" s="326"/>
      <c r="F910" s="336"/>
      <c r="G910" s="1300"/>
      <c r="H910" s="1301"/>
      <c r="I910" s="1301"/>
      <c r="J910" s="1301"/>
      <c r="K910" s="337"/>
      <c r="L910" s="337"/>
      <c r="M910" s="327"/>
      <c r="N910" s="327"/>
      <c r="O910" s="327"/>
      <c r="P910" s="327"/>
      <c r="Q910" s="327"/>
      <c r="R910" s="327"/>
      <c r="S910" s="327"/>
      <c r="T910" s="327"/>
      <c r="U910" s="148"/>
      <c r="V910" s="322"/>
      <c r="CM910" s="271"/>
      <c r="CN910" s="271"/>
      <c r="CO910" s="271"/>
      <c r="CP910" s="271"/>
      <c r="CQ910" s="271"/>
      <c r="CR910" s="271"/>
      <c r="CS910" s="271"/>
      <c r="CT910" s="271"/>
      <c r="CU910" s="271"/>
      <c r="CV910" s="271"/>
      <c r="CW910" s="271"/>
      <c r="CX910" s="271"/>
      <c r="CY910" s="271"/>
    </row>
    <row r="911" spans="2:103" s="273" customFormat="1" x14ac:dyDescent="0.25">
      <c r="B911" s="270"/>
      <c r="C911" s="325"/>
      <c r="D911" s="148"/>
      <c r="E911" s="326"/>
      <c r="F911" s="336"/>
      <c r="G911" s="1300"/>
      <c r="H911" s="1301"/>
      <c r="I911" s="1301"/>
      <c r="J911" s="1301"/>
      <c r="K911" s="337"/>
      <c r="L911" s="337"/>
      <c r="M911" s="327"/>
      <c r="N911" s="327"/>
      <c r="O911" s="327"/>
      <c r="P911" s="327"/>
      <c r="Q911" s="327"/>
      <c r="R911" s="327"/>
      <c r="S911" s="327"/>
      <c r="T911" s="327"/>
      <c r="U911" s="148"/>
      <c r="V911" s="322"/>
      <c r="CM911" s="271"/>
      <c r="CN911" s="271"/>
      <c r="CO911" s="271"/>
      <c r="CP911" s="271"/>
      <c r="CQ911" s="271"/>
      <c r="CR911" s="271"/>
      <c r="CS911" s="271"/>
      <c r="CT911" s="271"/>
      <c r="CU911" s="271"/>
      <c r="CV911" s="271"/>
      <c r="CW911" s="271"/>
      <c r="CX911" s="271"/>
      <c r="CY911" s="271"/>
    </row>
    <row r="912" spans="2:103" s="273" customFormat="1" x14ac:dyDescent="0.25">
      <c r="B912" s="270"/>
      <c r="C912" s="325"/>
      <c r="D912" s="148"/>
      <c r="E912" s="326"/>
      <c r="F912" s="336"/>
      <c r="G912" s="1300"/>
      <c r="H912" s="1301"/>
      <c r="I912" s="1301"/>
      <c r="J912" s="1301"/>
      <c r="K912" s="337"/>
      <c r="L912" s="337"/>
      <c r="M912" s="327"/>
      <c r="N912" s="327"/>
      <c r="O912" s="327"/>
      <c r="P912" s="327"/>
      <c r="Q912" s="327"/>
      <c r="R912" s="327"/>
      <c r="S912" s="327"/>
      <c r="T912" s="327"/>
      <c r="U912" s="148"/>
      <c r="V912" s="322"/>
      <c r="CM912" s="271"/>
      <c r="CN912" s="271"/>
      <c r="CO912" s="271"/>
      <c r="CP912" s="271"/>
      <c r="CQ912" s="271"/>
      <c r="CR912" s="271"/>
      <c r="CS912" s="271"/>
      <c r="CT912" s="271"/>
      <c r="CU912" s="271"/>
      <c r="CV912" s="271"/>
      <c r="CW912" s="271"/>
      <c r="CX912" s="271"/>
      <c r="CY912" s="271"/>
    </row>
    <row r="913" spans="2:103" s="273" customFormat="1" x14ac:dyDescent="0.25">
      <c r="B913" s="270"/>
      <c r="C913" s="325"/>
      <c r="D913" s="148"/>
      <c r="E913" s="326"/>
      <c r="F913" s="336"/>
      <c r="G913" s="1300"/>
      <c r="H913" s="1301"/>
      <c r="I913" s="1301"/>
      <c r="J913" s="1301"/>
      <c r="K913" s="337"/>
      <c r="L913" s="337"/>
      <c r="M913" s="327"/>
      <c r="N913" s="327"/>
      <c r="O913" s="327"/>
      <c r="P913" s="327"/>
      <c r="Q913" s="327"/>
      <c r="R913" s="327"/>
      <c r="S913" s="327"/>
      <c r="T913" s="327"/>
      <c r="U913" s="148"/>
      <c r="V913" s="322"/>
      <c r="CM913" s="271"/>
      <c r="CN913" s="271"/>
      <c r="CO913" s="271"/>
      <c r="CP913" s="271"/>
      <c r="CQ913" s="271"/>
      <c r="CR913" s="271"/>
      <c r="CS913" s="271"/>
      <c r="CT913" s="271"/>
      <c r="CU913" s="271"/>
      <c r="CV913" s="271"/>
      <c r="CW913" s="271"/>
      <c r="CX913" s="271"/>
      <c r="CY913" s="271"/>
    </row>
    <row r="914" spans="2:103" s="273" customFormat="1" x14ac:dyDescent="0.25">
      <c r="B914" s="270"/>
      <c r="C914" s="325"/>
      <c r="D914" s="148"/>
      <c r="E914" s="326"/>
      <c r="F914" s="336"/>
      <c r="G914" s="1300"/>
      <c r="H914" s="1301"/>
      <c r="I914" s="1301"/>
      <c r="J914" s="1301"/>
      <c r="K914" s="337"/>
      <c r="L914" s="337"/>
      <c r="M914" s="327"/>
      <c r="N914" s="327"/>
      <c r="O914" s="327"/>
      <c r="P914" s="327"/>
      <c r="Q914" s="327"/>
      <c r="R914" s="327"/>
      <c r="S914" s="327"/>
      <c r="T914" s="327"/>
      <c r="U914" s="148"/>
      <c r="V914" s="322"/>
      <c r="CM914" s="271"/>
      <c r="CN914" s="271"/>
      <c r="CO914" s="271"/>
      <c r="CP914" s="271"/>
      <c r="CQ914" s="271"/>
      <c r="CR914" s="271"/>
      <c r="CS914" s="271"/>
      <c r="CT914" s="271"/>
      <c r="CU914" s="271"/>
      <c r="CV914" s="271"/>
      <c r="CW914" s="271"/>
      <c r="CX914" s="271"/>
      <c r="CY914" s="271"/>
    </row>
    <row r="915" spans="2:103" s="273" customFormat="1" x14ac:dyDescent="0.25">
      <c r="B915" s="270"/>
      <c r="C915" s="325"/>
      <c r="D915" s="148"/>
      <c r="E915" s="326"/>
      <c r="F915" s="336"/>
      <c r="G915" s="1300"/>
      <c r="H915" s="1301"/>
      <c r="I915" s="1301"/>
      <c r="J915" s="1301"/>
      <c r="K915" s="337"/>
      <c r="L915" s="337"/>
      <c r="M915" s="327"/>
      <c r="N915" s="327"/>
      <c r="O915" s="327"/>
      <c r="P915" s="327"/>
      <c r="Q915" s="327"/>
      <c r="R915" s="327"/>
      <c r="S915" s="327"/>
      <c r="T915" s="327"/>
      <c r="U915" s="148"/>
      <c r="V915" s="322"/>
      <c r="CM915" s="271"/>
      <c r="CN915" s="271"/>
      <c r="CO915" s="271"/>
      <c r="CP915" s="271"/>
      <c r="CQ915" s="271"/>
      <c r="CR915" s="271"/>
      <c r="CS915" s="271"/>
      <c r="CT915" s="271"/>
      <c r="CU915" s="271"/>
      <c r="CV915" s="271"/>
      <c r="CW915" s="271"/>
      <c r="CX915" s="271"/>
      <c r="CY915" s="271"/>
    </row>
    <row r="916" spans="2:103" s="273" customFormat="1" x14ac:dyDescent="0.25">
      <c r="B916" s="270"/>
      <c r="C916" s="325"/>
      <c r="D916" s="148"/>
      <c r="E916" s="326"/>
      <c r="F916" s="336"/>
      <c r="G916" s="1300"/>
      <c r="H916" s="1301"/>
      <c r="I916" s="1301"/>
      <c r="J916" s="1301"/>
      <c r="K916" s="337"/>
      <c r="L916" s="337"/>
      <c r="M916" s="327"/>
      <c r="N916" s="327"/>
      <c r="O916" s="327"/>
      <c r="P916" s="327"/>
      <c r="Q916" s="327"/>
      <c r="R916" s="327"/>
      <c r="S916" s="327"/>
      <c r="T916" s="327"/>
      <c r="U916" s="148"/>
      <c r="V916" s="322"/>
      <c r="CM916" s="271"/>
      <c r="CN916" s="271"/>
      <c r="CO916" s="271"/>
      <c r="CP916" s="271"/>
      <c r="CQ916" s="271"/>
      <c r="CR916" s="271"/>
      <c r="CS916" s="271"/>
      <c r="CT916" s="271"/>
      <c r="CU916" s="271"/>
      <c r="CV916" s="271"/>
      <c r="CW916" s="271"/>
      <c r="CX916" s="271"/>
      <c r="CY916" s="271"/>
    </row>
    <row r="917" spans="2:103" s="273" customFormat="1" x14ac:dyDescent="0.25">
      <c r="B917" s="270"/>
      <c r="C917" s="325"/>
      <c r="D917" s="148"/>
      <c r="E917" s="326"/>
      <c r="F917" s="336"/>
      <c r="G917" s="1300"/>
      <c r="H917" s="1301"/>
      <c r="I917" s="1301"/>
      <c r="J917" s="1301"/>
      <c r="K917" s="337"/>
      <c r="L917" s="337"/>
      <c r="M917" s="327"/>
      <c r="N917" s="327"/>
      <c r="O917" s="327"/>
      <c r="P917" s="327"/>
      <c r="Q917" s="327"/>
      <c r="R917" s="327"/>
      <c r="S917" s="327"/>
      <c r="T917" s="327"/>
      <c r="U917" s="148"/>
      <c r="V917" s="322"/>
      <c r="CM917" s="271"/>
      <c r="CN917" s="271"/>
      <c r="CO917" s="271"/>
      <c r="CP917" s="271"/>
      <c r="CQ917" s="271"/>
      <c r="CR917" s="271"/>
      <c r="CS917" s="271"/>
      <c r="CT917" s="271"/>
      <c r="CU917" s="271"/>
      <c r="CV917" s="271"/>
      <c r="CW917" s="271"/>
      <c r="CX917" s="271"/>
      <c r="CY917" s="271"/>
    </row>
    <row r="918" spans="2:103" s="273" customFormat="1" x14ac:dyDescent="0.25">
      <c r="B918" s="270"/>
      <c r="C918" s="325"/>
      <c r="D918" s="148"/>
      <c r="E918" s="326"/>
      <c r="F918" s="336"/>
      <c r="G918" s="1300"/>
      <c r="H918" s="1301"/>
      <c r="I918" s="1301"/>
      <c r="J918" s="1301"/>
      <c r="K918" s="337"/>
      <c r="L918" s="337"/>
      <c r="M918" s="327"/>
      <c r="N918" s="327"/>
      <c r="O918" s="327"/>
      <c r="P918" s="327"/>
      <c r="Q918" s="327"/>
      <c r="R918" s="327"/>
      <c r="S918" s="327"/>
      <c r="T918" s="327"/>
      <c r="U918" s="148"/>
      <c r="V918" s="322"/>
      <c r="CM918" s="271"/>
      <c r="CN918" s="271"/>
      <c r="CO918" s="271"/>
      <c r="CP918" s="271"/>
      <c r="CQ918" s="271"/>
      <c r="CR918" s="271"/>
      <c r="CS918" s="271"/>
      <c r="CT918" s="271"/>
      <c r="CU918" s="271"/>
      <c r="CV918" s="271"/>
      <c r="CW918" s="271"/>
      <c r="CX918" s="271"/>
      <c r="CY918" s="271"/>
    </row>
    <row r="919" spans="2:103" s="273" customFormat="1" x14ac:dyDescent="0.25">
      <c r="B919" s="270"/>
      <c r="C919" s="325"/>
      <c r="D919" s="148"/>
      <c r="E919" s="326"/>
      <c r="F919" s="336"/>
      <c r="G919" s="1300"/>
      <c r="H919" s="1301"/>
      <c r="I919" s="1301"/>
      <c r="J919" s="1301"/>
      <c r="K919" s="337"/>
      <c r="L919" s="337"/>
      <c r="M919" s="327"/>
      <c r="N919" s="327"/>
      <c r="O919" s="327"/>
      <c r="P919" s="327"/>
      <c r="Q919" s="327"/>
      <c r="R919" s="327"/>
      <c r="S919" s="327"/>
      <c r="T919" s="327"/>
      <c r="U919" s="148"/>
      <c r="V919" s="322"/>
      <c r="CM919" s="271"/>
      <c r="CN919" s="271"/>
      <c r="CO919" s="271"/>
      <c r="CP919" s="271"/>
      <c r="CQ919" s="271"/>
      <c r="CR919" s="271"/>
      <c r="CS919" s="271"/>
      <c r="CT919" s="271"/>
      <c r="CU919" s="271"/>
      <c r="CV919" s="271"/>
      <c r="CW919" s="271"/>
      <c r="CX919" s="271"/>
      <c r="CY919" s="271"/>
    </row>
    <row r="920" spans="2:103" s="273" customFormat="1" x14ac:dyDescent="0.25">
      <c r="B920" s="270"/>
      <c r="C920" s="325"/>
      <c r="D920" s="148"/>
      <c r="E920" s="326"/>
      <c r="F920" s="336"/>
      <c r="G920" s="1300"/>
      <c r="H920" s="1301"/>
      <c r="I920" s="1301"/>
      <c r="J920" s="1301"/>
      <c r="K920" s="337"/>
      <c r="L920" s="337"/>
      <c r="M920" s="327"/>
      <c r="N920" s="327"/>
      <c r="O920" s="327"/>
      <c r="P920" s="327"/>
      <c r="Q920" s="327"/>
      <c r="R920" s="327"/>
      <c r="S920" s="327"/>
      <c r="T920" s="327"/>
      <c r="U920" s="148"/>
      <c r="V920" s="322"/>
      <c r="CM920" s="271"/>
      <c r="CN920" s="271"/>
      <c r="CO920" s="271"/>
      <c r="CP920" s="271"/>
      <c r="CQ920" s="271"/>
      <c r="CR920" s="271"/>
      <c r="CS920" s="271"/>
      <c r="CT920" s="271"/>
      <c r="CU920" s="271"/>
      <c r="CV920" s="271"/>
      <c r="CW920" s="271"/>
      <c r="CX920" s="271"/>
      <c r="CY920" s="271"/>
    </row>
    <row r="921" spans="2:103" s="273" customFormat="1" x14ac:dyDescent="0.25">
      <c r="B921" s="270"/>
      <c r="C921" s="325"/>
      <c r="D921" s="148"/>
      <c r="E921" s="326"/>
      <c r="F921" s="336"/>
      <c r="G921" s="1300"/>
      <c r="H921" s="1301"/>
      <c r="I921" s="1301"/>
      <c r="J921" s="1301"/>
      <c r="K921" s="337"/>
      <c r="L921" s="337"/>
      <c r="M921" s="327"/>
      <c r="N921" s="327"/>
      <c r="O921" s="327"/>
      <c r="P921" s="327"/>
      <c r="Q921" s="327"/>
      <c r="R921" s="327"/>
      <c r="S921" s="327"/>
      <c r="T921" s="327"/>
      <c r="U921" s="148"/>
      <c r="V921" s="322"/>
      <c r="CM921" s="271"/>
      <c r="CN921" s="271"/>
      <c r="CO921" s="271"/>
      <c r="CP921" s="271"/>
      <c r="CQ921" s="271"/>
      <c r="CR921" s="271"/>
      <c r="CS921" s="271"/>
      <c r="CT921" s="271"/>
      <c r="CU921" s="271"/>
      <c r="CV921" s="271"/>
      <c r="CW921" s="271"/>
      <c r="CX921" s="271"/>
      <c r="CY921" s="271"/>
    </row>
    <row r="922" spans="2:103" s="273" customFormat="1" x14ac:dyDescent="0.25">
      <c r="B922" s="270"/>
      <c r="C922" s="325"/>
      <c r="D922" s="148"/>
      <c r="E922" s="326"/>
      <c r="F922" s="336"/>
      <c r="G922" s="1300"/>
      <c r="H922" s="1301"/>
      <c r="I922" s="1301"/>
      <c r="J922" s="1301"/>
      <c r="K922" s="337"/>
      <c r="L922" s="337"/>
      <c r="M922" s="327"/>
      <c r="N922" s="327"/>
      <c r="O922" s="327"/>
      <c r="P922" s="327"/>
      <c r="Q922" s="327"/>
      <c r="R922" s="327"/>
      <c r="S922" s="327"/>
      <c r="T922" s="327"/>
      <c r="U922" s="148"/>
      <c r="V922" s="322"/>
      <c r="CM922" s="271"/>
      <c r="CN922" s="271"/>
      <c r="CO922" s="271"/>
      <c r="CP922" s="271"/>
      <c r="CQ922" s="271"/>
      <c r="CR922" s="271"/>
      <c r="CS922" s="271"/>
      <c r="CT922" s="271"/>
      <c r="CU922" s="271"/>
      <c r="CV922" s="271"/>
      <c r="CW922" s="271"/>
      <c r="CX922" s="271"/>
      <c r="CY922" s="271"/>
    </row>
    <row r="923" spans="2:103" s="273" customFormat="1" x14ac:dyDescent="0.25">
      <c r="B923" s="270"/>
      <c r="C923" s="325"/>
      <c r="D923" s="148"/>
      <c r="E923" s="326"/>
      <c r="F923" s="336"/>
      <c r="G923" s="1300"/>
      <c r="H923" s="1301"/>
      <c r="I923" s="1301"/>
      <c r="J923" s="1301"/>
      <c r="K923" s="337"/>
      <c r="L923" s="337"/>
      <c r="M923" s="327"/>
      <c r="N923" s="327"/>
      <c r="O923" s="327"/>
      <c r="P923" s="327"/>
      <c r="Q923" s="327"/>
      <c r="R923" s="327"/>
      <c r="S923" s="327"/>
      <c r="T923" s="327"/>
      <c r="U923" s="148"/>
      <c r="V923" s="322"/>
      <c r="CM923" s="271"/>
      <c r="CN923" s="271"/>
      <c r="CO923" s="271"/>
      <c r="CP923" s="271"/>
      <c r="CQ923" s="271"/>
      <c r="CR923" s="271"/>
      <c r="CS923" s="271"/>
      <c r="CT923" s="271"/>
      <c r="CU923" s="271"/>
      <c r="CV923" s="271"/>
      <c r="CW923" s="271"/>
      <c r="CX923" s="271"/>
      <c r="CY923" s="271"/>
    </row>
    <row r="924" spans="2:103" s="273" customFormat="1" x14ac:dyDescent="0.25">
      <c r="B924" s="270"/>
      <c r="C924" s="325"/>
      <c r="D924" s="148"/>
      <c r="E924" s="326"/>
      <c r="F924" s="336"/>
      <c r="G924" s="1300"/>
      <c r="H924" s="1301"/>
      <c r="I924" s="1301"/>
      <c r="J924" s="1301"/>
      <c r="K924" s="337"/>
      <c r="L924" s="337"/>
      <c r="M924" s="327"/>
      <c r="N924" s="327"/>
      <c r="O924" s="327"/>
      <c r="P924" s="327"/>
      <c r="Q924" s="327"/>
      <c r="R924" s="327"/>
      <c r="S924" s="327"/>
      <c r="T924" s="327"/>
      <c r="U924" s="148"/>
      <c r="V924" s="322"/>
      <c r="CM924" s="271"/>
      <c r="CN924" s="271"/>
      <c r="CO924" s="271"/>
      <c r="CP924" s="271"/>
      <c r="CQ924" s="271"/>
      <c r="CR924" s="271"/>
      <c r="CS924" s="271"/>
      <c r="CT924" s="271"/>
      <c r="CU924" s="271"/>
      <c r="CV924" s="271"/>
      <c r="CW924" s="271"/>
      <c r="CX924" s="271"/>
      <c r="CY924" s="271"/>
    </row>
    <row r="925" spans="2:103" s="273" customFormat="1" x14ac:dyDescent="0.25">
      <c r="B925" s="270"/>
      <c r="C925" s="325"/>
      <c r="D925" s="148"/>
      <c r="E925" s="326"/>
      <c r="F925" s="336"/>
      <c r="G925" s="1300"/>
      <c r="H925" s="1301"/>
      <c r="I925" s="1301"/>
      <c r="J925" s="1301"/>
      <c r="K925" s="337"/>
      <c r="L925" s="337"/>
      <c r="M925" s="327"/>
      <c r="N925" s="327"/>
      <c r="O925" s="333"/>
      <c r="P925" s="333"/>
      <c r="Q925" s="333"/>
      <c r="R925" s="333"/>
      <c r="S925" s="333"/>
      <c r="T925" s="333"/>
      <c r="U925" s="334"/>
      <c r="V925" s="335"/>
      <c r="CM925" s="271"/>
      <c r="CN925" s="271"/>
      <c r="CO925" s="271"/>
      <c r="CP925" s="271"/>
      <c r="CQ925" s="271"/>
      <c r="CR925" s="271"/>
      <c r="CS925" s="271"/>
      <c r="CT925" s="271"/>
      <c r="CU925" s="271"/>
      <c r="CV925" s="271"/>
      <c r="CW925" s="271"/>
      <c r="CX925" s="271"/>
      <c r="CY925" s="271"/>
    </row>
    <row r="926" spans="2:103" s="273" customFormat="1" x14ac:dyDescent="0.25">
      <c r="B926" s="270"/>
      <c r="C926" s="325"/>
      <c r="D926" s="148"/>
      <c r="E926" s="326"/>
      <c r="F926" s="336"/>
      <c r="G926" s="1300"/>
      <c r="H926" s="1301"/>
      <c r="I926" s="1301"/>
      <c r="J926" s="1301"/>
      <c r="K926" s="337"/>
      <c r="L926" s="337"/>
      <c r="M926" s="327"/>
      <c r="N926" s="327"/>
      <c r="O926" s="333"/>
      <c r="P926" s="333"/>
      <c r="Q926" s="333"/>
      <c r="R926" s="333"/>
      <c r="S926" s="333"/>
      <c r="T926" s="333"/>
      <c r="U926" s="334"/>
      <c r="V926" s="335"/>
      <c r="CM926" s="271"/>
      <c r="CN926" s="271"/>
      <c r="CO926" s="271"/>
      <c r="CP926" s="271"/>
      <c r="CQ926" s="271"/>
      <c r="CR926" s="271"/>
      <c r="CS926" s="271"/>
      <c r="CT926" s="271"/>
      <c r="CU926" s="271"/>
      <c r="CV926" s="271"/>
      <c r="CW926" s="271"/>
      <c r="CX926" s="271"/>
      <c r="CY926" s="271"/>
    </row>
  </sheetData>
  <mergeCells count="195">
    <mergeCell ref="D878:S878"/>
    <mergeCell ref="B1:V3"/>
    <mergeCell ref="I4:K4"/>
    <mergeCell ref="M4:N4"/>
    <mergeCell ref="I5:Q5"/>
    <mergeCell ref="I6:K6"/>
    <mergeCell ref="M6:N6"/>
    <mergeCell ref="U12:U13"/>
    <mergeCell ref="T12:T13"/>
    <mergeCell ref="D10:E10"/>
    <mergeCell ref="I10:I11"/>
    <mergeCell ref="J10:L11"/>
    <mergeCell ref="M10:N10"/>
    <mergeCell ref="D11:E11"/>
    <mergeCell ref="D8:E8"/>
    <mergeCell ref="I8:I9"/>
    <mergeCell ref="J8:L9"/>
    <mergeCell ref="M8:N8"/>
    <mergeCell ref="D9:E9"/>
    <mergeCell ref="M9:N9"/>
    <mergeCell ref="R4:S4"/>
    <mergeCell ref="R6:S6"/>
    <mergeCell ref="P10:Q10"/>
    <mergeCell ref="B12:B13"/>
    <mergeCell ref="P12:P13"/>
    <mergeCell ref="O12:O13"/>
    <mergeCell ref="D281:S281"/>
    <mergeCell ref="D552:S552"/>
    <mergeCell ref="D504:S504"/>
    <mergeCell ref="D267:S267"/>
    <mergeCell ref="D271:S271"/>
    <mergeCell ref="D266:S266"/>
    <mergeCell ref="Q12:Q13"/>
    <mergeCell ref="D287:S287"/>
    <mergeCell ref="D305:S305"/>
    <mergeCell ref="D322:S322"/>
    <mergeCell ref="C415:S415"/>
    <mergeCell ref="D418:S418"/>
    <mergeCell ref="C438:S438"/>
    <mergeCell ref="D449:S449"/>
    <mergeCell ref="D291:S291"/>
    <mergeCell ref="D402:S402"/>
    <mergeCell ref="C410:S410"/>
    <mergeCell ref="D412:S412"/>
    <mergeCell ref="D110:K110"/>
    <mergeCell ref="D111:K111"/>
    <mergeCell ref="D112:K112"/>
    <mergeCell ref="D163:S163"/>
    <mergeCell ref="D252:S252"/>
    <mergeCell ref="D262:S262"/>
    <mergeCell ref="D557:S557"/>
    <mergeCell ref="D280:S280"/>
    <mergeCell ref="D502:S502"/>
    <mergeCell ref="D458:S458"/>
    <mergeCell ref="D464:S464"/>
    <mergeCell ref="D501:S501"/>
    <mergeCell ref="D547:S547"/>
    <mergeCell ref="D548:S548"/>
    <mergeCell ref="D284:S284"/>
    <mergeCell ref="D290:S290"/>
    <mergeCell ref="D288:S288"/>
    <mergeCell ref="D292:S292"/>
    <mergeCell ref="D285:S285"/>
    <mergeCell ref="D286:S286"/>
    <mergeCell ref="D289:S289"/>
    <mergeCell ref="D503:S503"/>
    <mergeCell ref="D535:S535"/>
    <mergeCell ref="D539:S539"/>
    <mergeCell ref="D543:S543"/>
    <mergeCell ref="D545:S545"/>
    <mergeCell ref="D555:S555"/>
    <mergeCell ref="D524:T524"/>
    <mergeCell ref="D508:R508"/>
    <mergeCell ref="D530:S530"/>
    <mergeCell ref="D593:S593"/>
    <mergeCell ref="D592:S592"/>
    <mergeCell ref="D560:S560"/>
    <mergeCell ref="D565:S565"/>
    <mergeCell ref="D572:R572"/>
    <mergeCell ref="D579:S579"/>
    <mergeCell ref="D584:S584"/>
    <mergeCell ref="D588:S588"/>
    <mergeCell ref="D643:S643"/>
    <mergeCell ref="D590:S590"/>
    <mergeCell ref="D576:S576"/>
    <mergeCell ref="D645:S645"/>
    <mergeCell ref="D647:S647"/>
    <mergeCell ref="D648:S648"/>
    <mergeCell ref="D650:S650"/>
    <mergeCell ref="D611:S611"/>
    <mergeCell ref="D599:S599"/>
    <mergeCell ref="D603:S603"/>
    <mergeCell ref="D605:S605"/>
    <mergeCell ref="D622:S622"/>
    <mergeCell ref="C624:S624"/>
    <mergeCell ref="C626:S626"/>
    <mergeCell ref="D628:S628"/>
    <mergeCell ref="D630:S630"/>
    <mergeCell ref="D631:S631"/>
    <mergeCell ref="D633:S633"/>
    <mergeCell ref="D640:S640"/>
    <mergeCell ref="D642:S642"/>
    <mergeCell ref="D608:S608"/>
    <mergeCell ref="D613:S613"/>
    <mergeCell ref="D620:S620"/>
    <mergeCell ref="D607:S607"/>
    <mergeCell ref="D750:S750"/>
    <mergeCell ref="D652:S652"/>
    <mergeCell ref="D654:S654"/>
    <mergeCell ref="D659:S659"/>
    <mergeCell ref="D661:S661"/>
    <mergeCell ref="D663:S663"/>
    <mergeCell ref="D665:S665"/>
    <mergeCell ref="D668:S668"/>
    <mergeCell ref="D670:S670"/>
    <mergeCell ref="D672:S672"/>
    <mergeCell ref="D701:S701"/>
    <mergeCell ref="D682:S682"/>
    <mergeCell ref="D684:S684"/>
    <mergeCell ref="D708:S708"/>
    <mergeCell ref="D674:S674"/>
    <mergeCell ref="D676:S676"/>
    <mergeCell ref="D678:S678"/>
    <mergeCell ref="D680:S680"/>
    <mergeCell ref="D688:S688"/>
    <mergeCell ref="D693:S693"/>
    <mergeCell ref="D695:S695"/>
    <mergeCell ref="D696:S696"/>
    <mergeCell ref="D699:S699"/>
    <mergeCell ref="D772:S772"/>
    <mergeCell ref="D771:S771"/>
    <mergeCell ref="D739:S739"/>
    <mergeCell ref="D717:S717"/>
    <mergeCell ref="D743:S743"/>
    <mergeCell ref="D754:S754"/>
    <mergeCell ref="D756:S756"/>
    <mergeCell ref="D710:S710"/>
    <mergeCell ref="D719:S719"/>
    <mergeCell ref="D725:S725"/>
    <mergeCell ref="D727:S727"/>
    <mergeCell ref="D729:S729"/>
    <mergeCell ref="D733:S733"/>
    <mergeCell ref="D735:S735"/>
    <mergeCell ref="D737:S737"/>
    <mergeCell ref="D741:S741"/>
    <mergeCell ref="D759:S759"/>
    <mergeCell ref="D764:S764"/>
    <mergeCell ref="D765:S765"/>
    <mergeCell ref="D762:S762"/>
    <mergeCell ref="D761:S761"/>
    <mergeCell ref="D745:S745"/>
    <mergeCell ref="D752:S752"/>
    <mergeCell ref="D749:S749"/>
    <mergeCell ref="D774:S774"/>
    <mergeCell ref="D775:S775"/>
    <mergeCell ref="D779:S779"/>
    <mergeCell ref="D782:S782"/>
    <mergeCell ref="D789:S789"/>
    <mergeCell ref="D791:S791"/>
    <mergeCell ref="D793:S793"/>
    <mergeCell ref="D795:S795"/>
    <mergeCell ref="D800:S800"/>
    <mergeCell ref="D797:S797"/>
    <mergeCell ref="D798:S798"/>
    <mergeCell ref="D802:S802"/>
    <mergeCell ref="D817:S817"/>
    <mergeCell ref="D816:S816"/>
    <mergeCell ref="D813:S813"/>
    <mergeCell ref="D811:S811"/>
    <mergeCell ref="D809:S809"/>
    <mergeCell ref="D838:S838"/>
    <mergeCell ref="D832:S832"/>
    <mergeCell ref="D848:S848"/>
    <mergeCell ref="D846:S846"/>
    <mergeCell ref="D828:S828"/>
    <mergeCell ref="D840:S840"/>
    <mergeCell ref="D827:S827"/>
    <mergeCell ref="D876:S876"/>
    <mergeCell ref="D874:S874"/>
    <mergeCell ref="D866:S866"/>
    <mergeCell ref="D864:S864"/>
    <mergeCell ref="D823:S823"/>
    <mergeCell ref="D860:S860"/>
    <mergeCell ref="D818:S818"/>
    <mergeCell ref="D805:S805"/>
    <mergeCell ref="D854:S854"/>
    <mergeCell ref="D872:S872"/>
    <mergeCell ref="D870:S870"/>
    <mergeCell ref="D868:S868"/>
    <mergeCell ref="D862:S862"/>
    <mergeCell ref="D858:S858"/>
    <mergeCell ref="D856:S856"/>
    <mergeCell ref="D852:S852"/>
    <mergeCell ref="D850:S850"/>
    <mergeCell ref="D843:S843"/>
  </mergeCells>
  <pageMargins left="0.7" right="0.7" top="0.75" bottom="0.75" header="0.3" footer="0.3"/>
  <pageSetup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CY946"/>
  <sheetViews>
    <sheetView showGridLines="0" zoomScale="57" zoomScaleNormal="57" workbookViewId="0">
      <pane xSplit="2" ySplit="13" topLeftCell="C944" activePane="bottomRight" state="frozen"/>
      <selection pane="topRight" activeCell="C1" sqref="C1"/>
      <selection pane="bottomLeft" activeCell="A15" sqref="A15"/>
      <selection pane="bottomRight" activeCell="C947" sqref="C947"/>
    </sheetView>
  </sheetViews>
  <sheetFormatPr defaultRowHeight="15" x14ac:dyDescent="0.25"/>
  <cols>
    <col min="1" max="1" width="0.28515625" style="342" customWidth="1"/>
    <col min="2" max="2" width="20.7109375" style="342" customWidth="1"/>
    <col min="3" max="3" width="21.42578125" style="405" customWidth="1"/>
    <col min="4" max="4" width="10.28515625" style="406" customWidth="1"/>
    <col min="5" max="5" width="16.5703125" style="407" customWidth="1"/>
    <col min="6" max="6" width="9.42578125" style="407" customWidth="1"/>
    <col min="7" max="7" width="15.5703125" style="407" bestFit="1" customWidth="1"/>
    <col min="8" max="8" width="12.28515625" style="407" bestFit="1" customWidth="1"/>
    <col min="9" max="9" width="30.42578125" style="405" bestFit="1" customWidth="1"/>
    <col min="10" max="10" width="10" style="407" customWidth="1"/>
    <col min="11" max="11" width="23.140625" style="407" customWidth="1"/>
    <col min="12" max="12" width="10.85546875" style="405" customWidth="1"/>
    <col min="13" max="13" width="8.42578125" style="405" customWidth="1"/>
    <col min="14" max="14" width="12.7109375" style="405" customWidth="1"/>
    <col min="15" max="15" width="12.42578125" style="405" customWidth="1"/>
    <col min="16" max="16" width="18.140625" style="405" customWidth="1"/>
    <col min="17" max="17" width="18.28515625" style="405" customWidth="1"/>
    <col min="18" max="18" width="22.7109375" style="405" customWidth="1"/>
    <col min="19" max="19" width="18.28515625" style="405" customWidth="1"/>
    <col min="20" max="20" width="15.5703125" style="405" customWidth="1"/>
    <col min="21" max="21" width="34.140625" style="405" bestFit="1" customWidth="1"/>
    <col min="22" max="22" width="77.7109375" style="342" customWidth="1"/>
    <col min="23" max="23" width="10.5703125" style="343" customWidth="1"/>
    <col min="24" max="90" width="8.7109375" style="343"/>
    <col min="91" max="16384" width="9.140625" style="342"/>
  </cols>
  <sheetData>
    <row r="1" spans="1:103" x14ac:dyDescent="0.25">
      <c r="B1" s="1573"/>
      <c r="C1" s="1574"/>
      <c r="D1" s="1574"/>
      <c r="E1" s="1574"/>
      <c r="F1" s="1574"/>
      <c r="G1" s="1574"/>
      <c r="H1" s="1574"/>
      <c r="I1" s="1574"/>
      <c r="J1" s="1574"/>
      <c r="K1" s="1574"/>
      <c r="L1" s="1574"/>
      <c r="M1" s="1574"/>
      <c r="N1" s="1574"/>
      <c r="O1" s="1574"/>
      <c r="P1" s="1574"/>
      <c r="Q1" s="1574"/>
      <c r="R1" s="1574"/>
      <c r="S1" s="1574"/>
      <c r="T1" s="1574"/>
      <c r="U1" s="1574"/>
      <c r="V1" s="1575"/>
    </row>
    <row r="2" spans="1:103" ht="27.75" customHeight="1" x14ac:dyDescent="0.25">
      <c r="B2" s="1576"/>
      <c r="C2" s="1577"/>
      <c r="D2" s="1577"/>
      <c r="E2" s="1577"/>
      <c r="F2" s="1577"/>
      <c r="G2" s="1577"/>
      <c r="H2" s="1577"/>
      <c r="I2" s="1577"/>
      <c r="J2" s="1577"/>
      <c r="K2" s="1577"/>
      <c r="L2" s="1577"/>
      <c r="M2" s="1577"/>
      <c r="N2" s="1577"/>
      <c r="O2" s="1577"/>
      <c r="P2" s="1577"/>
      <c r="Q2" s="1577"/>
      <c r="R2" s="1577"/>
      <c r="S2" s="1577"/>
      <c r="T2" s="1577"/>
      <c r="U2" s="1577"/>
      <c r="V2" s="1578"/>
    </row>
    <row r="3" spans="1:103" ht="9.75" customHeight="1" x14ac:dyDescent="0.25">
      <c r="B3" s="1576"/>
      <c r="C3" s="1577"/>
      <c r="D3" s="1577"/>
      <c r="E3" s="1577"/>
      <c r="F3" s="1577"/>
      <c r="G3" s="1577"/>
      <c r="H3" s="1577"/>
      <c r="I3" s="1577"/>
      <c r="J3" s="1577"/>
      <c r="K3" s="1577"/>
      <c r="L3" s="1577"/>
      <c r="M3" s="1577"/>
      <c r="N3" s="1577"/>
      <c r="O3" s="1577"/>
      <c r="P3" s="1577"/>
      <c r="Q3" s="1577"/>
      <c r="R3" s="1577"/>
      <c r="S3" s="1577"/>
      <c r="T3" s="1577"/>
      <c r="U3" s="1577"/>
      <c r="V3" s="1578"/>
    </row>
    <row r="4" spans="1:103" s="224" customFormat="1" ht="56.25" customHeight="1" x14ac:dyDescent="0.25">
      <c r="A4" s="342"/>
      <c r="B4" s="344"/>
      <c r="C4" s="345" t="s">
        <v>0</v>
      </c>
      <c r="D4" s="346" t="s">
        <v>1</v>
      </c>
      <c r="E4" s="347"/>
      <c r="F4" s="347"/>
      <c r="G4" s="348" t="s">
        <v>2</v>
      </c>
      <c r="H4" s="349">
        <v>135</v>
      </c>
      <c r="I4" s="350" t="s">
        <v>3</v>
      </c>
      <c r="J4" s="351">
        <v>25.7</v>
      </c>
      <c r="K4" s="352"/>
      <c r="L4" s="353"/>
      <c r="M4" s="1579" t="s">
        <v>4</v>
      </c>
      <c r="N4" s="1579"/>
      <c r="O4" s="354">
        <v>10</v>
      </c>
      <c r="P4" s="355" t="s">
        <v>5</v>
      </c>
      <c r="Q4" s="356" t="s">
        <v>74</v>
      </c>
      <c r="R4" s="1561" t="s">
        <v>4622</v>
      </c>
      <c r="S4" s="1562"/>
      <c r="T4" s="358"/>
      <c r="U4" s="359" t="s">
        <v>6</v>
      </c>
      <c r="V4" s="360" t="s">
        <v>7</v>
      </c>
      <c r="W4" s="361"/>
      <c r="X4" s="225"/>
      <c r="Y4" s="225"/>
      <c r="Z4" s="225"/>
      <c r="AA4" s="225"/>
      <c r="AB4" s="225"/>
      <c r="AC4" s="225"/>
      <c r="AD4" s="225"/>
      <c r="AE4" s="225"/>
      <c r="AF4" s="225"/>
      <c r="AG4" s="225"/>
      <c r="AH4" s="225"/>
      <c r="AI4" s="225"/>
      <c r="AJ4" s="225"/>
      <c r="AK4" s="225"/>
      <c r="AL4" s="225"/>
      <c r="AM4" s="225"/>
      <c r="AN4" s="225"/>
      <c r="AO4" s="225"/>
      <c r="AP4" s="225"/>
      <c r="AQ4" s="225"/>
      <c r="AR4" s="225"/>
      <c r="AS4" s="225"/>
      <c r="AT4" s="225"/>
      <c r="AU4" s="225"/>
      <c r="AV4" s="225"/>
      <c r="AW4" s="225"/>
      <c r="AX4" s="225"/>
      <c r="AY4" s="225"/>
      <c r="AZ4" s="225"/>
      <c r="BA4" s="225"/>
      <c r="BB4" s="225"/>
      <c r="BC4" s="225"/>
      <c r="BD4" s="225"/>
      <c r="BE4" s="225"/>
      <c r="BF4" s="225"/>
      <c r="BG4" s="225"/>
      <c r="BH4" s="225"/>
      <c r="BI4" s="225"/>
      <c r="BJ4" s="225"/>
      <c r="BK4" s="225"/>
      <c r="BL4" s="225"/>
      <c r="BM4" s="225"/>
      <c r="BN4" s="225"/>
      <c r="BO4" s="225"/>
      <c r="BP4" s="225"/>
      <c r="BQ4" s="225"/>
      <c r="BR4" s="225"/>
      <c r="BS4" s="225"/>
      <c r="BT4" s="225"/>
      <c r="BU4" s="225"/>
      <c r="BV4" s="225"/>
      <c r="BW4" s="225"/>
      <c r="BX4" s="225"/>
      <c r="BY4" s="225"/>
      <c r="BZ4" s="225"/>
      <c r="CA4" s="225"/>
      <c r="CB4" s="225"/>
      <c r="CC4" s="225"/>
      <c r="CD4" s="225"/>
      <c r="CE4" s="225"/>
      <c r="CF4" s="225"/>
      <c r="CG4" s="225"/>
      <c r="CH4" s="225"/>
      <c r="CI4" s="225"/>
      <c r="CJ4" s="225"/>
      <c r="CK4" s="225"/>
      <c r="CL4" s="225"/>
    </row>
    <row r="5" spans="1:103" s="224" customFormat="1" ht="23.25" customHeight="1" x14ac:dyDescent="0.25">
      <c r="A5" s="342"/>
      <c r="B5" s="344"/>
      <c r="C5" s="362"/>
      <c r="D5" s="362"/>
      <c r="E5" s="347"/>
      <c r="F5" s="347"/>
      <c r="G5" s="362"/>
      <c r="H5" s="363"/>
      <c r="I5" s="1580"/>
      <c r="J5" s="1580"/>
      <c r="K5" s="1581"/>
      <c r="L5" s="1581"/>
      <c r="M5" s="1580"/>
      <c r="N5" s="1580"/>
      <c r="O5" s="1580"/>
      <c r="P5" s="1580"/>
      <c r="Q5" s="1582"/>
      <c r="R5" s="1091"/>
      <c r="S5" s="1092"/>
      <c r="T5" s="306"/>
      <c r="U5" s="306"/>
      <c r="V5" s="364"/>
      <c r="W5" s="365"/>
      <c r="X5" s="225"/>
      <c r="Y5" s="225"/>
      <c r="Z5" s="225"/>
      <c r="AA5" s="225"/>
      <c r="AB5" s="225"/>
      <c r="AC5" s="225"/>
      <c r="AD5" s="225"/>
      <c r="AE5" s="225"/>
      <c r="AF5" s="225"/>
      <c r="AG5" s="225"/>
      <c r="AH5" s="225"/>
      <c r="AI5" s="225"/>
      <c r="AJ5" s="225"/>
      <c r="AK5" s="225"/>
      <c r="AL5" s="225"/>
      <c r="AM5" s="225"/>
      <c r="AN5" s="225"/>
      <c r="AO5" s="225"/>
      <c r="AP5" s="225"/>
      <c r="AQ5" s="225"/>
      <c r="AR5" s="225"/>
      <c r="AS5" s="225"/>
      <c r="AT5" s="225"/>
      <c r="AU5" s="225"/>
      <c r="AV5" s="225"/>
      <c r="AW5" s="225"/>
      <c r="AX5" s="225"/>
      <c r="AY5" s="225"/>
      <c r="AZ5" s="225"/>
      <c r="BA5" s="225"/>
      <c r="BB5" s="225"/>
      <c r="BC5" s="225"/>
      <c r="BD5" s="225"/>
      <c r="BE5" s="225"/>
      <c r="BF5" s="225"/>
      <c r="BG5" s="225"/>
      <c r="BH5" s="225"/>
      <c r="BI5" s="225"/>
      <c r="BJ5" s="225"/>
      <c r="BK5" s="225"/>
      <c r="BL5" s="225"/>
      <c r="BM5" s="225"/>
      <c r="BN5" s="225"/>
      <c r="BO5" s="225"/>
      <c r="BP5" s="225"/>
      <c r="BQ5" s="225"/>
      <c r="BR5" s="225"/>
      <c r="BS5" s="225"/>
      <c r="BT5" s="225"/>
      <c r="BU5" s="225"/>
      <c r="BV5" s="225"/>
      <c r="BW5" s="225"/>
      <c r="BX5" s="225"/>
      <c r="BY5" s="225"/>
      <c r="BZ5" s="225"/>
      <c r="CA5" s="225"/>
      <c r="CB5" s="225"/>
      <c r="CC5" s="225"/>
      <c r="CD5" s="225"/>
      <c r="CE5" s="225"/>
      <c r="CF5" s="225"/>
      <c r="CG5" s="225"/>
      <c r="CH5" s="225"/>
      <c r="CI5" s="225"/>
      <c r="CJ5" s="225"/>
      <c r="CK5" s="225"/>
      <c r="CL5" s="225"/>
    </row>
    <row r="6" spans="1:103" s="224" customFormat="1" ht="31.5" customHeight="1" x14ac:dyDescent="0.25">
      <c r="A6" s="342"/>
      <c r="B6" s="344"/>
      <c r="C6" s="366" t="s">
        <v>8</v>
      </c>
      <c r="D6" s="367" t="s">
        <v>73</v>
      </c>
      <c r="E6" s="347"/>
      <c r="F6" s="347"/>
      <c r="G6" s="348" t="s">
        <v>9</v>
      </c>
      <c r="H6" s="349" t="s">
        <v>10</v>
      </c>
      <c r="I6" s="368" t="s">
        <v>11</v>
      </c>
      <c r="J6" s="369">
        <v>4</v>
      </c>
      <c r="K6" s="370"/>
      <c r="L6" s="371"/>
      <c r="M6" s="1570" t="s">
        <v>12</v>
      </c>
      <c r="N6" s="1570"/>
      <c r="O6" s="372" t="s">
        <v>13</v>
      </c>
      <c r="P6" s="355" t="s">
        <v>14</v>
      </c>
      <c r="Q6" s="356" t="s">
        <v>13</v>
      </c>
      <c r="R6" s="1561" t="s">
        <v>4623</v>
      </c>
      <c r="S6" s="1562"/>
      <c r="T6" s="358"/>
      <c r="U6" s="359" t="s">
        <v>15</v>
      </c>
      <c r="V6" s="373" t="s">
        <v>16</v>
      </c>
      <c r="W6" s="374"/>
      <c r="X6" s="225"/>
      <c r="Y6" s="225"/>
      <c r="Z6" s="225"/>
      <c r="AA6" s="225"/>
      <c r="AB6" s="225"/>
      <c r="AC6" s="225"/>
      <c r="AD6" s="225"/>
      <c r="AE6" s="225"/>
      <c r="AF6" s="225"/>
      <c r="AG6" s="225"/>
      <c r="AH6" s="225"/>
      <c r="AI6" s="225"/>
      <c r="AJ6" s="225"/>
      <c r="AK6" s="225"/>
      <c r="AL6" s="225"/>
      <c r="AM6" s="225"/>
      <c r="AN6" s="225"/>
      <c r="AO6" s="225"/>
      <c r="AP6" s="225"/>
      <c r="AQ6" s="225"/>
      <c r="AR6" s="225"/>
      <c r="AS6" s="225"/>
      <c r="AT6" s="225"/>
      <c r="AU6" s="225"/>
      <c r="AV6" s="225"/>
      <c r="AW6" s="225"/>
      <c r="AX6" s="225"/>
      <c r="AY6" s="225"/>
      <c r="AZ6" s="225"/>
      <c r="BA6" s="225"/>
      <c r="BB6" s="225"/>
      <c r="BC6" s="225"/>
      <c r="BD6" s="225"/>
      <c r="BE6" s="225"/>
      <c r="BF6" s="225"/>
      <c r="BG6" s="225"/>
      <c r="BH6" s="225"/>
      <c r="BI6" s="225"/>
      <c r="BJ6" s="225"/>
      <c r="BK6" s="225"/>
      <c r="BL6" s="225"/>
      <c r="BM6" s="225"/>
      <c r="BN6" s="225"/>
      <c r="BO6" s="225"/>
      <c r="BP6" s="225"/>
      <c r="BQ6" s="225"/>
      <c r="BR6" s="225"/>
      <c r="BS6" s="225"/>
      <c r="BT6" s="225"/>
      <c r="BU6" s="225"/>
      <c r="BV6" s="225"/>
      <c r="BW6" s="225"/>
      <c r="BX6" s="225"/>
      <c r="BY6" s="225"/>
      <c r="BZ6" s="225"/>
      <c r="CA6" s="225"/>
      <c r="CB6" s="225"/>
      <c r="CC6" s="225"/>
      <c r="CD6" s="225"/>
      <c r="CE6" s="225"/>
      <c r="CF6" s="225"/>
      <c r="CG6" s="225"/>
      <c r="CH6" s="225"/>
      <c r="CI6" s="225"/>
      <c r="CJ6" s="225"/>
      <c r="CK6" s="225"/>
      <c r="CL6" s="225"/>
    </row>
    <row r="7" spans="1:103" s="224" customFormat="1" ht="23.25" customHeight="1" x14ac:dyDescent="0.25">
      <c r="A7" s="342"/>
      <c r="B7" s="344"/>
      <c r="C7" s="375"/>
      <c r="D7" s="375"/>
      <c r="E7" s="376"/>
      <c r="F7" s="376"/>
      <c r="G7" s="375"/>
      <c r="H7" s="375"/>
      <c r="I7" s="377" t="s">
        <v>17</v>
      </c>
      <c r="J7" s="349">
        <v>1</v>
      </c>
      <c r="K7" s="375"/>
      <c r="L7" s="375"/>
      <c r="M7" s="378"/>
      <c r="N7" s="379"/>
      <c r="O7" s="306"/>
      <c r="P7" s="306"/>
      <c r="Q7" s="306"/>
      <c r="R7" s="306"/>
      <c r="S7" s="306"/>
      <c r="T7" s="306"/>
      <c r="U7" s="306"/>
      <c r="V7" s="306"/>
      <c r="W7" s="225"/>
      <c r="X7" s="225"/>
      <c r="Y7" s="225"/>
      <c r="Z7" s="225"/>
      <c r="AA7" s="225"/>
      <c r="AB7" s="225"/>
      <c r="AC7" s="225"/>
      <c r="AD7" s="225"/>
      <c r="AE7" s="225"/>
      <c r="AF7" s="225"/>
      <c r="AG7" s="225"/>
      <c r="AH7" s="225"/>
      <c r="AI7" s="225"/>
      <c r="AJ7" s="225"/>
      <c r="AK7" s="225"/>
      <c r="AL7" s="225"/>
      <c r="AM7" s="225"/>
      <c r="AN7" s="225"/>
      <c r="AO7" s="225"/>
      <c r="AP7" s="225"/>
      <c r="AQ7" s="225"/>
      <c r="AR7" s="225"/>
      <c r="AS7" s="225"/>
      <c r="AT7" s="225"/>
      <c r="AU7" s="225"/>
      <c r="AV7" s="225"/>
      <c r="AW7" s="225"/>
      <c r="AX7" s="225"/>
      <c r="AY7" s="225"/>
      <c r="AZ7" s="225"/>
      <c r="BA7" s="225"/>
      <c r="BB7" s="225"/>
      <c r="BC7" s="225"/>
      <c r="BD7" s="225"/>
      <c r="BE7" s="225"/>
      <c r="BF7" s="225"/>
      <c r="BG7" s="225"/>
      <c r="BH7" s="225"/>
      <c r="BI7" s="225"/>
      <c r="BJ7" s="225"/>
      <c r="BK7" s="225"/>
      <c r="BL7" s="225"/>
      <c r="BM7" s="225"/>
      <c r="BN7" s="225"/>
      <c r="BO7" s="225"/>
      <c r="BP7" s="225"/>
      <c r="BQ7" s="225"/>
      <c r="BR7" s="225"/>
      <c r="BS7" s="225"/>
      <c r="BT7" s="225"/>
      <c r="BU7" s="225"/>
      <c r="BV7" s="225"/>
      <c r="BW7" s="225"/>
      <c r="BX7" s="225"/>
      <c r="BY7" s="225"/>
      <c r="BZ7" s="225"/>
      <c r="CA7" s="225"/>
      <c r="CB7" s="225"/>
      <c r="CC7" s="225"/>
      <c r="CD7" s="225"/>
      <c r="CE7" s="225"/>
      <c r="CF7" s="225"/>
      <c r="CG7" s="225"/>
      <c r="CH7" s="225"/>
      <c r="CI7" s="225"/>
      <c r="CJ7" s="225"/>
      <c r="CK7" s="225"/>
      <c r="CL7" s="225"/>
    </row>
    <row r="8" spans="1:103" s="224" customFormat="1" ht="42" customHeight="1" x14ac:dyDescent="0.25">
      <c r="A8" s="342"/>
      <c r="B8" s="344"/>
      <c r="C8" s="377" t="s">
        <v>18</v>
      </c>
      <c r="D8" s="1595" t="s">
        <v>19</v>
      </c>
      <c r="E8" s="1596"/>
      <c r="F8" s="380"/>
      <c r="G8" s="355" t="s">
        <v>20</v>
      </c>
      <c r="H8" s="356">
        <v>4.577</v>
      </c>
      <c r="I8" s="1570" t="s">
        <v>21</v>
      </c>
      <c r="J8" s="1600" t="s">
        <v>223</v>
      </c>
      <c r="K8" s="1600"/>
      <c r="L8" s="1600"/>
      <c r="M8" s="1569" t="s">
        <v>22</v>
      </c>
      <c r="N8" s="1570"/>
      <c r="O8" s="356" t="s">
        <v>23</v>
      </c>
      <c r="P8" s="381" t="s">
        <v>24</v>
      </c>
      <c r="Q8" s="356" t="s">
        <v>25</v>
      </c>
      <c r="R8" s="357"/>
      <c r="S8" s="357"/>
      <c r="T8" s="382"/>
      <c r="U8" s="359" t="s">
        <v>994</v>
      </c>
      <c r="V8" s="383">
        <v>44203</v>
      </c>
      <c r="W8" s="384"/>
      <c r="X8" s="225"/>
      <c r="Y8" s="225"/>
      <c r="Z8" s="225"/>
      <c r="AA8" s="225"/>
      <c r="AB8" s="225"/>
      <c r="AC8" s="225"/>
      <c r="AD8" s="225"/>
      <c r="AE8" s="225"/>
      <c r="AF8" s="225"/>
      <c r="AG8" s="225"/>
      <c r="AH8" s="225"/>
      <c r="AI8" s="225"/>
      <c r="AJ8" s="225"/>
      <c r="AK8" s="225"/>
      <c r="AL8" s="225"/>
      <c r="AM8" s="225"/>
      <c r="AN8" s="225"/>
      <c r="AO8" s="225"/>
      <c r="AP8" s="225"/>
      <c r="AQ8" s="225"/>
      <c r="AR8" s="225"/>
      <c r="AS8" s="225"/>
      <c r="AT8" s="225"/>
      <c r="AU8" s="225"/>
      <c r="AV8" s="225"/>
      <c r="AW8" s="225"/>
      <c r="AX8" s="225"/>
      <c r="AY8" s="225"/>
      <c r="AZ8" s="225"/>
      <c r="BA8" s="225"/>
      <c r="BB8" s="225"/>
      <c r="BC8" s="225"/>
      <c r="BD8" s="225"/>
      <c r="BE8" s="225"/>
      <c r="BF8" s="225"/>
      <c r="BG8" s="225"/>
      <c r="BH8" s="225"/>
      <c r="BI8" s="225"/>
      <c r="BJ8" s="225"/>
      <c r="BK8" s="225"/>
      <c r="BL8" s="225"/>
      <c r="BM8" s="225"/>
      <c r="BN8" s="225"/>
      <c r="BO8" s="225"/>
      <c r="BP8" s="225"/>
      <c r="BQ8" s="225"/>
      <c r="BR8" s="225"/>
      <c r="BS8" s="225"/>
      <c r="BT8" s="225"/>
      <c r="BU8" s="225"/>
      <c r="BV8" s="225"/>
      <c r="BW8" s="225"/>
      <c r="BX8" s="225"/>
      <c r="BY8" s="225"/>
      <c r="BZ8" s="225"/>
      <c r="CA8" s="225"/>
      <c r="CB8" s="225"/>
      <c r="CC8" s="225"/>
      <c r="CD8" s="225"/>
      <c r="CE8" s="225"/>
      <c r="CF8" s="225"/>
      <c r="CG8" s="225"/>
      <c r="CH8" s="225"/>
      <c r="CI8" s="225"/>
      <c r="CJ8" s="225"/>
      <c r="CK8" s="225"/>
      <c r="CL8" s="225"/>
    </row>
    <row r="9" spans="1:103" s="224" customFormat="1" ht="36" customHeight="1" x14ac:dyDescent="0.25">
      <c r="A9" s="342"/>
      <c r="B9" s="344"/>
      <c r="C9" s="385" t="s">
        <v>27</v>
      </c>
      <c r="D9" s="1595" t="s">
        <v>28</v>
      </c>
      <c r="E9" s="1596"/>
      <c r="F9" s="380"/>
      <c r="G9" s="339"/>
      <c r="H9" s="386"/>
      <c r="I9" s="1570"/>
      <c r="J9" s="1600"/>
      <c r="K9" s="1600"/>
      <c r="L9" s="1600"/>
      <c r="M9" s="1571" t="s">
        <v>29</v>
      </c>
      <c r="N9" s="1572"/>
      <c r="O9" s="349">
        <v>2737</v>
      </c>
      <c r="P9" s="381" t="s">
        <v>30</v>
      </c>
      <c r="Q9" s="356" t="s">
        <v>75</v>
      </c>
      <c r="R9" s="357"/>
      <c r="S9" s="357"/>
      <c r="T9" s="387"/>
      <c r="U9" s="359" t="s">
        <v>995</v>
      </c>
      <c r="V9" s="383">
        <v>44206</v>
      </c>
      <c r="W9" s="384"/>
      <c r="X9" s="225"/>
      <c r="Y9" s="225"/>
      <c r="Z9" s="225"/>
      <c r="AA9" s="225"/>
      <c r="AB9" s="225"/>
      <c r="AC9" s="225"/>
      <c r="AD9" s="225"/>
      <c r="AE9" s="225"/>
      <c r="AF9" s="225"/>
      <c r="AG9" s="225"/>
      <c r="AH9" s="225"/>
      <c r="AI9" s="225"/>
      <c r="AJ9" s="225"/>
      <c r="AK9" s="225"/>
      <c r="AL9" s="225"/>
      <c r="AM9" s="225"/>
      <c r="AN9" s="225"/>
      <c r="AO9" s="225"/>
      <c r="AP9" s="225"/>
      <c r="AQ9" s="225"/>
      <c r="AR9" s="225"/>
      <c r="AS9" s="225"/>
      <c r="AT9" s="225"/>
      <c r="AU9" s="225"/>
      <c r="AV9" s="225"/>
      <c r="AW9" s="225"/>
      <c r="AX9" s="225"/>
      <c r="AY9" s="225"/>
      <c r="AZ9" s="225"/>
      <c r="BA9" s="225"/>
      <c r="BB9" s="225"/>
      <c r="BC9" s="225"/>
      <c r="BD9" s="225"/>
      <c r="BE9" s="225"/>
      <c r="BF9" s="225"/>
      <c r="BG9" s="225"/>
      <c r="BH9" s="225"/>
      <c r="BI9" s="225"/>
      <c r="BJ9" s="225"/>
      <c r="BK9" s="225"/>
      <c r="BL9" s="225"/>
      <c r="BM9" s="225"/>
      <c r="BN9" s="225"/>
      <c r="BO9" s="225"/>
      <c r="BP9" s="225"/>
      <c r="BQ9" s="225"/>
      <c r="BR9" s="225"/>
      <c r="BS9" s="225"/>
      <c r="BT9" s="225"/>
      <c r="BU9" s="225"/>
      <c r="BV9" s="225"/>
      <c r="BW9" s="225"/>
      <c r="BX9" s="225"/>
      <c r="BY9" s="225"/>
      <c r="BZ9" s="225"/>
      <c r="CA9" s="225"/>
      <c r="CB9" s="225"/>
      <c r="CC9" s="225"/>
      <c r="CD9" s="225"/>
      <c r="CE9" s="225"/>
      <c r="CF9" s="225"/>
      <c r="CG9" s="225"/>
      <c r="CH9" s="225"/>
      <c r="CI9" s="225"/>
      <c r="CJ9" s="225"/>
      <c r="CK9" s="225"/>
      <c r="CL9" s="225"/>
    </row>
    <row r="10" spans="1:103" s="224" customFormat="1" ht="42.75" customHeight="1" x14ac:dyDescent="0.25">
      <c r="A10" s="342"/>
      <c r="B10" s="344"/>
      <c r="C10" s="345" t="s">
        <v>32</v>
      </c>
      <c r="D10" s="1595" t="s">
        <v>33</v>
      </c>
      <c r="E10" s="1596"/>
      <c r="F10" s="388"/>
      <c r="G10" s="389"/>
      <c r="H10" s="294"/>
      <c r="I10" s="1570" t="s">
        <v>34</v>
      </c>
      <c r="J10" s="1597" t="s">
        <v>35</v>
      </c>
      <c r="K10" s="1597"/>
      <c r="L10" s="1597"/>
      <c r="M10" s="1571" t="s">
        <v>36</v>
      </c>
      <c r="N10" s="1572"/>
      <c r="O10" s="390" t="s">
        <v>37</v>
      </c>
      <c r="P10" s="1552" t="s">
        <v>4624</v>
      </c>
      <c r="Q10" s="1553"/>
      <c r="R10" s="391"/>
      <c r="S10" s="391"/>
      <c r="T10" s="391"/>
      <c r="U10" s="359" t="s">
        <v>38</v>
      </c>
      <c r="V10" s="383" t="s">
        <v>224</v>
      </c>
      <c r="W10" s="392"/>
      <c r="X10" s="225"/>
      <c r="Y10" s="225"/>
      <c r="Z10" s="225"/>
      <c r="AA10" s="225"/>
      <c r="AB10" s="225"/>
      <c r="AC10" s="225"/>
      <c r="AD10" s="225"/>
      <c r="AE10" s="225"/>
      <c r="AF10" s="225"/>
      <c r="AG10" s="225"/>
      <c r="AH10" s="225"/>
      <c r="AI10" s="225"/>
      <c r="AJ10" s="225"/>
      <c r="AK10" s="225"/>
      <c r="AL10" s="225"/>
      <c r="AM10" s="225"/>
      <c r="AN10" s="225"/>
      <c r="AO10" s="225"/>
      <c r="AP10" s="225"/>
      <c r="AQ10" s="225"/>
      <c r="AR10" s="225"/>
      <c r="AS10" s="225"/>
      <c r="AT10" s="225"/>
      <c r="AU10" s="225"/>
    </row>
    <row r="11" spans="1:103" s="224" customFormat="1" ht="41.25" customHeight="1" thickBot="1" x14ac:dyDescent="0.3">
      <c r="B11" s="344"/>
      <c r="C11" s="355" t="s">
        <v>39</v>
      </c>
      <c r="D11" s="1598" t="s">
        <v>76</v>
      </c>
      <c r="E11" s="1599"/>
      <c r="F11" s="393"/>
      <c r="G11" s="294"/>
      <c r="H11" s="294"/>
      <c r="I11" s="1570"/>
      <c r="J11" s="1597"/>
      <c r="K11" s="1597"/>
      <c r="L11" s="1597"/>
      <c r="M11" s="294"/>
      <c r="N11" s="294"/>
      <c r="O11" s="294"/>
      <c r="P11" s="294"/>
      <c r="Q11" s="294"/>
      <c r="R11" s="294"/>
      <c r="S11" s="294"/>
      <c r="T11" s="294"/>
      <c r="U11" s="359" t="s">
        <v>40</v>
      </c>
      <c r="V11" s="349" t="s">
        <v>576</v>
      </c>
      <c r="W11" s="225"/>
      <c r="X11" s="225"/>
      <c r="Y11" s="225"/>
      <c r="Z11" s="225"/>
      <c r="AA11" s="225"/>
      <c r="AB11" s="225"/>
      <c r="AC11" s="225"/>
      <c r="AD11" s="225"/>
      <c r="AE11" s="225"/>
      <c r="AF11" s="225"/>
      <c r="AG11" s="225"/>
      <c r="AH11" s="225"/>
      <c r="AI11" s="225"/>
      <c r="AJ11" s="225"/>
      <c r="AK11" s="225"/>
      <c r="AL11" s="225"/>
      <c r="AM11" s="225"/>
      <c r="AN11" s="225"/>
      <c r="AO11" s="225"/>
      <c r="AP11" s="225"/>
      <c r="AQ11" s="225"/>
      <c r="AR11" s="225"/>
      <c r="AS11" s="225"/>
      <c r="AT11" s="225"/>
      <c r="AU11" s="225"/>
    </row>
    <row r="12" spans="1:103" s="17" customFormat="1" ht="45.75" customHeight="1" thickBot="1" x14ac:dyDescent="0.3">
      <c r="B12" s="1563" t="s">
        <v>41</v>
      </c>
      <c r="C12" s="394" t="s">
        <v>42</v>
      </c>
      <c r="D12" s="395" t="s">
        <v>43</v>
      </c>
      <c r="E12" s="396" t="s">
        <v>44</v>
      </c>
      <c r="F12" s="397" t="s">
        <v>45</v>
      </c>
      <c r="G12" s="283" t="s">
        <v>46</v>
      </c>
      <c r="H12" s="284" t="s">
        <v>47</v>
      </c>
      <c r="I12" s="283" t="s">
        <v>48</v>
      </c>
      <c r="J12" s="285" t="s">
        <v>49</v>
      </c>
      <c r="K12" s="286" t="s">
        <v>50</v>
      </c>
      <c r="L12" s="287" t="s">
        <v>51</v>
      </c>
      <c r="M12" s="288" t="s">
        <v>52</v>
      </c>
      <c r="N12" s="289" t="s">
        <v>53</v>
      </c>
      <c r="O12" s="1531" t="s">
        <v>54</v>
      </c>
      <c r="P12" s="1531" t="s">
        <v>55</v>
      </c>
      <c r="Q12" s="1533" t="s">
        <v>56</v>
      </c>
      <c r="R12" s="569" t="s">
        <v>1535</v>
      </c>
      <c r="S12" s="291" t="s">
        <v>136</v>
      </c>
      <c r="T12" s="1531" t="s">
        <v>57</v>
      </c>
      <c r="U12" s="1550" t="s">
        <v>58</v>
      </c>
      <c r="V12" s="292" t="s">
        <v>77</v>
      </c>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row>
    <row r="13" spans="1:103" s="398" customFormat="1" ht="42.75" customHeight="1" thickBot="1" x14ac:dyDescent="0.3">
      <c r="B13" s="1594"/>
      <c r="C13" s="295" t="s">
        <v>59</v>
      </c>
      <c r="D13" s="296" t="s">
        <v>60</v>
      </c>
      <c r="E13" s="297" t="s">
        <v>61</v>
      </c>
      <c r="F13" s="297" t="s">
        <v>61</v>
      </c>
      <c r="G13" s="298" t="s">
        <v>62</v>
      </c>
      <c r="H13" s="399" t="s">
        <v>62</v>
      </c>
      <c r="I13" s="300" t="s">
        <v>63</v>
      </c>
      <c r="J13" s="296" t="s">
        <v>63</v>
      </c>
      <c r="K13" s="301" t="s">
        <v>939</v>
      </c>
      <c r="L13" s="300" t="s">
        <v>64</v>
      </c>
      <c r="M13" s="296" t="s">
        <v>65</v>
      </c>
      <c r="N13" s="303" t="s">
        <v>63</v>
      </c>
      <c r="O13" s="1532"/>
      <c r="P13" s="1532"/>
      <c r="Q13" s="1534"/>
      <c r="R13" s="297" t="s">
        <v>61</v>
      </c>
      <c r="S13" s="304" t="s">
        <v>137</v>
      </c>
      <c r="T13" s="1532"/>
      <c r="U13" s="1551"/>
      <c r="V13" s="305"/>
      <c r="W13" s="343"/>
      <c r="X13" s="400"/>
      <c r="Y13" s="400"/>
      <c r="Z13" s="400"/>
      <c r="AA13" s="400"/>
      <c r="AB13" s="400"/>
      <c r="AC13" s="400"/>
      <c r="AD13" s="400"/>
      <c r="AE13" s="400"/>
      <c r="AF13" s="400"/>
      <c r="AG13" s="400"/>
      <c r="AH13" s="400"/>
      <c r="AI13" s="400"/>
      <c r="AJ13" s="400"/>
      <c r="AK13" s="400"/>
      <c r="AL13" s="400"/>
      <c r="AM13" s="400"/>
      <c r="AN13" s="400"/>
      <c r="AO13" s="400"/>
      <c r="AP13" s="400"/>
      <c r="AQ13" s="400"/>
      <c r="AR13" s="400"/>
      <c r="AS13" s="400"/>
      <c r="AT13" s="400"/>
      <c r="AU13" s="400"/>
      <c r="AV13" s="400"/>
      <c r="AW13" s="400"/>
      <c r="AX13" s="400"/>
      <c r="AY13" s="400"/>
      <c r="AZ13" s="400"/>
      <c r="BA13" s="400"/>
      <c r="BB13" s="400"/>
      <c r="BC13" s="400"/>
      <c r="BD13" s="400"/>
      <c r="BE13" s="400"/>
      <c r="BF13" s="400"/>
      <c r="BG13" s="400"/>
      <c r="BH13" s="400"/>
      <c r="BI13" s="400"/>
      <c r="BJ13" s="400"/>
      <c r="BK13" s="400"/>
      <c r="BL13" s="400"/>
      <c r="BM13" s="400"/>
      <c r="BN13" s="400"/>
      <c r="BO13" s="400"/>
      <c r="BP13" s="400"/>
      <c r="BQ13" s="400"/>
      <c r="BR13" s="400"/>
      <c r="BS13" s="400"/>
      <c r="BT13" s="400"/>
      <c r="BU13" s="400"/>
      <c r="BV13" s="400"/>
      <c r="BW13" s="400"/>
      <c r="BX13" s="400"/>
      <c r="BY13" s="400"/>
      <c r="BZ13" s="400"/>
      <c r="CA13" s="400"/>
      <c r="CB13" s="400"/>
      <c r="CC13" s="400"/>
      <c r="CD13" s="400"/>
      <c r="CE13" s="400"/>
      <c r="CF13" s="400"/>
      <c r="CG13" s="400"/>
      <c r="CH13" s="400"/>
      <c r="CI13" s="400"/>
      <c r="CJ13" s="400"/>
      <c r="CK13" s="400"/>
      <c r="CL13" s="400"/>
    </row>
    <row r="14" spans="1:103" ht="24.95" customHeight="1" x14ac:dyDescent="0.25">
      <c r="B14" s="1592">
        <v>44203</v>
      </c>
      <c r="C14" s="95">
        <v>0.79791666666666661</v>
      </c>
      <c r="D14" s="96">
        <v>35</v>
      </c>
      <c r="E14" s="97">
        <v>12.2</v>
      </c>
      <c r="F14" s="98">
        <v>14.3</v>
      </c>
      <c r="G14" s="97">
        <v>2196.3000000000002</v>
      </c>
      <c r="H14" s="99">
        <v>2199.4</v>
      </c>
      <c r="I14" s="99">
        <v>92.7</v>
      </c>
      <c r="J14" s="99">
        <v>93.3</v>
      </c>
      <c r="K14" s="95" t="s">
        <v>79</v>
      </c>
      <c r="L14" s="95" t="s">
        <v>10</v>
      </c>
      <c r="M14" s="95" t="s">
        <v>80</v>
      </c>
      <c r="N14" s="100">
        <v>30</v>
      </c>
      <c r="O14" s="101"/>
      <c r="P14" s="101"/>
      <c r="Q14" s="101"/>
      <c r="R14" s="101"/>
      <c r="S14" s="101"/>
      <c r="T14" s="102" t="s">
        <v>81</v>
      </c>
      <c r="U14" s="101" t="s">
        <v>82</v>
      </c>
      <c r="V14" s="59" t="s">
        <v>78</v>
      </c>
      <c r="W14" s="400"/>
    </row>
    <row r="15" spans="1:103" s="343" customFormat="1" ht="24.95" customHeight="1" x14ac:dyDescent="0.25">
      <c r="B15" s="1593"/>
      <c r="C15" s="103">
        <v>0.80486111111111114</v>
      </c>
      <c r="D15" s="104">
        <v>37</v>
      </c>
      <c r="E15" s="99">
        <v>11.4</v>
      </c>
      <c r="F15" s="105">
        <v>13.8</v>
      </c>
      <c r="G15" s="99">
        <v>2193.6</v>
      </c>
      <c r="H15" s="99">
        <v>2207.3000000000002</v>
      </c>
      <c r="I15" s="99">
        <v>92.7</v>
      </c>
      <c r="J15" s="99">
        <v>93.3</v>
      </c>
      <c r="K15" s="103" t="s">
        <v>83</v>
      </c>
      <c r="L15" s="103" t="s">
        <v>10</v>
      </c>
      <c r="M15" s="103" t="s">
        <v>10</v>
      </c>
      <c r="N15" s="100">
        <v>35</v>
      </c>
      <c r="O15" s="101"/>
      <c r="P15" s="101"/>
      <c r="Q15" s="101"/>
      <c r="R15" s="101"/>
      <c r="S15" s="101"/>
      <c r="T15" s="102" t="s">
        <v>81</v>
      </c>
      <c r="U15" s="101" t="s">
        <v>82</v>
      </c>
      <c r="V15" s="106" t="s">
        <v>89</v>
      </c>
      <c r="W15" s="400"/>
      <c r="CM15" s="342"/>
      <c r="CN15" s="342"/>
      <c r="CO15" s="342"/>
      <c r="CP15" s="342"/>
      <c r="CQ15" s="342"/>
      <c r="CR15" s="342"/>
      <c r="CS15" s="342"/>
      <c r="CT15" s="342"/>
      <c r="CU15" s="342"/>
      <c r="CV15" s="342"/>
      <c r="CW15" s="342"/>
      <c r="CX15" s="342"/>
      <c r="CY15" s="342"/>
    </row>
    <row r="16" spans="1:103" s="343" customFormat="1" ht="24.95" customHeight="1" x14ac:dyDescent="0.25">
      <c r="B16" s="263">
        <v>44204</v>
      </c>
      <c r="C16" s="103">
        <v>0.72916666666666663</v>
      </c>
      <c r="D16" s="104">
        <v>40</v>
      </c>
      <c r="E16" s="100">
        <v>11</v>
      </c>
      <c r="F16" s="100">
        <v>13.6</v>
      </c>
      <c r="G16" s="100">
        <v>2057.8000000000002</v>
      </c>
      <c r="H16" s="100">
        <v>2048.1999999999998</v>
      </c>
      <c r="I16" s="100">
        <v>100.9</v>
      </c>
      <c r="J16" s="100">
        <v>101.6</v>
      </c>
      <c r="K16" s="100" t="s">
        <v>90</v>
      </c>
      <c r="L16" s="100" t="s">
        <v>10</v>
      </c>
      <c r="M16" s="103" t="s">
        <v>10</v>
      </c>
      <c r="N16" s="100">
        <v>46</v>
      </c>
      <c r="O16" s="101"/>
      <c r="P16" s="101"/>
      <c r="Q16" s="101"/>
      <c r="R16" s="101"/>
      <c r="S16" s="101"/>
      <c r="T16" s="102" t="s">
        <v>81</v>
      </c>
      <c r="U16" s="101" t="s">
        <v>82</v>
      </c>
      <c r="V16" s="107"/>
      <c r="W16" s="400"/>
      <c r="CM16" s="342"/>
      <c r="CN16" s="342"/>
      <c r="CO16" s="342"/>
      <c r="CP16" s="342"/>
      <c r="CQ16" s="342"/>
      <c r="CR16" s="342"/>
      <c r="CS16" s="342"/>
      <c r="CT16" s="342"/>
      <c r="CU16" s="342"/>
      <c r="CV16" s="342"/>
      <c r="CW16" s="342"/>
      <c r="CX16" s="342"/>
      <c r="CY16" s="342"/>
    </row>
    <row r="17" spans="2:103" s="343" customFormat="1" ht="24.95" customHeight="1" x14ac:dyDescent="0.25">
      <c r="B17" s="263">
        <v>44205</v>
      </c>
      <c r="C17" s="103">
        <v>0.72916666666666663</v>
      </c>
      <c r="D17" s="104">
        <v>40</v>
      </c>
      <c r="E17" s="100">
        <v>9.6999999999999993</v>
      </c>
      <c r="F17" s="100">
        <v>12.4</v>
      </c>
      <c r="G17" s="100">
        <v>1959.4</v>
      </c>
      <c r="H17" s="100">
        <v>2116.3000000000002</v>
      </c>
      <c r="I17" s="100">
        <v>102</v>
      </c>
      <c r="J17" s="100">
        <v>102.6</v>
      </c>
      <c r="K17" s="100" t="s">
        <v>96</v>
      </c>
      <c r="L17" s="100" t="s">
        <v>10</v>
      </c>
      <c r="M17" s="103" t="s">
        <v>10</v>
      </c>
      <c r="N17" s="100">
        <v>50</v>
      </c>
      <c r="O17" s="101"/>
      <c r="P17" s="101"/>
      <c r="Q17" s="101"/>
      <c r="R17" s="101"/>
      <c r="S17" s="101"/>
      <c r="T17" s="102" t="s">
        <v>87</v>
      </c>
      <c r="U17" s="101" t="s">
        <v>82</v>
      </c>
      <c r="V17" s="107"/>
      <c r="W17" s="400"/>
      <c r="CM17" s="342"/>
      <c r="CN17" s="342"/>
      <c r="CO17" s="342"/>
      <c r="CP17" s="342"/>
      <c r="CQ17" s="342"/>
      <c r="CR17" s="342"/>
      <c r="CS17" s="342"/>
      <c r="CT17" s="342"/>
      <c r="CU17" s="342"/>
      <c r="CV17" s="342"/>
      <c r="CW17" s="342"/>
      <c r="CX17" s="342"/>
      <c r="CY17" s="342"/>
    </row>
    <row r="18" spans="2:103" s="343" customFormat="1" ht="24.95" customHeight="1" x14ac:dyDescent="0.25">
      <c r="B18" s="263">
        <v>44206</v>
      </c>
      <c r="C18" s="103">
        <v>0.72916666666666663</v>
      </c>
      <c r="D18" s="104">
        <v>40</v>
      </c>
      <c r="E18" s="100">
        <v>9.5</v>
      </c>
      <c r="F18" s="100">
        <v>12.2</v>
      </c>
      <c r="G18" s="100">
        <v>1898.4</v>
      </c>
      <c r="H18" s="100">
        <v>2078.1</v>
      </c>
      <c r="I18" s="100">
        <v>102.7</v>
      </c>
      <c r="J18" s="100">
        <v>103.3</v>
      </c>
      <c r="K18" s="100" t="s">
        <v>95</v>
      </c>
      <c r="L18" s="100" t="s">
        <v>10</v>
      </c>
      <c r="M18" s="103" t="s">
        <v>10</v>
      </c>
      <c r="N18" s="100">
        <v>52</v>
      </c>
      <c r="O18" s="101"/>
      <c r="P18" s="101"/>
      <c r="Q18" s="101"/>
      <c r="R18" s="101"/>
      <c r="S18" s="101"/>
      <c r="T18" s="102" t="s">
        <v>88</v>
      </c>
      <c r="U18" s="101" t="s">
        <v>82</v>
      </c>
      <c r="V18" s="107" t="s">
        <v>85</v>
      </c>
      <c r="W18" s="400"/>
      <c r="CM18" s="342"/>
      <c r="CN18" s="342"/>
      <c r="CO18" s="342"/>
      <c r="CP18" s="342"/>
      <c r="CQ18" s="342"/>
      <c r="CR18" s="342"/>
      <c r="CS18" s="342"/>
      <c r="CT18" s="342"/>
      <c r="CU18" s="342"/>
      <c r="CV18" s="342"/>
      <c r="CW18" s="342"/>
      <c r="CX18" s="342"/>
      <c r="CY18" s="342"/>
    </row>
    <row r="19" spans="2:103" s="343" customFormat="1" ht="24.95" customHeight="1" x14ac:dyDescent="0.25">
      <c r="B19" s="263">
        <v>44207</v>
      </c>
      <c r="C19" s="103">
        <v>0.72916666666666663</v>
      </c>
      <c r="D19" s="104">
        <v>40</v>
      </c>
      <c r="E19" s="100">
        <v>9.3000000000000007</v>
      </c>
      <c r="F19" s="100">
        <v>12</v>
      </c>
      <c r="G19" s="100">
        <v>1857.5</v>
      </c>
      <c r="H19" s="100">
        <v>2194.3000000000002</v>
      </c>
      <c r="I19" s="100">
        <v>102.7</v>
      </c>
      <c r="J19" s="100">
        <v>103.3</v>
      </c>
      <c r="K19" s="100" t="s">
        <v>91</v>
      </c>
      <c r="L19" s="100">
        <v>30.66</v>
      </c>
      <c r="M19" s="105" t="s">
        <v>110</v>
      </c>
      <c r="N19" s="100">
        <v>52</v>
      </c>
      <c r="O19" s="101"/>
      <c r="P19" s="101"/>
      <c r="Q19" s="101"/>
      <c r="R19" s="101"/>
      <c r="S19" s="101"/>
      <c r="T19" s="102" t="s">
        <v>84</v>
      </c>
      <c r="U19" s="101" t="s">
        <v>82</v>
      </c>
      <c r="V19" s="107" t="s">
        <v>86</v>
      </c>
      <c r="W19" s="400"/>
      <c r="CM19" s="342"/>
      <c r="CN19" s="342"/>
      <c r="CO19" s="342"/>
      <c r="CP19" s="342"/>
      <c r="CQ19" s="342"/>
      <c r="CR19" s="342"/>
      <c r="CS19" s="342"/>
      <c r="CT19" s="342"/>
      <c r="CU19" s="342"/>
      <c r="CV19" s="342"/>
      <c r="CW19" s="342"/>
      <c r="CX19" s="342"/>
      <c r="CY19" s="342"/>
    </row>
    <row r="20" spans="2:103" s="343" customFormat="1" ht="24.95" customHeight="1" x14ac:dyDescent="0.25">
      <c r="B20" s="263">
        <v>44208</v>
      </c>
      <c r="C20" s="103">
        <v>0.375</v>
      </c>
      <c r="D20" s="104">
        <v>40</v>
      </c>
      <c r="E20" s="100">
        <v>9</v>
      </c>
      <c r="F20" s="100">
        <v>11.8</v>
      </c>
      <c r="G20" s="100">
        <v>1833.5</v>
      </c>
      <c r="H20" s="100">
        <v>2185.5</v>
      </c>
      <c r="I20" s="100">
        <v>103.3</v>
      </c>
      <c r="J20" s="100">
        <v>103.3</v>
      </c>
      <c r="K20" s="100" t="s">
        <v>97</v>
      </c>
      <c r="L20" s="100">
        <v>31.17</v>
      </c>
      <c r="M20" s="105" t="s">
        <v>110</v>
      </c>
      <c r="N20" s="100">
        <v>53.8</v>
      </c>
      <c r="O20" s="101"/>
      <c r="P20" s="101"/>
      <c r="Q20" s="101"/>
      <c r="R20" s="101"/>
      <c r="S20" s="101"/>
      <c r="T20" s="102" t="s">
        <v>84</v>
      </c>
      <c r="U20" s="101" t="s">
        <v>82</v>
      </c>
      <c r="V20" s="107"/>
      <c r="W20" s="400"/>
      <c r="CM20" s="342"/>
      <c r="CN20" s="342"/>
      <c r="CO20" s="342"/>
      <c r="CP20" s="342"/>
      <c r="CQ20" s="342"/>
      <c r="CR20" s="342"/>
      <c r="CS20" s="342"/>
      <c r="CT20" s="342"/>
      <c r="CU20" s="342"/>
      <c r="CV20" s="342"/>
      <c r="CW20" s="342"/>
      <c r="CX20" s="342"/>
      <c r="CY20" s="342"/>
    </row>
    <row r="21" spans="2:103" s="343" customFormat="1" ht="24.95" customHeight="1" x14ac:dyDescent="0.25">
      <c r="B21" s="263">
        <v>44209</v>
      </c>
      <c r="C21" s="103">
        <v>0.70833333333333337</v>
      </c>
      <c r="D21" s="104">
        <v>40</v>
      </c>
      <c r="E21" s="100">
        <v>9</v>
      </c>
      <c r="F21" s="100">
        <v>11.7</v>
      </c>
      <c r="G21" s="100">
        <v>1787.8</v>
      </c>
      <c r="H21" s="100">
        <v>2129.6</v>
      </c>
      <c r="I21" s="100">
        <v>103.3</v>
      </c>
      <c r="J21" s="100">
        <v>103.8</v>
      </c>
      <c r="K21" s="100" t="s">
        <v>109</v>
      </c>
      <c r="L21" s="100">
        <v>25.3</v>
      </c>
      <c r="M21" s="105" t="s">
        <v>110</v>
      </c>
      <c r="N21" s="100">
        <v>54.2</v>
      </c>
      <c r="O21" s="101"/>
      <c r="P21" s="101"/>
      <c r="Q21" s="101"/>
      <c r="R21" s="101"/>
      <c r="S21" s="101"/>
      <c r="T21" s="102" t="s">
        <v>84</v>
      </c>
      <c r="U21" s="101" t="s">
        <v>82</v>
      </c>
      <c r="V21" s="107"/>
      <c r="W21" s="400"/>
      <c r="CM21" s="342"/>
      <c r="CN21" s="342"/>
      <c r="CO21" s="342"/>
      <c r="CP21" s="342"/>
      <c r="CQ21" s="342"/>
      <c r="CR21" s="342"/>
      <c r="CS21" s="342"/>
      <c r="CT21" s="342"/>
      <c r="CU21" s="342"/>
      <c r="CV21" s="342"/>
      <c r="CW21" s="342"/>
      <c r="CX21" s="342"/>
      <c r="CY21" s="342"/>
    </row>
    <row r="22" spans="2:103" s="343" customFormat="1" ht="24.95" customHeight="1" x14ac:dyDescent="0.25">
      <c r="B22" s="263">
        <v>44210</v>
      </c>
      <c r="C22" s="103">
        <v>0.70833333333333337</v>
      </c>
      <c r="D22" s="104">
        <v>40</v>
      </c>
      <c r="E22" s="100">
        <v>9</v>
      </c>
      <c r="F22" s="100">
        <v>11.7</v>
      </c>
      <c r="G22" s="100">
        <v>1761.7</v>
      </c>
      <c r="H22" s="100">
        <v>2128</v>
      </c>
      <c r="I22" s="100">
        <v>103.8</v>
      </c>
      <c r="J22" s="100">
        <v>103.8</v>
      </c>
      <c r="K22" s="100" t="s">
        <v>112</v>
      </c>
      <c r="L22" s="100">
        <v>25.8</v>
      </c>
      <c r="M22" s="105" t="s">
        <v>110</v>
      </c>
      <c r="N22" s="100">
        <v>54.2</v>
      </c>
      <c r="O22" s="101"/>
      <c r="P22" s="101"/>
      <c r="Q22" s="101"/>
      <c r="R22" s="101"/>
      <c r="S22" s="101"/>
      <c r="T22" s="102" t="s">
        <v>84</v>
      </c>
      <c r="U22" s="101" t="s">
        <v>82</v>
      </c>
      <c r="V22" s="408"/>
      <c r="W22" s="400"/>
      <c r="CM22" s="342"/>
      <c r="CN22" s="342"/>
      <c r="CO22" s="342"/>
      <c r="CP22" s="342"/>
      <c r="CQ22" s="342"/>
      <c r="CR22" s="342"/>
      <c r="CS22" s="342"/>
      <c r="CT22" s="342"/>
      <c r="CU22" s="342"/>
      <c r="CV22" s="342"/>
      <c r="CW22" s="342"/>
      <c r="CX22" s="342"/>
      <c r="CY22" s="342"/>
    </row>
    <row r="23" spans="2:103" s="343" customFormat="1" ht="24.95" customHeight="1" x14ac:dyDescent="0.25">
      <c r="B23" s="263">
        <v>44211</v>
      </c>
      <c r="C23" s="103">
        <v>0.27083333333333331</v>
      </c>
      <c r="D23" s="104">
        <v>40</v>
      </c>
      <c r="E23" s="100">
        <v>9</v>
      </c>
      <c r="F23" s="100">
        <v>11.7</v>
      </c>
      <c r="G23" s="100">
        <v>1749.9</v>
      </c>
      <c r="H23" s="100">
        <v>2117.9</v>
      </c>
      <c r="I23" s="100">
        <v>103.8</v>
      </c>
      <c r="J23" s="100">
        <v>104.4</v>
      </c>
      <c r="K23" s="100" t="s">
        <v>113</v>
      </c>
      <c r="L23" s="100">
        <v>26.8</v>
      </c>
      <c r="M23" s="100" t="s">
        <v>111</v>
      </c>
      <c r="N23" s="100">
        <v>54.5</v>
      </c>
      <c r="O23" s="101"/>
      <c r="P23" s="101"/>
      <c r="Q23" s="101"/>
      <c r="R23" s="101"/>
      <c r="S23" s="101"/>
      <c r="T23" s="102" t="s">
        <v>84</v>
      </c>
      <c r="U23" s="101" t="s">
        <v>82</v>
      </c>
      <c r="V23" s="408"/>
      <c r="W23" s="400"/>
      <c r="CM23" s="342"/>
      <c r="CN23" s="342"/>
      <c r="CO23" s="342"/>
      <c r="CP23" s="342"/>
      <c r="CQ23" s="342"/>
      <c r="CR23" s="342"/>
      <c r="CS23" s="342"/>
      <c r="CT23" s="342"/>
      <c r="CU23" s="342"/>
      <c r="CV23" s="342"/>
      <c r="CW23" s="342"/>
      <c r="CX23" s="342"/>
      <c r="CY23" s="342"/>
    </row>
    <row r="24" spans="2:103" s="343" customFormat="1" ht="24.95" customHeight="1" x14ac:dyDescent="0.25">
      <c r="B24" s="263">
        <v>44212</v>
      </c>
      <c r="C24" s="103">
        <v>0.27083333333333331</v>
      </c>
      <c r="D24" s="104">
        <v>40</v>
      </c>
      <c r="E24" s="100">
        <v>9</v>
      </c>
      <c r="F24" s="100">
        <v>11.8</v>
      </c>
      <c r="G24" s="100">
        <v>1730</v>
      </c>
      <c r="H24" s="100">
        <v>2105</v>
      </c>
      <c r="I24" s="100">
        <v>103.8</v>
      </c>
      <c r="J24" s="100">
        <v>104.4</v>
      </c>
      <c r="K24" s="100" t="s">
        <v>114</v>
      </c>
      <c r="L24" s="100">
        <v>26</v>
      </c>
      <c r="M24" s="100" t="s">
        <v>111</v>
      </c>
      <c r="N24" s="100">
        <v>54.8</v>
      </c>
      <c r="O24" s="101"/>
      <c r="P24" s="101"/>
      <c r="Q24" s="101"/>
      <c r="R24" s="101"/>
      <c r="S24" s="101"/>
      <c r="T24" s="102" t="s">
        <v>84</v>
      </c>
      <c r="U24" s="101" t="s">
        <v>82</v>
      </c>
      <c r="V24" s="408"/>
      <c r="W24" s="400"/>
      <c r="CM24" s="342"/>
      <c r="CN24" s="342"/>
      <c r="CO24" s="342"/>
      <c r="CP24" s="342"/>
      <c r="CQ24" s="342"/>
      <c r="CR24" s="342"/>
      <c r="CS24" s="342"/>
      <c r="CT24" s="342"/>
      <c r="CU24" s="342"/>
      <c r="CV24" s="342"/>
      <c r="CW24" s="342"/>
      <c r="CX24" s="342"/>
      <c r="CY24" s="342"/>
    </row>
    <row r="25" spans="2:103" s="343" customFormat="1" ht="24.95" customHeight="1" x14ac:dyDescent="0.25">
      <c r="B25" s="263">
        <v>44213</v>
      </c>
      <c r="C25" s="103">
        <v>0.27083333333333331</v>
      </c>
      <c r="D25" s="104">
        <v>40</v>
      </c>
      <c r="E25" s="100">
        <v>9</v>
      </c>
      <c r="F25" s="100">
        <v>11.8</v>
      </c>
      <c r="G25" s="100">
        <v>1717</v>
      </c>
      <c r="H25" s="100">
        <v>2125.8000000000002</v>
      </c>
      <c r="I25" s="100">
        <v>103.8</v>
      </c>
      <c r="J25" s="100">
        <v>104.4</v>
      </c>
      <c r="K25" s="100" t="s">
        <v>115</v>
      </c>
      <c r="L25" s="100">
        <v>30</v>
      </c>
      <c r="M25" s="100" t="s">
        <v>111</v>
      </c>
      <c r="N25" s="100">
        <v>54.8</v>
      </c>
      <c r="O25" s="101"/>
      <c r="P25" s="101"/>
      <c r="Q25" s="101"/>
      <c r="R25" s="101"/>
      <c r="S25" s="101"/>
      <c r="T25" s="102" t="s">
        <v>84</v>
      </c>
      <c r="U25" s="101" t="s">
        <v>82</v>
      </c>
      <c r="V25" s="408"/>
      <c r="W25" s="400"/>
      <c r="CM25" s="342"/>
      <c r="CN25" s="342"/>
      <c r="CO25" s="342"/>
      <c r="CP25" s="342"/>
      <c r="CQ25" s="342"/>
      <c r="CR25" s="342"/>
      <c r="CS25" s="342"/>
      <c r="CT25" s="342"/>
      <c r="CU25" s="342"/>
      <c r="CV25" s="342"/>
      <c r="CW25" s="342"/>
      <c r="CX25" s="342"/>
      <c r="CY25" s="342"/>
    </row>
    <row r="26" spans="2:103" s="343" customFormat="1" ht="24.95" customHeight="1" x14ac:dyDescent="0.25">
      <c r="B26" s="263">
        <v>44214</v>
      </c>
      <c r="C26" s="103">
        <v>0.27083333333333331</v>
      </c>
      <c r="D26" s="104">
        <v>40</v>
      </c>
      <c r="E26" s="100">
        <v>9</v>
      </c>
      <c r="F26" s="100">
        <v>11.8</v>
      </c>
      <c r="G26" s="100">
        <v>1704.8</v>
      </c>
      <c r="H26" s="100">
        <v>2130</v>
      </c>
      <c r="I26" s="100">
        <v>103.8</v>
      </c>
      <c r="J26" s="100">
        <v>104.4</v>
      </c>
      <c r="K26" s="100" t="s">
        <v>116</v>
      </c>
      <c r="L26" s="100">
        <v>30.5</v>
      </c>
      <c r="M26" s="100" t="s">
        <v>117</v>
      </c>
      <c r="N26" s="100">
        <v>56</v>
      </c>
      <c r="O26" s="101"/>
      <c r="P26" s="101"/>
      <c r="Q26" s="101"/>
      <c r="R26" s="101"/>
      <c r="S26" s="101"/>
      <c r="T26" s="102" t="s">
        <v>84</v>
      </c>
      <c r="U26" s="101" t="s">
        <v>82</v>
      </c>
      <c r="V26" s="408"/>
      <c r="W26" s="400"/>
      <c r="CM26" s="342"/>
      <c r="CN26" s="342"/>
      <c r="CO26" s="342"/>
      <c r="CP26" s="342"/>
      <c r="CQ26" s="342"/>
      <c r="CR26" s="342"/>
      <c r="CS26" s="342"/>
      <c r="CT26" s="342"/>
      <c r="CU26" s="342"/>
      <c r="CV26" s="342"/>
      <c r="CW26" s="342"/>
      <c r="CX26" s="342"/>
      <c r="CY26" s="342"/>
    </row>
    <row r="27" spans="2:103" s="343" customFormat="1" ht="24.95" customHeight="1" x14ac:dyDescent="0.25">
      <c r="B27" s="263">
        <v>44215</v>
      </c>
      <c r="C27" s="103">
        <v>0.29166666666666669</v>
      </c>
      <c r="D27" s="104">
        <v>40</v>
      </c>
      <c r="E27" s="100">
        <v>9</v>
      </c>
      <c r="F27" s="100">
        <v>11.8</v>
      </c>
      <c r="G27" s="100">
        <v>1692</v>
      </c>
      <c r="H27" s="100">
        <v>2109.4</v>
      </c>
      <c r="I27" s="100">
        <v>104.4</v>
      </c>
      <c r="J27" s="100">
        <v>104.4</v>
      </c>
      <c r="K27" s="100" t="s">
        <v>118</v>
      </c>
      <c r="L27" s="100">
        <v>30</v>
      </c>
      <c r="M27" s="100" t="s">
        <v>110</v>
      </c>
      <c r="N27" s="100">
        <v>56</v>
      </c>
      <c r="O27" s="101"/>
      <c r="P27" s="101"/>
      <c r="Q27" s="101"/>
      <c r="R27" s="101"/>
      <c r="S27" s="101"/>
      <c r="T27" s="102" t="s">
        <v>84</v>
      </c>
      <c r="U27" s="101" t="s">
        <v>82</v>
      </c>
      <c r="V27" s="408"/>
      <c r="W27" s="400"/>
      <c r="CM27" s="342"/>
      <c r="CN27" s="342"/>
      <c r="CO27" s="342"/>
      <c r="CP27" s="342"/>
      <c r="CQ27" s="342"/>
      <c r="CR27" s="342"/>
      <c r="CS27" s="342"/>
      <c r="CT27" s="342"/>
      <c r="CU27" s="342"/>
      <c r="CV27" s="342"/>
      <c r="CW27" s="342"/>
      <c r="CX27" s="342"/>
      <c r="CY27" s="342"/>
    </row>
    <row r="28" spans="2:103" s="343" customFormat="1" ht="24.95" customHeight="1" x14ac:dyDescent="0.25">
      <c r="B28" s="263">
        <v>44216</v>
      </c>
      <c r="C28" s="103">
        <v>0.29166666666666669</v>
      </c>
      <c r="D28" s="104">
        <v>40</v>
      </c>
      <c r="E28" s="100">
        <v>9</v>
      </c>
      <c r="F28" s="100">
        <v>11.8</v>
      </c>
      <c r="G28" s="100">
        <v>1681.7</v>
      </c>
      <c r="H28" s="100">
        <v>2117.1999999999998</v>
      </c>
      <c r="I28" s="100">
        <v>103.8</v>
      </c>
      <c r="J28" s="100">
        <v>105</v>
      </c>
      <c r="K28" s="100" t="s">
        <v>119</v>
      </c>
      <c r="L28" s="100">
        <v>30</v>
      </c>
      <c r="M28" s="100" t="s">
        <v>110</v>
      </c>
      <c r="N28" s="100">
        <v>56</v>
      </c>
      <c r="O28" s="101"/>
      <c r="P28" s="101"/>
      <c r="Q28" s="101"/>
      <c r="R28" s="101"/>
      <c r="S28" s="101"/>
      <c r="T28" s="102" t="s">
        <v>84</v>
      </c>
      <c r="U28" s="101" t="s">
        <v>82</v>
      </c>
      <c r="V28" s="408"/>
      <c r="W28" s="400"/>
      <c r="CM28" s="342"/>
      <c r="CN28" s="342"/>
      <c r="CO28" s="342"/>
      <c r="CP28" s="342"/>
      <c r="CQ28" s="342"/>
      <c r="CR28" s="342"/>
      <c r="CS28" s="342"/>
      <c r="CT28" s="342"/>
      <c r="CU28" s="342"/>
      <c r="CV28" s="342"/>
      <c r="CW28" s="342"/>
      <c r="CX28" s="342"/>
      <c r="CY28" s="342"/>
    </row>
    <row r="29" spans="2:103" s="343" customFormat="1" ht="24.95" customHeight="1" x14ac:dyDescent="0.25">
      <c r="B29" s="263">
        <v>44217</v>
      </c>
      <c r="C29" s="103">
        <v>0.29166666666666669</v>
      </c>
      <c r="D29" s="104">
        <v>40</v>
      </c>
      <c r="E29" s="100">
        <v>8.9</v>
      </c>
      <c r="F29" s="100">
        <v>11.7</v>
      </c>
      <c r="G29" s="100">
        <v>1675.3</v>
      </c>
      <c r="H29" s="100">
        <v>2141.9</v>
      </c>
      <c r="I29" s="100">
        <v>103.8</v>
      </c>
      <c r="J29" s="100">
        <v>104.4</v>
      </c>
      <c r="K29" s="100" t="s">
        <v>120</v>
      </c>
      <c r="L29" s="100">
        <v>34</v>
      </c>
      <c r="M29" s="100">
        <v>710</v>
      </c>
      <c r="N29" s="100">
        <v>56</v>
      </c>
      <c r="O29" s="101"/>
      <c r="P29" s="101"/>
      <c r="Q29" s="101"/>
      <c r="R29" s="101"/>
      <c r="S29" s="101"/>
      <c r="T29" s="102" t="s">
        <v>84</v>
      </c>
      <c r="U29" s="101" t="s">
        <v>82</v>
      </c>
      <c r="V29" s="408"/>
      <c r="W29" s="400"/>
      <c r="CM29" s="342"/>
      <c r="CN29" s="342"/>
      <c r="CO29" s="342"/>
      <c r="CP29" s="342"/>
      <c r="CQ29" s="342"/>
      <c r="CR29" s="342"/>
      <c r="CS29" s="342"/>
      <c r="CT29" s="342"/>
      <c r="CU29" s="342"/>
      <c r="CV29" s="342"/>
      <c r="CW29" s="342"/>
      <c r="CX29" s="342"/>
      <c r="CY29" s="342"/>
    </row>
    <row r="30" spans="2:103" s="343" customFormat="1" ht="24.95" customHeight="1" x14ac:dyDescent="0.25">
      <c r="B30" s="263">
        <v>44218</v>
      </c>
      <c r="C30" s="103">
        <v>0.27083333333333331</v>
      </c>
      <c r="D30" s="104">
        <v>40</v>
      </c>
      <c r="E30" s="100">
        <v>8.9</v>
      </c>
      <c r="F30" s="100">
        <v>11.8</v>
      </c>
      <c r="G30" s="100">
        <v>1663.9</v>
      </c>
      <c r="H30" s="100">
        <v>2096</v>
      </c>
      <c r="I30" s="100">
        <v>104.4</v>
      </c>
      <c r="J30" s="100">
        <v>105</v>
      </c>
      <c r="K30" s="100" t="s">
        <v>121</v>
      </c>
      <c r="L30" s="100">
        <v>30</v>
      </c>
      <c r="M30" s="100">
        <v>680</v>
      </c>
      <c r="N30" s="100">
        <v>56</v>
      </c>
      <c r="O30" s="101"/>
      <c r="P30" s="101"/>
      <c r="Q30" s="101"/>
      <c r="R30" s="101"/>
      <c r="S30" s="101"/>
      <c r="T30" s="102" t="s">
        <v>84</v>
      </c>
      <c r="U30" s="101" t="s">
        <v>82</v>
      </c>
      <c r="V30" s="408"/>
      <c r="W30" s="400"/>
      <c r="CM30" s="342"/>
      <c r="CN30" s="342"/>
      <c r="CO30" s="342"/>
      <c r="CP30" s="342"/>
      <c r="CQ30" s="342"/>
      <c r="CR30" s="342"/>
      <c r="CS30" s="342"/>
      <c r="CT30" s="342"/>
      <c r="CU30" s="342"/>
      <c r="CV30" s="342"/>
      <c r="CW30" s="342"/>
      <c r="CX30" s="342"/>
      <c r="CY30" s="342"/>
    </row>
    <row r="31" spans="2:103" s="343" customFormat="1" ht="24.95" customHeight="1" x14ac:dyDescent="0.25">
      <c r="B31" s="263">
        <v>44219</v>
      </c>
      <c r="C31" s="103">
        <v>0.29166666666666669</v>
      </c>
      <c r="D31" s="104">
        <v>40</v>
      </c>
      <c r="E31" s="100">
        <v>8.9</v>
      </c>
      <c r="F31" s="100">
        <v>11.7</v>
      </c>
      <c r="G31" s="100">
        <v>1653.7</v>
      </c>
      <c r="H31" s="100">
        <v>2083.8000000000002</v>
      </c>
      <c r="I31" s="100">
        <v>104.4</v>
      </c>
      <c r="J31" s="100">
        <v>105</v>
      </c>
      <c r="K31" s="100" t="s">
        <v>122</v>
      </c>
      <c r="L31" s="100">
        <v>29.5</v>
      </c>
      <c r="M31" s="100">
        <v>660</v>
      </c>
      <c r="N31" s="100">
        <v>56.2</v>
      </c>
      <c r="O31" s="101"/>
      <c r="P31" s="101"/>
      <c r="Q31" s="101"/>
      <c r="R31" s="101"/>
      <c r="S31" s="101"/>
      <c r="T31" s="102" t="s">
        <v>84</v>
      </c>
      <c r="U31" s="101" t="s">
        <v>82</v>
      </c>
      <c r="V31" s="408"/>
      <c r="W31" s="400"/>
      <c r="CM31" s="342"/>
      <c r="CN31" s="342"/>
      <c r="CO31" s="342"/>
      <c r="CP31" s="342"/>
      <c r="CQ31" s="342"/>
      <c r="CR31" s="342"/>
      <c r="CS31" s="342"/>
      <c r="CT31" s="342"/>
      <c r="CU31" s="342"/>
      <c r="CV31" s="342"/>
      <c r="CW31" s="342"/>
      <c r="CX31" s="342"/>
      <c r="CY31" s="342"/>
    </row>
    <row r="32" spans="2:103" s="343" customFormat="1" ht="24.95" customHeight="1" x14ac:dyDescent="0.25">
      <c r="B32" s="263">
        <v>44220</v>
      </c>
      <c r="C32" s="103">
        <v>0.27083333333333331</v>
      </c>
      <c r="D32" s="104">
        <v>40</v>
      </c>
      <c r="E32" s="100">
        <v>8.9</v>
      </c>
      <c r="F32" s="100">
        <v>11.7</v>
      </c>
      <c r="G32" s="100">
        <v>1645</v>
      </c>
      <c r="H32" s="100">
        <v>2096.3000000000002</v>
      </c>
      <c r="I32" s="100">
        <v>103.8</v>
      </c>
      <c r="J32" s="100">
        <v>104.4</v>
      </c>
      <c r="K32" s="100" t="s">
        <v>123</v>
      </c>
      <c r="L32" s="100">
        <v>29.5</v>
      </c>
      <c r="M32" s="100">
        <v>680</v>
      </c>
      <c r="N32" s="100">
        <v>56.5</v>
      </c>
      <c r="O32" s="101"/>
      <c r="P32" s="101"/>
      <c r="Q32" s="101"/>
      <c r="R32" s="101"/>
      <c r="S32" s="101"/>
      <c r="T32" s="102" t="s">
        <v>84</v>
      </c>
      <c r="U32" s="101" t="s">
        <v>82</v>
      </c>
      <c r="V32" s="408"/>
      <c r="W32" s="400"/>
      <c r="CM32" s="342"/>
      <c r="CN32" s="342"/>
      <c r="CO32" s="342"/>
      <c r="CP32" s="342"/>
      <c r="CQ32" s="342"/>
      <c r="CR32" s="342"/>
      <c r="CS32" s="342"/>
      <c r="CT32" s="342"/>
      <c r="CU32" s="342"/>
      <c r="CV32" s="342"/>
      <c r="CW32" s="342"/>
      <c r="CX32" s="342"/>
      <c r="CY32" s="342"/>
    </row>
    <row r="33" spans="2:103" s="343" customFormat="1" ht="24.95" customHeight="1" x14ac:dyDescent="0.25">
      <c r="B33" s="263">
        <v>44221</v>
      </c>
      <c r="C33" s="103">
        <v>0.27083333333333331</v>
      </c>
      <c r="D33" s="104">
        <v>40</v>
      </c>
      <c r="E33" s="100">
        <v>8.9</v>
      </c>
      <c r="F33" s="100">
        <v>11.7</v>
      </c>
      <c r="G33" s="100">
        <v>1636.4</v>
      </c>
      <c r="H33" s="100">
        <v>2085.5</v>
      </c>
      <c r="I33" s="100">
        <v>104.4</v>
      </c>
      <c r="J33" s="100">
        <v>105</v>
      </c>
      <c r="K33" s="100" t="s">
        <v>124</v>
      </c>
      <c r="L33" s="100">
        <v>29.4</v>
      </c>
      <c r="M33" s="100">
        <v>680</v>
      </c>
      <c r="N33" s="100">
        <v>56.5</v>
      </c>
      <c r="O33" s="101"/>
      <c r="P33" s="101"/>
      <c r="Q33" s="101"/>
      <c r="R33" s="101"/>
      <c r="S33" s="101"/>
      <c r="T33" s="102" t="s">
        <v>84</v>
      </c>
      <c r="U33" s="101" t="s">
        <v>82</v>
      </c>
      <c r="V33" s="408"/>
      <c r="W33" s="400"/>
      <c r="CM33" s="342"/>
      <c r="CN33" s="342"/>
      <c r="CO33" s="342"/>
      <c r="CP33" s="342"/>
      <c r="CQ33" s="342"/>
      <c r="CR33" s="342"/>
      <c r="CS33" s="342"/>
      <c r="CT33" s="342"/>
      <c r="CU33" s="342"/>
      <c r="CV33" s="342"/>
      <c r="CW33" s="342"/>
      <c r="CX33" s="342"/>
      <c r="CY33" s="342"/>
    </row>
    <row r="34" spans="2:103" s="343" customFormat="1" ht="24.95" customHeight="1" x14ac:dyDescent="0.25">
      <c r="B34" s="263">
        <v>44222</v>
      </c>
      <c r="C34" s="103">
        <v>0.27083333333333331</v>
      </c>
      <c r="D34" s="104">
        <v>40</v>
      </c>
      <c r="E34" s="100">
        <v>8.9</v>
      </c>
      <c r="F34" s="100">
        <v>11.7</v>
      </c>
      <c r="G34" s="100">
        <v>1629.1</v>
      </c>
      <c r="H34" s="100">
        <v>2079.1</v>
      </c>
      <c r="I34" s="100">
        <v>104.4</v>
      </c>
      <c r="J34" s="100">
        <v>105</v>
      </c>
      <c r="K34" s="100" t="s">
        <v>125</v>
      </c>
      <c r="L34" s="100">
        <v>29</v>
      </c>
      <c r="M34" s="100">
        <v>680</v>
      </c>
      <c r="N34" s="100">
        <v>56.5</v>
      </c>
      <c r="O34" s="101"/>
      <c r="P34" s="101"/>
      <c r="Q34" s="101"/>
      <c r="R34" s="101"/>
      <c r="S34" s="101"/>
      <c r="T34" s="102" t="s">
        <v>84</v>
      </c>
      <c r="U34" s="101" t="s">
        <v>82</v>
      </c>
      <c r="V34" s="408"/>
      <c r="W34" s="400"/>
      <c r="CM34" s="342"/>
      <c r="CN34" s="342"/>
      <c r="CO34" s="342"/>
      <c r="CP34" s="342"/>
      <c r="CQ34" s="342"/>
      <c r="CR34" s="342"/>
      <c r="CS34" s="342"/>
      <c r="CT34" s="342"/>
      <c r="CU34" s="342"/>
      <c r="CV34" s="342"/>
      <c r="CW34" s="342"/>
      <c r="CX34" s="342"/>
      <c r="CY34" s="342"/>
    </row>
    <row r="35" spans="2:103" s="343" customFormat="1" ht="24.95" customHeight="1" x14ac:dyDescent="0.25">
      <c r="B35" s="263">
        <v>44223</v>
      </c>
      <c r="C35" s="103">
        <v>0.27083333333333331</v>
      </c>
      <c r="D35" s="104">
        <v>40</v>
      </c>
      <c r="E35" s="100">
        <v>8.8000000000000007</v>
      </c>
      <c r="F35" s="100">
        <v>11.6</v>
      </c>
      <c r="G35" s="100">
        <v>1622.8</v>
      </c>
      <c r="H35" s="100">
        <v>2083.1999999999998</v>
      </c>
      <c r="I35" s="100">
        <v>104.4</v>
      </c>
      <c r="J35" s="100">
        <v>105</v>
      </c>
      <c r="K35" s="100" t="s">
        <v>127</v>
      </c>
      <c r="L35" s="100">
        <v>30</v>
      </c>
      <c r="M35" s="100">
        <v>680</v>
      </c>
      <c r="N35" s="100">
        <v>56.5</v>
      </c>
      <c r="O35" s="101"/>
      <c r="P35" s="101"/>
      <c r="Q35" s="101"/>
      <c r="R35" s="101"/>
      <c r="S35" s="101"/>
      <c r="T35" s="102" t="s">
        <v>84</v>
      </c>
      <c r="U35" s="101" t="s">
        <v>82</v>
      </c>
      <c r="V35" s="408"/>
      <c r="W35" s="400"/>
      <c r="CM35" s="342"/>
      <c r="CN35" s="342"/>
      <c r="CO35" s="342"/>
      <c r="CP35" s="342"/>
      <c r="CQ35" s="342"/>
      <c r="CR35" s="342"/>
      <c r="CS35" s="342"/>
      <c r="CT35" s="342"/>
      <c r="CU35" s="342"/>
      <c r="CV35" s="342"/>
      <c r="CW35" s="342"/>
      <c r="CX35" s="342"/>
      <c r="CY35" s="342"/>
    </row>
    <row r="36" spans="2:103" s="343" customFormat="1" ht="24.95" customHeight="1" x14ac:dyDescent="0.25">
      <c r="B36" s="263">
        <v>44224</v>
      </c>
      <c r="C36" s="103">
        <v>0.27083333333333331</v>
      </c>
      <c r="D36" s="104">
        <v>40</v>
      </c>
      <c r="E36" s="100">
        <v>8.8000000000000007</v>
      </c>
      <c r="F36" s="100">
        <v>11.6</v>
      </c>
      <c r="G36" s="100">
        <v>1618.4</v>
      </c>
      <c r="H36" s="100">
        <v>2089.1999999999998</v>
      </c>
      <c r="I36" s="100">
        <v>104.4</v>
      </c>
      <c r="J36" s="100">
        <v>105</v>
      </c>
      <c r="K36" s="100" t="s">
        <v>126</v>
      </c>
      <c r="L36" s="100">
        <v>31</v>
      </c>
      <c r="M36" s="100">
        <v>690</v>
      </c>
      <c r="N36" s="100">
        <v>56.5</v>
      </c>
      <c r="O36" s="101"/>
      <c r="P36" s="101"/>
      <c r="Q36" s="101"/>
      <c r="R36" s="101"/>
      <c r="S36" s="101"/>
      <c r="T36" s="102" t="s">
        <v>84</v>
      </c>
      <c r="U36" s="101" t="s">
        <v>82</v>
      </c>
      <c r="V36" s="408"/>
      <c r="W36" s="400"/>
      <c r="CM36" s="342"/>
      <c r="CN36" s="342"/>
      <c r="CO36" s="342"/>
      <c r="CP36" s="342"/>
      <c r="CQ36" s="342"/>
      <c r="CR36" s="342"/>
      <c r="CS36" s="342"/>
      <c r="CT36" s="342"/>
      <c r="CU36" s="342"/>
      <c r="CV36" s="342"/>
      <c r="CW36" s="342"/>
      <c r="CX36" s="342"/>
      <c r="CY36" s="342"/>
    </row>
    <row r="37" spans="2:103" s="343" customFormat="1" ht="24.95" customHeight="1" x14ac:dyDescent="0.25">
      <c r="B37" s="263">
        <v>44225</v>
      </c>
      <c r="C37" s="103">
        <v>0.27083333333333331</v>
      </c>
      <c r="D37" s="104">
        <v>40</v>
      </c>
      <c r="E37" s="100">
        <v>8.6999999999999993</v>
      </c>
      <c r="F37" s="100">
        <v>11.7</v>
      </c>
      <c r="G37" s="100">
        <v>1614.5</v>
      </c>
      <c r="H37" s="100">
        <v>2093.5</v>
      </c>
      <c r="I37" s="100">
        <v>104.4</v>
      </c>
      <c r="J37" s="100">
        <v>105</v>
      </c>
      <c r="K37" s="100" t="s">
        <v>128</v>
      </c>
      <c r="L37" s="100">
        <v>31</v>
      </c>
      <c r="M37" s="100">
        <v>680</v>
      </c>
      <c r="N37" s="100">
        <v>56.5</v>
      </c>
      <c r="O37" s="101"/>
      <c r="P37" s="101"/>
      <c r="Q37" s="101"/>
      <c r="R37" s="101"/>
      <c r="S37" s="101"/>
      <c r="T37" s="102" t="s">
        <v>84</v>
      </c>
      <c r="U37" s="101" t="s">
        <v>82</v>
      </c>
      <c r="V37" s="408"/>
      <c r="W37" s="400"/>
      <c r="CM37" s="342"/>
      <c r="CN37" s="342"/>
      <c r="CO37" s="342"/>
      <c r="CP37" s="342"/>
      <c r="CQ37" s="342"/>
      <c r="CR37" s="342"/>
      <c r="CS37" s="342"/>
      <c r="CT37" s="342"/>
      <c r="CU37" s="342"/>
      <c r="CV37" s="342"/>
      <c r="CW37" s="342"/>
      <c r="CX37" s="342"/>
      <c r="CY37" s="342"/>
    </row>
    <row r="38" spans="2:103" s="343" customFormat="1" ht="24.95" customHeight="1" x14ac:dyDescent="0.25">
      <c r="B38" s="263">
        <v>44226</v>
      </c>
      <c r="C38" s="103">
        <v>0.27083333333333331</v>
      </c>
      <c r="D38" s="104">
        <v>40</v>
      </c>
      <c r="E38" s="100">
        <v>8.6999999999999993</v>
      </c>
      <c r="F38" s="100">
        <v>11.7</v>
      </c>
      <c r="G38" s="100">
        <v>1610.4</v>
      </c>
      <c r="H38" s="100">
        <v>2084.6999999999998</v>
      </c>
      <c r="I38" s="100">
        <v>104.4</v>
      </c>
      <c r="J38" s="100">
        <v>105</v>
      </c>
      <c r="K38" s="100" t="s">
        <v>129</v>
      </c>
      <c r="L38" s="100">
        <v>30</v>
      </c>
      <c r="M38" s="100">
        <v>680</v>
      </c>
      <c r="N38" s="100">
        <v>56.5</v>
      </c>
      <c r="O38" s="101"/>
      <c r="P38" s="101"/>
      <c r="Q38" s="101"/>
      <c r="R38" s="101"/>
      <c r="S38" s="101"/>
      <c r="T38" s="102" t="s">
        <v>84</v>
      </c>
      <c r="U38" s="101" t="s">
        <v>82</v>
      </c>
      <c r="V38" s="408"/>
      <c r="W38" s="400"/>
      <c r="CM38" s="342"/>
      <c r="CN38" s="342"/>
      <c r="CO38" s="342"/>
      <c r="CP38" s="342"/>
      <c r="CQ38" s="342"/>
      <c r="CR38" s="342"/>
      <c r="CS38" s="342"/>
      <c r="CT38" s="342"/>
      <c r="CU38" s="342"/>
      <c r="CV38" s="342"/>
      <c r="CW38" s="342"/>
      <c r="CX38" s="342"/>
      <c r="CY38" s="342"/>
    </row>
    <row r="39" spans="2:103" s="343" customFormat="1" ht="24.95" customHeight="1" x14ac:dyDescent="0.25">
      <c r="B39" s="263">
        <v>44227</v>
      </c>
      <c r="C39" s="103">
        <v>0.27083333333333331</v>
      </c>
      <c r="D39" s="104">
        <v>40</v>
      </c>
      <c r="E39" s="100">
        <v>8.8000000000000007</v>
      </c>
      <c r="F39" s="100">
        <v>11.6</v>
      </c>
      <c r="G39" s="100">
        <v>1606</v>
      </c>
      <c r="H39" s="100">
        <v>2091</v>
      </c>
      <c r="I39" s="100">
        <v>104.4</v>
      </c>
      <c r="J39" s="100">
        <v>105</v>
      </c>
      <c r="K39" s="100" t="s">
        <v>130</v>
      </c>
      <c r="L39" s="100">
        <v>30.85</v>
      </c>
      <c r="M39" s="100">
        <v>640</v>
      </c>
      <c r="N39" s="100">
        <v>53.5</v>
      </c>
      <c r="O39" s="101"/>
      <c r="P39" s="101"/>
      <c r="Q39" s="101"/>
      <c r="R39" s="101"/>
      <c r="S39" s="101"/>
      <c r="T39" s="102" t="s">
        <v>84</v>
      </c>
      <c r="U39" s="101" t="s">
        <v>134</v>
      </c>
      <c r="V39" s="408"/>
      <c r="W39" s="400"/>
      <c r="CM39" s="342"/>
      <c r="CN39" s="342"/>
      <c r="CO39" s="342"/>
      <c r="CP39" s="342"/>
      <c r="CQ39" s="342"/>
      <c r="CR39" s="342"/>
      <c r="CS39" s="342"/>
      <c r="CT39" s="342"/>
      <c r="CU39" s="342"/>
      <c r="CV39" s="342"/>
      <c r="CW39" s="342"/>
      <c r="CX39" s="342"/>
      <c r="CY39" s="342"/>
    </row>
    <row r="40" spans="2:103" s="343" customFormat="1" ht="24.95" customHeight="1" x14ac:dyDescent="0.25">
      <c r="B40" s="263">
        <v>44228</v>
      </c>
      <c r="C40" s="103">
        <v>0.25</v>
      </c>
      <c r="D40" s="104">
        <v>40</v>
      </c>
      <c r="E40" s="100">
        <v>8.8000000000000007</v>
      </c>
      <c r="F40" s="100">
        <v>11.5</v>
      </c>
      <c r="G40" s="100">
        <v>1606.5</v>
      </c>
      <c r="H40" s="100">
        <v>2113.4</v>
      </c>
      <c r="I40" s="100">
        <v>103.8</v>
      </c>
      <c r="J40" s="100">
        <v>104.4</v>
      </c>
      <c r="K40" s="100" t="s">
        <v>135</v>
      </c>
      <c r="L40" s="100">
        <v>32.799999999999997</v>
      </c>
      <c r="M40" s="100">
        <v>670</v>
      </c>
      <c r="N40" s="100">
        <v>56.5</v>
      </c>
      <c r="O40" s="101"/>
      <c r="P40" s="101"/>
      <c r="Q40" s="101"/>
      <c r="R40" s="101"/>
      <c r="S40" s="101"/>
      <c r="T40" s="102" t="s">
        <v>84</v>
      </c>
      <c r="U40" s="101" t="s">
        <v>134</v>
      </c>
      <c r="V40" s="408"/>
      <c r="W40" s="400"/>
      <c r="CM40" s="342"/>
      <c r="CN40" s="342"/>
      <c r="CO40" s="342"/>
      <c r="CP40" s="342"/>
      <c r="CQ40" s="342"/>
      <c r="CR40" s="342"/>
      <c r="CS40" s="342"/>
      <c r="CT40" s="342"/>
      <c r="CU40" s="342"/>
      <c r="CV40" s="342"/>
      <c r="CW40" s="342"/>
      <c r="CX40" s="342"/>
      <c r="CY40" s="342"/>
    </row>
    <row r="41" spans="2:103" s="343" customFormat="1" ht="24.95" customHeight="1" x14ac:dyDescent="0.25">
      <c r="B41" s="263">
        <v>44229</v>
      </c>
      <c r="C41" s="103">
        <v>0.75</v>
      </c>
      <c r="D41" s="100">
        <v>40</v>
      </c>
      <c r="E41" s="100">
        <v>8.9</v>
      </c>
      <c r="F41" s="100">
        <v>11.5</v>
      </c>
      <c r="G41" s="100">
        <v>1601.5</v>
      </c>
      <c r="H41" s="100">
        <v>2091.8000000000002</v>
      </c>
      <c r="I41" s="100">
        <v>105</v>
      </c>
      <c r="J41" s="100">
        <v>105</v>
      </c>
      <c r="K41" s="100" t="s">
        <v>139</v>
      </c>
      <c r="L41" s="100">
        <v>30</v>
      </c>
      <c r="M41" s="100">
        <v>650</v>
      </c>
      <c r="N41" s="100">
        <v>56.5</v>
      </c>
      <c r="O41" s="101"/>
      <c r="P41" s="101"/>
      <c r="Q41" s="101"/>
      <c r="R41" s="101" t="s">
        <v>141</v>
      </c>
      <c r="S41" s="102" t="s">
        <v>142</v>
      </c>
      <c r="T41" s="102" t="s">
        <v>81</v>
      </c>
      <c r="U41" s="101" t="s">
        <v>140</v>
      </c>
      <c r="V41" s="408"/>
      <c r="W41" s="400"/>
      <c r="CM41" s="342"/>
      <c r="CN41" s="342"/>
      <c r="CO41" s="342"/>
      <c r="CP41" s="342"/>
      <c r="CQ41" s="342"/>
      <c r="CR41" s="342"/>
      <c r="CS41" s="342"/>
      <c r="CT41" s="342"/>
      <c r="CU41" s="342"/>
      <c r="CV41" s="342"/>
      <c r="CW41" s="342"/>
      <c r="CX41" s="342"/>
      <c r="CY41" s="342"/>
    </row>
    <row r="42" spans="2:103" s="343" customFormat="1" ht="24.95" customHeight="1" x14ac:dyDescent="0.25">
      <c r="B42" s="263">
        <v>44230</v>
      </c>
      <c r="C42" s="103">
        <v>0.27083333333333331</v>
      </c>
      <c r="D42" s="100">
        <v>40</v>
      </c>
      <c r="E42" s="100">
        <v>8.5</v>
      </c>
      <c r="F42" s="100">
        <v>11.5</v>
      </c>
      <c r="G42" s="100">
        <v>1602.4</v>
      </c>
      <c r="H42" s="100">
        <v>2123.4</v>
      </c>
      <c r="I42" s="100">
        <v>103.8</v>
      </c>
      <c r="J42" s="100">
        <v>104.4</v>
      </c>
      <c r="K42" s="100" t="s">
        <v>143</v>
      </c>
      <c r="L42" s="100">
        <v>33</v>
      </c>
      <c r="M42" s="100">
        <v>680</v>
      </c>
      <c r="N42" s="100">
        <v>56.1</v>
      </c>
      <c r="O42" s="101"/>
      <c r="P42" s="101"/>
      <c r="Q42" s="101"/>
      <c r="R42" s="101" t="s">
        <v>144</v>
      </c>
      <c r="S42" s="101">
        <v>52.1</v>
      </c>
      <c r="T42" s="102" t="s">
        <v>81</v>
      </c>
      <c r="U42" s="101" t="s">
        <v>82</v>
      </c>
      <c r="V42" s="409"/>
      <c r="W42" s="400"/>
      <c r="CM42" s="342"/>
      <c r="CN42" s="342"/>
      <c r="CO42" s="342"/>
      <c r="CP42" s="342"/>
      <c r="CQ42" s="342"/>
      <c r="CR42" s="342"/>
      <c r="CS42" s="342"/>
      <c r="CT42" s="342"/>
      <c r="CU42" s="342"/>
      <c r="CV42" s="342"/>
      <c r="CW42" s="342"/>
      <c r="CX42" s="342"/>
      <c r="CY42" s="342"/>
    </row>
    <row r="43" spans="2:103" s="343" customFormat="1" ht="24.95" customHeight="1" x14ac:dyDescent="0.25">
      <c r="B43" s="263">
        <v>44231</v>
      </c>
      <c r="C43" s="103">
        <v>0.27083333333333331</v>
      </c>
      <c r="D43" s="100">
        <v>40</v>
      </c>
      <c r="E43" s="100">
        <v>8.5</v>
      </c>
      <c r="F43" s="100">
        <v>11.5</v>
      </c>
      <c r="G43" s="100">
        <v>1602.4</v>
      </c>
      <c r="H43" s="100">
        <v>2098.3000000000002</v>
      </c>
      <c r="I43" s="100">
        <v>104.4</v>
      </c>
      <c r="J43" s="100">
        <v>105</v>
      </c>
      <c r="K43" s="100" t="s">
        <v>145</v>
      </c>
      <c r="L43" s="100">
        <v>31</v>
      </c>
      <c r="M43" s="100">
        <v>680</v>
      </c>
      <c r="N43" s="100">
        <v>56.2</v>
      </c>
      <c r="O43" s="101"/>
      <c r="P43" s="101"/>
      <c r="Q43" s="101"/>
      <c r="R43" s="101" t="s">
        <v>141</v>
      </c>
      <c r="S43" s="101">
        <v>52.1</v>
      </c>
      <c r="T43" s="102" t="s">
        <v>81</v>
      </c>
      <c r="U43" s="101" t="s">
        <v>82</v>
      </c>
      <c r="V43" s="408" t="s">
        <v>148</v>
      </c>
      <c r="W43" s="400"/>
      <c r="CM43" s="342"/>
      <c r="CN43" s="342"/>
      <c r="CO43" s="342"/>
      <c r="CP43" s="342"/>
      <c r="CQ43" s="342"/>
      <c r="CR43" s="342"/>
      <c r="CS43" s="342"/>
      <c r="CT43" s="342"/>
      <c r="CU43" s="342"/>
      <c r="CV43" s="342"/>
      <c r="CW43" s="342"/>
      <c r="CX43" s="342"/>
      <c r="CY43" s="342"/>
    </row>
    <row r="44" spans="2:103" s="343" customFormat="1" ht="24.95" customHeight="1" x14ac:dyDescent="0.25">
      <c r="B44" s="263">
        <v>44232</v>
      </c>
      <c r="C44" s="103">
        <v>0.27083333333333331</v>
      </c>
      <c r="D44" s="100">
        <v>41</v>
      </c>
      <c r="E44" s="100">
        <v>8.8000000000000007</v>
      </c>
      <c r="F44" s="100">
        <v>11.7</v>
      </c>
      <c r="G44" s="100">
        <v>1594.7</v>
      </c>
      <c r="H44" s="100">
        <v>2196.6</v>
      </c>
      <c r="I44" s="100">
        <v>103.8</v>
      </c>
      <c r="J44" s="100">
        <v>104.4</v>
      </c>
      <c r="K44" s="100" t="s">
        <v>146</v>
      </c>
      <c r="L44" s="100">
        <v>33</v>
      </c>
      <c r="M44" s="100">
        <v>680</v>
      </c>
      <c r="N44" s="100">
        <v>56.5</v>
      </c>
      <c r="O44" s="101"/>
      <c r="P44" s="101"/>
      <c r="Q44" s="101"/>
      <c r="R44" s="101" t="s">
        <v>147</v>
      </c>
      <c r="S44" s="101">
        <v>53.1</v>
      </c>
      <c r="T44" s="102" t="s">
        <v>81</v>
      </c>
      <c r="U44" s="101" t="s">
        <v>82</v>
      </c>
      <c r="V44" s="408"/>
      <c r="W44" s="400"/>
      <c r="CM44" s="342"/>
      <c r="CN44" s="342"/>
      <c r="CO44" s="342"/>
      <c r="CP44" s="342"/>
      <c r="CQ44" s="342"/>
      <c r="CR44" s="342"/>
      <c r="CS44" s="342"/>
      <c r="CT44" s="342"/>
      <c r="CU44" s="342"/>
      <c r="CV44" s="342"/>
      <c r="CW44" s="342"/>
      <c r="CX44" s="342"/>
      <c r="CY44" s="342"/>
    </row>
    <row r="45" spans="2:103" s="343" customFormat="1" ht="24.95" customHeight="1" x14ac:dyDescent="0.25">
      <c r="B45" s="263">
        <v>44233</v>
      </c>
      <c r="C45" s="103">
        <v>0.27083333333333331</v>
      </c>
      <c r="D45" s="100">
        <v>41</v>
      </c>
      <c r="E45" s="100">
        <v>8.8000000000000007</v>
      </c>
      <c r="F45" s="100">
        <v>11.7</v>
      </c>
      <c r="G45" s="100">
        <v>1594.3</v>
      </c>
      <c r="H45" s="100">
        <v>2123.6</v>
      </c>
      <c r="I45" s="100">
        <v>105</v>
      </c>
      <c r="J45" s="100">
        <v>105.5</v>
      </c>
      <c r="K45" s="100" t="s">
        <v>150</v>
      </c>
      <c r="L45" s="100">
        <v>33</v>
      </c>
      <c r="M45" s="100">
        <v>680</v>
      </c>
      <c r="N45" s="100">
        <v>56.2</v>
      </c>
      <c r="O45" s="101"/>
      <c r="P45" s="101"/>
      <c r="Q45" s="101"/>
      <c r="R45" s="101" t="s">
        <v>151</v>
      </c>
      <c r="S45" s="101">
        <v>53.5</v>
      </c>
      <c r="T45" s="102" t="s">
        <v>81</v>
      </c>
      <c r="U45" s="101" t="s">
        <v>82</v>
      </c>
      <c r="V45" s="408"/>
      <c r="W45" s="400"/>
      <c r="CM45" s="342"/>
      <c r="CN45" s="342"/>
      <c r="CO45" s="342"/>
      <c r="CP45" s="342"/>
      <c r="CQ45" s="342"/>
      <c r="CR45" s="342"/>
      <c r="CS45" s="342"/>
      <c r="CT45" s="342"/>
      <c r="CU45" s="342"/>
      <c r="CV45" s="342"/>
      <c r="CW45" s="342"/>
      <c r="CX45" s="342"/>
      <c r="CY45" s="342"/>
    </row>
    <row r="46" spans="2:103" s="343" customFormat="1" ht="24.95" customHeight="1" x14ac:dyDescent="0.25">
      <c r="B46" s="263">
        <v>44234</v>
      </c>
      <c r="C46" s="103">
        <v>0.27083333333333331</v>
      </c>
      <c r="D46" s="100">
        <v>41</v>
      </c>
      <c r="E46" s="100">
        <v>8.6999999999999993</v>
      </c>
      <c r="F46" s="100">
        <v>11.6</v>
      </c>
      <c r="G46" s="100">
        <v>1588</v>
      </c>
      <c r="H46" s="100">
        <v>2107.8000000000002</v>
      </c>
      <c r="I46" s="100">
        <v>103.8</v>
      </c>
      <c r="J46" s="100">
        <v>104.4</v>
      </c>
      <c r="K46" s="100" t="s">
        <v>152</v>
      </c>
      <c r="L46" s="100">
        <v>32</v>
      </c>
      <c r="M46" s="100">
        <v>680</v>
      </c>
      <c r="N46" s="100">
        <v>56.5</v>
      </c>
      <c r="O46" s="101"/>
      <c r="P46" s="101"/>
      <c r="Q46" s="101"/>
      <c r="R46" s="101" t="s">
        <v>151</v>
      </c>
      <c r="S46" s="101">
        <v>53.1</v>
      </c>
      <c r="T46" s="102" t="s">
        <v>81</v>
      </c>
      <c r="U46" s="101" t="s">
        <v>82</v>
      </c>
      <c r="V46" s="408"/>
      <c r="W46" s="400"/>
      <c r="CM46" s="342"/>
      <c r="CN46" s="342"/>
      <c r="CO46" s="342"/>
      <c r="CP46" s="342"/>
      <c r="CQ46" s="342"/>
      <c r="CR46" s="342"/>
      <c r="CS46" s="342"/>
      <c r="CT46" s="342"/>
      <c r="CU46" s="342"/>
      <c r="CV46" s="342"/>
      <c r="CW46" s="342"/>
      <c r="CX46" s="342"/>
      <c r="CY46" s="342"/>
    </row>
    <row r="47" spans="2:103" s="343" customFormat="1" ht="24.95" customHeight="1" x14ac:dyDescent="0.25">
      <c r="B47" s="263">
        <v>44235</v>
      </c>
      <c r="C47" s="103">
        <v>0.27083333333333331</v>
      </c>
      <c r="D47" s="100">
        <v>41</v>
      </c>
      <c r="E47" s="100">
        <v>8.6999999999999993</v>
      </c>
      <c r="F47" s="100">
        <v>11.6</v>
      </c>
      <c r="G47" s="100">
        <v>1582</v>
      </c>
      <c r="H47" s="100">
        <v>2110.4</v>
      </c>
      <c r="I47" s="100">
        <v>103.8</v>
      </c>
      <c r="J47" s="100">
        <v>104.4</v>
      </c>
      <c r="K47" s="100" t="s">
        <v>153</v>
      </c>
      <c r="L47" s="100">
        <v>33</v>
      </c>
      <c r="M47" s="100">
        <v>680</v>
      </c>
      <c r="N47" s="100">
        <v>56.5</v>
      </c>
      <c r="O47" s="101"/>
      <c r="P47" s="101"/>
      <c r="Q47" s="101"/>
      <c r="R47" s="101" t="s">
        <v>154</v>
      </c>
      <c r="S47" s="101">
        <v>53.1</v>
      </c>
      <c r="T47" s="102" t="s">
        <v>81</v>
      </c>
      <c r="U47" s="101" t="s">
        <v>82</v>
      </c>
      <c r="V47" s="408"/>
      <c r="W47" s="400"/>
      <c r="CM47" s="342"/>
      <c r="CN47" s="342"/>
      <c r="CO47" s="342"/>
      <c r="CP47" s="342"/>
      <c r="CQ47" s="342"/>
      <c r="CR47" s="342"/>
      <c r="CS47" s="342"/>
      <c r="CT47" s="342"/>
      <c r="CU47" s="342"/>
      <c r="CV47" s="342"/>
      <c r="CW47" s="342"/>
      <c r="CX47" s="342"/>
      <c r="CY47" s="342"/>
    </row>
    <row r="48" spans="2:103" s="343" customFormat="1" ht="24.95" customHeight="1" x14ac:dyDescent="0.25">
      <c r="B48" s="263">
        <v>44236</v>
      </c>
      <c r="C48" s="103">
        <v>0.27083333333333331</v>
      </c>
      <c r="D48" s="104">
        <v>41</v>
      </c>
      <c r="E48" s="100">
        <v>8.6999999999999993</v>
      </c>
      <c r="F48" s="100">
        <v>11.6</v>
      </c>
      <c r="G48" s="100">
        <v>1573.5</v>
      </c>
      <c r="H48" s="100">
        <v>2079.5</v>
      </c>
      <c r="I48" s="100">
        <v>103.8</v>
      </c>
      <c r="J48" s="100">
        <v>104.4</v>
      </c>
      <c r="K48" s="100" t="s">
        <v>155</v>
      </c>
      <c r="L48" s="100">
        <v>30</v>
      </c>
      <c r="M48" s="100">
        <v>680</v>
      </c>
      <c r="N48" s="100">
        <v>57.9</v>
      </c>
      <c r="O48" s="101"/>
      <c r="P48" s="101"/>
      <c r="Q48" s="101"/>
      <c r="R48" s="101" t="s">
        <v>151</v>
      </c>
      <c r="S48" s="101">
        <v>53.1</v>
      </c>
      <c r="T48" s="102" t="s">
        <v>81</v>
      </c>
      <c r="U48" s="101" t="s">
        <v>82</v>
      </c>
      <c r="V48" s="408"/>
      <c r="W48" s="400"/>
      <c r="CM48" s="342"/>
      <c r="CN48" s="342"/>
      <c r="CO48" s="342"/>
      <c r="CP48" s="342"/>
      <c r="CQ48" s="342"/>
      <c r="CR48" s="342"/>
      <c r="CS48" s="342"/>
      <c r="CT48" s="342"/>
      <c r="CU48" s="342"/>
      <c r="CV48" s="342"/>
      <c r="CW48" s="342"/>
      <c r="CX48" s="342"/>
      <c r="CY48" s="342"/>
    </row>
    <row r="49" spans="2:103" s="343" customFormat="1" ht="24.95" customHeight="1" x14ac:dyDescent="0.25">
      <c r="B49" s="263">
        <v>44237</v>
      </c>
      <c r="C49" s="103">
        <v>0.25</v>
      </c>
      <c r="D49" s="104">
        <v>41</v>
      </c>
      <c r="E49" s="100">
        <v>8.8000000000000007</v>
      </c>
      <c r="F49" s="100">
        <v>11.6</v>
      </c>
      <c r="G49" s="100">
        <v>1560.8</v>
      </c>
      <c r="H49" s="100">
        <v>2042</v>
      </c>
      <c r="I49" s="100">
        <v>105</v>
      </c>
      <c r="J49" s="100">
        <v>105.5</v>
      </c>
      <c r="K49" s="100" t="s">
        <v>165</v>
      </c>
      <c r="L49" s="100">
        <v>27</v>
      </c>
      <c r="M49" s="100">
        <v>620</v>
      </c>
      <c r="N49" s="100">
        <v>58.5</v>
      </c>
      <c r="O49" s="101"/>
      <c r="P49" s="101"/>
      <c r="Q49" s="101"/>
      <c r="R49" s="101" t="s">
        <v>167</v>
      </c>
      <c r="S49" s="101">
        <v>53.1</v>
      </c>
      <c r="T49" s="102" t="s">
        <v>81</v>
      </c>
      <c r="U49" s="101" t="s">
        <v>82</v>
      </c>
      <c r="V49" s="408"/>
      <c r="W49" s="400"/>
      <c r="CM49" s="342"/>
      <c r="CN49" s="342"/>
      <c r="CO49" s="342"/>
      <c r="CP49" s="342"/>
      <c r="CQ49" s="342"/>
      <c r="CR49" s="342"/>
      <c r="CS49" s="342"/>
      <c r="CT49" s="342"/>
      <c r="CU49" s="342"/>
      <c r="CV49" s="342"/>
      <c r="CW49" s="342"/>
      <c r="CX49" s="342"/>
      <c r="CY49" s="342"/>
    </row>
    <row r="50" spans="2:103" s="343" customFormat="1" ht="24.95" customHeight="1" x14ac:dyDescent="0.25">
      <c r="B50" s="263">
        <v>44238</v>
      </c>
      <c r="C50" s="103">
        <v>0.25</v>
      </c>
      <c r="D50" s="104">
        <v>41</v>
      </c>
      <c r="E50" s="100">
        <v>8.8000000000000007</v>
      </c>
      <c r="F50" s="100">
        <v>11.6</v>
      </c>
      <c r="G50" s="100">
        <v>1551.6</v>
      </c>
      <c r="H50" s="100">
        <v>2040</v>
      </c>
      <c r="I50" s="100">
        <v>104.4</v>
      </c>
      <c r="J50" s="100">
        <v>105</v>
      </c>
      <c r="K50" s="100" t="s">
        <v>170</v>
      </c>
      <c r="L50" s="100">
        <v>27</v>
      </c>
      <c r="M50" s="100">
        <v>610</v>
      </c>
      <c r="N50" s="100">
        <v>58.5</v>
      </c>
      <c r="O50" s="101"/>
      <c r="P50" s="101"/>
      <c r="Q50" s="101"/>
      <c r="R50" s="101" t="s">
        <v>169</v>
      </c>
      <c r="S50" s="101">
        <v>53.1</v>
      </c>
      <c r="T50" s="102" t="s">
        <v>81</v>
      </c>
      <c r="U50" s="101" t="s">
        <v>82</v>
      </c>
      <c r="V50" s="408"/>
      <c r="W50" s="400"/>
      <c r="CM50" s="342"/>
      <c r="CN50" s="342"/>
      <c r="CO50" s="342"/>
      <c r="CP50" s="342"/>
      <c r="CQ50" s="342"/>
      <c r="CR50" s="342"/>
      <c r="CS50" s="342"/>
      <c r="CT50" s="342"/>
      <c r="CU50" s="342"/>
      <c r="CV50" s="342"/>
      <c r="CW50" s="342"/>
      <c r="CX50" s="342"/>
      <c r="CY50" s="342"/>
    </row>
    <row r="51" spans="2:103" s="343" customFormat="1" ht="24.95" customHeight="1" x14ac:dyDescent="0.25">
      <c r="B51" s="263">
        <v>44239</v>
      </c>
      <c r="C51" s="103">
        <v>0.27083333333333331</v>
      </c>
      <c r="D51" s="104">
        <v>41</v>
      </c>
      <c r="E51" s="100">
        <v>8.8000000000000007</v>
      </c>
      <c r="F51" s="100">
        <v>11.6</v>
      </c>
      <c r="G51" s="100">
        <v>1543.8</v>
      </c>
      <c r="H51" s="100">
        <v>2022.7</v>
      </c>
      <c r="I51" s="100">
        <v>105</v>
      </c>
      <c r="J51" s="100">
        <v>105.5</v>
      </c>
      <c r="K51" s="100" t="s">
        <v>175</v>
      </c>
      <c r="L51" s="100">
        <v>27</v>
      </c>
      <c r="M51" s="100">
        <v>600</v>
      </c>
      <c r="N51" s="100">
        <v>59</v>
      </c>
      <c r="O51" s="101"/>
      <c r="P51" s="101"/>
      <c r="Q51" s="101"/>
      <c r="R51" s="101" t="s">
        <v>154</v>
      </c>
      <c r="S51" s="101">
        <v>53.5</v>
      </c>
      <c r="T51" s="102" t="s">
        <v>81</v>
      </c>
      <c r="U51" s="101" t="s">
        <v>82</v>
      </c>
      <c r="V51" s="408"/>
      <c r="W51" s="400"/>
      <c r="CM51" s="342"/>
      <c r="CN51" s="342"/>
      <c r="CO51" s="342"/>
      <c r="CP51" s="342"/>
      <c r="CQ51" s="342"/>
      <c r="CR51" s="342"/>
      <c r="CS51" s="342"/>
      <c r="CT51" s="342"/>
      <c r="CU51" s="342"/>
      <c r="CV51" s="342"/>
      <c r="CW51" s="342"/>
      <c r="CX51" s="342"/>
      <c r="CY51" s="342"/>
    </row>
    <row r="52" spans="2:103" s="343" customFormat="1" ht="24.95" customHeight="1" x14ac:dyDescent="0.25">
      <c r="B52" s="263">
        <v>44240</v>
      </c>
      <c r="C52" s="103">
        <v>0.25</v>
      </c>
      <c r="D52" s="104">
        <v>41</v>
      </c>
      <c r="E52" s="100">
        <v>8.9</v>
      </c>
      <c r="F52" s="100">
        <v>11.7</v>
      </c>
      <c r="G52" s="100">
        <v>1536.9</v>
      </c>
      <c r="H52" s="100">
        <v>2028.9</v>
      </c>
      <c r="I52" s="100">
        <v>105</v>
      </c>
      <c r="J52" s="100">
        <v>105.5</v>
      </c>
      <c r="K52" s="100" t="s">
        <v>176</v>
      </c>
      <c r="L52" s="100">
        <v>26</v>
      </c>
      <c r="M52" s="100">
        <v>620</v>
      </c>
      <c r="N52" s="100">
        <v>59</v>
      </c>
      <c r="O52" s="101"/>
      <c r="P52" s="101"/>
      <c r="Q52" s="101"/>
      <c r="R52" s="101" t="s">
        <v>177</v>
      </c>
      <c r="S52" s="101">
        <v>53.5</v>
      </c>
      <c r="T52" s="102" t="s">
        <v>81</v>
      </c>
      <c r="U52" s="101" t="s">
        <v>82</v>
      </c>
      <c r="V52" s="408"/>
      <c r="W52" s="400"/>
      <c r="CM52" s="342"/>
      <c r="CN52" s="342"/>
      <c r="CO52" s="342"/>
      <c r="CP52" s="342"/>
      <c r="CQ52" s="342"/>
      <c r="CR52" s="342"/>
      <c r="CS52" s="342"/>
      <c r="CT52" s="342"/>
      <c r="CU52" s="342"/>
      <c r="CV52" s="342"/>
      <c r="CW52" s="342"/>
      <c r="CX52" s="342"/>
      <c r="CY52" s="342"/>
    </row>
    <row r="53" spans="2:103" s="343" customFormat="1" ht="24.95" customHeight="1" x14ac:dyDescent="0.25">
      <c r="B53" s="263">
        <v>44241</v>
      </c>
      <c r="C53" s="103">
        <v>0.25</v>
      </c>
      <c r="D53" s="104">
        <v>41</v>
      </c>
      <c r="E53" s="100">
        <v>8.8000000000000007</v>
      </c>
      <c r="F53" s="100">
        <v>11.7</v>
      </c>
      <c r="G53" s="100">
        <v>1534.5</v>
      </c>
      <c r="H53" s="100">
        <v>2059.1</v>
      </c>
      <c r="I53" s="100">
        <v>104.4</v>
      </c>
      <c r="J53" s="100">
        <v>105</v>
      </c>
      <c r="K53" s="100" t="s">
        <v>182</v>
      </c>
      <c r="L53" s="100">
        <v>30</v>
      </c>
      <c r="M53" s="100">
        <v>610</v>
      </c>
      <c r="N53" s="100">
        <v>59</v>
      </c>
      <c r="O53" s="101"/>
      <c r="P53" s="101"/>
      <c r="Q53" s="101"/>
      <c r="R53" s="101" t="s">
        <v>183</v>
      </c>
      <c r="S53" s="101">
        <v>53.5</v>
      </c>
      <c r="T53" s="102" t="s">
        <v>81</v>
      </c>
      <c r="U53" s="101" t="s">
        <v>82</v>
      </c>
      <c r="V53" s="408"/>
      <c r="W53" s="400"/>
      <c r="CM53" s="342"/>
      <c r="CN53" s="342"/>
      <c r="CO53" s="342"/>
      <c r="CP53" s="342"/>
      <c r="CQ53" s="342"/>
      <c r="CR53" s="342"/>
      <c r="CS53" s="342"/>
      <c r="CT53" s="342"/>
      <c r="CU53" s="342"/>
      <c r="CV53" s="342"/>
      <c r="CW53" s="342"/>
      <c r="CX53" s="342"/>
      <c r="CY53" s="342"/>
    </row>
    <row r="54" spans="2:103" s="343" customFormat="1" ht="24.95" customHeight="1" x14ac:dyDescent="0.25">
      <c r="B54" s="263">
        <v>44242</v>
      </c>
      <c r="C54" s="103">
        <v>0.27083333333333331</v>
      </c>
      <c r="D54" s="104">
        <v>41</v>
      </c>
      <c r="E54" s="100">
        <v>8.8000000000000007</v>
      </c>
      <c r="F54" s="100">
        <v>11.6</v>
      </c>
      <c r="G54" s="100">
        <v>1534.8</v>
      </c>
      <c r="H54" s="100">
        <v>2070.1999999999998</v>
      </c>
      <c r="I54" s="100">
        <v>103.8</v>
      </c>
      <c r="J54" s="100">
        <v>104.4</v>
      </c>
      <c r="K54" s="100" t="s">
        <v>185</v>
      </c>
      <c r="L54" s="100">
        <v>30</v>
      </c>
      <c r="M54" s="100">
        <v>610</v>
      </c>
      <c r="N54" s="100">
        <v>59</v>
      </c>
      <c r="O54" s="101"/>
      <c r="P54" s="101"/>
      <c r="Q54" s="101"/>
      <c r="R54" s="101" t="s">
        <v>154</v>
      </c>
      <c r="S54" s="101">
        <v>52.6</v>
      </c>
      <c r="T54" s="102" t="s">
        <v>81</v>
      </c>
      <c r="U54" s="101" t="s">
        <v>82</v>
      </c>
      <c r="V54" s="408"/>
      <c r="W54" s="400"/>
      <c r="CM54" s="342"/>
      <c r="CN54" s="342"/>
      <c r="CO54" s="342"/>
      <c r="CP54" s="342"/>
      <c r="CQ54" s="342"/>
      <c r="CR54" s="342"/>
      <c r="CS54" s="342"/>
      <c r="CT54" s="342"/>
      <c r="CU54" s="342"/>
      <c r="CV54" s="342"/>
      <c r="CW54" s="342"/>
      <c r="CX54" s="342"/>
      <c r="CY54" s="342"/>
    </row>
    <row r="55" spans="2:103" s="343" customFormat="1" ht="24.95" customHeight="1" x14ac:dyDescent="0.25">
      <c r="B55" s="263">
        <v>44243</v>
      </c>
      <c r="C55" s="103">
        <v>0.29166666666666669</v>
      </c>
      <c r="D55" s="104">
        <v>41</v>
      </c>
      <c r="E55" s="100">
        <v>8.8000000000000007</v>
      </c>
      <c r="F55" s="100">
        <v>11.6</v>
      </c>
      <c r="G55" s="100">
        <v>1534.5</v>
      </c>
      <c r="H55" s="100">
        <v>2071.1999999999998</v>
      </c>
      <c r="I55" s="100">
        <v>103.8</v>
      </c>
      <c r="J55" s="100">
        <v>104.4</v>
      </c>
      <c r="K55" s="100" t="s">
        <v>191</v>
      </c>
      <c r="L55" s="100">
        <v>30</v>
      </c>
      <c r="M55" s="100">
        <v>600</v>
      </c>
      <c r="N55" s="100">
        <v>59</v>
      </c>
      <c r="O55" s="101"/>
      <c r="P55" s="101"/>
      <c r="Q55" s="101"/>
      <c r="R55" s="101" t="s">
        <v>151</v>
      </c>
      <c r="S55" s="101">
        <v>52.6</v>
      </c>
      <c r="T55" s="102" t="s">
        <v>81</v>
      </c>
      <c r="U55" s="101" t="s">
        <v>82</v>
      </c>
      <c r="V55" s="408"/>
      <c r="W55" s="400"/>
      <c r="CM55" s="342"/>
      <c r="CN55" s="342"/>
      <c r="CO55" s="342"/>
      <c r="CP55" s="342"/>
      <c r="CQ55" s="342"/>
      <c r="CR55" s="342"/>
      <c r="CS55" s="342"/>
      <c r="CT55" s="342"/>
      <c r="CU55" s="342"/>
      <c r="CV55" s="342"/>
      <c r="CW55" s="342"/>
      <c r="CX55" s="342"/>
      <c r="CY55" s="342"/>
    </row>
    <row r="56" spans="2:103" s="343" customFormat="1" ht="24.95" customHeight="1" x14ac:dyDescent="0.25">
      <c r="B56" s="263">
        <v>44244</v>
      </c>
      <c r="C56" s="103">
        <v>0.29166666666666669</v>
      </c>
      <c r="D56" s="104">
        <v>41</v>
      </c>
      <c r="E56" s="100">
        <v>8.6999999999999993</v>
      </c>
      <c r="F56" s="100">
        <v>11.6</v>
      </c>
      <c r="G56" s="100">
        <v>1533.5</v>
      </c>
      <c r="H56" s="100">
        <v>2072.4</v>
      </c>
      <c r="I56" s="100">
        <v>103.8</v>
      </c>
      <c r="J56" s="100">
        <v>104.4</v>
      </c>
      <c r="K56" s="100" t="s">
        <v>193</v>
      </c>
      <c r="L56" s="100">
        <v>30.5</v>
      </c>
      <c r="M56" s="100">
        <v>610</v>
      </c>
      <c r="N56" s="100">
        <v>59</v>
      </c>
      <c r="O56" s="101"/>
      <c r="P56" s="101"/>
      <c r="Q56" s="101"/>
      <c r="R56" s="101" t="s">
        <v>141</v>
      </c>
      <c r="S56" s="101">
        <v>52.6</v>
      </c>
      <c r="T56" s="102" t="s">
        <v>81</v>
      </c>
      <c r="U56" s="101" t="s">
        <v>82</v>
      </c>
      <c r="V56" s="408"/>
      <c r="W56" s="400"/>
      <c r="CM56" s="342"/>
      <c r="CN56" s="342"/>
      <c r="CO56" s="342"/>
      <c r="CP56" s="342"/>
      <c r="CQ56" s="342"/>
      <c r="CR56" s="342"/>
      <c r="CS56" s="342"/>
      <c r="CT56" s="342"/>
      <c r="CU56" s="342"/>
      <c r="CV56" s="342"/>
      <c r="CW56" s="342"/>
      <c r="CX56" s="342"/>
      <c r="CY56" s="342"/>
    </row>
    <row r="57" spans="2:103" s="343" customFormat="1" ht="24.95" customHeight="1" x14ac:dyDescent="0.25">
      <c r="B57" s="263">
        <v>44245</v>
      </c>
      <c r="C57" s="103">
        <v>0.29166666666666669</v>
      </c>
      <c r="D57" s="104">
        <v>41</v>
      </c>
      <c r="E57" s="100">
        <v>8.8000000000000007</v>
      </c>
      <c r="F57" s="100">
        <v>11.6</v>
      </c>
      <c r="G57" s="100">
        <v>1531.4</v>
      </c>
      <c r="H57" s="100">
        <v>2063.9</v>
      </c>
      <c r="I57" s="100">
        <v>105</v>
      </c>
      <c r="J57" s="100">
        <v>105.5</v>
      </c>
      <c r="K57" s="100" t="s">
        <v>194</v>
      </c>
      <c r="L57" s="100">
        <v>30</v>
      </c>
      <c r="M57" s="100">
        <v>600</v>
      </c>
      <c r="N57" s="100">
        <v>59</v>
      </c>
      <c r="O57" s="101"/>
      <c r="P57" s="101"/>
      <c r="Q57" s="101"/>
      <c r="R57" s="101" t="s">
        <v>195</v>
      </c>
      <c r="S57" s="101">
        <v>52.6</v>
      </c>
      <c r="T57" s="102" t="s">
        <v>81</v>
      </c>
      <c r="U57" s="101" t="s">
        <v>82</v>
      </c>
      <c r="V57" s="408"/>
      <c r="W57" s="400"/>
      <c r="CM57" s="342"/>
      <c r="CN57" s="342"/>
      <c r="CO57" s="342"/>
      <c r="CP57" s="342"/>
      <c r="CQ57" s="342"/>
      <c r="CR57" s="342"/>
      <c r="CS57" s="342"/>
      <c r="CT57" s="342"/>
      <c r="CU57" s="342"/>
      <c r="CV57" s="342"/>
      <c r="CW57" s="342"/>
      <c r="CX57" s="342"/>
      <c r="CY57" s="342"/>
    </row>
    <row r="58" spans="2:103" s="343" customFormat="1" ht="24.95" customHeight="1" x14ac:dyDescent="0.25">
      <c r="B58" s="263">
        <v>44246</v>
      </c>
      <c r="C58" s="103">
        <v>0.29166666666666669</v>
      </c>
      <c r="D58" s="104">
        <v>41</v>
      </c>
      <c r="E58" s="100">
        <v>8.8000000000000007</v>
      </c>
      <c r="F58" s="100">
        <v>11.6</v>
      </c>
      <c r="G58" s="100">
        <v>1529.4</v>
      </c>
      <c r="H58" s="100">
        <v>2061.9</v>
      </c>
      <c r="I58" s="100">
        <v>105</v>
      </c>
      <c r="J58" s="100">
        <v>105.5</v>
      </c>
      <c r="K58" s="100" t="s">
        <v>198</v>
      </c>
      <c r="L58" s="100">
        <v>30</v>
      </c>
      <c r="M58" s="100">
        <v>600</v>
      </c>
      <c r="N58" s="100">
        <v>58.5</v>
      </c>
      <c r="O58" s="101"/>
      <c r="P58" s="101"/>
      <c r="Q58" s="101"/>
      <c r="R58" s="101" t="s">
        <v>199</v>
      </c>
      <c r="S58" s="101">
        <v>52.6</v>
      </c>
      <c r="T58" s="102" t="s">
        <v>81</v>
      </c>
      <c r="U58" s="101" t="s">
        <v>82</v>
      </c>
      <c r="V58" s="408"/>
      <c r="W58" s="400"/>
      <c r="CM58" s="342"/>
      <c r="CN58" s="342"/>
      <c r="CO58" s="342"/>
      <c r="CP58" s="342"/>
      <c r="CQ58" s="342"/>
      <c r="CR58" s="342"/>
      <c r="CS58" s="342"/>
      <c r="CT58" s="342"/>
      <c r="CU58" s="342"/>
      <c r="CV58" s="342"/>
      <c r="CW58" s="342"/>
      <c r="CX58" s="342"/>
      <c r="CY58" s="342"/>
    </row>
    <row r="59" spans="2:103" s="343" customFormat="1" ht="24.95" customHeight="1" x14ac:dyDescent="0.25">
      <c r="B59" s="263">
        <v>44247</v>
      </c>
      <c r="C59" s="103">
        <v>0.29166666666666669</v>
      </c>
      <c r="D59" s="410">
        <v>41</v>
      </c>
      <c r="E59" s="100">
        <v>8.9</v>
      </c>
      <c r="F59" s="100">
        <v>11.7</v>
      </c>
      <c r="G59" s="411">
        <v>1527.1</v>
      </c>
      <c r="H59" s="411">
        <v>2055.1999999999998</v>
      </c>
      <c r="I59" s="411">
        <v>105</v>
      </c>
      <c r="J59" s="411">
        <v>105.5</v>
      </c>
      <c r="K59" s="411" t="s">
        <v>201</v>
      </c>
      <c r="L59" s="100">
        <v>28</v>
      </c>
      <c r="M59" s="100">
        <v>600</v>
      </c>
      <c r="N59" s="100">
        <v>58.5</v>
      </c>
      <c r="O59" s="101"/>
      <c r="P59" s="101"/>
      <c r="Q59" s="101"/>
      <c r="R59" s="101" t="s">
        <v>177</v>
      </c>
      <c r="S59" s="101">
        <v>53.1</v>
      </c>
      <c r="T59" s="102" t="s">
        <v>81</v>
      </c>
      <c r="U59" s="101" t="s">
        <v>82</v>
      </c>
      <c r="V59" s="408"/>
      <c r="W59" s="400"/>
      <c r="CM59" s="342"/>
      <c r="CN59" s="342"/>
      <c r="CO59" s="342"/>
      <c r="CP59" s="342"/>
      <c r="CQ59" s="342"/>
      <c r="CR59" s="342"/>
      <c r="CS59" s="342"/>
      <c r="CT59" s="342"/>
      <c r="CU59" s="342"/>
      <c r="CV59" s="342"/>
      <c r="CW59" s="342"/>
      <c r="CX59" s="342"/>
      <c r="CY59" s="342"/>
    </row>
    <row r="60" spans="2:103" s="343" customFormat="1" ht="24.95" customHeight="1" x14ac:dyDescent="0.25">
      <c r="B60" s="263">
        <v>44248</v>
      </c>
      <c r="C60" s="103">
        <v>0.29166666666666669</v>
      </c>
      <c r="D60" s="410">
        <v>41</v>
      </c>
      <c r="E60" s="100">
        <v>8.8000000000000007</v>
      </c>
      <c r="F60" s="100">
        <v>11.7</v>
      </c>
      <c r="G60" s="411">
        <v>1524.8</v>
      </c>
      <c r="H60" s="411">
        <v>2052.9</v>
      </c>
      <c r="I60" s="411">
        <v>105</v>
      </c>
      <c r="J60" s="411">
        <v>105.5</v>
      </c>
      <c r="K60" s="411" t="s">
        <v>208</v>
      </c>
      <c r="L60" s="100">
        <v>29</v>
      </c>
      <c r="M60" s="100">
        <v>610</v>
      </c>
      <c r="N60" s="100">
        <v>59</v>
      </c>
      <c r="O60" s="101"/>
      <c r="P60" s="101"/>
      <c r="Q60" s="101"/>
      <c r="R60" s="101" t="s">
        <v>183</v>
      </c>
      <c r="S60" s="101">
        <v>53.5</v>
      </c>
      <c r="T60" s="102" t="s">
        <v>81</v>
      </c>
      <c r="U60" s="101" t="s">
        <v>82</v>
      </c>
      <c r="V60" s="408"/>
      <c r="W60" s="400"/>
      <c r="CM60" s="342"/>
      <c r="CN60" s="342"/>
      <c r="CO60" s="342"/>
      <c r="CP60" s="342"/>
      <c r="CQ60" s="342"/>
      <c r="CR60" s="342"/>
      <c r="CS60" s="342"/>
      <c r="CT60" s="342"/>
      <c r="CU60" s="342"/>
      <c r="CV60" s="342"/>
      <c r="CW60" s="342"/>
      <c r="CX60" s="342"/>
      <c r="CY60" s="342"/>
    </row>
    <row r="61" spans="2:103" s="343" customFormat="1" ht="24.95" customHeight="1" x14ac:dyDescent="0.25">
      <c r="B61" s="263">
        <v>44249</v>
      </c>
      <c r="C61" s="103">
        <v>0.29166666666666669</v>
      </c>
      <c r="D61" s="410">
        <v>41</v>
      </c>
      <c r="E61" s="100">
        <v>8.6999999999999993</v>
      </c>
      <c r="F61" s="412">
        <v>11.6</v>
      </c>
      <c r="G61" s="411">
        <v>1521.1</v>
      </c>
      <c r="H61" s="411">
        <v>2067.3000000000002</v>
      </c>
      <c r="I61" s="411">
        <v>103.8</v>
      </c>
      <c r="J61" s="411">
        <v>105</v>
      </c>
      <c r="K61" s="411" t="s">
        <v>209</v>
      </c>
      <c r="L61" s="100">
        <v>31</v>
      </c>
      <c r="M61" s="100">
        <v>610</v>
      </c>
      <c r="N61" s="100">
        <v>58.5</v>
      </c>
      <c r="O61" s="101"/>
      <c r="P61" s="101"/>
      <c r="Q61" s="101"/>
      <c r="R61" s="101" t="s">
        <v>210</v>
      </c>
      <c r="S61" s="101">
        <v>52.6</v>
      </c>
      <c r="T61" s="102" t="s">
        <v>81</v>
      </c>
      <c r="U61" s="101" t="s">
        <v>82</v>
      </c>
      <c r="V61" s="408"/>
      <c r="W61" s="400"/>
      <c r="CM61" s="342"/>
      <c r="CN61" s="342"/>
      <c r="CO61" s="342"/>
      <c r="CP61" s="342"/>
      <c r="CQ61" s="342"/>
      <c r="CR61" s="342"/>
      <c r="CS61" s="342"/>
      <c r="CT61" s="342"/>
      <c r="CU61" s="342"/>
      <c r="CV61" s="342"/>
      <c r="CW61" s="342"/>
      <c r="CX61" s="342"/>
      <c r="CY61" s="342"/>
    </row>
    <row r="62" spans="2:103" s="343" customFormat="1" ht="24.95" customHeight="1" x14ac:dyDescent="0.25">
      <c r="B62" s="263">
        <v>44250</v>
      </c>
      <c r="C62" s="103">
        <v>0.29166666666666669</v>
      </c>
      <c r="D62" s="410">
        <v>41</v>
      </c>
      <c r="E62" s="100">
        <v>8.8000000000000007</v>
      </c>
      <c r="F62" s="412">
        <v>11.7</v>
      </c>
      <c r="G62" s="411">
        <v>1516.3</v>
      </c>
      <c r="H62" s="411">
        <v>2048.5</v>
      </c>
      <c r="I62" s="411">
        <v>105</v>
      </c>
      <c r="J62" s="411">
        <v>105.5</v>
      </c>
      <c r="K62" s="411" t="s">
        <v>211</v>
      </c>
      <c r="L62" s="100">
        <v>28.5</v>
      </c>
      <c r="M62" s="100">
        <v>600</v>
      </c>
      <c r="N62" s="100">
        <v>59</v>
      </c>
      <c r="O62" s="101"/>
      <c r="P62" s="101"/>
      <c r="Q62" s="101"/>
      <c r="R62" s="101" t="s">
        <v>183</v>
      </c>
      <c r="S62" s="101">
        <v>53.5</v>
      </c>
      <c r="T62" s="102" t="s">
        <v>81</v>
      </c>
      <c r="U62" s="101" t="s">
        <v>82</v>
      </c>
      <c r="V62" s="408"/>
      <c r="W62" s="400"/>
      <c r="CM62" s="342"/>
      <c r="CN62" s="342"/>
      <c r="CO62" s="342"/>
      <c r="CP62" s="342"/>
      <c r="CQ62" s="342"/>
      <c r="CR62" s="342"/>
      <c r="CS62" s="342"/>
      <c r="CT62" s="342"/>
      <c r="CU62" s="342"/>
      <c r="CV62" s="342"/>
      <c r="CW62" s="342"/>
      <c r="CX62" s="342"/>
      <c r="CY62" s="342"/>
    </row>
    <row r="63" spans="2:103" s="343" customFormat="1" ht="24.95" customHeight="1" x14ac:dyDescent="0.25">
      <c r="B63" s="263">
        <v>44251</v>
      </c>
      <c r="C63" s="103">
        <v>0.29166666666666669</v>
      </c>
      <c r="D63" s="410">
        <v>41</v>
      </c>
      <c r="E63" s="100">
        <v>8.8000000000000007</v>
      </c>
      <c r="F63" s="412">
        <v>11.7</v>
      </c>
      <c r="G63" s="411">
        <v>1513</v>
      </c>
      <c r="H63" s="411">
        <v>2038</v>
      </c>
      <c r="I63" s="411">
        <v>104.4</v>
      </c>
      <c r="J63" s="411">
        <v>105</v>
      </c>
      <c r="K63" s="411" t="s">
        <v>212</v>
      </c>
      <c r="L63" s="100">
        <v>27.5</v>
      </c>
      <c r="M63" s="100">
        <v>600</v>
      </c>
      <c r="N63" s="100">
        <v>59</v>
      </c>
      <c r="O63" s="101"/>
      <c r="P63" s="101"/>
      <c r="Q63" s="101"/>
      <c r="R63" s="101" t="s">
        <v>147</v>
      </c>
      <c r="S63" s="101">
        <v>53.1</v>
      </c>
      <c r="T63" s="102" t="s">
        <v>81</v>
      </c>
      <c r="U63" s="101" t="s">
        <v>82</v>
      </c>
      <c r="V63" s="408"/>
      <c r="W63" s="400"/>
      <c r="CM63" s="342"/>
      <c r="CN63" s="342"/>
      <c r="CO63" s="342"/>
      <c r="CP63" s="342"/>
      <c r="CQ63" s="342"/>
      <c r="CR63" s="342"/>
      <c r="CS63" s="342"/>
      <c r="CT63" s="342"/>
      <c r="CU63" s="342"/>
      <c r="CV63" s="342"/>
      <c r="CW63" s="342"/>
      <c r="CX63" s="342"/>
      <c r="CY63" s="342"/>
    </row>
    <row r="64" spans="2:103" s="343" customFormat="1" ht="24.95" customHeight="1" x14ac:dyDescent="0.25">
      <c r="B64" s="263">
        <v>44252</v>
      </c>
      <c r="C64" s="103">
        <v>0.29166666666666669</v>
      </c>
      <c r="D64" s="410">
        <v>41</v>
      </c>
      <c r="E64" s="100">
        <v>8.8000000000000007</v>
      </c>
      <c r="F64" s="412">
        <v>11.7</v>
      </c>
      <c r="G64" s="411">
        <v>1508.2</v>
      </c>
      <c r="H64" s="411">
        <v>2020</v>
      </c>
      <c r="I64" s="411">
        <v>105</v>
      </c>
      <c r="J64" s="411">
        <v>105.5</v>
      </c>
      <c r="K64" s="411" t="s">
        <v>213</v>
      </c>
      <c r="L64" s="100">
        <v>26.5</v>
      </c>
      <c r="M64" s="100">
        <v>600</v>
      </c>
      <c r="N64" s="100">
        <v>59</v>
      </c>
      <c r="O64" s="101"/>
      <c r="P64" s="101"/>
      <c r="Q64" s="101"/>
      <c r="R64" s="101" t="s">
        <v>183</v>
      </c>
      <c r="S64" s="101">
        <v>53.1</v>
      </c>
      <c r="T64" s="102" t="s">
        <v>81</v>
      </c>
      <c r="U64" s="101" t="s">
        <v>82</v>
      </c>
      <c r="V64" s="408"/>
      <c r="W64" s="400"/>
      <c r="CM64" s="342"/>
      <c r="CN64" s="342"/>
      <c r="CO64" s="342"/>
      <c r="CP64" s="342"/>
      <c r="CQ64" s="342"/>
      <c r="CR64" s="342"/>
      <c r="CS64" s="342"/>
      <c r="CT64" s="342"/>
      <c r="CU64" s="342"/>
      <c r="CV64" s="342"/>
      <c r="CW64" s="342"/>
      <c r="CX64" s="342"/>
      <c r="CY64" s="342"/>
    </row>
    <row r="65" spans="2:103" s="343" customFormat="1" ht="24.95" customHeight="1" x14ac:dyDescent="0.25">
      <c r="B65" s="263">
        <v>44253</v>
      </c>
      <c r="C65" s="103">
        <v>0.29166666666666669</v>
      </c>
      <c r="D65" s="410">
        <v>41</v>
      </c>
      <c r="E65" s="100">
        <v>8.8000000000000007</v>
      </c>
      <c r="F65" s="412">
        <v>11.7</v>
      </c>
      <c r="G65" s="413">
        <v>1505.4</v>
      </c>
      <c r="H65" s="413">
        <v>2028.4</v>
      </c>
      <c r="I65" s="413">
        <v>104.4</v>
      </c>
      <c r="J65" s="413">
        <v>105</v>
      </c>
      <c r="K65" s="413" t="s">
        <v>215</v>
      </c>
      <c r="L65" s="100">
        <v>28</v>
      </c>
      <c r="M65" s="100">
        <v>600</v>
      </c>
      <c r="N65" s="100">
        <v>59</v>
      </c>
      <c r="O65" s="101"/>
      <c r="P65" s="101"/>
      <c r="Q65" s="101"/>
      <c r="R65" s="101" t="s">
        <v>183</v>
      </c>
      <c r="S65" s="101">
        <v>53.1</v>
      </c>
      <c r="T65" s="102" t="s">
        <v>81</v>
      </c>
      <c r="U65" s="101" t="s">
        <v>82</v>
      </c>
      <c r="V65" s="408"/>
      <c r="W65" s="400"/>
      <c r="CM65" s="342"/>
      <c r="CN65" s="342"/>
      <c r="CO65" s="342"/>
      <c r="CP65" s="342"/>
      <c r="CQ65" s="342"/>
      <c r="CR65" s="342"/>
      <c r="CS65" s="342"/>
      <c r="CT65" s="342"/>
      <c r="CU65" s="342"/>
      <c r="CV65" s="342"/>
      <c r="CW65" s="342"/>
      <c r="CX65" s="342"/>
      <c r="CY65" s="342"/>
    </row>
    <row r="66" spans="2:103" s="343" customFormat="1" ht="24.95" customHeight="1" x14ac:dyDescent="0.25">
      <c r="B66" s="263">
        <v>44254</v>
      </c>
      <c r="C66" s="103">
        <v>0.29166666666666669</v>
      </c>
      <c r="D66" s="410">
        <v>41</v>
      </c>
      <c r="E66" s="100">
        <v>8.8000000000000007</v>
      </c>
      <c r="F66" s="412">
        <v>11.7</v>
      </c>
      <c r="G66" s="413">
        <v>1505</v>
      </c>
      <c r="H66" s="413">
        <v>2050</v>
      </c>
      <c r="I66" s="413">
        <v>104.4</v>
      </c>
      <c r="J66" s="413">
        <v>105</v>
      </c>
      <c r="K66" s="413" t="s">
        <v>216</v>
      </c>
      <c r="L66" s="100">
        <v>28</v>
      </c>
      <c r="M66" s="100">
        <v>630</v>
      </c>
      <c r="N66" s="100">
        <v>57.5</v>
      </c>
      <c r="O66" s="101"/>
      <c r="P66" s="101"/>
      <c r="Q66" s="101"/>
      <c r="R66" s="101" t="s">
        <v>183</v>
      </c>
      <c r="S66" s="101">
        <v>53.1</v>
      </c>
      <c r="T66" s="102" t="s">
        <v>81</v>
      </c>
      <c r="U66" s="101" t="s">
        <v>218</v>
      </c>
      <c r="V66" s="408"/>
      <c r="W66" s="400"/>
      <c r="CM66" s="342"/>
      <c r="CN66" s="342"/>
      <c r="CO66" s="342"/>
      <c r="CP66" s="342"/>
      <c r="CQ66" s="342"/>
      <c r="CR66" s="342"/>
      <c r="CS66" s="342"/>
      <c r="CT66" s="342"/>
      <c r="CU66" s="342"/>
      <c r="CV66" s="342"/>
      <c r="CW66" s="342"/>
      <c r="CX66" s="342"/>
      <c r="CY66" s="342"/>
    </row>
    <row r="67" spans="2:103" s="343" customFormat="1" ht="24.95" customHeight="1" x14ac:dyDescent="0.25">
      <c r="B67" s="263">
        <v>44255</v>
      </c>
      <c r="C67" s="103">
        <v>0.29166666666666669</v>
      </c>
      <c r="D67" s="410">
        <v>41</v>
      </c>
      <c r="E67" s="100">
        <v>8.8000000000000007</v>
      </c>
      <c r="F67" s="412">
        <v>11.7</v>
      </c>
      <c r="G67" s="413">
        <v>1508</v>
      </c>
      <c r="H67" s="413">
        <v>2063</v>
      </c>
      <c r="I67" s="413">
        <v>104.4</v>
      </c>
      <c r="J67" s="413">
        <v>105</v>
      </c>
      <c r="K67" s="413" t="s">
        <v>217</v>
      </c>
      <c r="L67" s="100">
        <v>30.15</v>
      </c>
      <c r="M67" s="100">
        <v>610</v>
      </c>
      <c r="N67" s="100">
        <v>56.5</v>
      </c>
      <c r="O67" s="101"/>
      <c r="P67" s="101"/>
      <c r="Q67" s="101"/>
      <c r="R67" s="101" t="s">
        <v>183</v>
      </c>
      <c r="S67" s="101">
        <v>53.1</v>
      </c>
      <c r="T67" s="102" t="s">
        <v>81</v>
      </c>
      <c r="U67" s="101" t="s">
        <v>218</v>
      </c>
      <c r="V67" s="408"/>
      <c r="W67" s="400"/>
      <c r="CM67" s="342"/>
      <c r="CN67" s="342"/>
      <c r="CO67" s="342"/>
      <c r="CP67" s="342"/>
      <c r="CQ67" s="342"/>
      <c r="CR67" s="342"/>
      <c r="CS67" s="342"/>
      <c r="CT67" s="342"/>
      <c r="CU67" s="342"/>
      <c r="CV67" s="342"/>
      <c r="CW67" s="342"/>
      <c r="CX67" s="342"/>
      <c r="CY67" s="342"/>
    </row>
    <row r="68" spans="2:103" s="343" customFormat="1" ht="24.95" customHeight="1" x14ac:dyDescent="0.25">
      <c r="B68" s="263">
        <v>44256</v>
      </c>
      <c r="C68" s="103">
        <v>0.29166666666666669</v>
      </c>
      <c r="D68" s="410">
        <v>41</v>
      </c>
      <c r="E68" s="100">
        <v>8.8000000000000007</v>
      </c>
      <c r="F68" s="412">
        <v>11.7</v>
      </c>
      <c r="G68" s="413">
        <v>1507</v>
      </c>
      <c r="H68" s="413">
        <v>2056</v>
      </c>
      <c r="I68" s="413">
        <v>104.4</v>
      </c>
      <c r="J68" s="413">
        <v>105</v>
      </c>
      <c r="K68" s="413" t="s">
        <v>219</v>
      </c>
      <c r="L68" s="100">
        <v>29.02</v>
      </c>
      <c r="M68" s="100">
        <v>620</v>
      </c>
      <c r="N68" s="100">
        <v>58</v>
      </c>
      <c r="O68" s="101"/>
      <c r="P68" s="101"/>
      <c r="Q68" s="101"/>
      <c r="R68" s="101" t="s">
        <v>183</v>
      </c>
      <c r="S68" s="101">
        <v>53.1</v>
      </c>
      <c r="T68" s="102" t="s">
        <v>81</v>
      </c>
      <c r="U68" s="101" t="s">
        <v>218</v>
      </c>
      <c r="V68" s="408"/>
      <c r="W68" s="400"/>
      <c r="CM68" s="342"/>
      <c r="CN68" s="342"/>
      <c r="CO68" s="342"/>
      <c r="CP68" s="342"/>
      <c r="CQ68" s="342"/>
      <c r="CR68" s="342"/>
      <c r="CS68" s="342"/>
      <c r="CT68" s="342"/>
      <c r="CU68" s="342"/>
      <c r="CV68" s="342"/>
      <c r="CW68" s="342"/>
      <c r="CX68" s="342"/>
      <c r="CY68" s="342"/>
    </row>
    <row r="69" spans="2:103" s="343" customFormat="1" ht="24.95" customHeight="1" x14ac:dyDescent="0.25">
      <c r="B69" s="263">
        <v>44257</v>
      </c>
      <c r="C69" s="103">
        <v>0.29166666666666669</v>
      </c>
      <c r="D69" s="410">
        <v>41</v>
      </c>
      <c r="E69" s="100">
        <v>8.8000000000000007</v>
      </c>
      <c r="F69" s="412">
        <v>11.7</v>
      </c>
      <c r="G69" s="413">
        <v>1507.5</v>
      </c>
      <c r="H69" s="413">
        <v>2059</v>
      </c>
      <c r="I69" s="413">
        <v>104.4</v>
      </c>
      <c r="J69" s="413">
        <v>105</v>
      </c>
      <c r="K69" s="413" t="s">
        <v>220</v>
      </c>
      <c r="L69" s="100">
        <v>29.76</v>
      </c>
      <c r="M69" s="100">
        <v>600</v>
      </c>
      <c r="N69" s="100">
        <v>58</v>
      </c>
      <c r="O69" s="101"/>
      <c r="P69" s="101"/>
      <c r="Q69" s="101"/>
      <c r="R69" s="101" t="s">
        <v>183</v>
      </c>
      <c r="S69" s="101">
        <v>53.1</v>
      </c>
      <c r="T69" s="102" t="s">
        <v>81</v>
      </c>
      <c r="U69" s="101" t="s">
        <v>218</v>
      </c>
      <c r="V69" s="408"/>
      <c r="W69" s="400"/>
      <c r="CM69" s="342"/>
      <c r="CN69" s="342"/>
      <c r="CO69" s="342"/>
      <c r="CP69" s="342"/>
      <c r="CQ69" s="342"/>
      <c r="CR69" s="342"/>
      <c r="CS69" s="342"/>
      <c r="CT69" s="342"/>
      <c r="CU69" s="342"/>
      <c r="CV69" s="342"/>
      <c r="CW69" s="342"/>
      <c r="CX69" s="342"/>
      <c r="CY69" s="342"/>
    </row>
    <row r="70" spans="2:103" s="343" customFormat="1" ht="24.95" customHeight="1" x14ac:dyDescent="0.25">
      <c r="B70" s="263">
        <v>44258</v>
      </c>
      <c r="C70" s="103">
        <v>0.29166666666666669</v>
      </c>
      <c r="D70" s="410">
        <v>41</v>
      </c>
      <c r="E70" s="100">
        <v>8.8000000000000007</v>
      </c>
      <c r="F70" s="412">
        <v>11.7</v>
      </c>
      <c r="G70" s="413">
        <v>1508</v>
      </c>
      <c r="H70" s="413">
        <v>2057.5</v>
      </c>
      <c r="I70" s="413">
        <v>104.4</v>
      </c>
      <c r="J70" s="413">
        <v>105</v>
      </c>
      <c r="K70" s="413" t="s">
        <v>221</v>
      </c>
      <c r="L70" s="100">
        <v>29.31</v>
      </c>
      <c r="M70" s="100">
        <v>620</v>
      </c>
      <c r="N70" s="100">
        <v>58</v>
      </c>
      <c r="O70" s="101"/>
      <c r="P70" s="101"/>
      <c r="Q70" s="101"/>
      <c r="R70" s="101" t="s">
        <v>183</v>
      </c>
      <c r="S70" s="101">
        <v>53.1</v>
      </c>
      <c r="T70" s="102" t="s">
        <v>81</v>
      </c>
      <c r="U70" s="101" t="s">
        <v>218</v>
      </c>
      <c r="V70" s="408"/>
      <c r="W70" s="400"/>
      <c r="CM70" s="342"/>
      <c r="CN70" s="342"/>
      <c r="CO70" s="342"/>
      <c r="CP70" s="342"/>
      <c r="CQ70" s="342"/>
      <c r="CR70" s="342"/>
      <c r="CS70" s="342"/>
      <c r="CT70" s="342"/>
      <c r="CU70" s="342"/>
      <c r="CV70" s="342"/>
      <c r="CW70" s="342"/>
      <c r="CX70" s="342"/>
      <c r="CY70" s="342"/>
    </row>
    <row r="71" spans="2:103" s="343" customFormat="1" ht="24.95" customHeight="1" x14ac:dyDescent="0.25">
      <c r="B71" s="263">
        <v>44259</v>
      </c>
      <c r="C71" s="103">
        <v>0.29166666666666669</v>
      </c>
      <c r="D71" s="410">
        <v>41</v>
      </c>
      <c r="E71" s="100">
        <v>8.8000000000000007</v>
      </c>
      <c r="F71" s="412">
        <v>11.7</v>
      </c>
      <c r="G71" s="413">
        <v>1512</v>
      </c>
      <c r="H71" s="413">
        <v>2070</v>
      </c>
      <c r="I71" s="413">
        <v>104.4</v>
      </c>
      <c r="J71" s="413">
        <v>105</v>
      </c>
      <c r="K71" s="413" t="s">
        <v>222</v>
      </c>
      <c r="L71" s="100">
        <v>30.4</v>
      </c>
      <c r="M71" s="100">
        <v>620</v>
      </c>
      <c r="N71" s="100">
        <v>57.5</v>
      </c>
      <c r="O71" s="101"/>
      <c r="P71" s="101"/>
      <c r="Q71" s="101"/>
      <c r="R71" s="101" t="s">
        <v>183</v>
      </c>
      <c r="S71" s="101">
        <v>53.1</v>
      </c>
      <c r="T71" s="102" t="s">
        <v>81</v>
      </c>
      <c r="U71" s="101" t="s">
        <v>218</v>
      </c>
      <c r="V71" s="408"/>
      <c r="W71" s="400"/>
      <c r="CM71" s="342"/>
      <c r="CN71" s="342"/>
      <c r="CO71" s="342"/>
      <c r="CP71" s="342"/>
      <c r="CQ71" s="342"/>
      <c r="CR71" s="342"/>
      <c r="CS71" s="342"/>
      <c r="CT71" s="342"/>
      <c r="CU71" s="342"/>
      <c r="CV71" s="342"/>
      <c r="CW71" s="342"/>
      <c r="CX71" s="342"/>
      <c r="CY71" s="342"/>
    </row>
    <row r="72" spans="2:103" s="343" customFormat="1" ht="24.95" customHeight="1" x14ac:dyDescent="0.25">
      <c r="B72" s="263">
        <v>44260</v>
      </c>
      <c r="C72" s="103">
        <v>0.29166666666666669</v>
      </c>
      <c r="D72" s="410">
        <v>41</v>
      </c>
      <c r="E72" s="100">
        <v>8.6999999999999993</v>
      </c>
      <c r="F72" s="412">
        <v>11.6</v>
      </c>
      <c r="G72" s="413">
        <v>1517</v>
      </c>
      <c r="H72" s="413">
        <v>2069</v>
      </c>
      <c r="I72" s="413">
        <v>103.8</v>
      </c>
      <c r="J72" s="413">
        <v>105</v>
      </c>
      <c r="K72" s="413" t="s">
        <v>227</v>
      </c>
      <c r="L72" s="100">
        <v>32.47</v>
      </c>
      <c r="M72" s="100">
        <v>630</v>
      </c>
      <c r="N72" s="100">
        <v>56.5</v>
      </c>
      <c r="O72" s="101"/>
      <c r="P72" s="101"/>
      <c r="Q72" s="101"/>
      <c r="R72" s="101" t="s">
        <v>183</v>
      </c>
      <c r="S72" s="101">
        <v>53.1</v>
      </c>
      <c r="T72" s="102" t="s">
        <v>81</v>
      </c>
      <c r="U72" s="101" t="s">
        <v>218</v>
      </c>
      <c r="V72" s="408"/>
      <c r="W72" s="400"/>
      <c r="CM72" s="342"/>
      <c r="CN72" s="342"/>
      <c r="CO72" s="342"/>
      <c r="CP72" s="342"/>
      <c r="CQ72" s="342"/>
      <c r="CR72" s="342"/>
      <c r="CS72" s="342"/>
      <c r="CT72" s="342"/>
      <c r="CU72" s="342"/>
      <c r="CV72" s="342"/>
      <c r="CW72" s="342"/>
      <c r="CX72" s="342"/>
      <c r="CY72" s="342"/>
    </row>
    <row r="73" spans="2:103" s="343" customFormat="1" ht="24.95" customHeight="1" x14ac:dyDescent="0.25">
      <c r="B73" s="263">
        <v>44261</v>
      </c>
      <c r="C73" s="103">
        <v>0.29166666666666669</v>
      </c>
      <c r="D73" s="410">
        <v>41</v>
      </c>
      <c r="E73" s="100">
        <v>8.6999999999999993</v>
      </c>
      <c r="F73" s="412">
        <v>11.5</v>
      </c>
      <c r="G73" s="413">
        <v>1518</v>
      </c>
      <c r="H73" s="413">
        <v>2073</v>
      </c>
      <c r="I73" s="413">
        <v>104.4</v>
      </c>
      <c r="J73" s="413">
        <v>105</v>
      </c>
      <c r="K73" s="413" t="s">
        <v>228</v>
      </c>
      <c r="L73" s="100">
        <v>30.18</v>
      </c>
      <c r="M73" s="100">
        <v>620</v>
      </c>
      <c r="N73" s="100">
        <v>56</v>
      </c>
      <c r="O73" s="101"/>
      <c r="P73" s="101"/>
      <c r="Q73" s="101"/>
      <c r="R73" s="101" t="s">
        <v>183</v>
      </c>
      <c r="S73" s="101">
        <v>53.1</v>
      </c>
      <c r="T73" s="102" t="s">
        <v>81</v>
      </c>
      <c r="U73" s="101" t="s">
        <v>218</v>
      </c>
      <c r="V73" s="408"/>
      <c r="W73" s="400"/>
      <c r="CM73" s="342"/>
      <c r="CN73" s="342"/>
      <c r="CO73" s="342"/>
      <c r="CP73" s="342"/>
      <c r="CQ73" s="342"/>
      <c r="CR73" s="342"/>
      <c r="CS73" s="342"/>
      <c r="CT73" s="342"/>
      <c r="CU73" s="342"/>
      <c r="CV73" s="342"/>
      <c r="CW73" s="342"/>
      <c r="CX73" s="342"/>
      <c r="CY73" s="342"/>
    </row>
    <row r="74" spans="2:103" s="343" customFormat="1" ht="24.95" customHeight="1" x14ac:dyDescent="0.25">
      <c r="B74" s="263">
        <v>44262</v>
      </c>
      <c r="C74" s="103">
        <v>0.29166666666666669</v>
      </c>
      <c r="D74" s="410">
        <v>41</v>
      </c>
      <c r="E74" s="100">
        <v>8.9</v>
      </c>
      <c r="F74" s="412">
        <v>11.7</v>
      </c>
      <c r="G74" s="413">
        <v>1514.3</v>
      </c>
      <c r="H74" s="413">
        <v>2044.2</v>
      </c>
      <c r="I74" s="413">
        <v>104.4</v>
      </c>
      <c r="J74" s="413">
        <v>105.5</v>
      </c>
      <c r="K74" s="413" t="s">
        <v>229</v>
      </c>
      <c r="L74" s="100">
        <v>30.43</v>
      </c>
      <c r="M74" s="100">
        <v>600</v>
      </c>
      <c r="N74" s="100">
        <v>56</v>
      </c>
      <c r="O74" s="101"/>
      <c r="P74" s="101"/>
      <c r="Q74" s="101"/>
      <c r="R74" s="101" t="s">
        <v>183</v>
      </c>
      <c r="S74" s="101">
        <v>53.05</v>
      </c>
      <c r="T74" s="102" t="s">
        <v>81</v>
      </c>
      <c r="U74" s="101" t="s">
        <v>218</v>
      </c>
      <c r="V74" s="408"/>
      <c r="W74" s="400"/>
      <c r="CM74" s="342"/>
      <c r="CN74" s="342"/>
      <c r="CO74" s="342"/>
      <c r="CP74" s="342"/>
      <c r="CQ74" s="342"/>
      <c r="CR74" s="342"/>
      <c r="CS74" s="342"/>
      <c r="CT74" s="342"/>
      <c r="CU74" s="342"/>
      <c r="CV74" s="342"/>
      <c r="CW74" s="342"/>
      <c r="CX74" s="342"/>
      <c r="CY74" s="342"/>
    </row>
    <row r="75" spans="2:103" s="343" customFormat="1" ht="24.95" customHeight="1" x14ac:dyDescent="0.25">
      <c r="B75" s="263">
        <v>44263</v>
      </c>
      <c r="C75" s="103">
        <v>0.29166666666666669</v>
      </c>
      <c r="D75" s="410">
        <v>41</v>
      </c>
      <c r="E75" s="100">
        <v>8.9</v>
      </c>
      <c r="F75" s="412">
        <v>11.8</v>
      </c>
      <c r="G75" s="413">
        <v>1507.4</v>
      </c>
      <c r="H75" s="413">
        <v>2036</v>
      </c>
      <c r="I75" s="413">
        <v>105</v>
      </c>
      <c r="J75" s="413">
        <v>105.5</v>
      </c>
      <c r="K75" s="413" t="s">
        <v>231</v>
      </c>
      <c r="L75" s="100">
        <v>28.61</v>
      </c>
      <c r="M75" s="100">
        <v>600</v>
      </c>
      <c r="N75" s="100">
        <v>56.5</v>
      </c>
      <c r="O75" s="101"/>
      <c r="P75" s="101"/>
      <c r="Q75" s="101"/>
      <c r="R75" s="101" t="s">
        <v>183</v>
      </c>
      <c r="S75" s="101">
        <v>53.01</v>
      </c>
      <c r="T75" s="102" t="s">
        <v>81</v>
      </c>
      <c r="U75" s="101" t="s">
        <v>218</v>
      </c>
      <c r="V75" s="408"/>
      <c r="W75" s="400"/>
      <c r="CM75" s="342"/>
      <c r="CN75" s="342"/>
      <c r="CO75" s="342"/>
      <c r="CP75" s="342"/>
      <c r="CQ75" s="342"/>
      <c r="CR75" s="342"/>
      <c r="CS75" s="342"/>
      <c r="CT75" s="342"/>
      <c r="CU75" s="342"/>
      <c r="CV75" s="342"/>
      <c r="CW75" s="342"/>
      <c r="CX75" s="342"/>
      <c r="CY75" s="342"/>
    </row>
    <row r="76" spans="2:103" s="343" customFormat="1" ht="24.95" customHeight="1" x14ac:dyDescent="0.25">
      <c r="B76" s="263">
        <v>44264</v>
      </c>
      <c r="C76" s="103">
        <v>0.29166666666666669</v>
      </c>
      <c r="D76" s="410">
        <v>41</v>
      </c>
      <c r="E76" s="100">
        <v>8.8000000000000007</v>
      </c>
      <c r="F76" s="412">
        <v>11.7</v>
      </c>
      <c r="G76" s="413">
        <v>1507.4</v>
      </c>
      <c r="H76" s="413">
        <v>2051.1999999999998</v>
      </c>
      <c r="I76" s="413">
        <v>104.4</v>
      </c>
      <c r="J76" s="413">
        <v>105.5</v>
      </c>
      <c r="K76" s="413" t="s">
        <v>232</v>
      </c>
      <c r="L76" s="100">
        <v>29.85</v>
      </c>
      <c r="M76" s="100">
        <v>630</v>
      </c>
      <c r="N76" s="100">
        <v>56.5</v>
      </c>
      <c r="O76" s="101"/>
      <c r="P76" s="101"/>
      <c r="Q76" s="101"/>
      <c r="R76" s="101" t="s">
        <v>183</v>
      </c>
      <c r="S76" s="101">
        <v>53.05</v>
      </c>
      <c r="T76" s="102" t="s">
        <v>81</v>
      </c>
      <c r="U76" s="101" t="s">
        <v>218</v>
      </c>
      <c r="V76" s="408"/>
      <c r="W76" s="400"/>
      <c r="CM76" s="342"/>
      <c r="CN76" s="342"/>
      <c r="CO76" s="342"/>
      <c r="CP76" s="342"/>
      <c r="CQ76" s="342"/>
      <c r="CR76" s="342"/>
      <c r="CS76" s="342"/>
      <c r="CT76" s="342"/>
      <c r="CU76" s="342"/>
      <c r="CV76" s="342"/>
      <c r="CW76" s="342"/>
      <c r="CX76" s="342"/>
      <c r="CY76" s="342"/>
    </row>
    <row r="77" spans="2:103" s="343" customFormat="1" ht="24.95" customHeight="1" x14ac:dyDescent="0.25">
      <c r="B77" s="263">
        <v>44265</v>
      </c>
      <c r="C77" s="103">
        <v>0.29166666666666669</v>
      </c>
      <c r="D77" s="410">
        <v>41</v>
      </c>
      <c r="E77" s="100">
        <v>8.6999999999999993</v>
      </c>
      <c r="F77" s="412">
        <v>11.7</v>
      </c>
      <c r="G77" s="413">
        <v>1506.6</v>
      </c>
      <c r="H77" s="413">
        <v>2050.8000000000002</v>
      </c>
      <c r="I77" s="413">
        <v>104.4</v>
      </c>
      <c r="J77" s="413">
        <v>105.5</v>
      </c>
      <c r="K77" s="413" t="s">
        <v>233</v>
      </c>
      <c r="L77" s="100">
        <v>28.39</v>
      </c>
      <c r="M77" s="100">
        <v>620</v>
      </c>
      <c r="N77" s="100">
        <v>56</v>
      </c>
      <c r="O77" s="101"/>
      <c r="P77" s="101"/>
      <c r="Q77" s="101"/>
      <c r="R77" s="101" t="s">
        <v>183</v>
      </c>
      <c r="S77" s="101">
        <v>53.05</v>
      </c>
      <c r="T77" s="102" t="s">
        <v>81</v>
      </c>
      <c r="U77" s="101" t="s">
        <v>218</v>
      </c>
      <c r="V77" s="408"/>
      <c r="W77" s="400"/>
      <c r="CM77" s="342"/>
      <c r="CN77" s="342"/>
      <c r="CO77" s="342"/>
      <c r="CP77" s="342"/>
      <c r="CQ77" s="342"/>
      <c r="CR77" s="342"/>
      <c r="CS77" s="342"/>
      <c r="CT77" s="342"/>
      <c r="CU77" s="342"/>
      <c r="CV77" s="342"/>
      <c r="CW77" s="342"/>
      <c r="CX77" s="342"/>
      <c r="CY77" s="342"/>
    </row>
    <row r="78" spans="2:103" s="343" customFormat="1" ht="24.95" customHeight="1" x14ac:dyDescent="0.25">
      <c r="B78" s="263">
        <v>44266</v>
      </c>
      <c r="C78" s="103">
        <v>0.29166666666666669</v>
      </c>
      <c r="D78" s="410">
        <v>41</v>
      </c>
      <c r="E78" s="100">
        <v>8.6999999999999993</v>
      </c>
      <c r="F78" s="412">
        <v>11.7</v>
      </c>
      <c r="G78" s="413">
        <v>1502.7</v>
      </c>
      <c r="H78" s="413">
        <v>2054</v>
      </c>
      <c r="I78" s="413">
        <v>105</v>
      </c>
      <c r="J78" s="413">
        <v>105.5</v>
      </c>
      <c r="K78" s="413" t="s">
        <v>234</v>
      </c>
      <c r="L78" s="100">
        <v>29.26</v>
      </c>
      <c r="M78" s="100">
        <v>620</v>
      </c>
      <c r="N78" s="100">
        <v>56.5</v>
      </c>
      <c r="O78" s="101"/>
      <c r="P78" s="101"/>
      <c r="Q78" s="101"/>
      <c r="R78" s="101" t="s">
        <v>183</v>
      </c>
      <c r="S78" s="101">
        <v>54.01</v>
      </c>
      <c r="T78" s="102" t="s">
        <v>81</v>
      </c>
      <c r="U78" s="101" t="s">
        <v>218</v>
      </c>
      <c r="V78" s="408"/>
      <c r="W78" s="400"/>
      <c r="CM78" s="342"/>
      <c r="CN78" s="342"/>
      <c r="CO78" s="342"/>
      <c r="CP78" s="342"/>
      <c r="CQ78" s="342"/>
      <c r="CR78" s="342"/>
      <c r="CS78" s="342"/>
      <c r="CT78" s="342"/>
      <c r="CU78" s="342"/>
      <c r="CV78" s="342"/>
      <c r="CW78" s="342"/>
      <c r="CX78" s="342"/>
      <c r="CY78" s="342"/>
    </row>
    <row r="79" spans="2:103" s="343" customFormat="1" ht="24.95" customHeight="1" x14ac:dyDescent="0.25">
      <c r="B79" s="263">
        <v>44267</v>
      </c>
      <c r="C79" s="103">
        <v>0.29166666666666669</v>
      </c>
      <c r="D79" s="410">
        <v>41</v>
      </c>
      <c r="E79" s="100">
        <v>8.6999999999999993</v>
      </c>
      <c r="F79" s="412">
        <v>11.6</v>
      </c>
      <c r="G79" s="413">
        <v>1501.9</v>
      </c>
      <c r="H79" s="413">
        <v>2056.6</v>
      </c>
      <c r="I79" s="413">
        <v>104.4</v>
      </c>
      <c r="J79" s="413">
        <v>105</v>
      </c>
      <c r="K79" s="413" t="s">
        <v>235</v>
      </c>
      <c r="L79" s="100">
        <v>29.37</v>
      </c>
      <c r="M79" s="100">
        <v>610</v>
      </c>
      <c r="N79" s="100">
        <v>56.5</v>
      </c>
      <c r="O79" s="101"/>
      <c r="P79" s="101"/>
      <c r="Q79" s="101"/>
      <c r="R79" s="101" t="s">
        <v>183</v>
      </c>
      <c r="S79" s="101">
        <v>52.06</v>
      </c>
      <c r="T79" s="102" t="s">
        <v>81</v>
      </c>
      <c r="U79" s="101" t="s">
        <v>218</v>
      </c>
      <c r="V79" s="408"/>
      <c r="W79" s="400"/>
      <c r="CM79" s="342"/>
      <c r="CN79" s="342"/>
      <c r="CO79" s="342"/>
      <c r="CP79" s="342"/>
      <c r="CQ79" s="342"/>
      <c r="CR79" s="342"/>
      <c r="CS79" s="342"/>
      <c r="CT79" s="342"/>
      <c r="CU79" s="342"/>
      <c r="CV79" s="342"/>
      <c r="CW79" s="342"/>
      <c r="CX79" s="342"/>
      <c r="CY79" s="342"/>
    </row>
    <row r="80" spans="2:103" s="343" customFormat="1" ht="24.95" customHeight="1" x14ac:dyDescent="0.25">
      <c r="B80" s="263">
        <v>44268</v>
      </c>
      <c r="C80" s="103">
        <v>0.29166666666666669</v>
      </c>
      <c r="D80" s="410">
        <v>41</v>
      </c>
      <c r="E80" s="100">
        <v>8.6</v>
      </c>
      <c r="F80" s="412">
        <v>11.5</v>
      </c>
      <c r="G80" s="413">
        <v>1501</v>
      </c>
      <c r="H80" s="413">
        <v>2066.6</v>
      </c>
      <c r="I80" s="413">
        <v>104.4</v>
      </c>
      <c r="J80" s="413">
        <v>105</v>
      </c>
      <c r="K80" s="413" t="s">
        <v>235</v>
      </c>
      <c r="L80" s="100">
        <v>29.69</v>
      </c>
      <c r="M80" s="100">
        <v>620</v>
      </c>
      <c r="N80" s="100">
        <v>56</v>
      </c>
      <c r="O80" s="101"/>
      <c r="P80" s="101"/>
      <c r="Q80" s="101"/>
      <c r="R80" s="101" t="s">
        <v>183</v>
      </c>
      <c r="S80" s="101">
        <v>52.6</v>
      </c>
      <c r="T80" s="102" t="s">
        <v>81</v>
      </c>
      <c r="U80" s="101" t="s">
        <v>236</v>
      </c>
      <c r="V80" s="408"/>
      <c r="W80" s="400"/>
      <c r="CM80" s="342"/>
      <c r="CN80" s="342"/>
      <c r="CO80" s="342"/>
      <c r="CP80" s="342"/>
      <c r="CQ80" s="342"/>
      <c r="CR80" s="342"/>
      <c r="CS80" s="342"/>
      <c r="CT80" s="342"/>
      <c r="CU80" s="342"/>
      <c r="CV80" s="342"/>
      <c r="CW80" s="342"/>
      <c r="CX80" s="342"/>
      <c r="CY80" s="342"/>
    </row>
    <row r="81" spans="2:103" s="343" customFormat="1" ht="24.95" customHeight="1" x14ac:dyDescent="0.25">
      <c r="B81" s="263">
        <v>44269</v>
      </c>
      <c r="C81" s="103">
        <v>0.29166666666666669</v>
      </c>
      <c r="D81" s="410">
        <v>41</v>
      </c>
      <c r="E81" s="100">
        <v>8.6999999999999993</v>
      </c>
      <c r="F81" s="412">
        <v>11.3</v>
      </c>
      <c r="G81" s="413">
        <v>1502</v>
      </c>
      <c r="H81" s="413">
        <v>2082</v>
      </c>
      <c r="I81" s="413">
        <v>104.4</v>
      </c>
      <c r="J81" s="413">
        <v>105</v>
      </c>
      <c r="K81" s="413" t="s">
        <v>237</v>
      </c>
      <c r="L81" s="100">
        <v>31.93</v>
      </c>
      <c r="M81" s="100">
        <v>630</v>
      </c>
      <c r="N81" s="100">
        <v>56.5</v>
      </c>
      <c r="O81" s="101"/>
      <c r="P81" s="101"/>
      <c r="Q81" s="101"/>
      <c r="R81" s="101" t="s">
        <v>183</v>
      </c>
      <c r="S81" s="101">
        <v>52.06</v>
      </c>
      <c r="T81" s="102" t="s">
        <v>81</v>
      </c>
      <c r="U81" s="101" t="s">
        <v>236</v>
      </c>
      <c r="V81" s="408"/>
      <c r="W81" s="400"/>
      <c r="CM81" s="342"/>
      <c r="CN81" s="342"/>
      <c r="CO81" s="342"/>
      <c r="CP81" s="342"/>
      <c r="CQ81" s="342"/>
      <c r="CR81" s="342"/>
      <c r="CS81" s="342"/>
      <c r="CT81" s="342"/>
      <c r="CU81" s="342"/>
      <c r="CV81" s="342"/>
      <c r="CW81" s="342"/>
      <c r="CX81" s="342"/>
      <c r="CY81" s="342"/>
    </row>
    <row r="82" spans="2:103" s="343" customFormat="1" ht="24.95" customHeight="1" x14ac:dyDescent="0.25">
      <c r="B82" s="263">
        <v>44270</v>
      </c>
      <c r="C82" s="103">
        <v>0.29166666666666669</v>
      </c>
      <c r="D82" s="410">
        <v>41</v>
      </c>
      <c r="E82" s="100">
        <v>8.5</v>
      </c>
      <c r="F82" s="412">
        <v>11.5</v>
      </c>
      <c r="G82" s="413">
        <v>1507</v>
      </c>
      <c r="H82" s="413">
        <v>2094</v>
      </c>
      <c r="I82" s="413">
        <v>105</v>
      </c>
      <c r="J82" s="413">
        <v>105</v>
      </c>
      <c r="K82" s="413" t="s">
        <v>238</v>
      </c>
      <c r="L82" s="100">
        <v>31.55</v>
      </c>
      <c r="M82" s="100">
        <v>620</v>
      </c>
      <c r="N82" s="100">
        <v>54.75</v>
      </c>
      <c r="O82" s="101"/>
      <c r="P82" s="101"/>
      <c r="Q82" s="101"/>
      <c r="R82" s="101" t="s">
        <v>183</v>
      </c>
      <c r="S82" s="101">
        <v>52.01</v>
      </c>
      <c r="T82" s="102" t="s">
        <v>81</v>
      </c>
      <c r="U82" s="101" t="s">
        <v>236</v>
      </c>
      <c r="V82" s="408"/>
      <c r="W82" s="400"/>
      <c r="CM82" s="342"/>
      <c r="CN82" s="342"/>
      <c r="CO82" s="342"/>
      <c r="CP82" s="342"/>
      <c r="CQ82" s="342"/>
      <c r="CR82" s="342"/>
      <c r="CS82" s="342"/>
      <c r="CT82" s="342"/>
      <c r="CU82" s="342"/>
      <c r="CV82" s="342"/>
      <c r="CW82" s="342"/>
      <c r="CX82" s="342"/>
      <c r="CY82" s="342"/>
    </row>
    <row r="83" spans="2:103" s="343" customFormat="1" ht="24.95" customHeight="1" x14ac:dyDescent="0.25">
      <c r="B83" s="263">
        <v>44271</v>
      </c>
      <c r="C83" s="103">
        <v>0.29166666666666669</v>
      </c>
      <c r="D83" s="410">
        <v>41</v>
      </c>
      <c r="E83" s="100">
        <v>8.6999999999999993</v>
      </c>
      <c r="F83" s="412">
        <v>11.8</v>
      </c>
      <c r="G83" s="413">
        <v>1511</v>
      </c>
      <c r="H83" s="413">
        <v>2098.77</v>
      </c>
      <c r="I83" s="413">
        <v>105</v>
      </c>
      <c r="J83" s="413">
        <v>105.5</v>
      </c>
      <c r="K83" s="413" t="s">
        <v>240</v>
      </c>
      <c r="L83" s="100">
        <v>30.38</v>
      </c>
      <c r="M83" s="100">
        <v>610</v>
      </c>
      <c r="N83" s="100">
        <v>54.64</v>
      </c>
      <c r="O83" s="101"/>
      <c r="P83" s="101"/>
      <c r="Q83" s="101"/>
      <c r="R83" s="101" t="s">
        <v>183</v>
      </c>
      <c r="S83" s="101">
        <v>53.01</v>
      </c>
      <c r="T83" s="102" t="s">
        <v>81</v>
      </c>
      <c r="U83" s="101" t="s">
        <v>236</v>
      </c>
      <c r="V83" s="408"/>
      <c r="W83" s="400"/>
      <c r="CM83" s="342"/>
      <c r="CN83" s="342"/>
      <c r="CO83" s="342"/>
      <c r="CP83" s="342"/>
      <c r="CQ83" s="342"/>
      <c r="CR83" s="342"/>
      <c r="CS83" s="342"/>
      <c r="CT83" s="342"/>
      <c r="CU83" s="342"/>
      <c r="CV83" s="342"/>
      <c r="CW83" s="342"/>
      <c r="CX83" s="342"/>
      <c r="CY83" s="342"/>
    </row>
    <row r="84" spans="2:103" s="343" customFormat="1" ht="24.95" customHeight="1" x14ac:dyDescent="0.25">
      <c r="B84" s="263">
        <v>44272</v>
      </c>
      <c r="C84" s="103">
        <v>0.25</v>
      </c>
      <c r="D84" s="410">
        <v>41</v>
      </c>
      <c r="E84" s="100">
        <v>8.6</v>
      </c>
      <c r="F84" s="412">
        <v>11.6</v>
      </c>
      <c r="G84" s="413">
        <v>1506</v>
      </c>
      <c r="H84" s="413">
        <v>2065.5</v>
      </c>
      <c r="I84" s="413">
        <v>105</v>
      </c>
      <c r="J84" s="413">
        <v>105.5</v>
      </c>
      <c r="K84" s="413" t="s">
        <v>253</v>
      </c>
      <c r="L84" s="100">
        <v>29.75</v>
      </c>
      <c r="M84" s="100">
        <v>600</v>
      </c>
      <c r="N84" s="100">
        <v>55.29</v>
      </c>
      <c r="O84" s="101"/>
      <c r="P84" s="101"/>
      <c r="Q84" s="101"/>
      <c r="R84" s="101" t="s">
        <v>254</v>
      </c>
      <c r="S84" s="101">
        <v>53.05</v>
      </c>
      <c r="T84" s="102" t="s">
        <v>81</v>
      </c>
      <c r="U84" s="101" t="s">
        <v>236</v>
      </c>
      <c r="V84" s="408"/>
      <c r="W84" s="400"/>
      <c r="CM84" s="342"/>
      <c r="CN84" s="342"/>
      <c r="CO84" s="342"/>
      <c r="CP84" s="342"/>
      <c r="CQ84" s="342"/>
      <c r="CR84" s="342"/>
      <c r="CS84" s="342"/>
      <c r="CT84" s="342"/>
      <c r="CU84" s="342"/>
      <c r="CV84" s="342"/>
      <c r="CW84" s="342"/>
      <c r="CX84" s="342"/>
      <c r="CY84" s="342"/>
    </row>
    <row r="85" spans="2:103" s="343" customFormat="1" ht="49.5" customHeight="1" x14ac:dyDescent="0.25">
      <c r="B85" s="263">
        <v>44273</v>
      </c>
      <c r="C85" s="103">
        <v>0.25</v>
      </c>
      <c r="D85" s="410">
        <v>41</v>
      </c>
      <c r="E85" s="100">
        <v>8.6999999999999993</v>
      </c>
      <c r="F85" s="412">
        <v>11.6</v>
      </c>
      <c r="G85" s="413">
        <v>1502</v>
      </c>
      <c r="H85" s="413">
        <v>2066</v>
      </c>
      <c r="I85" s="413">
        <v>105</v>
      </c>
      <c r="J85" s="413">
        <v>105.5</v>
      </c>
      <c r="K85" s="413" t="s">
        <v>260</v>
      </c>
      <c r="L85" s="100">
        <v>29.19</v>
      </c>
      <c r="M85" s="100">
        <v>600</v>
      </c>
      <c r="N85" s="100">
        <v>56.09</v>
      </c>
      <c r="O85" s="101"/>
      <c r="P85" s="101"/>
      <c r="Q85" s="101"/>
      <c r="R85" s="101" t="s">
        <v>254</v>
      </c>
      <c r="S85" s="101">
        <v>53.01</v>
      </c>
      <c r="T85" s="102" t="s">
        <v>81</v>
      </c>
      <c r="U85" s="101" t="s">
        <v>236</v>
      </c>
      <c r="V85" s="408" t="s">
        <v>263</v>
      </c>
      <c r="W85" s="400"/>
      <c r="CM85" s="342"/>
      <c r="CN85" s="342"/>
      <c r="CO85" s="342"/>
      <c r="CP85" s="342"/>
      <c r="CQ85" s="342"/>
      <c r="CR85" s="342"/>
      <c r="CS85" s="342"/>
      <c r="CT85" s="342"/>
      <c r="CU85" s="342"/>
      <c r="CV85" s="342"/>
      <c r="CW85" s="342"/>
      <c r="CX85" s="342"/>
      <c r="CY85" s="342"/>
    </row>
    <row r="86" spans="2:103" s="343" customFormat="1" ht="49.5" customHeight="1" x14ac:dyDescent="0.25">
      <c r="B86" s="263">
        <v>44274</v>
      </c>
      <c r="C86" s="103">
        <v>0.25</v>
      </c>
      <c r="D86" s="410">
        <v>41</v>
      </c>
      <c r="E86" s="100">
        <v>8.9</v>
      </c>
      <c r="F86" s="412">
        <v>11.8</v>
      </c>
      <c r="G86" s="413">
        <v>1499</v>
      </c>
      <c r="H86" s="413">
        <v>1991.2</v>
      </c>
      <c r="I86" s="413">
        <v>105</v>
      </c>
      <c r="J86" s="413">
        <v>105.5</v>
      </c>
      <c r="K86" s="413" t="s">
        <v>270</v>
      </c>
      <c r="L86" s="100">
        <v>30.74</v>
      </c>
      <c r="M86" s="100">
        <v>440</v>
      </c>
      <c r="N86" s="100">
        <v>54</v>
      </c>
      <c r="O86" s="101"/>
      <c r="P86" s="101"/>
      <c r="Q86" s="101"/>
      <c r="R86" s="101" t="s">
        <v>254</v>
      </c>
      <c r="S86" s="101">
        <v>53.05</v>
      </c>
      <c r="T86" s="102" t="s">
        <v>88</v>
      </c>
      <c r="U86" s="101" t="s">
        <v>236</v>
      </c>
      <c r="V86" s="408" t="s">
        <v>271</v>
      </c>
      <c r="W86" s="400"/>
      <c r="CM86" s="342"/>
      <c r="CN86" s="342"/>
      <c r="CO86" s="342"/>
      <c r="CP86" s="342"/>
      <c r="CQ86" s="342"/>
      <c r="CR86" s="342"/>
      <c r="CS86" s="342"/>
      <c r="CT86" s="342"/>
      <c r="CU86" s="342"/>
      <c r="CV86" s="342"/>
      <c r="CW86" s="342"/>
      <c r="CX86" s="342"/>
      <c r="CY86" s="342"/>
    </row>
    <row r="87" spans="2:103" s="343" customFormat="1" ht="64.5" customHeight="1" x14ac:dyDescent="0.25">
      <c r="B87" s="263">
        <v>44275</v>
      </c>
      <c r="C87" s="103">
        <v>0.25</v>
      </c>
      <c r="D87" s="410">
        <v>41</v>
      </c>
      <c r="E87" s="100">
        <v>8.6999999999999993</v>
      </c>
      <c r="F87" s="412">
        <v>11.6</v>
      </c>
      <c r="G87" s="413">
        <v>1501</v>
      </c>
      <c r="H87" s="413">
        <v>2054</v>
      </c>
      <c r="I87" s="413">
        <v>104.4</v>
      </c>
      <c r="J87" s="413">
        <v>105.5</v>
      </c>
      <c r="K87" s="413" t="s">
        <v>276</v>
      </c>
      <c r="L87" s="100">
        <v>29.45</v>
      </c>
      <c r="M87" s="100">
        <v>600</v>
      </c>
      <c r="N87" s="100">
        <v>56.1</v>
      </c>
      <c r="O87" s="101"/>
      <c r="P87" s="101"/>
      <c r="Q87" s="101"/>
      <c r="R87" s="101" t="s">
        <v>254</v>
      </c>
      <c r="S87" s="101">
        <v>55.7</v>
      </c>
      <c r="T87" s="102" t="s">
        <v>88</v>
      </c>
      <c r="U87" s="101" t="s">
        <v>236</v>
      </c>
      <c r="V87" s="408" t="s">
        <v>280</v>
      </c>
      <c r="W87" s="400"/>
      <c r="CM87" s="342"/>
      <c r="CN87" s="342"/>
      <c r="CO87" s="342"/>
      <c r="CP87" s="342"/>
      <c r="CQ87" s="342"/>
      <c r="CR87" s="342"/>
      <c r="CS87" s="342"/>
      <c r="CT87" s="342"/>
      <c r="CU87" s="342"/>
      <c r="CV87" s="342"/>
      <c r="CW87" s="342"/>
      <c r="CX87" s="342"/>
      <c r="CY87" s="342"/>
    </row>
    <row r="88" spans="2:103" s="343" customFormat="1" ht="64.5" customHeight="1" x14ac:dyDescent="0.25">
      <c r="B88" s="263">
        <v>44276</v>
      </c>
      <c r="C88" s="103">
        <v>0.25</v>
      </c>
      <c r="D88" s="410">
        <v>41</v>
      </c>
      <c r="E88" s="100">
        <v>9.1</v>
      </c>
      <c r="F88" s="412">
        <v>11.8</v>
      </c>
      <c r="G88" s="413">
        <v>1487</v>
      </c>
      <c r="H88" s="413">
        <v>1966</v>
      </c>
      <c r="I88" s="413">
        <v>105</v>
      </c>
      <c r="J88" s="413">
        <v>105.5</v>
      </c>
      <c r="K88" s="413" t="s">
        <v>282</v>
      </c>
      <c r="L88" s="100">
        <v>29.54</v>
      </c>
      <c r="M88" s="100">
        <v>33.5</v>
      </c>
      <c r="N88" s="100">
        <v>58.39</v>
      </c>
      <c r="O88" s="101"/>
      <c r="P88" s="101"/>
      <c r="Q88" s="101"/>
      <c r="R88" s="101" t="s">
        <v>283</v>
      </c>
      <c r="S88" s="101">
        <v>54</v>
      </c>
      <c r="T88" s="102" t="s">
        <v>23</v>
      </c>
      <c r="U88" s="101" t="s">
        <v>236</v>
      </c>
      <c r="V88" s="408"/>
      <c r="W88" s="400"/>
      <c r="CM88" s="342"/>
      <c r="CN88" s="342"/>
      <c r="CO88" s="342"/>
      <c r="CP88" s="342"/>
      <c r="CQ88" s="342"/>
      <c r="CR88" s="342"/>
      <c r="CS88" s="342"/>
      <c r="CT88" s="342"/>
      <c r="CU88" s="342"/>
      <c r="CV88" s="342"/>
      <c r="CW88" s="342"/>
      <c r="CX88" s="342"/>
      <c r="CY88" s="342"/>
    </row>
    <row r="89" spans="2:103" s="343" customFormat="1" ht="64.5" customHeight="1" x14ac:dyDescent="0.25">
      <c r="B89" s="263">
        <v>44277</v>
      </c>
      <c r="C89" s="103">
        <v>0.25</v>
      </c>
      <c r="D89" s="410">
        <v>41</v>
      </c>
      <c r="E89" s="100">
        <v>9.1</v>
      </c>
      <c r="F89" s="412">
        <v>11.8</v>
      </c>
      <c r="G89" s="413">
        <v>1487</v>
      </c>
      <c r="H89" s="413">
        <v>1966</v>
      </c>
      <c r="I89" s="413">
        <v>105</v>
      </c>
      <c r="J89" s="413">
        <v>105.5</v>
      </c>
      <c r="K89" s="413" t="s">
        <v>282</v>
      </c>
      <c r="L89" s="100">
        <v>29.54</v>
      </c>
      <c r="M89" s="100">
        <v>33</v>
      </c>
      <c r="N89" s="100">
        <v>57.96</v>
      </c>
      <c r="O89" s="101"/>
      <c r="P89" s="101"/>
      <c r="Q89" s="101"/>
      <c r="R89" s="101" t="s">
        <v>283</v>
      </c>
      <c r="S89" s="101">
        <v>54</v>
      </c>
      <c r="T89" s="102" t="s">
        <v>23</v>
      </c>
      <c r="U89" s="101" t="s">
        <v>236</v>
      </c>
      <c r="V89" s="408"/>
      <c r="W89" s="400"/>
      <c r="CM89" s="342"/>
      <c r="CN89" s="342"/>
      <c r="CO89" s="342"/>
      <c r="CP89" s="342"/>
      <c r="CQ89" s="342"/>
      <c r="CR89" s="342"/>
      <c r="CS89" s="342"/>
      <c r="CT89" s="342"/>
      <c r="CU89" s="342"/>
      <c r="CV89" s="342"/>
      <c r="CW89" s="342"/>
      <c r="CX89" s="342"/>
      <c r="CY89" s="342"/>
    </row>
    <row r="90" spans="2:103" s="343" customFormat="1" ht="43.5" customHeight="1" x14ac:dyDescent="0.25">
      <c r="B90" s="263">
        <v>44278</v>
      </c>
      <c r="C90" s="103">
        <v>0.25</v>
      </c>
      <c r="D90" s="410">
        <v>41</v>
      </c>
      <c r="E90" s="100">
        <v>8.9</v>
      </c>
      <c r="F90" s="412">
        <v>11.7</v>
      </c>
      <c r="G90" s="413">
        <v>1476</v>
      </c>
      <c r="H90" s="413">
        <v>1975.6</v>
      </c>
      <c r="I90" s="413">
        <v>105</v>
      </c>
      <c r="J90" s="413">
        <v>105.5</v>
      </c>
      <c r="K90" s="413" t="s">
        <v>287</v>
      </c>
      <c r="L90" s="100">
        <v>32</v>
      </c>
      <c r="M90" s="100">
        <v>34</v>
      </c>
      <c r="N90" s="100">
        <v>57.04</v>
      </c>
      <c r="O90" s="101"/>
      <c r="P90" s="101"/>
      <c r="Q90" s="101"/>
      <c r="R90" s="101" t="s">
        <v>283</v>
      </c>
      <c r="S90" s="101">
        <v>54</v>
      </c>
      <c r="T90" s="102" t="s">
        <v>23</v>
      </c>
      <c r="U90" s="101" t="s">
        <v>236</v>
      </c>
      <c r="V90" s="408"/>
      <c r="W90" s="400"/>
      <c r="CM90" s="342"/>
      <c r="CN90" s="342"/>
      <c r="CO90" s="342"/>
      <c r="CP90" s="342"/>
      <c r="CQ90" s="342"/>
      <c r="CR90" s="342"/>
      <c r="CS90" s="342"/>
      <c r="CT90" s="342"/>
      <c r="CU90" s="342"/>
      <c r="CV90" s="342"/>
      <c r="CW90" s="342"/>
      <c r="CX90" s="342"/>
      <c r="CY90" s="342"/>
    </row>
    <row r="91" spans="2:103" s="343" customFormat="1" ht="43.5" customHeight="1" x14ac:dyDescent="0.25">
      <c r="B91" s="263">
        <v>44279</v>
      </c>
      <c r="C91" s="103">
        <v>0.25</v>
      </c>
      <c r="D91" s="410">
        <v>41</v>
      </c>
      <c r="E91" s="100">
        <v>8.9</v>
      </c>
      <c r="F91" s="412">
        <v>11.7</v>
      </c>
      <c r="G91" s="413">
        <v>1465</v>
      </c>
      <c r="H91" s="413">
        <v>1964</v>
      </c>
      <c r="I91" s="413">
        <v>105</v>
      </c>
      <c r="J91" s="413">
        <v>105.5</v>
      </c>
      <c r="K91" s="413" t="s">
        <v>289</v>
      </c>
      <c r="L91" s="100">
        <v>30.1</v>
      </c>
      <c r="M91" s="100">
        <v>34</v>
      </c>
      <c r="N91" s="100">
        <v>57.8</v>
      </c>
      <c r="O91" s="101"/>
      <c r="P91" s="101"/>
      <c r="Q91" s="101"/>
      <c r="R91" s="101" t="s">
        <v>283</v>
      </c>
      <c r="S91" s="101">
        <v>53.5</v>
      </c>
      <c r="T91" s="102" t="s">
        <v>23</v>
      </c>
      <c r="U91" s="101" t="s">
        <v>236</v>
      </c>
      <c r="V91" s="408"/>
      <c r="W91" s="400"/>
      <c r="CM91" s="342"/>
      <c r="CN91" s="342"/>
      <c r="CO91" s="342"/>
      <c r="CP91" s="342"/>
      <c r="CQ91" s="342"/>
      <c r="CR91" s="342"/>
      <c r="CS91" s="342"/>
      <c r="CT91" s="342"/>
      <c r="CU91" s="342"/>
      <c r="CV91" s="342"/>
      <c r="CW91" s="342"/>
      <c r="CX91" s="342"/>
      <c r="CY91" s="342"/>
    </row>
    <row r="92" spans="2:103" s="343" customFormat="1" ht="43.5" customHeight="1" x14ac:dyDescent="0.25">
      <c r="B92" s="263">
        <v>44280</v>
      </c>
      <c r="C92" s="103">
        <v>0.25</v>
      </c>
      <c r="D92" s="410">
        <v>41</v>
      </c>
      <c r="E92" s="100">
        <v>9.1</v>
      </c>
      <c r="F92" s="412">
        <v>11.8</v>
      </c>
      <c r="G92" s="413">
        <v>1459</v>
      </c>
      <c r="H92" s="413">
        <v>1980</v>
      </c>
      <c r="I92" s="413">
        <v>105</v>
      </c>
      <c r="J92" s="413">
        <v>105.5</v>
      </c>
      <c r="K92" s="413" t="s">
        <v>293</v>
      </c>
      <c r="L92" s="100">
        <v>29.4</v>
      </c>
      <c r="M92" s="100">
        <v>33</v>
      </c>
      <c r="N92" s="100">
        <v>58.39</v>
      </c>
      <c r="O92" s="101"/>
      <c r="P92" s="101"/>
      <c r="Q92" s="101"/>
      <c r="R92" s="101" t="s">
        <v>283</v>
      </c>
      <c r="S92" s="101">
        <v>53.5</v>
      </c>
      <c r="T92" s="102" t="s">
        <v>23</v>
      </c>
      <c r="U92" s="101" t="s">
        <v>236</v>
      </c>
      <c r="V92" s="408"/>
      <c r="W92" s="400"/>
      <c r="CM92" s="342"/>
      <c r="CN92" s="342"/>
      <c r="CO92" s="342"/>
      <c r="CP92" s="342"/>
      <c r="CQ92" s="342"/>
      <c r="CR92" s="342"/>
      <c r="CS92" s="342"/>
      <c r="CT92" s="342"/>
      <c r="CU92" s="342"/>
      <c r="CV92" s="342"/>
      <c r="CW92" s="342"/>
      <c r="CX92" s="342"/>
      <c r="CY92" s="342"/>
    </row>
    <row r="93" spans="2:103" s="343" customFormat="1" ht="43.5" customHeight="1" x14ac:dyDescent="0.25">
      <c r="B93" s="263">
        <v>44281</v>
      </c>
      <c r="C93" s="103">
        <v>0.25</v>
      </c>
      <c r="D93" s="410">
        <v>41</v>
      </c>
      <c r="E93" s="100">
        <v>8.9</v>
      </c>
      <c r="F93" s="412">
        <v>11.7</v>
      </c>
      <c r="G93" s="413">
        <v>1455</v>
      </c>
      <c r="H93" s="413">
        <v>1958.8</v>
      </c>
      <c r="I93" s="413">
        <v>105</v>
      </c>
      <c r="J93" s="413">
        <v>106.1</v>
      </c>
      <c r="K93" s="413" t="s">
        <v>295</v>
      </c>
      <c r="L93" s="100">
        <v>29.5</v>
      </c>
      <c r="M93" s="100">
        <v>33</v>
      </c>
      <c r="N93" s="100">
        <v>58.08</v>
      </c>
      <c r="O93" s="101"/>
      <c r="P93" s="101"/>
      <c r="Q93" s="101"/>
      <c r="R93" s="101" t="s">
        <v>283</v>
      </c>
      <c r="S93" s="101">
        <v>54</v>
      </c>
      <c r="T93" s="102" t="s">
        <v>23</v>
      </c>
      <c r="U93" s="101" t="s">
        <v>236</v>
      </c>
      <c r="V93" s="408"/>
      <c r="W93" s="400"/>
      <c r="CM93" s="342"/>
      <c r="CN93" s="342"/>
      <c r="CO93" s="342"/>
      <c r="CP93" s="342"/>
      <c r="CQ93" s="342"/>
      <c r="CR93" s="342"/>
      <c r="CS93" s="342"/>
      <c r="CT93" s="342"/>
      <c r="CU93" s="342"/>
      <c r="CV93" s="342"/>
      <c r="CW93" s="342"/>
      <c r="CX93" s="342"/>
      <c r="CY93" s="342"/>
    </row>
    <row r="94" spans="2:103" s="343" customFormat="1" ht="43.5" customHeight="1" x14ac:dyDescent="0.25">
      <c r="B94" s="263">
        <v>44282</v>
      </c>
      <c r="C94" s="103">
        <v>0.25</v>
      </c>
      <c r="D94" s="410">
        <v>41</v>
      </c>
      <c r="E94" s="100">
        <v>8.9</v>
      </c>
      <c r="F94" s="412">
        <v>11.7</v>
      </c>
      <c r="G94" s="413">
        <v>1453.7</v>
      </c>
      <c r="H94" s="413">
        <v>1972.4</v>
      </c>
      <c r="I94" s="413">
        <v>105</v>
      </c>
      <c r="J94" s="413">
        <v>105.5</v>
      </c>
      <c r="K94" s="413" t="s">
        <v>297</v>
      </c>
      <c r="L94" s="100">
        <v>31.06</v>
      </c>
      <c r="M94" s="100">
        <v>33</v>
      </c>
      <c r="N94" s="100">
        <v>57.7</v>
      </c>
      <c r="O94" s="101"/>
      <c r="P94" s="101"/>
      <c r="Q94" s="101"/>
      <c r="R94" s="101" t="s">
        <v>283</v>
      </c>
      <c r="S94" s="101">
        <v>53.5</v>
      </c>
      <c r="T94" s="102" t="s">
        <v>23</v>
      </c>
      <c r="U94" s="101" t="s">
        <v>236</v>
      </c>
      <c r="V94" s="408"/>
      <c r="W94" s="400"/>
      <c r="CM94" s="342"/>
      <c r="CN94" s="342"/>
      <c r="CO94" s="342"/>
      <c r="CP94" s="342"/>
      <c r="CQ94" s="342"/>
      <c r="CR94" s="342"/>
      <c r="CS94" s="342"/>
      <c r="CT94" s="342"/>
      <c r="CU94" s="342"/>
      <c r="CV94" s="342"/>
      <c r="CW94" s="342"/>
      <c r="CX94" s="342"/>
      <c r="CY94" s="342"/>
    </row>
    <row r="95" spans="2:103" s="343" customFormat="1" ht="43.5" customHeight="1" x14ac:dyDescent="0.25">
      <c r="B95" s="263">
        <v>44283</v>
      </c>
      <c r="C95" s="103">
        <v>0.25</v>
      </c>
      <c r="D95" s="410">
        <v>41</v>
      </c>
      <c r="E95" s="100">
        <v>8.6999999999999993</v>
      </c>
      <c r="F95" s="412">
        <v>11.5</v>
      </c>
      <c r="G95" s="413">
        <v>1454</v>
      </c>
      <c r="H95" s="413">
        <v>2010</v>
      </c>
      <c r="I95" s="413">
        <v>104.5</v>
      </c>
      <c r="J95" s="413">
        <v>105</v>
      </c>
      <c r="K95" s="413" t="s">
        <v>299</v>
      </c>
      <c r="L95" s="100">
        <v>31.2</v>
      </c>
      <c r="M95" s="100">
        <v>33</v>
      </c>
      <c r="N95" s="100">
        <v>57.7</v>
      </c>
      <c r="O95" s="101"/>
      <c r="P95" s="101"/>
      <c r="Q95" s="101"/>
      <c r="R95" s="101" t="s">
        <v>151</v>
      </c>
      <c r="S95" s="101">
        <v>52.6</v>
      </c>
      <c r="T95" s="102" t="s">
        <v>23</v>
      </c>
      <c r="U95" s="101" t="s">
        <v>236</v>
      </c>
      <c r="V95" s="408"/>
      <c r="W95" s="400"/>
      <c r="CM95" s="342"/>
      <c r="CN95" s="342"/>
      <c r="CO95" s="342"/>
      <c r="CP95" s="342"/>
      <c r="CQ95" s="342"/>
      <c r="CR95" s="342"/>
      <c r="CS95" s="342"/>
      <c r="CT95" s="342"/>
      <c r="CU95" s="342"/>
      <c r="CV95" s="342"/>
      <c r="CW95" s="342"/>
      <c r="CX95" s="342"/>
      <c r="CY95" s="342"/>
    </row>
    <row r="96" spans="2:103" s="343" customFormat="1" ht="43.5" customHeight="1" x14ac:dyDescent="0.25">
      <c r="B96" s="263">
        <v>44284</v>
      </c>
      <c r="C96" s="103">
        <v>0.25</v>
      </c>
      <c r="D96" s="410">
        <v>41</v>
      </c>
      <c r="E96" s="100">
        <v>9</v>
      </c>
      <c r="F96" s="412">
        <v>11.7</v>
      </c>
      <c r="G96" s="413">
        <v>1449</v>
      </c>
      <c r="H96" s="413">
        <v>1959</v>
      </c>
      <c r="I96" s="413">
        <v>105</v>
      </c>
      <c r="J96" s="413">
        <v>105.5</v>
      </c>
      <c r="K96" s="413" t="s">
        <v>302</v>
      </c>
      <c r="L96" s="100">
        <v>29.93</v>
      </c>
      <c r="M96" s="100">
        <v>33</v>
      </c>
      <c r="N96" s="100">
        <v>58.58</v>
      </c>
      <c r="O96" s="101"/>
      <c r="P96" s="101"/>
      <c r="Q96" s="101"/>
      <c r="R96" s="101" t="s">
        <v>151</v>
      </c>
      <c r="S96" s="101">
        <v>52.6</v>
      </c>
      <c r="T96" s="102" t="s">
        <v>23</v>
      </c>
      <c r="U96" s="101" t="s">
        <v>236</v>
      </c>
      <c r="V96" s="408"/>
      <c r="W96" s="400"/>
      <c r="CM96" s="342"/>
      <c r="CN96" s="342"/>
      <c r="CO96" s="342"/>
      <c r="CP96" s="342"/>
      <c r="CQ96" s="342"/>
      <c r="CR96" s="342"/>
      <c r="CS96" s="342"/>
      <c r="CT96" s="342"/>
      <c r="CU96" s="342"/>
      <c r="CV96" s="342"/>
      <c r="CW96" s="342"/>
      <c r="CX96" s="342"/>
      <c r="CY96" s="342"/>
    </row>
    <row r="97" spans="2:103" s="343" customFormat="1" ht="43.5" customHeight="1" x14ac:dyDescent="0.25">
      <c r="B97" s="263">
        <v>44285</v>
      </c>
      <c r="C97" s="103">
        <v>0.25</v>
      </c>
      <c r="D97" s="410">
        <v>41</v>
      </c>
      <c r="E97" s="100">
        <v>8.8000000000000007</v>
      </c>
      <c r="F97" s="412">
        <v>11.5</v>
      </c>
      <c r="G97" s="413">
        <v>1443</v>
      </c>
      <c r="H97" s="413">
        <v>1962</v>
      </c>
      <c r="I97" s="413">
        <v>105</v>
      </c>
      <c r="J97" s="413">
        <v>105.5</v>
      </c>
      <c r="K97" s="413" t="s">
        <v>309</v>
      </c>
      <c r="L97" s="100">
        <v>29.99</v>
      </c>
      <c r="M97" s="100">
        <v>32</v>
      </c>
      <c r="N97" s="100">
        <v>58.96</v>
      </c>
      <c r="O97" s="101"/>
      <c r="P97" s="101"/>
      <c r="Q97" s="101"/>
      <c r="R97" s="101" t="s">
        <v>151</v>
      </c>
      <c r="S97" s="101">
        <v>53.1</v>
      </c>
      <c r="T97" s="102" t="s">
        <v>23</v>
      </c>
      <c r="U97" s="101" t="s">
        <v>236</v>
      </c>
      <c r="V97" s="408"/>
      <c r="W97" s="400"/>
      <c r="CM97" s="342"/>
      <c r="CN97" s="342"/>
      <c r="CO97" s="342"/>
      <c r="CP97" s="342"/>
      <c r="CQ97" s="342"/>
      <c r="CR97" s="342"/>
      <c r="CS97" s="342"/>
      <c r="CT97" s="342"/>
      <c r="CU97" s="342"/>
      <c r="CV97" s="342"/>
      <c r="CW97" s="342"/>
      <c r="CX97" s="342"/>
      <c r="CY97" s="342"/>
    </row>
    <row r="98" spans="2:103" s="343" customFormat="1" ht="43.5" customHeight="1" x14ac:dyDescent="0.25">
      <c r="B98" s="263">
        <v>44286</v>
      </c>
      <c r="C98" s="103">
        <v>0.25</v>
      </c>
      <c r="D98" s="410">
        <v>41</v>
      </c>
      <c r="E98" s="100">
        <v>8.6999999999999993</v>
      </c>
      <c r="F98" s="412">
        <v>11.5</v>
      </c>
      <c r="G98" s="413">
        <v>1446</v>
      </c>
      <c r="H98" s="413">
        <v>1964</v>
      </c>
      <c r="I98" s="413">
        <v>105</v>
      </c>
      <c r="J98" s="413">
        <v>105.5</v>
      </c>
      <c r="K98" s="413" t="s">
        <v>313</v>
      </c>
      <c r="L98" s="100">
        <v>28.27</v>
      </c>
      <c r="M98" s="100">
        <v>32</v>
      </c>
      <c r="N98" s="100">
        <v>58.96</v>
      </c>
      <c r="O98" s="101"/>
      <c r="P98" s="101"/>
      <c r="Q98" s="101"/>
      <c r="R98" s="101" t="s">
        <v>151</v>
      </c>
      <c r="S98" s="101">
        <v>53.2</v>
      </c>
      <c r="T98" s="102" t="s">
        <v>23</v>
      </c>
      <c r="U98" s="101" t="s">
        <v>236</v>
      </c>
      <c r="V98" s="408"/>
      <c r="W98" s="400"/>
      <c r="CM98" s="342"/>
      <c r="CN98" s="342"/>
      <c r="CO98" s="342"/>
      <c r="CP98" s="342"/>
      <c r="CQ98" s="342"/>
      <c r="CR98" s="342"/>
      <c r="CS98" s="342"/>
      <c r="CT98" s="342"/>
      <c r="CU98" s="342"/>
      <c r="CV98" s="342"/>
      <c r="CW98" s="342"/>
      <c r="CX98" s="342"/>
      <c r="CY98" s="342"/>
    </row>
    <row r="99" spans="2:103" s="343" customFormat="1" ht="43.5" customHeight="1" x14ac:dyDescent="0.25">
      <c r="B99" s="263">
        <v>44287</v>
      </c>
      <c r="C99" s="103">
        <v>0.25</v>
      </c>
      <c r="D99" s="410">
        <v>41</v>
      </c>
      <c r="E99" s="100">
        <v>8.8000000000000007</v>
      </c>
      <c r="F99" s="412">
        <v>11.7</v>
      </c>
      <c r="G99" s="413">
        <v>1434</v>
      </c>
      <c r="H99" s="413">
        <v>1944</v>
      </c>
      <c r="I99" s="413">
        <v>105</v>
      </c>
      <c r="J99" s="413">
        <v>105.5</v>
      </c>
      <c r="K99" s="413" t="s">
        <v>313</v>
      </c>
      <c r="L99" s="100">
        <v>29</v>
      </c>
      <c r="M99" s="100">
        <v>32</v>
      </c>
      <c r="N99" s="100">
        <v>58</v>
      </c>
      <c r="O99" s="101"/>
      <c r="P99" s="101"/>
      <c r="Q99" s="101"/>
      <c r="R99" s="101" t="s">
        <v>151</v>
      </c>
      <c r="S99" s="101">
        <v>53.5</v>
      </c>
      <c r="T99" s="102" t="s">
        <v>23</v>
      </c>
      <c r="U99" s="101" t="s">
        <v>236</v>
      </c>
      <c r="V99" s="408"/>
      <c r="W99" s="400"/>
      <c r="CM99" s="342"/>
      <c r="CN99" s="342"/>
      <c r="CO99" s="342"/>
      <c r="CP99" s="342"/>
      <c r="CQ99" s="342"/>
      <c r="CR99" s="342"/>
      <c r="CS99" s="342"/>
      <c r="CT99" s="342"/>
      <c r="CU99" s="342"/>
      <c r="CV99" s="342"/>
      <c r="CW99" s="342"/>
      <c r="CX99" s="342"/>
      <c r="CY99" s="342"/>
    </row>
    <row r="100" spans="2:103" s="343" customFormat="1" ht="43.5" customHeight="1" x14ac:dyDescent="0.25">
      <c r="B100" s="263">
        <v>44288</v>
      </c>
      <c r="C100" s="103">
        <v>0.25</v>
      </c>
      <c r="D100" s="410">
        <v>41</v>
      </c>
      <c r="E100" s="100">
        <v>9</v>
      </c>
      <c r="F100" s="412">
        <v>11.7</v>
      </c>
      <c r="G100" s="413">
        <v>1426</v>
      </c>
      <c r="H100" s="413">
        <v>1931</v>
      </c>
      <c r="I100" s="413">
        <v>105</v>
      </c>
      <c r="J100" s="413">
        <v>105.5</v>
      </c>
      <c r="K100" s="413" t="s">
        <v>316</v>
      </c>
      <c r="L100" s="100">
        <v>27.5</v>
      </c>
      <c r="M100" s="100">
        <v>30</v>
      </c>
      <c r="N100" s="100">
        <v>58</v>
      </c>
      <c r="O100" s="101"/>
      <c r="P100" s="101"/>
      <c r="Q100" s="101"/>
      <c r="R100" s="101" t="s">
        <v>151</v>
      </c>
      <c r="S100" s="101">
        <v>54.5</v>
      </c>
      <c r="T100" s="102" t="s">
        <v>23</v>
      </c>
      <c r="U100" s="101" t="s">
        <v>236</v>
      </c>
      <c r="V100" s="408"/>
      <c r="W100" s="400"/>
      <c r="CM100" s="342"/>
      <c r="CN100" s="342"/>
      <c r="CO100" s="342"/>
      <c r="CP100" s="342"/>
      <c r="CQ100" s="342"/>
      <c r="CR100" s="342"/>
      <c r="CS100" s="342"/>
      <c r="CT100" s="342"/>
      <c r="CU100" s="342"/>
      <c r="CV100" s="342"/>
      <c r="CW100" s="342"/>
      <c r="CX100" s="342"/>
      <c r="CY100" s="342"/>
    </row>
    <row r="101" spans="2:103" s="343" customFormat="1" ht="43.5" customHeight="1" x14ac:dyDescent="0.25">
      <c r="B101" s="263">
        <v>44289</v>
      </c>
      <c r="C101" s="103">
        <v>0.25</v>
      </c>
      <c r="D101" s="410">
        <v>41</v>
      </c>
      <c r="E101" s="100">
        <v>8.9</v>
      </c>
      <c r="F101" s="412">
        <v>11.7</v>
      </c>
      <c r="G101" s="413">
        <v>1404</v>
      </c>
      <c r="H101" s="413">
        <v>1936</v>
      </c>
      <c r="I101" s="413">
        <v>105.5</v>
      </c>
      <c r="J101" s="413">
        <v>105.5</v>
      </c>
      <c r="K101" s="413" t="s">
        <v>330</v>
      </c>
      <c r="L101" s="100">
        <v>28.75</v>
      </c>
      <c r="M101" s="100">
        <v>31</v>
      </c>
      <c r="N101" s="100">
        <v>59.19</v>
      </c>
      <c r="O101" s="101"/>
      <c r="P101" s="101"/>
      <c r="Q101" s="101"/>
      <c r="R101" s="101" t="s">
        <v>151</v>
      </c>
      <c r="S101" s="101">
        <v>53.5</v>
      </c>
      <c r="T101" s="102" t="s">
        <v>23</v>
      </c>
      <c r="U101" s="101" t="s">
        <v>236</v>
      </c>
      <c r="V101" s="408"/>
      <c r="W101" s="400"/>
      <c r="CM101" s="342"/>
      <c r="CN101" s="342"/>
      <c r="CO101" s="342"/>
      <c r="CP101" s="342"/>
      <c r="CQ101" s="342"/>
      <c r="CR101" s="342"/>
      <c r="CS101" s="342"/>
      <c r="CT101" s="342"/>
      <c r="CU101" s="342"/>
      <c r="CV101" s="342"/>
      <c r="CW101" s="342"/>
      <c r="CX101" s="342"/>
      <c r="CY101" s="342"/>
    </row>
    <row r="102" spans="2:103" s="343" customFormat="1" ht="43.5" customHeight="1" x14ac:dyDescent="0.25">
      <c r="B102" s="263">
        <v>44290</v>
      </c>
      <c r="C102" s="103">
        <v>0.25</v>
      </c>
      <c r="D102" s="410">
        <v>41</v>
      </c>
      <c r="E102" s="100">
        <v>8.6999999999999993</v>
      </c>
      <c r="F102" s="412">
        <v>11.5</v>
      </c>
      <c r="G102" s="413">
        <v>1419</v>
      </c>
      <c r="H102" s="413">
        <v>1945</v>
      </c>
      <c r="I102" s="413">
        <v>104</v>
      </c>
      <c r="J102" s="413">
        <v>105</v>
      </c>
      <c r="K102" s="413" t="s">
        <v>334</v>
      </c>
      <c r="L102" s="100">
        <v>28.3</v>
      </c>
      <c r="M102" s="100">
        <v>31</v>
      </c>
      <c r="N102" s="100">
        <v>59</v>
      </c>
      <c r="O102" s="101"/>
      <c r="P102" s="101"/>
      <c r="Q102" s="101"/>
      <c r="R102" s="101" t="s">
        <v>151</v>
      </c>
      <c r="S102" s="101">
        <v>53.1</v>
      </c>
      <c r="T102" s="102" t="s">
        <v>23</v>
      </c>
      <c r="U102" s="101" t="s">
        <v>236</v>
      </c>
      <c r="V102" s="408"/>
      <c r="W102" s="400"/>
      <c r="CM102" s="342"/>
      <c r="CN102" s="342"/>
      <c r="CO102" s="342"/>
      <c r="CP102" s="342"/>
      <c r="CQ102" s="342"/>
      <c r="CR102" s="342"/>
      <c r="CS102" s="342"/>
      <c r="CT102" s="342"/>
      <c r="CU102" s="342"/>
      <c r="CV102" s="342"/>
      <c r="CW102" s="342"/>
      <c r="CX102" s="342"/>
      <c r="CY102" s="342"/>
    </row>
    <row r="103" spans="2:103" s="343" customFormat="1" ht="43.5" customHeight="1" x14ac:dyDescent="0.25">
      <c r="B103" s="263">
        <v>44291</v>
      </c>
      <c r="C103" s="103">
        <v>0.25</v>
      </c>
      <c r="D103" s="410">
        <v>41</v>
      </c>
      <c r="E103" s="100">
        <v>8.6</v>
      </c>
      <c r="F103" s="412">
        <v>11.6</v>
      </c>
      <c r="G103" s="413">
        <v>1413</v>
      </c>
      <c r="H103" s="413">
        <v>1942</v>
      </c>
      <c r="I103" s="413">
        <v>104</v>
      </c>
      <c r="J103" s="413">
        <v>105</v>
      </c>
      <c r="K103" s="413" t="s">
        <v>334</v>
      </c>
      <c r="L103" s="100">
        <v>27.4</v>
      </c>
      <c r="M103" s="100">
        <v>30</v>
      </c>
      <c r="N103" s="100">
        <v>59</v>
      </c>
      <c r="O103" s="101"/>
      <c r="P103" s="101"/>
      <c r="Q103" s="101"/>
      <c r="R103" s="101" t="s">
        <v>151</v>
      </c>
      <c r="S103" s="101">
        <v>53.6</v>
      </c>
      <c r="T103" s="102" t="s">
        <v>23</v>
      </c>
      <c r="U103" s="101" t="s">
        <v>236</v>
      </c>
      <c r="V103" s="408"/>
      <c r="W103" s="400"/>
      <c r="CM103" s="342"/>
      <c r="CN103" s="342"/>
      <c r="CO103" s="342"/>
      <c r="CP103" s="342"/>
      <c r="CQ103" s="342"/>
      <c r="CR103" s="342"/>
      <c r="CS103" s="342"/>
      <c r="CT103" s="342"/>
      <c r="CU103" s="342"/>
      <c r="CV103" s="342"/>
      <c r="CW103" s="342"/>
      <c r="CX103" s="342"/>
      <c r="CY103" s="342"/>
    </row>
    <row r="104" spans="2:103" s="343" customFormat="1" ht="43.5" customHeight="1" x14ac:dyDescent="0.25">
      <c r="B104" s="263">
        <v>44292</v>
      </c>
      <c r="C104" s="103">
        <v>0.25</v>
      </c>
      <c r="D104" s="410">
        <v>41</v>
      </c>
      <c r="E104" s="100">
        <v>8.9</v>
      </c>
      <c r="F104" s="412">
        <v>11.7</v>
      </c>
      <c r="G104" s="413">
        <v>1416</v>
      </c>
      <c r="H104" s="413">
        <v>1940</v>
      </c>
      <c r="I104" s="413">
        <v>104</v>
      </c>
      <c r="J104" s="413">
        <v>105</v>
      </c>
      <c r="K104" s="413" t="s">
        <v>337</v>
      </c>
      <c r="L104" s="100">
        <v>29</v>
      </c>
      <c r="M104" s="100">
        <v>31</v>
      </c>
      <c r="N104" s="100">
        <v>59</v>
      </c>
      <c r="O104" s="101"/>
      <c r="P104" s="101"/>
      <c r="Q104" s="101"/>
      <c r="R104" s="101" t="s">
        <v>151</v>
      </c>
      <c r="S104" s="101">
        <v>53.6</v>
      </c>
      <c r="T104" s="102" t="s">
        <v>23</v>
      </c>
      <c r="U104" s="101" t="s">
        <v>236</v>
      </c>
      <c r="V104" s="408"/>
      <c r="W104" s="400"/>
      <c r="CM104" s="342"/>
      <c r="CN104" s="342"/>
      <c r="CO104" s="342"/>
      <c r="CP104" s="342"/>
      <c r="CQ104" s="342"/>
      <c r="CR104" s="342"/>
      <c r="CS104" s="342"/>
      <c r="CT104" s="342"/>
      <c r="CU104" s="342"/>
      <c r="CV104" s="342"/>
      <c r="CW104" s="342"/>
      <c r="CX104" s="342"/>
      <c r="CY104" s="342"/>
    </row>
    <row r="105" spans="2:103" s="343" customFormat="1" ht="43.5" customHeight="1" x14ac:dyDescent="0.25">
      <c r="B105" s="263">
        <v>44293</v>
      </c>
      <c r="C105" s="103">
        <v>0.25</v>
      </c>
      <c r="D105" s="410">
        <v>41</v>
      </c>
      <c r="E105" s="100">
        <v>8.8000000000000007</v>
      </c>
      <c r="F105" s="412">
        <v>11.6</v>
      </c>
      <c r="G105" s="413">
        <v>1415</v>
      </c>
      <c r="H105" s="413">
        <v>1945</v>
      </c>
      <c r="I105" s="413">
        <v>104</v>
      </c>
      <c r="J105" s="413">
        <v>105</v>
      </c>
      <c r="K105" s="413" t="s">
        <v>341</v>
      </c>
      <c r="L105" s="100">
        <v>28.6</v>
      </c>
      <c r="M105" s="100">
        <v>31</v>
      </c>
      <c r="N105" s="100">
        <v>58</v>
      </c>
      <c r="O105" s="101"/>
      <c r="P105" s="101"/>
      <c r="Q105" s="101"/>
      <c r="R105" s="101" t="s">
        <v>151</v>
      </c>
      <c r="S105" s="101">
        <v>53.5</v>
      </c>
      <c r="T105" s="102" t="s">
        <v>23</v>
      </c>
      <c r="U105" s="101" t="s">
        <v>236</v>
      </c>
      <c r="V105" s="408"/>
      <c r="W105" s="400"/>
      <c r="CM105" s="342"/>
      <c r="CN105" s="342"/>
      <c r="CO105" s="342"/>
      <c r="CP105" s="342"/>
      <c r="CQ105" s="342"/>
      <c r="CR105" s="342"/>
      <c r="CS105" s="342"/>
      <c r="CT105" s="342"/>
      <c r="CU105" s="342"/>
      <c r="CV105" s="342"/>
      <c r="CW105" s="342"/>
      <c r="CX105" s="342"/>
      <c r="CY105" s="342"/>
    </row>
    <row r="106" spans="2:103" s="343" customFormat="1" ht="43.5" customHeight="1" x14ac:dyDescent="0.25">
      <c r="B106" s="263">
        <v>44294</v>
      </c>
      <c r="C106" s="103">
        <v>0.25</v>
      </c>
      <c r="D106" s="410">
        <v>41</v>
      </c>
      <c r="E106" s="100">
        <v>8.9</v>
      </c>
      <c r="F106" s="412">
        <v>11.6</v>
      </c>
      <c r="G106" s="413">
        <v>1414</v>
      </c>
      <c r="H106" s="413">
        <v>1939</v>
      </c>
      <c r="I106" s="413">
        <v>104</v>
      </c>
      <c r="J106" s="413">
        <v>105</v>
      </c>
      <c r="K106" s="413" t="s">
        <v>347</v>
      </c>
      <c r="L106" s="100">
        <v>29</v>
      </c>
      <c r="M106" s="100">
        <v>31</v>
      </c>
      <c r="N106" s="100">
        <v>58</v>
      </c>
      <c r="O106" s="101"/>
      <c r="P106" s="101"/>
      <c r="Q106" s="101"/>
      <c r="R106" s="101" t="s">
        <v>151</v>
      </c>
      <c r="S106" s="101">
        <v>53.5</v>
      </c>
      <c r="T106" s="102" t="s">
        <v>23</v>
      </c>
      <c r="U106" s="101" t="s">
        <v>236</v>
      </c>
      <c r="V106" s="408"/>
      <c r="W106" s="400"/>
      <c r="CM106" s="342"/>
      <c r="CN106" s="342"/>
      <c r="CO106" s="342"/>
      <c r="CP106" s="342"/>
      <c r="CQ106" s="342"/>
      <c r="CR106" s="342"/>
      <c r="CS106" s="342"/>
      <c r="CT106" s="342"/>
      <c r="CU106" s="342"/>
      <c r="CV106" s="342"/>
      <c r="CW106" s="342"/>
      <c r="CX106" s="342"/>
      <c r="CY106" s="342"/>
    </row>
    <row r="107" spans="2:103" s="343" customFormat="1" ht="43.5" customHeight="1" x14ac:dyDescent="0.25">
      <c r="B107" s="263">
        <v>44295</v>
      </c>
      <c r="C107" s="103">
        <v>0.25</v>
      </c>
      <c r="D107" s="410">
        <v>41</v>
      </c>
      <c r="E107" s="100">
        <v>8.6</v>
      </c>
      <c r="F107" s="412">
        <v>11.5</v>
      </c>
      <c r="G107" s="413">
        <v>1412</v>
      </c>
      <c r="H107" s="413">
        <v>1967</v>
      </c>
      <c r="I107" s="413">
        <v>104</v>
      </c>
      <c r="J107" s="413">
        <v>105</v>
      </c>
      <c r="K107" s="413" t="s">
        <v>347</v>
      </c>
      <c r="L107" s="100">
        <v>29.5</v>
      </c>
      <c r="M107" s="100">
        <v>31</v>
      </c>
      <c r="N107" s="100">
        <v>58</v>
      </c>
      <c r="O107" s="101"/>
      <c r="P107" s="101"/>
      <c r="Q107" s="101"/>
      <c r="R107" s="101" t="s">
        <v>151</v>
      </c>
      <c r="S107" s="101">
        <v>53.4</v>
      </c>
      <c r="T107" s="102" t="s">
        <v>23</v>
      </c>
      <c r="U107" s="101" t="s">
        <v>236</v>
      </c>
      <c r="V107" s="408"/>
      <c r="W107" s="400"/>
      <c r="CM107" s="342"/>
      <c r="CN107" s="342"/>
      <c r="CO107" s="342"/>
      <c r="CP107" s="342"/>
      <c r="CQ107" s="342"/>
      <c r="CR107" s="342"/>
      <c r="CS107" s="342"/>
      <c r="CT107" s="342"/>
      <c r="CU107" s="342"/>
      <c r="CV107" s="342"/>
      <c r="CW107" s="342"/>
      <c r="CX107" s="342"/>
      <c r="CY107" s="342"/>
    </row>
    <row r="108" spans="2:103" s="343" customFormat="1" ht="43.5" customHeight="1" x14ac:dyDescent="0.25">
      <c r="B108" s="263">
        <v>44296</v>
      </c>
      <c r="C108" s="103">
        <v>0.25</v>
      </c>
      <c r="D108" s="410">
        <v>41</v>
      </c>
      <c r="E108" s="100">
        <v>8.6999999999999993</v>
      </c>
      <c r="F108" s="412">
        <v>11.5</v>
      </c>
      <c r="G108" s="413">
        <v>1414.9</v>
      </c>
      <c r="H108" s="413">
        <v>1960</v>
      </c>
      <c r="I108" s="413">
        <v>104</v>
      </c>
      <c r="J108" s="413">
        <v>105</v>
      </c>
      <c r="K108" s="413" t="s">
        <v>353</v>
      </c>
      <c r="L108" s="100">
        <v>29</v>
      </c>
      <c r="M108" s="100">
        <v>31</v>
      </c>
      <c r="N108" s="100">
        <v>56.8</v>
      </c>
      <c r="O108" s="101"/>
      <c r="P108" s="101"/>
      <c r="Q108" s="101"/>
      <c r="R108" s="101" t="s">
        <v>151</v>
      </c>
      <c r="S108" s="101">
        <v>52.6</v>
      </c>
      <c r="T108" s="102" t="s">
        <v>23</v>
      </c>
      <c r="U108" s="101" t="s">
        <v>236</v>
      </c>
      <c r="V108" s="408"/>
      <c r="W108" s="400"/>
      <c r="CM108" s="342"/>
      <c r="CN108" s="342"/>
      <c r="CO108" s="342"/>
      <c r="CP108" s="342"/>
      <c r="CQ108" s="342"/>
      <c r="CR108" s="342"/>
      <c r="CS108" s="342"/>
      <c r="CT108" s="342"/>
      <c r="CU108" s="342"/>
      <c r="CV108" s="342"/>
      <c r="CW108" s="342"/>
      <c r="CX108" s="342"/>
      <c r="CY108" s="342"/>
    </row>
    <row r="109" spans="2:103" s="343" customFormat="1" ht="43.5" customHeight="1" x14ac:dyDescent="0.25">
      <c r="B109" s="263">
        <v>44297</v>
      </c>
      <c r="C109" s="103">
        <v>0.25</v>
      </c>
      <c r="D109" s="410">
        <v>41</v>
      </c>
      <c r="E109" s="100">
        <v>8.5</v>
      </c>
      <c r="F109" s="412">
        <v>11.6</v>
      </c>
      <c r="G109" s="413">
        <v>1409</v>
      </c>
      <c r="H109" s="413">
        <v>1961</v>
      </c>
      <c r="I109" s="413">
        <v>104</v>
      </c>
      <c r="J109" s="413">
        <v>105</v>
      </c>
      <c r="K109" s="413" t="s">
        <v>356</v>
      </c>
      <c r="L109" s="100">
        <v>28.96</v>
      </c>
      <c r="M109" s="100">
        <v>31</v>
      </c>
      <c r="N109" s="100">
        <v>57.27</v>
      </c>
      <c r="O109" s="101"/>
      <c r="P109" s="101"/>
      <c r="Q109" s="101"/>
      <c r="R109" s="101" t="s">
        <v>151</v>
      </c>
      <c r="S109" s="101">
        <v>52.6</v>
      </c>
      <c r="T109" s="102" t="s">
        <v>23</v>
      </c>
      <c r="U109" s="101" t="s">
        <v>236</v>
      </c>
      <c r="V109" s="408"/>
      <c r="W109" s="400"/>
      <c r="CM109" s="342"/>
      <c r="CN109" s="342"/>
      <c r="CO109" s="342"/>
      <c r="CP109" s="342"/>
      <c r="CQ109" s="342"/>
      <c r="CR109" s="342"/>
      <c r="CS109" s="342"/>
      <c r="CT109" s="342"/>
      <c r="CU109" s="342"/>
      <c r="CV109" s="342"/>
      <c r="CW109" s="342"/>
      <c r="CX109" s="342"/>
      <c r="CY109" s="342"/>
    </row>
    <row r="110" spans="2:103" s="343" customFormat="1" ht="43.5" customHeight="1" x14ac:dyDescent="0.25">
      <c r="B110" s="263">
        <v>44298</v>
      </c>
      <c r="C110" s="103">
        <v>0.25</v>
      </c>
      <c r="D110" s="410">
        <v>41</v>
      </c>
      <c r="E110" s="100">
        <v>8.5</v>
      </c>
      <c r="F110" s="412">
        <v>11.5</v>
      </c>
      <c r="G110" s="413">
        <v>1412</v>
      </c>
      <c r="H110" s="413">
        <v>1969</v>
      </c>
      <c r="I110" s="413">
        <v>104</v>
      </c>
      <c r="J110" s="413">
        <v>105</v>
      </c>
      <c r="K110" s="413" t="s">
        <v>356</v>
      </c>
      <c r="L110" s="100">
        <v>29</v>
      </c>
      <c r="M110" s="100">
        <v>31</v>
      </c>
      <c r="N110" s="100">
        <v>57.5</v>
      </c>
      <c r="O110" s="101"/>
      <c r="P110" s="101"/>
      <c r="Q110" s="101"/>
      <c r="R110" s="101" t="s">
        <v>151</v>
      </c>
      <c r="S110" s="101">
        <v>52.8</v>
      </c>
      <c r="T110" s="102" t="s">
        <v>23</v>
      </c>
      <c r="U110" s="101" t="s">
        <v>236</v>
      </c>
      <c r="V110" s="408"/>
      <c r="W110" s="400"/>
      <c r="CM110" s="342"/>
      <c r="CN110" s="342"/>
      <c r="CO110" s="342"/>
      <c r="CP110" s="342"/>
      <c r="CQ110" s="342"/>
      <c r="CR110" s="342"/>
      <c r="CS110" s="342"/>
      <c r="CT110" s="342"/>
      <c r="CU110" s="342"/>
      <c r="CV110" s="342"/>
      <c r="CW110" s="342"/>
      <c r="CX110" s="342"/>
      <c r="CY110" s="342"/>
    </row>
    <row r="111" spans="2:103" s="343" customFormat="1" ht="43.5" customHeight="1" x14ac:dyDescent="0.25">
      <c r="B111" s="263">
        <v>44299</v>
      </c>
      <c r="C111" s="103">
        <v>0.25</v>
      </c>
      <c r="D111" s="410">
        <v>41</v>
      </c>
      <c r="E111" s="100">
        <v>8.6999999999999993</v>
      </c>
      <c r="F111" s="412">
        <v>11.6</v>
      </c>
      <c r="G111" s="413">
        <v>1415</v>
      </c>
      <c r="H111" s="413">
        <v>1968</v>
      </c>
      <c r="I111" s="413">
        <v>104</v>
      </c>
      <c r="J111" s="413">
        <v>105</v>
      </c>
      <c r="K111" s="413" t="s">
        <v>356</v>
      </c>
      <c r="L111" s="100">
        <v>29.8</v>
      </c>
      <c r="M111" s="100">
        <v>31</v>
      </c>
      <c r="N111" s="100">
        <v>57.65</v>
      </c>
      <c r="O111" s="101"/>
      <c r="P111" s="101"/>
      <c r="Q111" s="101"/>
      <c r="R111" s="101" t="s">
        <v>151</v>
      </c>
      <c r="S111" s="101">
        <v>53.9</v>
      </c>
      <c r="T111" s="102" t="s">
        <v>23</v>
      </c>
      <c r="U111" s="101" t="s">
        <v>236</v>
      </c>
      <c r="V111" s="408"/>
      <c r="W111" s="400"/>
      <c r="CM111" s="342"/>
      <c r="CN111" s="342"/>
      <c r="CO111" s="342"/>
      <c r="CP111" s="342"/>
      <c r="CQ111" s="342"/>
      <c r="CR111" s="342"/>
      <c r="CS111" s="342"/>
      <c r="CT111" s="342"/>
      <c r="CU111" s="342"/>
      <c r="CV111" s="342"/>
      <c r="CW111" s="342"/>
      <c r="CX111" s="342"/>
      <c r="CY111" s="342"/>
    </row>
    <row r="112" spans="2:103" s="343" customFormat="1" ht="43.5" customHeight="1" x14ac:dyDescent="0.25">
      <c r="B112" s="263">
        <v>44300</v>
      </c>
      <c r="C112" s="103">
        <v>0.75</v>
      </c>
      <c r="D112" s="410">
        <v>41</v>
      </c>
      <c r="E112" s="100">
        <v>8.5</v>
      </c>
      <c r="F112" s="412">
        <v>11.4</v>
      </c>
      <c r="G112" s="413">
        <v>1421.7</v>
      </c>
      <c r="H112" s="413">
        <v>1998.2</v>
      </c>
      <c r="I112" s="413">
        <v>104.4</v>
      </c>
      <c r="J112" s="413">
        <v>105</v>
      </c>
      <c r="K112" s="413" t="s">
        <v>369</v>
      </c>
      <c r="L112" s="100">
        <v>30.52</v>
      </c>
      <c r="M112" s="100">
        <v>32</v>
      </c>
      <c r="N112" s="100">
        <v>56.17</v>
      </c>
      <c r="O112" s="101"/>
      <c r="P112" s="101"/>
      <c r="Q112" s="101"/>
      <c r="R112" s="101" t="s">
        <v>151</v>
      </c>
      <c r="S112" s="101">
        <v>52.6</v>
      </c>
      <c r="T112" s="102" t="s">
        <v>23</v>
      </c>
      <c r="U112" s="101" t="s">
        <v>236</v>
      </c>
      <c r="V112" s="408"/>
      <c r="W112" s="400"/>
      <c r="CM112" s="342"/>
      <c r="CN112" s="342"/>
      <c r="CO112" s="342"/>
      <c r="CP112" s="342"/>
      <c r="CQ112" s="342"/>
      <c r="CR112" s="342"/>
      <c r="CS112" s="342"/>
      <c r="CT112" s="342"/>
      <c r="CU112" s="342"/>
      <c r="CV112" s="342"/>
      <c r="CW112" s="342"/>
      <c r="CX112" s="342"/>
      <c r="CY112" s="342"/>
    </row>
    <row r="113" spans="2:103" s="343" customFormat="1" ht="43.5" customHeight="1" x14ac:dyDescent="0.25">
      <c r="B113" s="263">
        <v>44301</v>
      </c>
      <c r="C113" s="103">
        <v>0.25</v>
      </c>
      <c r="D113" s="410">
        <v>41</v>
      </c>
      <c r="E113" s="100">
        <v>8.6999999999999993</v>
      </c>
      <c r="F113" s="412">
        <v>11.4</v>
      </c>
      <c r="G113" s="413">
        <v>1421.7</v>
      </c>
      <c r="H113" s="413">
        <v>1970</v>
      </c>
      <c r="I113" s="413">
        <v>104.4</v>
      </c>
      <c r="J113" s="413">
        <v>105</v>
      </c>
      <c r="K113" s="413" t="s">
        <v>376</v>
      </c>
      <c r="L113" s="100">
        <v>30.27</v>
      </c>
      <c r="M113" s="100">
        <v>31.5</v>
      </c>
      <c r="N113" s="100">
        <v>57.05</v>
      </c>
      <c r="O113" s="101"/>
      <c r="P113" s="101"/>
      <c r="Q113" s="101"/>
      <c r="R113" s="101" t="s">
        <v>151</v>
      </c>
      <c r="S113" s="101">
        <v>52.6</v>
      </c>
      <c r="T113" s="102" t="s">
        <v>23</v>
      </c>
      <c r="U113" s="101" t="s">
        <v>236</v>
      </c>
      <c r="V113" s="408"/>
      <c r="W113" s="400"/>
      <c r="CM113" s="342"/>
      <c r="CN113" s="342"/>
      <c r="CO113" s="342"/>
      <c r="CP113" s="342"/>
      <c r="CQ113" s="342"/>
      <c r="CR113" s="342"/>
      <c r="CS113" s="342"/>
      <c r="CT113" s="342"/>
      <c r="CU113" s="342"/>
      <c r="CV113" s="342"/>
      <c r="CW113" s="342"/>
      <c r="CX113" s="342"/>
      <c r="CY113" s="342"/>
    </row>
    <row r="114" spans="2:103" s="343" customFormat="1" ht="43.5" customHeight="1" x14ac:dyDescent="0.25">
      <c r="B114" s="263">
        <v>44302</v>
      </c>
      <c r="C114" s="103">
        <v>0.25</v>
      </c>
      <c r="D114" s="410">
        <v>41</v>
      </c>
      <c r="E114" s="100">
        <v>8.8000000000000007</v>
      </c>
      <c r="F114" s="412">
        <v>11.7</v>
      </c>
      <c r="G114" s="413">
        <v>1420</v>
      </c>
      <c r="H114" s="413">
        <v>1960.8</v>
      </c>
      <c r="I114" s="413">
        <v>105</v>
      </c>
      <c r="J114" s="413">
        <v>105.5</v>
      </c>
      <c r="K114" s="413" t="s">
        <v>384</v>
      </c>
      <c r="L114" s="100">
        <v>29.59</v>
      </c>
      <c r="M114" s="100">
        <v>31.5</v>
      </c>
      <c r="N114" s="100">
        <v>53.37</v>
      </c>
      <c r="O114" s="101"/>
      <c r="P114" s="101"/>
      <c r="Q114" s="101"/>
      <c r="R114" s="101" t="s">
        <v>151</v>
      </c>
      <c r="S114" s="101">
        <v>53.1</v>
      </c>
      <c r="T114" s="102" t="s">
        <v>23</v>
      </c>
      <c r="U114" s="101" t="s">
        <v>236</v>
      </c>
      <c r="V114" s="408"/>
      <c r="W114" s="400"/>
      <c r="CM114" s="342"/>
      <c r="CN114" s="342"/>
      <c r="CO114" s="342"/>
      <c r="CP114" s="342"/>
      <c r="CQ114" s="342"/>
      <c r="CR114" s="342"/>
      <c r="CS114" s="342"/>
      <c r="CT114" s="342"/>
      <c r="CU114" s="342"/>
      <c r="CV114" s="342"/>
      <c r="CW114" s="342"/>
      <c r="CX114" s="342"/>
      <c r="CY114" s="342"/>
    </row>
    <row r="115" spans="2:103" s="343" customFormat="1" ht="43.5" customHeight="1" x14ac:dyDescent="0.25">
      <c r="B115" s="263">
        <v>44303</v>
      </c>
      <c r="C115" s="103">
        <v>0.25</v>
      </c>
      <c r="D115" s="410">
        <v>41</v>
      </c>
      <c r="E115" s="100">
        <v>8.6999999999999993</v>
      </c>
      <c r="F115" s="412">
        <v>11.6</v>
      </c>
      <c r="G115" s="413">
        <v>1420</v>
      </c>
      <c r="H115" s="413">
        <v>1972.7</v>
      </c>
      <c r="I115" s="413">
        <v>104.4</v>
      </c>
      <c r="J115" s="413">
        <v>105</v>
      </c>
      <c r="K115" s="413" t="s">
        <v>388</v>
      </c>
      <c r="L115" s="100">
        <v>29.68</v>
      </c>
      <c r="M115" s="100">
        <v>32</v>
      </c>
      <c r="N115" s="100">
        <v>56.71</v>
      </c>
      <c r="O115" s="101"/>
      <c r="P115" s="101"/>
      <c r="Q115" s="101"/>
      <c r="R115" s="101" t="s">
        <v>151</v>
      </c>
      <c r="S115" s="101">
        <v>52.1</v>
      </c>
      <c r="T115" s="102" t="s">
        <v>23</v>
      </c>
      <c r="U115" s="101" t="s">
        <v>236</v>
      </c>
      <c r="V115" s="408"/>
      <c r="W115" s="400"/>
      <c r="CM115" s="342"/>
      <c r="CN115" s="342"/>
      <c r="CO115" s="342"/>
      <c r="CP115" s="342"/>
      <c r="CQ115" s="342"/>
      <c r="CR115" s="342"/>
      <c r="CS115" s="342"/>
      <c r="CT115" s="342"/>
      <c r="CU115" s="342"/>
      <c r="CV115" s="342"/>
      <c r="CW115" s="342"/>
      <c r="CX115" s="342"/>
      <c r="CY115" s="342"/>
    </row>
    <row r="116" spans="2:103" s="343" customFormat="1" ht="43.5" customHeight="1" x14ac:dyDescent="0.25">
      <c r="B116" s="263">
        <v>44304</v>
      </c>
      <c r="C116" s="103">
        <v>0.25</v>
      </c>
      <c r="D116" s="410">
        <v>41</v>
      </c>
      <c r="E116" s="100">
        <v>8.6999999999999993</v>
      </c>
      <c r="F116" s="412">
        <v>11.5</v>
      </c>
      <c r="G116" s="413">
        <v>1421</v>
      </c>
      <c r="H116" s="413">
        <v>1993</v>
      </c>
      <c r="I116" s="413">
        <v>105</v>
      </c>
      <c r="J116" s="413">
        <v>105.5</v>
      </c>
      <c r="K116" s="413" t="s">
        <v>392</v>
      </c>
      <c r="L116" s="100">
        <v>28.84</v>
      </c>
      <c r="M116" s="100">
        <v>31</v>
      </c>
      <c r="N116" s="100">
        <v>56.4</v>
      </c>
      <c r="O116" s="101"/>
      <c r="P116" s="101"/>
      <c r="Q116" s="101"/>
      <c r="R116" s="101" t="s">
        <v>151</v>
      </c>
      <c r="S116" s="101">
        <v>52.6</v>
      </c>
      <c r="T116" s="102" t="s">
        <v>23</v>
      </c>
      <c r="U116" s="101" t="s">
        <v>236</v>
      </c>
      <c r="V116" s="408"/>
      <c r="W116" s="400"/>
      <c r="CM116" s="342"/>
      <c r="CN116" s="342"/>
      <c r="CO116" s="342"/>
      <c r="CP116" s="342"/>
      <c r="CQ116" s="342"/>
      <c r="CR116" s="342"/>
      <c r="CS116" s="342"/>
      <c r="CT116" s="342"/>
      <c r="CU116" s="342"/>
      <c r="CV116" s="342"/>
      <c r="CW116" s="342"/>
      <c r="CX116" s="342"/>
      <c r="CY116" s="342"/>
    </row>
    <row r="117" spans="2:103" s="343" customFormat="1" ht="43.5" customHeight="1" x14ac:dyDescent="0.25">
      <c r="B117" s="263">
        <v>44305</v>
      </c>
      <c r="C117" s="103">
        <v>0.25</v>
      </c>
      <c r="D117" s="410">
        <v>41</v>
      </c>
      <c r="E117" s="100">
        <v>8.6999999999999993</v>
      </c>
      <c r="F117" s="412">
        <v>11.6</v>
      </c>
      <c r="G117" s="413">
        <v>1423</v>
      </c>
      <c r="H117" s="413">
        <v>1988</v>
      </c>
      <c r="I117" s="413">
        <v>104.4</v>
      </c>
      <c r="J117" s="413">
        <v>105</v>
      </c>
      <c r="K117" s="413" t="s">
        <v>395</v>
      </c>
      <c r="L117" s="100">
        <v>30.01</v>
      </c>
      <c r="M117" s="100">
        <v>31</v>
      </c>
      <c r="N117" s="100">
        <v>56.78</v>
      </c>
      <c r="O117" s="101"/>
      <c r="P117" s="101"/>
      <c r="Q117" s="101"/>
      <c r="R117" s="101" t="s">
        <v>151</v>
      </c>
      <c r="S117" s="101">
        <v>52.6</v>
      </c>
      <c r="T117" s="102" t="s">
        <v>23</v>
      </c>
      <c r="U117" s="101" t="s">
        <v>236</v>
      </c>
      <c r="V117" s="408"/>
      <c r="W117" s="400"/>
      <c r="CM117" s="342"/>
      <c r="CN117" s="342"/>
      <c r="CO117" s="342"/>
      <c r="CP117" s="342"/>
      <c r="CQ117" s="342"/>
      <c r="CR117" s="342"/>
      <c r="CS117" s="342"/>
      <c r="CT117" s="342"/>
      <c r="CU117" s="342"/>
      <c r="CV117" s="342"/>
      <c r="CW117" s="342"/>
      <c r="CX117" s="342"/>
      <c r="CY117" s="342"/>
    </row>
    <row r="118" spans="2:103" s="343" customFormat="1" ht="43.5" customHeight="1" x14ac:dyDescent="0.25">
      <c r="B118" s="263">
        <v>44306</v>
      </c>
      <c r="C118" s="103">
        <v>0.25</v>
      </c>
      <c r="D118" s="410">
        <v>41</v>
      </c>
      <c r="E118" s="100">
        <v>8.6999999999999993</v>
      </c>
      <c r="F118" s="412">
        <v>11.6</v>
      </c>
      <c r="G118" s="413">
        <v>1424</v>
      </c>
      <c r="H118" s="413">
        <v>1982</v>
      </c>
      <c r="I118" s="413">
        <v>104.4</v>
      </c>
      <c r="J118" s="413">
        <v>105</v>
      </c>
      <c r="K118" s="413" t="s">
        <v>398</v>
      </c>
      <c r="L118" s="100">
        <v>28.97</v>
      </c>
      <c r="M118" s="100">
        <v>31</v>
      </c>
      <c r="N118" s="100">
        <v>56.85</v>
      </c>
      <c r="O118" s="101"/>
      <c r="P118" s="101"/>
      <c r="Q118" s="101"/>
      <c r="R118" s="101" t="s">
        <v>151</v>
      </c>
      <c r="S118" s="101">
        <v>52.1</v>
      </c>
      <c r="T118" s="102" t="s">
        <v>23</v>
      </c>
      <c r="U118" s="101" t="s">
        <v>236</v>
      </c>
      <c r="V118" s="408"/>
      <c r="W118" s="400"/>
      <c r="CM118" s="342"/>
      <c r="CN118" s="342"/>
      <c r="CO118" s="342"/>
      <c r="CP118" s="342"/>
      <c r="CQ118" s="342"/>
      <c r="CR118" s="342"/>
      <c r="CS118" s="342"/>
      <c r="CT118" s="342"/>
      <c r="CU118" s="342"/>
      <c r="CV118" s="342"/>
      <c r="CW118" s="342"/>
      <c r="CX118" s="342"/>
      <c r="CY118" s="342"/>
    </row>
    <row r="119" spans="2:103" s="343" customFormat="1" ht="43.5" customHeight="1" x14ac:dyDescent="0.25">
      <c r="B119" s="263">
        <v>44307</v>
      </c>
      <c r="C119" s="103">
        <v>0.25</v>
      </c>
      <c r="D119" s="410">
        <v>41</v>
      </c>
      <c r="E119" s="100">
        <v>8.6999999999999993</v>
      </c>
      <c r="F119" s="412">
        <v>11.7</v>
      </c>
      <c r="G119" s="413">
        <v>1424.7</v>
      </c>
      <c r="H119" s="413">
        <v>1978</v>
      </c>
      <c r="I119" s="413">
        <v>105</v>
      </c>
      <c r="J119" s="413">
        <v>105.5</v>
      </c>
      <c r="K119" s="413" t="s">
        <v>398</v>
      </c>
      <c r="L119" s="100">
        <v>29.2</v>
      </c>
      <c r="M119" s="100">
        <v>31</v>
      </c>
      <c r="N119" s="100">
        <v>57</v>
      </c>
      <c r="O119" s="101"/>
      <c r="P119" s="101"/>
      <c r="Q119" s="101"/>
      <c r="R119" s="101" t="s">
        <v>151</v>
      </c>
      <c r="S119" s="101">
        <v>52.1</v>
      </c>
      <c r="T119" s="102" t="s">
        <v>23</v>
      </c>
      <c r="U119" s="101" t="s">
        <v>236</v>
      </c>
      <c r="V119" s="408"/>
      <c r="W119" s="400"/>
      <c r="CM119" s="342"/>
      <c r="CN119" s="342"/>
      <c r="CO119" s="342"/>
      <c r="CP119" s="342"/>
      <c r="CQ119" s="342"/>
      <c r="CR119" s="342"/>
      <c r="CS119" s="342"/>
      <c r="CT119" s="342"/>
      <c r="CU119" s="342"/>
      <c r="CV119" s="342"/>
      <c r="CW119" s="342"/>
      <c r="CX119" s="342"/>
      <c r="CY119" s="342"/>
    </row>
    <row r="120" spans="2:103" s="343" customFormat="1" ht="43.5" customHeight="1" x14ac:dyDescent="0.25">
      <c r="B120" s="263">
        <v>44308</v>
      </c>
      <c r="C120" s="103">
        <v>0.25</v>
      </c>
      <c r="D120" s="410">
        <v>41</v>
      </c>
      <c r="E120" s="100">
        <v>8.8000000000000007</v>
      </c>
      <c r="F120" s="412">
        <v>11.7</v>
      </c>
      <c r="G120" s="413">
        <v>1413</v>
      </c>
      <c r="H120" s="413">
        <v>1947</v>
      </c>
      <c r="I120" s="413">
        <v>105.5</v>
      </c>
      <c r="J120" s="413">
        <v>106.1</v>
      </c>
      <c r="K120" s="413" t="s">
        <v>406</v>
      </c>
      <c r="L120" s="100">
        <v>28.6</v>
      </c>
      <c r="M120" s="100">
        <v>31</v>
      </c>
      <c r="N120" s="100">
        <v>58</v>
      </c>
      <c r="O120" s="101"/>
      <c r="P120" s="101"/>
      <c r="Q120" s="101"/>
      <c r="R120" s="101" t="s">
        <v>151</v>
      </c>
      <c r="S120" s="101">
        <v>53.11</v>
      </c>
      <c r="T120" s="102" t="s">
        <v>23</v>
      </c>
      <c r="U120" s="101" t="s">
        <v>236</v>
      </c>
      <c r="V120" s="408"/>
      <c r="W120" s="400"/>
      <c r="CM120" s="342"/>
      <c r="CN120" s="342"/>
      <c r="CO120" s="342"/>
      <c r="CP120" s="342"/>
      <c r="CQ120" s="342"/>
      <c r="CR120" s="342"/>
      <c r="CS120" s="342"/>
      <c r="CT120" s="342"/>
      <c r="CU120" s="342"/>
      <c r="CV120" s="342"/>
      <c r="CW120" s="342"/>
      <c r="CX120" s="342"/>
      <c r="CY120" s="342"/>
    </row>
    <row r="121" spans="2:103" s="343" customFormat="1" ht="43.5" customHeight="1" x14ac:dyDescent="0.25">
      <c r="B121" s="263">
        <v>44309</v>
      </c>
      <c r="C121" s="103">
        <v>0.25</v>
      </c>
      <c r="D121" s="410">
        <v>41</v>
      </c>
      <c r="E121" s="100">
        <v>8</v>
      </c>
      <c r="F121" s="412">
        <v>11</v>
      </c>
      <c r="G121" s="413">
        <v>1426</v>
      </c>
      <c r="H121" s="413">
        <v>2045</v>
      </c>
      <c r="I121" s="413">
        <v>103.8</v>
      </c>
      <c r="J121" s="413">
        <v>105</v>
      </c>
      <c r="K121" s="413" t="s">
        <v>409</v>
      </c>
      <c r="L121" s="100">
        <v>33.56</v>
      </c>
      <c r="M121" s="100">
        <v>35</v>
      </c>
      <c r="N121" s="100">
        <v>53.91</v>
      </c>
      <c r="O121" s="101"/>
      <c r="P121" s="101"/>
      <c r="Q121" s="101"/>
      <c r="R121" s="101" t="s">
        <v>151</v>
      </c>
      <c r="S121" s="101">
        <v>50.8</v>
      </c>
      <c r="T121" s="102" t="s">
        <v>23</v>
      </c>
      <c r="U121" s="101" t="s">
        <v>236</v>
      </c>
      <c r="V121" s="408" t="s">
        <v>412</v>
      </c>
      <c r="W121" s="400"/>
      <c r="CM121" s="342"/>
      <c r="CN121" s="342"/>
      <c r="CO121" s="342"/>
      <c r="CP121" s="342"/>
      <c r="CQ121" s="342"/>
      <c r="CR121" s="342"/>
      <c r="CS121" s="342"/>
      <c r="CT121" s="342"/>
      <c r="CU121" s="342"/>
      <c r="CV121" s="342"/>
      <c r="CW121" s="342"/>
      <c r="CX121" s="342"/>
      <c r="CY121" s="342"/>
    </row>
    <row r="122" spans="2:103" s="343" customFormat="1" ht="43.5" customHeight="1" x14ac:dyDescent="0.25">
      <c r="B122" s="263">
        <v>44310</v>
      </c>
      <c r="C122" s="103">
        <v>0.25</v>
      </c>
      <c r="D122" s="410">
        <v>41</v>
      </c>
      <c r="E122" s="100">
        <v>8</v>
      </c>
      <c r="F122" s="412">
        <v>11</v>
      </c>
      <c r="G122" s="413">
        <v>1440</v>
      </c>
      <c r="H122" s="413">
        <v>2055</v>
      </c>
      <c r="I122" s="413">
        <v>104.4</v>
      </c>
      <c r="J122" s="413">
        <v>105</v>
      </c>
      <c r="K122" s="413" t="s">
        <v>416</v>
      </c>
      <c r="L122" s="100">
        <v>34.200000000000003</v>
      </c>
      <c r="M122" s="100">
        <v>36</v>
      </c>
      <c r="N122" s="100">
        <v>53.1</v>
      </c>
      <c r="O122" s="101"/>
      <c r="P122" s="101"/>
      <c r="Q122" s="101"/>
      <c r="R122" s="101" t="s">
        <v>151</v>
      </c>
      <c r="S122" s="101">
        <v>53.1</v>
      </c>
      <c r="T122" s="102" t="s">
        <v>23</v>
      </c>
      <c r="U122" s="101" t="s">
        <v>236</v>
      </c>
      <c r="V122" s="408" t="s">
        <v>415</v>
      </c>
      <c r="W122" s="400"/>
      <c r="CM122" s="342"/>
      <c r="CN122" s="342"/>
      <c r="CO122" s="342"/>
      <c r="CP122" s="342"/>
      <c r="CQ122" s="342"/>
      <c r="CR122" s="342"/>
      <c r="CS122" s="342"/>
      <c r="CT122" s="342"/>
      <c r="CU122" s="342"/>
      <c r="CV122" s="342"/>
      <c r="CW122" s="342"/>
      <c r="CX122" s="342"/>
      <c r="CY122" s="342"/>
    </row>
    <row r="123" spans="2:103" s="343" customFormat="1" ht="43.5" customHeight="1" x14ac:dyDescent="0.25">
      <c r="B123" s="263">
        <v>44311</v>
      </c>
      <c r="C123" s="103">
        <v>0.25</v>
      </c>
      <c r="D123" s="410">
        <v>41</v>
      </c>
      <c r="E123" s="100">
        <v>8</v>
      </c>
      <c r="F123" s="412">
        <v>11</v>
      </c>
      <c r="G123" s="413">
        <v>1449</v>
      </c>
      <c r="H123" s="413">
        <v>2065</v>
      </c>
      <c r="I123" s="413">
        <v>104.4</v>
      </c>
      <c r="J123" s="413">
        <v>105</v>
      </c>
      <c r="K123" s="413" t="s">
        <v>422</v>
      </c>
      <c r="L123" s="100">
        <v>34.65</v>
      </c>
      <c r="M123" s="100">
        <v>36</v>
      </c>
      <c r="N123" s="100">
        <v>52.46</v>
      </c>
      <c r="O123" s="101"/>
      <c r="P123" s="101"/>
      <c r="Q123" s="101"/>
      <c r="R123" s="101" t="s">
        <v>151</v>
      </c>
      <c r="S123" s="101">
        <v>50.8</v>
      </c>
      <c r="T123" s="102" t="s">
        <v>23</v>
      </c>
      <c r="U123" s="101" t="s">
        <v>236</v>
      </c>
      <c r="V123" s="408" t="s">
        <v>415</v>
      </c>
      <c r="W123" s="400"/>
      <c r="CM123" s="342"/>
      <c r="CN123" s="342"/>
      <c r="CO123" s="342"/>
      <c r="CP123" s="342"/>
      <c r="CQ123" s="342"/>
      <c r="CR123" s="342"/>
      <c r="CS123" s="342"/>
      <c r="CT123" s="342"/>
      <c r="CU123" s="342"/>
      <c r="CV123" s="342"/>
      <c r="CW123" s="342"/>
      <c r="CX123" s="342"/>
      <c r="CY123" s="342"/>
    </row>
    <row r="124" spans="2:103" s="343" customFormat="1" ht="43.5" customHeight="1" x14ac:dyDescent="0.25">
      <c r="B124" s="263">
        <v>44312</v>
      </c>
      <c r="C124" s="103">
        <v>0.25</v>
      </c>
      <c r="D124" s="410">
        <v>41</v>
      </c>
      <c r="E124" s="100">
        <v>8.1999999999999993</v>
      </c>
      <c r="F124" s="412">
        <v>11.2</v>
      </c>
      <c r="G124" s="413">
        <v>1456</v>
      </c>
      <c r="H124" s="413">
        <v>2074</v>
      </c>
      <c r="I124" s="413">
        <v>104.4</v>
      </c>
      <c r="J124" s="413">
        <v>105</v>
      </c>
      <c r="K124" s="413" t="s">
        <v>430</v>
      </c>
      <c r="L124" s="100">
        <v>33.86</v>
      </c>
      <c r="M124" s="100">
        <v>35</v>
      </c>
      <c r="N124" s="100">
        <v>51.58</v>
      </c>
      <c r="O124" s="101"/>
      <c r="P124" s="101"/>
      <c r="Q124" s="101"/>
      <c r="R124" s="101" t="s">
        <v>151</v>
      </c>
      <c r="S124" s="101">
        <v>51.2</v>
      </c>
      <c r="T124" s="102" t="s">
        <v>23</v>
      </c>
      <c r="U124" s="101" t="s">
        <v>236</v>
      </c>
      <c r="V124" s="408" t="s">
        <v>415</v>
      </c>
      <c r="W124" s="400"/>
      <c r="CM124" s="342"/>
      <c r="CN124" s="342"/>
      <c r="CO124" s="342"/>
      <c r="CP124" s="342"/>
      <c r="CQ124" s="342"/>
      <c r="CR124" s="342"/>
      <c r="CS124" s="342"/>
      <c r="CT124" s="342"/>
      <c r="CU124" s="342"/>
      <c r="CV124" s="342"/>
      <c r="CW124" s="342"/>
      <c r="CX124" s="342"/>
      <c r="CY124" s="342"/>
    </row>
    <row r="125" spans="2:103" s="343" customFormat="1" ht="43.5" customHeight="1" x14ac:dyDescent="0.25">
      <c r="B125" s="263">
        <v>44313</v>
      </c>
      <c r="C125" s="103">
        <v>0.25</v>
      </c>
      <c r="D125" s="410">
        <v>42</v>
      </c>
      <c r="E125" s="100">
        <v>8.6</v>
      </c>
      <c r="F125" s="412">
        <v>11.4</v>
      </c>
      <c r="G125" s="413">
        <v>1458</v>
      </c>
      <c r="H125" s="413">
        <v>2088</v>
      </c>
      <c r="I125" s="413">
        <v>103.8</v>
      </c>
      <c r="J125" s="413">
        <v>105</v>
      </c>
      <c r="K125" s="413" t="s">
        <v>435</v>
      </c>
      <c r="L125" s="100">
        <v>33.89</v>
      </c>
      <c r="M125" s="100">
        <v>36</v>
      </c>
      <c r="N125" s="100">
        <v>53.76</v>
      </c>
      <c r="O125" s="101"/>
      <c r="P125" s="101"/>
      <c r="Q125" s="101"/>
      <c r="R125" s="101" t="s">
        <v>151</v>
      </c>
      <c r="S125" s="101">
        <v>51.6</v>
      </c>
      <c r="T125" s="102" t="s">
        <v>23</v>
      </c>
      <c r="U125" s="101" t="s">
        <v>236</v>
      </c>
      <c r="V125" s="408" t="s">
        <v>441</v>
      </c>
      <c r="W125" s="400"/>
      <c r="CM125" s="342"/>
      <c r="CN125" s="342"/>
      <c r="CO125" s="342"/>
      <c r="CP125" s="342"/>
      <c r="CQ125" s="342"/>
      <c r="CR125" s="342"/>
      <c r="CS125" s="342"/>
      <c r="CT125" s="342"/>
      <c r="CU125" s="342"/>
      <c r="CV125" s="342"/>
      <c r="CW125" s="342"/>
      <c r="CX125" s="342"/>
      <c r="CY125" s="342"/>
    </row>
    <row r="126" spans="2:103" s="343" customFormat="1" ht="43.5" customHeight="1" x14ac:dyDescent="0.25">
      <c r="B126" s="263">
        <v>44314</v>
      </c>
      <c r="C126" s="103">
        <v>0.25</v>
      </c>
      <c r="D126" s="410">
        <v>42</v>
      </c>
      <c r="E126" s="100">
        <v>8.5</v>
      </c>
      <c r="F126" s="412">
        <v>11.6</v>
      </c>
      <c r="G126" s="413">
        <v>1459</v>
      </c>
      <c r="H126" s="413">
        <v>2090</v>
      </c>
      <c r="I126" s="413">
        <v>103.8</v>
      </c>
      <c r="J126" s="413">
        <v>105</v>
      </c>
      <c r="K126" s="413" t="s">
        <v>445</v>
      </c>
      <c r="L126" s="100">
        <v>33.950000000000003</v>
      </c>
      <c r="M126" s="100">
        <v>36</v>
      </c>
      <c r="N126" s="100">
        <v>54.56</v>
      </c>
      <c r="O126" s="101"/>
      <c r="P126" s="101"/>
      <c r="Q126" s="101"/>
      <c r="R126" s="101" t="s">
        <v>151</v>
      </c>
      <c r="S126" s="101">
        <v>52.6</v>
      </c>
      <c r="T126" s="102" t="s">
        <v>23</v>
      </c>
      <c r="U126" s="101" t="s">
        <v>236</v>
      </c>
      <c r="V126" s="408" t="s">
        <v>446</v>
      </c>
      <c r="W126" s="400"/>
      <c r="CM126" s="342"/>
      <c r="CN126" s="342"/>
      <c r="CO126" s="342"/>
      <c r="CP126" s="342"/>
      <c r="CQ126" s="342"/>
      <c r="CR126" s="342"/>
      <c r="CS126" s="342"/>
      <c r="CT126" s="342"/>
      <c r="CU126" s="342"/>
      <c r="CV126" s="342"/>
      <c r="CW126" s="342"/>
      <c r="CX126" s="342"/>
      <c r="CY126" s="342"/>
    </row>
    <row r="127" spans="2:103" s="343" customFormat="1" ht="33.75" customHeight="1" x14ac:dyDescent="0.25">
      <c r="B127" s="263">
        <v>44315</v>
      </c>
      <c r="C127" s="103">
        <v>0.25</v>
      </c>
      <c r="D127" s="410">
        <v>42</v>
      </c>
      <c r="E127" s="100">
        <v>8.6</v>
      </c>
      <c r="F127" s="412">
        <v>11.3</v>
      </c>
      <c r="G127" s="413">
        <v>1461</v>
      </c>
      <c r="H127" s="413">
        <v>2101</v>
      </c>
      <c r="I127" s="413">
        <v>104.4</v>
      </c>
      <c r="J127" s="413">
        <v>105.5</v>
      </c>
      <c r="K127" s="413" t="s">
        <v>457</v>
      </c>
      <c r="L127" s="100">
        <v>33.25</v>
      </c>
      <c r="M127" s="100">
        <v>35</v>
      </c>
      <c r="N127" s="100">
        <v>54.37</v>
      </c>
      <c r="O127" s="101"/>
      <c r="P127" s="101"/>
      <c r="Q127" s="101"/>
      <c r="R127" s="101" t="s">
        <v>151</v>
      </c>
      <c r="S127" s="101">
        <v>51.7</v>
      </c>
      <c r="T127" s="102" t="s">
        <v>23</v>
      </c>
      <c r="U127" s="101" t="s">
        <v>236</v>
      </c>
      <c r="V127" s="408" t="s">
        <v>446</v>
      </c>
      <c r="W127" s="400"/>
      <c r="CM127" s="342"/>
      <c r="CN127" s="342"/>
      <c r="CO127" s="342"/>
      <c r="CP127" s="342"/>
      <c r="CQ127" s="342"/>
      <c r="CR127" s="342"/>
      <c r="CS127" s="342"/>
      <c r="CT127" s="342"/>
      <c r="CU127" s="342"/>
      <c r="CV127" s="342"/>
      <c r="CW127" s="342"/>
      <c r="CX127" s="342"/>
      <c r="CY127" s="342"/>
    </row>
    <row r="128" spans="2:103" s="343" customFormat="1" ht="33.75" customHeight="1" x14ac:dyDescent="0.25">
      <c r="B128" s="263">
        <v>44316</v>
      </c>
      <c r="C128" s="103">
        <v>0.25</v>
      </c>
      <c r="D128" s="410">
        <v>42</v>
      </c>
      <c r="E128" s="100">
        <v>8.6</v>
      </c>
      <c r="F128" s="412">
        <v>11.4</v>
      </c>
      <c r="G128" s="413">
        <v>1460</v>
      </c>
      <c r="H128" s="413">
        <v>2098</v>
      </c>
      <c r="I128" s="413">
        <v>104.4</v>
      </c>
      <c r="J128" s="413">
        <v>105.5</v>
      </c>
      <c r="K128" s="413" t="s">
        <v>463</v>
      </c>
      <c r="L128" s="100">
        <v>34.58</v>
      </c>
      <c r="M128" s="100">
        <v>36</v>
      </c>
      <c r="N128" s="100">
        <v>54.87</v>
      </c>
      <c r="O128" s="101"/>
      <c r="P128" s="101"/>
      <c r="Q128" s="101"/>
      <c r="R128" s="101" t="s">
        <v>151</v>
      </c>
      <c r="S128" s="101">
        <v>51.7</v>
      </c>
      <c r="T128" s="102" t="s">
        <v>23</v>
      </c>
      <c r="U128" s="101" t="s">
        <v>236</v>
      </c>
      <c r="V128" s="408" t="s">
        <v>446</v>
      </c>
      <c r="W128" s="400"/>
      <c r="CM128" s="342"/>
      <c r="CN128" s="342"/>
      <c r="CO128" s="342"/>
      <c r="CP128" s="342"/>
      <c r="CQ128" s="342"/>
      <c r="CR128" s="342"/>
      <c r="CS128" s="342"/>
      <c r="CT128" s="342"/>
      <c r="CU128" s="342"/>
      <c r="CV128" s="342"/>
      <c r="CW128" s="342"/>
      <c r="CX128" s="342"/>
      <c r="CY128" s="342"/>
    </row>
    <row r="129" spans="2:103" s="343" customFormat="1" ht="33.75" customHeight="1" x14ac:dyDescent="0.25">
      <c r="B129" s="263">
        <v>44317</v>
      </c>
      <c r="C129" s="103">
        <v>0.25</v>
      </c>
      <c r="D129" s="410">
        <v>42</v>
      </c>
      <c r="E129" s="100">
        <v>8.8000000000000007</v>
      </c>
      <c r="F129" s="412">
        <v>11.5</v>
      </c>
      <c r="G129" s="413">
        <v>1464</v>
      </c>
      <c r="H129" s="413">
        <v>2092</v>
      </c>
      <c r="I129" s="413">
        <v>105</v>
      </c>
      <c r="J129" s="413">
        <v>106.1</v>
      </c>
      <c r="K129" s="413" t="s">
        <v>465</v>
      </c>
      <c r="L129" s="100">
        <v>33.5</v>
      </c>
      <c r="M129" s="100">
        <v>36</v>
      </c>
      <c r="N129" s="100">
        <v>53.4</v>
      </c>
      <c r="O129" s="101"/>
      <c r="P129" s="101"/>
      <c r="Q129" s="101"/>
      <c r="R129" s="101" t="s">
        <v>151</v>
      </c>
      <c r="S129" s="101">
        <v>53.1</v>
      </c>
      <c r="T129" s="102" t="s">
        <v>23</v>
      </c>
      <c r="U129" s="101" t="s">
        <v>466</v>
      </c>
      <c r="V129" s="408" t="s">
        <v>446</v>
      </c>
      <c r="W129" s="400"/>
      <c r="CM129" s="342"/>
      <c r="CN129" s="342"/>
      <c r="CO129" s="342"/>
      <c r="CP129" s="342"/>
      <c r="CQ129" s="342"/>
      <c r="CR129" s="342"/>
      <c r="CS129" s="342"/>
      <c r="CT129" s="342"/>
      <c r="CU129" s="342"/>
      <c r="CV129" s="342"/>
      <c r="CW129" s="342"/>
      <c r="CX129" s="342"/>
      <c r="CY129" s="342"/>
    </row>
    <row r="130" spans="2:103" s="343" customFormat="1" ht="33.75" customHeight="1" x14ac:dyDescent="0.25">
      <c r="B130" s="263">
        <v>44318</v>
      </c>
      <c r="C130" s="103">
        <v>0.25</v>
      </c>
      <c r="D130" s="410">
        <v>42</v>
      </c>
      <c r="E130" s="100">
        <v>8.3000000000000007</v>
      </c>
      <c r="F130" s="412">
        <v>11.3</v>
      </c>
      <c r="G130" s="413">
        <v>1468</v>
      </c>
      <c r="H130" s="413">
        <v>2116</v>
      </c>
      <c r="I130" s="413">
        <v>104.4</v>
      </c>
      <c r="J130" s="413">
        <v>105</v>
      </c>
      <c r="K130" s="413" t="s">
        <v>478</v>
      </c>
      <c r="L130" s="100">
        <v>33.5</v>
      </c>
      <c r="M130" s="100">
        <v>36</v>
      </c>
      <c r="N130" s="100">
        <v>53.4</v>
      </c>
      <c r="O130" s="101"/>
      <c r="P130" s="101"/>
      <c r="Q130" s="101"/>
      <c r="R130" s="101" t="s">
        <v>151</v>
      </c>
      <c r="S130" s="101">
        <v>53.4</v>
      </c>
      <c r="T130" s="102" t="s">
        <v>23</v>
      </c>
      <c r="U130" s="101" t="s">
        <v>466</v>
      </c>
      <c r="V130" s="408" t="s">
        <v>446</v>
      </c>
      <c r="W130" s="400"/>
      <c r="CM130" s="342"/>
      <c r="CN130" s="342"/>
      <c r="CO130" s="342"/>
      <c r="CP130" s="342"/>
      <c r="CQ130" s="342"/>
      <c r="CR130" s="342"/>
      <c r="CS130" s="342"/>
      <c r="CT130" s="342"/>
      <c r="CU130" s="342"/>
      <c r="CV130" s="342"/>
      <c r="CW130" s="342"/>
      <c r="CX130" s="342"/>
      <c r="CY130" s="342"/>
    </row>
    <row r="131" spans="2:103" s="343" customFormat="1" ht="33.75" customHeight="1" x14ac:dyDescent="0.25">
      <c r="B131" s="263">
        <v>44319</v>
      </c>
      <c r="C131" s="103">
        <v>0.25</v>
      </c>
      <c r="D131" s="410">
        <v>42</v>
      </c>
      <c r="E131" s="100">
        <v>8.3000000000000007</v>
      </c>
      <c r="F131" s="412">
        <v>11.3</v>
      </c>
      <c r="G131" s="413">
        <v>1468</v>
      </c>
      <c r="H131" s="413">
        <v>2116</v>
      </c>
      <c r="I131" s="413">
        <v>104.4</v>
      </c>
      <c r="J131" s="413">
        <v>105</v>
      </c>
      <c r="K131" s="413" t="s">
        <v>478</v>
      </c>
      <c r="L131" s="100">
        <v>33.5</v>
      </c>
      <c r="M131" s="100">
        <v>36</v>
      </c>
      <c r="N131" s="100">
        <v>53.4</v>
      </c>
      <c r="O131" s="101"/>
      <c r="P131" s="101"/>
      <c r="Q131" s="101"/>
      <c r="R131" s="101" t="s">
        <v>151</v>
      </c>
      <c r="S131" s="101">
        <v>53.4</v>
      </c>
      <c r="T131" s="102" t="s">
        <v>23</v>
      </c>
      <c r="U131" s="101" t="s">
        <v>466</v>
      </c>
      <c r="V131" s="408" t="s">
        <v>446</v>
      </c>
      <c r="W131" s="400"/>
      <c r="CM131" s="342"/>
      <c r="CN131" s="342"/>
      <c r="CO131" s="342"/>
      <c r="CP131" s="342"/>
      <c r="CQ131" s="342"/>
      <c r="CR131" s="342"/>
      <c r="CS131" s="342"/>
      <c r="CT131" s="342"/>
      <c r="CU131" s="342"/>
      <c r="CV131" s="342"/>
      <c r="CW131" s="342"/>
      <c r="CX131" s="342"/>
      <c r="CY131" s="342"/>
    </row>
    <row r="132" spans="2:103" s="343" customFormat="1" ht="33.75" customHeight="1" x14ac:dyDescent="0.25">
      <c r="B132" s="263">
        <v>44320</v>
      </c>
      <c r="C132" s="103">
        <v>0.25</v>
      </c>
      <c r="D132" s="410">
        <v>42</v>
      </c>
      <c r="E132" s="100">
        <v>8.8000000000000007</v>
      </c>
      <c r="F132" s="412">
        <v>11.7</v>
      </c>
      <c r="G132" s="413">
        <v>1463.8</v>
      </c>
      <c r="H132" s="413">
        <v>2087.1999999999998</v>
      </c>
      <c r="I132" s="413">
        <v>104.4</v>
      </c>
      <c r="J132" s="413">
        <v>105</v>
      </c>
      <c r="K132" s="413" t="s">
        <v>487</v>
      </c>
      <c r="L132" s="100">
        <v>34.33</v>
      </c>
      <c r="M132" s="100">
        <v>35</v>
      </c>
      <c r="N132" s="100">
        <v>55.48</v>
      </c>
      <c r="O132" s="101"/>
      <c r="P132" s="101"/>
      <c r="Q132" s="101"/>
      <c r="R132" s="101" t="s">
        <v>154</v>
      </c>
      <c r="S132" s="101">
        <v>53.5</v>
      </c>
      <c r="T132" s="102" t="s">
        <v>23</v>
      </c>
      <c r="U132" s="101" t="s">
        <v>466</v>
      </c>
      <c r="V132" s="408" t="s">
        <v>446</v>
      </c>
      <c r="W132" s="400"/>
      <c r="CM132" s="342"/>
      <c r="CN132" s="342"/>
      <c r="CO132" s="342"/>
      <c r="CP132" s="342"/>
      <c r="CQ132" s="342"/>
      <c r="CR132" s="342"/>
      <c r="CS132" s="342"/>
      <c r="CT132" s="342"/>
      <c r="CU132" s="342"/>
      <c r="CV132" s="342"/>
      <c r="CW132" s="342"/>
      <c r="CX132" s="342"/>
      <c r="CY132" s="342"/>
    </row>
    <row r="133" spans="2:103" s="343" customFormat="1" ht="33.75" customHeight="1" x14ac:dyDescent="0.25">
      <c r="B133" s="263">
        <v>44321</v>
      </c>
      <c r="C133" s="103">
        <v>0.25</v>
      </c>
      <c r="D133" s="410">
        <v>42</v>
      </c>
      <c r="E133" s="100">
        <v>8.9</v>
      </c>
      <c r="F133" s="412">
        <v>11.7</v>
      </c>
      <c r="G133" s="413">
        <v>1462</v>
      </c>
      <c r="H133" s="413">
        <v>2078</v>
      </c>
      <c r="I133" s="413">
        <v>104.4</v>
      </c>
      <c r="J133" s="413">
        <v>105</v>
      </c>
      <c r="K133" s="413" t="s">
        <v>493</v>
      </c>
      <c r="L133" s="100">
        <v>32.840000000000003</v>
      </c>
      <c r="M133" s="100">
        <v>35</v>
      </c>
      <c r="N133" s="100">
        <v>54.95</v>
      </c>
      <c r="O133" s="101"/>
      <c r="P133" s="101"/>
      <c r="Q133" s="101"/>
      <c r="R133" s="101" t="s">
        <v>147</v>
      </c>
      <c r="S133" s="101">
        <v>53.5</v>
      </c>
      <c r="T133" s="102" t="s">
        <v>23</v>
      </c>
      <c r="U133" s="101" t="s">
        <v>466</v>
      </c>
      <c r="V133" s="408" t="s">
        <v>446</v>
      </c>
      <c r="W133" s="400"/>
      <c r="CM133" s="342"/>
      <c r="CN133" s="342"/>
      <c r="CO133" s="342"/>
      <c r="CP133" s="342"/>
      <c r="CQ133" s="342"/>
      <c r="CR133" s="342"/>
      <c r="CS133" s="342"/>
      <c r="CT133" s="342"/>
      <c r="CU133" s="342"/>
      <c r="CV133" s="342"/>
      <c r="CW133" s="342"/>
      <c r="CX133" s="342"/>
      <c r="CY133" s="342"/>
    </row>
    <row r="134" spans="2:103" s="343" customFormat="1" ht="33.75" customHeight="1" x14ac:dyDescent="0.25">
      <c r="B134" s="263">
        <v>44322</v>
      </c>
      <c r="C134" s="103">
        <v>0.25</v>
      </c>
      <c r="D134" s="410">
        <v>42</v>
      </c>
      <c r="E134" s="100">
        <v>8.8000000000000007</v>
      </c>
      <c r="F134" s="412">
        <v>11.6</v>
      </c>
      <c r="G134" s="413">
        <v>1463</v>
      </c>
      <c r="H134" s="413">
        <v>2088</v>
      </c>
      <c r="I134" s="413">
        <v>104.4</v>
      </c>
      <c r="J134" s="413">
        <v>105</v>
      </c>
      <c r="K134" s="413" t="s">
        <v>498</v>
      </c>
      <c r="L134" s="100">
        <v>34.18</v>
      </c>
      <c r="M134" s="100">
        <v>35</v>
      </c>
      <c r="N134" s="100">
        <v>54.37</v>
      </c>
      <c r="O134" s="101"/>
      <c r="P134" s="101"/>
      <c r="Q134" s="101"/>
      <c r="R134" s="101" t="s">
        <v>154</v>
      </c>
      <c r="S134" s="101">
        <v>53.1</v>
      </c>
      <c r="T134" s="102" t="s">
        <v>23</v>
      </c>
      <c r="U134" s="101" t="s">
        <v>466</v>
      </c>
      <c r="V134" s="408" t="s">
        <v>446</v>
      </c>
      <c r="W134" s="400"/>
      <c r="CM134" s="342"/>
      <c r="CN134" s="342"/>
      <c r="CO134" s="342"/>
      <c r="CP134" s="342"/>
      <c r="CQ134" s="342"/>
      <c r="CR134" s="342"/>
      <c r="CS134" s="342"/>
      <c r="CT134" s="342"/>
      <c r="CU134" s="342"/>
      <c r="CV134" s="342"/>
      <c r="CW134" s="342"/>
      <c r="CX134" s="342"/>
      <c r="CY134" s="342"/>
    </row>
    <row r="135" spans="2:103" s="343" customFormat="1" ht="33.75" customHeight="1" x14ac:dyDescent="0.25">
      <c r="B135" s="263">
        <v>44323</v>
      </c>
      <c r="C135" s="103">
        <v>0.25</v>
      </c>
      <c r="D135" s="410">
        <v>42</v>
      </c>
      <c r="E135" s="100">
        <v>9</v>
      </c>
      <c r="F135" s="412">
        <v>11.7</v>
      </c>
      <c r="G135" s="413">
        <v>1462</v>
      </c>
      <c r="H135" s="413">
        <v>2073</v>
      </c>
      <c r="I135" s="413">
        <v>104.4</v>
      </c>
      <c r="J135" s="413">
        <v>105.5</v>
      </c>
      <c r="K135" s="413" t="s">
        <v>507</v>
      </c>
      <c r="L135" s="100">
        <v>34.130000000000003</v>
      </c>
      <c r="M135" s="100">
        <v>35</v>
      </c>
      <c r="N135" s="100">
        <v>55.48</v>
      </c>
      <c r="O135" s="101"/>
      <c r="P135" s="101"/>
      <c r="Q135" s="101"/>
      <c r="R135" s="101" t="s">
        <v>154</v>
      </c>
      <c r="S135" s="101">
        <v>53.1</v>
      </c>
      <c r="T135" s="102" t="s">
        <v>23</v>
      </c>
      <c r="U135" s="101" t="s">
        <v>466</v>
      </c>
      <c r="V135" s="408" t="s">
        <v>446</v>
      </c>
      <c r="W135" s="400"/>
      <c r="CM135" s="342"/>
      <c r="CN135" s="342"/>
      <c r="CO135" s="342"/>
      <c r="CP135" s="342"/>
      <c r="CQ135" s="342"/>
      <c r="CR135" s="342"/>
      <c r="CS135" s="342"/>
      <c r="CT135" s="342"/>
      <c r="CU135" s="342"/>
      <c r="CV135" s="342"/>
      <c r="CW135" s="342"/>
      <c r="CX135" s="342"/>
      <c r="CY135" s="342"/>
    </row>
    <row r="136" spans="2:103" s="343" customFormat="1" ht="33.75" customHeight="1" x14ac:dyDescent="0.25">
      <c r="B136" s="263">
        <v>44324</v>
      </c>
      <c r="C136" s="103">
        <v>0.25</v>
      </c>
      <c r="D136" s="410">
        <v>42</v>
      </c>
      <c r="E136" s="100">
        <v>9</v>
      </c>
      <c r="F136" s="412">
        <v>11.7</v>
      </c>
      <c r="G136" s="413">
        <v>1464</v>
      </c>
      <c r="H136" s="413">
        <v>2084</v>
      </c>
      <c r="I136" s="413">
        <v>104.4</v>
      </c>
      <c r="J136" s="413">
        <v>105</v>
      </c>
      <c r="K136" s="413" t="s">
        <v>512</v>
      </c>
      <c r="L136" s="100">
        <v>34.21</v>
      </c>
      <c r="M136" s="100">
        <v>35</v>
      </c>
      <c r="N136" s="100">
        <v>55.18</v>
      </c>
      <c r="O136" s="101"/>
      <c r="P136" s="101"/>
      <c r="Q136" s="101"/>
      <c r="R136" s="101" t="s">
        <v>183</v>
      </c>
      <c r="S136" s="101">
        <v>53.5</v>
      </c>
      <c r="T136" s="102" t="s">
        <v>23</v>
      </c>
      <c r="U136" s="101" t="s">
        <v>466</v>
      </c>
      <c r="V136" s="408" t="s">
        <v>446</v>
      </c>
      <c r="W136" s="400"/>
      <c r="CM136" s="342"/>
      <c r="CN136" s="342"/>
      <c r="CO136" s="342"/>
      <c r="CP136" s="342"/>
      <c r="CQ136" s="342"/>
      <c r="CR136" s="342"/>
      <c r="CS136" s="342"/>
      <c r="CT136" s="342"/>
      <c r="CU136" s="342"/>
      <c r="CV136" s="342"/>
      <c r="CW136" s="342"/>
      <c r="CX136" s="342"/>
      <c r="CY136" s="342"/>
    </row>
    <row r="137" spans="2:103" s="343" customFormat="1" ht="33.75" customHeight="1" x14ac:dyDescent="0.25">
      <c r="B137" s="263">
        <v>44325</v>
      </c>
      <c r="C137" s="103">
        <v>0.25</v>
      </c>
      <c r="D137" s="410">
        <v>42</v>
      </c>
      <c r="E137" s="100">
        <v>8.4</v>
      </c>
      <c r="F137" s="412">
        <v>11.3</v>
      </c>
      <c r="G137" s="413">
        <v>1467</v>
      </c>
      <c r="H137" s="413">
        <v>2103</v>
      </c>
      <c r="I137" s="413">
        <v>104.4</v>
      </c>
      <c r="J137" s="413">
        <v>105</v>
      </c>
      <c r="K137" s="413" t="s">
        <v>512</v>
      </c>
      <c r="L137" s="100">
        <v>35.299999999999997</v>
      </c>
      <c r="M137" s="100">
        <v>35</v>
      </c>
      <c r="N137" s="100">
        <v>53.83</v>
      </c>
      <c r="O137" s="101"/>
      <c r="P137" s="101"/>
      <c r="Q137" s="101"/>
      <c r="R137" s="101" t="s">
        <v>515</v>
      </c>
      <c r="S137" s="101">
        <v>52.6</v>
      </c>
      <c r="T137" s="102" t="s">
        <v>23</v>
      </c>
      <c r="U137" s="101" t="s">
        <v>466</v>
      </c>
      <c r="V137" s="408" t="s">
        <v>446</v>
      </c>
      <c r="W137" s="400"/>
      <c r="CM137" s="342"/>
      <c r="CN137" s="342"/>
      <c r="CO137" s="342"/>
      <c r="CP137" s="342"/>
      <c r="CQ137" s="342"/>
      <c r="CR137" s="342"/>
      <c r="CS137" s="342"/>
      <c r="CT137" s="342"/>
      <c r="CU137" s="342"/>
      <c r="CV137" s="342"/>
      <c r="CW137" s="342"/>
      <c r="CX137" s="342"/>
      <c r="CY137" s="342"/>
    </row>
    <row r="138" spans="2:103" s="343" customFormat="1" ht="33.75" customHeight="1" x14ac:dyDescent="0.25">
      <c r="B138" s="263">
        <v>44326</v>
      </c>
      <c r="C138" s="103">
        <v>0.25</v>
      </c>
      <c r="D138" s="410">
        <v>42</v>
      </c>
      <c r="E138" s="100">
        <v>9</v>
      </c>
      <c r="F138" s="412">
        <v>11.7</v>
      </c>
      <c r="G138" s="413">
        <v>1467</v>
      </c>
      <c r="H138" s="413">
        <v>2085</v>
      </c>
      <c r="I138" s="413">
        <v>104.4</v>
      </c>
      <c r="J138" s="413">
        <v>105</v>
      </c>
      <c r="K138" s="413" t="s">
        <v>520</v>
      </c>
      <c r="L138" s="100">
        <v>33.6</v>
      </c>
      <c r="M138" s="100">
        <v>35</v>
      </c>
      <c r="N138" s="100">
        <v>53.83</v>
      </c>
      <c r="O138" s="101"/>
      <c r="P138" s="101"/>
      <c r="Q138" s="101"/>
      <c r="R138" s="101" t="s">
        <v>183</v>
      </c>
      <c r="S138" s="101">
        <v>53.5</v>
      </c>
      <c r="T138" s="102" t="s">
        <v>23</v>
      </c>
      <c r="U138" s="101" t="s">
        <v>466</v>
      </c>
      <c r="V138" s="408" t="s">
        <v>446</v>
      </c>
      <c r="W138" s="400"/>
      <c r="CM138" s="342"/>
      <c r="CN138" s="342"/>
      <c r="CO138" s="342"/>
      <c r="CP138" s="342"/>
      <c r="CQ138" s="342"/>
      <c r="CR138" s="342"/>
      <c r="CS138" s="342"/>
      <c r="CT138" s="342"/>
      <c r="CU138" s="342"/>
      <c r="CV138" s="342"/>
      <c r="CW138" s="342"/>
      <c r="CX138" s="342"/>
      <c r="CY138" s="342"/>
    </row>
    <row r="139" spans="2:103" s="343" customFormat="1" ht="33.75" customHeight="1" x14ac:dyDescent="0.25">
      <c r="B139" s="263">
        <v>44327</v>
      </c>
      <c r="C139" s="103">
        <v>0.25</v>
      </c>
      <c r="D139" s="410">
        <v>42</v>
      </c>
      <c r="E139" s="100">
        <v>8.1999999999999993</v>
      </c>
      <c r="F139" s="412">
        <v>11.2</v>
      </c>
      <c r="G139" s="413">
        <v>1476</v>
      </c>
      <c r="H139" s="413">
        <v>2136</v>
      </c>
      <c r="I139" s="413">
        <v>104.4</v>
      </c>
      <c r="J139" s="413">
        <v>105</v>
      </c>
      <c r="K139" s="413" t="s">
        <v>512</v>
      </c>
      <c r="L139" s="100">
        <v>35.36</v>
      </c>
      <c r="M139" s="100">
        <v>37</v>
      </c>
      <c r="N139" s="100">
        <v>52.08</v>
      </c>
      <c r="O139" s="101"/>
      <c r="P139" s="101"/>
      <c r="Q139" s="101"/>
      <c r="R139" s="101" t="s">
        <v>523</v>
      </c>
      <c r="S139" s="101">
        <v>51.2</v>
      </c>
      <c r="T139" s="102" t="s">
        <v>23</v>
      </c>
      <c r="U139" s="101" t="s">
        <v>466</v>
      </c>
      <c r="V139" s="408" t="s">
        <v>446</v>
      </c>
      <c r="W139" s="400"/>
      <c r="CM139" s="342"/>
      <c r="CN139" s="342"/>
      <c r="CO139" s="342"/>
      <c r="CP139" s="342"/>
      <c r="CQ139" s="342"/>
      <c r="CR139" s="342"/>
      <c r="CS139" s="342"/>
      <c r="CT139" s="342"/>
      <c r="CU139" s="342"/>
      <c r="CV139" s="342"/>
      <c r="CW139" s="342"/>
      <c r="CX139" s="342"/>
      <c r="CY139" s="342"/>
    </row>
    <row r="140" spans="2:103" s="343" customFormat="1" ht="33.75" customHeight="1" x14ac:dyDescent="0.25">
      <c r="B140" s="263">
        <v>44328</v>
      </c>
      <c r="C140" s="103">
        <v>0.25</v>
      </c>
      <c r="D140" s="410">
        <v>42</v>
      </c>
      <c r="E140" s="100">
        <v>8.6</v>
      </c>
      <c r="F140" s="412">
        <v>11.4</v>
      </c>
      <c r="G140" s="413">
        <v>1482</v>
      </c>
      <c r="H140" s="413">
        <v>2123</v>
      </c>
      <c r="I140" s="413">
        <v>104</v>
      </c>
      <c r="J140" s="413">
        <v>105</v>
      </c>
      <c r="K140" s="413" t="s">
        <v>525</v>
      </c>
      <c r="L140" s="100">
        <v>35.5</v>
      </c>
      <c r="M140" s="100">
        <v>37</v>
      </c>
      <c r="N140" s="100">
        <v>53</v>
      </c>
      <c r="O140" s="101"/>
      <c r="P140" s="101"/>
      <c r="Q140" s="101"/>
      <c r="R140" s="101" t="s">
        <v>141</v>
      </c>
      <c r="S140" s="101">
        <v>52.6</v>
      </c>
      <c r="T140" s="102" t="s">
        <v>23</v>
      </c>
      <c r="U140" s="101" t="s">
        <v>466</v>
      </c>
      <c r="V140" s="408" t="s">
        <v>446</v>
      </c>
      <c r="W140" s="400"/>
      <c r="CM140" s="342"/>
      <c r="CN140" s="342"/>
      <c r="CO140" s="342"/>
      <c r="CP140" s="342"/>
      <c r="CQ140" s="342"/>
      <c r="CR140" s="342"/>
      <c r="CS140" s="342"/>
      <c r="CT140" s="342"/>
      <c r="CU140" s="342"/>
      <c r="CV140" s="342"/>
      <c r="CW140" s="342"/>
      <c r="CX140" s="342"/>
      <c r="CY140" s="342"/>
    </row>
    <row r="141" spans="2:103" s="343" customFormat="1" ht="33.75" customHeight="1" x14ac:dyDescent="0.25">
      <c r="B141" s="263">
        <v>44329</v>
      </c>
      <c r="C141" s="103">
        <v>0.25</v>
      </c>
      <c r="D141" s="410">
        <v>42</v>
      </c>
      <c r="E141" s="100">
        <v>8.5</v>
      </c>
      <c r="F141" s="412">
        <v>11.3</v>
      </c>
      <c r="G141" s="413">
        <v>1486</v>
      </c>
      <c r="H141" s="413">
        <v>2129</v>
      </c>
      <c r="I141" s="413">
        <v>104</v>
      </c>
      <c r="J141" s="413">
        <v>105</v>
      </c>
      <c r="K141" s="413" t="s">
        <v>527</v>
      </c>
      <c r="L141" s="100">
        <v>35.6</v>
      </c>
      <c r="M141" s="100">
        <v>37</v>
      </c>
      <c r="N141" s="100">
        <v>52.5</v>
      </c>
      <c r="O141" s="101"/>
      <c r="P141" s="101"/>
      <c r="Q141" s="101"/>
      <c r="R141" s="101" t="s">
        <v>141</v>
      </c>
      <c r="S141" s="101">
        <v>52.1</v>
      </c>
      <c r="T141" s="102" t="s">
        <v>23</v>
      </c>
      <c r="U141" s="101" t="s">
        <v>466</v>
      </c>
      <c r="V141" s="408" t="s">
        <v>446</v>
      </c>
      <c r="W141" s="400"/>
      <c r="CM141" s="342"/>
      <c r="CN141" s="342"/>
      <c r="CO141" s="342"/>
      <c r="CP141" s="342"/>
      <c r="CQ141" s="342"/>
      <c r="CR141" s="342"/>
      <c r="CS141" s="342"/>
      <c r="CT141" s="342"/>
      <c r="CU141" s="342"/>
      <c r="CV141" s="342"/>
      <c r="CW141" s="342"/>
      <c r="CX141" s="342"/>
      <c r="CY141" s="342"/>
    </row>
    <row r="142" spans="2:103" s="343" customFormat="1" ht="33.75" customHeight="1" x14ac:dyDescent="0.25">
      <c r="B142" s="263">
        <v>44330</v>
      </c>
      <c r="C142" s="103">
        <v>0.25</v>
      </c>
      <c r="D142" s="410">
        <v>42</v>
      </c>
      <c r="E142" s="100">
        <v>8.8000000000000007</v>
      </c>
      <c r="F142" s="412">
        <v>11.6</v>
      </c>
      <c r="G142" s="413">
        <v>1491</v>
      </c>
      <c r="H142" s="413">
        <v>2118</v>
      </c>
      <c r="I142" s="413">
        <v>104</v>
      </c>
      <c r="J142" s="413">
        <v>105</v>
      </c>
      <c r="K142" s="413" t="s">
        <v>529</v>
      </c>
      <c r="L142" s="100">
        <v>34.5</v>
      </c>
      <c r="M142" s="100">
        <v>37</v>
      </c>
      <c r="N142" s="100">
        <v>51.5</v>
      </c>
      <c r="O142" s="101"/>
      <c r="P142" s="101"/>
      <c r="Q142" s="101"/>
      <c r="R142" s="101" t="s">
        <v>154</v>
      </c>
      <c r="S142" s="101">
        <v>53.5</v>
      </c>
      <c r="T142" s="102" t="s">
        <v>23</v>
      </c>
      <c r="U142" s="101" t="s">
        <v>466</v>
      </c>
      <c r="V142" s="408" t="s">
        <v>446</v>
      </c>
      <c r="W142" s="400"/>
      <c r="CM142" s="342"/>
      <c r="CN142" s="342"/>
      <c r="CO142" s="342"/>
      <c r="CP142" s="342"/>
      <c r="CQ142" s="342"/>
      <c r="CR142" s="342"/>
      <c r="CS142" s="342"/>
      <c r="CT142" s="342"/>
      <c r="CU142" s="342"/>
      <c r="CV142" s="342"/>
      <c r="CW142" s="342"/>
      <c r="CX142" s="342"/>
      <c r="CY142" s="342"/>
    </row>
    <row r="143" spans="2:103" s="343" customFormat="1" ht="33.75" customHeight="1" x14ac:dyDescent="0.25">
      <c r="B143" s="263">
        <v>44331</v>
      </c>
      <c r="C143" s="103">
        <v>0.25</v>
      </c>
      <c r="D143" s="410">
        <v>42</v>
      </c>
      <c r="E143" s="100">
        <v>8.9</v>
      </c>
      <c r="F143" s="412">
        <v>11.7</v>
      </c>
      <c r="G143" s="413">
        <v>1485</v>
      </c>
      <c r="H143" s="413">
        <v>2100</v>
      </c>
      <c r="I143" s="413">
        <v>104</v>
      </c>
      <c r="J143" s="413">
        <v>105</v>
      </c>
      <c r="K143" s="413" t="s">
        <v>530</v>
      </c>
      <c r="L143" s="100">
        <v>33.799999999999997</v>
      </c>
      <c r="M143" s="100">
        <v>35</v>
      </c>
      <c r="N143" s="100">
        <v>53</v>
      </c>
      <c r="O143" s="101"/>
      <c r="P143" s="101"/>
      <c r="Q143" s="101"/>
      <c r="R143" s="101" t="s">
        <v>183</v>
      </c>
      <c r="S143" s="101">
        <v>54</v>
      </c>
      <c r="T143" s="102" t="s">
        <v>23</v>
      </c>
      <c r="U143" s="101" t="s">
        <v>466</v>
      </c>
      <c r="V143" s="408" t="s">
        <v>446</v>
      </c>
      <c r="W143" s="400"/>
      <c r="CM143" s="342"/>
      <c r="CN143" s="342"/>
      <c r="CO143" s="342"/>
      <c r="CP143" s="342"/>
      <c r="CQ143" s="342"/>
      <c r="CR143" s="342"/>
      <c r="CS143" s="342"/>
      <c r="CT143" s="342"/>
      <c r="CU143" s="342"/>
      <c r="CV143" s="342"/>
      <c r="CW143" s="342"/>
      <c r="CX143" s="342"/>
      <c r="CY143" s="342"/>
    </row>
    <row r="144" spans="2:103" s="343" customFormat="1" ht="33.75" customHeight="1" x14ac:dyDescent="0.25">
      <c r="B144" s="263">
        <v>44332</v>
      </c>
      <c r="C144" s="103">
        <v>0.25</v>
      </c>
      <c r="D144" s="410">
        <v>42</v>
      </c>
      <c r="E144" s="100">
        <v>8.9</v>
      </c>
      <c r="F144" s="412">
        <v>11.7</v>
      </c>
      <c r="G144" s="413">
        <v>1482</v>
      </c>
      <c r="H144" s="413">
        <v>2105</v>
      </c>
      <c r="I144" s="413">
        <v>104</v>
      </c>
      <c r="J144" s="413">
        <v>105</v>
      </c>
      <c r="K144" s="413" t="s">
        <v>533</v>
      </c>
      <c r="L144" s="100">
        <v>33.4</v>
      </c>
      <c r="M144" s="100">
        <v>35</v>
      </c>
      <c r="N144" s="100">
        <v>54.02</v>
      </c>
      <c r="O144" s="101"/>
      <c r="P144" s="101"/>
      <c r="Q144" s="101"/>
      <c r="R144" s="101" t="s">
        <v>195</v>
      </c>
      <c r="S144" s="101">
        <v>54</v>
      </c>
      <c r="T144" s="102" t="s">
        <v>23</v>
      </c>
      <c r="U144" s="101" t="s">
        <v>466</v>
      </c>
      <c r="V144" s="408" t="s">
        <v>446</v>
      </c>
      <c r="W144" s="400"/>
      <c r="CM144" s="342"/>
      <c r="CN144" s="342"/>
      <c r="CO144" s="342"/>
      <c r="CP144" s="342"/>
      <c r="CQ144" s="342"/>
      <c r="CR144" s="342"/>
      <c r="CS144" s="342"/>
      <c r="CT144" s="342"/>
      <c r="CU144" s="342"/>
      <c r="CV144" s="342"/>
      <c r="CW144" s="342"/>
      <c r="CX144" s="342"/>
      <c r="CY144" s="342"/>
    </row>
    <row r="145" spans="2:103" s="343" customFormat="1" ht="33.75" customHeight="1" x14ac:dyDescent="0.25">
      <c r="B145" s="263">
        <v>44333</v>
      </c>
      <c r="C145" s="103">
        <v>0.25</v>
      </c>
      <c r="D145" s="410">
        <v>42</v>
      </c>
      <c r="E145" s="100">
        <v>9.1999999999999993</v>
      </c>
      <c r="F145" s="412">
        <v>11.9</v>
      </c>
      <c r="G145" s="413">
        <v>1479</v>
      </c>
      <c r="H145" s="413">
        <v>2079</v>
      </c>
      <c r="I145" s="413">
        <v>105</v>
      </c>
      <c r="J145" s="413">
        <v>105</v>
      </c>
      <c r="K145" s="413" t="s">
        <v>534</v>
      </c>
      <c r="L145" s="100">
        <v>35.4</v>
      </c>
      <c r="M145" s="100">
        <v>36.5</v>
      </c>
      <c r="N145" s="100">
        <v>52.7</v>
      </c>
      <c r="O145" s="101"/>
      <c r="P145" s="101"/>
      <c r="Q145" s="101"/>
      <c r="R145" s="101" t="s">
        <v>195</v>
      </c>
      <c r="S145" s="101">
        <v>52.6</v>
      </c>
      <c r="T145" s="102" t="s">
        <v>23</v>
      </c>
      <c r="U145" s="101" t="s">
        <v>466</v>
      </c>
      <c r="V145" s="408" t="s">
        <v>446</v>
      </c>
      <c r="W145" s="400"/>
      <c r="CM145" s="342"/>
      <c r="CN145" s="342"/>
      <c r="CO145" s="342"/>
      <c r="CP145" s="342"/>
      <c r="CQ145" s="342"/>
      <c r="CR145" s="342"/>
      <c r="CS145" s="342"/>
      <c r="CT145" s="342"/>
      <c r="CU145" s="342"/>
      <c r="CV145" s="342"/>
      <c r="CW145" s="342"/>
      <c r="CX145" s="342"/>
      <c r="CY145" s="342"/>
    </row>
    <row r="146" spans="2:103" s="343" customFormat="1" ht="33.75" customHeight="1" x14ac:dyDescent="0.25">
      <c r="B146" s="263">
        <v>44334</v>
      </c>
      <c r="C146" s="103">
        <v>0.25</v>
      </c>
      <c r="D146" s="410">
        <v>42</v>
      </c>
      <c r="E146" s="100">
        <v>9.6</v>
      </c>
      <c r="F146" s="412">
        <v>12.3</v>
      </c>
      <c r="G146" s="413">
        <v>1475</v>
      </c>
      <c r="H146" s="413">
        <v>2087</v>
      </c>
      <c r="I146" s="413">
        <v>105.5</v>
      </c>
      <c r="J146" s="413">
        <v>106.1</v>
      </c>
      <c r="K146" s="413" t="s">
        <v>542</v>
      </c>
      <c r="L146" s="100">
        <v>34.4</v>
      </c>
      <c r="M146" s="100">
        <v>35</v>
      </c>
      <c r="N146" s="100">
        <v>56</v>
      </c>
      <c r="O146" s="101"/>
      <c r="P146" s="101"/>
      <c r="Q146" s="101"/>
      <c r="R146" s="101" t="s">
        <v>543</v>
      </c>
      <c r="S146" s="101">
        <v>56.3</v>
      </c>
      <c r="T146" s="102" t="s">
        <v>23</v>
      </c>
      <c r="U146" s="101" t="s">
        <v>466</v>
      </c>
      <c r="V146" s="408" t="s">
        <v>544</v>
      </c>
      <c r="W146" s="400"/>
      <c r="CM146" s="342"/>
      <c r="CN146" s="342"/>
      <c r="CO146" s="342"/>
      <c r="CP146" s="342"/>
      <c r="CQ146" s="342"/>
      <c r="CR146" s="342"/>
      <c r="CS146" s="342"/>
      <c r="CT146" s="342"/>
      <c r="CU146" s="342"/>
      <c r="CV146" s="342"/>
      <c r="CW146" s="342"/>
      <c r="CX146" s="342"/>
      <c r="CY146" s="342"/>
    </row>
    <row r="147" spans="2:103" s="343" customFormat="1" ht="33.75" customHeight="1" x14ac:dyDescent="0.25">
      <c r="B147" s="263">
        <v>44335</v>
      </c>
      <c r="C147" s="103">
        <v>0.25</v>
      </c>
      <c r="D147" s="410">
        <v>42</v>
      </c>
      <c r="E147" s="100">
        <v>8.5</v>
      </c>
      <c r="F147" s="412">
        <v>11.3</v>
      </c>
      <c r="G147" s="413">
        <v>1466</v>
      </c>
      <c r="H147" s="413">
        <v>2101</v>
      </c>
      <c r="I147" s="413">
        <v>104.4</v>
      </c>
      <c r="J147" s="413">
        <v>105.5</v>
      </c>
      <c r="K147" s="413" t="s">
        <v>548</v>
      </c>
      <c r="L147" s="100">
        <v>35.4</v>
      </c>
      <c r="M147" s="100">
        <v>36.5</v>
      </c>
      <c r="N147" s="100">
        <v>55.8</v>
      </c>
      <c r="O147" s="101"/>
      <c r="P147" s="101"/>
      <c r="Q147" s="101"/>
      <c r="R147" s="101" t="s">
        <v>549</v>
      </c>
      <c r="S147" s="101">
        <v>51.7</v>
      </c>
      <c r="T147" s="102" t="s">
        <v>23</v>
      </c>
      <c r="U147" s="101" t="s">
        <v>466</v>
      </c>
      <c r="V147" s="408" t="s">
        <v>446</v>
      </c>
      <c r="W147" s="400"/>
      <c r="CM147" s="342"/>
      <c r="CN147" s="342"/>
      <c r="CO147" s="342"/>
      <c r="CP147" s="342"/>
      <c r="CQ147" s="342"/>
      <c r="CR147" s="342"/>
      <c r="CS147" s="342"/>
      <c r="CT147" s="342"/>
      <c r="CU147" s="342"/>
      <c r="CV147" s="342"/>
      <c r="CW147" s="342"/>
      <c r="CX147" s="342"/>
      <c r="CY147" s="342"/>
    </row>
    <row r="148" spans="2:103" s="343" customFormat="1" ht="33.75" customHeight="1" x14ac:dyDescent="0.25">
      <c r="B148" s="263">
        <v>44336</v>
      </c>
      <c r="C148" s="103">
        <v>0.25</v>
      </c>
      <c r="D148" s="410">
        <v>42</v>
      </c>
      <c r="E148" s="100">
        <v>8.6</v>
      </c>
      <c r="F148" s="412">
        <v>11.4</v>
      </c>
      <c r="G148" s="413">
        <v>1468</v>
      </c>
      <c r="H148" s="413">
        <v>2096</v>
      </c>
      <c r="I148" s="413">
        <v>104.4</v>
      </c>
      <c r="J148" s="413">
        <v>105</v>
      </c>
      <c r="K148" s="413" t="s">
        <v>551</v>
      </c>
      <c r="L148" s="100">
        <v>35.299999999999997</v>
      </c>
      <c r="M148" s="100">
        <v>36.5</v>
      </c>
      <c r="N148" s="100">
        <v>55.1</v>
      </c>
      <c r="O148" s="101"/>
      <c r="P148" s="101"/>
      <c r="Q148" s="101"/>
      <c r="R148" s="101" t="s">
        <v>151</v>
      </c>
      <c r="S148" s="101">
        <v>52.6</v>
      </c>
      <c r="T148" s="102" t="s">
        <v>23</v>
      </c>
      <c r="U148" s="101" t="s">
        <v>466</v>
      </c>
      <c r="V148" s="408" t="s">
        <v>446</v>
      </c>
      <c r="W148" s="400"/>
      <c r="CM148" s="342"/>
      <c r="CN148" s="342"/>
      <c r="CO148" s="342"/>
      <c r="CP148" s="342"/>
      <c r="CQ148" s="342"/>
      <c r="CR148" s="342"/>
      <c r="CS148" s="342"/>
      <c r="CT148" s="342"/>
      <c r="CU148" s="342"/>
      <c r="CV148" s="342"/>
      <c r="CW148" s="342"/>
      <c r="CX148" s="342"/>
      <c r="CY148" s="342"/>
    </row>
    <row r="149" spans="2:103" s="343" customFormat="1" ht="33.75" customHeight="1" x14ac:dyDescent="0.25">
      <c r="B149" s="263">
        <v>44337</v>
      </c>
      <c r="C149" s="103">
        <v>0.25</v>
      </c>
      <c r="D149" s="410">
        <v>42</v>
      </c>
      <c r="E149" s="100">
        <v>8.1999999999999993</v>
      </c>
      <c r="F149" s="412">
        <v>11.3</v>
      </c>
      <c r="G149" s="413">
        <v>1471</v>
      </c>
      <c r="H149" s="413">
        <v>2115</v>
      </c>
      <c r="I149" s="413">
        <v>104.4</v>
      </c>
      <c r="J149" s="413">
        <v>105</v>
      </c>
      <c r="K149" s="413" t="s">
        <v>551</v>
      </c>
      <c r="L149" s="100">
        <v>36</v>
      </c>
      <c r="M149" s="100">
        <v>37</v>
      </c>
      <c r="N149" s="100">
        <v>52.8</v>
      </c>
      <c r="O149" s="101"/>
      <c r="P149" s="101"/>
      <c r="Q149" s="101"/>
      <c r="R149" s="101" t="s">
        <v>523</v>
      </c>
      <c r="S149" s="101">
        <v>51.2</v>
      </c>
      <c r="T149" s="102" t="s">
        <v>23</v>
      </c>
      <c r="U149" s="101" t="s">
        <v>466</v>
      </c>
      <c r="V149" s="408" t="s">
        <v>446</v>
      </c>
      <c r="W149" s="400"/>
      <c r="CM149" s="342"/>
      <c r="CN149" s="342"/>
      <c r="CO149" s="342"/>
      <c r="CP149" s="342"/>
      <c r="CQ149" s="342"/>
      <c r="CR149" s="342"/>
      <c r="CS149" s="342"/>
      <c r="CT149" s="342"/>
      <c r="CU149" s="342"/>
      <c r="CV149" s="342"/>
      <c r="CW149" s="342"/>
      <c r="CX149" s="342"/>
      <c r="CY149" s="342"/>
    </row>
    <row r="150" spans="2:103" s="343" customFormat="1" ht="33.75" customHeight="1" x14ac:dyDescent="0.25">
      <c r="B150" s="263">
        <v>44338</v>
      </c>
      <c r="C150" s="103">
        <v>0.25</v>
      </c>
      <c r="D150" s="410">
        <v>42</v>
      </c>
      <c r="E150" s="100">
        <v>8.4</v>
      </c>
      <c r="F150" s="412">
        <v>11.4</v>
      </c>
      <c r="G150" s="413">
        <v>1482</v>
      </c>
      <c r="H150" s="413">
        <v>2114</v>
      </c>
      <c r="I150" s="413">
        <v>104</v>
      </c>
      <c r="J150" s="413">
        <v>105</v>
      </c>
      <c r="K150" s="413" t="s">
        <v>553</v>
      </c>
      <c r="L150" s="100">
        <v>36.6</v>
      </c>
      <c r="M150" s="100">
        <v>37.5</v>
      </c>
      <c r="N150" s="100">
        <v>51.9</v>
      </c>
      <c r="O150" s="101"/>
      <c r="P150" s="101"/>
      <c r="Q150" s="101"/>
      <c r="R150" s="101" t="s">
        <v>554</v>
      </c>
      <c r="S150" s="101">
        <v>52.1</v>
      </c>
      <c r="T150" s="102" t="s">
        <v>23</v>
      </c>
      <c r="U150" s="101" t="s">
        <v>466</v>
      </c>
      <c r="V150" s="408" t="s">
        <v>446</v>
      </c>
      <c r="W150" s="400"/>
      <c r="CM150" s="342"/>
      <c r="CN150" s="342"/>
      <c r="CO150" s="342"/>
      <c r="CP150" s="342"/>
      <c r="CQ150" s="342"/>
      <c r="CR150" s="342"/>
      <c r="CS150" s="342"/>
      <c r="CT150" s="342"/>
      <c r="CU150" s="342"/>
      <c r="CV150" s="342"/>
      <c r="CW150" s="342"/>
      <c r="CX150" s="342"/>
      <c r="CY150" s="342"/>
    </row>
    <row r="151" spans="2:103" s="343" customFormat="1" ht="33.75" customHeight="1" x14ac:dyDescent="0.25">
      <c r="B151" s="263">
        <v>44339</v>
      </c>
      <c r="C151" s="103">
        <v>0.25</v>
      </c>
      <c r="D151" s="410">
        <v>42</v>
      </c>
      <c r="E151" s="100">
        <v>8.1999999999999993</v>
      </c>
      <c r="F151" s="412">
        <v>11.3</v>
      </c>
      <c r="G151" s="413">
        <v>1483</v>
      </c>
      <c r="H151" s="413">
        <v>2130</v>
      </c>
      <c r="I151" s="413">
        <v>104.4</v>
      </c>
      <c r="J151" s="413">
        <v>105.5</v>
      </c>
      <c r="K151" s="413" t="s">
        <v>557</v>
      </c>
      <c r="L151" s="100">
        <v>36</v>
      </c>
      <c r="M151" s="100">
        <v>37</v>
      </c>
      <c r="N151" s="100">
        <v>52.5</v>
      </c>
      <c r="O151" s="101"/>
      <c r="P151" s="101"/>
      <c r="Q151" s="101"/>
      <c r="R151" s="101" t="s">
        <v>554</v>
      </c>
      <c r="S151" s="101">
        <v>52.1</v>
      </c>
      <c r="T151" s="102" t="s">
        <v>23</v>
      </c>
      <c r="U151" s="101" t="s">
        <v>466</v>
      </c>
      <c r="V151" s="408" t="s">
        <v>446</v>
      </c>
      <c r="W151" s="400"/>
      <c r="CM151" s="342"/>
      <c r="CN151" s="342"/>
      <c r="CO151" s="342"/>
      <c r="CP151" s="342"/>
      <c r="CQ151" s="342"/>
      <c r="CR151" s="342"/>
      <c r="CS151" s="342"/>
      <c r="CT151" s="342"/>
      <c r="CU151" s="342"/>
      <c r="CV151" s="342"/>
      <c r="CW151" s="342"/>
      <c r="CX151" s="342"/>
      <c r="CY151" s="342"/>
    </row>
    <row r="152" spans="2:103" s="343" customFormat="1" ht="33.75" customHeight="1" x14ac:dyDescent="0.25">
      <c r="B152" s="263">
        <v>44340</v>
      </c>
      <c r="C152" s="103">
        <v>0.25</v>
      </c>
      <c r="D152" s="410">
        <v>42</v>
      </c>
      <c r="E152" s="100">
        <v>8</v>
      </c>
      <c r="F152" s="412">
        <v>11.2</v>
      </c>
      <c r="G152" s="413">
        <v>1491</v>
      </c>
      <c r="H152" s="413">
        <v>2153</v>
      </c>
      <c r="I152" s="413">
        <v>103.8</v>
      </c>
      <c r="J152" s="413">
        <v>105</v>
      </c>
      <c r="K152" s="413" t="s">
        <v>553</v>
      </c>
      <c r="L152" s="100">
        <v>37.299999999999997</v>
      </c>
      <c r="M152" s="100">
        <v>38</v>
      </c>
      <c r="N152" s="100">
        <v>50.9</v>
      </c>
      <c r="O152" s="101"/>
      <c r="P152" s="101"/>
      <c r="Q152" s="101"/>
      <c r="R152" s="101" t="s">
        <v>210</v>
      </c>
      <c r="S152" s="101">
        <v>50.3</v>
      </c>
      <c r="T152" s="102" t="s">
        <v>23</v>
      </c>
      <c r="U152" s="101" t="s">
        <v>466</v>
      </c>
      <c r="V152" s="408" t="s">
        <v>446</v>
      </c>
      <c r="W152" s="400"/>
      <c r="CM152" s="342"/>
      <c r="CN152" s="342"/>
      <c r="CO152" s="342"/>
      <c r="CP152" s="342"/>
      <c r="CQ152" s="342"/>
      <c r="CR152" s="342"/>
      <c r="CS152" s="342"/>
      <c r="CT152" s="342"/>
      <c r="CU152" s="342"/>
      <c r="CV152" s="342"/>
      <c r="CW152" s="342"/>
      <c r="CX152" s="342"/>
      <c r="CY152" s="342"/>
    </row>
    <row r="153" spans="2:103" s="343" customFormat="1" ht="33.75" customHeight="1" x14ac:dyDescent="0.25">
      <c r="B153" s="263">
        <v>44341</v>
      </c>
      <c r="C153" s="103">
        <v>0.25</v>
      </c>
      <c r="D153" s="410">
        <v>42</v>
      </c>
      <c r="E153" s="100">
        <v>8</v>
      </c>
      <c r="F153" s="412">
        <v>11</v>
      </c>
      <c r="G153" s="413">
        <v>1497</v>
      </c>
      <c r="H153" s="413">
        <v>2160</v>
      </c>
      <c r="I153" s="413">
        <v>104.4</v>
      </c>
      <c r="J153" s="413">
        <v>105</v>
      </c>
      <c r="K153" s="413" t="s">
        <v>551</v>
      </c>
      <c r="L153" s="100">
        <v>38.1</v>
      </c>
      <c r="M153" s="100">
        <v>39</v>
      </c>
      <c r="N153" s="100">
        <v>50.2</v>
      </c>
      <c r="O153" s="101"/>
      <c r="P153" s="101"/>
      <c r="Q153" s="101"/>
      <c r="R153" s="101" t="s">
        <v>560</v>
      </c>
      <c r="S153" s="101">
        <v>50.8</v>
      </c>
      <c r="T153" s="102" t="s">
        <v>23</v>
      </c>
      <c r="U153" s="101" t="s">
        <v>466</v>
      </c>
      <c r="V153" s="408" t="s">
        <v>446</v>
      </c>
      <c r="W153" s="400"/>
      <c r="CM153" s="342"/>
      <c r="CN153" s="342"/>
      <c r="CO153" s="342"/>
      <c r="CP153" s="342"/>
      <c r="CQ153" s="342"/>
      <c r="CR153" s="342"/>
      <c r="CS153" s="342"/>
      <c r="CT153" s="342"/>
      <c r="CU153" s="342"/>
      <c r="CV153" s="342"/>
      <c r="CW153" s="342"/>
      <c r="CX153" s="342"/>
      <c r="CY153" s="342"/>
    </row>
    <row r="154" spans="2:103" s="343" customFormat="1" ht="33.75" customHeight="1" x14ac:dyDescent="0.25">
      <c r="B154" s="263">
        <v>44342</v>
      </c>
      <c r="C154" s="103">
        <v>0.25</v>
      </c>
      <c r="D154" s="410">
        <v>42</v>
      </c>
      <c r="E154" s="100">
        <v>9</v>
      </c>
      <c r="F154" s="412">
        <v>11.8</v>
      </c>
      <c r="G154" s="413">
        <v>1484</v>
      </c>
      <c r="H154" s="413">
        <v>2080</v>
      </c>
      <c r="I154" s="413">
        <v>105.5</v>
      </c>
      <c r="J154" s="413">
        <v>105.5</v>
      </c>
      <c r="K154" s="413" t="s">
        <v>562</v>
      </c>
      <c r="L154" s="100">
        <v>33.5</v>
      </c>
      <c r="M154" s="100">
        <v>35</v>
      </c>
      <c r="N154" s="100">
        <v>55.1</v>
      </c>
      <c r="O154" s="101"/>
      <c r="P154" s="101"/>
      <c r="Q154" s="101"/>
      <c r="R154" s="101" t="s">
        <v>563</v>
      </c>
      <c r="S154" s="101">
        <v>54.4</v>
      </c>
      <c r="T154" s="102" t="s">
        <v>23</v>
      </c>
      <c r="U154" s="101" t="s">
        <v>466</v>
      </c>
      <c r="V154" s="408" t="s">
        <v>446</v>
      </c>
      <c r="W154" s="400"/>
      <c r="CM154" s="342"/>
      <c r="CN154" s="342"/>
      <c r="CO154" s="342"/>
      <c r="CP154" s="342"/>
      <c r="CQ154" s="342"/>
      <c r="CR154" s="342"/>
      <c r="CS154" s="342"/>
      <c r="CT154" s="342"/>
      <c r="CU154" s="342"/>
      <c r="CV154" s="342"/>
      <c r="CW154" s="342"/>
      <c r="CX154" s="342"/>
      <c r="CY154" s="342"/>
    </row>
    <row r="155" spans="2:103" s="343" customFormat="1" ht="33.75" customHeight="1" x14ac:dyDescent="0.25">
      <c r="B155" s="263">
        <v>44343</v>
      </c>
      <c r="C155" s="103">
        <v>0.25</v>
      </c>
      <c r="D155" s="410">
        <v>42</v>
      </c>
      <c r="E155" s="100">
        <v>8.6</v>
      </c>
      <c r="F155" s="412">
        <v>11.6</v>
      </c>
      <c r="G155" s="413">
        <v>1474</v>
      </c>
      <c r="H155" s="413">
        <v>2099</v>
      </c>
      <c r="I155" s="413">
        <v>104.4</v>
      </c>
      <c r="J155" s="413">
        <v>105.5</v>
      </c>
      <c r="K155" s="413" t="s">
        <v>565</v>
      </c>
      <c r="L155" s="100">
        <v>35.1</v>
      </c>
      <c r="M155" s="100">
        <v>36</v>
      </c>
      <c r="N155" s="100">
        <v>54.2</v>
      </c>
      <c r="O155" s="101"/>
      <c r="P155" s="101"/>
      <c r="Q155" s="101"/>
      <c r="R155" s="101" t="s">
        <v>144</v>
      </c>
      <c r="S155" s="101">
        <v>52.1</v>
      </c>
      <c r="T155" s="102" t="s">
        <v>23</v>
      </c>
      <c r="U155" s="101" t="s">
        <v>466</v>
      </c>
      <c r="V155" s="408" t="s">
        <v>446</v>
      </c>
      <c r="W155" s="400"/>
      <c r="CM155" s="342"/>
      <c r="CN155" s="342"/>
      <c r="CO155" s="342"/>
      <c r="CP155" s="342"/>
      <c r="CQ155" s="342"/>
      <c r="CR155" s="342"/>
      <c r="CS155" s="342"/>
      <c r="CT155" s="342"/>
      <c r="CU155" s="342"/>
      <c r="CV155" s="342"/>
      <c r="CW155" s="342"/>
      <c r="CX155" s="342"/>
      <c r="CY155" s="342"/>
    </row>
    <row r="156" spans="2:103" s="343" customFormat="1" ht="33.75" customHeight="1" x14ac:dyDescent="0.25">
      <c r="B156" s="263">
        <v>44344</v>
      </c>
      <c r="C156" s="103">
        <v>0.25</v>
      </c>
      <c r="D156" s="410">
        <v>42</v>
      </c>
      <c r="E156" s="100">
        <v>8.4</v>
      </c>
      <c r="F156" s="412">
        <v>11.4</v>
      </c>
      <c r="G156" s="413">
        <v>1477</v>
      </c>
      <c r="H156" s="413">
        <v>2119</v>
      </c>
      <c r="I156" s="413">
        <v>104.4</v>
      </c>
      <c r="J156" s="413">
        <v>105.5</v>
      </c>
      <c r="K156" s="413" t="s">
        <v>547</v>
      </c>
      <c r="L156" s="100">
        <v>35.5</v>
      </c>
      <c r="M156" s="100">
        <v>37</v>
      </c>
      <c r="N156" s="100">
        <v>53.3</v>
      </c>
      <c r="O156" s="101"/>
      <c r="P156" s="101"/>
      <c r="Q156" s="101"/>
      <c r="R156" s="101" t="s">
        <v>523</v>
      </c>
      <c r="S156" s="101">
        <v>51.7</v>
      </c>
      <c r="T156" s="102" t="s">
        <v>23</v>
      </c>
      <c r="U156" s="101" t="s">
        <v>466</v>
      </c>
      <c r="V156" s="408" t="s">
        <v>446</v>
      </c>
      <c r="W156" s="400"/>
      <c r="CM156" s="342"/>
      <c r="CN156" s="342"/>
      <c r="CO156" s="342"/>
      <c r="CP156" s="342"/>
      <c r="CQ156" s="342"/>
      <c r="CR156" s="342"/>
      <c r="CS156" s="342"/>
      <c r="CT156" s="342"/>
      <c r="CU156" s="342"/>
      <c r="CV156" s="342"/>
      <c r="CW156" s="342"/>
      <c r="CX156" s="342"/>
      <c r="CY156" s="342"/>
    </row>
    <row r="157" spans="2:103" s="343" customFormat="1" ht="33.75" customHeight="1" x14ac:dyDescent="0.25">
      <c r="B157" s="263">
        <v>44345</v>
      </c>
      <c r="C157" s="103">
        <v>0.25</v>
      </c>
      <c r="D157" s="410">
        <v>42</v>
      </c>
      <c r="E157" s="100">
        <v>8.6</v>
      </c>
      <c r="F157" s="412">
        <v>11.5</v>
      </c>
      <c r="G157" s="413">
        <v>1473</v>
      </c>
      <c r="H157" s="413">
        <v>2102</v>
      </c>
      <c r="I157" s="413">
        <v>105</v>
      </c>
      <c r="J157" s="413">
        <v>106.1</v>
      </c>
      <c r="K157" s="413" t="s">
        <v>565</v>
      </c>
      <c r="L157" s="100">
        <v>34.4</v>
      </c>
      <c r="M157" s="100">
        <v>36</v>
      </c>
      <c r="N157" s="100">
        <v>52.6</v>
      </c>
      <c r="O157" s="101"/>
      <c r="P157" s="101"/>
      <c r="Q157" s="101"/>
      <c r="R157" s="101" t="s">
        <v>210</v>
      </c>
      <c r="S157" s="101">
        <v>52.6</v>
      </c>
      <c r="T157" s="102" t="s">
        <v>23</v>
      </c>
      <c r="U157" s="101" t="s">
        <v>466</v>
      </c>
      <c r="V157" s="408" t="s">
        <v>446</v>
      </c>
      <c r="W157" s="400"/>
      <c r="CM157" s="342"/>
      <c r="CN157" s="342"/>
      <c r="CO157" s="342"/>
      <c r="CP157" s="342"/>
      <c r="CQ157" s="342"/>
      <c r="CR157" s="342"/>
      <c r="CS157" s="342"/>
      <c r="CT157" s="342"/>
      <c r="CU157" s="342"/>
      <c r="CV157" s="342"/>
      <c r="CW157" s="342"/>
      <c r="CX157" s="342"/>
      <c r="CY157" s="342"/>
    </row>
    <row r="158" spans="2:103" s="343" customFormat="1" ht="33.75" customHeight="1" x14ac:dyDescent="0.25">
      <c r="B158" s="263">
        <v>44346</v>
      </c>
      <c r="C158" s="103">
        <v>0.25</v>
      </c>
      <c r="D158" s="410">
        <v>42</v>
      </c>
      <c r="E158" s="100">
        <v>9.1999999999999993</v>
      </c>
      <c r="F158" s="412">
        <v>11.9</v>
      </c>
      <c r="G158" s="413">
        <v>1466</v>
      </c>
      <c r="H158" s="413">
        <v>2029</v>
      </c>
      <c r="I158" s="413">
        <v>105.5</v>
      </c>
      <c r="J158" s="413">
        <v>106.1</v>
      </c>
      <c r="K158" s="413" t="s">
        <v>547</v>
      </c>
      <c r="L158" s="100">
        <v>31.4</v>
      </c>
      <c r="M158" s="100">
        <v>33</v>
      </c>
      <c r="N158" s="100">
        <v>57.4</v>
      </c>
      <c r="O158" s="101"/>
      <c r="P158" s="101"/>
      <c r="Q158" s="101"/>
      <c r="R158" s="101" t="s">
        <v>568</v>
      </c>
      <c r="S158" s="101">
        <v>54.9</v>
      </c>
      <c r="T158" s="102" t="s">
        <v>23</v>
      </c>
      <c r="U158" s="101" t="s">
        <v>466</v>
      </c>
      <c r="V158" s="408"/>
      <c r="W158" s="400"/>
      <c r="CM158" s="342"/>
      <c r="CN158" s="342"/>
      <c r="CO158" s="342"/>
      <c r="CP158" s="342"/>
      <c r="CQ158" s="342"/>
      <c r="CR158" s="342"/>
      <c r="CS158" s="342"/>
      <c r="CT158" s="342"/>
      <c r="CU158" s="342"/>
      <c r="CV158" s="342"/>
      <c r="CW158" s="342"/>
      <c r="CX158" s="342"/>
      <c r="CY158" s="342"/>
    </row>
    <row r="159" spans="2:103" s="343" customFormat="1" ht="33.75" customHeight="1" x14ac:dyDescent="0.25">
      <c r="B159" s="263">
        <v>44347</v>
      </c>
      <c r="C159" s="103">
        <v>0.25</v>
      </c>
      <c r="D159" s="410">
        <v>42</v>
      </c>
      <c r="E159" s="100">
        <v>9.1999999999999993</v>
      </c>
      <c r="F159" s="412">
        <v>12.2</v>
      </c>
      <c r="G159" s="413">
        <v>1444</v>
      </c>
      <c r="H159" s="413">
        <v>1979</v>
      </c>
      <c r="I159" s="413">
        <v>105.5</v>
      </c>
      <c r="J159" s="413">
        <v>106.1</v>
      </c>
      <c r="K159" s="413" t="s">
        <v>577</v>
      </c>
      <c r="L159" s="100">
        <v>30.5</v>
      </c>
      <c r="M159" s="100">
        <v>32</v>
      </c>
      <c r="N159" s="100">
        <v>58.5</v>
      </c>
      <c r="O159" s="101"/>
      <c r="P159" s="101"/>
      <c r="Q159" s="101"/>
      <c r="R159" s="101" t="s">
        <v>578</v>
      </c>
      <c r="S159" s="101">
        <v>55.3</v>
      </c>
      <c r="T159" s="102" t="s">
        <v>23</v>
      </c>
      <c r="U159" s="101" t="s">
        <v>466</v>
      </c>
      <c r="V159" s="408"/>
      <c r="W159" s="400"/>
      <c r="CM159" s="342"/>
      <c r="CN159" s="342"/>
      <c r="CO159" s="342"/>
      <c r="CP159" s="342"/>
      <c r="CQ159" s="342"/>
      <c r="CR159" s="342"/>
      <c r="CS159" s="342"/>
      <c r="CT159" s="342"/>
      <c r="CU159" s="342"/>
      <c r="CV159" s="342"/>
      <c r="CW159" s="342"/>
      <c r="CX159" s="342"/>
      <c r="CY159" s="342"/>
    </row>
    <row r="160" spans="2:103" s="343" customFormat="1" ht="33.75" customHeight="1" x14ac:dyDescent="0.25">
      <c r="B160" s="263">
        <v>44348</v>
      </c>
      <c r="C160" s="103">
        <v>0.25</v>
      </c>
      <c r="D160" s="410">
        <v>42</v>
      </c>
      <c r="E160" s="100">
        <v>9.1999999999999993</v>
      </c>
      <c r="F160" s="412">
        <v>12</v>
      </c>
      <c r="G160" s="413">
        <v>1431</v>
      </c>
      <c r="H160" s="413">
        <v>1978</v>
      </c>
      <c r="I160" s="413">
        <v>104.4</v>
      </c>
      <c r="J160" s="413">
        <v>105</v>
      </c>
      <c r="K160" s="413" t="s">
        <v>577</v>
      </c>
      <c r="L160" s="100">
        <v>30.2</v>
      </c>
      <c r="M160" s="100">
        <v>32</v>
      </c>
      <c r="N160" s="100">
        <v>58.8</v>
      </c>
      <c r="O160" s="101"/>
      <c r="P160" s="101"/>
      <c r="Q160" s="101"/>
      <c r="R160" s="101" t="s">
        <v>580</v>
      </c>
      <c r="S160" s="101">
        <v>54.9</v>
      </c>
      <c r="T160" s="102" t="s">
        <v>23</v>
      </c>
      <c r="U160" s="101" t="s">
        <v>466</v>
      </c>
      <c r="V160" s="408"/>
      <c r="W160" s="400"/>
      <c r="CM160" s="342"/>
      <c r="CN160" s="342"/>
      <c r="CO160" s="342"/>
      <c r="CP160" s="342"/>
      <c r="CQ160" s="342"/>
      <c r="CR160" s="342"/>
      <c r="CS160" s="342"/>
      <c r="CT160" s="342"/>
      <c r="CU160" s="342"/>
      <c r="CV160" s="342"/>
      <c r="CW160" s="342"/>
      <c r="CX160" s="342"/>
      <c r="CY160" s="342"/>
    </row>
    <row r="161" spans="2:103" s="343" customFormat="1" ht="33.75" customHeight="1" x14ac:dyDescent="0.25">
      <c r="B161" s="263">
        <v>44349</v>
      </c>
      <c r="C161" s="103">
        <v>0.25</v>
      </c>
      <c r="D161" s="410">
        <v>42</v>
      </c>
      <c r="E161" s="100">
        <v>9.1999999999999993</v>
      </c>
      <c r="F161" s="412">
        <v>16.100000000000001</v>
      </c>
      <c r="G161" s="413">
        <v>1421</v>
      </c>
      <c r="H161" s="413">
        <v>1990</v>
      </c>
      <c r="I161" s="413">
        <v>105</v>
      </c>
      <c r="J161" s="413">
        <v>106.1</v>
      </c>
      <c r="K161" s="413" t="s">
        <v>565</v>
      </c>
      <c r="L161" s="100">
        <v>31.29</v>
      </c>
      <c r="M161" s="100">
        <v>31.47</v>
      </c>
      <c r="N161" s="100">
        <v>57.63</v>
      </c>
      <c r="O161" s="101"/>
      <c r="P161" s="101"/>
      <c r="Q161" s="101"/>
      <c r="R161" s="101" t="s">
        <v>580</v>
      </c>
      <c r="S161" s="101">
        <v>54.9</v>
      </c>
      <c r="T161" s="102" t="s">
        <v>23</v>
      </c>
      <c r="U161" s="101" t="s">
        <v>466</v>
      </c>
      <c r="V161" s="408"/>
      <c r="W161" s="400"/>
      <c r="CM161" s="342"/>
      <c r="CN161" s="342"/>
      <c r="CO161" s="342"/>
      <c r="CP161" s="342"/>
      <c r="CQ161" s="342"/>
      <c r="CR161" s="342"/>
      <c r="CS161" s="342"/>
      <c r="CT161" s="342"/>
      <c r="CU161" s="342"/>
      <c r="CV161" s="342"/>
      <c r="CW161" s="342"/>
      <c r="CX161" s="342"/>
      <c r="CY161" s="342"/>
    </row>
    <row r="162" spans="2:103" s="343" customFormat="1" ht="33.75" customHeight="1" x14ac:dyDescent="0.25">
      <c r="B162" s="263">
        <v>44350</v>
      </c>
      <c r="C162" s="103">
        <v>0.25</v>
      </c>
      <c r="D162" s="410">
        <v>42</v>
      </c>
      <c r="E162" s="100">
        <v>9.1999999999999993</v>
      </c>
      <c r="F162" s="412">
        <v>11.9</v>
      </c>
      <c r="G162" s="413">
        <v>1412</v>
      </c>
      <c r="H162" s="413">
        <v>1980</v>
      </c>
      <c r="I162" s="413">
        <v>105</v>
      </c>
      <c r="J162" s="413">
        <v>106.1</v>
      </c>
      <c r="K162" s="413" t="s">
        <v>590</v>
      </c>
      <c r="L162" s="100">
        <v>30.41</v>
      </c>
      <c r="M162" s="100">
        <v>30.57</v>
      </c>
      <c r="N162" s="100">
        <v>58.4</v>
      </c>
      <c r="O162" s="101"/>
      <c r="P162" s="101"/>
      <c r="Q162" s="101"/>
      <c r="R162" s="101" t="s">
        <v>591</v>
      </c>
      <c r="S162" s="101">
        <v>54.4</v>
      </c>
      <c r="T162" s="102" t="s">
        <v>23</v>
      </c>
      <c r="U162" s="101" t="s">
        <v>466</v>
      </c>
      <c r="V162" s="408"/>
      <c r="W162" s="400"/>
      <c r="CM162" s="342"/>
      <c r="CN162" s="342"/>
      <c r="CO162" s="342"/>
      <c r="CP162" s="342"/>
      <c r="CQ162" s="342"/>
      <c r="CR162" s="342"/>
      <c r="CS162" s="342"/>
      <c r="CT162" s="342"/>
      <c r="CU162" s="342"/>
      <c r="CV162" s="342"/>
      <c r="CW162" s="342"/>
      <c r="CX162" s="342"/>
      <c r="CY162" s="342"/>
    </row>
    <row r="163" spans="2:103" s="343" customFormat="1" ht="33.75" customHeight="1" x14ac:dyDescent="0.25">
      <c r="B163" s="263">
        <v>44351</v>
      </c>
      <c r="C163" s="103">
        <v>0.25</v>
      </c>
      <c r="D163" s="410">
        <v>42</v>
      </c>
      <c r="E163" s="100">
        <v>9.1</v>
      </c>
      <c r="F163" s="412">
        <v>11.8</v>
      </c>
      <c r="G163" s="413">
        <v>1410</v>
      </c>
      <c r="H163" s="413">
        <v>2001</v>
      </c>
      <c r="I163" s="413">
        <v>105</v>
      </c>
      <c r="J163" s="413">
        <v>106</v>
      </c>
      <c r="K163" s="413" t="s">
        <v>594</v>
      </c>
      <c r="L163" s="100">
        <v>31.15</v>
      </c>
      <c r="M163" s="100">
        <v>31.53</v>
      </c>
      <c r="N163" s="100">
        <v>58.3</v>
      </c>
      <c r="O163" s="101"/>
      <c r="P163" s="101"/>
      <c r="Q163" s="101"/>
      <c r="R163" s="101" t="s">
        <v>177</v>
      </c>
      <c r="S163" s="101">
        <v>54</v>
      </c>
      <c r="T163" s="102" t="s">
        <v>23</v>
      </c>
      <c r="U163" s="101" t="s">
        <v>466</v>
      </c>
      <c r="V163" s="408"/>
      <c r="W163" s="400"/>
      <c r="CM163" s="342"/>
      <c r="CN163" s="342"/>
      <c r="CO163" s="342"/>
      <c r="CP163" s="342"/>
      <c r="CQ163" s="342"/>
      <c r="CR163" s="342"/>
      <c r="CS163" s="342"/>
      <c r="CT163" s="342"/>
      <c r="CU163" s="342"/>
      <c r="CV163" s="342"/>
      <c r="CW163" s="342"/>
      <c r="CX163" s="342"/>
      <c r="CY163" s="342"/>
    </row>
    <row r="164" spans="2:103" s="343" customFormat="1" ht="33.75" customHeight="1" x14ac:dyDescent="0.25">
      <c r="B164" s="263">
        <v>44352</v>
      </c>
      <c r="C164" s="103">
        <v>0.25</v>
      </c>
      <c r="D164" s="410">
        <v>42</v>
      </c>
      <c r="E164" s="100">
        <v>8.8000000000000007</v>
      </c>
      <c r="F164" s="412">
        <v>15.3</v>
      </c>
      <c r="G164" s="413">
        <v>924</v>
      </c>
      <c r="H164" s="413">
        <v>2265</v>
      </c>
      <c r="I164" s="413">
        <v>105</v>
      </c>
      <c r="J164" s="413">
        <v>106</v>
      </c>
      <c r="K164" s="413" t="s">
        <v>598</v>
      </c>
      <c r="L164" s="100">
        <v>30.5</v>
      </c>
      <c r="M164" s="100">
        <v>30.76</v>
      </c>
      <c r="N164" s="100">
        <v>56.9</v>
      </c>
      <c r="O164" s="101"/>
      <c r="P164" s="101"/>
      <c r="Q164" s="101"/>
      <c r="R164" s="101" t="s">
        <v>549</v>
      </c>
      <c r="S164" s="101">
        <v>65.3</v>
      </c>
      <c r="T164" s="102" t="s">
        <v>23</v>
      </c>
      <c r="U164" s="101" t="s">
        <v>466</v>
      </c>
      <c r="V164" s="408"/>
      <c r="W164" s="400"/>
      <c r="CM164" s="342"/>
      <c r="CN164" s="342"/>
      <c r="CO164" s="342"/>
      <c r="CP164" s="342"/>
      <c r="CQ164" s="342"/>
      <c r="CR164" s="342"/>
      <c r="CS164" s="342"/>
      <c r="CT164" s="342"/>
      <c r="CU164" s="342"/>
      <c r="CV164" s="342"/>
      <c r="CW164" s="342"/>
      <c r="CX164" s="342"/>
      <c r="CY164" s="342"/>
    </row>
    <row r="165" spans="2:103" s="343" customFormat="1" ht="33.75" customHeight="1" x14ac:dyDescent="0.25">
      <c r="B165" s="263">
        <v>44353</v>
      </c>
      <c r="C165" s="103">
        <v>0.25</v>
      </c>
      <c r="D165" s="410">
        <v>42</v>
      </c>
      <c r="E165" s="100">
        <v>8.6</v>
      </c>
      <c r="F165" s="412">
        <v>11.4</v>
      </c>
      <c r="G165" s="413">
        <v>1414</v>
      </c>
      <c r="H165" s="413">
        <v>2045</v>
      </c>
      <c r="I165" s="413">
        <v>104</v>
      </c>
      <c r="J165" s="413">
        <v>105.5</v>
      </c>
      <c r="K165" s="413" t="s">
        <v>604</v>
      </c>
      <c r="L165" s="100">
        <v>31.8</v>
      </c>
      <c r="M165" s="100">
        <v>30.62</v>
      </c>
      <c r="N165" s="100">
        <v>55.7</v>
      </c>
      <c r="O165" s="101"/>
      <c r="P165" s="101"/>
      <c r="Q165" s="101"/>
      <c r="R165" s="101" t="s">
        <v>210</v>
      </c>
      <c r="S165" s="101">
        <v>52.6</v>
      </c>
      <c r="T165" s="102" t="s">
        <v>23</v>
      </c>
      <c r="U165" s="101" t="s">
        <v>466</v>
      </c>
      <c r="V165" s="408"/>
      <c r="W165" s="400"/>
      <c r="CM165" s="342"/>
      <c r="CN165" s="342"/>
      <c r="CO165" s="342"/>
      <c r="CP165" s="342"/>
      <c r="CQ165" s="342"/>
      <c r="CR165" s="342"/>
      <c r="CS165" s="342"/>
      <c r="CT165" s="342"/>
      <c r="CU165" s="342"/>
      <c r="CV165" s="342"/>
      <c r="CW165" s="342"/>
      <c r="CX165" s="342"/>
      <c r="CY165" s="342"/>
    </row>
    <row r="166" spans="2:103" s="343" customFormat="1" ht="33.75" customHeight="1" x14ac:dyDescent="0.25">
      <c r="B166" s="263">
        <v>44354</v>
      </c>
      <c r="C166" s="103">
        <v>0.25</v>
      </c>
      <c r="D166" s="410">
        <v>42</v>
      </c>
      <c r="E166" s="100">
        <v>8.6</v>
      </c>
      <c r="F166" s="412">
        <v>11.6</v>
      </c>
      <c r="G166" s="413">
        <v>1413</v>
      </c>
      <c r="H166" s="413">
        <v>2038</v>
      </c>
      <c r="I166" s="413">
        <v>105</v>
      </c>
      <c r="J166" s="413">
        <v>106</v>
      </c>
      <c r="K166" s="413" t="s">
        <v>551</v>
      </c>
      <c r="L166" s="100">
        <v>32.5</v>
      </c>
      <c r="M166" s="100">
        <v>32.700000000000003</v>
      </c>
      <c r="N166" s="100">
        <v>57</v>
      </c>
      <c r="O166" s="101"/>
      <c r="P166" s="101"/>
      <c r="Q166" s="101"/>
      <c r="R166" s="101" t="s">
        <v>607</v>
      </c>
      <c r="S166" s="101">
        <v>53.1</v>
      </c>
      <c r="T166" s="102" t="s">
        <v>23</v>
      </c>
      <c r="U166" s="101" t="s">
        <v>466</v>
      </c>
      <c r="V166" s="408"/>
      <c r="W166" s="400"/>
      <c r="CM166" s="342"/>
      <c r="CN166" s="342"/>
      <c r="CO166" s="342"/>
      <c r="CP166" s="342"/>
      <c r="CQ166" s="342"/>
      <c r="CR166" s="342"/>
      <c r="CS166" s="342"/>
      <c r="CT166" s="342"/>
      <c r="CU166" s="342"/>
      <c r="CV166" s="342"/>
      <c r="CW166" s="342"/>
      <c r="CX166" s="342"/>
      <c r="CY166" s="342"/>
    </row>
    <row r="167" spans="2:103" s="343" customFormat="1" ht="33.75" customHeight="1" x14ac:dyDescent="0.25">
      <c r="B167" s="263">
        <v>44355</v>
      </c>
      <c r="C167" s="103">
        <v>0.25</v>
      </c>
      <c r="D167" s="410">
        <v>42</v>
      </c>
      <c r="E167" s="100">
        <v>8.6999999999999993</v>
      </c>
      <c r="F167" s="412">
        <v>11.4</v>
      </c>
      <c r="G167" s="413">
        <v>1417.3</v>
      </c>
      <c r="H167" s="413">
        <v>2046</v>
      </c>
      <c r="I167" s="413">
        <v>105</v>
      </c>
      <c r="J167" s="413">
        <v>106</v>
      </c>
      <c r="K167" s="413" t="s">
        <v>610</v>
      </c>
      <c r="L167" s="100">
        <v>31.95</v>
      </c>
      <c r="M167" s="100">
        <v>32.06</v>
      </c>
      <c r="N167" s="100">
        <v>55.9</v>
      </c>
      <c r="O167" s="101"/>
      <c r="P167" s="101"/>
      <c r="Q167" s="101"/>
      <c r="R167" s="101" t="s">
        <v>611</v>
      </c>
      <c r="S167" s="101">
        <v>52.1</v>
      </c>
      <c r="T167" s="102" t="s">
        <v>23</v>
      </c>
      <c r="U167" s="101" t="s">
        <v>466</v>
      </c>
      <c r="V167" s="408"/>
      <c r="W167" s="400"/>
      <c r="CM167" s="342"/>
      <c r="CN167" s="342"/>
      <c r="CO167" s="342"/>
      <c r="CP167" s="342"/>
      <c r="CQ167" s="342"/>
      <c r="CR167" s="342"/>
      <c r="CS167" s="342"/>
      <c r="CT167" s="342"/>
      <c r="CU167" s="342"/>
      <c r="CV167" s="342"/>
      <c r="CW167" s="342"/>
      <c r="CX167" s="342"/>
      <c r="CY167" s="342"/>
    </row>
    <row r="168" spans="2:103" s="343" customFormat="1" ht="33.75" customHeight="1" x14ac:dyDescent="0.25">
      <c r="B168" s="263">
        <v>44356</v>
      </c>
      <c r="C168" s="103">
        <v>0.25</v>
      </c>
      <c r="D168" s="410">
        <v>42</v>
      </c>
      <c r="E168" s="100">
        <v>8.8000000000000007</v>
      </c>
      <c r="F168" s="412">
        <v>11.6</v>
      </c>
      <c r="G168" s="413">
        <v>1420</v>
      </c>
      <c r="H168" s="413">
        <v>2036</v>
      </c>
      <c r="I168" s="413">
        <v>104</v>
      </c>
      <c r="J168" s="413">
        <v>105</v>
      </c>
      <c r="K168" s="413" t="s">
        <v>613</v>
      </c>
      <c r="L168" s="100">
        <v>32.880000000000003</v>
      </c>
      <c r="M168" s="100">
        <v>33.1</v>
      </c>
      <c r="N168" s="100">
        <v>55.9</v>
      </c>
      <c r="O168" s="101"/>
      <c r="P168" s="101"/>
      <c r="Q168" s="101"/>
      <c r="R168" s="101" t="s">
        <v>151</v>
      </c>
      <c r="S168" s="101">
        <v>53.1</v>
      </c>
      <c r="T168" s="102" t="s">
        <v>23</v>
      </c>
      <c r="U168" s="101" t="s">
        <v>466</v>
      </c>
      <c r="V168" s="408"/>
      <c r="W168" s="400"/>
      <c r="CM168" s="342"/>
      <c r="CN168" s="342"/>
      <c r="CO168" s="342"/>
      <c r="CP168" s="342"/>
      <c r="CQ168" s="342"/>
      <c r="CR168" s="342"/>
      <c r="CS168" s="342"/>
      <c r="CT168" s="342"/>
      <c r="CU168" s="342"/>
      <c r="CV168" s="342"/>
      <c r="CW168" s="342"/>
      <c r="CX168" s="342"/>
      <c r="CY168" s="342"/>
    </row>
    <row r="169" spans="2:103" s="343" customFormat="1" ht="33.75" customHeight="1" x14ac:dyDescent="0.25">
      <c r="B169" s="263">
        <v>44357</v>
      </c>
      <c r="C169" s="103">
        <v>0.25</v>
      </c>
      <c r="D169" s="410">
        <v>42</v>
      </c>
      <c r="E169" s="100">
        <v>8.4</v>
      </c>
      <c r="F169" s="412">
        <v>11.1</v>
      </c>
      <c r="G169" s="413">
        <v>1429</v>
      </c>
      <c r="H169" s="413">
        <v>2071</v>
      </c>
      <c r="I169" s="413">
        <v>104</v>
      </c>
      <c r="J169" s="413">
        <v>105</v>
      </c>
      <c r="K169" s="413" t="s">
        <v>617</v>
      </c>
      <c r="L169" s="100">
        <v>33.14</v>
      </c>
      <c r="M169" s="100">
        <v>33.18</v>
      </c>
      <c r="N169" s="100">
        <v>51.2</v>
      </c>
      <c r="O169" s="101"/>
      <c r="P169" s="101"/>
      <c r="Q169" s="101"/>
      <c r="R169" s="101" t="s">
        <v>618</v>
      </c>
      <c r="S169" s="101">
        <v>51.2</v>
      </c>
      <c r="T169" s="102" t="s">
        <v>23</v>
      </c>
      <c r="U169" s="101" t="s">
        <v>466</v>
      </c>
      <c r="V169" s="408"/>
      <c r="W169" s="400"/>
      <c r="CM169" s="342"/>
      <c r="CN169" s="342"/>
      <c r="CO169" s="342"/>
      <c r="CP169" s="342"/>
      <c r="CQ169" s="342"/>
      <c r="CR169" s="342"/>
      <c r="CS169" s="342"/>
      <c r="CT169" s="342"/>
      <c r="CU169" s="342"/>
      <c r="CV169" s="342"/>
      <c r="CW169" s="342"/>
      <c r="CX169" s="342"/>
      <c r="CY169" s="342"/>
    </row>
    <row r="170" spans="2:103" s="343" customFormat="1" ht="33.75" customHeight="1" x14ac:dyDescent="0.25">
      <c r="B170" s="263">
        <v>44358</v>
      </c>
      <c r="C170" s="103">
        <v>0.25</v>
      </c>
      <c r="D170" s="410">
        <v>42</v>
      </c>
      <c r="E170" s="100">
        <v>8.1999999999999993</v>
      </c>
      <c r="F170" s="412">
        <v>11.1</v>
      </c>
      <c r="G170" s="413">
        <v>1441</v>
      </c>
      <c r="H170" s="413">
        <v>2099</v>
      </c>
      <c r="I170" s="413">
        <v>103</v>
      </c>
      <c r="J170" s="413">
        <v>105</v>
      </c>
      <c r="K170" s="413" t="s">
        <v>621</v>
      </c>
      <c r="L170" s="100">
        <v>34.299999999999997</v>
      </c>
      <c r="M170" s="100">
        <v>33.369999999999997</v>
      </c>
      <c r="N170" s="100">
        <v>50.4</v>
      </c>
      <c r="O170" s="101"/>
      <c r="P170" s="101"/>
      <c r="Q170" s="101"/>
      <c r="R170" s="101" t="s">
        <v>622</v>
      </c>
      <c r="S170" s="101">
        <v>50.3</v>
      </c>
      <c r="T170" s="102" t="s">
        <v>23</v>
      </c>
      <c r="U170" s="101" t="s">
        <v>466</v>
      </c>
      <c r="V170" s="408"/>
      <c r="W170" s="400"/>
      <c r="CM170" s="342"/>
      <c r="CN170" s="342"/>
      <c r="CO170" s="342"/>
      <c r="CP170" s="342"/>
      <c r="CQ170" s="342"/>
      <c r="CR170" s="342"/>
      <c r="CS170" s="342"/>
      <c r="CT170" s="342"/>
      <c r="CU170" s="342"/>
      <c r="CV170" s="342"/>
      <c r="CW170" s="342"/>
      <c r="CX170" s="342"/>
      <c r="CY170" s="342"/>
    </row>
    <row r="171" spans="2:103" s="343" customFormat="1" ht="33.75" customHeight="1" x14ac:dyDescent="0.25">
      <c r="B171" s="263">
        <v>44359</v>
      </c>
      <c r="C171" s="103">
        <v>0.25</v>
      </c>
      <c r="D171" s="410">
        <v>42</v>
      </c>
      <c r="E171" s="100">
        <v>8.1999999999999993</v>
      </c>
      <c r="F171" s="412">
        <v>11.2</v>
      </c>
      <c r="G171" s="413">
        <v>1454</v>
      </c>
      <c r="H171" s="413">
        <v>2106</v>
      </c>
      <c r="I171" s="413">
        <v>103</v>
      </c>
      <c r="J171" s="413">
        <v>105</v>
      </c>
      <c r="K171" s="413" t="s">
        <v>624</v>
      </c>
      <c r="L171" s="100">
        <v>34.46</v>
      </c>
      <c r="M171" s="100">
        <v>34.950000000000003</v>
      </c>
      <c r="N171" s="100">
        <v>50.96</v>
      </c>
      <c r="O171" s="101"/>
      <c r="P171" s="101"/>
      <c r="Q171" s="101"/>
      <c r="R171" s="101" t="s">
        <v>625</v>
      </c>
      <c r="S171" s="101">
        <v>50.3</v>
      </c>
      <c r="T171" s="102" t="s">
        <v>23</v>
      </c>
      <c r="U171" s="101" t="s">
        <v>466</v>
      </c>
      <c r="V171" s="408"/>
      <c r="W171" s="400"/>
      <c r="CM171" s="342"/>
      <c r="CN171" s="342"/>
      <c r="CO171" s="342"/>
      <c r="CP171" s="342"/>
      <c r="CQ171" s="342"/>
      <c r="CR171" s="342"/>
      <c r="CS171" s="342"/>
      <c r="CT171" s="342"/>
      <c r="CU171" s="342"/>
      <c r="CV171" s="342"/>
      <c r="CW171" s="342"/>
      <c r="CX171" s="342"/>
      <c r="CY171" s="342"/>
    </row>
    <row r="172" spans="2:103" s="343" customFormat="1" ht="33.75" customHeight="1" x14ac:dyDescent="0.25">
      <c r="B172" s="263">
        <v>44360</v>
      </c>
      <c r="C172" s="103">
        <v>0.25</v>
      </c>
      <c r="D172" s="410">
        <v>42</v>
      </c>
      <c r="E172" s="100">
        <v>8</v>
      </c>
      <c r="F172" s="412">
        <v>11.1</v>
      </c>
      <c r="G172" s="413">
        <v>1464</v>
      </c>
      <c r="H172" s="413">
        <v>2133</v>
      </c>
      <c r="I172" s="413">
        <v>103</v>
      </c>
      <c r="J172" s="413">
        <v>105</v>
      </c>
      <c r="K172" s="413" t="s">
        <v>624</v>
      </c>
      <c r="L172" s="100">
        <v>34.9</v>
      </c>
      <c r="M172" s="100">
        <v>35.42</v>
      </c>
      <c r="N172" s="100">
        <v>50.96</v>
      </c>
      <c r="O172" s="101"/>
      <c r="P172" s="101"/>
      <c r="Q172" s="101"/>
      <c r="R172" s="101" t="s">
        <v>633</v>
      </c>
      <c r="S172" s="101">
        <v>50.3</v>
      </c>
      <c r="T172" s="102" t="s">
        <v>23</v>
      </c>
      <c r="U172" s="101" t="s">
        <v>466</v>
      </c>
      <c r="V172" s="408"/>
      <c r="W172" s="400"/>
      <c r="CM172" s="342"/>
      <c r="CN172" s="342"/>
      <c r="CO172" s="342"/>
      <c r="CP172" s="342"/>
      <c r="CQ172" s="342"/>
      <c r="CR172" s="342"/>
      <c r="CS172" s="342"/>
      <c r="CT172" s="342"/>
      <c r="CU172" s="342"/>
      <c r="CV172" s="342"/>
      <c r="CW172" s="342"/>
      <c r="CX172" s="342"/>
      <c r="CY172" s="342"/>
    </row>
    <row r="173" spans="2:103" s="343" customFormat="1" ht="33.75" customHeight="1" x14ac:dyDescent="0.25">
      <c r="B173" s="263">
        <v>44361</v>
      </c>
      <c r="C173" s="103">
        <v>0.25</v>
      </c>
      <c r="D173" s="410">
        <v>42</v>
      </c>
      <c r="E173" s="100">
        <v>8.1999999999999993</v>
      </c>
      <c r="F173" s="412">
        <v>11</v>
      </c>
      <c r="G173" s="413">
        <v>1467</v>
      </c>
      <c r="H173" s="413">
        <v>2122</v>
      </c>
      <c r="I173" s="413">
        <v>103</v>
      </c>
      <c r="J173" s="413">
        <v>105</v>
      </c>
      <c r="K173" s="413" t="s">
        <v>557</v>
      </c>
      <c r="L173" s="100">
        <v>34.6</v>
      </c>
      <c r="M173" s="100">
        <v>34.9</v>
      </c>
      <c r="N173" s="100">
        <v>51.97</v>
      </c>
      <c r="O173" s="101"/>
      <c r="P173" s="101"/>
      <c r="Q173" s="101"/>
      <c r="R173" s="101" t="s">
        <v>560</v>
      </c>
      <c r="S173" s="101">
        <v>50.3</v>
      </c>
      <c r="T173" s="102" t="s">
        <v>23</v>
      </c>
      <c r="U173" s="101" t="s">
        <v>466</v>
      </c>
      <c r="V173" s="408"/>
      <c r="W173" s="400"/>
      <c r="CM173" s="342"/>
      <c r="CN173" s="342"/>
      <c r="CO173" s="342"/>
      <c r="CP173" s="342"/>
      <c r="CQ173" s="342"/>
      <c r="CR173" s="342"/>
      <c r="CS173" s="342"/>
      <c r="CT173" s="342"/>
      <c r="CU173" s="342"/>
      <c r="CV173" s="342"/>
      <c r="CW173" s="342"/>
      <c r="CX173" s="342"/>
      <c r="CY173" s="342"/>
    </row>
    <row r="174" spans="2:103" s="343" customFormat="1" ht="33.75" customHeight="1" x14ac:dyDescent="0.25">
      <c r="B174" s="263">
        <v>44362</v>
      </c>
      <c r="C174" s="103">
        <v>0.25</v>
      </c>
      <c r="D174" s="410">
        <v>42</v>
      </c>
      <c r="E174" s="100">
        <v>9</v>
      </c>
      <c r="F174" s="412">
        <v>11.7</v>
      </c>
      <c r="G174" s="413">
        <v>1462</v>
      </c>
      <c r="H174" s="413">
        <v>2063</v>
      </c>
      <c r="I174" s="413">
        <v>105</v>
      </c>
      <c r="J174" s="413">
        <v>105</v>
      </c>
      <c r="K174" s="413" t="s">
        <v>550</v>
      </c>
      <c r="L174" s="100">
        <v>32.909999999999997</v>
      </c>
      <c r="M174" s="100">
        <v>33.020000000000003</v>
      </c>
      <c r="N174" s="100">
        <v>54.9</v>
      </c>
      <c r="O174" s="101"/>
      <c r="P174" s="101"/>
      <c r="Q174" s="101"/>
      <c r="R174" s="101" t="s">
        <v>549</v>
      </c>
      <c r="S174" s="101">
        <v>54</v>
      </c>
      <c r="T174" s="102" t="s">
        <v>23</v>
      </c>
      <c r="U174" s="101" t="s">
        <v>466</v>
      </c>
      <c r="V174" s="408"/>
      <c r="W174" s="400"/>
      <c r="CM174" s="342"/>
      <c r="CN174" s="342"/>
      <c r="CO174" s="342"/>
      <c r="CP174" s="342"/>
      <c r="CQ174" s="342"/>
      <c r="CR174" s="342"/>
      <c r="CS174" s="342"/>
      <c r="CT174" s="342"/>
      <c r="CU174" s="342"/>
      <c r="CV174" s="342"/>
      <c r="CW174" s="342"/>
      <c r="CX174" s="342"/>
      <c r="CY174" s="342"/>
    </row>
    <row r="175" spans="2:103" s="343" customFormat="1" ht="33.75" customHeight="1" x14ac:dyDescent="0.25">
      <c r="B175" s="263">
        <v>44363</v>
      </c>
      <c r="C175" s="103">
        <v>0.25</v>
      </c>
      <c r="D175" s="410">
        <v>42</v>
      </c>
      <c r="E175" s="100">
        <v>9.1</v>
      </c>
      <c r="F175" s="412">
        <v>11.9</v>
      </c>
      <c r="G175" s="413">
        <v>1443</v>
      </c>
      <c r="H175" s="413">
        <v>2016</v>
      </c>
      <c r="I175" s="413">
        <v>105</v>
      </c>
      <c r="J175" s="413">
        <v>106.1</v>
      </c>
      <c r="K175" s="413" t="s">
        <v>634</v>
      </c>
      <c r="L175" s="100">
        <v>31.23</v>
      </c>
      <c r="M175" s="100">
        <v>33.020000000000003</v>
      </c>
      <c r="N175" s="100">
        <v>54.68</v>
      </c>
      <c r="O175" s="101"/>
      <c r="P175" s="101"/>
      <c r="Q175" s="101"/>
      <c r="R175" s="101" t="s">
        <v>549</v>
      </c>
      <c r="S175" s="101">
        <v>54</v>
      </c>
      <c r="T175" s="102" t="s">
        <v>23</v>
      </c>
      <c r="U175" s="101" t="s">
        <v>466</v>
      </c>
      <c r="V175" s="408"/>
      <c r="W175" s="400"/>
      <c r="CM175" s="342"/>
      <c r="CN175" s="342"/>
      <c r="CO175" s="342"/>
      <c r="CP175" s="342"/>
      <c r="CQ175" s="342"/>
      <c r="CR175" s="342"/>
      <c r="CS175" s="342"/>
      <c r="CT175" s="342"/>
      <c r="CU175" s="342"/>
      <c r="CV175" s="342"/>
      <c r="CW175" s="342"/>
      <c r="CX175" s="342"/>
      <c r="CY175" s="342"/>
    </row>
    <row r="176" spans="2:103" s="343" customFormat="1" ht="33.75" customHeight="1" x14ac:dyDescent="0.25">
      <c r="B176" s="263">
        <v>44364</v>
      </c>
      <c r="C176" s="103">
        <v>0.25</v>
      </c>
      <c r="D176" s="410">
        <v>42</v>
      </c>
      <c r="E176" s="100">
        <v>9</v>
      </c>
      <c r="F176" s="412">
        <v>11.7</v>
      </c>
      <c r="G176" s="413">
        <v>1432</v>
      </c>
      <c r="H176" s="413">
        <v>2031</v>
      </c>
      <c r="I176" s="413">
        <v>105</v>
      </c>
      <c r="J176" s="413">
        <v>106.1</v>
      </c>
      <c r="K176" s="413" t="s">
        <v>636</v>
      </c>
      <c r="L176" s="100">
        <v>32.299999999999997</v>
      </c>
      <c r="M176" s="100">
        <v>33.020000000000003</v>
      </c>
      <c r="N176" s="100">
        <v>55.97</v>
      </c>
      <c r="O176" s="101"/>
      <c r="P176" s="101"/>
      <c r="Q176" s="101"/>
      <c r="R176" s="101" t="s">
        <v>549</v>
      </c>
      <c r="S176" s="101">
        <v>53.5</v>
      </c>
      <c r="T176" s="102" t="s">
        <v>23</v>
      </c>
      <c r="U176" s="101" t="s">
        <v>635</v>
      </c>
      <c r="V176" s="408"/>
      <c r="W176" s="400"/>
      <c r="CM176" s="342"/>
      <c r="CN176" s="342"/>
      <c r="CO176" s="342"/>
      <c r="CP176" s="342"/>
      <c r="CQ176" s="342"/>
      <c r="CR176" s="342"/>
      <c r="CS176" s="342"/>
      <c r="CT176" s="342"/>
      <c r="CU176" s="342"/>
      <c r="CV176" s="342"/>
      <c r="CW176" s="342"/>
      <c r="CX176" s="342"/>
      <c r="CY176" s="342"/>
    </row>
    <row r="177" spans="2:103" s="343" customFormat="1" ht="33.75" customHeight="1" x14ac:dyDescent="0.25">
      <c r="B177" s="263">
        <v>44365</v>
      </c>
      <c r="C177" s="103">
        <v>0.25</v>
      </c>
      <c r="D177" s="410">
        <v>42</v>
      </c>
      <c r="E177" s="100">
        <v>8.8000000000000007</v>
      </c>
      <c r="F177" s="412">
        <v>11.5</v>
      </c>
      <c r="G177" s="413">
        <v>1429</v>
      </c>
      <c r="H177" s="413">
        <v>2046</v>
      </c>
      <c r="I177" s="413">
        <v>104.4</v>
      </c>
      <c r="J177" s="413">
        <v>105</v>
      </c>
      <c r="K177" s="413" t="s">
        <v>638</v>
      </c>
      <c r="L177" s="100">
        <v>31.83</v>
      </c>
      <c r="M177" s="100">
        <v>31.94</v>
      </c>
      <c r="N177" s="100">
        <v>55.1</v>
      </c>
      <c r="O177" s="101"/>
      <c r="P177" s="101"/>
      <c r="Q177" s="101"/>
      <c r="R177" s="101" t="s">
        <v>549</v>
      </c>
      <c r="S177" s="101">
        <v>53.1</v>
      </c>
      <c r="T177" s="102" t="s">
        <v>23</v>
      </c>
      <c r="U177" s="101" t="s">
        <v>635</v>
      </c>
      <c r="V177" s="408"/>
      <c r="W177" s="400"/>
      <c r="CM177" s="342"/>
      <c r="CN177" s="342"/>
      <c r="CO177" s="342"/>
      <c r="CP177" s="342"/>
      <c r="CQ177" s="342"/>
      <c r="CR177" s="342"/>
      <c r="CS177" s="342"/>
      <c r="CT177" s="342"/>
      <c r="CU177" s="342"/>
      <c r="CV177" s="342"/>
      <c r="CW177" s="342"/>
      <c r="CX177" s="342"/>
      <c r="CY177" s="342"/>
    </row>
    <row r="178" spans="2:103" s="343" customFormat="1" ht="33.75" customHeight="1" x14ac:dyDescent="0.25">
      <c r="B178" s="263">
        <v>44366</v>
      </c>
      <c r="C178" s="103">
        <v>0.25</v>
      </c>
      <c r="D178" s="410">
        <v>42</v>
      </c>
      <c r="E178" s="100">
        <v>8.8000000000000007</v>
      </c>
      <c r="F178" s="412">
        <v>11.5</v>
      </c>
      <c r="G178" s="413">
        <v>1424</v>
      </c>
      <c r="H178" s="413">
        <v>2045</v>
      </c>
      <c r="I178" s="413">
        <v>104.4</v>
      </c>
      <c r="J178" s="413">
        <v>105</v>
      </c>
      <c r="K178" s="413" t="s">
        <v>643</v>
      </c>
      <c r="L178" s="100">
        <v>32.19</v>
      </c>
      <c r="M178" s="100">
        <v>32.56</v>
      </c>
      <c r="N178" s="100">
        <v>55.18</v>
      </c>
      <c r="O178" s="101"/>
      <c r="P178" s="101"/>
      <c r="Q178" s="101"/>
      <c r="R178" s="101" t="s">
        <v>549</v>
      </c>
      <c r="S178" s="101">
        <v>53.1</v>
      </c>
      <c r="T178" s="102" t="s">
        <v>23</v>
      </c>
      <c r="U178" s="101" t="s">
        <v>635</v>
      </c>
      <c r="V178" s="408"/>
      <c r="W178" s="400"/>
      <c r="CM178" s="342"/>
      <c r="CN178" s="342"/>
      <c r="CO178" s="342"/>
      <c r="CP178" s="342"/>
      <c r="CQ178" s="342"/>
      <c r="CR178" s="342"/>
      <c r="CS178" s="342"/>
      <c r="CT178" s="342"/>
      <c r="CU178" s="342"/>
      <c r="CV178" s="342"/>
      <c r="CW178" s="342"/>
      <c r="CX178" s="342"/>
      <c r="CY178" s="342"/>
    </row>
    <row r="179" spans="2:103" s="343" customFormat="1" ht="33.75" customHeight="1" x14ac:dyDescent="0.25">
      <c r="B179" s="263">
        <v>44367</v>
      </c>
      <c r="C179" s="103">
        <v>0.25</v>
      </c>
      <c r="D179" s="410">
        <v>42</v>
      </c>
      <c r="E179" s="100">
        <v>8.8000000000000007</v>
      </c>
      <c r="F179" s="412">
        <v>11.5</v>
      </c>
      <c r="G179" s="413">
        <v>1416</v>
      </c>
      <c r="H179" s="413">
        <v>2042</v>
      </c>
      <c r="I179" s="413">
        <v>104.4</v>
      </c>
      <c r="J179" s="413">
        <v>105</v>
      </c>
      <c r="K179" s="413" t="s">
        <v>651</v>
      </c>
      <c r="L179" s="100">
        <v>33.4</v>
      </c>
      <c r="M179" s="100">
        <v>33.51</v>
      </c>
      <c r="N179" s="100">
        <v>53.49</v>
      </c>
      <c r="O179" s="101"/>
      <c r="P179" s="101"/>
      <c r="Q179" s="101"/>
      <c r="R179" s="101" t="s">
        <v>549</v>
      </c>
      <c r="S179" s="101">
        <v>52.6</v>
      </c>
      <c r="T179" s="102" t="s">
        <v>23</v>
      </c>
      <c r="U179" s="101" t="s">
        <v>635</v>
      </c>
      <c r="V179" s="408"/>
      <c r="W179" s="400"/>
      <c r="CM179" s="342"/>
      <c r="CN179" s="342"/>
      <c r="CO179" s="342"/>
      <c r="CP179" s="342"/>
      <c r="CQ179" s="342"/>
      <c r="CR179" s="342"/>
      <c r="CS179" s="342"/>
      <c r="CT179" s="342"/>
      <c r="CU179" s="342"/>
      <c r="CV179" s="342"/>
      <c r="CW179" s="342"/>
      <c r="CX179" s="342"/>
      <c r="CY179" s="342"/>
    </row>
    <row r="180" spans="2:103" s="343" customFormat="1" ht="33.75" customHeight="1" x14ac:dyDescent="0.25">
      <c r="B180" s="263">
        <v>44368</v>
      </c>
      <c r="C180" s="103">
        <v>0.25</v>
      </c>
      <c r="D180" s="410">
        <v>42</v>
      </c>
      <c r="E180" s="100">
        <v>7.9</v>
      </c>
      <c r="F180" s="412">
        <v>11.1</v>
      </c>
      <c r="G180" s="413">
        <v>1441</v>
      </c>
      <c r="H180" s="413">
        <v>2113</v>
      </c>
      <c r="I180" s="413">
        <v>103.8</v>
      </c>
      <c r="J180" s="413">
        <v>105</v>
      </c>
      <c r="K180" s="413" t="s">
        <v>525</v>
      </c>
      <c r="L180" s="100">
        <v>35.25</v>
      </c>
      <c r="M180" s="100">
        <v>35.82</v>
      </c>
      <c r="N180" s="100">
        <v>50.16</v>
      </c>
      <c r="O180" s="101"/>
      <c r="P180" s="101"/>
      <c r="Q180" s="101"/>
      <c r="R180" s="101" t="s">
        <v>654</v>
      </c>
      <c r="S180" s="101">
        <v>50.3</v>
      </c>
      <c r="T180" s="102" t="s">
        <v>23</v>
      </c>
      <c r="U180" s="101" t="s">
        <v>635</v>
      </c>
      <c r="V180" s="408"/>
      <c r="W180" s="400"/>
      <c r="CM180" s="342"/>
      <c r="CN180" s="342"/>
      <c r="CO180" s="342"/>
      <c r="CP180" s="342"/>
      <c r="CQ180" s="342"/>
      <c r="CR180" s="342"/>
      <c r="CS180" s="342"/>
      <c r="CT180" s="342"/>
      <c r="CU180" s="342"/>
      <c r="CV180" s="342"/>
      <c r="CW180" s="342"/>
      <c r="CX180" s="342"/>
      <c r="CY180" s="342"/>
    </row>
    <row r="181" spans="2:103" s="343" customFormat="1" ht="33.75" customHeight="1" x14ac:dyDescent="0.25">
      <c r="B181" s="263">
        <v>44369</v>
      </c>
      <c r="C181" s="103">
        <v>0.25</v>
      </c>
      <c r="D181" s="410">
        <v>42</v>
      </c>
      <c r="E181" s="100">
        <v>8.3000000000000007</v>
      </c>
      <c r="F181" s="412">
        <v>11.2</v>
      </c>
      <c r="G181" s="413">
        <v>1441</v>
      </c>
      <c r="H181" s="413">
        <v>2103</v>
      </c>
      <c r="I181" s="413">
        <v>103.8</v>
      </c>
      <c r="J181" s="413">
        <v>105</v>
      </c>
      <c r="K181" s="413" t="s">
        <v>667</v>
      </c>
      <c r="L181" s="100">
        <v>35.82</v>
      </c>
      <c r="M181" s="100">
        <v>37</v>
      </c>
      <c r="N181" s="100">
        <v>51.62</v>
      </c>
      <c r="O181" s="101"/>
      <c r="P181" s="101"/>
      <c r="Q181" s="101"/>
      <c r="R181" s="101" t="s">
        <v>654</v>
      </c>
      <c r="S181" s="101">
        <v>51.2</v>
      </c>
      <c r="T181" s="102" t="s">
        <v>23</v>
      </c>
      <c r="U181" s="101" t="s">
        <v>668</v>
      </c>
      <c r="V181" s="408"/>
      <c r="W181" s="400"/>
      <c r="CM181" s="342"/>
      <c r="CN181" s="342"/>
      <c r="CO181" s="342"/>
      <c r="CP181" s="342"/>
      <c r="CQ181" s="342"/>
      <c r="CR181" s="342"/>
      <c r="CS181" s="342"/>
      <c r="CT181" s="342"/>
      <c r="CU181" s="342"/>
      <c r="CV181" s="342"/>
      <c r="CW181" s="342"/>
      <c r="CX181" s="342"/>
      <c r="CY181" s="342"/>
    </row>
    <row r="182" spans="2:103" s="343" customFormat="1" ht="33.75" customHeight="1" x14ac:dyDescent="0.25">
      <c r="B182" s="263">
        <v>44370</v>
      </c>
      <c r="C182" s="103">
        <v>0.25</v>
      </c>
      <c r="D182" s="410">
        <v>42</v>
      </c>
      <c r="E182" s="100">
        <v>8.9</v>
      </c>
      <c r="F182" s="412">
        <v>11.5</v>
      </c>
      <c r="G182" s="413">
        <v>1451</v>
      </c>
      <c r="H182" s="413">
        <v>2071</v>
      </c>
      <c r="I182" s="413">
        <v>105</v>
      </c>
      <c r="J182" s="413">
        <v>106.1</v>
      </c>
      <c r="K182" s="413" t="s">
        <v>671</v>
      </c>
      <c r="L182" s="100">
        <v>34.26</v>
      </c>
      <c r="M182" s="100">
        <v>37</v>
      </c>
      <c r="N182" s="100">
        <v>54.02</v>
      </c>
      <c r="O182" s="101"/>
      <c r="P182" s="101"/>
      <c r="Q182" s="101"/>
      <c r="R182" s="101" t="s">
        <v>654</v>
      </c>
      <c r="S182" s="101">
        <v>53.1</v>
      </c>
      <c r="T182" s="102" t="s">
        <v>23</v>
      </c>
      <c r="U182" s="101" t="s">
        <v>668</v>
      </c>
      <c r="V182" s="408"/>
      <c r="W182" s="400"/>
      <c r="CM182" s="342"/>
      <c r="CN182" s="342"/>
      <c r="CO182" s="342"/>
      <c r="CP182" s="342"/>
      <c r="CQ182" s="342"/>
      <c r="CR182" s="342"/>
      <c r="CS182" s="342"/>
      <c r="CT182" s="342"/>
      <c r="CU182" s="342"/>
      <c r="CV182" s="342"/>
      <c r="CW182" s="342"/>
      <c r="CX182" s="342"/>
      <c r="CY182" s="342"/>
    </row>
    <row r="183" spans="2:103" s="343" customFormat="1" ht="33.75" customHeight="1" x14ac:dyDescent="0.25">
      <c r="B183" s="263">
        <v>44371</v>
      </c>
      <c r="C183" s="103">
        <v>0.25</v>
      </c>
      <c r="D183" s="410">
        <v>42</v>
      </c>
      <c r="E183" s="100">
        <v>8.3000000000000007</v>
      </c>
      <c r="F183" s="412">
        <v>11.2</v>
      </c>
      <c r="G183" s="413">
        <v>1457</v>
      </c>
      <c r="H183" s="413">
        <v>2106</v>
      </c>
      <c r="I183" s="413">
        <v>103</v>
      </c>
      <c r="J183" s="413">
        <v>105</v>
      </c>
      <c r="K183" s="413" t="s">
        <v>673</v>
      </c>
      <c r="L183" s="100">
        <v>36.1</v>
      </c>
      <c r="M183" s="100">
        <v>37.5</v>
      </c>
      <c r="N183" s="100">
        <v>51.09</v>
      </c>
      <c r="O183" s="101"/>
      <c r="P183" s="101"/>
      <c r="Q183" s="101"/>
      <c r="R183" s="101" t="s">
        <v>654</v>
      </c>
      <c r="S183" s="101">
        <v>51.2</v>
      </c>
      <c r="T183" s="102" t="s">
        <v>23</v>
      </c>
      <c r="U183" s="101" t="s">
        <v>668</v>
      </c>
      <c r="V183" s="408"/>
      <c r="W183" s="400"/>
      <c r="CM183" s="342"/>
      <c r="CN183" s="342"/>
      <c r="CO183" s="342"/>
      <c r="CP183" s="342"/>
      <c r="CQ183" s="342"/>
      <c r="CR183" s="342"/>
      <c r="CS183" s="342"/>
      <c r="CT183" s="342"/>
      <c r="CU183" s="342"/>
      <c r="CV183" s="342"/>
      <c r="CW183" s="342"/>
      <c r="CX183" s="342"/>
      <c r="CY183" s="342"/>
    </row>
    <row r="184" spans="2:103" s="343" customFormat="1" ht="33.75" customHeight="1" x14ac:dyDescent="0.25">
      <c r="B184" s="263">
        <v>44372</v>
      </c>
      <c r="C184" s="103">
        <v>0.25</v>
      </c>
      <c r="D184" s="410">
        <v>42</v>
      </c>
      <c r="E184" s="100">
        <v>8.1</v>
      </c>
      <c r="F184" s="412">
        <v>11.1</v>
      </c>
      <c r="G184" s="413">
        <v>1464</v>
      </c>
      <c r="H184" s="413">
        <v>2128</v>
      </c>
      <c r="I184" s="413">
        <v>103</v>
      </c>
      <c r="J184" s="413">
        <v>105</v>
      </c>
      <c r="K184" s="413" t="s">
        <v>677</v>
      </c>
      <c r="L184" s="100">
        <v>36.43</v>
      </c>
      <c r="M184" s="100">
        <v>37.5</v>
      </c>
      <c r="N184" s="100">
        <v>50.93</v>
      </c>
      <c r="O184" s="101"/>
      <c r="P184" s="101"/>
      <c r="Q184" s="101"/>
      <c r="R184" s="101" t="s">
        <v>654</v>
      </c>
      <c r="S184" s="101">
        <v>50.3</v>
      </c>
      <c r="T184" s="102" t="s">
        <v>23</v>
      </c>
      <c r="U184" s="101" t="s">
        <v>668</v>
      </c>
      <c r="V184" s="408"/>
      <c r="W184" s="400"/>
      <c r="CM184" s="342"/>
      <c r="CN184" s="342"/>
      <c r="CO184" s="342"/>
      <c r="CP184" s="342"/>
      <c r="CQ184" s="342"/>
      <c r="CR184" s="342"/>
      <c r="CS184" s="342"/>
      <c r="CT184" s="342"/>
      <c r="CU184" s="342"/>
      <c r="CV184" s="342"/>
      <c r="CW184" s="342"/>
      <c r="CX184" s="342"/>
      <c r="CY184" s="342"/>
    </row>
    <row r="185" spans="2:103" s="343" customFormat="1" ht="33.75" customHeight="1" x14ac:dyDescent="0.25">
      <c r="B185" s="263">
        <v>44373</v>
      </c>
      <c r="C185" s="103">
        <v>0.25</v>
      </c>
      <c r="D185" s="410">
        <v>42</v>
      </c>
      <c r="E185" s="100">
        <v>8.1999999999999993</v>
      </c>
      <c r="F185" s="412">
        <v>11.1</v>
      </c>
      <c r="G185" s="413">
        <v>1466</v>
      </c>
      <c r="H185" s="413">
        <v>2122</v>
      </c>
      <c r="I185" s="413">
        <v>103</v>
      </c>
      <c r="J185" s="413">
        <v>105</v>
      </c>
      <c r="K185" s="413" t="s">
        <v>676</v>
      </c>
      <c r="L185" s="100">
        <v>36.22</v>
      </c>
      <c r="M185" s="100">
        <v>38</v>
      </c>
      <c r="N185" s="100">
        <v>50.74</v>
      </c>
      <c r="O185" s="101"/>
      <c r="P185" s="101"/>
      <c r="Q185" s="101"/>
      <c r="R185" s="101" t="s">
        <v>654</v>
      </c>
      <c r="S185" s="101">
        <v>50.8</v>
      </c>
      <c r="T185" s="102" t="s">
        <v>23</v>
      </c>
      <c r="U185" s="101" t="s">
        <v>668</v>
      </c>
      <c r="V185" s="408"/>
      <c r="W185" s="400"/>
      <c r="CM185" s="342"/>
      <c r="CN185" s="342"/>
      <c r="CO185" s="342"/>
      <c r="CP185" s="342"/>
      <c r="CQ185" s="342"/>
      <c r="CR185" s="342"/>
      <c r="CS185" s="342"/>
      <c r="CT185" s="342"/>
      <c r="CU185" s="342"/>
      <c r="CV185" s="342"/>
      <c r="CW185" s="342"/>
      <c r="CX185" s="342"/>
      <c r="CY185" s="342"/>
    </row>
    <row r="186" spans="2:103" s="343" customFormat="1" ht="33.75" customHeight="1" x14ac:dyDescent="0.25">
      <c r="B186" s="263">
        <v>44374</v>
      </c>
      <c r="C186" s="103">
        <v>0.25</v>
      </c>
      <c r="D186" s="410">
        <v>42</v>
      </c>
      <c r="E186" s="100">
        <v>8.5</v>
      </c>
      <c r="F186" s="412">
        <v>11.4</v>
      </c>
      <c r="G186" s="413">
        <v>1469</v>
      </c>
      <c r="H186" s="413">
        <v>2103</v>
      </c>
      <c r="I186" s="413">
        <v>104.4</v>
      </c>
      <c r="J186" s="413">
        <v>105</v>
      </c>
      <c r="K186" s="413" t="s">
        <v>680</v>
      </c>
      <c r="L186" s="100">
        <v>35.369999999999997</v>
      </c>
      <c r="M186" s="100">
        <v>37.5</v>
      </c>
      <c r="N186" s="100">
        <v>51.2</v>
      </c>
      <c r="O186" s="101"/>
      <c r="P186" s="101"/>
      <c r="Q186" s="101"/>
      <c r="R186" s="101" t="s">
        <v>654</v>
      </c>
      <c r="S186" s="101">
        <v>53.1</v>
      </c>
      <c r="T186" s="102" t="s">
        <v>23</v>
      </c>
      <c r="U186" s="101" t="s">
        <v>668</v>
      </c>
      <c r="V186" s="408"/>
      <c r="W186" s="400"/>
      <c r="CM186" s="342"/>
      <c r="CN186" s="342"/>
      <c r="CO186" s="342"/>
      <c r="CP186" s="342"/>
      <c r="CQ186" s="342"/>
      <c r="CR186" s="342"/>
      <c r="CS186" s="342"/>
      <c r="CT186" s="342"/>
      <c r="CU186" s="342"/>
      <c r="CV186" s="342"/>
      <c r="CW186" s="342"/>
      <c r="CX186" s="342"/>
      <c r="CY186" s="342"/>
    </row>
    <row r="187" spans="2:103" s="343" customFormat="1" ht="33.75" customHeight="1" x14ac:dyDescent="0.25">
      <c r="B187" s="263">
        <v>44375</v>
      </c>
      <c r="C187" s="103">
        <v>0.25</v>
      </c>
      <c r="D187" s="410">
        <v>42</v>
      </c>
      <c r="E187" s="100">
        <v>8</v>
      </c>
      <c r="F187" s="412">
        <v>11.1</v>
      </c>
      <c r="G187" s="413">
        <v>1475.6</v>
      </c>
      <c r="H187" s="413">
        <v>2141.3000000000002</v>
      </c>
      <c r="I187" s="413">
        <v>103.8</v>
      </c>
      <c r="J187" s="413">
        <v>105.5</v>
      </c>
      <c r="K187" s="413" t="s">
        <v>682</v>
      </c>
      <c r="L187" s="100">
        <v>36.450000000000003</v>
      </c>
      <c r="M187" s="100">
        <v>37.5</v>
      </c>
      <c r="N187" s="100">
        <v>50.36</v>
      </c>
      <c r="O187" s="101"/>
      <c r="P187" s="101"/>
      <c r="Q187" s="101"/>
      <c r="R187" s="101" t="s">
        <v>654</v>
      </c>
      <c r="S187" s="101">
        <v>50.8</v>
      </c>
      <c r="T187" s="102" t="s">
        <v>23</v>
      </c>
      <c r="U187" s="101" t="s">
        <v>668</v>
      </c>
      <c r="V187" s="408"/>
      <c r="W187" s="400"/>
      <c r="CM187" s="342"/>
      <c r="CN187" s="342"/>
      <c r="CO187" s="342"/>
      <c r="CP187" s="342"/>
      <c r="CQ187" s="342"/>
      <c r="CR187" s="342"/>
      <c r="CS187" s="342"/>
      <c r="CT187" s="342"/>
      <c r="CU187" s="342"/>
      <c r="CV187" s="342"/>
      <c r="CW187" s="342"/>
      <c r="CX187" s="342"/>
      <c r="CY187" s="342"/>
    </row>
    <row r="188" spans="2:103" s="343" customFormat="1" ht="33.75" customHeight="1" x14ac:dyDescent="0.25">
      <c r="B188" s="263">
        <v>44376</v>
      </c>
      <c r="C188" s="103">
        <v>0.25</v>
      </c>
      <c r="D188" s="410">
        <v>42</v>
      </c>
      <c r="E188" s="100">
        <v>8</v>
      </c>
      <c r="F188" s="412">
        <v>10.8</v>
      </c>
      <c r="G188" s="413">
        <v>1480.7</v>
      </c>
      <c r="H188" s="413">
        <v>2156.6999999999998</v>
      </c>
      <c r="I188" s="413">
        <v>103.8</v>
      </c>
      <c r="J188" s="413">
        <v>105.5</v>
      </c>
      <c r="K188" s="413" t="s">
        <v>684</v>
      </c>
      <c r="L188" s="100">
        <v>37.35</v>
      </c>
      <c r="M188" s="100">
        <v>38.5</v>
      </c>
      <c r="N188" s="100">
        <v>49.56</v>
      </c>
      <c r="O188" s="101"/>
      <c r="P188" s="101"/>
      <c r="Q188" s="101"/>
      <c r="R188" s="101" t="s">
        <v>654</v>
      </c>
      <c r="S188" s="101">
        <v>50.8</v>
      </c>
      <c r="T188" s="102" t="s">
        <v>23</v>
      </c>
      <c r="U188" s="101" t="s">
        <v>668</v>
      </c>
      <c r="V188" s="408"/>
      <c r="W188" s="400"/>
      <c r="CM188" s="342"/>
      <c r="CN188" s="342"/>
      <c r="CO188" s="342"/>
      <c r="CP188" s="342"/>
      <c r="CQ188" s="342"/>
      <c r="CR188" s="342"/>
      <c r="CS188" s="342"/>
      <c r="CT188" s="342"/>
      <c r="CU188" s="342"/>
      <c r="CV188" s="342"/>
      <c r="CW188" s="342"/>
      <c r="CX188" s="342"/>
      <c r="CY188" s="342"/>
    </row>
    <row r="189" spans="2:103" s="343" customFormat="1" ht="33.75" customHeight="1" x14ac:dyDescent="0.25">
      <c r="B189" s="263">
        <v>44377</v>
      </c>
      <c r="C189" s="103">
        <v>0.25</v>
      </c>
      <c r="D189" s="410">
        <v>42</v>
      </c>
      <c r="E189" s="100">
        <v>8.1</v>
      </c>
      <c r="F189" s="412">
        <v>11</v>
      </c>
      <c r="G189" s="413">
        <v>1489.9</v>
      </c>
      <c r="H189" s="413">
        <v>2147.1</v>
      </c>
      <c r="I189" s="413">
        <v>103.8</v>
      </c>
      <c r="J189" s="413">
        <v>105.5</v>
      </c>
      <c r="K189" s="413" t="s">
        <v>686</v>
      </c>
      <c r="L189" s="100">
        <v>36.25</v>
      </c>
      <c r="M189" s="100">
        <v>38.5</v>
      </c>
      <c r="N189" s="100">
        <v>51.16</v>
      </c>
      <c r="O189" s="101"/>
      <c r="P189" s="101"/>
      <c r="Q189" s="101"/>
      <c r="R189" s="101" t="s">
        <v>654</v>
      </c>
      <c r="S189" s="101">
        <v>50.8</v>
      </c>
      <c r="T189" s="102" t="s">
        <v>23</v>
      </c>
      <c r="U189" s="101" t="s">
        <v>668</v>
      </c>
      <c r="V189" s="408"/>
      <c r="W189" s="400"/>
      <c r="CM189" s="342"/>
      <c r="CN189" s="342"/>
      <c r="CO189" s="342"/>
      <c r="CP189" s="342"/>
      <c r="CQ189" s="342"/>
      <c r="CR189" s="342"/>
      <c r="CS189" s="342"/>
      <c r="CT189" s="342"/>
      <c r="CU189" s="342"/>
      <c r="CV189" s="342"/>
      <c r="CW189" s="342"/>
      <c r="CX189" s="342"/>
      <c r="CY189" s="342"/>
    </row>
    <row r="190" spans="2:103" s="343" customFormat="1" ht="27" customHeight="1" x14ac:dyDescent="0.25">
      <c r="B190" s="263">
        <v>44378</v>
      </c>
      <c r="C190" s="103">
        <v>0.25</v>
      </c>
      <c r="D190" s="410">
        <v>42</v>
      </c>
      <c r="E190" s="100">
        <v>8.1999999999999993</v>
      </c>
      <c r="F190" s="412">
        <v>11</v>
      </c>
      <c r="G190" s="413">
        <v>1483.5</v>
      </c>
      <c r="H190" s="413">
        <v>2145.5</v>
      </c>
      <c r="I190" s="413">
        <v>103.8</v>
      </c>
      <c r="J190" s="413">
        <v>105.5</v>
      </c>
      <c r="K190" s="413" t="s">
        <v>688</v>
      </c>
      <c r="L190" s="100">
        <v>36.79</v>
      </c>
      <c r="M190" s="100">
        <v>38</v>
      </c>
      <c r="N190" s="100">
        <v>51.09</v>
      </c>
      <c r="O190" s="101"/>
      <c r="P190" s="101"/>
      <c r="Q190" s="101"/>
      <c r="R190" s="101" t="s">
        <v>654</v>
      </c>
      <c r="S190" s="101">
        <v>50.3</v>
      </c>
      <c r="T190" s="102" t="s">
        <v>23</v>
      </c>
      <c r="U190" s="101" t="s">
        <v>668</v>
      </c>
      <c r="V190" s="408"/>
      <c r="W190" s="400"/>
      <c r="CM190" s="342"/>
      <c r="CN190" s="342"/>
      <c r="CO190" s="342"/>
      <c r="CP190" s="342"/>
      <c r="CQ190" s="342"/>
      <c r="CR190" s="342"/>
      <c r="CS190" s="342"/>
      <c r="CT190" s="342"/>
      <c r="CU190" s="342"/>
      <c r="CV190" s="342"/>
      <c r="CW190" s="342"/>
      <c r="CX190" s="342"/>
      <c r="CY190" s="342"/>
    </row>
    <row r="191" spans="2:103" s="343" customFormat="1" ht="34.5" customHeight="1" x14ac:dyDescent="0.25">
      <c r="B191" s="263">
        <v>44379</v>
      </c>
      <c r="C191" s="103">
        <v>0.25</v>
      </c>
      <c r="D191" s="410">
        <v>42</v>
      </c>
      <c r="E191" s="100">
        <v>8.3000000000000007</v>
      </c>
      <c r="F191" s="412">
        <v>11.1</v>
      </c>
      <c r="G191" s="413">
        <v>1484</v>
      </c>
      <c r="H191" s="413">
        <v>2135</v>
      </c>
      <c r="I191" s="413">
        <v>105</v>
      </c>
      <c r="J191" s="413">
        <v>106</v>
      </c>
      <c r="K191" s="413" t="s">
        <v>693</v>
      </c>
      <c r="L191" s="100">
        <v>35.94</v>
      </c>
      <c r="M191" s="100">
        <v>38</v>
      </c>
      <c r="N191" s="100">
        <v>51.31</v>
      </c>
      <c r="O191" s="101"/>
      <c r="P191" s="101"/>
      <c r="Q191" s="101"/>
      <c r="R191" s="101" t="s">
        <v>654</v>
      </c>
      <c r="S191" s="101">
        <v>51.2</v>
      </c>
      <c r="T191" s="102" t="s">
        <v>23</v>
      </c>
      <c r="U191" s="101" t="s">
        <v>668</v>
      </c>
      <c r="V191" s="408"/>
      <c r="W191" s="400"/>
      <c r="CM191" s="342"/>
      <c r="CN191" s="342"/>
      <c r="CO191" s="342"/>
      <c r="CP191" s="342"/>
      <c r="CQ191" s="342"/>
      <c r="CR191" s="342"/>
      <c r="CS191" s="342"/>
      <c r="CT191" s="342"/>
      <c r="CU191" s="342"/>
      <c r="CV191" s="342"/>
      <c r="CW191" s="342"/>
      <c r="CX191" s="342"/>
      <c r="CY191" s="342"/>
    </row>
    <row r="192" spans="2:103" s="343" customFormat="1" ht="34.5" customHeight="1" x14ac:dyDescent="0.25">
      <c r="B192" s="263">
        <v>44380</v>
      </c>
      <c r="C192" s="103">
        <v>0.25</v>
      </c>
      <c r="D192" s="410">
        <v>42</v>
      </c>
      <c r="E192" s="100">
        <v>8.6</v>
      </c>
      <c r="F192" s="412">
        <v>11.4</v>
      </c>
      <c r="G192" s="413">
        <v>1485</v>
      </c>
      <c r="H192" s="413">
        <v>2121</v>
      </c>
      <c r="I192" s="413">
        <v>103</v>
      </c>
      <c r="J192" s="413">
        <v>105</v>
      </c>
      <c r="K192" s="413" t="s">
        <v>699</v>
      </c>
      <c r="L192" s="100">
        <v>35.08</v>
      </c>
      <c r="M192" s="100">
        <v>37</v>
      </c>
      <c r="N192" s="100">
        <v>51.3</v>
      </c>
      <c r="O192" s="101"/>
      <c r="P192" s="101"/>
      <c r="Q192" s="101"/>
      <c r="R192" s="101" t="s">
        <v>654</v>
      </c>
      <c r="S192" s="101">
        <v>52.1</v>
      </c>
      <c r="T192" s="102" t="s">
        <v>23</v>
      </c>
      <c r="U192" s="101" t="s">
        <v>668</v>
      </c>
      <c r="V192" s="408"/>
      <c r="W192" s="400"/>
      <c r="CM192" s="342"/>
      <c r="CN192" s="342"/>
      <c r="CO192" s="342"/>
      <c r="CP192" s="342"/>
      <c r="CQ192" s="342"/>
      <c r="CR192" s="342"/>
      <c r="CS192" s="342"/>
      <c r="CT192" s="342"/>
      <c r="CU192" s="342"/>
      <c r="CV192" s="342"/>
      <c r="CW192" s="342"/>
      <c r="CX192" s="342"/>
      <c r="CY192" s="342"/>
    </row>
    <row r="193" spans="2:103" s="343" customFormat="1" ht="34.5" customHeight="1" x14ac:dyDescent="0.25">
      <c r="B193" s="263">
        <v>44381</v>
      </c>
      <c r="C193" s="103">
        <v>0.25</v>
      </c>
      <c r="D193" s="410">
        <v>42</v>
      </c>
      <c r="E193" s="100">
        <v>8.9</v>
      </c>
      <c r="F193" s="412">
        <v>11.7</v>
      </c>
      <c r="G193" s="413">
        <v>1471</v>
      </c>
      <c r="H193" s="413">
        <v>2089</v>
      </c>
      <c r="I193" s="413">
        <v>105</v>
      </c>
      <c r="J193" s="413">
        <v>106.1</v>
      </c>
      <c r="K193" s="413" t="s">
        <v>703</v>
      </c>
      <c r="L193" s="100">
        <v>33.6</v>
      </c>
      <c r="M193" s="100">
        <v>36</v>
      </c>
      <c r="N193" s="100">
        <v>54.71</v>
      </c>
      <c r="O193" s="101"/>
      <c r="P193" s="101"/>
      <c r="Q193" s="101"/>
      <c r="R193" s="101" t="s">
        <v>654</v>
      </c>
      <c r="S193" s="101">
        <v>54</v>
      </c>
      <c r="T193" s="102" t="s">
        <v>23</v>
      </c>
      <c r="U193" s="101" t="s">
        <v>668</v>
      </c>
      <c r="V193" s="408"/>
      <c r="W193" s="400"/>
      <c r="CM193" s="342"/>
      <c r="CN193" s="342"/>
      <c r="CO193" s="342"/>
      <c r="CP193" s="342"/>
      <c r="CQ193" s="342"/>
      <c r="CR193" s="342"/>
      <c r="CS193" s="342"/>
      <c r="CT193" s="342"/>
      <c r="CU193" s="342"/>
      <c r="CV193" s="342"/>
      <c r="CW193" s="342"/>
      <c r="CX193" s="342"/>
      <c r="CY193" s="342"/>
    </row>
    <row r="194" spans="2:103" s="343" customFormat="1" ht="34.5" customHeight="1" x14ac:dyDescent="0.25">
      <c r="B194" s="263">
        <v>44382</v>
      </c>
      <c r="C194" s="103">
        <v>0.25</v>
      </c>
      <c r="D194" s="410">
        <v>42</v>
      </c>
      <c r="E194" s="100">
        <v>8.8000000000000007</v>
      </c>
      <c r="F194" s="412">
        <v>11.6</v>
      </c>
      <c r="G194" s="413">
        <v>1458</v>
      </c>
      <c r="H194" s="413">
        <v>2075</v>
      </c>
      <c r="I194" s="413">
        <v>105</v>
      </c>
      <c r="J194" s="413">
        <v>106.1</v>
      </c>
      <c r="K194" s="413" t="s">
        <v>708</v>
      </c>
      <c r="L194" s="100">
        <v>32.840000000000003</v>
      </c>
      <c r="M194" s="100">
        <v>34.5</v>
      </c>
      <c r="N194" s="100">
        <v>55.13</v>
      </c>
      <c r="O194" s="101"/>
      <c r="P194" s="101"/>
      <c r="Q194" s="101"/>
      <c r="R194" s="101" t="s">
        <v>654</v>
      </c>
      <c r="S194" s="101">
        <v>53.1</v>
      </c>
      <c r="T194" s="102" t="s">
        <v>23</v>
      </c>
      <c r="U194" s="101" t="s">
        <v>668</v>
      </c>
      <c r="V194" s="408"/>
      <c r="W194" s="400"/>
      <c r="CM194" s="342"/>
      <c r="CN194" s="342"/>
      <c r="CO194" s="342"/>
      <c r="CP194" s="342"/>
      <c r="CQ194" s="342"/>
      <c r="CR194" s="342"/>
      <c r="CS194" s="342"/>
      <c r="CT194" s="342"/>
      <c r="CU194" s="342"/>
      <c r="CV194" s="342"/>
      <c r="CW194" s="342"/>
      <c r="CX194" s="342"/>
      <c r="CY194" s="342"/>
    </row>
    <row r="195" spans="2:103" s="343" customFormat="1" ht="34.5" customHeight="1" x14ac:dyDescent="0.25">
      <c r="B195" s="263">
        <v>44383</v>
      </c>
      <c r="C195" s="103">
        <v>0.25</v>
      </c>
      <c r="D195" s="410">
        <v>42</v>
      </c>
      <c r="E195" s="100">
        <v>8.8000000000000007</v>
      </c>
      <c r="F195" s="412">
        <v>11.5</v>
      </c>
      <c r="G195" s="413">
        <v>1471</v>
      </c>
      <c r="H195" s="413">
        <v>2071</v>
      </c>
      <c r="I195" s="413">
        <v>104.4</v>
      </c>
      <c r="J195" s="413">
        <v>105</v>
      </c>
      <c r="K195" s="413" t="s">
        <v>715</v>
      </c>
      <c r="L195" s="100">
        <v>33.74</v>
      </c>
      <c r="M195" s="100" t="s">
        <v>716</v>
      </c>
      <c r="N195" s="100">
        <v>53.5</v>
      </c>
      <c r="O195" s="101"/>
      <c r="P195" s="101"/>
      <c r="Q195" s="101"/>
      <c r="R195" s="101" t="s">
        <v>654</v>
      </c>
      <c r="S195" s="101">
        <v>53.5</v>
      </c>
      <c r="T195" s="102" t="s">
        <v>23</v>
      </c>
      <c r="U195" s="101" t="s">
        <v>668</v>
      </c>
      <c r="V195" s="408"/>
      <c r="W195" s="400"/>
      <c r="CM195" s="342"/>
      <c r="CN195" s="342"/>
      <c r="CO195" s="342"/>
      <c r="CP195" s="342"/>
      <c r="CQ195" s="342"/>
      <c r="CR195" s="342"/>
      <c r="CS195" s="342"/>
      <c r="CT195" s="342"/>
      <c r="CU195" s="342"/>
      <c r="CV195" s="342"/>
      <c r="CW195" s="342"/>
      <c r="CX195" s="342"/>
      <c r="CY195" s="342"/>
    </row>
    <row r="196" spans="2:103" s="343" customFormat="1" ht="34.5" customHeight="1" x14ac:dyDescent="0.25">
      <c r="B196" s="263">
        <v>44384</v>
      </c>
      <c r="C196" s="103">
        <v>0.25</v>
      </c>
      <c r="D196" s="410">
        <v>43</v>
      </c>
      <c r="E196" s="100">
        <v>9.3000000000000007</v>
      </c>
      <c r="F196" s="412">
        <v>12</v>
      </c>
      <c r="G196" s="413">
        <v>1440</v>
      </c>
      <c r="H196" s="413">
        <v>2071</v>
      </c>
      <c r="I196" s="413">
        <v>105</v>
      </c>
      <c r="J196" s="413">
        <v>106.1</v>
      </c>
      <c r="K196" s="413" t="s">
        <v>722</v>
      </c>
      <c r="L196" s="100">
        <v>34</v>
      </c>
      <c r="M196" s="100">
        <v>36.5</v>
      </c>
      <c r="N196" s="100">
        <v>56.59</v>
      </c>
      <c r="O196" s="101"/>
      <c r="P196" s="101"/>
      <c r="Q196" s="101"/>
      <c r="R196" s="101" t="s">
        <v>723</v>
      </c>
      <c r="S196" s="101">
        <v>54.9</v>
      </c>
      <c r="T196" s="102" t="s">
        <v>23</v>
      </c>
      <c r="U196" s="101" t="s">
        <v>668</v>
      </c>
      <c r="V196" s="408" t="s">
        <v>724</v>
      </c>
      <c r="W196" s="400"/>
      <c r="CM196" s="342"/>
      <c r="CN196" s="342"/>
      <c r="CO196" s="342"/>
      <c r="CP196" s="342"/>
      <c r="CQ196" s="342"/>
      <c r="CR196" s="342"/>
      <c r="CS196" s="342"/>
      <c r="CT196" s="342"/>
      <c r="CU196" s="342"/>
      <c r="CV196" s="342"/>
      <c r="CW196" s="342"/>
      <c r="CX196" s="342"/>
      <c r="CY196" s="342"/>
    </row>
    <row r="197" spans="2:103" s="343" customFormat="1" ht="34.5" customHeight="1" x14ac:dyDescent="0.25">
      <c r="B197" s="263">
        <v>44385</v>
      </c>
      <c r="C197" s="103">
        <v>0.25</v>
      </c>
      <c r="D197" s="410">
        <v>43</v>
      </c>
      <c r="E197" s="100">
        <v>9.3000000000000007</v>
      </c>
      <c r="F197" s="412">
        <v>12</v>
      </c>
      <c r="G197" s="413">
        <v>1428.8</v>
      </c>
      <c r="H197" s="413">
        <v>2064</v>
      </c>
      <c r="I197" s="413">
        <v>105</v>
      </c>
      <c r="J197" s="413">
        <v>106.1</v>
      </c>
      <c r="K197" s="413" t="s">
        <v>729</v>
      </c>
      <c r="L197" s="100">
        <v>33.130000000000003</v>
      </c>
      <c r="M197" s="100">
        <v>35</v>
      </c>
      <c r="N197" s="100">
        <v>56.4</v>
      </c>
      <c r="O197" s="101"/>
      <c r="P197" s="101"/>
      <c r="Q197" s="101"/>
      <c r="R197" s="101" t="s">
        <v>723</v>
      </c>
      <c r="S197" s="101">
        <v>55.3</v>
      </c>
      <c r="T197" s="102" t="s">
        <v>23</v>
      </c>
      <c r="U197" s="101" t="s">
        <v>668</v>
      </c>
      <c r="V197" s="408" t="s">
        <v>724</v>
      </c>
      <c r="W197" s="400"/>
      <c r="CM197" s="342"/>
      <c r="CN197" s="342"/>
      <c r="CO197" s="342"/>
      <c r="CP197" s="342"/>
      <c r="CQ197" s="342"/>
      <c r="CR197" s="342"/>
      <c r="CS197" s="342"/>
      <c r="CT197" s="342"/>
      <c r="CU197" s="342"/>
      <c r="CV197" s="342"/>
      <c r="CW197" s="342"/>
      <c r="CX197" s="342"/>
      <c r="CY197" s="342"/>
    </row>
    <row r="198" spans="2:103" s="343" customFormat="1" ht="34.5" customHeight="1" x14ac:dyDescent="0.25">
      <c r="B198" s="263">
        <v>44386</v>
      </c>
      <c r="C198" s="103">
        <v>0.25</v>
      </c>
      <c r="D198" s="410">
        <v>43</v>
      </c>
      <c r="E198" s="100">
        <v>9.1999999999999993</v>
      </c>
      <c r="F198" s="412">
        <v>12.1</v>
      </c>
      <c r="G198" s="413">
        <v>1421.7</v>
      </c>
      <c r="H198" s="413">
        <v>2064</v>
      </c>
      <c r="I198" s="413">
        <v>105</v>
      </c>
      <c r="J198" s="413">
        <v>106</v>
      </c>
      <c r="K198" s="413" t="s">
        <v>734</v>
      </c>
      <c r="L198" s="100">
        <v>33.950000000000003</v>
      </c>
      <c r="M198" s="100">
        <v>36.5</v>
      </c>
      <c r="N198" s="100">
        <v>56.02</v>
      </c>
      <c r="O198" s="101"/>
      <c r="P198" s="101"/>
      <c r="Q198" s="101"/>
      <c r="R198" s="101" t="s">
        <v>723</v>
      </c>
      <c r="S198" s="101">
        <v>54.9</v>
      </c>
      <c r="T198" s="102" t="s">
        <v>23</v>
      </c>
      <c r="U198" s="101" t="s">
        <v>668</v>
      </c>
      <c r="V198" s="408" t="s">
        <v>724</v>
      </c>
      <c r="W198" s="400"/>
      <c r="CM198" s="342"/>
      <c r="CN198" s="342"/>
      <c r="CO198" s="342"/>
      <c r="CP198" s="342"/>
      <c r="CQ198" s="342"/>
      <c r="CR198" s="342"/>
      <c r="CS198" s="342"/>
      <c r="CT198" s="342"/>
      <c r="CU198" s="342"/>
      <c r="CV198" s="342"/>
      <c r="CW198" s="342"/>
      <c r="CX198" s="342"/>
      <c r="CY198" s="342"/>
    </row>
    <row r="199" spans="2:103" s="343" customFormat="1" ht="34.5" customHeight="1" x14ac:dyDescent="0.25">
      <c r="B199" s="263">
        <v>44387</v>
      </c>
      <c r="C199" s="103">
        <v>0.25</v>
      </c>
      <c r="D199" s="410">
        <v>43</v>
      </c>
      <c r="E199" s="100">
        <v>9.1999999999999993</v>
      </c>
      <c r="F199" s="412">
        <v>11.9</v>
      </c>
      <c r="G199" s="413">
        <v>1417.7</v>
      </c>
      <c r="H199" s="413">
        <v>2049</v>
      </c>
      <c r="I199" s="413">
        <v>105</v>
      </c>
      <c r="J199" s="413">
        <v>106</v>
      </c>
      <c r="K199" s="413" t="s">
        <v>736</v>
      </c>
      <c r="L199" s="100">
        <v>33.65</v>
      </c>
      <c r="M199" s="100">
        <v>36</v>
      </c>
      <c r="N199" s="100">
        <v>55.62</v>
      </c>
      <c r="O199" s="101"/>
      <c r="P199" s="101"/>
      <c r="Q199" s="101"/>
      <c r="R199" s="101" t="s">
        <v>723</v>
      </c>
      <c r="S199" s="101">
        <v>55.34</v>
      </c>
      <c r="T199" s="102" t="s">
        <v>23</v>
      </c>
      <c r="U199" s="101" t="s">
        <v>668</v>
      </c>
      <c r="V199" s="408"/>
      <c r="W199" s="400"/>
      <c r="CM199" s="342"/>
      <c r="CN199" s="342"/>
      <c r="CO199" s="342"/>
      <c r="CP199" s="342"/>
      <c r="CQ199" s="342"/>
      <c r="CR199" s="342"/>
      <c r="CS199" s="342"/>
      <c r="CT199" s="342"/>
      <c r="CU199" s="342"/>
      <c r="CV199" s="342"/>
      <c r="CW199" s="342"/>
      <c r="CX199" s="342"/>
      <c r="CY199" s="342"/>
    </row>
    <row r="200" spans="2:103" s="343" customFormat="1" ht="34.5" customHeight="1" x14ac:dyDescent="0.25">
      <c r="B200" s="263">
        <v>44388</v>
      </c>
      <c r="C200" s="103">
        <v>0.25</v>
      </c>
      <c r="D200" s="410">
        <v>43</v>
      </c>
      <c r="E200" s="100">
        <v>9.1</v>
      </c>
      <c r="F200" s="412">
        <v>11.9</v>
      </c>
      <c r="G200" s="413">
        <v>1416</v>
      </c>
      <c r="H200" s="413">
        <v>2070</v>
      </c>
      <c r="I200" s="413">
        <v>105</v>
      </c>
      <c r="J200" s="413">
        <v>106.1</v>
      </c>
      <c r="K200" s="413" t="s">
        <v>743</v>
      </c>
      <c r="L200" s="100">
        <v>34.03</v>
      </c>
      <c r="M200" s="100">
        <v>36.5</v>
      </c>
      <c r="N200" s="100">
        <v>53.88</v>
      </c>
      <c r="O200" s="101"/>
      <c r="P200" s="101"/>
      <c r="Q200" s="101"/>
      <c r="R200" s="101" t="s">
        <v>723</v>
      </c>
      <c r="S200" s="101">
        <v>54.4</v>
      </c>
      <c r="T200" s="102" t="s">
        <v>23</v>
      </c>
      <c r="U200" s="101" t="s">
        <v>668</v>
      </c>
      <c r="V200" s="408"/>
      <c r="W200" s="400"/>
      <c r="CM200" s="342"/>
      <c r="CN200" s="342"/>
      <c r="CO200" s="342"/>
      <c r="CP200" s="342"/>
      <c r="CQ200" s="342"/>
      <c r="CR200" s="342"/>
      <c r="CS200" s="342"/>
      <c r="CT200" s="342"/>
      <c r="CU200" s="342"/>
      <c r="CV200" s="342"/>
      <c r="CW200" s="342"/>
      <c r="CX200" s="342"/>
      <c r="CY200" s="342"/>
    </row>
    <row r="201" spans="2:103" s="343" customFormat="1" ht="34.5" customHeight="1" x14ac:dyDescent="0.25">
      <c r="B201" s="263">
        <v>44389</v>
      </c>
      <c r="C201" s="103">
        <v>0.25</v>
      </c>
      <c r="D201" s="410">
        <v>43</v>
      </c>
      <c r="E201" s="100">
        <v>8.9</v>
      </c>
      <c r="F201" s="412">
        <v>11.7</v>
      </c>
      <c r="G201" s="413">
        <v>1416</v>
      </c>
      <c r="H201" s="413">
        <v>2077</v>
      </c>
      <c r="I201" s="413">
        <v>104.4</v>
      </c>
      <c r="J201" s="413">
        <v>105</v>
      </c>
      <c r="K201" s="413" t="s">
        <v>752</v>
      </c>
      <c r="L201" s="100">
        <v>33.74</v>
      </c>
      <c r="M201" s="100">
        <v>36.5</v>
      </c>
      <c r="N201" s="100">
        <v>54.06</v>
      </c>
      <c r="O201" s="101"/>
      <c r="P201" s="101"/>
      <c r="Q201" s="101"/>
      <c r="R201" s="101" t="s">
        <v>723</v>
      </c>
      <c r="S201" s="101">
        <v>54</v>
      </c>
      <c r="T201" s="102" t="s">
        <v>23</v>
      </c>
      <c r="U201" s="101" t="s">
        <v>668</v>
      </c>
      <c r="V201" s="408"/>
      <c r="W201" s="400"/>
      <c r="CM201" s="342"/>
      <c r="CN201" s="342"/>
      <c r="CO201" s="342"/>
      <c r="CP201" s="342"/>
      <c r="CQ201" s="342"/>
      <c r="CR201" s="342"/>
      <c r="CS201" s="342"/>
      <c r="CT201" s="342"/>
      <c r="CU201" s="342"/>
      <c r="CV201" s="342"/>
      <c r="CW201" s="342"/>
      <c r="CX201" s="342"/>
      <c r="CY201" s="342"/>
    </row>
    <row r="202" spans="2:103" s="343" customFormat="1" ht="34.5" customHeight="1" x14ac:dyDescent="0.25">
      <c r="B202" s="263">
        <v>44390</v>
      </c>
      <c r="C202" s="103">
        <v>0.25</v>
      </c>
      <c r="D202" s="410">
        <v>43</v>
      </c>
      <c r="E202" s="100">
        <v>9.4</v>
      </c>
      <c r="F202" s="412">
        <v>12</v>
      </c>
      <c r="G202" s="413">
        <v>1409</v>
      </c>
      <c r="H202" s="413">
        <v>2032</v>
      </c>
      <c r="I202" s="413">
        <v>105</v>
      </c>
      <c r="J202" s="413">
        <v>106.1</v>
      </c>
      <c r="K202" s="413" t="s">
        <v>755</v>
      </c>
      <c r="L202" s="100">
        <v>31.87</v>
      </c>
      <c r="M202" s="100">
        <v>35.5</v>
      </c>
      <c r="N202" s="100">
        <v>56.62</v>
      </c>
      <c r="O202" s="101"/>
      <c r="P202" s="101"/>
      <c r="Q202" s="101"/>
      <c r="R202" s="101" t="s">
        <v>723</v>
      </c>
      <c r="S202" s="101">
        <v>54.9</v>
      </c>
      <c r="T202" s="102" t="s">
        <v>23</v>
      </c>
      <c r="U202" s="101" t="s">
        <v>668</v>
      </c>
      <c r="V202" s="408"/>
      <c r="W202" s="400"/>
      <c r="CM202" s="342"/>
      <c r="CN202" s="342"/>
      <c r="CO202" s="342"/>
      <c r="CP202" s="342"/>
      <c r="CQ202" s="342"/>
      <c r="CR202" s="342"/>
      <c r="CS202" s="342"/>
      <c r="CT202" s="342"/>
      <c r="CU202" s="342"/>
      <c r="CV202" s="342"/>
      <c r="CW202" s="342"/>
      <c r="CX202" s="342"/>
      <c r="CY202" s="342"/>
    </row>
    <row r="203" spans="2:103" s="343" customFormat="1" ht="34.5" customHeight="1" x14ac:dyDescent="0.25">
      <c r="B203" s="263">
        <v>44391</v>
      </c>
      <c r="C203" s="103">
        <v>0.25</v>
      </c>
      <c r="D203" s="410">
        <v>44</v>
      </c>
      <c r="E203" s="100">
        <v>9.4</v>
      </c>
      <c r="F203" s="412">
        <v>12.1</v>
      </c>
      <c r="G203" s="413">
        <v>1393.4</v>
      </c>
      <c r="H203" s="413">
        <v>2008</v>
      </c>
      <c r="I203" s="413">
        <v>105.5</v>
      </c>
      <c r="J203" s="413">
        <v>106.1</v>
      </c>
      <c r="K203" s="413" t="s">
        <v>759</v>
      </c>
      <c r="L203" s="100">
        <v>32.07</v>
      </c>
      <c r="M203" s="100">
        <v>35</v>
      </c>
      <c r="N203" s="100">
        <v>56.62</v>
      </c>
      <c r="O203" s="101"/>
      <c r="P203" s="101"/>
      <c r="Q203" s="101"/>
      <c r="R203" s="101" t="s">
        <v>723</v>
      </c>
      <c r="S203" s="101">
        <v>54.4</v>
      </c>
      <c r="T203" s="102" t="s">
        <v>23</v>
      </c>
      <c r="U203" s="101" t="s">
        <v>668</v>
      </c>
      <c r="V203" s="408" t="s">
        <v>760</v>
      </c>
      <c r="W203" s="400"/>
      <c r="CM203" s="342"/>
      <c r="CN203" s="342"/>
      <c r="CO203" s="342"/>
      <c r="CP203" s="342"/>
      <c r="CQ203" s="342"/>
      <c r="CR203" s="342"/>
      <c r="CS203" s="342"/>
      <c r="CT203" s="342"/>
      <c r="CU203" s="342"/>
      <c r="CV203" s="342"/>
      <c r="CW203" s="342"/>
      <c r="CX203" s="342"/>
      <c r="CY203" s="342"/>
    </row>
    <row r="204" spans="2:103" s="343" customFormat="1" ht="34.5" customHeight="1" x14ac:dyDescent="0.25">
      <c r="B204" s="263">
        <v>44392</v>
      </c>
      <c r="C204" s="103">
        <v>0.25</v>
      </c>
      <c r="D204" s="410">
        <v>44</v>
      </c>
      <c r="E204" s="100">
        <v>9.9</v>
      </c>
      <c r="F204" s="412">
        <v>12.2</v>
      </c>
      <c r="G204" s="413">
        <v>1387.5</v>
      </c>
      <c r="H204" s="413">
        <v>2019</v>
      </c>
      <c r="I204" s="413">
        <v>105.5</v>
      </c>
      <c r="J204" s="413">
        <v>106.1</v>
      </c>
      <c r="K204" s="413" t="s">
        <v>763</v>
      </c>
      <c r="L204" s="100">
        <v>32.33</v>
      </c>
      <c r="M204" s="100">
        <v>35</v>
      </c>
      <c r="N204" s="100">
        <v>58.08</v>
      </c>
      <c r="O204" s="101"/>
      <c r="P204" s="101"/>
      <c r="Q204" s="101"/>
      <c r="R204" s="101" t="s">
        <v>723</v>
      </c>
      <c r="S204" s="101">
        <v>56.3</v>
      </c>
      <c r="T204" s="102" t="s">
        <v>23</v>
      </c>
      <c r="U204" s="101" t="s">
        <v>668</v>
      </c>
      <c r="V204" s="408"/>
      <c r="W204" s="400"/>
      <c r="CM204" s="342"/>
      <c r="CN204" s="342"/>
      <c r="CO204" s="342"/>
      <c r="CP204" s="342"/>
      <c r="CQ204" s="342"/>
      <c r="CR204" s="342"/>
      <c r="CS204" s="342"/>
      <c r="CT204" s="342"/>
      <c r="CU204" s="342"/>
      <c r="CV204" s="342"/>
      <c r="CW204" s="342"/>
      <c r="CX204" s="342"/>
      <c r="CY204" s="342"/>
    </row>
    <row r="205" spans="2:103" s="343" customFormat="1" ht="34.5" customHeight="1" x14ac:dyDescent="0.25">
      <c r="B205" s="263">
        <v>44393</v>
      </c>
      <c r="C205" s="103">
        <v>0.25</v>
      </c>
      <c r="D205" s="410">
        <v>44</v>
      </c>
      <c r="E205" s="100">
        <v>9.9</v>
      </c>
      <c r="F205" s="412">
        <v>12.4</v>
      </c>
      <c r="G205" s="413">
        <v>1375.6</v>
      </c>
      <c r="H205" s="413">
        <v>1985</v>
      </c>
      <c r="I205" s="413">
        <v>105.5</v>
      </c>
      <c r="J205" s="413">
        <v>106.1</v>
      </c>
      <c r="K205" s="413" t="s">
        <v>766</v>
      </c>
      <c r="L205" s="100">
        <v>32.03</v>
      </c>
      <c r="M205" s="100">
        <v>35</v>
      </c>
      <c r="N205" s="100">
        <v>57.01</v>
      </c>
      <c r="O205" s="101"/>
      <c r="P205" s="101"/>
      <c r="Q205" s="101"/>
      <c r="R205" s="101" t="s">
        <v>723</v>
      </c>
      <c r="S205" s="101">
        <v>56.7</v>
      </c>
      <c r="T205" s="102" t="s">
        <v>23</v>
      </c>
      <c r="U205" s="101" t="s">
        <v>668</v>
      </c>
      <c r="V205" s="408"/>
      <c r="W205" s="400"/>
      <c r="CM205" s="342"/>
      <c r="CN205" s="342"/>
      <c r="CO205" s="342"/>
      <c r="CP205" s="342"/>
      <c r="CQ205" s="342"/>
      <c r="CR205" s="342"/>
      <c r="CS205" s="342"/>
      <c r="CT205" s="342"/>
      <c r="CU205" s="342"/>
      <c r="CV205" s="342"/>
      <c r="CW205" s="342"/>
      <c r="CX205" s="342"/>
      <c r="CY205" s="342"/>
    </row>
    <row r="206" spans="2:103" s="343" customFormat="1" ht="34.5" customHeight="1" x14ac:dyDescent="0.25">
      <c r="B206" s="263">
        <v>44394</v>
      </c>
      <c r="C206" s="103">
        <v>0.25</v>
      </c>
      <c r="D206" s="410">
        <v>44</v>
      </c>
      <c r="E206" s="100">
        <v>9.9</v>
      </c>
      <c r="F206" s="412">
        <v>12.3</v>
      </c>
      <c r="G206" s="413">
        <v>1371</v>
      </c>
      <c r="H206" s="413">
        <v>2010</v>
      </c>
      <c r="I206" s="413">
        <v>105.5</v>
      </c>
      <c r="J206" s="413">
        <v>106.1</v>
      </c>
      <c r="K206" s="413" t="s">
        <v>769</v>
      </c>
      <c r="L206" s="100">
        <v>31.95</v>
      </c>
      <c r="M206" s="100">
        <v>35</v>
      </c>
      <c r="N206" s="100">
        <v>57.39</v>
      </c>
      <c r="O206" s="101"/>
      <c r="P206" s="101"/>
      <c r="Q206" s="101"/>
      <c r="R206" s="101" t="s">
        <v>723</v>
      </c>
      <c r="S206" s="101">
        <v>56.3</v>
      </c>
      <c r="T206" s="102" t="s">
        <v>23</v>
      </c>
      <c r="U206" s="101" t="s">
        <v>668</v>
      </c>
      <c r="V206" s="408"/>
      <c r="W206" s="400"/>
      <c r="CM206" s="342"/>
      <c r="CN206" s="342"/>
      <c r="CO206" s="342"/>
      <c r="CP206" s="342"/>
      <c r="CQ206" s="342"/>
      <c r="CR206" s="342"/>
      <c r="CS206" s="342"/>
      <c r="CT206" s="342"/>
      <c r="CU206" s="342"/>
      <c r="CV206" s="342"/>
      <c r="CW206" s="342"/>
      <c r="CX206" s="342"/>
      <c r="CY206" s="342"/>
    </row>
    <row r="207" spans="2:103" s="343" customFormat="1" ht="34.5" customHeight="1" x14ac:dyDescent="0.25">
      <c r="B207" s="263">
        <v>44395</v>
      </c>
      <c r="C207" s="103">
        <v>0.25</v>
      </c>
      <c r="D207" s="410">
        <v>44</v>
      </c>
      <c r="E207" s="100">
        <v>9.6</v>
      </c>
      <c r="F207" s="412">
        <v>12.2</v>
      </c>
      <c r="G207" s="413">
        <v>1373</v>
      </c>
      <c r="H207" s="413">
        <v>2036</v>
      </c>
      <c r="I207" s="413">
        <v>105</v>
      </c>
      <c r="J207" s="413">
        <v>105</v>
      </c>
      <c r="K207" s="413" t="s">
        <v>774</v>
      </c>
      <c r="L207" s="100">
        <v>34.61</v>
      </c>
      <c r="M207" s="100">
        <v>37.5</v>
      </c>
      <c r="N207" s="100">
        <v>56.9</v>
      </c>
      <c r="O207" s="101"/>
      <c r="P207" s="101"/>
      <c r="Q207" s="101"/>
      <c r="R207" s="101" t="s">
        <v>723</v>
      </c>
      <c r="S207" s="101">
        <v>55.3</v>
      </c>
      <c r="T207" s="102" t="s">
        <v>23</v>
      </c>
      <c r="U207" s="101" t="s">
        <v>668</v>
      </c>
      <c r="V207" s="408"/>
      <c r="W207" s="400"/>
      <c r="CM207" s="342"/>
      <c r="CN207" s="342"/>
      <c r="CO207" s="342"/>
      <c r="CP207" s="342"/>
      <c r="CQ207" s="342"/>
      <c r="CR207" s="342"/>
      <c r="CS207" s="342"/>
      <c r="CT207" s="342"/>
      <c r="CU207" s="342"/>
      <c r="CV207" s="342"/>
      <c r="CW207" s="342"/>
      <c r="CX207" s="342"/>
      <c r="CY207" s="342"/>
    </row>
    <row r="208" spans="2:103" s="343" customFormat="1" ht="34.5" customHeight="1" x14ac:dyDescent="0.25">
      <c r="B208" s="263">
        <v>44396</v>
      </c>
      <c r="C208" s="103">
        <v>0.25</v>
      </c>
      <c r="D208" s="410">
        <v>44</v>
      </c>
      <c r="E208" s="100">
        <v>9</v>
      </c>
      <c r="F208" s="412">
        <v>11.8</v>
      </c>
      <c r="G208" s="413">
        <v>1374</v>
      </c>
      <c r="H208" s="413">
        <v>2071</v>
      </c>
      <c r="I208" s="413">
        <v>104.4</v>
      </c>
      <c r="J208" s="413">
        <v>105.5</v>
      </c>
      <c r="K208" s="413" t="s">
        <v>787</v>
      </c>
      <c r="L208" s="100">
        <v>34.729999999999997</v>
      </c>
      <c r="M208" s="100">
        <v>37</v>
      </c>
      <c r="N208" s="100">
        <v>55.25</v>
      </c>
      <c r="O208" s="101"/>
      <c r="P208" s="101"/>
      <c r="Q208" s="101"/>
      <c r="R208" s="101" t="s">
        <v>723</v>
      </c>
      <c r="S208" s="101">
        <v>53.5</v>
      </c>
      <c r="T208" s="102" t="s">
        <v>23</v>
      </c>
      <c r="U208" s="101" t="s">
        <v>668</v>
      </c>
      <c r="V208" s="408"/>
      <c r="W208" s="400"/>
      <c r="CM208" s="342"/>
      <c r="CN208" s="342"/>
      <c r="CO208" s="342"/>
      <c r="CP208" s="342"/>
      <c r="CQ208" s="342"/>
      <c r="CR208" s="342"/>
      <c r="CS208" s="342"/>
      <c r="CT208" s="342"/>
      <c r="CU208" s="342"/>
      <c r="CV208" s="342"/>
      <c r="CW208" s="342"/>
      <c r="CX208" s="342"/>
      <c r="CY208" s="342"/>
    </row>
    <row r="209" spans="2:103" s="343" customFormat="1" ht="34.5" customHeight="1" x14ac:dyDescent="0.25">
      <c r="B209" s="263">
        <v>44397</v>
      </c>
      <c r="C209" s="103">
        <v>0.25</v>
      </c>
      <c r="D209" s="410">
        <v>44</v>
      </c>
      <c r="E209" s="100">
        <v>9.6</v>
      </c>
      <c r="F209" s="412">
        <v>12.2</v>
      </c>
      <c r="G209" s="413">
        <v>1369</v>
      </c>
      <c r="H209" s="413">
        <v>2021</v>
      </c>
      <c r="I209" s="413">
        <v>105.5</v>
      </c>
      <c r="J209" s="413">
        <v>106.1</v>
      </c>
      <c r="K209" s="413" t="s">
        <v>790</v>
      </c>
      <c r="L209" s="100">
        <v>33.54</v>
      </c>
      <c r="M209" s="100">
        <v>36.5</v>
      </c>
      <c r="N209" s="100">
        <v>56.74</v>
      </c>
      <c r="O209" s="101"/>
      <c r="P209" s="101"/>
      <c r="Q209" s="101"/>
      <c r="R209" s="101" t="s">
        <v>723</v>
      </c>
      <c r="S209" s="101">
        <v>55.8</v>
      </c>
      <c r="T209" s="102" t="s">
        <v>23</v>
      </c>
      <c r="U209" s="101" t="s">
        <v>668</v>
      </c>
      <c r="V209" s="408"/>
      <c r="W209" s="400"/>
      <c r="CM209" s="342"/>
      <c r="CN209" s="342"/>
      <c r="CO209" s="342"/>
      <c r="CP209" s="342"/>
      <c r="CQ209" s="342"/>
      <c r="CR209" s="342"/>
      <c r="CS209" s="342"/>
      <c r="CT209" s="342"/>
      <c r="CU209" s="342"/>
      <c r="CV209" s="342"/>
      <c r="CW209" s="342"/>
      <c r="CX209" s="342"/>
      <c r="CY209" s="342"/>
    </row>
    <row r="210" spans="2:103" s="343" customFormat="1" ht="34.5" customHeight="1" x14ac:dyDescent="0.25">
      <c r="B210" s="263">
        <v>44398</v>
      </c>
      <c r="C210" s="103">
        <v>0.25</v>
      </c>
      <c r="D210" s="410">
        <v>44</v>
      </c>
      <c r="E210" s="100">
        <v>9.5</v>
      </c>
      <c r="F210" s="412">
        <v>12.1</v>
      </c>
      <c r="G210" s="413">
        <v>1369</v>
      </c>
      <c r="H210" s="413">
        <v>2036.4</v>
      </c>
      <c r="I210" s="413">
        <v>105</v>
      </c>
      <c r="J210" s="413">
        <v>106.1</v>
      </c>
      <c r="K210" s="413" t="s">
        <v>792</v>
      </c>
      <c r="L210" s="100">
        <v>34.26</v>
      </c>
      <c r="M210" s="100">
        <v>36</v>
      </c>
      <c r="N210" s="100">
        <v>55.32</v>
      </c>
      <c r="O210" s="101"/>
      <c r="P210" s="101"/>
      <c r="Q210" s="101"/>
      <c r="R210" s="101" t="s">
        <v>793</v>
      </c>
      <c r="S210" s="101">
        <v>55.3</v>
      </c>
      <c r="T210" s="102" t="s">
        <v>23</v>
      </c>
      <c r="U210" s="101" t="s">
        <v>668</v>
      </c>
      <c r="V210" s="408"/>
      <c r="W210" s="400"/>
      <c r="CM210" s="342"/>
      <c r="CN210" s="342"/>
      <c r="CO210" s="342"/>
      <c r="CP210" s="342"/>
      <c r="CQ210" s="342"/>
      <c r="CR210" s="342"/>
      <c r="CS210" s="342"/>
      <c r="CT210" s="342"/>
      <c r="CU210" s="342"/>
      <c r="CV210" s="342"/>
      <c r="CW210" s="342"/>
      <c r="CX210" s="342"/>
      <c r="CY210" s="342"/>
    </row>
    <row r="211" spans="2:103" s="343" customFormat="1" ht="34.5" customHeight="1" x14ac:dyDescent="0.25">
      <c r="B211" s="263">
        <v>44399</v>
      </c>
      <c r="C211" s="103">
        <v>0.25</v>
      </c>
      <c r="D211" s="410">
        <v>44</v>
      </c>
      <c r="E211" s="100">
        <v>9.6</v>
      </c>
      <c r="F211" s="412">
        <v>12</v>
      </c>
      <c r="G211" s="413">
        <v>1365</v>
      </c>
      <c r="H211" s="413">
        <v>2030</v>
      </c>
      <c r="I211" s="413">
        <v>104.4</v>
      </c>
      <c r="J211" s="413">
        <v>105.5</v>
      </c>
      <c r="K211" s="413" t="s">
        <v>796</v>
      </c>
      <c r="L211" s="100">
        <v>32.799999999999997</v>
      </c>
      <c r="M211" s="100">
        <v>34</v>
      </c>
      <c r="N211" s="100">
        <v>56</v>
      </c>
      <c r="O211" s="101"/>
      <c r="P211" s="101"/>
      <c r="Q211" s="101"/>
      <c r="R211" s="101" t="s">
        <v>793</v>
      </c>
      <c r="S211" s="101">
        <v>55.3</v>
      </c>
      <c r="T211" s="102" t="s">
        <v>23</v>
      </c>
      <c r="U211" s="101" t="s">
        <v>668</v>
      </c>
      <c r="V211" s="408"/>
      <c r="W211" s="400"/>
      <c r="CM211" s="342"/>
      <c r="CN211" s="342"/>
      <c r="CO211" s="342"/>
      <c r="CP211" s="342"/>
      <c r="CQ211" s="342"/>
      <c r="CR211" s="342"/>
      <c r="CS211" s="342"/>
      <c r="CT211" s="342"/>
      <c r="CU211" s="342"/>
      <c r="CV211" s="342"/>
      <c r="CW211" s="342"/>
      <c r="CX211" s="342"/>
      <c r="CY211" s="342"/>
    </row>
    <row r="212" spans="2:103" s="343" customFormat="1" ht="34.5" customHeight="1" x14ac:dyDescent="0.25">
      <c r="B212" s="263">
        <v>44400</v>
      </c>
      <c r="C212" s="103">
        <v>0.25</v>
      </c>
      <c r="D212" s="410">
        <v>44</v>
      </c>
      <c r="E212" s="100">
        <v>9.6</v>
      </c>
      <c r="F212" s="412">
        <v>12.2</v>
      </c>
      <c r="G212" s="413">
        <v>1357</v>
      </c>
      <c r="H212" s="413">
        <v>2005</v>
      </c>
      <c r="I212" s="413">
        <v>105</v>
      </c>
      <c r="J212" s="413">
        <v>106</v>
      </c>
      <c r="K212" s="413" t="s">
        <v>798</v>
      </c>
      <c r="L212" s="100">
        <v>31.87</v>
      </c>
      <c r="M212" s="100">
        <v>34</v>
      </c>
      <c r="N212" s="100">
        <v>57.54</v>
      </c>
      <c r="O212" s="101"/>
      <c r="P212" s="101"/>
      <c r="Q212" s="101"/>
      <c r="R212" s="101" t="s">
        <v>793</v>
      </c>
      <c r="S212" s="101">
        <v>55.8</v>
      </c>
      <c r="T212" s="102" t="s">
        <v>23</v>
      </c>
      <c r="U212" s="101" t="s">
        <v>668</v>
      </c>
      <c r="V212" s="408"/>
      <c r="W212" s="400"/>
      <c r="CM212" s="342"/>
      <c r="CN212" s="342"/>
      <c r="CO212" s="342"/>
      <c r="CP212" s="342"/>
      <c r="CQ212" s="342"/>
      <c r="CR212" s="342"/>
      <c r="CS212" s="342"/>
      <c r="CT212" s="342"/>
      <c r="CU212" s="342"/>
      <c r="CV212" s="342"/>
      <c r="CW212" s="342"/>
      <c r="CX212" s="342"/>
      <c r="CY212" s="342"/>
    </row>
    <row r="213" spans="2:103" s="343" customFormat="1" ht="34.5" customHeight="1" x14ac:dyDescent="0.25">
      <c r="B213" s="263">
        <v>44401</v>
      </c>
      <c r="C213" s="103">
        <v>0.25</v>
      </c>
      <c r="D213" s="410">
        <v>44</v>
      </c>
      <c r="E213" s="100">
        <v>9.5</v>
      </c>
      <c r="F213" s="412">
        <v>12.1</v>
      </c>
      <c r="G213" s="413">
        <v>1353</v>
      </c>
      <c r="H213" s="413">
        <v>2022</v>
      </c>
      <c r="I213" s="413">
        <v>105</v>
      </c>
      <c r="J213" s="413">
        <v>106</v>
      </c>
      <c r="K213" s="413" t="s">
        <v>800</v>
      </c>
      <c r="L213" s="100">
        <v>32.51</v>
      </c>
      <c r="M213" s="100">
        <v>34</v>
      </c>
      <c r="N213" s="100">
        <v>56.71</v>
      </c>
      <c r="O213" s="101"/>
      <c r="P213" s="101"/>
      <c r="Q213" s="101"/>
      <c r="R213" s="101" t="s">
        <v>793</v>
      </c>
      <c r="S213" s="101">
        <v>55.3</v>
      </c>
      <c r="T213" s="102" t="s">
        <v>23</v>
      </c>
      <c r="U213" s="101" t="s">
        <v>668</v>
      </c>
      <c r="V213" s="408"/>
      <c r="W213" s="400"/>
      <c r="CM213" s="342"/>
      <c r="CN213" s="342"/>
      <c r="CO213" s="342"/>
      <c r="CP213" s="342"/>
      <c r="CQ213" s="342"/>
      <c r="CR213" s="342"/>
      <c r="CS213" s="342"/>
      <c r="CT213" s="342"/>
      <c r="CU213" s="342"/>
      <c r="CV213" s="342"/>
      <c r="CW213" s="342"/>
      <c r="CX213" s="342"/>
      <c r="CY213" s="342"/>
    </row>
    <row r="214" spans="2:103" s="343" customFormat="1" ht="34.5" customHeight="1" x14ac:dyDescent="0.25">
      <c r="B214" s="263">
        <v>44402</v>
      </c>
      <c r="C214" s="103">
        <v>0.25</v>
      </c>
      <c r="D214" s="410">
        <v>44</v>
      </c>
      <c r="E214" s="100">
        <v>9.8000000000000007</v>
      </c>
      <c r="F214" s="412">
        <v>12.1</v>
      </c>
      <c r="G214" s="413">
        <v>1350</v>
      </c>
      <c r="H214" s="413">
        <v>1991</v>
      </c>
      <c r="I214" s="413">
        <v>105</v>
      </c>
      <c r="J214" s="413">
        <v>106</v>
      </c>
      <c r="K214" s="413" t="s">
        <v>802</v>
      </c>
      <c r="L214" s="100">
        <v>30.8</v>
      </c>
      <c r="M214" s="100">
        <v>34</v>
      </c>
      <c r="N214" s="100">
        <v>56.8</v>
      </c>
      <c r="O214" s="101"/>
      <c r="P214" s="101"/>
      <c r="Q214" s="101"/>
      <c r="R214" s="101" t="s">
        <v>793</v>
      </c>
      <c r="S214" s="101">
        <v>56.8</v>
      </c>
      <c r="T214" s="102" t="s">
        <v>23</v>
      </c>
      <c r="U214" s="101" t="s">
        <v>668</v>
      </c>
      <c r="V214" s="408"/>
      <c r="W214" s="400"/>
      <c r="CM214" s="342"/>
      <c r="CN214" s="342"/>
      <c r="CO214" s="342"/>
      <c r="CP214" s="342"/>
      <c r="CQ214" s="342"/>
      <c r="CR214" s="342"/>
      <c r="CS214" s="342"/>
      <c r="CT214" s="342"/>
      <c r="CU214" s="342"/>
      <c r="CV214" s="342"/>
      <c r="CW214" s="342"/>
      <c r="CX214" s="342"/>
      <c r="CY214" s="342"/>
    </row>
    <row r="215" spans="2:103" s="343" customFormat="1" ht="34.5" customHeight="1" x14ac:dyDescent="0.25">
      <c r="B215" s="263">
        <v>44403</v>
      </c>
      <c r="C215" s="103">
        <v>0.25</v>
      </c>
      <c r="D215" s="410">
        <v>44</v>
      </c>
      <c r="E215" s="100">
        <v>9.4</v>
      </c>
      <c r="F215" s="412">
        <v>12</v>
      </c>
      <c r="G215" s="413">
        <v>1350</v>
      </c>
      <c r="H215" s="413">
        <v>2023</v>
      </c>
      <c r="I215" s="413">
        <v>105</v>
      </c>
      <c r="J215" s="413">
        <v>106</v>
      </c>
      <c r="K215" s="413" t="s">
        <v>804</v>
      </c>
      <c r="L215" s="100">
        <v>32.450000000000003</v>
      </c>
      <c r="M215" s="100">
        <v>34</v>
      </c>
      <c r="N215" s="100">
        <v>56.8</v>
      </c>
      <c r="O215" s="101"/>
      <c r="P215" s="101"/>
      <c r="Q215" s="101"/>
      <c r="R215" s="101" t="s">
        <v>793</v>
      </c>
      <c r="S215" s="101">
        <v>54.9</v>
      </c>
      <c r="T215" s="102" t="s">
        <v>23</v>
      </c>
      <c r="U215" s="101" t="s">
        <v>668</v>
      </c>
      <c r="V215" s="408"/>
      <c r="W215" s="400"/>
      <c r="CM215" s="342"/>
      <c r="CN215" s="342"/>
      <c r="CO215" s="342"/>
      <c r="CP215" s="342"/>
      <c r="CQ215" s="342"/>
      <c r="CR215" s="342"/>
      <c r="CS215" s="342"/>
      <c r="CT215" s="342"/>
      <c r="CU215" s="342"/>
      <c r="CV215" s="342"/>
      <c r="CW215" s="342"/>
      <c r="CX215" s="342"/>
      <c r="CY215" s="342"/>
    </row>
    <row r="216" spans="2:103" s="343" customFormat="1" ht="34.5" customHeight="1" x14ac:dyDescent="0.25">
      <c r="B216" s="263">
        <v>44404</v>
      </c>
      <c r="C216" s="103">
        <v>0.25</v>
      </c>
      <c r="D216" s="410">
        <v>44</v>
      </c>
      <c r="E216" s="100">
        <v>9.6</v>
      </c>
      <c r="F216" s="412">
        <v>12.1</v>
      </c>
      <c r="G216" s="413">
        <v>1347</v>
      </c>
      <c r="H216" s="413">
        <v>2011</v>
      </c>
      <c r="I216" s="413">
        <v>105</v>
      </c>
      <c r="J216" s="413">
        <v>106</v>
      </c>
      <c r="K216" s="413" t="s">
        <v>806</v>
      </c>
      <c r="L216" s="100">
        <v>31.84</v>
      </c>
      <c r="M216" s="100">
        <v>34</v>
      </c>
      <c r="N216" s="100">
        <v>56.8</v>
      </c>
      <c r="O216" s="101"/>
      <c r="P216" s="101"/>
      <c r="Q216" s="101"/>
      <c r="R216" s="101" t="s">
        <v>793</v>
      </c>
      <c r="S216" s="101">
        <v>55.3</v>
      </c>
      <c r="T216" s="102" t="s">
        <v>23</v>
      </c>
      <c r="U216" s="101" t="s">
        <v>668</v>
      </c>
      <c r="V216" s="408"/>
      <c r="W216" s="400"/>
      <c r="CM216" s="342"/>
      <c r="CN216" s="342"/>
      <c r="CO216" s="342"/>
      <c r="CP216" s="342"/>
      <c r="CQ216" s="342"/>
      <c r="CR216" s="342"/>
      <c r="CS216" s="342"/>
      <c r="CT216" s="342"/>
      <c r="CU216" s="342"/>
      <c r="CV216" s="342"/>
      <c r="CW216" s="342"/>
      <c r="CX216" s="342"/>
      <c r="CY216" s="342"/>
    </row>
    <row r="217" spans="2:103" s="343" customFormat="1" ht="34.5" customHeight="1" x14ac:dyDescent="0.25">
      <c r="B217" s="263">
        <v>44405</v>
      </c>
      <c r="C217" s="103">
        <v>0.25</v>
      </c>
      <c r="D217" s="410">
        <v>44</v>
      </c>
      <c r="E217" s="100">
        <v>9.5</v>
      </c>
      <c r="F217" s="412">
        <v>12.9</v>
      </c>
      <c r="G217" s="413">
        <v>1347</v>
      </c>
      <c r="H217" s="413">
        <v>2022</v>
      </c>
      <c r="I217" s="413">
        <v>105.5</v>
      </c>
      <c r="J217" s="413">
        <v>106</v>
      </c>
      <c r="K217" s="413" t="s">
        <v>808</v>
      </c>
      <c r="L217" s="100">
        <v>30.9</v>
      </c>
      <c r="M217" s="100">
        <v>34</v>
      </c>
      <c r="N217" s="100">
        <v>57.2</v>
      </c>
      <c r="O217" s="101"/>
      <c r="P217" s="101"/>
      <c r="Q217" s="101"/>
      <c r="R217" s="101" t="s">
        <v>793</v>
      </c>
      <c r="S217" s="101">
        <v>54.4</v>
      </c>
      <c r="T217" s="102" t="s">
        <v>23</v>
      </c>
      <c r="U217" s="101" t="s">
        <v>668</v>
      </c>
      <c r="V217" s="408"/>
      <c r="W217" s="400"/>
      <c r="CM217" s="342"/>
      <c r="CN217" s="342"/>
      <c r="CO217" s="342"/>
      <c r="CP217" s="342"/>
      <c r="CQ217" s="342"/>
      <c r="CR217" s="342"/>
      <c r="CS217" s="342"/>
      <c r="CT217" s="342"/>
      <c r="CU217" s="342"/>
      <c r="CV217" s="342"/>
      <c r="CW217" s="342"/>
      <c r="CX217" s="342"/>
      <c r="CY217" s="342"/>
    </row>
    <row r="218" spans="2:103" s="343" customFormat="1" ht="34.5" customHeight="1" x14ac:dyDescent="0.25">
      <c r="B218" s="263">
        <v>44406</v>
      </c>
      <c r="C218" s="103">
        <v>0.25</v>
      </c>
      <c r="D218" s="410">
        <v>44</v>
      </c>
      <c r="E218" s="100">
        <v>9.3000000000000007</v>
      </c>
      <c r="F218" s="412">
        <v>11.9</v>
      </c>
      <c r="G218" s="413">
        <v>1347</v>
      </c>
      <c r="H218" s="413">
        <v>2035</v>
      </c>
      <c r="I218" s="413">
        <v>104</v>
      </c>
      <c r="J218" s="413">
        <v>105</v>
      </c>
      <c r="K218" s="413" t="s">
        <v>810</v>
      </c>
      <c r="L218" s="100">
        <v>30.85</v>
      </c>
      <c r="M218" s="100">
        <v>34</v>
      </c>
      <c r="N218" s="100">
        <v>56.82</v>
      </c>
      <c r="O218" s="101"/>
      <c r="P218" s="101"/>
      <c r="Q218" s="101"/>
      <c r="R218" s="101" t="s">
        <v>793</v>
      </c>
      <c r="S218" s="101">
        <v>54.9</v>
      </c>
      <c r="T218" s="102" t="s">
        <v>23</v>
      </c>
      <c r="U218" s="101" t="s">
        <v>668</v>
      </c>
      <c r="V218" s="408"/>
      <c r="W218" s="400"/>
      <c r="CM218" s="342"/>
      <c r="CN218" s="342"/>
      <c r="CO218" s="342"/>
      <c r="CP218" s="342"/>
      <c r="CQ218" s="342"/>
      <c r="CR218" s="342"/>
      <c r="CS218" s="342"/>
      <c r="CT218" s="342"/>
      <c r="CU218" s="342"/>
      <c r="CV218" s="342"/>
      <c r="CW218" s="342"/>
      <c r="CX218" s="342"/>
      <c r="CY218" s="342"/>
    </row>
    <row r="219" spans="2:103" s="343" customFormat="1" ht="34.5" customHeight="1" x14ac:dyDescent="0.25">
      <c r="B219" s="263">
        <v>44407</v>
      </c>
      <c r="C219" s="103">
        <v>0.25</v>
      </c>
      <c r="D219" s="410">
        <v>44</v>
      </c>
      <c r="E219" s="100">
        <v>9.6</v>
      </c>
      <c r="F219" s="412">
        <v>12.2</v>
      </c>
      <c r="G219" s="413">
        <v>1345</v>
      </c>
      <c r="H219" s="413">
        <v>2010</v>
      </c>
      <c r="I219" s="413">
        <v>104</v>
      </c>
      <c r="J219" s="413">
        <v>105</v>
      </c>
      <c r="K219" s="413" t="s">
        <v>812</v>
      </c>
      <c r="L219" s="100">
        <v>29.82</v>
      </c>
      <c r="M219" s="100">
        <v>34</v>
      </c>
      <c r="N219" s="100">
        <v>57.4</v>
      </c>
      <c r="O219" s="101"/>
      <c r="P219" s="101"/>
      <c r="Q219" s="101"/>
      <c r="R219" s="101" t="s">
        <v>793</v>
      </c>
      <c r="S219" s="101">
        <v>55.3</v>
      </c>
      <c r="T219" s="102" t="s">
        <v>23</v>
      </c>
      <c r="U219" s="101" t="s">
        <v>668</v>
      </c>
      <c r="V219" s="408"/>
      <c r="W219" s="400"/>
      <c r="CM219" s="342"/>
      <c r="CN219" s="342"/>
      <c r="CO219" s="342"/>
      <c r="CP219" s="342"/>
      <c r="CQ219" s="342"/>
      <c r="CR219" s="342"/>
      <c r="CS219" s="342"/>
      <c r="CT219" s="342"/>
      <c r="CU219" s="342"/>
      <c r="CV219" s="342"/>
      <c r="CW219" s="342"/>
      <c r="CX219" s="342"/>
      <c r="CY219" s="342"/>
    </row>
    <row r="220" spans="2:103" s="343" customFormat="1" ht="34.5" customHeight="1" x14ac:dyDescent="0.25">
      <c r="B220" s="263">
        <v>44408</v>
      </c>
      <c r="C220" s="103">
        <v>0.25</v>
      </c>
      <c r="D220" s="410">
        <v>44</v>
      </c>
      <c r="E220" s="100">
        <v>9.6</v>
      </c>
      <c r="F220" s="412">
        <v>12</v>
      </c>
      <c r="G220" s="413">
        <v>1342</v>
      </c>
      <c r="H220" s="413">
        <v>2008</v>
      </c>
      <c r="I220" s="413">
        <v>105</v>
      </c>
      <c r="J220" s="413">
        <v>106</v>
      </c>
      <c r="K220" s="413" t="s">
        <v>814</v>
      </c>
      <c r="L220" s="100">
        <v>31.43</v>
      </c>
      <c r="M220" s="100">
        <v>34</v>
      </c>
      <c r="N220" s="100">
        <v>56.59</v>
      </c>
      <c r="O220" s="101"/>
      <c r="P220" s="101"/>
      <c r="Q220" s="101"/>
      <c r="R220" s="101" t="s">
        <v>793</v>
      </c>
      <c r="S220" s="101">
        <v>55.8</v>
      </c>
      <c r="T220" s="102" t="s">
        <v>23</v>
      </c>
      <c r="U220" s="101" t="s">
        <v>668</v>
      </c>
      <c r="V220" s="408"/>
      <c r="W220" s="400"/>
      <c r="CM220" s="342"/>
      <c r="CN220" s="342"/>
      <c r="CO220" s="342"/>
      <c r="CP220" s="342"/>
      <c r="CQ220" s="342"/>
      <c r="CR220" s="342"/>
      <c r="CS220" s="342"/>
      <c r="CT220" s="342"/>
      <c r="CU220" s="342"/>
      <c r="CV220" s="342"/>
      <c r="CW220" s="342"/>
      <c r="CX220" s="342"/>
      <c r="CY220" s="342"/>
    </row>
    <row r="221" spans="2:103" s="343" customFormat="1" ht="34.5" customHeight="1" x14ac:dyDescent="0.25">
      <c r="B221" s="263">
        <v>44409</v>
      </c>
      <c r="C221" s="103">
        <v>0.25</v>
      </c>
      <c r="D221" s="410">
        <v>44</v>
      </c>
      <c r="E221" s="100">
        <v>9.4</v>
      </c>
      <c r="F221" s="412">
        <v>12.9</v>
      </c>
      <c r="G221" s="413">
        <v>1342</v>
      </c>
      <c r="H221" s="413">
        <v>2019</v>
      </c>
      <c r="I221" s="413">
        <v>105</v>
      </c>
      <c r="J221" s="413">
        <v>106</v>
      </c>
      <c r="K221" s="413" t="s">
        <v>816</v>
      </c>
      <c r="L221" s="100">
        <v>31.52</v>
      </c>
      <c r="M221" s="100">
        <v>34</v>
      </c>
      <c r="N221" s="100">
        <v>56.13</v>
      </c>
      <c r="O221" s="101"/>
      <c r="P221" s="101"/>
      <c r="Q221" s="101"/>
      <c r="R221" s="101" t="s">
        <v>793</v>
      </c>
      <c r="S221" s="101">
        <v>54.9</v>
      </c>
      <c r="T221" s="102" t="s">
        <v>23</v>
      </c>
      <c r="U221" s="101" t="s">
        <v>668</v>
      </c>
      <c r="V221" s="408"/>
      <c r="W221" s="400"/>
      <c r="CM221" s="342"/>
      <c r="CN221" s="342"/>
      <c r="CO221" s="342"/>
      <c r="CP221" s="342"/>
      <c r="CQ221" s="342"/>
      <c r="CR221" s="342"/>
      <c r="CS221" s="342"/>
      <c r="CT221" s="342"/>
      <c r="CU221" s="342"/>
      <c r="CV221" s="342"/>
      <c r="CW221" s="342"/>
      <c r="CX221" s="342"/>
      <c r="CY221" s="342"/>
    </row>
    <row r="222" spans="2:103" s="343" customFormat="1" ht="34.5" customHeight="1" x14ac:dyDescent="0.25">
      <c r="B222" s="263">
        <v>44410</v>
      </c>
      <c r="C222" s="103">
        <v>0.25</v>
      </c>
      <c r="D222" s="410">
        <v>44</v>
      </c>
      <c r="E222" s="100">
        <v>9.4</v>
      </c>
      <c r="F222" s="412">
        <v>12</v>
      </c>
      <c r="G222" s="413">
        <v>1341.5</v>
      </c>
      <c r="H222" s="413">
        <v>2012</v>
      </c>
      <c r="I222" s="413">
        <v>105</v>
      </c>
      <c r="J222" s="413">
        <v>105.5</v>
      </c>
      <c r="K222" s="413" t="s">
        <v>844</v>
      </c>
      <c r="L222" s="100">
        <v>30.13</v>
      </c>
      <c r="M222" s="100">
        <v>33.5</v>
      </c>
      <c r="N222" s="100">
        <v>56.4</v>
      </c>
      <c r="O222" s="101"/>
      <c r="P222" s="101"/>
      <c r="Q222" s="101"/>
      <c r="R222" s="101" t="s">
        <v>793</v>
      </c>
      <c r="S222" s="101">
        <v>55.14</v>
      </c>
      <c r="T222" s="102" t="s">
        <v>23</v>
      </c>
      <c r="U222" s="101" t="s">
        <v>668</v>
      </c>
      <c r="V222" s="408"/>
      <c r="W222" s="400"/>
      <c r="CM222" s="342"/>
      <c r="CN222" s="342"/>
      <c r="CO222" s="342"/>
      <c r="CP222" s="342"/>
      <c r="CQ222" s="342"/>
      <c r="CR222" s="342"/>
      <c r="CS222" s="342"/>
      <c r="CT222" s="342"/>
      <c r="CU222" s="342"/>
      <c r="CV222" s="342"/>
      <c r="CW222" s="342"/>
      <c r="CX222" s="342"/>
      <c r="CY222" s="342"/>
    </row>
    <row r="223" spans="2:103" s="343" customFormat="1" ht="34.5" customHeight="1" x14ac:dyDescent="0.25">
      <c r="B223" s="263">
        <v>44411</v>
      </c>
      <c r="C223" s="103">
        <v>0.25</v>
      </c>
      <c r="D223" s="410">
        <v>44</v>
      </c>
      <c r="E223" s="100">
        <v>9.4</v>
      </c>
      <c r="F223" s="412">
        <v>12</v>
      </c>
      <c r="G223" s="413">
        <v>1341.5</v>
      </c>
      <c r="H223" s="413">
        <v>2013</v>
      </c>
      <c r="I223" s="413">
        <v>105</v>
      </c>
      <c r="J223" s="413">
        <v>106.1</v>
      </c>
      <c r="K223" s="413" t="s">
        <v>849</v>
      </c>
      <c r="L223" s="100">
        <v>31.3</v>
      </c>
      <c r="M223" s="100">
        <v>33.5</v>
      </c>
      <c r="N223" s="100">
        <v>56.25</v>
      </c>
      <c r="O223" s="101"/>
      <c r="P223" s="101"/>
      <c r="Q223" s="101"/>
      <c r="R223" s="101" t="s">
        <v>793</v>
      </c>
      <c r="S223" s="101">
        <v>55.9</v>
      </c>
      <c r="T223" s="102" t="s">
        <v>23</v>
      </c>
      <c r="U223" s="101" t="s">
        <v>668</v>
      </c>
      <c r="V223" s="408" t="s">
        <v>853</v>
      </c>
      <c r="W223" s="400"/>
      <c r="CM223" s="342"/>
      <c r="CN223" s="342"/>
      <c r="CO223" s="342"/>
      <c r="CP223" s="342"/>
      <c r="CQ223" s="342"/>
      <c r="CR223" s="342"/>
      <c r="CS223" s="342"/>
      <c r="CT223" s="342"/>
      <c r="CU223" s="342"/>
      <c r="CV223" s="342"/>
      <c r="CW223" s="342"/>
      <c r="CX223" s="342"/>
      <c r="CY223" s="342"/>
    </row>
    <row r="224" spans="2:103" s="343" customFormat="1" ht="34.5" customHeight="1" x14ac:dyDescent="0.25">
      <c r="B224" s="263">
        <v>44412</v>
      </c>
      <c r="C224" s="103">
        <v>0.25</v>
      </c>
      <c r="D224" s="410">
        <v>45</v>
      </c>
      <c r="E224" s="100">
        <v>10.199999999999999</v>
      </c>
      <c r="F224" s="412">
        <v>12.5</v>
      </c>
      <c r="G224" s="413">
        <v>1332</v>
      </c>
      <c r="H224" s="413">
        <v>1993</v>
      </c>
      <c r="I224" s="413">
        <v>104.1</v>
      </c>
      <c r="J224" s="413">
        <v>105.5</v>
      </c>
      <c r="K224" s="413" t="s">
        <v>857</v>
      </c>
      <c r="L224" s="100">
        <v>29.13</v>
      </c>
      <c r="M224" s="100">
        <v>33.5</v>
      </c>
      <c r="N224" s="100">
        <v>58.19</v>
      </c>
      <c r="O224" s="101"/>
      <c r="P224" s="101"/>
      <c r="Q224" s="101"/>
      <c r="R224" s="101" t="s">
        <v>793</v>
      </c>
      <c r="S224" s="101">
        <v>57.6</v>
      </c>
      <c r="T224" s="102" t="s">
        <v>23</v>
      </c>
      <c r="U224" s="101" t="s">
        <v>668</v>
      </c>
      <c r="V224" s="408" t="s">
        <v>858</v>
      </c>
      <c r="W224" s="400"/>
      <c r="CM224" s="342"/>
      <c r="CN224" s="342"/>
      <c r="CO224" s="342"/>
      <c r="CP224" s="342"/>
      <c r="CQ224" s="342"/>
      <c r="CR224" s="342"/>
      <c r="CS224" s="342"/>
      <c r="CT224" s="342"/>
      <c r="CU224" s="342"/>
      <c r="CV224" s="342"/>
      <c r="CW224" s="342"/>
      <c r="CX224" s="342"/>
      <c r="CY224" s="342"/>
    </row>
    <row r="225" spans="2:103" s="343" customFormat="1" ht="34.5" customHeight="1" x14ac:dyDescent="0.25">
      <c r="B225" s="263">
        <v>44413</v>
      </c>
      <c r="C225" s="103">
        <v>0.25</v>
      </c>
      <c r="D225" s="410">
        <v>46</v>
      </c>
      <c r="E225" s="100">
        <v>10.6</v>
      </c>
      <c r="F225" s="412">
        <v>13</v>
      </c>
      <c r="G225" s="413">
        <v>1319</v>
      </c>
      <c r="H225" s="413">
        <v>2012</v>
      </c>
      <c r="I225" s="413">
        <v>105</v>
      </c>
      <c r="J225" s="413">
        <v>106.1</v>
      </c>
      <c r="K225" s="413" t="s">
        <v>866</v>
      </c>
      <c r="L225" s="100">
        <v>33.65</v>
      </c>
      <c r="M225" s="100">
        <v>36.5</v>
      </c>
      <c r="N225" s="100">
        <v>58.23</v>
      </c>
      <c r="O225" s="101"/>
      <c r="P225" s="101"/>
      <c r="Q225" s="101"/>
      <c r="R225" s="101" t="s">
        <v>867</v>
      </c>
      <c r="S225" s="101">
        <v>59.5</v>
      </c>
      <c r="T225" s="102" t="s">
        <v>23</v>
      </c>
      <c r="U225" s="101" t="s">
        <v>668</v>
      </c>
      <c r="V225" s="408"/>
      <c r="W225" s="400"/>
      <c r="CM225" s="342"/>
      <c r="CN225" s="342"/>
      <c r="CO225" s="342"/>
      <c r="CP225" s="342"/>
      <c r="CQ225" s="342"/>
      <c r="CR225" s="342"/>
      <c r="CS225" s="342"/>
      <c r="CT225" s="342"/>
      <c r="CU225" s="342"/>
      <c r="CV225" s="342"/>
      <c r="CW225" s="342"/>
      <c r="CX225" s="342"/>
      <c r="CY225" s="342"/>
    </row>
    <row r="226" spans="2:103" s="343" customFormat="1" ht="34.5" customHeight="1" x14ac:dyDescent="0.25">
      <c r="B226" s="263">
        <v>44414</v>
      </c>
      <c r="C226" s="103">
        <v>0.25</v>
      </c>
      <c r="D226" s="410">
        <v>46</v>
      </c>
      <c r="E226" s="100">
        <v>10</v>
      </c>
      <c r="F226" s="412">
        <v>12.4</v>
      </c>
      <c r="G226" s="413">
        <v>1318</v>
      </c>
      <c r="H226" s="413">
        <v>2069</v>
      </c>
      <c r="I226" s="413">
        <v>104</v>
      </c>
      <c r="J226" s="413">
        <v>105</v>
      </c>
      <c r="K226" s="413" t="s">
        <v>877</v>
      </c>
      <c r="L226" s="100">
        <v>35.24</v>
      </c>
      <c r="M226" s="100">
        <v>37</v>
      </c>
      <c r="N226" s="100">
        <v>57.51</v>
      </c>
      <c r="O226" s="101"/>
      <c r="P226" s="101"/>
      <c r="Q226" s="101"/>
      <c r="R226" s="101" t="s">
        <v>878</v>
      </c>
      <c r="S226" s="101">
        <v>56.7</v>
      </c>
      <c r="T226" s="102" t="s">
        <v>23</v>
      </c>
      <c r="U226" s="101" t="s">
        <v>668</v>
      </c>
      <c r="V226" s="408"/>
      <c r="W226" s="400"/>
      <c r="CM226" s="342"/>
      <c r="CN226" s="342"/>
      <c r="CO226" s="342"/>
      <c r="CP226" s="342"/>
      <c r="CQ226" s="342"/>
      <c r="CR226" s="342"/>
      <c r="CS226" s="342"/>
      <c r="CT226" s="342"/>
      <c r="CU226" s="342"/>
      <c r="CV226" s="342"/>
      <c r="CW226" s="342"/>
      <c r="CX226" s="342"/>
      <c r="CY226" s="342"/>
    </row>
    <row r="227" spans="2:103" s="343" customFormat="1" ht="34.5" customHeight="1" x14ac:dyDescent="0.25">
      <c r="B227" s="263">
        <v>44415</v>
      </c>
      <c r="C227" s="103">
        <v>0.25</v>
      </c>
      <c r="D227" s="410">
        <v>46</v>
      </c>
      <c r="E227" s="100">
        <v>10.6</v>
      </c>
      <c r="F227" s="412">
        <v>13</v>
      </c>
      <c r="G227" s="413">
        <v>1310</v>
      </c>
      <c r="H227" s="413">
        <v>1989</v>
      </c>
      <c r="I227" s="413">
        <v>105</v>
      </c>
      <c r="J227" s="413">
        <v>105.5</v>
      </c>
      <c r="K227" s="413" t="s">
        <v>883</v>
      </c>
      <c r="L227" s="100">
        <v>30.77</v>
      </c>
      <c r="M227" s="100">
        <v>37</v>
      </c>
      <c r="N227" s="100">
        <v>58.42</v>
      </c>
      <c r="O227" s="101"/>
      <c r="P227" s="101"/>
      <c r="Q227" s="101"/>
      <c r="R227" s="101" t="s">
        <v>878</v>
      </c>
      <c r="S227" s="101">
        <v>59.5</v>
      </c>
      <c r="T227" s="102" t="s">
        <v>23</v>
      </c>
      <c r="U227" s="101" t="s">
        <v>668</v>
      </c>
      <c r="V227" s="408"/>
      <c r="W227" s="400"/>
      <c r="CM227" s="342"/>
      <c r="CN227" s="342"/>
      <c r="CO227" s="342"/>
      <c r="CP227" s="342"/>
      <c r="CQ227" s="342"/>
      <c r="CR227" s="342"/>
      <c r="CS227" s="342"/>
      <c r="CT227" s="342"/>
      <c r="CU227" s="342"/>
      <c r="CV227" s="342"/>
      <c r="CW227" s="342"/>
      <c r="CX227" s="342"/>
      <c r="CY227" s="342"/>
    </row>
    <row r="228" spans="2:103" s="343" customFormat="1" ht="34.5" customHeight="1" x14ac:dyDescent="0.25">
      <c r="B228" s="263">
        <v>44416</v>
      </c>
      <c r="C228" s="103">
        <v>0.25</v>
      </c>
      <c r="D228" s="410">
        <v>46</v>
      </c>
      <c r="E228" s="100">
        <v>10.5</v>
      </c>
      <c r="F228" s="412">
        <v>13.9</v>
      </c>
      <c r="G228" s="413">
        <v>1301</v>
      </c>
      <c r="H228" s="413">
        <v>1967</v>
      </c>
      <c r="I228" s="413">
        <v>104</v>
      </c>
      <c r="J228" s="413">
        <v>105.5</v>
      </c>
      <c r="K228" s="413" t="s">
        <v>886</v>
      </c>
      <c r="L228" s="100">
        <v>31.64</v>
      </c>
      <c r="M228" s="100">
        <v>37</v>
      </c>
      <c r="N228" s="100">
        <v>60.03</v>
      </c>
      <c r="O228" s="101"/>
      <c r="P228" s="101"/>
      <c r="Q228" s="101"/>
      <c r="R228" s="101" t="s">
        <v>878</v>
      </c>
      <c r="S228" s="101">
        <v>59.5</v>
      </c>
      <c r="T228" s="102" t="s">
        <v>23</v>
      </c>
      <c r="U228" s="101" t="s">
        <v>668</v>
      </c>
      <c r="V228" s="408"/>
      <c r="W228" s="400"/>
      <c r="CM228" s="342"/>
      <c r="CN228" s="342"/>
      <c r="CO228" s="342"/>
      <c r="CP228" s="342"/>
      <c r="CQ228" s="342"/>
      <c r="CR228" s="342"/>
      <c r="CS228" s="342"/>
      <c r="CT228" s="342"/>
      <c r="CU228" s="342"/>
      <c r="CV228" s="342"/>
      <c r="CW228" s="342"/>
      <c r="CX228" s="342"/>
      <c r="CY228" s="342"/>
    </row>
    <row r="229" spans="2:103" s="343" customFormat="1" ht="34.5" customHeight="1" x14ac:dyDescent="0.25">
      <c r="B229" s="263">
        <v>44417</v>
      </c>
      <c r="C229" s="103">
        <v>0.25</v>
      </c>
      <c r="D229" s="410">
        <v>46</v>
      </c>
      <c r="E229" s="100">
        <v>10.1</v>
      </c>
      <c r="F229" s="412">
        <v>12.6</v>
      </c>
      <c r="G229" s="413">
        <v>1306</v>
      </c>
      <c r="H229" s="413">
        <v>2043</v>
      </c>
      <c r="I229" s="413">
        <v>104</v>
      </c>
      <c r="J229" s="413">
        <v>105.5</v>
      </c>
      <c r="K229" s="413" t="s">
        <v>910</v>
      </c>
      <c r="L229" s="100">
        <v>34.65</v>
      </c>
      <c r="M229" s="100">
        <v>37</v>
      </c>
      <c r="N229" s="100">
        <v>58.73</v>
      </c>
      <c r="O229" s="101"/>
      <c r="P229" s="101"/>
      <c r="Q229" s="101"/>
      <c r="R229" s="101" t="s">
        <v>878</v>
      </c>
      <c r="S229" s="101">
        <v>57.6</v>
      </c>
      <c r="T229" s="102" t="s">
        <v>23</v>
      </c>
      <c r="U229" s="101" t="s">
        <v>668</v>
      </c>
      <c r="V229" s="408"/>
      <c r="W229" s="400"/>
      <c r="CM229" s="342"/>
      <c r="CN229" s="342"/>
      <c r="CO229" s="342"/>
      <c r="CP229" s="342"/>
      <c r="CQ229" s="342"/>
      <c r="CR229" s="342"/>
      <c r="CS229" s="342"/>
      <c r="CT229" s="342"/>
      <c r="CU229" s="342"/>
      <c r="CV229" s="342"/>
      <c r="CW229" s="342"/>
      <c r="CX229" s="342"/>
      <c r="CY229" s="342"/>
    </row>
    <row r="230" spans="2:103" s="343" customFormat="1" ht="34.5" customHeight="1" x14ac:dyDescent="0.25">
      <c r="B230" s="263">
        <v>44418</v>
      </c>
      <c r="C230" s="103">
        <v>0.25</v>
      </c>
      <c r="D230" s="410">
        <v>46</v>
      </c>
      <c r="E230" s="100">
        <v>9.5</v>
      </c>
      <c r="F230" s="412">
        <v>12.1</v>
      </c>
      <c r="G230" s="413">
        <v>1317</v>
      </c>
      <c r="H230" s="413">
        <v>2100</v>
      </c>
      <c r="I230" s="413">
        <v>104.4</v>
      </c>
      <c r="J230" s="413">
        <v>105.5</v>
      </c>
      <c r="K230" s="413" t="s">
        <v>913</v>
      </c>
      <c r="L230" s="100">
        <v>37.94</v>
      </c>
      <c r="M230" s="100">
        <v>42</v>
      </c>
      <c r="N230" s="100">
        <v>54.7</v>
      </c>
      <c r="O230" s="101"/>
      <c r="P230" s="101"/>
      <c r="Q230" s="101"/>
      <c r="R230" s="101" t="s">
        <v>878</v>
      </c>
      <c r="S230" s="101">
        <v>54.3</v>
      </c>
      <c r="T230" s="102" t="s">
        <v>23</v>
      </c>
      <c r="U230" s="101" t="s">
        <v>668</v>
      </c>
      <c r="V230" s="408" t="s">
        <v>914</v>
      </c>
      <c r="W230" s="400"/>
      <c r="CM230" s="342"/>
      <c r="CN230" s="342"/>
      <c r="CO230" s="342"/>
      <c r="CP230" s="342"/>
      <c r="CQ230" s="342"/>
      <c r="CR230" s="342"/>
      <c r="CS230" s="342"/>
      <c r="CT230" s="342"/>
      <c r="CU230" s="342"/>
      <c r="CV230" s="342"/>
      <c r="CW230" s="342"/>
      <c r="CX230" s="342"/>
      <c r="CY230" s="342"/>
    </row>
    <row r="231" spans="2:103" s="343" customFormat="1" ht="34.5" customHeight="1" x14ac:dyDescent="0.25">
      <c r="B231" s="263">
        <v>44419</v>
      </c>
      <c r="C231" s="103">
        <v>0.25</v>
      </c>
      <c r="D231" s="410">
        <v>46</v>
      </c>
      <c r="E231" s="100">
        <v>9.5</v>
      </c>
      <c r="F231" s="412">
        <v>12</v>
      </c>
      <c r="G231" s="413">
        <v>1338</v>
      </c>
      <c r="H231" s="413">
        <v>2119</v>
      </c>
      <c r="I231" s="413">
        <v>104.4</v>
      </c>
      <c r="J231" s="413">
        <v>105.5</v>
      </c>
      <c r="K231" s="413" t="s">
        <v>917</v>
      </c>
      <c r="L231" s="100">
        <v>37.380000000000003</v>
      </c>
      <c r="M231" s="100">
        <v>42</v>
      </c>
      <c r="N231" s="100">
        <v>55.02</v>
      </c>
      <c r="O231" s="101"/>
      <c r="P231" s="101"/>
      <c r="Q231" s="101"/>
      <c r="R231" s="101" t="s">
        <v>878</v>
      </c>
      <c r="S231" s="101">
        <v>55.8</v>
      </c>
      <c r="T231" s="102" t="s">
        <v>23</v>
      </c>
      <c r="U231" s="101" t="s">
        <v>668</v>
      </c>
      <c r="V231" s="408" t="s">
        <v>914</v>
      </c>
      <c r="W231" s="400"/>
      <c r="CM231" s="342"/>
      <c r="CN231" s="342"/>
      <c r="CO231" s="342"/>
      <c r="CP231" s="342"/>
      <c r="CQ231" s="342"/>
      <c r="CR231" s="342"/>
      <c r="CS231" s="342"/>
      <c r="CT231" s="342"/>
      <c r="CU231" s="342"/>
      <c r="CV231" s="342"/>
      <c r="CW231" s="342"/>
      <c r="CX231" s="342"/>
      <c r="CY231" s="342"/>
    </row>
    <row r="232" spans="2:103" s="343" customFormat="1" ht="45.75" customHeight="1" x14ac:dyDescent="0.25">
      <c r="B232" s="263">
        <v>44420</v>
      </c>
      <c r="C232" s="103">
        <v>0.25</v>
      </c>
      <c r="D232" s="410">
        <v>46</v>
      </c>
      <c r="E232" s="100">
        <v>10</v>
      </c>
      <c r="F232" s="412">
        <v>12.5</v>
      </c>
      <c r="G232" s="413">
        <v>1332</v>
      </c>
      <c r="H232" s="413">
        <v>2081</v>
      </c>
      <c r="I232" s="413">
        <v>105</v>
      </c>
      <c r="J232" s="413">
        <v>105.5</v>
      </c>
      <c r="K232" s="413" t="s">
        <v>922</v>
      </c>
      <c r="L232" s="100">
        <v>35.799999999999997</v>
      </c>
      <c r="M232" s="100">
        <v>42</v>
      </c>
      <c r="N232" s="100">
        <v>56.17</v>
      </c>
      <c r="O232" s="101"/>
      <c r="P232" s="101"/>
      <c r="Q232" s="101"/>
      <c r="R232" s="101" t="s">
        <v>878</v>
      </c>
      <c r="S232" s="101">
        <v>56.7</v>
      </c>
      <c r="T232" s="102" t="s">
        <v>23</v>
      </c>
      <c r="U232" s="101" t="s">
        <v>668</v>
      </c>
      <c r="V232" s="408" t="s">
        <v>914</v>
      </c>
      <c r="W232" s="400"/>
      <c r="CM232" s="342"/>
      <c r="CN232" s="342"/>
      <c r="CO232" s="342"/>
      <c r="CP232" s="342"/>
      <c r="CQ232" s="342"/>
      <c r="CR232" s="342"/>
      <c r="CS232" s="342"/>
      <c r="CT232" s="342"/>
      <c r="CU232" s="342"/>
      <c r="CV232" s="342"/>
      <c r="CW232" s="342"/>
      <c r="CX232" s="342"/>
      <c r="CY232" s="342"/>
    </row>
    <row r="233" spans="2:103" s="343" customFormat="1" ht="24.75" customHeight="1" x14ac:dyDescent="0.25">
      <c r="B233" s="263">
        <v>44421</v>
      </c>
      <c r="C233" s="414">
        <v>0.95833333333333337</v>
      </c>
      <c r="D233" s="410">
        <v>46</v>
      </c>
      <c r="E233" s="415">
        <v>10.1</v>
      </c>
      <c r="F233" s="415">
        <v>12.6</v>
      </c>
      <c r="G233" s="413">
        <v>1328</v>
      </c>
      <c r="H233" s="413">
        <v>2056</v>
      </c>
      <c r="I233" s="413">
        <v>104.4</v>
      </c>
      <c r="J233" s="413">
        <v>105.5</v>
      </c>
      <c r="K233" s="416" t="s">
        <v>944</v>
      </c>
      <c r="L233" s="416">
        <v>36.14</v>
      </c>
      <c r="M233" s="416">
        <v>37</v>
      </c>
      <c r="N233" s="416">
        <v>56.44</v>
      </c>
      <c r="O233" s="416"/>
      <c r="P233" s="416"/>
      <c r="Q233" s="416"/>
      <c r="R233" s="416" t="s">
        <v>945</v>
      </c>
      <c r="S233" s="416">
        <v>57.6</v>
      </c>
      <c r="T233" s="102" t="s">
        <v>23</v>
      </c>
      <c r="U233" s="416" t="s">
        <v>928</v>
      </c>
      <c r="V233" s="417" t="s">
        <v>937</v>
      </c>
      <c r="CM233" s="342"/>
      <c r="CN233" s="342"/>
      <c r="CO233" s="342"/>
      <c r="CP233" s="342"/>
      <c r="CQ233" s="342"/>
      <c r="CR233" s="342"/>
      <c r="CS233" s="342"/>
      <c r="CT233" s="342"/>
      <c r="CU233" s="342"/>
      <c r="CV233" s="342"/>
      <c r="CW233" s="342"/>
      <c r="CX233" s="342"/>
      <c r="CY233" s="342"/>
    </row>
    <row r="234" spans="2:103" s="343" customFormat="1" ht="21" customHeight="1" x14ac:dyDescent="0.25">
      <c r="B234" s="263">
        <v>44422</v>
      </c>
      <c r="C234" s="414">
        <v>0.95833333333333337</v>
      </c>
      <c r="D234" s="410">
        <v>46</v>
      </c>
      <c r="E234" s="415">
        <v>10.1</v>
      </c>
      <c r="F234" s="415">
        <v>12.6</v>
      </c>
      <c r="G234" s="413">
        <v>1328</v>
      </c>
      <c r="H234" s="413">
        <v>2056</v>
      </c>
      <c r="I234" s="413">
        <v>104.4</v>
      </c>
      <c r="J234" s="413">
        <v>105.5</v>
      </c>
      <c r="K234" s="416" t="s">
        <v>944</v>
      </c>
      <c r="L234" s="416">
        <v>36.14</v>
      </c>
      <c r="M234" s="416">
        <v>37</v>
      </c>
      <c r="N234" s="416">
        <v>56.44</v>
      </c>
      <c r="O234" s="416"/>
      <c r="P234" s="416"/>
      <c r="Q234" s="416"/>
      <c r="R234" s="416" t="s">
        <v>945</v>
      </c>
      <c r="S234" s="416">
        <v>57.6</v>
      </c>
      <c r="T234" s="102" t="s">
        <v>23</v>
      </c>
      <c r="U234" s="416" t="s">
        <v>928</v>
      </c>
      <c r="V234" s="417"/>
      <c r="CM234" s="342"/>
      <c r="CN234" s="342"/>
      <c r="CO234" s="342"/>
      <c r="CP234" s="342"/>
      <c r="CQ234" s="342"/>
      <c r="CR234" s="342"/>
      <c r="CS234" s="342"/>
      <c r="CT234" s="342"/>
      <c r="CU234" s="342"/>
      <c r="CV234" s="342"/>
      <c r="CW234" s="342"/>
      <c r="CX234" s="342"/>
      <c r="CY234" s="342"/>
    </row>
    <row r="235" spans="2:103" s="343" customFormat="1" ht="22.5" customHeight="1" x14ac:dyDescent="0.3">
      <c r="B235" s="421">
        <v>44423</v>
      </c>
      <c r="C235" s="414">
        <v>0.95833333333333337</v>
      </c>
      <c r="D235" s="410">
        <v>46</v>
      </c>
      <c r="E235" s="415">
        <v>9.6999999999999993</v>
      </c>
      <c r="F235" s="415">
        <v>12.2</v>
      </c>
      <c r="G235" s="413">
        <v>1332</v>
      </c>
      <c r="H235" s="413">
        <v>2090</v>
      </c>
      <c r="I235" s="413">
        <v>104.4</v>
      </c>
      <c r="J235" s="413">
        <v>105.5</v>
      </c>
      <c r="K235" s="416" t="s">
        <v>954</v>
      </c>
      <c r="L235" s="416">
        <v>36.25</v>
      </c>
      <c r="M235" s="416">
        <v>37</v>
      </c>
      <c r="N235" s="416">
        <v>55.6</v>
      </c>
      <c r="O235" s="416"/>
      <c r="P235" s="416"/>
      <c r="Q235" s="416"/>
      <c r="R235" s="416" t="s">
        <v>953</v>
      </c>
      <c r="S235" s="416">
        <v>55.8</v>
      </c>
      <c r="T235" s="102" t="s">
        <v>23</v>
      </c>
      <c r="U235" s="416" t="s">
        <v>928</v>
      </c>
      <c r="V235" s="418"/>
      <c r="CM235" s="342"/>
      <c r="CN235" s="342"/>
      <c r="CO235" s="342"/>
      <c r="CP235" s="342"/>
      <c r="CQ235" s="342"/>
      <c r="CR235" s="342"/>
      <c r="CS235" s="342"/>
      <c r="CT235" s="342"/>
      <c r="CU235" s="342"/>
      <c r="CV235" s="342"/>
      <c r="CW235" s="342"/>
      <c r="CX235" s="342"/>
      <c r="CY235" s="342"/>
    </row>
    <row r="236" spans="2:103" s="343" customFormat="1" ht="25.5" customHeight="1" x14ac:dyDescent="0.3">
      <c r="B236" s="421">
        <v>44424</v>
      </c>
      <c r="C236" s="414">
        <v>0.95833333333333337</v>
      </c>
      <c r="D236" s="410">
        <v>46</v>
      </c>
      <c r="E236" s="415">
        <v>9.9</v>
      </c>
      <c r="F236" s="415">
        <v>12.3</v>
      </c>
      <c r="G236" s="413">
        <v>1332</v>
      </c>
      <c r="H236" s="413">
        <v>2091</v>
      </c>
      <c r="I236" s="413">
        <v>105</v>
      </c>
      <c r="J236" s="413">
        <v>105.5</v>
      </c>
      <c r="K236" s="416" t="s">
        <v>960</v>
      </c>
      <c r="L236" s="416">
        <v>35.79</v>
      </c>
      <c r="M236" s="416">
        <v>37</v>
      </c>
      <c r="N236" s="416">
        <v>55.9</v>
      </c>
      <c r="O236" s="416"/>
      <c r="P236" s="416"/>
      <c r="Q236" s="416"/>
      <c r="R236" s="416" t="s">
        <v>959</v>
      </c>
      <c r="S236" s="416">
        <v>56.3</v>
      </c>
      <c r="T236" s="102" t="s">
        <v>23</v>
      </c>
      <c r="U236" s="416" t="s">
        <v>928</v>
      </c>
      <c r="V236" s="418"/>
      <c r="CM236" s="342"/>
      <c r="CN236" s="342"/>
      <c r="CO236" s="342"/>
      <c r="CP236" s="342"/>
      <c r="CQ236" s="342"/>
      <c r="CR236" s="342"/>
      <c r="CS236" s="342"/>
      <c r="CT236" s="342"/>
      <c r="CU236" s="342"/>
      <c r="CV236" s="342"/>
      <c r="CW236" s="342"/>
      <c r="CX236" s="342"/>
      <c r="CY236" s="342"/>
    </row>
    <row r="237" spans="2:103" s="343" customFormat="1" ht="21" customHeight="1" x14ac:dyDescent="0.3">
      <c r="B237" s="421">
        <v>44425</v>
      </c>
      <c r="C237" s="414">
        <v>0.95833333333333337</v>
      </c>
      <c r="D237" s="410">
        <v>46</v>
      </c>
      <c r="E237" s="415">
        <v>10</v>
      </c>
      <c r="F237" s="415">
        <v>12.4</v>
      </c>
      <c r="G237" s="413">
        <v>1332</v>
      </c>
      <c r="H237" s="413">
        <v>2077</v>
      </c>
      <c r="I237" s="413">
        <v>104.4</v>
      </c>
      <c r="J237" s="413">
        <v>105.5</v>
      </c>
      <c r="K237" s="416" t="s">
        <v>962</v>
      </c>
      <c r="L237" s="416">
        <v>36.520000000000003</v>
      </c>
      <c r="M237" s="416">
        <v>37</v>
      </c>
      <c r="N237" s="416">
        <v>56.55</v>
      </c>
      <c r="O237" s="416"/>
      <c r="P237" s="416"/>
      <c r="Q237" s="416"/>
      <c r="R237" s="416" t="s">
        <v>963</v>
      </c>
      <c r="S237" s="416">
        <v>56.7</v>
      </c>
      <c r="T237" s="102" t="s">
        <v>23</v>
      </c>
      <c r="U237" s="416" t="s">
        <v>928</v>
      </c>
      <c r="V237" s="418"/>
      <c r="CM237" s="342"/>
      <c r="CN237" s="342"/>
      <c r="CO237" s="342"/>
      <c r="CP237" s="342"/>
      <c r="CQ237" s="342"/>
      <c r="CR237" s="342"/>
      <c r="CS237" s="342"/>
      <c r="CT237" s="342"/>
      <c r="CU237" s="342"/>
      <c r="CV237" s="342"/>
      <c r="CW237" s="342"/>
      <c r="CX237" s="342"/>
      <c r="CY237" s="342"/>
    </row>
    <row r="238" spans="2:103" s="343" customFormat="1" ht="24" customHeight="1" x14ac:dyDescent="0.3">
      <c r="B238" s="421">
        <v>44426</v>
      </c>
      <c r="C238" s="414">
        <v>0.95833333333333337</v>
      </c>
      <c r="D238" s="410">
        <v>46</v>
      </c>
      <c r="E238" s="415">
        <v>9.6999999999999993</v>
      </c>
      <c r="F238" s="415">
        <v>12.2</v>
      </c>
      <c r="G238" s="413">
        <v>1344</v>
      </c>
      <c r="H238" s="413">
        <v>2115</v>
      </c>
      <c r="I238" s="413">
        <v>104.4</v>
      </c>
      <c r="J238" s="413">
        <v>105.5</v>
      </c>
      <c r="K238" s="416" t="s">
        <v>969</v>
      </c>
      <c r="L238" s="416">
        <v>37.64</v>
      </c>
      <c r="M238" s="416">
        <v>39</v>
      </c>
      <c r="N238" s="416">
        <v>54.75</v>
      </c>
      <c r="O238" s="416"/>
      <c r="P238" s="416"/>
      <c r="Q238" s="416"/>
      <c r="R238" s="416" t="s">
        <v>968</v>
      </c>
      <c r="S238" s="416">
        <v>55.8</v>
      </c>
      <c r="T238" s="102" t="s">
        <v>23</v>
      </c>
      <c r="U238" s="416" t="s">
        <v>928</v>
      </c>
      <c r="V238" s="418" t="s">
        <v>972</v>
      </c>
      <c r="CM238" s="342"/>
      <c r="CN238" s="342"/>
      <c r="CO238" s="342"/>
      <c r="CP238" s="342"/>
      <c r="CQ238" s="342"/>
      <c r="CR238" s="342"/>
      <c r="CS238" s="342"/>
      <c r="CT238" s="342"/>
      <c r="CU238" s="342"/>
      <c r="CV238" s="342"/>
      <c r="CW238" s="342"/>
      <c r="CX238" s="342"/>
      <c r="CY238" s="342"/>
    </row>
    <row r="239" spans="2:103" s="343" customFormat="1" ht="22.5" customHeight="1" x14ac:dyDescent="0.25">
      <c r="B239" s="421">
        <v>44427</v>
      </c>
      <c r="C239" s="103">
        <v>0.91666666666666663</v>
      </c>
      <c r="D239" s="410">
        <v>46</v>
      </c>
      <c r="E239" s="415">
        <v>10</v>
      </c>
      <c r="F239" s="415">
        <v>12.5</v>
      </c>
      <c r="G239" s="413">
        <v>1345</v>
      </c>
      <c r="H239" s="413">
        <v>2085</v>
      </c>
      <c r="I239" s="413">
        <v>104.4</v>
      </c>
      <c r="J239" s="413">
        <v>105.5</v>
      </c>
      <c r="K239" s="416" t="s">
        <v>977</v>
      </c>
      <c r="L239" s="416">
        <v>35.700000000000003</v>
      </c>
      <c r="M239" s="416">
        <v>39</v>
      </c>
      <c r="N239" s="416">
        <v>56.09</v>
      </c>
      <c r="O239" s="416"/>
      <c r="P239" s="416"/>
      <c r="Q239" s="416"/>
      <c r="R239" s="416" t="s">
        <v>976</v>
      </c>
      <c r="S239" s="416">
        <v>57.6</v>
      </c>
      <c r="T239" s="102" t="s">
        <v>23</v>
      </c>
      <c r="U239" s="416" t="s">
        <v>928</v>
      </c>
      <c r="V239" s="417"/>
      <c r="CM239" s="342"/>
      <c r="CN239" s="342"/>
      <c r="CO239" s="342"/>
      <c r="CP239" s="342"/>
      <c r="CQ239" s="342"/>
      <c r="CR239" s="342"/>
      <c r="CS239" s="342"/>
      <c r="CT239" s="342"/>
      <c r="CU239" s="342"/>
      <c r="CV239" s="342"/>
      <c r="CW239" s="342"/>
      <c r="CX239" s="342"/>
      <c r="CY239" s="342"/>
    </row>
    <row r="240" spans="2:103" s="343" customFormat="1" ht="52.5" customHeight="1" x14ac:dyDescent="0.25">
      <c r="B240" s="421">
        <v>44428</v>
      </c>
      <c r="C240" s="103">
        <v>0.91666666666666663</v>
      </c>
      <c r="D240" s="410">
        <v>46</v>
      </c>
      <c r="E240" s="415">
        <v>9.8000000000000007</v>
      </c>
      <c r="F240" s="415">
        <v>12.1</v>
      </c>
      <c r="G240" s="413">
        <v>1350</v>
      </c>
      <c r="H240" s="413">
        <v>2149</v>
      </c>
      <c r="I240" s="413">
        <v>104.4</v>
      </c>
      <c r="J240" s="413">
        <v>105.5</v>
      </c>
      <c r="K240" s="416" t="s">
        <v>984</v>
      </c>
      <c r="L240" s="416">
        <v>39.29</v>
      </c>
      <c r="M240" s="416">
        <v>39</v>
      </c>
      <c r="N240" s="416">
        <v>51.58</v>
      </c>
      <c r="O240" s="416"/>
      <c r="P240" s="416"/>
      <c r="Q240" s="416"/>
      <c r="R240" s="416" t="s">
        <v>983</v>
      </c>
      <c r="S240" s="416">
        <v>55.8</v>
      </c>
      <c r="T240" s="102" t="s">
        <v>23</v>
      </c>
      <c r="U240" s="416" t="s">
        <v>928</v>
      </c>
      <c r="V240" s="434" t="s">
        <v>986</v>
      </c>
      <c r="CM240" s="342"/>
      <c r="CN240" s="342"/>
      <c r="CO240" s="342"/>
      <c r="CP240" s="342"/>
      <c r="CQ240" s="342"/>
      <c r="CR240" s="342"/>
      <c r="CS240" s="342"/>
      <c r="CT240" s="342"/>
      <c r="CU240" s="342"/>
      <c r="CV240" s="342"/>
      <c r="CW240" s="342"/>
      <c r="CX240" s="342"/>
      <c r="CY240" s="342"/>
    </row>
    <row r="241" spans="2:103" s="343" customFormat="1" ht="37.5" customHeight="1" x14ac:dyDescent="0.25">
      <c r="B241" s="421">
        <v>44429</v>
      </c>
      <c r="C241" s="103">
        <v>0.97916666666666663</v>
      </c>
      <c r="D241" s="410">
        <v>46</v>
      </c>
      <c r="E241" s="415">
        <v>9.8000000000000007</v>
      </c>
      <c r="F241" s="415">
        <v>12.4</v>
      </c>
      <c r="G241" s="413">
        <v>1351</v>
      </c>
      <c r="H241" s="413">
        <v>2106</v>
      </c>
      <c r="I241" s="413">
        <v>104.4</v>
      </c>
      <c r="J241" s="413">
        <v>105.5</v>
      </c>
      <c r="K241" s="416" t="s">
        <v>991</v>
      </c>
      <c r="L241" s="416">
        <v>35.28</v>
      </c>
      <c r="M241" s="416">
        <v>39</v>
      </c>
      <c r="N241" s="416">
        <v>57.16</v>
      </c>
      <c r="O241" s="416"/>
      <c r="P241" s="416"/>
      <c r="Q241" s="416"/>
      <c r="R241" s="416" t="s">
        <v>990</v>
      </c>
      <c r="S241" s="416">
        <v>56.7</v>
      </c>
      <c r="T241" s="102" t="s">
        <v>23</v>
      </c>
      <c r="U241" s="416" t="s">
        <v>928</v>
      </c>
      <c r="V241" s="417" t="s">
        <v>993</v>
      </c>
      <c r="CM241" s="342"/>
      <c r="CN241" s="342"/>
      <c r="CO241" s="342"/>
      <c r="CP241" s="342"/>
      <c r="CQ241" s="342"/>
      <c r="CR241" s="342"/>
      <c r="CS241" s="342"/>
      <c r="CT241" s="342"/>
      <c r="CU241" s="342"/>
      <c r="CV241" s="342"/>
      <c r="CW241" s="342"/>
      <c r="CX241" s="342"/>
      <c r="CY241" s="342"/>
    </row>
    <row r="242" spans="2:103" s="343" customFormat="1" ht="25.5" customHeight="1" x14ac:dyDescent="0.25">
      <c r="B242" s="421">
        <v>44430</v>
      </c>
      <c r="C242" s="103">
        <v>0.9375</v>
      </c>
      <c r="D242" s="410">
        <v>46</v>
      </c>
      <c r="E242" s="415">
        <v>10.3</v>
      </c>
      <c r="F242" s="415">
        <v>12.8</v>
      </c>
      <c r="G242" s="413">
        <v>1339</v>
      </c>
      <c r="H242" s="413">
        <v>2052</v>
      </c>
      <c r="I242" s="413">
        <v>105</v>
      </c>
      <c r="J242" s="413">
        <v>106.1</v>
      </c>
      <c r="K242" s="416" t="s">
        <v>1003</v>
      </c>
      <c r="L242" s="416">
        <v>35.22</v>
      </c>
      <c r="M242" s="416">
        <v>39</v>
      </c>
      <c r="N242" s="416">
        <v>58.34</v>
      </c>
      <c r="O242" s="416"/>
      <c r="P242" s="416"/>
      <c r="Q242" s="416"/>
      <c r="R242" s="416" t="s">
        <v>1002</v>
      </c>
      <c r="S242" s="416">
        <v>58.5</v>
      </c>
      <c r="T242" s="102" t="s">
        <v>23</v>
      </c>
      <c r="U242" s="416" t="s">
        <v>928</v>
      </c>
      <c r="V242" s="417"/>
      <c r="CM242" s="342"/>
      <c r="CN242" s="342"/>
      <c r="CO242" s="342"/>
      <c r="CP242" s="342"/>
      <c r="CQ242" s="342"/>
      <c r="CR242" s="342"/>
      <c r="CS242" s="342"/>
      <c r="CT242" s="342"/>
      <c r="CU242" s="342"/>
      <c r="CV242" s="342"/>
      <c r="CW242" s="342"/>
      <c r="CX242" s="342"/>
      <c r="CY242" s="342"/>
    </row>
    <row r="243" spans="2:103" s="343" customFormat="1" ht="18.75" x14ac:dyDescent="0.25">
      <c r="B243" s="421">
        <v>44431</v>
      </c>
      <c r="C243" s="103">
        <v>0.9375</v>
      </c>
      <c r="D243" s="410">
        <v>46</v>
      </c>
      <c r="E243" s="415">
        <v>10</v>
      </c>
      <c r="F243" s="415">
        <v>12.5</v>
      </c>
      <c r="G243" s="413">
        <v>1335</v>
      </c>
      <c r="H243" s="413">
        <v>2079</v>
      </c>
      <c r="I243" s="413">
        <v>104.4</v>
      </c>
      <c r="J243" s="413">
        <v>105.5</v>
      </c>
      <c r="K243" s="416" t="s">
        <v>1010</v>
      </c>
      <c r="L243" s="416">
        <v>36.71</v>
      </c>
      <c r="M243" s="416">
        <v>39</v>
      </c>
      <c r="N243" s="416">
        <v>57.2</v>
      </c>
      <c r="O243" s="416"/>
      <c r="P243" s="416"/>
      <c r="Q243" s="416"/>
      <c r="R243" s="416" t="s">
        <v>1009</v>
      </c>
      <c r="S243" s="416">
        <v>57.2</v>
      </c>
      <c r="T243" s="102" t="s">
        <v>23</v>
      </c>
      <c r="U243" s="416" t="s">
        <v>928</v>
      </c>
      <c r="V243" s="417"/>
      <c r="CM243" s="342"/>
      <c r="CN243" s="342"/>
      <c r="CO243" s="342"/>
      <c r="CP243" s="342"/>
      <c r="CQ243" s="342"/>
      <c r="CR243" s="342"/>
      <c r="CS243" s="342"/>
      <c r="CT243" s="342"/>
      <c r="CU243" s="342"/>
      <c r="CV243" s="342"/>
      <c r="CW243" s="342"/>
      <c r="CX243" s="342"/>
      <c r="CY243" s="342"/>
    </row>
    <row r="244" spans="2:103" s="343" customFormat="1" ht="18.75" x14ac:dyDescent="0.25">
      <c r="B244" s="421">
        <v>44432</v>
      </c>
      <c r="C244" s="103">
        <v>0.95833333333333337</v>
      </c>
      <c r="D244" s="410">
        <v>46</v>
      </c>
      <c r="E244" s="415">
        <v>9.9</v>
      </c>
      <c r="F244" s="415">
        <v>12.4</v>
      </c>
      <c r="G244" s="413">
        <v>1338</v>
      </c>
      <c r="H244" s="413">
        <v>2092</v>
      </c>
      <c r="I244" s="413">
        <v>104.4</v>
      </c>
      <c r="J244" s="413">
        <v>105.5</v>
      </c>
      <c r="K244" s="416" t="s">
        <v>1012</v>
      </c>
      <c r="L244" s="416">
        <v>35.96</v>
      </c>
      <c r="M244" s="416">
        <v>39</v>
      </c>
      <c r="N244" s="416">
        <v>57.66</v>
      </c>
      <c r="O244" s="416"/>
      <c r="P244" s="416"/>
      <c r="Q244" s="416"/>
      <c r="R244" s="416" t="s">
        <v>1011</v>
      </c>
      <c r="S244" s="416">
        <v>56.7</v>
      </c>
      <c r="T244" s="102" t="s">
        <v>23</v>
      </c>
      <c r="U244" s="416" t="s">
        <v>928</v>
      </c>
      <c r="V244" s="417"/>
      <c r="CM244" s="342"/>
      <c r="CN244" s="342"/>
      <c r="CO244" s="342"/>
      <c r="CP244" s="342"/>
      <c r="CQ244" s="342"/>
      <c r="CR244" s="342"/>
      <c r="CS244" s="342"/>
      <c r="CT244" s="342"/>
      <c r="CU244" s="342"/>
      <c r="CV244" s="342"/>
      <c r="CW244" s="342"/>
      <c r="CX244" s="342"/>
      <c r="CY244" s="342"/>
    </row>
    <row r="245" spans="2:103" s="343" customFormat="1" ht="28.5" customHeight="1" x14ac:dyDescent="0.25">
      <c r="B245" s="421">
        <v>44433</v>
      </c>
      <c r="C245" s="103">
        <v>0.9375</v>
      </c>
      <c r="D245" s="410">
        <v>46</v>
      </c>
      <c r="E245" s="415">
        <v>10.6</v>
      </c>
      <c r="F245" s="415">
        <v>13.1</v>
      </c>
      <c r="G245" s="413">
        <v>1331</v>
      </c>
      <c r="H245" s="413">
        <v>2006</v>
      </c>
      <c r="I245" s="413">
        <v>105.5</v>
      </c>
      <c r="J245" s="413">
        <v>106.1</v>
      </c>
      <c r="K245" s="416" t="s">
        <v>1023</v>
      </c>
      <c r="L245" s="416">
        <v>32.21</v>
      </c>
      <c r="M245" s="416">
        <v>39</v>
      </c>
      <c r="N245" s="416">
        <v>59.23</v>
      </c>
      <c r="O245" s="416"/>
      <c r="P245" s="416"/>
      <c r="Q245" s="416"/>
      <c r="R245" s="416" t="s">
        <v>1024</v>
      </c>
      <c r="S245" s="416">
        <v>59.5</v>
      </c>
      <c r="T245" s="102" t="s">
        <v>23</v>
      </c>
      <c r="U245" s="416" t="s">
        <v>928</v>
      </c>
      <c r="V245" s="440" t="s">
        <v>1025</v>
      </c>
      <c r="CM245" s="342"/>
      <c r="CN245" s="342"/>
      <c r="CO245" s="342"/>
      <c r="CP245" s="342"/>
      <c r="CQ245" s="342"/>
      <c r="CR245" s="342"/>
      <c r="CS245" s="342"/>
      <c r="CT245" s="342"/>
      <c r="CU245" s="342"/>
      <c r="CV245" s="342"/>
      <c r="CW245" s="342"/>
      <c r="CX245" s="342"/>
      <c r="CY245" s="342"/>
    </row>
    <row r="246" spans="2:103" s="343" customFormat="1" ht="18.75" x14ac:dyDescent="0.25">
      <c r="B246" s="421">
        <v>44434</v>
      </c>
      <c r="C246" s="103">
        <v>0.97916666666666663</v>
      </c>
      <c r="D246" s="410">
        <v>46</v>
      </c>
      <c r="E246" s="415">
        <v>10.6</v>
      </c>
      <c r="F246" s="415">
        <v>13.1</v>
      </c>
      <c r="G246" s="413">
        <v>1316</v>
      </c>
      <c r="H246" s="413">
        <v>2000</v>
      </c>
      <c r="I246" s="413">
        <v>105.5</v>
      </c>
      <c r="J246" s="413">
        <v>106.1</v>
      </c>
      <c r="K246" s="416" t="s">
        <v>1030</v>
      </c>
      <c r="L246" s="416">
        <v>32.46</v>
      </c>
      <c r="M246" s="416">
        <v>39</v>
      </c>
      <c r="N246" s="416">
        <v>59.73</v>
      </c>
      <c r="O246" s="416"/>
      <c r="P246" s="416"/>
      <c r="Q246" s="416"/>
      <c r="R246" s="416" t="s">
        <v>1031</v>
      </c>
      <c r="S246" s="416">
        <v>59.5</v>
      </c>
      <c r="T246" s="102" t="s">
        <v>23</v>
      </c>
      <c r="U246" s="416" t="s">
        <v>928</v>
      </c>
      <c r="V246" s="417"/>
      <c r="CM246" s="342"/>
      <c r="CN246" s="342"/>
      <c r="CO246" s="342"/>
      <c r="CP246" s="342"/>
      <c r="CQ246" s="342"/>
      <c r="CR246" s="342"/>
      <c r="CS246" s="342"/>
      <c r="CT246" s="342"/>
      <c r="CU246" s="342"/>
      <c r="CV246" s="342"/>
      <c r="CW246" s="342"/>
      <c r="CX246" s="342"/>
      <c r="CY246" s="342"/>
    </row>
    <row r="247" spans="2:103" s="343" customFormat="1" ht="18.75" x14ac:dyDescent="0.25">
      <c r="B247" s="421">
        <v>44435</v>
      </c>
      <c r="C247" s="103">
        <v>0.97916666666666663</v>
      </c>
      <c r="D247" s="410">
        <v>46</v>
      </c>
      <c r="E247" s="415">
        <v>10.3</v>
      </c>
      <c r="F247" s="415">
        <v>12.7</v>
      </c>
      <c r="G247" s="413">
        <v>1312</v>
      </c>
      <c r="H247" s="413">
        <v>2034</v>
      </c>
      <c r="I247" s="413">
        <v>105.5</v>
      </c>
      <c r="J247" s="413">
        <v>106.1</v>
      </c>
      <c r="K247" s="416" t="s">
        <v>1040</v>
      </c>
      <c r="L247" s="416">
        <v>33.92</v>
      </c>
      <c r="M247" s="416">
        <v>39</v>
      </c>
      <c r="N247" s="416">
        <v>58.69</v>
      </c>
      <c r="O247" s="416"/>
      <c r="P247" s="416"/>
      <c r="Q247" s="416"/>
      <c r="R247" s="416" t="s">
        <v>1041</v>
      </c>
      <c r="S247" s="416">
        <v>58.5</v>
      </c>
      <c r="T247" s="102" t="s">
        <v>23</v>
      </c>
      <c r="U247" s="416" t="s">
        <v>928</v>
      </c>
      <c r="V247" s="419"/>
      <c r="CM247" s="342"/>
      <c r="CN247" s="342"/>
      <c r="CO247" s="342"/>
      <c r="CP247" s="342"/>
      <c r="CQ247" s="342"/>
      <c r="CR247" s="342"/>
      <c r="CS247" s="342"/>
      <c r="CT247" s="342"/>
      <c r="CU247" s="342"/>
      <c r="CV247" s="342"/>
      <c r="CW247" s="342"/>
      <c r="CX247" s="342"/>
      <c r="CY247" s="342"/>
    </row>
    <row r="248" spans="2:103" s="343" customFormat="1" ht="18.75" x14ac:dyDescent="0.25">
      <c r="B248" s="421">
        <v>44436</v>
      </c>
      <c r="C248" s="103">
        <v>0.9375</v>
      </c>
      <c r="D248" s="410">
        <v>46</v>
      </c>
      <c r="E248" s="415">
        <v>9.9</v>
      </c>
      <c r="F248" s="415">
        <v>12.3</v>
      </c>
      <c r="G248" s="413">
        <v>1310</v>
      </c>
      <c r="H248" s="413">
        <v>2063</v>
      </c>
      <c r="I248" s="413">
        <v>104.4</v>
      </c>
      <c r="J248" s="413">
        <v>105.5</v>
      </c>
      <c r="K248" s="416" t="s">
        <v>1045</v>
      </c>
      <c r="L248" s="416">
        <v>35.21</v>
      </c>
      <c r="M248" s="416">
        <v>38</v>
      </c>
      <c r="N248" s="416">
        <v>57.92</v>
      </c>
      <c r="O248" s="416"/>
      <c r="P248" s="416"/>
      <c r="Q248" s="416"/>
      <c r="R248" s="416" t="s">
        <v>1044</v>
      </c>
      <c r="S248" s="416">
        <v>56.7</v>
      </c>
      <c r="T248" s="102" t="s">
        <v>23</v>
      </c>
      <c r="U248" s="416" t="s">
        <v>928</v>
      </c>
      <c r="V248" s="419"/>
      <c r="CM248" s="342"/>
      <c r="CN248" s="342"/>
      <c r="CO248" s="342"/>
      <c r="CP248" s="342"/>
      <c r="CQ248" s="342"/>
      <c r="CR248" s="342"/>
      <c r="CS248" s="342"/>
      <c r="CT248" s="342"/>
      <c r="CU248" s="342"/>
      <c r="CV248" s="342"/>
      <c r="CW248" s="342"/>
      <c r="CX248" s="342"/>
      <c r="CY248" s="342"/>
    </row>
    <row r="249" spans="2:103" s="343" customFormat="1" ht="18.75" x14ac:dyDescent="0.25">
      <c r="B249" s="421">
        <v>44437</v>
      </c>
      <c r="C249" s="103">
        <v>0.9375</v>
      </c>
      <c r="D249" s="410">
        <v>46</v>
      </c>
      <c r="E249" s="415">
        <v>10.3</v>
      </c>
      <c r="F249" s="415">
        <v>12.7</v>
      </c>
      <c r="G249" s="413">
        <v>1310</v>
      </c>
      <c r="H249" s="413">
        <v>2038</v>
      </c>
      <c r="I249" s="413">
        <v>104.4</v>
      </c>
      <c r="J249" s="413">
        <v>106.1</v>
      </c>
      <c r="K249" s="416" t="s">
        <v>1054</v>
      </c>
      <c r="L249" s="416">
        <v>33.81</v>
      </c>
      <c r="M249" s="416">
        <v>38</v>
      </c>
      <c r="N249" s="416">
        <v>58.08</v>
      </c>
      <c r="O249" s="416"/>
      <c r="P249" s="416"/>
      <c r="Q249" s="416"/>
      <c r="R249" s="416" t="s">
        <v>1053</v>
      </c>
      <c r="S249" s="416">
        <v>58.1</v>
      </c>
      <c r="T249" s="102" t="s">
        <v>23</v>
      </c>
      <c r="U249" s="416" t="s">
        <v>928</v>
      </c>
      <c r="V249" s="419"/>
      <c r="CM249" s="342"/>
      <c r="CN249" s="342"/>
      <c r="CO249" s="342"/>
      <c r="CP249" s="342"/>
      <c r="CQ249" s="342"/>
      <c r="CR249" s="342"/>
      <c r="CS249" s="342"/>
      <c r="CT249" s="342"/>
      <c r="CU249" s="342"/>
      <c r="CV249" s="342"/>
      <c r="CW249" s="342"/>
      <c r="CX249" s="342"/>
      <c r="CY249" s="342"/>
    </row>
    <row r="250" spans="2:103" s="343" customFormat="1" ht="18.75" x14ac:dyDescent="0.25">
      <c r="B250" s="421">
        <v>44438</v>
      </c>
      <c r="C250" s="103">
        <v>0.9375</v>
      </c>
      <c r="D250" s="410">
        <v>46</v>
      </c>
      <c r="E250" s="415">
        <v>10.5</v>
      </c>
      <c r="F250" s="415">
        <v>12.8</v>
      </c>
      <c r="G250" s="413">
        <v>1305</v>
      </c>
      <c r="H250" s="413">
        <v>2011</v>
      </c>
      <c r="I250" s="413">
        <v>105</v>
      </c>
      <c r="J250" s="413">
        <v>106.1</v>
      </c>
      <c r="K250" s="416" t="s">
        <v>1060</v>
      </c>
      <c r="L250" s="416">
        <v>33.81</v>
      </c>
      <c r="M250" s="416">
        <v>37</v>
      </c>
      <c r="N250" s="416">
        <v>58.08</v>
      </c>
      <c r="O250" s="416"/>
      <c r="P250" s="416"/>
      <c r="Q250" s="416"/>
      <c r="R250" s="416" t="s">
        <v>1061</v>
      </c>
      <c r="S250" s="416">
        <v>59</v>
      </c>
      <c r="T250" s="102" t="s">
        <v>23</v>
      </c>
      <c r="U250" s="416" t="s">
        <v>928</v>
      </c>
      <c r="V250" s="419"/>
      <c r="CM250" s="342"/>
      <c r="CN250" s="342"/>
      <c r="CO250" s="342"/>
      <c r="CP250" s="342"/>
      <c r="CQ250" s="342"/>
      <c r="CR250" s="342"/>
      <c r="CS250" s="342"/>
      <c r="CT250" s="342"/>
      <c r="CU250" s="342"/>
      <c r="CV250" s="342"/>
      <c r="CW250" s="342"/>
      <c r="CX250" s="342"/>
      <c r="CY250" s="342"/>
    </row>
    <row r="251" spans="2:103" s="343" customFormat="1" ht="18.75" x14ac:dyDescent="0.25">
      <c r="B251" s="421">
        <v>44439</v>
      </c>
      <c r="C251" s="103">
        <v>0.9375</v>
      </c>
      <c r="D251" s="410">
        <v>46</v>
      </c>
      <c r="E251" s="415">
        <v>10.8</v>
      </c>
      <c r="F251" s="415">
        <v>13.2</v>
      </c>
      <c r="G251" s="413">
        <v>1297</v>
      </c>
      <c r="H251" s="413">
        <v>1971</v>
      </c>
      <c r="I251" s="413">
        <v>105</v>
      </c>
      <c r="J251" s="413">
        <v>106.1</v>
      </c>
      <c r="K251" s="416" t="s">
        <v>1068</v>
      </c>
      <c r="L251" s="416">
        <v>32.22</v>
      </c>
      <c r="M251" s="416">
        <v>37</v>
      </c>
      <c r="N251" s="416">
        <v>58.62</v>
      </c>
      <c r="O251" s="416"/>
      <c r="P251" s="416"/>
      <c r="Q251" s="416"/>
      <c r="R251" s="416" t="s">
        <v>1069</v>
      </c>
      <c r="S251" s="416">
        <v>59.9</v>
      </c>
      <c r="T251" s="102" t="s">
        <v>23</v>
      </c>
      <c r="U251" s="416" t="s">
        <v>928</v>
      </c>
      <c r="V251" s="419"/>
      <c r="CM251" s="342"/>
      <c r="CN251" s="342"/>
      <c r="CO251" s="342"/>
      <c r="CP251" s="342"/>
      <c r="CQ251" s="342"/>
      <c r="CR251" s="342"/>
      <c r="CS251" s="342"/>
      <c r="CT251" s="342"/>
      <c r="CU251" s="342"/>
      <c r="CV251" s="342"/>
      <c r="CW251" s="342"/>
      <c r="CX251" s="342"/>
      <c r="CY251" s="342"/>
    </row>
    <row r="252" spans="2:103" s="343" customFormat="1" ht="18.75" x14ac:dyDescent="0.25">
      <c r="B252" s="421">
        <v>44440</v>
      </c>
      <c r="C252" s="103">
        <v>0.91666666666666663</v>
      </c>
      <c r="D252" s="410">
        <v>46</v>
      </c>
      <c r="E252" s="415">
        <v>10.6</v>
      </c>
      <c r="F252" s="415">
        <v>12.9</v>
      </c>
      <c r="G252" s="413">
        <v>1292</v>
      </c>
      <c r="H252" s="413">
        <v>1982</v>
      </c>
      <c r="I252" s="413">
        <v>105.5</v>
      </c>
      <c r="J252" s="413">
        <v>106.1</v>
      </c>
      <c r="K252" s="416" t="s">
        <v>1081</v>
      </c>
      <c r="L252" s="416">
        <v>32.76</v>
      </c>
      <c r="M252" s="416">
        <v>37</v>
      </c>
      <c r="N252" s="416">
        <v>58.81</v>
      </c>
      <c r="O252" s="416"/>
      <c r="P252" s="416"/>
      <c r="Q252" s="416"/>
      <c r="R252" s="416" t="s">
        <v>1082</v>
      </c>
      <c r="S252" s="416">
        <v>59</v>
      </c>
      <c r="T252" s="102" t="s">
        <v>23</v>
      </c>
      <c r="U252" s="416" t="s">
        <v>928</v>
      </c>
      <c r="V252" s="419"/>
      <c r="CM252" s="342"/>
      <c r="CN252" s="342"/>
      <c r="CO252" s="342"/>
      <c r="CP252" s="342"/>
      <c r="CQ252" s="342"/>
      <c r="CR252" s="342"/>
      <c r="CS252" s="342"/>
      <c r="CT252" s="342"/>
      <c r="CU252" s="342"/>
      <c r="CV252" s="342"/>
      <c r="CW252" s="342"/>
      <c r="CX252" s="342"/>
      <c r="CY252" s="342"/>
    </row>
    <row r="253" spans="2:103" s="343" customFormat="1" ht="18.75" x14ac:dyDescent="0.25">
      <c r="B253" s="421">
        <v>44441</v>
      </c>
      <c r="C253" s="103">
        <v>0.91666666666666663</v>
      </c>
      <c r="D253" s="410">
        <v>46</v>
      </c>
      <c r="E253" s="415">
        <v>10.3</v>
      </c>
      <c r="F253" s="415">
        <v>12.8</v>
      </c>
      <c r="G253" s="413">
        <v>1291</v>
      </c>
      <c r="H253" s="413">
        <v>2022</v>
      </c>
      <c r="I253" s="413">
        <v>105</v>
      </c>
      <c r="J253" s="413">
        <v>105.5</v>
      </c>
      <c r="K253" s="416" t="s">
        <v>1086</v>
      </c>
      <c r="L253" s="416">
        <v>33.340000000000003</v>
      </c>
      <c r="M253" s="416">
        <v>37</v>
      </c>
      <c r="N253" s="416">
        <v>58.19</v>
      </c>
      <c r="O253" s="416"/>
      <c r="P253" s="416"/>
      <c r="Q253" s="416"/>
      <c r="R253" s="416" t="s">
        <v>1041</v>
      </c>
      <c r="S253" s="416">
        <v>58.1</v>
      </c>
      <c r="T253" s="102" t="s">
        <v>23</v>
      </c>
      <c r="U253" s="416" t="s">
        <v>928</v>
      </c>
      <c r="V253" s="417"/>
      <c r="CM253" s="342"/>
      <c r="CN253" s="342"/>
      <c r="CO253" s="342"/>
      <c r="CP253" s="342"/>
      <c r="CQ253" s="342"/>
      <c r="CR253" s="342"/>
      <c r="CS253" s="342"/>
      <c r="CT253" s="342"/>
      <c r="CU253" s="342"/>
      <c r="CV253" s="342"/>
      <c r="CW253" s="342"/>
      <c r="CX253" s="342"/>
      <c r="CY253" s="342"/>
    </row>
    <row r="254" spans="2:103" s="343" customFormat="1" ht="18.75" x14ac:dyDescent="0.25">
      <c r="B254" s="421">
        <v>44442</v>
      </c>
      <c r="C254" s="103">
        <v>0.95833333333333337</v>
      </c>
      <c r="D254" s="410">
        <v>46</v>
      </c>
      <c r="E254" s="415">
        <v>10.4</v>
      </c>
      <c r="F254" s="415">
        <v>12.7</v>
      </c>
      <c r="G254" s="413">
        <v>1294</v>
      </c>
      <c r="H254" s="413">
        <v>2018</v>
      </c>
      <c r="I254" s="413">
        <v>105</v>
      </c>
      <c r="J254" s="413">
        <v>106.1</v>
      </c>
      <c r="K254" s="416" t="s">
        <v>1090</v>
      </c>
      <c r="L254" s="416">
        <v>33.86</v>
      </c>
      <c r="M254" s="416">
        <v>37</v>
      </c>
      <c r="N254" s="416">
        <v>58.05</v>
      </c>
      <c r="O254" s="416"/>
      <c r="P254" s="416"/>
      <c r="Q254" s="416"/>
      <c r="R254" s="416" t="s">
        <v>1091</v>
      </c>
      <c r="S254" s="416">
        <v>58.5</v>
      </c>
      <c r="T254" s="102" t="s">
        <v>23</v>
      </c>
      <c r="U254" s="416" t="s">
        <v>928</v>
      </c>
      <c r="V254" s="417" t="s">
        <v>1093</v>
      </c>
      <c r="CM254" s="342"/>
      <c r="CN254" s="342"/>
      <c r="CO254" s="342"/>
      <c r="CP254" s="342"/>
      <c r="CQ254" s="342"/>
      <c r="CR254" s="342"/>
      <c r="CS254" s="342"/>
      <c r="CT254" s="342"/>
      <c r="CU254" s="342"/>
      <c r="CV254" s="342"/>
      <c r="CW254" s="342"/>
      <c r="CX254" s="342"/>
      <c r="CY254" s="342"/>
    </row>
    <row r="255" spans="2:103" s="343" customFormat="1" ht="18.75" x14ac:dyDescent="0.25">
      <c r="B255" s="421">
        <v>44443</v>
      </c>
      <c r="C255" s="103">
        <v>0.91666666666666663</v>
      </c>
      <c r="D255" s="410">
        <v>46</v>
      </c>
      <c r="E255" s="415">
        <v>10.3</v>
      </c>
      <c r="F255" s="415">
        <v>12.7</v>
      </c>
      <c r="G255" s="413">
        <v>1297</v>
      </c>
      <c r="H255" s="413">
        <v>2025</v>
      </c>
      <c r="I255" s="413">
        <v>104.4</v>
      </c>
      <c r="J255" s="413">
        <v>106.1</v>
      </c>
      <c r="K255" s="416" t="s">
        <v>1097</v>
      </c>
      <c r="L255" s="416">
        <v>33.159999999999997</v>
      </c>
      <c r="M255" s="416">
        <v>37</v>
      </c>
      <c r="N255" s="416">
        <v>57.66</v>
      </c>
      <c r="O255" s="416"/>
      <c r="P255" s="416"/>
      <c r="Q255" s="416"/>
      <c r="R255" s="416" t="s">
        <v>1096</v>
      </c>
      <c r="S255" s="416">
        <v>58.1</v>
      </c>
      <c r="T255" s="102" t="s">
        <v>23</v>
      </c>
      <c r="U255" s="416" t="s">
        <v>928</v>
      </c>
      <c r="V255" s="402"/>
      <c r="CM255" s="342"/>
      <c r="CN255" s="342"/>
      <c r="CO255" s="342"/>
      <c r="CP255" s="342"/>
      <c r="CQ255" s="342"/>
      <c r="CR255" s="342"/>
      <c r="CS255" s="342"/>
      <c r="CT255" s="342"/>
      <c r="CU255" s="342"/>
      <c r="CV255" s="342"/>
      <c r="CW255" s="342"/>
      <c r="CX255" s="342"/>
      <c r="CY255" s="342"/>
    </row>
    <row r="256" spans="2:103" s="343" customFormat="1" ht="18.75" x14ac:dyDescent="0.25">
      <c r="B256" s="421">
        <v>44444</v>
      </c>
      <c r="C256" s="103">
        <v>0.91666666666666663</v>
      </c>
      <c r="D256" s="410">
        <v>46</v>
      </c>
      <c r="E256" s="415">
        <v>10.4</v>
      </c>
      <c r="F256" s="415">
        <v>12.9</v>
      </c>
      <c r="G256" s="413">
        <v>1291</v>
      </c>
      <c r="H256" s="413">
        <v>2009</v>
      </c>
      <c r="I256" s="413">
        <v>105</v>
      </c>
      <c r="J256" s="413">
        <v>106.1</v>
      </c>
      <c r="K256" s="416" t="s">
        <v>1101</v>
      </c>
      <c r="L256" s="416">
        <v>32.21</v>
      </c>
      <c r="M256" s="416">
        <v>37</v>
      </c>
      <c r="N256" s="416">
        <v>58.46</v>
      </c>
      <c r="O256" s="416"/>
      <c r="P256" s="416"/>
      <c r="Q256" s="416"/>
      <c r="R256" s="416" t="s">
        <v>1100</v>
      </c>
      <c r="S256" s="416">
        <v>58.5</v>
      </c>
      <c r="T256" s="102" t="s">
        <v>23</v>
      </c>
      <c r="U256" s="416" t="s">
        <v>928</v>
      </c>
      <c r="V256" s="402"/>
      <c r="CM256" s="342"/>
      <c r="CN256" s="342"/>
      <c r="CO256" s="342"/>
      <c r="CP256" s="342"/>
      <c r="CQ256" s="342"/>
      <c r="CR256" s="342"/>
      <c r="CS256" s="342"/>
      <c r="CT256" s="342"/>
      <c r="CU256" s="342"/>
      <c r="CV256" s="342"/>
      <c r="CW256" s="342"/>
      <c r="CX256" s="342"/>
      <c r="CY256" s="342"/>
    </row>
    <row r="257" spans="2:103" s="343" customFormat="1" ht="18.75" x14ac:dyDescent="0.25">
      <c r="B257" s="421">
        <v>44445</v>
      </c>
      <c r="C257" s="103">
        <v>0.95833333333333337</v>
      </c>
      <c r="D257" s="410">
        <v>46</v>
      </c>
      <c r="E257" s="415">
        <v>10</v>
      </c>
      <c r="F257" s="415">
        <v>12.4</v>
      </c>
      <c r="G257" s="413">
        <v>1294</v>
      </c>
      <c r="H257" s="413">
        <v>2046</v>
      </c>
      <c r="I257" s="413">
        <v>104.4</v>
      </c>
      <c r="J257" s="413">
        <v>105.5</v>
      </c>
      <c r="K257" s="416" t="s">
        <v>1106</v>
      </c>
      <c r="L257" s="416">
        <v>34.54</v>
      </c>
      <c r="M257" s="416">
        <v>37</v>
      </c>
      <c r="N257" s="416">
        <v>55.74</v>
      </c>
      <c r="O257" s="416"/>
      <c r="P257" s="416"/>
      <c r="Q257" s="416"/>
      <c r="R257" s="416" t="s">
        <v>1107</v>
      </c>
      <c r="S257" s="416">
        <v>56.7</v>
      </c>
      <c r="T257" s="102" t="s">
        <v>23</v>
      </c>
      <c r="U257" s="416" t="s">
        <v>928</v>
      </c>
      <c r="V257" s="402"/>
      <c r="CM257" s="342"/>
      <c r="CN257" s="342"/>
      <c r="CO257" s="342"/>
      <c r="CP257" s="342"/>
      <c r="CQ257" s="342"/>
      <c r="CR257" s="342"/>
      <c r="CS257" s="342"/>
      <c r="CT257" s="342"/>
      <c r="CU257" s="342"/>
      <c r="CV257" s="342"/>
      <c r="CW257" s="342"/>
      <c r="CX257" s="342"/>
      <c r="CY257" s="342"/>
    </row>
    <row r="258" spans="2:103" s="343" customFormat="1" ht="18.75" x14ac:dyDescent="0.25">
      <c r="B258" s="421">
        <v>44446</v>
      </c>
      <c r="C258" s="103">
        <v>0.9375</v>
      </c>
      <c r="D258" s="410">
        <v>46</v>
      </c>
      <c r="E258" s="415">
        <v>10.199999999999999</v>
      </c>
      <c r="F258" s="415">
        <v>12.6</v>
      </c>
      <c r="G258" s="413">
        <v>1299</v>
      </c>
      <c r="H258" s="413">
        <v>2038</v>
      </c>
      <c r="I258" s="413">
        <v>104.4</v>
      </c>
      <c r="J258" s="413">
        <v>105.5</v>
      </c>
      <c r="K258" s="416" t="s">
        <v>1112</v>
      </c>
      <c r="L258" s="416">
        <v>35.35</v>
      </c>
      <c r="M258" s="416">
        <v>37</v>
      </c>
      <c r="N258" s="416">
        <v>55.44</v>
      </c>
      <c r="O258" s="416"/>
      <c r="P258" s="416"/>
      <c r="Q258" s="416"/>
      <c r="R258" s="416" t="s">
        <v>1111</v>
      </c>
      <c r="S258" s="416">
        <v>57.6</v>
      </c>
      <c r="T258" s="102" t="s">
        <v>23</v>
      </c>
      <c r="U258" s="416" t="s">
        <v>928</v>
      </c>
      <c r="V258" s="402"/>
      <c r="CM258" s="342"/>
      <c r="CN258" s="342"/>
      <c r="CO258" s="342"/>
      <c r="CP258" s="342"/>
      <c r="CQ258" s="342"/>
      <c r="CR258" s="342"/>
      <c r="CS258" s="342"/>
      <c r="CT258" s="342"/>
      <c r="CU258" s="342"/>
      <c r="CV258" s="342"/>
      <c r="CW258" s="342"/>
      <c r="CX258" s="342"/>
      <c r="CY258" s="342"/>
    </row>
    <row r="259" spans="2:103" s="343" customFormat="1" ht="18.75" x14ac:dyDescent="0.25">
      <c r="B259" s="421">
        <v>44447</v>
      </c>
      <c r="C259" s="103">
        <v>0.97916666666666663</v>
      </c>
      <c r="D259" s="410">
        <v>46</v>
      </c>
      <c r="E259" s="415">
        <v>10.199999999999999</v>
      </c>
      <c r="F259" s="415">
        <v>12.7</v>
      </c>
      <c r="G259" s="413">
        <v>1301</v>
      </c>
      <c r="H259" s="413">
        <v>2034</v>
      </c>
      <c r="I259" s="413">
        <v>104.4</v>
      </c>
      <c r="J259" s="413">
        <v>105.5</v>
      </c>
      <c r="K259" s="416" t="s">
        <v>1118</v>
      </c>
      <c r="L259" s="416">
        <v>33.909999999999997</v>
      </c>
      <c r="M259" s="416">
        <v>37</v>
      </c>
      <c r="N259" s="416">
        <v>56.4</v>
      </c>
      <c r="O259" s="416"/>
      <c r="P259" s="416"/>
      <c r="Q259" s="416"/>
      <c r="R259" s="416" t="s">
        <v>1119</v>
      </c>
      <c r="S259" s="416">
        <v>58.1</v>
      </c>
      <c r="T259" s="102" t="s">
        <v>23</v>
      </c>
      <c r="U259" s="416" t="s">
        <v>928</v>
      </c>
      <c r="V259" s="402"/>
      <c r="CM259" s="342"/>
      <c r="CN259" s="342"/>
      <c r="CO259" s="342"/>
      <c r="CP259" s="342"/>
      <c r="CQ259" s="342"/>
      <c r="CR259" s="342"/>
      <c r="CS259" s="342"/>
      <c r="CT259" s="342"/>
      <c r="CU259" s="342"/>
      <c r="CV259" s="342"/>
      <c r="CW259" s="342"/>
      <c r="CX259" s="342"/>
      <c r="CY259" s="342"/>
    </row>
    <row r="260" spans="2:103" s="343" customFormat="1" ht="18.75" x14ac:dyDescent="0.25">
      <c r="B260" s="421">
        <v>44448</v>
      </c>
      <c r="C260" s="103">
        <v>0.91666666666666663</v>
      </c>
      <c r="D260" s="410">
        <v>46</v>
      </c>
      <c r="E260" s="415">
        <v>10.199999999999999</v>
      </c>
      <c r="F260" s="415">
        <v>12.7</v>
      </c>
      <c r="G260" s="413">
        <v>1295</v>
      </c>
      <c r="H260" s="413">
        <v>2029</v>
      </c>
      <c r="I260" s="413">
        <v>104.4</v>
      </c>
      <c r="J260" s="413">
        <v>105.5</v>
      </c>
      <c r="K260" s="416" t="s">
        <v>1128</v>
      </c>
      <c r="L260" s="416">
        <v>32.46</v>
      </c>
      <c r="M260" s="416">
        <v>37</v>
      </c>
      <c r="N260" s="416">
        <v>57.66</v>
      </c>
      <c r="O260" s="416"/>
      <c r="P260" s="416"/>
      <c r="Q260" s="416"/>
      <c r="R260" s="416" t="s">
        <v>1127</v>
      </c>
      <c r="S260" s="416">
        <v>58.1</v>
      </c>
      <c r="T260" s="102" t="s">
        <v>23</v>
      </c>
      <c r="U260" s="416" t="s">
        <v>928</v>
      </c>
      <c r="V260" s="402"/>
      <c r="CM260" s="342"/>
      <c r="CN260" s="342"/>
      <c r="CO260" s="342"/>
      <c r="CP260" s="342"/>
      <c r="CQ260" s="342"/>
      <c r="CR260" s="342"/>
      <c r="CS260" s="342"/>
      <c r="CT260" s="342"/>
      <c r="CU260" s="342"/>
      <c r="CV260" s="342"/>
      <c r="CW260" s="342"/>
      <c r="CX260" s="342"/>
      <c r="CY260" s="342"/>
    </row>
    <row r="261" spans="2:103" s="343" customFormat="1" ht="18.75" x14ac:dyDescent="0.25">
      <c r="B261" s="489">
        <v>44449</v>
      </c>
      <c r="C261" s="103">
        <v>0.97916666666666663</v>
      </c>
      <c r="D261" s="410">
        <v>46</v>
      </c>
      <c r="E261" s="415">
        <v>10.1</v>
      </c>
      <c r="F261" s="415">
        <v>12.6</v>
      </c>
      <c r="G261" s="413">
        <v>1292</v>
      </c>
      <c r="H261" s="413">
        <v>2018</v>
      </c>
      <c r="I261" s="413">
        <v>105.5</v>
      </c>
      <c r="J261" s="413">
        <v>106.1</v>
      </c>
      <c r="K261" s="416" t="s">
        <v>1141</v>
      </c>
      <c r="L261" s="416">
        <v>33.630000000000003</v>
      </c>
      <c r="M261" s="416">
        <v>37</v>
      </c>
      <c r="N261" s="416">
        <v>57.92</v>
      </c>
      <c r="O261" s="416"/>
      <c r="P261" s="416"/>
      <c r="Q261" s="416"/>
      <c r="R261" s="416" t="s">
        <v>1140</v>
      </c>
      <c r="S261" s="416">
        <v>57.6</v>
      </c>
      <c r="T261" s="102" t="s">
        <v>23</v>
      </c>
      <c r="U261" s="416" t="s">
        <v>928</v>
      </c>
      <c r="V261" s="402"/>
      <c r="CM261" s="342"/>
      <c r="CN261" s="342"/>
      <c r="CO261" s="342"/>
      <c r="CP261" s="342"/>
      <c r="CQ261" s="342"/>
      <c r="CR261" s="342"/>
      <c r="CS261" s="342"/>
      <c r="CT261" s="342"/>
      <c r="CU261" s="342"/>
      <c r="CV261" s="342"/>
      <c r="CW261" s="342"/>
      <c r="CX261" s="342"/>
      <c r="CY261" s="342"/>
    </row>
    <row r="262" spans="2:103" s="343" customFormat="1" ht="18.75" x14ac:dyDescent="0.25">
      <c r="B262" s="489">
        <v>44450</v>
      </c>
      <c r="C262" s="103">
        <v>0.91666666666666663</v>
      </c>
      <c r="D262" s="410">
        <v>46</v>
      </c>
      <c r="E262" s="415">
        <v>9.8000000000000007</v>
      </c>
      <c r="F262" s="415">
        <v>12.4</v>
      </c>
      <c r="G262" s="413">
        <v>1299</v>
      </c>
      <c r="H262" s="413">
        <v>2056</v>
      </c>
      <c r="I262" s="413">
        <v>104.4</v>
      </c>
      <c r="J262" s="413">
        <v>106.1</v>
      </c>
      <c r="K262" s="416" t="s">
        <v>1147</v>
      </c>
      <c r="L262" s="416">
        <v>34.46</v>
      </c>
      <c r="M262" s="416">
        <v>37</v>
      </c>
      <c r="N262" s="416">
        <v>55.55</v>
      </c>
      <c r="O262" s="416"/>
      <c r="P262" s="416"/>
      <c r="Q262" s="416"/>
      <c r="R262" s="416" t="s">
        <v>878</v>
      </c>
      <c r="S262" s="416">
        <v>56.7</v>
      </c>
      <c r="T262" s="102" t="s">
        <v>23</v>
      </c>
      <c r="U262" s="416" t="s">
        <v>928</v>
      </c>
      <c r="V262" s="402"/>
      <c r="CM262" s="342"/>
      <c r="CN262" s="342"/>
      <c r="CO262" s="342"/>
      <c r="CP262" s="342"/>
      <c r="CQ262" s="342"/>
      <c r="CR262" s="342"/>
      <c r="CS262" s="342"/>
      <c r="CT262" s="342"/>
      <c r="CU262" s="342"/>
      <c r="CV262" s="342"/>
      <c r="CW262" s="342"/>
      <c r="CX262" s="342"/>
      <c r="CY262" s="342"/>
    </row>
    <row r="263" spans="2:103" s="343" customFormat="1" ht="18.75" x14ac:dyDescent="0.25">
      <c r="B263" s="489">
        <v>44451</v>
      </c>
      <c r="C263" s="103">
        <v>0.91666666666666663</v>
      </c>
      <c r="D263" s="410">
        <v>46</v>
      </c>
      <c r="E263" s="415">
        <v>10</v>
      </c>
      <c r="F263" s="415">
        <v>12.5</v>
      </c>
      <c r="G263" s="413">
        <v>1301</v>
      </c>
      <c r="H263" s="413">
        <v>2045</v>
      </c>
      <c r="I263" s="413">
        <v>104.4</v>
      </c>
      <c r="J263" s="413">
        <v>105.5</v>
      </c>
      <c r="K263" s="416" t="s">
        <v>1152</v>
      </c>
      <c r="L263" s="416">
        <v>34.08</v>
      </c>
      <c r="M263" s="416">
        <v>37</v>
      </c>
      <c r="N263" s="416">
        <v>56.25</v>
      </c>
      <c r="O263" s="416"/>
      <c r="P263" s="416"/>
      <c r="Q263" s="416"/>
      <c r="R263" s="416" t="s">
        <v>1151</v>
      </c>
      <c r="S263" s="416">
        <v>57.2</v>
      </c>
      <c r="T263" s="102" t="s">
        <v>23</v>
      </c>
      <c r="U263" s="416" t="s">
        <v>928</v>
      </c>
      <c r="V263" s="402"/>
      <c r="CM263" s="342"/>
      <c r="CN263" s="342"/>
      <c r="CO263" s="342"/>
      <c r="CP263" s="342"/>
      <c r="CQ263" s="342"/>
      <c r="CR263" s="342"/>
      <c r="CS263" s="342"/>
      <c r="CT263" s="342"/>
      <c r="CU263" s="342"/>
      <c r="CV263" s="342"/>
      <c r="CW263" s="342"/>
      <c r="CX263" s="342"/>
      <c r="CY263" s="342"/>
    </row>
    <row r="264" spans="2:103" s="343" customFormat="1" ht="18.75" x14ac:dyDescent="0.25">
      <c r="B264" s="489">
        <v>44452</v>
      </c>
      <c r="C264" s="103">
        <v>0.9375</v>
      </c>
      <c r="D264" s="410">
        <v>46</v>
      </c>
      <c r="E264" s="415">
        <v>9.6999999999999993</v>
      </c>
      <c r="F264" s="415">
        <v>12.3</v>
      </c>
      <c r="G264" s="413">
        <v>1301</v>
      </c>
      <c r="H264" s="413">
        <v>2062</v>
      </c>
      <c r="I264" s="413">
        <v>104.4</v>
      </c>
      <c r="J264" s="413">
        <v>105.5</v>
      </c>
      <c r="K264" s="416" t="s">
        <v>1163</v>
      </c>
      <c r="L264" s="416">
        <v>35.130000000000003</v>
      </c>
      <c r="M264" s="416">
        <v>37</v>
      </c>
      <c r="N264" s="416">
        <v>54.64</v>
      </c>
      <c r="O264" s="416"/>
      <c r="P264" s="416"/>
      <c r="Q264" s="416"/>
      <c r="R264" s="416" t="s">
        <v>1162</v>
      </c>
      <c r="S264" s="416">
        <v>56.3</v>
      </c>
      <c r="T264" s="102" t="s">
        <v>23</v>
      </c>
      <c r="U264" s="416" t="s">
        <v>928</v>
      </c>
      <c r="V264" s="417" t="s">
        <v>1166</v>
      </c>
      <c r="CM264" s="342"/>
      <c r="CN264" s="342"/>
      <c r="CO264" s="342"/>
      <c r="CP264" s="342"/>
      <c r="CQ264" s="342"/>
      <c r="CR264" s="342"/>
      <c r="CS264" s="342"/>
      <c r="CT264" s="342"/>
      <c r="CU264" s="342"/>
      <c r="CV264" s="342"/>
      <c r="CW264" s="342"/>
      <c r="CX264" s="342"/>
      <c r="CY264" s="342"/>
    </row>
    <row r="265" spans="2:103" s="343" customFormat="1" ht="18.75" x14ac:dyDescent="0.25">
      <c r="B265" s="489">
        <v>44453</v>
      </c>
      <c r="C265" s="103">
        <v>0.91666666666666663</v>
      </c>
      <c r="D265" s="410">
        <v>46</v>
      </c>
      <c r="E265" s="415">
        <v>10.1</v>
      </c>
      <c r="F265" s="415">
        <v>12.6</v>
      </c>
      <c r="G265" s="413">
        <v>1298</v>
      </c>
      <c r="H265" s="413">
        <v>2027</v>
      </c>
      <c r="I265" s="413">
        <v>104.4</v>
      </c>
      <c r="J265" s="413">
        <v>105.5</v>
      </c>
      <c r="K265" s="416" t="s">
        <v>1173</v>
      </c>
      <c r="L265" s="416">
        <v>33.65</v>
      </c>
      <c r="M265" s="416">
        <v>37</v>
      </c>
      <c r="N265" s="416">
        <v>56.97</v>
      </c>
      <c r="O265" s="416"/>
      <c r="P265" s="416"/>
      <c r="Q265" s="416"/>
      <c r="R265" s="416" t="s">
        <v>1172</v>
      </c>
      <c r="S265" s="416">
        <v>57.6</v>
      </c>
      <c r="T265" s="102" t="s">
        <v>23</v>
      </c>
      <c r="U265" s="416" t="s">
        <v>928</v>
      </c>
      <c r="V265" s="417"/>
      <c r="CM265" s="342"/>
      <c r="CN265" s="342"/>
      <c r="CO265" s="342"/>
      <c r="CP265" s="342"/>
      <c r="CQ265" s="342"/>
      <c r="CR265" s="342"/>
      <c r="CS265" s="342"/>
      <c r="CT265" s="342"/>
      <c r="CU265" s="342"/>
      <c r="CV265" s="342"/>
      <c r="CW265" s="342"/>
      <c r="CX265" s="342"/>
      <c r="CY265" s="342"/>
    </row>
    <row r="266" spans="2:103" s="343" customFormat="1" ht="18.75" x14ac:dyDescent="0.25">
      <c r="B266" s="489">
        <v>44454</v>
      </c>
      <c r="C266" s="103">
        <v>0.9375</v>
      </c>
      <c r="D266" s="410">
        <v>46</v>
      </c>
      <c r="E266" s="415">
        <v>10</v>
      </c>
      <c r="F266" s="415">
        <v>12.5</v>
      </c>
      <c r="G266" s="413">
        <v>1300</v>
      </c>
      <c r="H266" s="413">
        <v>2058</v>
      </c>
      <c r="I266" s="413">
        <v>104.4</v>
      </c>
      <c r="J266" s="413">
        <v>105.5</v>
      </c>
      <c r="K266" s="416" t="s">
        <v>1177</v>
      </c>
      <c r="L266" s="416">
        <v>33.42</v>
      </c>
      <c r="M266" s="416">
        <v>37</v>
      </c>
      <c r="N266" s="416">
        <v>56.89</v>
      </c>
      <c r="O266" s="416"/>
      <c r="P266" s="416"/>
      <c r="Q266" s="416"/>
      <c r="R266" s="416" t="s">
        <v>1176</v>
      </c>
      <c r="S266" s="416">
        <v>57.2</v>
      </c>
      <c r="T266" s="102" t="s">
        <v>23</v>
      </c>
      <c r="U266" s="416" t="s">
        <v>928</v>
      </c>
      <c r="V266" s="417"/>
      <c r="CM266" s="342"/>
      <c r="CN266" s="342"/>
      <c r="CO266" s="342"/>
      <c r="CP266" s="342"/>
      <c r="CQ266" s="342"/>
      <c r="CR266" s="342"/>
      <c r="CS266" s="342"/>
      <c r="CT266" s="342"/>
      <c r="CU266" s="342"/>
      <c r="CV266" s="342"/>
      <c r="CW266" s="342"/>
      <c r="CX266" s="342"/>
      <c r="CY266" s="342"/>
    </row>
    <row r="267" spans="2:103" s="343" customFormat="1" ht="18.75" x14ac:dyDescent="0.25">
      <c r="B267" s="489">
        <v>44455</v>
      </c>
      <c r="C267" s="103">
        <v>0.9375</v>
      </c>
      <c r="D267" s="410">
        <v>46</v>
      </c>
      <c r="E267" s="415">
        <v>9.8000000000000007</v>
      </c>
      <c r="F267" s="415">
        <v>12.4</v>
      </c>
      <c r="G267" s="413">
        <v>1306</v>
      </c>
      <c r="H267" s="413">
        <v>2066</v>
      </c>
      <c r="I267" s="413">
        <v>105</v>
      </c>
      <c r="J267" s="413">
        <v>106.1</v>
      </c>
      <c r="K267" s="416" t="s">
        <v>1190</v>
      </c>
      <c r="L267" s="416">
        <v>33.42</v>
      </c>
      <c r="M267" s="416">
        <v>37</v>
      </c>
      <c r="N267" s="416">
        <v>56.89</v>
      </c>
      <c r="O267" s="416"/>
      <c r="P267" s="416"/>
      <c r="Q267" s="416"/>
      <c r="R267" s="416" t="s">
        <v>1176</v>
      </c>
      <c r="S267" s="416">
        <v>56.7</v>
      </c>
      <c r="T267" s="102" t="s">
        <v>23</v>
      </c>
      <c r="U267" s="416" t="s">
        <v>928</v>
      </c>
      <c r="V267" s="417"/>
      <c r="CM267" s="342"/>
      <c r="CN267" s="342"/>
      <c r="CO267" s="342"/>
      <c r="CP267" s="342"/>
      <c r="CQ267" s="342"/>
      <c r="CR267" s="342"/>
      <c r="CS267" s="342"/>
      <c r="CT267" s="342"/>
      <c r="CU267" s="342"/>
      <c r="CV267" s="342"/>
      <c r="CW267" s="342"/>
      <c r="CX267" s="342"/>
      <c r="CY267" s="342"/>
    </row>
    <row r="268" spans="2:103" s="343" customFormat="1" ht="18.75" x14ac:dyDescent="0.25">
      <c r="B268" s="489">
        <v>44456</v>
      </c>
      <c r="C268" s="103">
        <v>0.91666666666666663</v>
      </c>
      <c r="D268" s="410">
        <v>46</v>
      </c>
      <c r="E268" s="415">
        <v>10</v>
      </c>
      <c r="F268" s="415">
        <v>12.4</v>
      </c>
      <c r="G268" s="413">
        <v>1300</v>
      </c>
      <c r="H268" s="413">
        <v>2058</v>
      </c>
      <c r="I268" s="413">
        <v>104.4</v>
      </c>
      <c r="J268" s="413">
        <v>105.5</v>
      </c>
      <c r="K268" s="416" t="s">
        <v>1177</v>
      </c>
      <c r="L268" s="416">
        <v>33.19</v>
      </c>
      <c r="M268" s="416">
        <v>37</v>
      </c>
      <c r="N268" s="416">
        <v>57.2</v>
      </c>
      <c r="O268" s="416"/>
      <c r="P268" s="416"/>
      <c r="Q268" s="416"/>
      <c r="R268" s="416" t="s">
        <v>1187</v>
      </c>
      <c r="S268" s="416">
        <v>56.7</v>
      </c>
      <c r="T268" s="102" t="s">
        <v>23</v>
      </c>
      <c r="U268" s="416" t="s">
        <v>928</v>
      </c>
      <c r="V268" s="417"/>
      <c r="CM268" s="342"/>
      <c r="CN268" s="342"/>
      <c r="CO268" s="342"/>
      <c r="CP268" s="342"/>
      <c r="CQ268" s="342"/>
      <c r="CR268" s="342"/>
      <c r="CS268" s="342"/>
      <c r="CT268" s="342"/>
      <c r="CU268" s="342"/>
      <c r="CV268" s="342"/>
      <c r="CW268" s="342"/>
      <c r="CX268" s="342"/>
      <c r="CY268" s="342"/>
    </row>
    <row r="269" spans="2:103" s="343" customFormat="1" ht="18.75" x14ac:dyDescent="0.25">
      <c r="B269" s="489">
        <v>44457</v>
      </c>
      <c r="C269" s="103">
        <v>0.9375</v>
      </c>
      <c r="D269" s="410">
        <v>46</v>
      </c>
      <c r="E269" s="415">
        <v>9.6999999999999993</v>
      </c>
      <c r="F269" s="415">
        <v>12.2</v>
      </c>
      <c r="G269" s="413">
        <v>1311</v>
      </c>
      <c r="H269" s="413">
        <v>2075</v>
      </c>
      <c r="I269" s="413">
        <v>104.4</v>
      </c>
      <c r="J269" s="413">
        <v>105.5</v>
      </c>
      <c r="K269" s="416" t="s">
        <v>1198</v>
      </c>
      <c r="L269" s="416">
        <v>34.64</v>
      </c>
      <c r="M269" s="416">
        <v>37</v>
      </c>
      <c r="N269" s="416">
        <v>56.13</v>
      </c>
      <c r="O269" s="416"/>
      <c r="P269" s="416"/>
      <c r="Q269" s="416"/>
      <c r="R269" s="416" t="s">
        <v>1197</v>
      </c>
      <c r="S269" s="416">
        <v>55.8</v>
      </c>
      <c r="T269" s="102" t="s">
        <v>23</v>
      </c>
      <c r="U269" s="416" t="s">
        <v>928</v>
      </c>
      <c r="V269" s="417"/>
      <c r="CM269" s="342"/>
      <c r="CN269" s="342"/>
      <c r="CO269" s="342"/>
      <c r="CP269" s="342"/>
      <c r="CQ269" s="342"/>
      <c r="CR269" s="342"/>
      <c r="CS269" s="342"/>
      <c r="CT269" s="342"/>
      <c r="CU269" s="342"/>
      <c r="CV269" s="342"/>
      <c r="CW269" s="342"/>
      <c r="CX269" s="342"/>
      <c r="CY269" s="342"/>
    </row>
    <row r="270" spans="2:103" s="343" customFormat="1" ht="63.75" customHeight="1" x14ac:dyDescent="0.25">
      <c r="B270" s="489">
        <v>44458</v>
      </c>
      <c r="C270" s="103">
        <v>0.9375</v>
      </c>
      <c r="D270" s="410">
        <v>46</v>
      </c>
      <c r="E270" s="415">
        <v>9.6999999999999993</v>
      </c>
      <c r="F270" s="415">
        <v>12.2</v>
      </c>
      <c r="G270" s="413">
        <v>1311</v>
      </c>
      <c r="H270" s="413">
        <v>2075</v>
      </c>
      <c r="I270" s="413">
        <v>104.4</v>
      </c>
      <c r="J270" s="413">
        <v>105.5</v>
      </c>
      <c r="K270" s="416" t="s">
        <v>1198</v>
      </c>
      <c r="L270" s="416">
        <v>35.270000000000003</v>
      </c>
      <c r="M270" s="416">
        <v>37</v>
      </c>
      <c r="N270" s="416">
        <v>56.17</v>
      </c>
      <c r="O270" s="416"/>
      <c r="P270" s="416"/>
      <c r="Q270" s="416"/>
      <c r="R270" s="416" t="s">
        <v>1197</v>
      </c>
      <c r="S270" s="416">
        <v>55.8</v>
      </c>
      <c r="T270" s="102" t="s">
        <v>23</v>
      </c>
      <c r="U270" s="416" t="s">
        <v>928</v>
      </c>
      <c r="V270" s="417" t="s">
        <v>1214</v>
      </c>
      <c r="CM270" s="342"/>
      <c r="CN270" s="342"/>
      <c r="CO270" s="342"/>
      <c r="CP270" s="342"/>
      <c r="CQ270" s="342"/>
      <c r="CR270" s="342"/>
      <c r="CS270" s="342"/>
      <c r="CT270" s="342"/>
      <c r="CU270" s="342"/>
      <c r="CV270" s="342"/>
      <c r="CW270" s="342"/>
      <c r="CX270" s="342"/>
      <c r="CY270" s="342"/>
    </row>
    <row r="271" spans="2:103" s="343" customFormat="1" ht="18.75" x14ac:dyDescent="0.25">
      <c r="B271" s="489">
        <v>44459</v>
      </c>
      <c r="C271" s="103">
        <v>0.9375</v>
      </c>
      <c r="D271" s="410">
        <v>46</v>
      </c>
      <c r="E271" s="415">
        <v>9.4</v>
      </c>
      <c r="F271" s="415">
        <v>11.9</v>
      </c>
      <c r="G271" s="413">
        <v>1317</v>
      </c>
      <c r="H271" s="413">
        <v>2074</v>
      </c>
      <c r="I271" s="413">
        <v>104.4</v>
      </c>
      <c r="J271" s="413">
        <v>105.5</v>
      </c>
      <c r="K271" s="416" t="s">
        <v>1216</v>
      </c>
      <c r="L271" s="416">
        <v>35.94</v>
      </c>
      <c r="M271" s="416">
        <v>39</v>
      </c>
      <c r="N271" s="416">
        <v>55.06</v>
      </c>
      <c r="O271" s="416"/>
      <c r="P271" s="416"/>
      <c r="Q271" s="416"/>
      <c r="R271" s="416"/>
      <c r="S271" s="416">
        <v>54.8</v>
      </c>
      <c r="T271" s="102" t="s">
        <v>23</v>
      </c>
      <c r="U271" s="416" t="s">
        <v>928</v>
      </c>
      <c r="V271" s="417" t="s">
        <v>1166</v>
      </c>
      <c r="CM271" s="342"/>
      <c r="CN271" s="342"/>
      <c r="CO271" s="342"/>
      <c r="CP271" s="342"/>
      <c r="CQ271" s="342"/>
      <c r="CR271" s="342"/>
      <c r="CS271" s="342"/>
      <c r="CT271" s="342"/>
      <c r="CU271" s="342"/>
      <c r="CV271" s="342"/>
      <c r="CW271" s="342"/>
      <c r="CX271" s="342"/>
      <c r="CY271" s="342"/>
    </row>
    <row r="272" spans="2:103" s="343" customFormat="1" ht="18.75" x14ac:dyDescent="0.25">
      <c r="B272" s="489">
        <v>44460</v>
      </c>
      <c r="C272" s="103">
        <v>0.91666666666666663</v>
      </c>
      <c r="D272" s="410">
        <v>46</v>
      </c>
      <c r="E272" s="415">
        <v>9.9</v>
      </c>
      <c r="F272" s="415">
        <v>12.4</v>
      </c>
      <c r="G272" s="413">
        <v>1314</v>
      </c>
      <c r="H272" s="413">
        <v>2068</v>
      </c>
      <c r="I272" s="413">
        <v>104.4</v>
      </c>
      <c r="J272" s="413">
        <v>105.5</v>
      </c>
      <c r="K272" s="416" t="s">
        <v>1226</v>
      </c>
      <c r="L272" s="416">
        <v>34.950000000000003</v>
      </c>
      <c r="M272" s="416">
        <v>39</v>
      </c>
      <c r="N272" s="416">
        <v>55.21</v>
      </c>
      <c r="O272" s="416"/>
      <c r="P272" s="416"/>
      <c r="Q272" s="416"/>
      <c r="R272" s="416" t="s">
        <v>1225</v>
      </c>
      <c r="S272" s="416">
        <v>56.7</v>
      </c>
      <c r="T272" s="102" t="s">
        <v>23</v>
      </c>
      <c r="U272" s="416" t="s">
        <v>928</v>
      </c>
      <c r="V272" s="417"/>
      <c r="CM272" s="342"/>
      <c r="CN272" s="342"/>
      <c r="CO272" s="342"/>
      <c r="CP272" s="342"/>
      <c r="CQ272" s="342"/>
      <c r="CR272" s="342"/>
      <c r="CS272" s="342"/>
      <c r="CT272" s="342"/>
      <c r="CU272" s="342"/>
      <c r="CV272" s="342"/>
      <c r="CW272" s="342"/>
      <c r="CX272" s="342"/>
      <c r="CY272" s="342"/>
    </row>
    <row r="273" spans="2:103" s="343" customFormat="1" ht="18.75" x14ac:dyDescent="0.25">
      <c r="B273" s="489">
        <v>44461</v>
      </c>
      <c r="C273" s="103">
        <v>0.9375</v>
      </c>
      <c r="D273" s="410">
        <v>46</v>
      </c>
      <c r="E273" s="415">
        <v>9.8000000000000007</v>
      </c>
      <c r="F273" s="415">
        <v>12.3</v>
      </c>
      <c r="G273" s="413">
        <v>1315</v>
      </c>
      <c r="H273" s="413">
        <v>2066</v>
      </c>
      <c r="I273" s="413">
        <v>104.4</v>
      </c>
      <c r="J273" s="413">
        <v>105.5</v>
      </c>
      <c r="K273" s="416" t="s">
        <v>1231</v>
      </c>
      <c r="L273" s="416">
        <v>34.950000000000003</v>
      </c>
      <c r="M273" s="416">
        <v>39</v>
      </c>
      <c r="N273" s="416">
        <v>55.41</v>
      </c>
      <c r="O273" s="416"/>
      <c r="P273" s="416"/>
      <c r="Q273" s="416"/>
      <c r="R273" s="416" t="s">
        <v>1230</v>
      </c>
      <c r="S273" s="416">
        <v>56.3</v>
      </c>
      <c r="T273" s="102" t="s">
        <v>23</v>
      </c>
      <c r="U273" s="416" t="s">
        <v>928</v>
      </c>
      <c r="V273" s="417"/>
      <c r="CM273" s="342"/>
      <c r="CN273" s="342"/>
      <c r="CO273" s="342"/>
      <c r="CP273" s="342"/>
      <c r="CQ273" s="342"/>
      <c r="CR273" s="342"/>
      <c r="CS273" s="342"/>
      <c r="CT273" s="342"/>
      <c r="CU273" s="342"/>
      <c r="CV273" s="342"/>
      <c r="CW273" s="342"/>
      <c r="CX273" s="342"/>
      <c r="CY273" s="342"/>
    </row>
    <row r="274" spans="2:103" s="343" customFormat="1" ht="18.75" x14ac:dyDescent="0.25">
      <c r="B274" s="489">
        <v>44462</v>
      </c>
      <c r="C274" s="103">
        <v>0.95833333333333337</v>
      </c>
      <c r="D274" s="410">
        <v>46</v>
      </c>
      <c r="E274" s="415">
        <v>9.9</v>
      </c>
      <c r="F274" s="415">
        <v>12.3</v>
      </c>
      <c r="G274" s="413">
        <v>1317</v>
      </c>
      <c r="H274" s="413">
        <v>2075</v>
      </c>
      <c r="I274" s="413">
        <v>104.4</v>
      </c>
      <c r="J274" s="413">
        <v>105.5</v>
      </c>
      <c r="K274" s="416" t="s">
        <v>1240</v>
      </c>
      <c r="L274" s="416">
        <v>34.950000000000003</v>
      </c>
      <c r="M274" s="416">
        <v>39</v>
      </c>
      <c r="N274" s="416">
        <v>55.21</v>
      </c>
      <c r="O274" s="416"/>
      <c r="P274" s="416"/>
      <c r="Q274" s="416"/>
      <c r="R274" s="416" t="s">
        <v>1239</v>
      </c>
      <c r="S274" s="416">
        <v>55.8</v>
      </c>
      <c r="T274" s="102" t="s">
        <v>23</v>
      </c>
      <c r="U274" s="416" t="s">
        <v>928</v>
      </c>
      <c r="V274" s="417"/>
      <c r="CM274" s="342"/>
      <c r="CN274" s="342"/>
      <c r="CO274" s="342"/>
      <c r="CP274" s="342"/>
      <c r="CQ274" s="342"/>
      <c r="CR274" s="342"/>
      <c r="CS274" s="342"/>
      <c r="CT274" s="342"/>
      <c r="CU274" s="342"/>
      <c r="CV274" s="342"/>
      <c r="CW274" s="342"/>
      <c r="CX274" s="342"/>
      <c r="CY274" s="342"/>
    </row>
    <row r="275" spans="2:103" s="343" customFormat="1" ht="18.75" x14ac:dyDescent="0.25">
      <c r="B275" s="505">
        <v>44462</v>
      </c>
      <c r="C275" s="103">
        <v>0.9375</v>
      </c>
      <c r="D275" s="410">
        <v>46</v>
      </c>
      <c r="E275" s="415">
        <v>9.8000000000000007</v>
      </c>
      <c r="F275" s="415">
        <v>12.3</v>
      </c>
      <c r="G275" s="413">
        <v>1322</v>
      </c>
      <c r="H275" s="413">
        <v>2085</v>
      </c>
      <c r="I275" s="413">
        <v>104.4</v>
      </c>
      <c r="J275" s="413">
        <v>105.5</v>
      </c>
      <c r="K275" s="416" t="s">
        <v>1247</v>
      </c>
      <c r="L275" s="416">
        <v>34</v>
      </c>
      <c r="M275" s="416">
        <v>39</v>
      </c>
      <c r="N275" s="416">
        <v>55.21</v>
      </c>
      <c r="O275" s="416"/>
      <c r="P275" s="416"/>
      <c r="Q275" s="416"/>
      <c r="R275" s="416" t="s">
        <v>1246</v>
      </c>
      <c r="S275" s="416">
        <v>56.3</v>
      </c>
      <c r="T275" s="102" t="s">
        <v>23</v>
      </c>
      <c r="U275" s="416" t="s">
        <v>928</v>
      </c>
      <c r="V275" s="417"/>
      <c r="CM275" s="342"/>
      <c r="CN275" s="342"/>
      <c r="CO275" s="342"/>
      <c r="CP275" s="342"/>
      <c r="CQ275" s="342"/>
      <c r="CR275" s="342"/>
      <c r="CS275" s="342"/>
      <c r="CT275" s="342"/>
      <c r="CU275" s="342"/>
      <c r="CV275" s="342"/>
      <c r="CW275" s="342"/>
      <c r="CX275" s="342"/>
      <c r="CY275" s="342"/>
    </row>
    <row r="276" spans="2:103" s="343" customFormat="1" ht="18.75" x14ac:dyDescent="0.25">
      <c r="B276" s="489">
        <v>44464</v>
      </c>
      <c r="C276" s="103">
        <v>0.91666666666666663</v>
      </c>
      <c r="D276" s="410">
        <v>46</v>
      </c>
      <c r="E276" s="415">
        <v>9.4</v>
      </c>
      <c r="F276" s="415">
        <v>12</v>
      </c>
      <c r="G276" s="413">
        <v>1327</v>
      </c>
      <c r="H276" s="413">
        <v>2094</v>
      </c>
      <c r="I276" s="413">
        <v>104.4</v>
      </c>
      <c r="J276" s="413">
        <v>105.5</v>
      </c>
      <c r="K276" s="416" t="s">
        <v>1252</v>
      </c>
      <c r="L276" s="416">
        <v>35.58</v>
      </c>
      <c r="M276" s="416">
        <v>39</v>
      </c>
      <c r="N276" s="416">
        <v>54.9</v>
      </c>
      <c r="O276" s="416"/>
      <c r="P276" s="416"/>
      <c r="Q276" s="416"/>
      <c r="R276" s="416" t="s">
        <v>1251</v>
      </c>
      <c r="S276" s="416">
        <v>54.9</v>
      </c>
      <c r="T276" s="102" t="s">
        <v>23</v>
      </c>
      <c r="U276" s="416" t="s">
        <v>928</v>
      </c>
      <c r="V276" s="517" t="s">
        <v>1166</v>
      </c>
      <c r="CM276" s="342"/>
      <c r="CN276" s="342"/>
      <c r="CO276" s="342"/>
      <c r="CP276" s="342"/>
      <c r="CQ276" s="342"/>
      <c r="CR276" s="342"/>
      <c r="CS276" s="342"/>
      <c r="CT276" s="342"/>
      <c r="CU276" s="342"/>
      <c r="CV276" s="342"/>
      <c r="CW276" s="342"/>
      <c r="CX276" s="342"/>
      <c r="CY276" s="342"/>
    </row>
    <row r="277" spans="2:103" s="343" customFormat="1" ht="18.75" x14ac:dyDescent="0.25">
      <c r="B277" s="489">
        <v>44465</v>
      </c>
      <c r="C277" s="103">
        <v>0.9375</v>
      </c>
      <c r="D277" s="410">
        <v>46</v>
      </c>
      <c r="E277" s="415">
        <v>9.6</v>
      </c>
      <c r="F277" s="415">
        <v>12.2</v>
      </c>
      <c r="G277" s="413">
        <v>1328</v>
      </c>
      <c r="H277" s="413">
        <v>2087</v>
      </c>
      <c r="I277" s="413">
        <v>104.4</v>
      </c>
      <c r="J277" s="413">
        <v>105.5</v>
      </c>
      <c r="K277" s="416" t="s">
        <v>1259</v>
      </c>
      <c r="L277" s="416">
        <v>35.729999999999997</v>
      </c>
      <c r="M277" s="416">
        <v>39</v>
      </c>
      <c r="N277" s="416">
        <v>55.29</v>
      </c>
      <c r="O277" s="416"/>
      <c r="P277" s="416"/>
      <c r="Q277" s="416"/>
      <c r="R277" s="416" t="s">
        <v>1258</v>
      </c>
      <c r="S277" s="416">
        <v>55.8</v>
      </c>
      <c r="T277" s="102" t="s">
        <v>23</v>
      </c>
      <c r="U277" s="416" t="s">
        <v>928</v>
      </c>
      <c r="V277" s="517" t="s">
        <v>1166</v>
      </c>
      <c r="CM277" s="342"/>
      <c r="CN277" s="342"/>
      <c r="CO277" s="342"/>
      <c r="CP277" s="342"/>
      <c r="CQ277" s="342"/>
      <c r="CR277" s="342"/>
      <c r="CS277" s="342"/>
      <c r="CT277" s="342"/>
      <c r="CU277" s="342"/>
      <c r="CV277" s="342"/>
      <c r="CW277" s="342"/>
      <c r="CX277" s="342"/>
      <c r="CY277" s="342"/>
    </row>
    <row r="278" spans="2:103" s="343" customFormat="1" ht="18.75" x14ac:dyDescent="0.25">
      <c r="B278" s="489">
        <v>44466</v>
      </c>
      <c r="C278" s="103">
        <v>0.95833333333333337</v>
      </c>
      <c r="D278" s="410">
        <v>46</v>
      </c>
      <c r="E278" s="415">
        <v>9.6999999999999993</v>
      </c>
      <c r="F278" s="415">
        <v>12.1</v>
      </c>
      <c r="G278" s="413">
        <v>1330</v>
      </c>
      <c r="H278" s="413">
        <v>2098</v>
      </c>
      <c r="I278" s="413">
        <v>104.4</v>
      </c>
      <c r="J278" s="413">
        <v>105.5</v>
      </c>
      <c r="K278" s="416" t="s">
        <v>1264</v>
      </c>
      <c r="L278" s="416">
        <v>36.25</v>
      </c>
      <c r="M278" s="416">
        <v>39</v>
      </c>
      <c r="N278" s="416">
        <v>54.83</v>
      </c>
      <c r="O278" s="416"/>
      <c r="P278" s="416"/>
      <c r="Q278" s="416"/>
      <c r="R278" s="416" t="s">
        <v>1263</v>
      </c>
      <c r="S278" s="416">
        <v>55.3</v>
      </c>
      <c r="T278" s="102" t="s">
        <v>23</v>
      </c>
      <c r="U278" s="416" t="s">
        <v>928</v>
      </c>
      <c r="V278" s="517" t="s">
        <v>1166</v>
      </c>
      <c r="CM278" s="342"/>
      <c r="CN278" s="342"/>
      <c r="CO278" s="342"/>
      <c r="CP278" s="342"/>
      <c r="CQ278" s="342"/>
      <c r="CR278" s="342"/>
      <c r="CS278" s="342"/>
      <c r="CT278" s="342"/>
      <c r="CU278" s="342"/>
      <c r="CV278" s="342"/>
      <c r="CW278" s="342"/>
      <c r="CX278" s="342"/>
      <c r="CY278" s="342"/>
    </row>
    <row r="279" spans="2:103" s="343" customFormat="1" ht="18.75" x14ac:dyDescent="0.25">
      <c r="B279" s="489">
        <v>44467</v>
      </c>
      <c r="C279" s="103">
        <v>0.91666666666666663</v>
      </c>
      <c r="D279" s="410">
        <v>46</v>
      </c>
      <c r="E279" s="415">
        <v>9.3000000000000007</v>
      </c>
      <c r="F279" s="415">
        <v>12</v>
      </c>
      <c r="G279" s="413">
        <v>1339</v>
      </c>
      <c r="H279" s="413">
        <v>2128</v>
      </c>
      <c r="I279" s="413">
        <v>104.4</v>
      </c>
      <c r="J279" s="413">
        <v>105.5</v>
      </c>
      <c r="K279" s="416" t="s">
        <v>1269</v>
      </c>
      <c r="L279" s="416">
        <v>38.01</v>
      </c>
      <c r="M279" s="416">
        <v>39</v>
      </c>
      <c r="N279" s="416">
        <v>52.96</v>
      </c>
      <c r="O279" s="416"/>
      <c r="P279" s="416"/>
      <c r="Q279" s="416"/>
      <c r="R279" s="416" t="s">
        <v>1268</v>
      </c>
      <c r="S279" s="416">
        <v>54.4</v>
      </c>
      <c r="T279" s="102" t="s">
        <v>23</v>
      </c>
      <c r="U279" s="416" t="s">
        <v>928</v>
      </c>
      <c r="V279" s="517" t="s">
        <v>1166</v>
      </c>
      <c r="CM279" s="342"/>
      <c r="CN279" s="342"/>
      <c r="CO279" s="342"/>
      <c r="CP279" s="342"/>
      <c r="CQ279" s="342"/>
      <c r="CR279" s="342"/>
      <c r="CS279" s="342"/>
      <c r="CT279" s="342"/>
      <c r="CU279" s="342"/>
      <c r="CV279" s="342"/>
      <c r="CW279" s="342"/>
      <c r="CX279" s="342"/>
      <c r="CY279" s="342"/>
    </row>
    <row r="280" spans="2:103" s="343" customFormat="1" ht="18.75" x14ac:dyDescent="0.25">
      <c r="B280" s="489">
        <v>44468</v>
      </c>
      <c r="C280" s="103">
        <v>0.91666666666666663</v>
      </c>
      <c r="D280" s="410">
        <v>46</v>
      </c>
      <c r="E280" s="415">
        <v>9.3000000000000007</v>
      </c>
      <c r="F280" s="415">
        <v>12</v>
      </c>
      <c r="G280" s="413">
        <v>1339</v>
      </c>
      <c r="H280" s="413">
        <v>2128</v>
      </c>
      <c r="I280" s="413">
        <v>104.4</v>
      </c>
      <c r="J280" s="413">
        <v>105.5</v>
      </c>
      <c r="K280" s="416" t="s">
        <v>1269</v>
      </c>
      <c r="L280" s="416">
        <v>38.01</v>
      </c>
      <c r="M280" s="416">
        <v>39</v>
      </c>
      <c r="N280" s="416">
        <v>52.96</v>
      </c>
      <c r="O280" s="416"/>
      <c r="P280" s="416"/>
      <c r="Q280" s="416"/>
      <c r="R280" s="416" t="s">
        <v>1268</v>
      </c>
      <c r="S280" s="416">
        <v>54.4</v>
      </c>
      <c r="T280" s="102" t="s">
        <v>23</v>
      </c>
      <c r="U280" s="416" t="s">
        <v>928</v>
      </c>
      <c r="V280" s="517" t="s">
        <v>1166</v>
      </c>
      <c r="CM280" s="342"/>
      <c r="CN280" s="342"/>
      <c r="CO280" s="342"/>
      <c r="CP280" s="342"/>
      <c r="CQ280" s="342"/>
      <c r="CR280" s="342"/>
      <c r="CS280" s="342"/>
      <c r="CT280" s="342"/>
      <c r="CU280" s="342"/>
      <c r="CV280" s="342"/>
      <c r="CW280" s="342"/>
      <c r="CX280" s="342"/>
      <c r="CY280" s="342"/>
    </row>
    <row r="281" spans="2:103" s="343" customFormat="1" ht="18.75" x14ac:dyDescent="0.25">
      <c r="B281" s="489">
        <v>44469</v>
      </c>
      <c r="C281" s="103">
        <v>0.9375</v>
      </c>
      <c r="D281" s="410">
        <v>46</v>
      </c>
      <c r="E281" s="415">
        <v>9.6</v>
      </c>
      <c r="F281" s="415">
        <v>12.1</v>
      </c>
      <c r="G281" s="413">
        <v>1341</v>
      </c>
      <c r="H281" s="413">
        <v>2108</v>
      </c>
      <c r="I281" s="413">
        <v>104.4</v>
      </c>
      <c r="J281" s="413">
        <v>105.5</v>
      </c>
      <c r="K281" s="416" t="s">
        <v>1281</v>
      </c>
      <c r="L281" s="416">
        <v>36.19</v>
      </c>
      <c r="M281" s="416">
        <v>39</v>
      </c>
      <c r="N281" s="416">
        <v>54.87</v>
      </c>
      <c r="O281" s="416"/>
      <c r="P281" s="416"/>
      <c r="Q281" s="416"/>
      <c r="R281" s="416" t="s">
        <v>1280</v>
      </c>
      <c r="S281" s="416">
        <v>55.3</v>
      </c>
      <c r="T281" s="102" t="s">
        <v>23</v>
      </c>
      <c r="U281" s="416" t="s">
        <v>928</v>
      </c>
      <c r="V281" s="517" t="s">
        <v>1166</v>
      </c>
      <c r="CM281" s="342"/>
      <c r="CN281" s="342"/>
      <c r="CO281" s="342"/>
      <c r="CP281" s="342"/>
      <c r="CQ281" s="342"/>
      <c r="CR281" s="342"/>
      <c r="CS281" s="342"/>
      <c r="CT281" s="342"/>
      <c r="CU281" s="342"/>
      <c r="CV281" s="342"/>
      <c r="CW281" s="342"/>
      <c r="CX281" s="342"/>
      <c r="CY281" s="342"/>
    </row>
    <row r="282" spans="2:103" s="343" customFormat="1" ht="18.75" x14ac:dyDescent="0.25">
      <c r="B282" s="489">
        <v>44470</v>
      </c>
      <c r="C282" s="103">
        <v>0.95833333333333337</v>
      </c>
      <c r="D282" s="410">
        <v>46</v>
      </c>
      <c r="E282" s="415">
        <v>9.4</v>
      </c>
      <c r="F282" s="415">
        <v>12</v>
      </c>
      <c r="G282" s="413">
        <v>1346</v>
      </c>
      <c r="H282" s="413">
        <v>2134</v>
      </c>
      <c r="I282" s="413">
        <v>104.4</v>
      </c>
      <c r="J282" s="413">
        <v>105.5</v>
      </c>
      <c r="K282" s="416" t="s">
        <v>1288</v>
      </c>
      <c r="L282" s="416">
        <v>37.07</v>
      </c>
      <c r="M282" s="416">
        <v>39</v>
      </c>
      <c r="N282" s="416">
        <v>53.69</v>
      </c>
      <c r="O282" s="416"/>
      <c r="P282" s="416"/>
      <c r="Q282" s="416"/>
      <c r="R282" s="416" t="s">
        <v>1289</v>
      </c>
      <c r="S282" s="416">
        <v>54.9</v>
      </c>
      <c r="T282" s="102" t="s">
        <v>23</v>
      </c>
      <c r="U282" s="416" t="s">
        <v>928</v>
      </c>
      <c r="V282" s="517" t="s">
        <v>1290</v>
      </c>
      <c r="CM282" s="342"/>
      <c r="CN282" s="342"/>
      <c r="CO282" s="342"/>
      <c r="CP282" s="342"/>
      <c r="CQ282" s="342"/>
      <c r="CR282" s="342"/>
      <c r="CS282" s="342"/>
      <c r="CT282" s="342"/>
      <c r="CU282" s="342"/>
      <c r="CV282" s="342"/>
      <c r="CW282" s="342"/>
      <c r="CX282" s="342"/>
      <c r="CY282" s="342"/>
    </row>
    <row r="283" spans="2:103" s="343" customFormat="1" ht="18.75" x14ac:dyDescent="0.25">
      <c r="B283" s="489">
        <v>44471</v>
      </c>
      <c r="C283" s="103">
        <v>0.95833333333333337</v>
      </c>
      <c r="D283" s="410">
        <v>46</v>
      </c>
      <c r="E283" s="415">
        <v>9.3000000000000007</v>
      </c>
      <c r="F283" s="415">
        <v>11.9</v>
      </c>
      <c r="G283" s="413">
        <v>1350</v>
      </c>
      <c r="H283" s="413">
        <v>2141</v>
      </c>
      <c r="I283" s="413">
        <v>104.4</v>
      </c>
      <c r="J283" s="413">
        <v>105.5</v>
      </c>
      <c r="K283" s="416" t="s">
        <v>1294</v>
      </c>
      <c r="L283" s="416">
        <v>38.31</v>
      </c>
      <c r="M283" s="416">
        <v>39</v>
      </c>
      <c r="N283" s="416">
        <v>52.42</v>
      </c>
      <c r="O283" s="416"/>
      <c r="P283" s="416"/>
      <c r="Q283" s="416"/>
      <c r="R283" s="416" t="s">
        <v>1293</v>
      </c>
      <c r="S283" s="416">
        <v>54.4</v>
      </c>
      <c r="T283" s="102" t="s">
        <v>23</v>
      </c>
      <c r="U283" s="416" t="s">
        <v>928</v>
      </c>
      <c r="V283" s="517" t="s">
        <v>1290</v>
      </c>
      <c r="CM283" s="342"/>
      <c r="CN283" s="342"/>
      <c r="CO283" s="342"/>
      <c r="CP283" s="342"/>
      <c r="CQ283" s="342"/>
      <c r="CR283" s="342"/>
      <c r="CS283" s="342"/>
      <c r="CT283" s="342"/>
      <c r="CU283" s="342"/>
      <c r="CV283" s="342"/>
      <c r="CW283" s="342"/>
      <c r="CX283" s="342"/>
      <c r="CY283" s="342"/>
    </row>
    <row r="284" spans="2:103" s="343" customFormat="1" ht="18.75" x14ac:dyDescent="0.25">
      <c r="B284" s="489">
        <v>44472</v>
      </c>
      <c r="C284" s="103">
        <v>0.91666666666666663</v>
      </c>
      <c r="D284" s="410">
        <v>46</v>
      </c>
      <c r="E284" s="415">
        <v>9.1</v>
      </c>
      <c r="F284" s="415">
        <v>11.7</v>
      </c>
      <c r="G284" s="413">
        <v>1359</v>
      </c>
      <c r="H284" s="413">
        <v>2172</v>
      </c>
      <c r="I284" s="413">
        <v>103.8</v>
      </c>
      <c r="J284" s="413">
        <v>106.1</v>
      </c>
      <c r="K284" s="416" t="s">
        <v>1302</v>
      </c>
      <c r="L284" s="416">
        <v>40</v>
      </c>
      <c r="M284" s="416">
        <v>39</v>
      </c>
      <c r="N284" s="416">
        <v>50.47</v>
      </c>
      <c r="O284" s="416"/>
      <c r="P284" s="416"/>
      <c r="Q284" s="416"/>
      <c r="R284" s="416" t="s">
        <v>1301</v>
      </c>
      <c r="S284" s="416">
        <v>53.5</v>
      </c>
      <c r="T284" s="102" t="s">
        <v>23</v>
      </c>
      <c r="U284" s="416" t="s">
        <v>928</v>
      </c>
      <c r="V284" s="517" t="s">
        <v>1290</v>
      </c>
      <c r="CM284" s="342"/>
      <c r="CN284" s="342"/>
      <c r="CO284" s="342"/>
      <c r="CP284" s="342"/>
      <c r="CQ284" s="342"/>
      <c r="CR284" s="342"/>
      <c r="CS284" s="342"/>
      <c r="CT284" s="342"/>
      <c r="CU284" s="342"/>
      <c r="CV284" s="342"/>
      <c r="CW284" s="342"/>
      <c r="CX284" s="342"/>
      <c r="CY284" s="342"/>
    </row>
    <row r="285" spans="2:103" s="343" customFormat="1" ht="18.75" x14ac:dyDescent="0.25">
      <c r="B285" s="489">
        <v>44473</v>
      </c>
      <c r="C285" s="103">
        <v>0.9375</v>
      </c>
      <c r="D285" s="410">
        <v>46</v>
      </c>
      <c r="E285" s="415">
        <v>9.5</v>
      </c>
      <c r="F285" s="415">
        <v>12.1</v>
      </c>
      <c r="G285" s="413">
        <v>1361</v>
      </c>
      <c r="H285" s="413">
        <v>2138</v>
      </c>
      <c r="I285" s="413">
        <v>104.4</v>
      </c>
      <c r="J285" s="413">
        <v>105.5</v>
      </c>
      <c r="K285" s="416" t="s">
        <v>1309</v>
      </c>
      <c r="L285" s="416">
        <v>37.79</v>
      </c>
      <c r="M285" s="416">
        <v>39</v>
      </c>
      <c r="N285" s="416">
        <v>52.99</v>
      </c>
      <c r="O285" s="416"/>
      <c r="P285" s="416"/>
      <c r="Q285" s="416"/>
      <c r="R285" s="416" t="s">
        <v>1308</v>
      </c>
      <c r="S285" s="416">
        <v>55.3</v>
      </c>
      <c r="T285" s="102" t="s">
        <v>23</v>
      </c>
      <c r="U285" s="416" t="s">
        <v>928</v>
      </c>
      <c r="V285" s="517" t="s">
        <v>1290</v>
      </c>
      <c r="CM285" s="342"/>
      <c r="CN285" s="342"/>
      <c r="CO285" s="342"/>
      <c r="CP285" s="342"/>
      <c r="CQ285" s="342"/>
      <c r="CR285" s="342"/>
      <c r="CS285" s="342"/>
      <c r="CT285" s="342"/>
      <c r="CU285" s="342"/>
      <c r="CV285" s="342"/>
      <c r="CW285" s="342"/>
      <c r="CX285" s="342"/>
      <c r="CY285" s="342"/>
    </row>
    <row r="286" spans="2:103" s="343" customFormat="1" ht="18.75" x14ac:dyDescent="0.25">
      <c r="B286" s="489">
        <v>44474</v>
      </c>
      <c r="C286" s="103">
        <v>0.9375</v>
      </c>
      <c r="D286" s="410">
        <v>46</v>
      </c>
      <c r="E286" s="415">
        <v>9.5</v>
      </c>
      <c r="F286" s="415">
        <v>12</v>
      </c>
      <c r="G286" s="413">
        <v>1363</v>
      </c>
      <c r="H286" s="413">
        <v>2151</v>
      </c>
      <c r="I286" s="413">
        <v>104.4</v>
      </c>
      <c r="J286" s="413">
        <v>105.5</v>
      </c>
      <c r="K286" s="416" t="s">
        <v>1314</v>
      </c>
      <c r="L286" s="416">
        <v>38.47</v>
      </c>
      <c r="M286" s="416">
        <v>39</v>
      </c>
      <c r="N286" s="416">
        <v>53.23</v>
      </c>
      <c r="O286" s="416"/>
      <c r="P286" s="416"/>
      <c r="Q286" s="416"/>
      <c r="R286" s="416" t="s">
        <v>1313</v>
      </c>
      <c r="S286" s="416">
        <v>54.9</v>
      </c>
      <c r="T286" s="102" t="s">
        <v>23</v>
      </c>
      <c r="U286" s="416" t="s">
        <v>928</v>
      </c>
      <c r="V286" s="517" t="s">
        <v>1290</v>
      </c>
      <c r="CM286" s="342"/>
      <c r="CN286" s="342"/>
      <c r="CO286" s="342"/>
      <c r="CP286" s="342"/>
      <c r="CQ286" s="342"/>
      <c r="CR286" s="342"/>
      <c r="CS286" s="342"/>
      <c r="CT286" s="342"/>
      <c r="CU286" s="342"/>
      <c r="CV286" s="342"/>
      <c r="CW286" s="342"/>
      <c r="CX286" s="342"/>
      <c r="CY286" s="342"/>
    </row>
    <row r="287" spans="2:103" s="343" customFormat="1" ht="37.5" x14ac:dyDescent="0.25">
      <c r="B287" s="489">
        <v>44475</v>
      </c>
      <c r="C287" s="103">
        <v>0.9375</v>
      </c>
      <c r="D287" s="410">
        <v>46</v>
      </c>
      <c r="E287" s="415">
        <v>10</v>
      </c>
      <c r="F287" s="415">
        <v>12.5</v>
      </c>
      <c r="G287" s="413">
        <v>1369</v>
      </c>
      <c r="H287" s="413">
        <v>2118</v>
      </c>
      <c r="I287" s="413">
        <v>105</v>
      </c>
      <c r="J287" s="413">
        <v>105.5</v>
      </c>
      <c r="K287" s="416" t="s">
        <v>1320</v>
      </c>
      <c r="L287" s="416">
        <v>38.799999999999997</v>
      </c>
      <c r="M287" s="416">
        <v>39</v>
      </c>
      <c r="N287" s="416">
        <v>54.41</v>
      </c>
      <c r="O287" s="416"/>
      <c r="P287" s="416"/>
      <c r="Q287" s="416"/>
      <c r="R287" s="416" t="s">
        <v>1319</v>
      </c>
      <c r="S287" s="416">
        <v>57.2</v>
      </c>
      <c r="T287" s="102" t="s">
        <v>23</v>
      </c>
      <c r="U287" s="416" t="s">
        <v>928</v>
      </c>
      <c r="V287" s="517" t="s">
        <v>1321</v>
      </c>
      <c r="CM287" s="342"/>
      <c r="CN287" s="342"/>
      <c r="CO287" s="342"/>
      <c r="CP287" s="342"/>
      <c r="CQ287" s="342"/>
      <c r="CR287" s="342"/>
      <c r="CS287" s="342"/>
      <c r="CT287" s="342"/>
      <c r="CU287" s="342"/>
      <c r="CV287" s="342"/>
      <c r="CW287" s="342"/>
      <c r="CX287" s="342"/>
      <c r="CY287" s="342"/>
    </row>
    <row r="288" spans="2:103" s="343" customFormat="1" ht="18.75" x14ac:dyDescent="0.25">
      <c r="B288" s="489">
        <v>44476</v>
      </c>
      <c r="C288" s="103">
        <v>0.9375</v>
      </c>
      <c r="D288" s="410">
        <v>46</v>
      </c>
      <c r="E288" s="415">
        <v>10</v>
      </c>
      <c r="F288" s="415">
        <v>12.5</v>
      </c>
      <c r="G288" s="413">
        <v>1360</v>
      </c>
      <c r="H288" s="413">
        <v>2108</v>
      </c>
      <c r="I288" s="413">
        <v>104.4</v>
      </c>
      <c r="J288" s="413">
        <v>105.5</v>
      </c>
      <c r="K288" s="416" t="s">
        <v>1327</v>
      </c>
      <c r="L288" s="416">
        <v>39.06</v>
      </c>
      <c r="M288" s="416">
        <v>39</v>
      </c>
      <c r="N288" s="416">
        <v>55.1</v>
      </c>
      <c r="O288" s="416"/>
      <c r="P288" s="416"/>
      <c r="Q288" s="416"/>
      <c r="R288" s="416" t="s">
        <v>1326</v>
      </c>
      <c r="S288" s="416">
        <v>57.2</v>
      </c>
      <c r="T288" s="102" t="s">
        <v>23</v>
      </c>
      <c r="U288" s="416" t="s">
        <v>928</v>
      </c>
      <c r="V288" s="517" t="s">
        <v>1290</v>
      </c>
      <c r="CM288" s="342"/>
      <c r="CN288" s="342"/>
      <c r="CO288" s="342"/>
      <c r="CP288" s="342"/>
      <c r="CQ288" s="342"/>
      <c r="CR288" s="342"/>
      <c r="CS288" s="342"/>
      <c r="CT288" s="342"/>
      <c r="CU288" s="342"/>
      <c r="CV288" s="342"/>
      <c r="CW288" s="342"/>
      <c r="CX288" s="342"/>
      <c r="CY288" s="342"/>
    </row>
    <row r="289" spans="2:103" s="343" customFormat="1" ht="18.75" x14ac:dyDescent="0.25">
      <c r="B289" s="489">
        <v>44477</v>
      </c>
      <c r="C289" s="103">
        <v>0.9375</v>
      </c>
      <c r="D289" s="410">
        <v>46</v>
      </c>
      <c r="E289" s="415">
        <v>9.8000000000000007</v>
      </c>
      <c r="F289" s="415">
        <v>12.3</v>
      </c>
      <c r="G289" s="413">
        <v>1355</v>
      </c>
      <c r="H289" s="413">
        <v>2106</v>
      </c>
      <c r="I289" s="413">
        <v>104.4</v>
      </c>
      <c r="J289" s="413">
        <v>105.5</v>
      </c>
      <c r="K289" s="416" t="s">
        <v>1332</v>
      </c>
      <c r="L289" s="416">
        <v>37.94</v>
      </c>
      <c r="M289" s="416">
        <v>39</v>
      </c>
      <c r="N289" s="416">
        <v>55.71</v>
      </c>
      <c r="O289" s="416"/>
      <c r="P289" s="416"/>
      <c r="Q289" s="416"/>
      <c r="R289" s="416" t="s">
        <v>1331</v>
      </c>
      <c r="S289" s="416">
        <v>56.3</v>
      </c>
      <c r="T289" s="102" t="s">
        <v>23</v>
      </c>
      <c r="U289" s="416" t="s">
        <v>928</v>
      </c>
      <c r="V289" s="417"/>
      <c r="CM289" s="342"/>
      <c r="CN289" s="342"/>
      <c r="CO289" s="342"/>
      <c r="CP289" s="342"/>
      <c r="CQ289" s="342"/>
      <c r="CR289" s="342"/>
      <c r="CS289" s="342"/>
      <c r="CT289" s="342"/>
      <c r="CU289" s="342"/>
      <c r="CV289" s="342"/>
      <c r="CW289" s="342"/>
      <c r="CX289" s="342"/>
      <c r="CY289" s="342"/>
    </row>
    <row r="290" spans="2:103" s="343" customFormat="1" ht="35.25" customHeight="1" x14ac:dyDescent="0.25">
      <c r="B290" s="489">
        <v>44478</v>
      </c>
      <c r="C290" s="103">
        <v>0.9375</v>
      </c>
      <c r="D290" s="410">
        <v>46</v>
      </c>
      <c r="E290" s="415">
        <v>10.3</v>
      </c>
      <c r="F290" s="415">
        <v>12.8</v>
      </c>
      <c r="G290" s="413">
        <v>1337</v>
      </c>
      <c r="H290" s="413">
        <v>2035</v>
      </c>
      <c r="I290" s="413">
        <v>105.5</v>
      </c>
      <c r="J290" s="413">
        <v>106.1</v>
      </c>
      <c r="K290" s="416" t="s">
        <v>1339</v>
      </c>
      <c r="L290" s="416">
        <v>34.47</v>
      </c>
      <c r="M290" s="416">
        <v>39</v>
      </c>
      <c r="N290" s="416">
        <v>58.5</v>
      </c>
      <c r="O290" s="416"/>
      <c r="P290" s="416"/>
      <c r="Q290" s="416"/>
      <c r="R290" s="416" t="s">
        <v>1338</v>
      </c>
      <c r="S290" s="416">
        <v>58.5</v>
      </c>
      <c r="T290" s="102" t="s">
        <v>23</v>
      </c>
      <c r="U290" s="416" t="s">
        <v>928</v>
      </c>
      <c r="V290" s="500"/>
      <c r="CM290" s="342"/>
      <c r="CN290" s="342"/>
      <c r="CO290" s="342"/>
      <c r="CP290" s="342"/>
      <c r="CQ290" s="342"/>
      <c r="CR290" s="342"/>
      <c r="CS290" s="342"/>
      <c r="CT290" s="342"/>
      <c r="CU290" s="342"/>
      <c r="CV290" s="342"/>
      <c r="CW290" s="342"/>
      <c r="CX290" s="342"/>
      <c r="CY290" s="342"/>
    </row>
    <row r="291" spans="2:103" s="343" customFormat="1" ht="54.75" customHeight="1" x14ac:dyDescent="0.25">
      <c r="B291" s="489">
        <v>44479</v>
      </c>
      <c r="C291" s="103">
        <v>0.9375</v>
      </c>
      <c r="D291" s="410">
        <v>46</v>
      </c>
      <c r="E291" s="415">
        <v>10.3</v>
      </c>
      <c r="F291" s="415">
        <v>12.8</v>
      </c>
      <c r="G291" s="413">
        <v>1337</v>
      </c>
      <c r="H291" s="413">
        <v>2035</v>
      </c>
      <c r="I291" s="413">
        <v>105.5</v>
      </c>
      <c r="J291" s="413">
        <v>106.1</v>
      </c>
      <c r="K291" s="416" t="s">
        <v>1339</v>
      </c>
      <c r="L291" s="416">
        <v>34.47</v>
      </c>
      <c r="M291" s="416">
        <v>39</v>
      </c>
      <c r="N291" s="416">
        <v>58.5</v>
      </c>
      <c r="O291" s="416"/>
      <c r="P291" s="416"/>
      <c r="Q291" s="416"/>
      <c r="R291" s="416" t="s">
        <v>1338</v>
      </c>
      <c r="S291" s="416">
        <v>58.5</v>
      </c>
      <c r="T291" s="102" t="s">
        <v>23</v>
      </c>
      <c r="U291" s="416" t="s">
        <v>928</v>
      </c>
      <c r="V291" s="501"/>
      <c r="CM291" s="342"/>
      <c r="CN291" s="342"/>
      <c r="CO291" s="342"/>
      <c r="CP291" s="342"/>
      <c r="CQ291" s="342"/>
      <c r="CR291" s="342"/>
      <c r="CS291" s="342"/>
      <c r="CT291" s="342"/>
      <c r="CU291" s="342"/>
      <c r="CV291" s="342"/>
      <c r="CW291" s="342"/>
      <c r="CX291" s="342"/>
      <c r="CY291" s="342"/>
    </row>
    <row r="292" spans="2:103" s="343" customFormat="1" ht="54.75" customHeight="1" x14ac:dyDescent="0.25">
      <c r="B292" s="489">
        <v>44480</v>
      </c>
      <c r="C292" s="103">
        <v>0.97916666666666663</v>
      </c>
      <c r="D292" s="410">
        <v>46</v>
      </c>
      <c r="E292" s="415">
        <v>10.6</v>
      </c>
      <c r="F292" s="415">
        <v>13</v>
      </c>
      <c r="G292" s="413">
        <v>1315</v>
      </c>
      <c r="H292" s="413">
        <v>1979</v>
      </c>
      <c r="I292" s="413">
        <v>105.5</v>
      </c>
      <c r="J292" s="413">
        <v>106.1</v>
      </c>
      <c r="K292" s="416" t="s">
        <v>1343</v>
      </c>
      <c r="L292" s="416">
        <v>34.47</v>
      </c>
      <c r="M292" s="416">
        <v>39</v>
      </c>
      <c r="N292" s="416">
        <v>58.5</v>
      </c>
      <c r="O292" s="416"/>
      <c r="P292" s="416"/>
      <c r="Q292" s="416"/>
      <c r="R292" s="416" t="s">
        <v>1342</v>
      </c>
      <c r="S292" s="416">
        <v>59.5</v>
      </c>
      <c r="T292" s="102" t="s">
        <v>23</v>
      </c>
      <c r="U292" s="416" t="s">
        <v>928</v>
      </c>
      <c r="V292" s="501"/>
      <c r="CM292" s="342"/>
      <c r="CN292" s="342"/>
      <c r="CO292" s="342"/>
      <c r="CP292" s="342"/>
      <c r="CQ292" s="342"/>
      <c r="CR292" s="342"/>
      <c r="CS292" s="342"/>
      <c r="CT292" s="342"/>
      <c r="CU292" s="342"/>
      <c r="CV292" s="342"/>
      <c r="CW292" s="342"/>
      <c r="CX292" s="342"/>
      <c r="CY292" s="342"/>
    </row>
    <row r="293" spans="2:103" s="343" customFormat="1" ht="54.75" customHeight="1" x14ac:dyDescent="0.25">
      <c r="B293" s="489">
        <v>44481</v>
      </c>
      <c r="C293" s="103">
        <v>0.9375</v>
      </c>
      <c r="D293" s="410">
        <v>46</v>
      </c>
      <c r="E293" s="415">
        <v>10.3</v>
      </c>
      <c r="F293" s="415">
        <v>12.7</v>
      </c>
      <c r="G293" s="413">
        <v>1304</v>
      </c>
      <c r="H293" s="413">
        <v>2003</v>
      </c>
      <c r="I293" s="413">
        <v>105</v>
      </c>
      <c r="J293" s="413">
        <v>106.1</v>
      </c>
      <c r="K293" s="416" t="s">
        <v>1348</v>
      </c>
      <c r="L293" s="416">
        <v>34.22</v>
      </c>
      <c r="M293" s="416">
        <v>39</v>
      </c>
      <c r="N293" s="416">
        <v>58.43</v>
      </c>
      <c r="O293" s="416"/>
      <c r="P293" s="416"/>
      <c r="Q293" s="416"/>
      <c r="R293" s="416" t="s">
        <v>1347</v>
      </c>
      <c r="S293" s="416">
        <v>58.1</v>
      </c>
      <c r="T293" s="102" t="s">
        <v>23</v>
      </c>
      <c r="U293" s="416" t="s">
        <v>928</v>
      </c>
      <c r="V293" s="501"/>
      <c r="CM293" s="342"/>
      <c r="CN293" s="342"/>
      <c r="CO293" s="342"/>
      <c r="CP293" s="342"/>
      <c r="CQ293" s="342"/>
      <c r="CR293" s="342"/>
      <c r="CS293" s="342"/>
      <c r="CT293" s="342"/>
      <c r="CU293" s="342"/>
      <c r="CV293" s="342"/>
      <c r="CW293" s="342"/>
      <c r="CX293" s="342"/>
      <c r="CY293" s="342"/>
    </row>
    <row r="294" spans="2:103" s="343" customFormat="1" ht="54.75" customHeight="1" x14ac:dyDescent="0.25">
      <c r="B294" s="489">
        <v>44482</v>
      </c>
      <c r="C294" s="103">
        <v>0.89583333333333337</v>
      </c>
      <c r="D294" s="410">
        <v>46</v>
      </c>
      <c r="E294" s="415">
        <v>10.6</v>
      </c>
      <c r="F294" s="415">
        <v>12.9</v>
      </c>
      <c r="G294" s="413">
        <v>1296</v>
      </c>
      <c r="H294" s="413">
        <v>1967</v>
      </c>
      <c r="I294" s="413">
        <v>105.5</v>
      </c>
      <c r="J294" s="413">
        <v>106.1</v>
      </c>
      <c r="K294" s="416" t="s">
        <v>1354</v>
      </c>
      <c r="L294" s="416">
        <v>30.63</v>
      </c>
      <c r="M294" s="416">
        <v>39</v>
      </c>
      <c r="N294" s="416">
        <v>59.88</v>
      </c>
      <c r="O294" s="416"/>
      <c r="P294" s="416"/>
      <c r="Q294" s="416"/>
      <c r="R294" s="416" t="s">
        <v>1355</v>
      </c>
      <c r="S294" s="416">
        <v>59</v>
      </c>
      <c r="T294" s="102" t="s">
        <v>23</v>
      </c>
      <c r="U294" s="416" t="s">
        <v>928</v>
      </c>
      <c r="V294" s="441" t="s">
        <v>1356</v>
      </c>
      <c r="CM294" s="342"/>
      <c r="CN294" s="342"/>
      <c r="CO294" s="342"/>
      <c r="CP294" s="342"/>
      <c r="CQ294" s="342"/>
      <c r="CR294" s="342"/>
      <c r="CS294" s="342"/>
      <c r="CT294" s="342"/>
      <c r="CU294" s="342"/>
      <c r="CV294" s="342"/>
      <c r="CW294" s="342"/>
      <c r="CX294" s="342"/>
      <c r="CY294" s="342"/>
    </row>
    <row r="295" spans="2:103" s="343" customFormat="1" ht="54.75" customHeight="1" x14ac:dyDescent="0.25">
      <c r="B295" s="489">
        <v>44483</v>
      </c>
      <c r="C295" s="103">
        <v>0.9375</v>
      </c>
      <c r="D295" s="410">
        <v>46</v>
      </c>
      <c r="E295" s="415">
        <v>10.7</v>
      </c>
      <c r="F295" s="415">
        <v>13</v>
      </c>
      <c r="G295" s="413">
        <v>1278</v>
      </c>
      <c r="H295" s="413">
        <v>1935</v>
      </c>
      <c r="I295" s="413">
        <v>105.5</v>
      </c>
      <c r="J295" s="413">
        <v>106.1</v>
      </c>
      <c r="K295" s="416" t="s">
        <v>1362</v>
      </c>
      <c r="L295" s="416">
        <v>29.24</v>
      </c>
      <c r="M295" s="416">
        <v>39</v>
      </c>
      <c r="N295" s="416">
        <v>60.68</v>
      </c>
      <c r="O295" s="416"/>
      <c r="P295" s="416"/>
      <c r="Q295" s="416"/>
      <c r="R295" s="416" t="s">
        <v>1363</v>
      </c>
      <c r="S295" s="416">
        <v>59.5</v>
      </c>
      <c r="T295" s="102" t="s">
        <v>23</v>
      </c>
      <c r="U295" s="416" t="s">
        <v>928</v>
      </c>
      <c r="V295" s="500"/>
      <c r="CM295" s="342"/>
      <c r="CN295" s="342"/>
      <c r="CO295" s="342"/>
      <c r="CP295" s="342"/>
      <c r="CQ295" s="342"/>
      <c r="CR295" s="342"/>
      <c r="CS295" s="342"/>
      <c r="CT295" s="342"/>
      <c r="CU295" s="342"/>
      <c r="CV295" s="342"/>
      <c r="CW295" s="342"/>
      <c r="CX295" s="342"/>
      <c r="CY295" s="342"/>
    </row>
    <row r="296" spans="2:103" s="343" customFormat="1" ht="54.75" customHeight="1" x14ac:dyDescent="0.25">
      <c r="B296" s="489">
        <v>44484</v>
      </c>
      <c r="C296" s="103">
        <v>0.9375</v>
      </c>
      <c r="D296" s="410">
        <v>46</v>
      </c>
      <c r="E296" s="415">
        <v>10.199999999999999</v>
      </c>
      <c r="F296" s="415">
        <v>12.6</v>
      </c>
      <c r="G296" s="413">
        <v>1270</v>
      </c>
      <c r="H296" s="413">
        <v>1977</v>
      </c>
      <c r="I296" s="413">
        <v>105</v>
      </c>
      <c r="J296" s="413">
        <v>106.1</v>
      </c>
      <c r="K296" s="416" t="s">
        <v>1371</v>
      </c>
      <c r="L296" s="416">
        <v>31.02</v>
      </c>
      <c r="M296" s="416">
        <v>39</v>
      </c>
      <c r="N296" s="416">
        <v>59.27</v>
      </c>
      <c r="O296" s="416"/>
      <c r="P296" s="416"/>
      <c r="Q296" s="416"/>
      <c r="R296" s="416" t="s">
        <v>976</v>
      </c>
      <c r="S296" s="416">
        <v>57.6</v>
      </c>
      <c r="T296" s="102" t="s">
        <v>23</v>
      </c>
      <c r="U296" s="416" t="s">
        <v>928</v>
      </c>
      <c r="V296" s="500"/>
      <c r="CM296" s="342"/>
      <c r="CN296" s="342"/>
      <c r="CO296" s="342"/>
      <c r="CP296" s="342"/>
      <c r="CQ296" s="342"/>
      <c r="CR296" s="342"/>
      <c r="CS296" s="342"/>
      <c r="CT296" s="342"/>
      <c r="CU296" s="342"/>
      <c r="CV296" s="342"/>
      <c r="CW296" s="342"/>
      <c r="CX296" s="342"/>
      <c r="CY296" s="342"/>
    </row>
    <row r="297" spans="2:103" s="343" customFormat="1" ht="54.75" customHeight="1" x14ac:dyDescent="0.25">
      <c r="B297" s="489">
        <v>44485</v>
      </c>
      <c r="C297" s="103">
        <v>0.9375</v>
      </c>
      <c r="D297" s="410">
        <v>46</v>
      </c>
      <c r="E297" s="415">
        <v>10</v>
      </c>
      <c r="F297" s="415">
        <v>12.5</v>
      </c>
      <c r="G297" s="413">
        <v>1276</v>
      </c>
      <c r="H297" s="413">
        <v>2018</v>
      </c>
      <c r="I297" s="413">
        <v>104.4</v>
      </c>
      <c r="J297" s="413">
        <v>105.5</v>
      </c>
      <c r="K297" s="416" t="s">
        <v>1377</v>
      </c>
      <c r="L297" s="416">
        <v>33.5</v>
      </c>
      <c r="M297" s="416">
        <v>39</v>
      </c>
      <c r="N297" s="416">
        <v>57.89</v>
      </c>
      <c r="O297" s="416"/>
      <c r="P297" s="416"/>
      <c r="Q297" s="416"/>
      <c r="R297" s="416" t="s">
        <v>1376</v>
      </c>
      <c r="S297" s="416">
        <v>57.2</v>
      </c>
      <c r="T297" s="102" t="s">
        <v>23</v>
      </c>
      <c r="U297" s="416" t="s">
        <v>928</v>
      </c>
      <c r="V297" s="500"/>
      <c r="CM297" s="342"/>
      <c r="CN297" s="342"/>
      <c r="CO297" s="342"/>
      <c r="CP297" s="342"/>
      <c r="CQ297" s="342"/>
      <c r="CR297" s="342"/>
      <c r="CS297" s="342"/>
      <c r="CT297" s="342"/>
      <c r="CU297" s="342"/>
      <c r="CV297" s="342"/>
      <c r="CW297" s="342"/>
      <c r="CX297" s="342"/>
      <c r="CY297" s="342"/>
    </row>
    <row r="298" spans="2:103" s="343" customFormat="1" ht="54.75" customHeight="1" x14ac:dyDescent="0.25">
      <c r="B298" s="489">
        <v>44486</v>
      </c>
      <c r="C298" s="103">
        <v>0.97916666666666663</v>
      </c>
      <c r="D298" s="410">
        <v>46</v>
      </c>
      <c r="E298" s="415">
        <v>10.3</v>
      </c>
      <c r="F298" s="415">
        <v>12.7</v>
      </c>
      <c r="G298" s="413">
        <v>1277</v>
      </c>
      <c r="H298" s="413">
        <v>2005</v>
      </c>
      <c r="I298" s="413">
        <v>105.5</v>
      </c>
      <c r="J298" s="413">
        <v>106.1</v>
      </c>
      <c r="K298" s="416" t="s">
        <v>1381</v>
      </c>
      <c r="L298" s="416">
        <v>33.68</v>
      </c>
      <c r="M298" s="416">
        <v>39</v>
      </c>
      <c r="N298" s="416">
        <v>57.81</v>
      </c>
      <c r="O298" s="416"/>
      <c r="P298" s="416"/>
      <c r="Q298" s="416"/>
      <c r="R298" s="416" t="s">
        <v>1347</v>
      </c>
      <c r="S298" s="416">
        <v>58.1</v>
      </c>
      <c r="T298" s="102" t="s">
        <v>23</v>
      </c>
      <c r="U298" s="416" t="s">
        <v>928</v>
      </c>
      <c r="V298" s="500"/>
      <c r="CM298" s="342"/>
      <c r="CN298" s="342"/>
      <c r="CO298" s="342"/>
      <c r="CP298" s="342"/>
      <c r="CQ298" s="342"/>
      <c r="CR298" s="342"/>
      <c r="CS298" s="342"/>
      <c r="CT298" s="342"/>
      <c r="CU298" s="342"/>
      <c r="CV298" s="342"/>
      <c r="CW298" s="342"/>
      <c r="CX298" s="342"/>
      <c r="CY298" s="342"/>
    </row>
    <row r="299" spans="2:103" s="343" customFormat="1" ht="54.75" customHeight="1" x14ac:dyDescent="0.25">
      <c r="B299" s="489">
        <v>44487</v>
      </c>
      <c r="C299" s="103">
        <v>0.91666666666666663</v>
      </c>
      <c r="D299" s="410">
        <v>46</v>
      </c>
      <c r="E299" s="415">
        <v>10.1</v>
      </c>
      <c r="F299" s="415">
        <v>12.6</v>
      </c>
      <c r="G299" s="413">
        <v>1279</v>
      </c>
      <c r="H299" s="413">
        <v>2034</v>
      </c>
      <c r="I299" s="413">
        <v>104.4</v>
      </c>
      <c r="J299" s="413">
        <v>105.5</v>
      </c>
      <c r="K299" s="416" t="s">
        <v>1387</v>
      </c>
      <c r="L299" s="416">
        <v>34.659999999999997</v>
      </c>
      <c r="M299" s="416">
        <v>39</v>
      </c>
      <c r="N299" s="416">
        <v>56.5</v>
      </c>
      <c r="O299" s="416"/>
      <c r="P299" s="416"/>
      <c r="Q299" s="416"/>
      <c r="R299" s="416" t="s">
        <v>1386</v>
      </c>
      <c r="S299" s="416">
        <v>57.6</v>
      </c>
      <c r="T299" s="102" t="s">
        <v>23</v>
      </c>
      <c r="U299" s="416" t="s">
        <v>928</v>
      </c>
      <c r="V299" s="533" t="s">
        <v>1166</v>
      </c>
    </row>
    <row r="300" spans="2:103" s="343" customFormat="1" ht="54.75" customHeight="1" x14ac:dyDescent="0.25">
      <c r="B300" s="489">
        <v>44488</v>
      </c>
      <c r="C300" s="103">
        <v>0.95833333333333337</v>
      </c>
      <c r="D300" s="410">
        <v>46</v>
      </c>
      <c r="E300" s="415">
        <v>9.6999999999999993</v>
      </c>
      <c r="F300" s="415">
        <v>12.2</v>
      </c>
      <c r="G300" s="413">
        <v>1290</v>
      </c>
      <c r="H300" s="413">
        <v>2046</v>
      </c>
      <c r="I300" s="413">
        <v>104.4</v>
      </c>
      <c r="J300" s="413">
        <v>105.5</v>
      </c>
      <c r="K300" s="416" t="s">
        <v>1392</v>
      </c>
      <c r="L300" s="416">
        <v>34.4</v>
      </c>
      <c r="M300" s="416">
        <v>39</v>
      </c>
      <c r="N300" s="416">
        <v>56.17</v>
      </c>
      <c r="O300" s="416"/>
      <c r="P300" s="416"/>
      <c r="Q300" s="416"/>
      <c r="R300" s="416" t="s">
        <v>1391</v>
      </c>
      <c r="S300" s="416">
        <v>55.8</v>
      </c>
      <c r="T300" s="102" t="s">
        <v>23</v>
      </c>
      <c r="U300" s="416" t="s">
        <v>928</v>
      </c>
      <c r="V300" s="533" t="s">
        <v>1166</v>
      </c>
    </row>
    <row r="301" spans="2:103" s="343" customFormat="1" ht="54.75" customHeight="1" x14ac:dyDescent="0.25">
      <c r="B301" s="489">
        <v>44489</v>
      </c>
      <c r="C301" s="103">
        <v>0.97916666666666663</v>
      </c>
      <c r="D301" s="410">
        <v>46</v>
      </c>
      <c r="E301" s="415">
        <v>9.9</v>
      </c>
      <c r="F301" s="415">
        <v>12.4</v>
      </c>
      <c r="G301" s="413">
        <v>1287</v>
      </c>
      <c r="H301" s="413">
        <v>2030</v>
      </c>
      <c r="I301" s="413">
        <v>104.4</v>
      </c>
      <c r="J301" s="413">
        <v>105.5</v>
      </c>
      <c r="K301" s="416" t="s">
        <v>1397</v>
      </c>
      <c r="L301" s="416">
        <v>33.770000000000003</v>
      </c>
      <c r="M301" s="416">
        <v>39</v>
      </c>
      <c r="N301" s="416">
        <v>56.71</v>
      </c>
      <c r="O301" s="416"/>
      <c r="P301" s="416"/>
      <c r="Q301" s="416"/>
      <c r="R301" s="416" t="s">
        <v>1396</v>
      </c>
      <c r="S301" s="416">
        <v>56.7</v>
      </c>
      <c r="T301" s="102" t="s">
        <v>23</v>
      </c>
      <c r="U301" s="416" t="s">
        <v>928</v>
      </c>
      <c r="V301" s="533" t="s">
        <v>1166</v>
      </c>
    </row>
    <row r="302" spans="2:103" s="343" customFormat="1" ht="54.75" customHeight="1" x14ac:dyDescent="0.25">
      <c r="B302" s="489">
        <v>44490</v>
      </c>
      <c r="C302" s="103">
        <v>0.95833333333333337</v>
      </c>
      <c r="D302" s="410">
        <v>46</v>
      </c>
      <c r="E302" s="415">
        <v>10</v>
      </c>
      <c r="F302" s="415">
        <v>12.5</v>
      </c>
      <c r="G302" s="413">
        <v>1287</v>
      </c>
      <c r="H302" s="413">
        <v>2035</v>
      </c>
      <c r="I302" s="413">
        <v>104.4</v>
      </c>
      <c r="J302" s="413">
        <v>105.5</v>
      </c>
      <c r="K302" s="416" t="s">
        <v>1403</v>
      </c>
      <c r="L302" s="416">
        <v>34.700000000000003</v>
      </c>
      <c r="M302" s="416">
        <v>39</v>
      </c>
      <c r="N302" s="416">
        <v>56.46</v>
      </c>
      <c r="O302" s="416"/>
      <c r="P302" s="416"/>
      <c r="Q302" s="416"/>
      <c r="R302" s="416" t="s">
        <v>1151</v>
      </c>
      <c r="S302" s="416">
        <v>57.2</v>
      </c>
      <c r="T302" s="102" t="s">
        <v>23</v>
      </c>
      <c r="U302" s="416" t="s">
        <v>928</v>
      </c>
      <c r="V302" s="533" t="s">
        <v>1166</v>
      </c>
    </row>
    <row r="303" spans="2:103" s="343" customFormat="1" ht="54.75" customHeight="1" x14ac:dyDescent="0.25">
      <c r="B303" s="489">
        <v>44491</v>
      </c>
      <c r="C303" s="103">
        <v>0.9375</v>
      </c>
      <c r="D303" s="410">
        <v>46</v>
      </c>
      <c r="E303" s="415">
        <v>9.6999999999999993</v>
      </c>
      <c r="F303" s="415">
        <v>12.2</v>
      </c>
      <c r="G303" s="413">
        <v>1296</v>
      </c>
      <c r="H303" s="413">
        <v>2061</v>
      </c>
      <c r="I303" s="413">
        <v>104.4</v>
      </c>
      <c r="J303" s="413">
        <v>105.5</v>
      </c>
      <c r="K303" s="416" t="s">
        <v>1408</v>
      </c>
      <c r="L303" s="416">
        <v>34.979999999999997</v>
      </c>
      <c r="M303" s="416">
        <v>39</v>
      </c>
      <c r="N303" s="416">
        <v>55.44</v>
      </c>
      <c r="O303" s="416"/>
      <c r="P303" s="416"/>
      <c r="Q303" s="416"/>
      <c r="R303" s="416" t="s">
        <v>1407</v>
      </c>
      <c r="S303" s="416">
        <v>55.8</v>
      </c>
      <c r="T303" s="102" t="s">
        <v>23</v>
      </c>
      <c r="U303" s="416" t="s">
        <v>928</v>
      </c>
      <c r="V303" s="31"/>
    </row>
    <row r="304" spans="2:103" s="343" customFormat="1" ht="54.75" customHeight="1" x14ac:dyDescent="0.25">
      <c r="B304" s="489">
        <v>44492</v>
      </c>
      <c r="C304" s="103">
        <v>0.9375</v>
      </c>
      <c r="D304" s="410">
        <v>46</v>
      </c>
      <c r="E304" s="415">
        <v>10.3</v>
      </c>
      <c r="F304" s="415">
        <v>12.7</v>
      </c>
      <c r="G304" s="413">
        <v>1287</v>
      </c>
      <c r="H304" s="413">
        <v>2003</v>
      </c>
      <c r="I304" s="413">
        <v>105</v>
      </c>
      <c r="J304" s="413">
        <v>106.1</v>
      </c>
      <c r="K304" s="416" t="s">
        <v>1414</v>
      </c>
      <c r="L304" s="416">
        <v>31.99</v>
      </c>
      <c r="M304" s="416">
        <v>39</v>
      </c>
      <c r="N304" s="416">
        <v>57.7</v>
      </c>
      <c r="O304" s="416"/>
      <c r="P304" s="416"/>
      <c r="Q304" s="416"/>
      <c r="R304" s="416" t="s">
        <v>945</v>
      </c>
      <c r="S304" s="416">
        <v>58.1</v>
      </c>
      <c r="T304" s="102" t="s">
        <v>23</v>
      </c>
      <c r="U304" s="416" t="s">
        <v>928</v>
      </c>
      <c r="V304" s="31"/>
    </row>
    <row r="305" spans="2:22" s="343" customFormat="1" ht="54.75" customHeight="1" x14ac:dyDescent="0.25">
      <c r="B305" s="489">
        <v>44493</v>
      </c>
      <c r="C305" s="103">
        <v>0.97916666666666663</v>
      </c>
      <c r="D305" s="410">
        <v>46</v>
      </c>
      <c r="E305" s="415">
        <v>10.6</v>
      </c>
      <c r="F305" s="415">
        <v>13</v>
      </c>
      <c r="G305" s="413">
        <v>1269</v>
      </c>
      <c r="H305" s="413">
        <v>1948</v>
      </c>
      <c r="I305" s="413">
        <v>105.5</v>
      </c>
      <c r="J305" s="413">
        <v>106.1</v>
      </c>
      <c r="K305" s="416" t="s">
        <v>1421</v>
      </c>
      <c r="L305" s="416">
        <v>29.08</v>
      </c>
      <c r="M305" s="416">
        <v>39</v>
      </c>
      <c r="N305" s="416">
        <v>59.66</v>
      </c>
      <c r="O305" s="416"/>
      <c r="P305" s="416"/>
      <c r="Q305" s="416"/>
      <c r="R305" s="416" t="s">
        <v>1420</v>
      </c>
      <c r="S305" s="416">
        <v>59.5</v>
      </c>
      <c r="T305" s="102" t="s">
        <v>23</v>
      </c>
      <c r="U305" s="416" t="s">
        <v>928</v>
      </c>
      <c r="V305" s="31"/>
    </row>
    <row r="306" spans="2:22" s="343" customFormat="1" ht="54.75" customHeight="1" x14ac:dyDescent="0.25">
      <c r="B306" s="489">
        <v>44494</v>
      </c>
      <c r="C306" s="103">
        <v>0.9375</v>
      </c>
      <c r="D306" s="410">
        <v>46</v>
      </c>
      <c r="E306" s="415">
        <v>10.3</v>
      </c>
      <c r="F306" s="415">
        <v>12.8</v>
      </c>
      <c r="G306" s="413">
        <v>1257</v>
      </c>
      <c r="H306" s="413">
        <v>1960</v>
      </c>
      <c r="I306" s="413">
        <v>104.4</v>
      </c>
      <c r="J306" s="413">
        <v>105.5</v>
      </c>
      <c r="K306" s="416" t="s">
        <v>1425</v>
      </c>
      <c r="L306" s="416">
        <v>29.08</v>
      </c>
      <c r="M306" s="416">
        <v>39</v>
      </c>
      <c r="N306" s="416">
        <v>59.66</v>
      </c>
      <c r="O306" s="416"/>
      <c r="P306" s="416"/>
      <c r="Q306" s="416"/>
      <c r="R306" s="416" t="s">
        <v>1420</v>
      </c>
      <c r="S306" s="416">
        <v>59.5</v>
      </c>
      <c r="T306" s="102" t="s">
        <v>23</v>
      </c>
      <c r="U306" s="416" t="s">
        <v>928</v>
      </c>
      <c r="V306" s="31"/>
    </row>
    <row r="307" spans="2:22" s="343" customFormat="1" ht="54.75" customHeight="1" x14ac:dyDescent="0.25">
      <c r="B307" s="540">
        <v>44495</v>
      </c>
      <c r="C307" s="103">
        <v>0.89583333333333337</v>
      </c>
      <c r="D307" s="410">
        <v>46</v>
      </c>
      <c r="E307" s="415">
        <v>10.4</v>
      </c>
      <c r="F307" s="415">
        <v>12.8</v>
      </c>
      <c r="G307" s="413">
        <v>1251</v>
      </c>
      <c r="H307" s="413">
        <v>1965</v>
      </c>
      <c r="I307" s="413">
        <v>105.5</v>
      </c>
      <c r="J307" s="413">
        <v>106.1</v>
      </c>
      <c r="K307" s="416" t="s">
        <v>1437</v>
      </c>
      <c r="L307" s="416">
        <v>30.8</v>
      </c>
      <c r="M307" s="416">
        <v>36</v>
      </c>
      <c r="N307" s="416">
        <v>59.23</v>
      </c>
      <c r="O307" s="416"/>
      <c r="P307" s="416"/>
      <c r="Q307" s="416"/>
      <c r="R307" s="416" t="s">
        <v>1438</v>
      </c>
      <c r="S307" s="416">
        <v>58.5</v>
      </c>
      <c r="T307" s="102" t="s">
        <v>23</v>
      </c>
      <c r="U307" s="416" t="s">
        <v>236</v>
      </c>
      <c r="V307" s="31"/>
    </row>
    <row r="308" spans="2:22" s="343" customFormat="1" ht="54.75" customHeight="1" x14ac:dyDescent="0.25">
      <c r="B308" s="542">
        <v>44496</v>
      </c>
      <c r="C308" s="103">
        <v>0.9375</v>
      </c>
      <c r="D308" s="410">
        <v>46</v>
      </c>
      <c r="E308" s="415">
        <v>9.5</v>
      </c>
      <c r="F308" s="415">
        <v>12.1</v>
      </c>
      <c r="G308" s="413">
        <v>1257.5</v>
      </c>
      <c r="H308" s="413">
        <v>2030</v>
      </c>
      <c r="I308" s="413">
        <v>104.4</v>
      </c>
      <c r="J308" s="413">
        <v>105.5</v>
      </c>
      <c r="K308" s="416" t="s">
        <v>1343</v>
      </c>
      <c r="L308" s="416">
        <v>34.840000000000003</v>
      </c>
      <c r="M308" s="416">
        <v>38</v>
      </c>
      <c r="N308" s="416">
        <v>55.94</v>
      </c>
      <c r="O308" s="416"/>
      <c r="P308" s="416"/>
      <c r="Q308" s="416"/>
      <c r="R308" s="416" t="s">
        <v>1451</v>
      </c>
      <c r="S308" s="416">
        <v>55.3</v>
      </c>
      <c r="T308" s="102" t="s">
        <v>23</v>
      </c>
      <c r="U308" s="416" t="s">
        <v>236</v>
      </c>
      <c r="V308" s="31"/>
    </row>
    <row r="309" spans="2:22" s="343" customFormat="1" ht="54.75" customHeight="1" x14ac:dyDescent="0.25">
      <c r="B309" s="544">
        <v>44497</v>
      </c>
      <c r="C309" s="103">
        <v>0.9375</v>
      </c>
      <c r="D309" s="410">
        <v>46</v>
      </c>
      <c r="E309" s="415">
        <v>9.9</v>
      </c>
      <c r="F309" s="415">
        <v>12.4</v>
      </c>
      <c r="G309" s="413">
        <v>1268</v>
      </c>
      <c r="H309" s="413">
        <v>2016</v>
      </c>
      <c r="I309" s="413">
        <v>104.4</v>
      </c>
      <c r="J309" s="413">
        <v>105.5</v>
      </c>
      <c r="K309" s="416" t="s">
        <v>1456</v>
      </c>
      <c r="L309" s="416">
        <v>33.72</v>
      </c>
      <c r="M309" s="416">
        <v>38</v>
      </c>
      <c r="N309" s="416">
        <v>56.71</v>
      </c>
      <c r="O309" s="416"/>
      <c r="P309" s="416"/>
      <c r="Q309" s="416"/>
      <c r="R309" s="416" t="s">
        <v>1451</v>
      </c>
      <c r="S309" s="416">
        <v>56.7</v>
      </c>
      <c r="T309" s="102" t="s">
        <v>23</v>
      </c>
      <c r="U309" s="416" t="s">
        <v>236</v>
      </c>
      <c r="V309" s="31"/>
    </row>
    <row r="310" spans="2:22" s="343" customFormat="1" ht="54.75" customHeight="1" x14ac:dyDescent="0.25">
      <c r="B310" s="546">
        <v>44498</v>
      </c>
      <c r="C310" s="103">
        <v>0.97916666666666663</v>
      </c>
      <c r="D310" s="410">
        <v>46</v>
      </c>
      <c r="E310" s="415">
        <v>9.5</v>
      </c>
      <c r="F310" s="415">
        <v>12</v>
      </c>
      <c r="G310" s="413">
        <v>1279</v>
      </c>
      <c r="H310" s="413">
        <v>2054</v>
      </c>
      <c r="I310" s="413">
        <v>104.4</v>
      </c>
      <c r="J310" s="413">
        <v>105.5</v>
      </c>
      <c r="K310" s="416" t="s">
        <v>1466</v>
      </c>
      <c r="L310" s="416">
        <v>34</v>
      </c>
      <c r="M310" s="416">
        <v>38</v>
      </c>
      <c r="N310" s="416">
        <v>55.83</v>
      </c>
      <c r="O310" s="416"/>
      <c r="P310" s="416"/>
      <c r="Q310" s="416"/>
      <c r="R310" s="416" t="s">
        <v>1451</v>
      </c>
      <c r="S310" s="416">
        <v>54.9</v>
      </c>
      <c r="T310" s="102" t="s">
        <v>23</v>
      </c>
      <c r="U310" s="416" t="s">
        <v>236</v>
      </c>
      <c r="V310" s="31"/>
    </row>
    <row r="311" spans="2:22" s="343" customFormat="1" ht="54.75" customHeight="1" x14ac:dyDescent="0.25">
      <c r="B311" s="548">
        <v>44499</v>
      </c>
      <c r="C311" s="103">
        <v>0.97916666666666663</v>
      </c>
      <c r="D311" s="410">
        <v>47</v>
      </c>
      <c r="E311" s="415">
        <v>11.1</v>
      </c>
      <c r="F311" s="415">
        <v>13.4</v>
      </c>
      <c r="G311" s="413">
        <v>1285</v>
      </c>
      <c r="H311" s="413">
        <v>2025</v>
      </c>
      <c r="I311" s="413">
        <v>105.5</v>
      </c>
      <c r="J311" s="413">
        <v>106.1</v>
      </c>
      <c r="K311" s="416" t="s">
        <v>1471</v>
      </c>
      <c r="L311" s="416">
        <v>33.78</v>
      </c>
      <c r="M311" s="416">
        <v>37</v>
      </c>
      <c r="N311" s="416">
        <v>57.84</v>
      </c>
      <c r="O311" s="416"/>
      <c r="P311" s="416"/>
      <c r="Q311" s="416"/>
      <c r="R311" s="416" t="s">
        <v>1472</v>
      </c>
      <c r="S311" s="416">
        <v>60.4</v>
      </c>
      <c r="T311" s="102" t="s">
        <v>23</v>
      </c>
      <c r="U311" s="416" t="s">
        <v>236</v>
      </c>
      <c r="V311" s="324" t="s">
        <v>1477</v>
      </c>
    </row>
    <row r="312" spans="2:22" s="343" customFormat="1" ht="54.75" customHeight="1" x14ac:dyDescent="0.25">
      <c r="B312" s="550">
        <v>44500</v>
      </c>
      <c r="C312" s="103">
        <v>0.97916666666666663</v>
      </c>
      <c r="D312" s="410">
        <v>47</v>
      </c>
      <c r="E312" s="415">
        <v>10.3</v>
      </c>
      <c r="F312" s="415">
        <v>12.8</v>
      </c>
      <c r="G312" s="413">
        <v>1279</v>
      </c>
      <c r="H312" s="413">
        <v>2070</v>
      </c>
      <c r="I312" s="413">
        <v>104.4</v>
      </c>
      <c r="J312" s="413">
        <v>105.5</v>
      </c>
      <c r="K312" s="416" t="s">
        <v>1481</v>
      </c>
      <c r="L312" s="416">
        <v>35.86</v>
      </c>
      <c r="M312" s="416">
        <v>39</v>
      </c>
      <c r="N312" s="416">
        <v>56.44</v>
      </c>
      <c r="O312" s="416"/>
      <c r="P312" s="416"/>
      <c r="Q312" s="416"/>
      <c r="R312" s="416" t="s">
        <v>1482</v>
      </c>
      <c r="S312" s="416">
        <v>58.5</v>
      </c>
      <c r="T312" s="102" t="s">
        <v>23</v>
      </c>
      <c r="U312" s="416" t="s">
        <v>236</v>
      </c>
      <c r="V312" s="324" t="s">
        <v>1483</v>
      </c>
    </row>
    <row r="313" spans="2:22" s="343" customFormat="1" ht="34.5" customHeight="1" x14ac:dyDescent="0.25">
      <c r="B313" s="552">
        <v>44501</v>
      </c>
      <c r="C313" s="103">
        <v>0.89583333333333337</v>
      </c>
      <c r="D313" s="410">
        <v>47</v>
      </c>
      <c r="E313" s="415">
        <v>10.4</v>
      </c>
      <c r="F313" s="415">
        <v>12.8</v>
      </c>
      <c r="G313" s="413">
        <v>1266</v>
      </c>
      <c r="H313" s="413">
        <v>2017</v>
      </c>
      <c r="I313" s="413">
        <v>104.4</v>
      </c>
      <c r="J313" s="413">
        <v>105.5</v>
      </c>
      <c r="K313" s="416" t="s">
        <v>1494</v>
      </c>
      <c r="L313" s="416">
        <v>33.090000000000003</v>
      </c>
      <c r="M313" s="416">
        <v>37</v>
      </c>
      <c r="N313" s="416" t="s">
        <v>1495</v>
      </c>
      <c r="O313" s="416"/>
      <c r="P313" s="416"/>
      <c r="Q313" s="416"/>
      <c r="R313" s="416" t="s">
        <v>1482</v>
      </c>
      <c r="S313" s="416">
        <v>59</v>
      </c>
      <c r="T313" s="102" t="s">
        <v>23</v>
      </c>
      <c r="U313" s="416" t="s">
        <v>236</v>
      </c>
      <c r="V313" s="324" t="s">
        <v>1483</v>
      </c>
    </row>
    <row r="314" spans="2:22" s="343" customFormat="1" ht="34.5" customHeight="1" x14ac:dyDescent="0.25">
      <c r="B314" s="555">
        <v>44502</v>
      </c>
      <c r="C314" s="103">
        <v>0.89583333333333337</v>
      </c>
      <c r="D314" s="410">
        <v>46</v>
      </c>
      <c r="E314" s="415">
        <v>9.6</v>
      </c>
      <c r="F314" s="415">
        <v>12.2</v>
      </c>
      <c r="G314" s="413">
        <v>1274</v>
      </c>
      <c r="H314" s="413">
        <v>2020</v>
      </c>
      <c r="I314" s="413">
        <v>104.4</v>
      </c>
      <c r="J314" s="413">
        <v>105.5</v>
      </c>
      <c r="K314" s="416" t="s">
        <v>1499</v>
      </c>
      <c r="L314" s="416">
        <v>33.43</v>
      </c>
      <c r="M314" s="416">
        <v>37</v>
      </c>
      <c r="N314" s="416">
        <v>56.78</v>
      </c>
      <c r="O314" s="416"/>
      <c r="P314" s="416"/>
      <c r="Q314" s="416"/>
      <c r="R314" s="416" t="s">
        <v>793</v>
      </c>
      <c r="S314" s="416">
        <v>59</v>
      </c>
      <c r="T314" s="102" t="s">
        <v>23</v>
      </c>
      <c r="U314" s="416" t="s">
        <v>236</v>
      </c>
      <c r="V314" s="324" t="s">
        <v>1500</v>
      </c>
    </row>
    <row r="315" spans="2:22" s="343" customFormat="1" ht="34.5" customHeight="1" x14ac:dyDescent="0.25">
      <c r="B315" s="558">
        <v>44503</v>
      </c>
      <c r="C315" s="103">
        <v>0.89583333333333337</v>
      </c>
      <c r="D315" s="410">
        <v>46</v>
      </c>
      <c r="E315" s="415">
        <v>10</v>
      </c>
      <c r="F315" s="415">
        <v>12.3</v>
      </c>
      <c r="G315" s="413">
        <v>1274</v>
      </c>
      <c r="H315" s="413">
        <v>2018</v>
      </c>
      <c r="I315" s="413">
        <v>104.4</v>
      </c>
      <c r="J315" s="413">
        <v>105.5</v>
      </c>
      <c r="K315" s="416" t="s">
        <v>1504</v>
      </c>
      <c r="L315" s="416">
        <v>33.15</v>
      </c>
      <c r="M315" s="416">
        <v>37</v>
      </c>
      <c r="N315" s="416">
        <v>56.62</v>
      </c>
      <c r="O315" s="416"/>
      <c r="P315" s="416"/>
      <c r="Q315" s="416"/>
      <c r="R315" s="416" t="s">
        <v>1505</v>
      </c>
      <c r="S315" s="416">
        <v>56.3</v>
      </c>
      <c r="T315" s="102" t="s">
        <v>23</v>
      </c>
      <c r="U315" s="416" t="s">
        <v>236</v>
      </c>
      <c r="V315" s="324"/>
    </row>
    <row r="316" spans="2:22" s="343" customFormat="1" ht="34.5" customHeight="1" x14ac:dyDescent="0.25">
      <c r="B316" s="559">
        <v>44504</v>
      </c>
      <c r="C316" s="103">
        <v>0.9375</v>
      </c>
      <c r="D316" s="410">
        <v>46</v>
      </c>
      <c r="E316" s="415">
        <v>10.199999999999999</v>
      </c>
      <c r="F316" s="415">
        <v>12.7</v>
      </c>
      <c r="G316" s="413">
        <v>1269.5</v>
      </c>
      <c r="H316" s="413">
        <v>1992</v>
      </c>
      <c r="I316" s="413">
        <v>104.4</v>
      </c>
      <c r="J316" s="413">
        <v>105.5</v>
      </c>
      <c r="K316" s="416" t="s">
        <v>1512</v>
      </c>
      <c r="L316" s="416">
        <v>31.7</v>
      </c>
      <c r="M316" s="416">
        <v>36</v>
      </c>
      <c r="N316" s="416">
        <v>57.89</v>
      </c>
      <c r="O316" s="416"/>
      <c r="P316" s="416"/>
      <c r="Q316" s="416"/>
      <c r="R316" s="416" t="s">
        <v>1513</v>
      </c>
      <c r="S316" s="416">
        <v>58.1</v>
      </c>
      <c r="T316" s="102" t="s">
        <v>23</v>
      </c>
      <c r="U316" s="416" t="s">
        <v>236</v>
      </c>
      <c r="V316" s="324"/>
    </row>
    <row r="317" spans="2:22" s="343" customFormat="1" ht="34.5" customHeight="1" x14ac:dyDescent="0.25">
      <c r="B317" s="562">
        <v>44505</v>
      </c>
      <c r="C317" s="103">
        <v>0.97916666666666663</v>
      </c>
      <c r="D317" s="410">
        <v>46</v>
      </c>
      <c r="E317" s="415">
        <v>10.5</v>
      </c>
      <c r="F317" s="415">
        <v>12.9</v>
      </c>
      <c r="G317" s="413">
        <v>1255</v>
      </c>
      <c r="H317" s="413">
        <v>1929</v>
      </c>
      <c r="I317" s="413">
        <v>105</v>
      </c>
      <c r="J317" s="413">
        <v>106.1</v>
      </c>
      <c r="K317" s="416" t="s">
        <v>1518</v>
      </c>
      <c r="L317" s="416">
        <v>28.99</v>
      </c>
      <c r="M317" s="416">
        <v>35</v>
      </c>
      <c r="N317" s="416">
        <v>59.55</v>
      </c>
      <c r="O317" s="416"/>
      <c r="P317" s="416"/>
      <c r="Q317" s="416"/>
      <c r="R317" s="416" t="s">
        <v>1513</v>
      </c>
      <c r="S317" s="416">
        <v>59</v>
      </c>
      <c r="T317" s="102" t="s">
        <v>23</v>
      </c>
      <c r="U317" s="416" t="s">
        <v>236</v>
      </c>
      <c r="V317" s="324"/>
    </row>
    <row r="318" spans="2:22" s="343" customFormat="1" ht="34.5" customHeight="1" x14ac:dyDescent="0.25">
      <c r="B318" s="563">
        <v>44506</v>
      </c>
      <c r="C318" s="103">
        <v>0.89583333333333337</v>
      </c>
      <c r="D318" s="410">
        <v>46</v>
      </c>
      <c r="E318" s="415">
        <v>10.5</v>
      </c>
      <c r="F318" s="415">
        <v>12.9</v>
      </c>
      <c r="G318" s="413">
        <v>1246.9000000000001</v>
      </c>
      <c r="H318" s="413">
        <v>1932</v>
      </c>
      <c r="I318" s="413">
        <v>105.5</v>
      </c>
      <c r="J318" s="413">
        <v>106.1</v>
      </c>
      <c r="K318" s="416" t="s">
        <v>1521</v>
      </c>
      <c r="L318" s="416">
        <v>29.29</v>
      </c>
      <c r="M318" s="416">
        <v>35</v>
      </c>
      <c r="N318" s="416">
        <v>59.15</v>
      </c>
      <c r="O318" s="416"/>
      <c r="P318" s="416"/>
      <c r="Q318" s="416"/>
      <c r="R318" s="416" t="s">
        <v>1513</v>
      </c>
      <c r="S318" s="416">
        <v>59.5</v>
      </c>
      <c r="T318" s="102" t="s">
        <v>23</v>
      </c>
      <c r="U318" s="416" t="s">
        <v>236</v>
      </c>
      <c r="V318" s="324"/>
    </row>
    <row r="319" spans="2:22" s="343" customFormat="1" ht="34.5" customHeight="1" x14ac:dyDescent="0.25">
      <c r="B319" s="566">
        <v>44507</v>
      </c>
      <c r="C319" s="103">
        <v>0.75</v>
      </c>
      <c r="D319" s="410">
        <v>46</v>
      </c>
      <c r="E319" s="415">
        <v>10.5</v>
      </c>
      <c r="F319" s="415">
        <v>13</v>
      </c>
      <c r="G319" s="413">
        <v>1238</v>
      </c>
      <c r="H319" s="413">
        <v>1920</v>
      </c>
      <c r="I319" s="413">
        <v>105.5</v>
      </c>
      <c r="J319" s="413">
        <v>106</v>
      </c>
      <c r="K319" s="416" t="s">
        <v>1534</v>
      </c>
      <c r="L319" s="416">
        <v>28.26</v>
      </c>
      <c r="M319" s="416">
        <v>35</v>
      </c>
      <c r="N319" s="416">
        <v>60.22</v>
      </c>
      <c r="O319" s="416"/>
      <c r="P319" s="416"/>
      <c r="Q319" s="416"/>
      <c r="R319" s="416" t="s">
        <v>1513</v>
      </c>
      <c r="S319" s="416">
        <v>59</v>
      </c>
      <c r="T319" s="102" t="s">
        <v>23</v>
      </c>
      <c r="U319" s="416" t="s">
        <v>236</v>
      </c>
      <c r="V319" s="324"/>
    </row>
    <row r="320" spans="2:22" s="343" customFormat="1" ht="34.5" customHeight="1" x14ac:dyDescent="0.25">
      <c r="B320" s="567">
        <v>44508</v>
      </c>
      <c r="C320" s="103">
        <v>0.91666666666666663</v>
      </c>
      <c r="D320" s="410">
        <v>46</v>
      </c>
      <c r="E320" s="415">
        <v>10.6</v>
      </c>
      <c r="F320" s="415">
        <v>13</v>
      </c>
      <c r="G320" s="413">
        <v>1232</v>
      </c>
      <c r="H320" s="413">
        <v>1923</v>
      </c>
      <c r="I320" s="413">
        <v>105.5</v>
      </c>
      <c r="J320" s="413">
        <v>106.1</v>
      </c>
      <c r="K320" s="416" t="s">
        <v>1543</v>
      </c>
      <c r="L320" s="416">
        <v>30.06</v>
      </c>
      <c r="M320" s="416">
        <v>35</v>
      </c>
      <c r="N320" s="416">
        <v>59.79</v>
      </c>
      <c r="O320" s="416"/>
      <c r="P320" s="416"/>
      <c r="Q320" s="416"/>
      <c r="R320" s="416" t="s">
        <v>1544</v>
      </c>
      <c r="S320" s="416">
        <v>59</v>
      </c>
      <c r="T320" s="102" t="s">
        <v>23</v>
      </c>
      <c r="U320" s="416" t="s">
        <v>236</v>
      </c>
      <c r="V320" s="324"/>
    </row>
    <row r="321" spans="2:22" s="343" customFormat="1" ht="34.5" customHeight="1" x14ac:dyDescent="0.25">
      <c r="B321" s="570">
        <v>44509</v>
      </c>
      <c r="C321" s="103">
        <v>0.91666666666666663</v>
      </c>
      <c r="D321" s="410">
        <v>46</v>
      </c>
      <c r="E321" s="415">
        <v>10.3</v>
      </c>
      <c r="F321" s="415">
        <v>12.8</v>
      </c>
      <c r="G321" s="413">
        <v>1230</v>
      </c>
      <c r="H321" s="413">
        <v>1944</v>
      </c>
      <c r="I321" s="413">
        <v>105.5</v>
      </c>
      <c r="J321" s="413">
        <v>106.1</v>
      </c>
      <c r="K321" s="416" t="s">
        <v>1548</v>
      </c>
      <c r="L321" s="416">
        <v>30.34</v>
      </c>
      <c r="M321" s="416">
        <v>35</v>
      </c>
      <c r="N321" s="416">
        <v>59.23</v>
      </c>
      <c r="O321" s="416"/>
      <c r="P321" s="416"/>
      <c r="Q321" s="416"/>
      <c r="R321" s="416" t="s">
        <v>1544</v>
      </c>
      <c r="S321" s="416">
        <v>58.5</v>
      </c>
      <c r="T321" s="102" t="s">
        <v>23</v>
      </c>
      <c r="U321" s="416" t="s">
        <v>236</v>
      </c>
      <c r="V321" s="324"/>
    </row>
    <row r="322" spans="2:22" s="343" customFormat="1" ht="34.5" customHeight="1" x14ac:dyDescent="0.25">
      <c r="B322" s="577">
        <v>44510</v>
      </c>
      <c r="C322" s="103">
        <v>0.91666666666666663</v>
      </c>
      <c r="D322" s="410">
        <v>46</v>
      </c>
      <c r="E322" s="415">
        <v>10.5</v>
      </c>
      <c r="F322" s="415">
        <v>13</v>
      </c>
      <c r="G322" s="413">
        <v>1225</v>
      </c>
      <c r="H322" s="413">
        <v>1919</v>
      </c>
      <c r="I322" s="413">
        <v>105.5</v>
      </c>
      <c r="J322" s="413">
        <v>106.1</v>
      </c>
      <c r="K322" s="416" t="s">
        <v>1551</v>
      </c>
      <c r="L322" s="416">
        <v>30.25</v>
      </c>
      <c r="M322" s="416">
        <v>35</v>
      </c>
      <c r="N322" s="416">
        <v>59.19</v>
      </c>
      <c r="O322" s="416"/>
      <c r="P322" s="416"/>
      <c r="Q322" s="416"/>
      <c r="R322" s="416" t="s">
        <v>1544</v>
      </c>
      <c r="S322" s="416">
        <v>59.5</v>
      </c>
      <c r="T322" s="102" t="s">
        <v>23</v>
      </c>
      <c r="U322" s="416" t="s">
        <v>236</v>
      </c>
      <c r="V322" s="324"/>
    </row>
    <row r="323" spans="2:22" s="343" customFormat="1" ht="34.5" customHeight="1" x14ac:dyDescent="0.25">
      <c r="B323" s="578">
        <v>44511</v>
      </c>
      <c r="C323" s="103">
        <v>0.91666666666666663</v>
      </c>
      <c r="D323" s="410">
        <v>46</v>
      </c>
      <c r="E323" s="415">
        <v>10.4</v>
      </c>
      <c r="F323" s="415">
        <v>12.8</v>
      </c>
      <c r="G323" s="413">
        <v>1222</v>
      </c>
      <c r="H323" s="413">
        <v>1931</v>
      </c>
      <c r="I323" s="413">
        <v>105.5</v>
      </c>
      <c r="J323" s="413">
        <v>106.1</v>
      </c>
      <c r="K323" s="416" t="s">
        <v>1556</v>
      </c>
      <c r="L323" s="416">
        <v>29.81</v>
      </c>
      <c r="M323" s="416">
        <v>34</v>
      </c>
      <c r="N323" s="416">
        <v>59.46</v>
      </c>
      <c r="O323" s="416"/>
      <c r="P323" s="416"/>
      <c r="Q323" s="416"/>
      <c r="R323" s="416" t="s">
        <v>1544</v>
      </c>
      <c r="S323" s="416">
        <v>58.5</v>
      </c>
      <c r="T323" s="102" t="s">
        <v>23</v>
      </c>
      <c r="U323" s="416" t="s">
        <v>236</v>
      </c>
      <c r="V323" s="324"/>
    </row>
    <row r="324" spans="2:22" s="343" customFormat="1" ht="34.5" customHeight="1" x14ac:dyDescent="0.25">
      <c r="B324" s="579">
        <v>44512</v>
      </c>
      <c r="C324" s="103">
        <v>0.95833333333333337</v>
      </c>
      <c r="D324" s="410">
        <v>46</v>
      </c>
      <c r="E324" s="415">
        <v>10.4</v>
      </c>
      <c r="F324" s="415">
        <v>12.8</v>
      </c>
      <c r="G324" s="413">
        <v>1220</v>
      </c>
      <c r="H324" s="413">
        <v>1935</v>
      </c>
      <c r="I324" s="413">
        <v>105.5</v>
      </c>
      <c r="J324" s="413">
        <v>106.1</v>
      </c>
      <c r="K324" s="416" t="s">
        <v>1559</v>
      </c>
      <c r="L324" s="416">
        <v>30.5</v>
      </c>
      <c r="M324" s="416">
        <v>35</v>
      </c>
      <c r="N324" s="416">
        <v>58.88</v>
      </c>
      <c r="O324" s="416"/>
      <c r="P324" s="416"/>
      <c r="Q324" s="416"/>
      <c r="R324" s="416" t="s">
        <v>1544</v>
      </c>
      <c r="S324" s="416">
        <v>58.5</v>
      </c>
      <c r="T324" s="102" t="s">
        <v>23</v>
      </c>
      <c r="U324" s="416" t="s">
        <v>236</v>
      </c>
      <c r="V324" s="324"/>
    </row>
    <row r="325" spans="2:22" s="343" customFormat="1" ht="34.5" customHeight="1" x14ac:dyDescent="0.25">
      <c r="B325" s="580">
        <v>44513</v>
      </c>
      <c r="C325" s="103">
        <v>0.95833333333333337</v>
      </c>
      <c r="D325" s="410">
        <v>46</v>
      </c>
      <c r="E325" s="415">
        <v>9.9</v>
      </c>
      <c r="F325" s="415">
        <v>12.4</v>
      </c>
      <c r="G325" s="413">
        <v>1229</v>
      </c>
      <c r="H325" s="413">
        <v>1982</v>
      </c>
      <c r="I325" s="413">
        <v>104.4</v>
      </c>
      <c r="J325" s="413">
        <v>105.5</v>
      </c>
      <c r="K325" s="416" t="s">
        <v>1562</v>
      </c>
      <c r="L325" s="416">
        <v>31.83</v>
      </c>
      <c r="M325" s="416">
        <v>36</v>
      </c>
      <c r="N325" s="416">
        <v>57.39</v>
      </c>
      <c r="O325" s="416"/>
      <c r="P325" s="416"/>
      <c r="Q325" s="416"/>
      <c r="R325" s="416" t="s">
        <v>1563</v>
      </c>
      <c r="S325" s="416">
        <v>67.7</v>
      </c>
      <c r="T325" s="102" t="s">
        <v>23</v>
      </c>
      <c r="U325" s="416" t="s">
        <v>236</v>
      </c>
      <c r="V325" s="324"/>
    </row>
    <row r="326" spans="2:22" s="343" customFormat="1" ht="66" customHeight="1" x14ac:dyDescent="0.25">
      <c r="B326" s="581">
        <v>44514</v>
      </c>
      <c r="C326" s="103">
        <v>0.95833333333333337</v>
      </c>
      <c r="D326" s="410">
        <v>46</v>
      </c>
      <c r="E326" s="415">
        <v>8.8000000000000007</v>
      </c>
      <c r="F326" s="415">
        <v>11.8</v>
      </c>
      <c r="G326" s="413">
        <v>1250</v>
      </c>
      <c r="H326" s="413">
        <v>2077</v>
      </c>
      <c r="I326" s="413">
        <v>104.4</v>
      </c>
      <c r="J326" s="413">
        <v>106.1</v>
      </c>
      <c r="K326" s="416" t="s">
        <v>1572</v>
      </c>
      <c r="L326" s="416">
        <v>36.42</v>
      </c>
      <c r="M326" s="416">
        <v>39</v>
      </c>
      <c r="N326" s="416">
        <v>52.23</v>
      </c>
      <c r="O326" s="416"/>
      <c r="P326" s="416"/>
      <c r="Q326" s="416"/>
      <c r="R326" s="416" t="s">
        <v>1573</v>
      </c>
      <c r="S326" s="416">
        <v>56.7</v>
      </c>
      <c r="T326" s="102" t="s">
        <v>23</v>
      </c>
      <c r="U326" s="416" t="s">
        <v>236</v>
      </c>
      <c r="V326" s="585" t="s">
        <v>1574</v>
      </c>
    </row>
    <row r="327" spans="2:22" s="343" customFormat="1" ht="36" customHeight="1" x14ac:dyDescent="0.25">
      <c r="B327" s="584">
        <v>44515</v>
      </c>
      <c r="C327" s="103">
        <v>0.95833333333333337</v>
      </c>
      <c r="D327" s="410">
        <v>46</v>
      </c>
      <c r="E327" s="415">
        <v>9.6999999999999993</v>
      </c>
      <c r="F327" s="415" t="s">
        <v>1579</v>
      </c>
      <c r="G327" s="413">
        <v>1243</v>
      </c>
      <c r="H327" s="413">
        <v>1989</v>
      </c>
      <c r="I327" s="413">
        <v>104.4</v>
      </c>
      <c r="J327" s="413">
        <v>105.5</v>
      </c>
      <c r="K327" s="416" t="s">
        <v>1580</v>
      </c>
      <c r="L327" s="416">
        <v>31.72</v>
      </c>
      <c r="M327" s="416">
        <v>35</v>
      </c>
      <c r="N327" s="416">
        <v>56.71</v>
      </c>
      <c r="O327" s="416"/>
      <c r="P327" s="416"/>
      <c r="Q327" s="416"/>
      <c r="R327" s="416" t="s">
        <v>1581</v>
      </c>
      <c r="S327" s="416">
        <v>55.3</v>
      </c>
      <c r="T327" s="102" t="s">
        <v>23</v>
      </c>
      <c r="U327" s="416" t="s">
        <v>236</v>
      </c>
      <c r="V327" s="587" t="s">
        <v>1500</v>
      </c>
    </row>
    <row r="328" spans="2:22" s="343" customFormat="1" ht="36" customHeight="1" x14ac:dyDescent="0.25">
      <c r="B328" s="586">
        <v>44516</v>
      </c>
      <c r="C328" s="103">
        <v>0.9375</v>
      </c>
      <c r="D328" s="410">
        <v>46</v>
      </c>
      <c r="E328" s="415">
        <v>10</v>
      </c>
      <c r="F328" s="415">
        <v>12.5</v>
      </c>
      <c r="G328" s="413">
        <v>1244</v>
      </c>
      <c r="H328" s="413">
        <v>1993</v>
      </c>
      <c r="I328" s="413">
        <v>104.4</v>
      </c>
      <c r="J328" s="413">
        <v>105.5</v>
      </c>
      <c r="K328" s="416" t="s">
        <v>1583</v>
      </c>
      <c r="L328" s="416">
        <v>31.63</v>
      </c>
      <c r="M328" s="416">
        <v>35</v>
      </c>
      <c r="N328" s="416">
        <v>57.32</v>
      </c>
      <c r="O328" s="416"/>
      <c r="P328" s="416"/>
      <c r="Q328" s="416"/>
      <c r="R328" s="416" t="s">
        <v>1584</v>
      </c>
      <c r="S328" s="416">
        <v>57.2</v>
      </c>
      <c r="T328" s="102" t="s">
        <v>23</v>
      </c>
      <c r="U328" s="416" t="s">
        <v>236</v>
      </c>
      <c r="V328" s="587"/>
    </row>
    <row r="329" spans="2:22" s="343" customFormat="1" ht="36" customHeight="1" x14ac:dyDescent="0.25">
      <c r="B329" s="588">
        <v>44517</v>
      </c>
      <c r="C329" s="103">
        <v>0.89583333333333337</v>
      </c>
      <c r="D329" s="410">
        <v>46</v>
      </c>
      <c r="E329" s="415">
        <v>10.1</v>
      </c>
      <c r="F329" s="415">
        <v>12.6</v>
      </c>
      <c r="G329" s="413">
        <v>1250</v>
      </c>
      <c r="H329" s="413">
        <v>1984</v>
      </c>
      <c r="I329" s="413">
        <v>104.4</v>
      </c>
      <c r="J329" s="413">
        <v>105.5</v>
      </c>
      <c r="K329" s="416" t="s">
        <v>1590</v>
      </c>
      <c r="L329" s="416">
        <v>31.43</v>
      </c>
      <c r="M329" s="416">
        <v>35</v>
      </c>
      <c r="N329" s="416">
        <v>56.78</v>
      </c>
      <c r="O329" s="416"/>
      <c r="P329" s="416"/>
      <c r="Q329" s="416"/>
      <c r="R329" s="416" t="s">
        <v>1584</v>
      </c>
      <c r="S329" s="416">
        <v>57.6</v>
      </c>
      <c r="T329" s="102" t="s">
        <v>23</v>
      </c>
      <c r="U329" s="416" t="s">
        <v>236</v>
      </c>
      <c r="V329" s="587"/>
    </row>
    <row r="330" spans="2:22" s="343" customFormat="1" ht="36" customHeight="1" x14ac:dyDescent="0.25">
      <c r="B330" s="590">
        <v>44518</v>
      </c>
      <c r="C330" s="103">
        <v>0.9375</v>
      </c>
      <c r="D330" s="410">
        <v>46</v>
      </c>
      <c r="E330" s="415">
        <v>10</v>
      </c>
      <c r="F330" s="415">
        <v>12.5</v>
      </c>
      <c r="G330" s="413">
        <v>1250</v>
      </c>
      <c r="H330" s="413">
        <v>2005</v>
      </c>
      <c r="I330" s="413">
        <v>104.4</v>
      </c>
      <c r="J330" s="413">
        <v>105.5</v>
      </c>
      <c r="K330" s="416" t="s">
        <v>1597</v>
      </c>
      <c r="L330" s="416">
        <v>31</v>
      </c>
      <c r="M330" s="416">
        <v>35</v>
      </c>
      <c r="N330" s="416">
        <v>57.39</v>
      </c>
      <c r="O330" s="416"/>
      <c r="P330" s="416"/>
      <c r="Q330" s="416"/>
      <c r="R330" s="416" t="s">
        <v>1598</v>
      </c>
      <c r="S330" s="416">
        <v>57.2</v>
      </c>
      <c r="T330" s="102" t="s">
        <v>23</v>
      </c>
      <c r="U330" s="416" t="s">
        <v>236</v>
      </c>
      <c r="V330" s="587"/>
    </row>
    <row r="331" spans="2:22" s="343" customFormat="1" ht="36" customHeight="1" x14ac:dyDescent="0.25">
      <c r="B331" s="591">
        <v>44519</v>
      </c>
      <c r="C331" s="103">
        <v>0.89583333333333337</v>
      </c>
      <c r="D331" s="410">
        <v>46</v>
      </c>
      <c r="E331" s="415">
        <v>10.3</v>
      </c>
      <c r="F331" s="415">
        <v>12.7</v>
      </c>
      <c r="G331" s="413">
        <v>1247</v>
      </c>
      <c r="H331" s="413">
        <v>1972</v>
      </c>
      <c r="I331" s="413">
        <v>105.5</v>
      </c>
      <c r="J331" s="413">
        <v>106.1</v>
      </c>
      <c r="K331" s="416" t="s">
        <v>1606</v>
      </c>
      <c r="L331" s="416">
        <v>30.94</v>
      </c>
      <c r="M331" s="416">
        <v>34</v>
      </c>
      <c r="N331" s="416">
        <v>58.34</v>
      </c>
      <c r="O331" s="416"/>
      <c r="P331" s="416"/>
      <c r="Q331" s="416"/>
      <c r="R331" s="416" t="s">
        <v>1607</v>
      </c>
      <c r="S331" s="416">
        <v>58.1</v>
      </c>
      <c r="T331" s="102" t="s">
        <v>23</v>
      </c>
      <c r="U331" s="416" t="s">
        <v>236</v>
      </c>
      <c r="V331" s="587"/>
    </row>
    <row r="332" spans="2:22" s="343" customFormat="1" ht="36" customHeight="1" x14ac:dyDescent="0.25">
      <c r="B332" s="592">
        <v>44520</v>
      </c>
      <c r="C332" s="145">
        <v>0.91666666666666663</v>
      </c>
      <c r="D332" s="410">
        <v>46</v>
      </c>
      <c r="E332" s="415">
        <v>10.1</v>
      </c>
      <c r="F332" s="415" t="s">
        <v>1610</v>
      </c>
      <c r="G332" s="413">
        <v>1249</v>
      </c>
      <c r="H332" s="413">
        <v>1998</v>
      </c>
      <c r="I332" s="413">
        <v>104.4</v>
      </c>
      <c r="J332" s="413">
        <v>105.5</v>
      </c>
      <c r="K332" s="416" t="s">
        <v>1611</v>
      </c>
      <c r="L332" s="416">
        <v>31.43</v>
      </c>
      <c r="M332" s="416">
        <v>34</v>
      </c>
      <c r="N332" s="416">
        <v>56.89</v>
      </c>
      <c r="O332" s="416"/>
      <c r="P332" s="416"/>
      <c r="Q332" s="416"/>
      <c r="R332" s="416" t="s">
        <v>1607</v>
      </c>
      <c r="S332" s="416">
        <v>57.6</v>
      </c>
      <c r="T332" s="102" t="s">
        <v>23</v>
      </c>
      <c r="U332" s="416" t="s">
        <v>236</v>
      </c>
      <c r="V332" s="587"/>
    </row>
    <row r="333" spans="2:22" s="343" customFormat="1" ht="36" customHeight="1" x14ac:dyDescent="0.25">
      <c r="B333" s="593">
        <v>44521</v>
      </c>
      <c r="C333" s="145">
        <v>0.91666666666666663</v>
      </c>
      <c r="D333" s="410">
        <v>46</v>
      </c>
      <c r="E333" s="415">
        <v>10.4</v>
      </c>
      <c r="F333" s="415">
        <v>12.9</v>
      </c>
      <c r="G333" s="413">
        <v>1244</v>
      </c>
      <c r="H333" s="413">
        <v>1938</v>
      </c>
      <c r="I333" s="413">
        <v>105</v>
      </c>
      <c r="J333" s="413">
        <v>106.1</v>
      </c>
      <c r="K333" s="416" t="s">
        <v>1614</v>
      </c>
      <c r="L333" s="416">
        <v>28.35</v>
      </c>
      <c r="M333" s="416">
        <v>32</v>
      </c>
      <c r="N333" s="416">
        <v>58.85</v>
      </c>
      <c r="O333" s="416"/>
      <c r="P333" s="416"/>
      <c r="Q333" s="416"/>
      <c r="R333" s="416" t="s">
        <v>1615</v>
      </c>
      <c r="S333" s="416">
        <v>59</v>
      </c>
      <c r="T333" s="102" t="s">
        <v>23</v>
      </c>
      <c r="U333" s="416" t="s">
        <v>236</v>
      </c>
      <c r="V333" s="587"/>
    </row>
    <row r="334" spans="2:22" s="343" customFormat="1" ht="36" customHeight="1" x14ac:dyDescent="0.25">
      <c r="B334" s="594">
        <v>44522</v>
      </c>
      <c r="C334" s="145">
        <v>0.91666666666666663</v>
      </c>
      <c r="D334" s="410">
        <v>46</v>
      </c>
      <c r="E334" s="415">
        <v>10.1</v>
      </c>
      <c r="F334" s="415">
        <v>12.6</v>
      </c>
      <c r="G334" s="413">
        <v>1241</v>
      </c>
      <c r="H334" s="413">
        <v>1989</v>
      </c>
      <c r="I334" s="413">
        <v>104.4</v>
      </c>
      <c r="J334" s="413">
        <v>105.5</v>
      </c>
      <c r="K334" s="416" t="s">
        <v>1625</v>
      </c>
      <c r="L334" s="416">
        <v>31.17</v>
      </c>
      <c r="M334" s="416">
        <v>34.5</v>
      </c>
      <c r="N334" s="416">
        <v>58.31</v>
      </c>
      <c r="O334" s="416"/>
      <c r="P334" s="416"/>
      <c r="Q334" s="416"/>
      <c r="R334" s="416" t="s">
        <v>1626</v>
      </c>
      <c r="S334" s="416">
        <v>57.6</v>
      </c>
      <c r="T334" s="102" t="s">
        <v>23</v>
      </c>
      <c r="U334" s="416" t="s">
        <v>236</v>
      </c>
      <c r="V334" s="587"/>
    </row>
    <row r="335" spans="2:22" s="343" customFormat="1" ht="36" customHeight="1" x14ac:dyDescent="0.25">
      <c r="B335" s="595">
        <v>44523</v>
      </c>
      <c r="C335" s="145">
        <v>0.91666666666666663</v>
      </c>
      <c r="D335" s="410">
        <v>46</v>
      </c>
      <c r="E335" s="415">
        <v>9.8000000000000007</v>
      </c>
      <c r="F335" s="415">
        <v>12.4</v>
      </c>
      <c r="G335" s="413">
        <v>1243</v>
      </c>
      <c r="H335" s="413">
        <v>1986</v>
      </c>
      <c r="I335" s="413">
        <v>104.4</v>
      </c>
      <c r="J335" s="413">
        <v>105.5</v>
      </c>
      <c r="K335" s="416" t="s">
        <v>1635</v>
      </c>
      <c r="L335" s="416">
        <v>27.6</v>
      </c>
      <c r="M335" s="416">
        <v>34</v>
      </c>
      <c r="N335" s="416">
        <v>57.74</v>
      </c>
      <c r="O335" s="416"/>
      <c r="P335" s="416"/>
      <c r="Q335" s="416"/>
      <c r="R335" s="416" t="s">
        <v>1636</v>
      </c>
      <c r="S335" s="416">
        <v>56.7</v>
      </c>
      <c r="T335" s="102" t="s">
        <v>23</v>
      </c>
      <c r="U335" s="416" t="s">
        <v>236</v>
      </c>
      <c r="V335" s="587"/>
    </row>
    <row r="336" spans="2:22" s="343" customFormat="1" ht="36" customHeight="1" x14ac:dyDescent="0.25">
      <c r="B336" s="596">
        <v>44524</v>
      </c>
      <c r="C336" s="145">
        <v>0.91666666666666663</v>
      </c>
      <c r="D336" s="410">
        <v>46</v>
      </c>
      <c r="E336" s="415">
        <v>10.199999999999999</v>
      </c>
      <c r="F336" s="415">
        <v>12.7</v>
      </c>
      <c r="G336" s="413">
        <v>1244</v>
      </c>
      <c r="H336" s="413">
        <v>1981</v>
      </c>
      <c r="I336" s="413">
        <v>104.4</v>
      </c>
      <c r="J336" s="413">
        <v>105.5</v>
      </c>
      <c r="K336" s="416" t="s">
        <v>1639</v>
      </c>
      <c r="L336" s="416">
        <v>26.99</v>
      </c>
      <c r="M336" s="416">
        <v>34</v>
      </c>
      <c r="N336" s="416">
        <v>57.7</v>
      </c>
      <c r="O336" s="416"/>
      <c r="P336" s="416"/>
      <c r="Q336" s="416"/>
      <c r="R336" s="416" t="s">
        <v>1640</v>
      </c>
      <c r="S336" s="416">
        <v>58.1</v>
      </c>
      <c r="T336" s="102" t="s">
        <v>23</v>
      </c>
      <c r="U336" s="416" t="s">
        <v>236</v>
      </c>
      <c r="V336" s="587"/>
    </row>
    <row r="337" spans="2:22" s="343" customFormat="1" ht="36" customHeight="1" x14ac:dyDescent="0.25">
      <c r="B337" s="597">
        <v>44525</v>
      </c>
      <c r="C337" s="145">
        <v>0.91666666666666663</v>
      </c>
      <c r="D337" s="410">
        <v>46</v>
      </c>
      <c r="E337" s="415">
        <v>9.9</v>
      </c>
      <c r="F337" s="415">
        <v>12.3</v>
      </c>
      <c r="G337" s="413">
        <v>1246</v>
      </c>
      <c r="H337" s="413">
        <v>2003</v>
      </c>
      <c r="I337" s="413">
        <v>104.4</v>
      </c>
      <c r="J337" s="413">
        <v>105.5</v>
      </c>
      <c r="K337" s="416" t="s">
        <v>1642</v>
      </c>
      <c r="L337" s="416">
        <v>27.1</v>
      </c>
      <c r="M337" s="416">
        <v>34</v>
      </c>
      <c r="N337" s="416">
        <v>56.78</v>
      </c>
      <c r="O337" s="416"/>
      <c r="P337" s="416"/>
      <c r="Q337" s="416"/>
      <c r="R337" s="416" t="s">
        <v>1640</v>
      </c>
      <c r="S337" s="416">
        <v>56.3</v>
      </c>
      <c r="T337" s="102" t="s">
        <v>23</v>
      </c>
      <c r="U337" s="416" t="s">
        <v>236</v>
      </c>
      <c r="V337" s="587"/>
    </row>
    <row r="338" spans="2:22" s="343" customFormat="1" ht="36" customHeight="1" x14ac:dyDescent="0.25">
      <c r="B338" s="598">
        <v>44526</v>
      </c>
      <c r="C338" s="145">
        <v>0.91666666666666663</v>
      </c>
      <c r="D338" s="410">
        <v>46</v>
      </c>
      <c r="E338" s="415">
        <v>9.8000000000000007</v>
      </c>
      <c r="F338" s="415">
        <v>12.4</v>
      </c>
      <c r="G338" s="413">
        <v>1248</v>
      </c>
      <c r="H338" s="413">
        <v>2010</v>
      </c>
      <c r="I338" s="413">
        <v>104.4</v>
      </c>
      <c r="J338" s="413">
        <v>105.5</v>
      </c>
      <c r="K338" s="416" t="s">
        <v>1645</v>
      </c>
      <c r="L338" s="416">
        <v>31.55</v>
      </c>
      <c r="M338" s="416">
        <v>34</v>
      </c>
      <c r="N338" s="416">
        <v>56.36</v>
      </c>
      <c r="O338" s="416"/>
      <c r="P338" s="416"/>
      <c r="Q338" s="416"/>
      <c r="R338" s="416" t="s">
        <v>878</v>
      </c>
      <c r="S338" s="416">
        <v>56.7</v>
      </c>
      <c r="T338" s="102" t="s">
        <v>23</v>
      </c>
      <c r="U338" s="416" t="s">
        <v>236</v>
      </c>
      <c r="V338" s="587"/>
    </row>
    <row r="339" spans="2:22" s="343" customFormat="1" ht="36" customHeight="1" x14ac:dyDescent="0.25">
      <c r="B339" s="599">
        <v>44527</v>
      </c>
      <c r="C339" s="145">
        <v>0.91666666666666663</v>
      </c>
      <c r="D339" s="410">
        <v>46</v>
      </c>
      <c r="E339" s="415">
        <v>9.9</v>
      </c>
      <c r="F339" s="415">
        <v>12.4</v>
      </c>
      <c r="G339" s="413">
        <v>1254</v>
      </c>
      <c r="H339" s="413">
        <v>2003</v>
      </c>
      <c r="I339" s="413">
        <v>104.4</v>
      </c>
      <c r="J339" s="413">
        <v>105.5</v>
      </c>
      <c r="K339" s="416" t="s">
        <v>1650</v>
      </c>
      <c r="L339" s="416">
        <v>32.53</v>
      </c>
      <c r="M339" s="416">
        <v>34</v>
      </c>
      <c r="N339" s="416">
        <v>56.13</v>
      </c>
      <c r="O339" s="416"/>
      <c r="P339" s="416"/>
      <c r="Q339" s="416"/>
      <c r="R339" s="416" t="s">
        <v>1651</v>
      </c>
      <c r="S339" s="416">
        <v>56.7</v>
      </c>
      <c r="T339" s="102" t="s">
        <v>23</v>
      </c>
      <c r="U339" s="416" t="s">
        <v>236</v>
      </c>
      <c r="V339" s="587"/>
    </row>
    <row r="340" spans="2:22" s="343" customFormat="1" ht="36" customHeight="1" x14ac:dyDescent="0.25">
      <c r="B340" s="600">
        <v>44528</v>
      </c>
      <c r="C340" s="145">
        <v>0.95833333333333337</v>
      </c>
      <c r="D340" s="410">
        <v>46</v>
      </c>
      <c r="E340" s="415">
        <v>10</v>
      </c>
      <c r="F340" s="415">
        <v>12.4</v>
      </c>
      <c r="G340" s="413">
        <v>1256</v>
      </c>
      <c r="H340" s="413">
        <v>2012</v>
      </c>
      <c r="I340" s="413">
        <v>105</v>
      </c>
      <c r="J340" s="413">
        <v>106</v>
      </c>
      <c r="K340" s="416" t="s">
        <v>1652</v>
      </c>
      <c r="L340" s="416">
        <v>32.58</v>
      </c>
      <c r="M340" s="416">
        <v>34</v>
      </c>
      <c r="N340" s="416">
        <v>56.05</v>
      </c>
      <c r="O340" s="416"/>
      <c r="P340" s="416"/>
      <c r="Q340" s="416"/>
      <c r="R340" s="416" t="s">
        <v>1651</v>
      </c>
      <c r="S340" s="416">
        <v>56.7</v>
      </c>
      <c r="T340" s="102" t="s">
        <v>23</v>
      </c>
      <c r="U340" s="416" t="s">
        <v>236</v>
      </c>
      <c r="V340" s="587"/>
    </row>
    <row r="341" spans="2:22" s="343" customFormat="1" ht="36" customHeight="1" x14ac:dyDescent="0.25">
      <c r="B341" s="601">
        <v>44529</v>
      </c>
      <c r="C341" s="145">
        <v>0.95833333333333337</v>
      </c>
      <c r="D341" s="410">
        <v>46</v>
      </c>
      <c r="E341" s="415">
        <v>9.6999999999999993</v>
      </c>
      <c r="F341" s="415">
        <v>12.3</v>
      </c>
      <c r="G341" s="413">
        <v>1262</v>
      </c>
      <c r="H341" s="413">
        <v>2033</v>
      </c>
      <c r="I341" s="413">
        <v>104.4</v>
      </c>
      <c r="J341" s="413">
        <v>105.5</v>
      </c>
      <c r="K341" s="416" t="s">
        <v>1658</v>
      </c>
      <c r="L341" s="416">
        <v>32.97</v>
      </c>
      <c r="M341" s="416">
        <v>35</v>
      </c>
      <c r="N341" s="416">
        <v>55.6</v>
      </c>
      <c r="O341" s="416"/>
      <c r="P341" s="416"/>
      <c r="Q341" s="416"/>
      <c r="R341" s="416" t="s">
        <v>1651</v>
      </c>
      <c r="S341" s="416">
        <v>56.3</v>
      </c>
      <c r="T341" s="102" t="s">
        <v>23</v>
      </c>
      <c r="U341" s="416" t="s">
        <v>236</v>
      </c>
      <c r="V341" s="587"/>
    </row>
    <row r="342" spans="2:22" s="343" customFormat="1" ht="36" customHeight="1" x14ac:dyDescent="0.25">
      <c r="B342" s="602">
        <v>44530</v>
      </c>
      <c r="C342" s="145">
        <v>0.75</v>
      </c>
      <c r="D342" s="410">
        <v>46</v>
      </c>
      <c r="E342" s="415">
        <v>9.6999999999999993</v>
      </c>
      <c r="F342" s="415">
        <v>12.3</v>
      </c>
      <c r="G342" s="413">
        <v>1264</v>
      </c>
      <c r="H342" s="413">
        <v>2027</v>
      </c>
      <c r="I342" s="413">
        <v>104</v>
      </c>
      <c r="J342" s="413">
        <v>105</v>
      </c>
      <c r="K342" s="416" t="s">
        <v>1667</v>
      </c>
      <c r="L342" s="416">
        <v>32.450000000000003</v>
      </c>
      <c r="M342" s="416">
        <v>35</v>
      </c>
      <c r="N342" s="416">
        <v>55.52</v>
      </c>
      <c r="O342" s="416"/>
      <c r="P342" s="416"/>
      <c r="Q342" s="416"/>
      <c r="R342" s="416" t="s">
        <v>1651</v>
      </c>
      <c r="S342" s="416">
        <v>56.3</v>
      </c>
      <c r="T342" s="102" t="s">
        <v>23</v>
      </c>
      <c r="U342" s="416" t="s">
        <v>236</v>
      </c>
      <c r="V342" s="587"/>
    </row>
    <row r="343" spans="2:22" s="343" customFormat="1" ht="36" customHeight="1" x14ac:dyDescent="0.25">
      <c r="B343" s="605">
        <v>44531</v>
      </c>
      <c r="C343" s="145">
        <v>0.25</v>
      </c>
      <c r="D343" s="410">
        <v>46</v>
      </c>
      <c r="E343" s="415">
        <v>10</v>
      </c>
      <c r="F343" s="415">
        <v>12.5</v>
      </c>
      <c r="G343" s="413">
        <v>1265</v>
      </c>
      <c r="H343" s="413">
        <v>2011</v>
      </c>
      <c r="I343" s="413">
        <v>104</v>
      </c>
      <c r="J343" s="413">
        <v>105</v>
      </c>
      <c r="K343" s="416" t="s">
        <v>1668</v>
      </c>
      <c r="L343" s="416">
        <v>31.62</v>
      </c>
      <c r="M343" s="416">
        <v>35</v>
      </c>
      <c r="N343" s="416">
        <v>55.6</v>
      </c>
      <c r="O343" s="416"/>
      <c r="P343" s="416"/>
      <c r="Q343" s="416"/>
      <c r="R343" s="416" t="s">
        <v>1669</v>
      </c>
      <c r="S343" s="416">
        <v>57.2</v>
      </c>
      <c r="T343" s="102" t="s">
        <v>23</v>
      </c>
      <c r="U343" s="416" t="s">
        <v>236</v>
      </c>
      <c r="V343" s="587"/>
    </row>
    <row r="344" spans="2:22" s="343" customFormat="1" ht="36" customHeight="1" x14ac:dyDescent="0.25">
      <c r="B344" s="606">
        <v>44532</v>
      </c>
      <c r="C344" s="103">
        <v>0.75</v>
      </c>
      <c r="D344" s="410">
        <v>46</v>
      </c>
      <c r="E344" s="415">
        <v>10</v>
      </c>
      <c r="F344" s="415">
        <v>12.5</v>
      </c>
      <c r="G344" s="413">
        <v>1250</v>
      </c>
      <c r="H344" s="413">
        <v>1993</v>
      </c>
      <c r="I344" s="413">
        <v>104</v>
      </c>
      <c r="J344" s="413">
        <v>105</v>
      </c>
      <c r="K344" s="416" t="s">
        <v>1674</v>
      </c>
      <c r="L344" s="416">
        <v>31.43</v>
      </c>
      <c r="M344" s="416">
        <v>35</v>
      </c>
      <c r="N344" s="416">
        <v>55.6</v>
      </c>
      <c r="O344" s="416"/>
      <c r="P344" s="416"/>
      <c r="Q344" s="416"/>
      <c r="R344" s="416" t="s">
        <v>1669</v>
      </c>
      <c r="S344" s="416">
        <v>57.2</v>
      </c>
      <c r="T344" s="102" t="s">
        <v>23</v>
      </c>
      <c r="U344" s="416" t="s">
        <v>236</v>
      </c>
      <c r="V344" s="587"/>
    </row>
    <row r="345" spans="2:22" s="343" customFormat="1" ht="36" customHeight="1" x14ac:dyDescent="0.25">
      <c r="B345" s="609">
        <v>44533</v>
      </c>
      <c r="C345" s="103">
        <v>0.75</v>
      </c>
      <c r="D345" s="410">
        <v>46</v>
      </c>
      <c r="E345" s="415">
        <v>9.6</v>
      </c>
      <c r="F345" s="415">
        <v>12.2</v>
      </c>
      <c r="G345" s="413">
        <v>1259</v>
      </c>
      <c r="H345" s="413">
        <v>2029</v>
      </c>
      <c r="I345" s="413">
        <v>104</v>
      </c>
      <c r="J345" s="413">
        <v>105</v>
      </c>
      <c r="K345" s="416" t="s">
        <v>1675</v>
      </c>
      <c r="L345" s="416">
        <v>33.32</v>
      </c>
      <c r="M345" s="416">
        <v>36</v>
      </c>
      <c r="N345" s="416">
        <v>54.83</v>
      </c>
      <c r="O345" s="416"/>
      <c r="P345" s="416"/>
      <c r="Q345" s="416"/>
      <c r="R345" s="416" t="s">
        <v>1669</v>
      </c>
      <c r="S345" s="416">
        <v>55.3</v>
      </c>
      <c r="T345" s="102" t="s">
        <v>23</v>
      </c>
      <c r="U345" s="416" t="s">
        <v>236</v>
      </c>
      <c r="V345" s="587"/>
    </row>
    <row r="346" spans="2:22" s="343" customFormat="1" ht="36" customHeight="1" x14ac:dyDescent="0.25">
      <c r="B346" s="610">
        <v>44534</v>
      </c>
      <c r="C346" s="103">
        <v>0.75</v>
      </c>
      <c r="D346" s="410">
        <v>46</v>
      </c>
      <c r="E346" s="415">
        <v>9.8000000000000007</v>
      </c>
      <c r="F346" s="415">
        <v>12.4</v>
      </c>
      <c r="G346" s="413">
        <v>1261</v>
      </c>
      <c r="H346" s="413">
        <v>2017</v>
      </c>
      <c r="I346" s="413">
        <v>104</v>
      </c>
      <c r="J346" s="413">
        <v>105</v>
      </c>
      <c r="K346" s="416" t="s">
        <v>1683</v>
      </c>
      <c r="L346" s="416">
        <v>32.450000000000003</v>
      </c>
      <c r="M346" s="416">
        <v>36</v>
      </c>
      <c r="N346" s="416">
        <v>55.63</v>
      </c>
      <c r="O346" s="416"/>
      <c r="P346" s="416"/>
      <c r="Q346" s="416"/>
      <c r="R346" s="416" t="s">
        <v>1669</v>
      </c>
      <c r="S346" s="416">
        <v>56.7</v>
      </c>
      <c r="T346" s="102" t="s">
        <v>23</v>
      </c>
      <c r="U346" s="416" t="s">
        <v>236</v>
      </c>
      <c r="V346" s="587"/>
    </row>
    <row r="347" spans="2:22" s="343" customFormat="1" ht="36" customHeight="1" x14ac:dyDescent="0.25">
      <c r="B347" s="613">
        <v>44535</v>
      </c>
      <c r="C347" s="103">
        <v>0.91666666666666663</v>
      </c>
      <c r="D347" s="410">
        <v>46</v>
      </c>
      <c r="E347" s="415">
        <v>10</v>
      </c>
      <c r="F347" s="415">
        <v>12.4</v>
      </c>
      <c r="G347" s="413">
        <v>1256</v>
      </c>
      <c r="H347" s="413">
        <v>2005</v>
      </c>
      <c r="I347" s="413">
        <v>104</v>
      </c>
      <c r="J347" s="413">
        <v>105.5</v>
      </c>
      <c r="K347" s="416" t="s">
        <v>1694</v>
      </c>
      <c r="L347" s="416">
        <v>31.35</v>
      </c>
      <c r="M347" s="416">
        <v>36</v>
      </c>
      <c r="N347" s="416">
        <v>57.46</v>
      </c>
      <c r="O347" s="416"/>
      <c r="P347" s="416"/>
      <c r="Q347" s="416"/>
      <c r="R347" s="416" t="s">
        <v>1669</v>
      </c>
      <c r="S347" s="416">
        <v>56.7</v>
      </c>
      <c r="T347" s="102" t="s">
        <v>23</v>
      </c>
      <c r="U347" s="416" t="s">
        <v>236</v>
      </c>
      <c r="V347" s="587"/>
    </row>
    <row r="348" spans="2:22" s="343" customFormat="1" ht="36" customHeight="1" x14ac:dyDescent="0.25">
      <c r="B348" s="614">
        <v>44536</v>
      </c>
      <c r="C348" s="103">
        <v>0.95833333333333337</v>
      </c>
      <c r="D348" s="410">
        <v>46</v>
      </c>
      <c r="E348" s="415">
        <v>10.3</v>
      </c>
      <c r="F348" s="415">
        <v>12.7</v>
      </c>
      <c r="G348" s="413">
        <v>1254</v>
      </c>
      <c r="H348" s="413">
        <v>1986</v>
      </c>
      <c r="I348" s="413">
        <v>104.4</v>
      </c>
      <c r="J348" s="413">
        <v>106.1</v>
      </c>
      <c r="K348" s="416" t="s">
        <v>1696</v>
      </c>
      <c r="L348" s="416">
        <v>31.82</v>
      </c>
      <c r="M348" s="416">
        <v>36</v>
      </c>
      <c r="N348" s="416">
        <v>57.09</v>
      </c>
      <c r="O348" s="416"/>
      <c r="P348" s="416"/>
      <c r="Q348" s="416"/>
      <c r="R348" s="416" t="s">
        <v>1669</v>
      </c>
      <c r="S348" s="416">
        <v>58.1</v>
      </c>
      <c r="T348" s="102" t="s">
        <v>23</v>
      </c>
      <c r="U348" s="416" t="s">
        <v>236</v>
      </c>
      <c r="V348" s="587"/>
    </row>
    <row r="349" spans="2:22" s="343" customFormat="1" ht="36" customHeight="1" x14ac:dyDescent="0.25">
      <c r="B349" s="615">
        <v>44537</v>
      </c>
      <c r="C349" s="103">
        <v>0.95833333333333337</v>
      </c>
      <c r="D349" s="410">
        <v>46</v>
      </c>
      <c r="E349" s="415">
        <v>10.1</v>
      </c>
      <c r="F349" s="415">
        <v>12.6</v>
      </c>
      <c r="G349" s="413">
        <v>1255</v>
      </c>
      <c r="H349" s="413">
        <v>1994</v>
      </c>
      <c r="I349" s="413">
        <v>104.4</v>
      </c>
      <c r="J349" s="413">
        <v>106.1</v>
      </c>
      <c r="K349" s="416" t="s">
        <v>1705</v>
      </c>
      <c r="L349" s="416">
        <v>32.42</v>
      </c>
      <c r="M349" s="416">
        <v>36</v>
      </c>
      <c r="N349" s="416">
        <v>56.93</v>
      </c>
      <c r="O349" s="416"/>
      <c r="P349" s="416"/>
      <c r="Q349" s="416"/>
      <c r="R349" s="416" t="s">
        <v>1669</v>
      </c>
      <c r="S349" s="416">
        <v>57.2</v>
      </c>
      <c r="T349" s="102" t="s">
        <v>23</v>
      </c>
      <c r="U349" s="416" t="s">
        <v>236</v>
      </c>
      <c r="V349" s="587"/>
    </row>
    <row r="350" spans="2:22" s="343" customFormat="1" ht="36" customHeight="1" x14ac:dyDescent="0.25">
      <c r="B350" s="616">
        <v>44538</v>
      </c>
      <c r="C350" s="103">
        <v>0.91666666666666663</v>
      </c>
      <c r="D350" s="410">
        <v>46</v>
      </c>
      <c r="E350" s="415">
        <v>9.6999999999999993</v>
      </c>
      <c r="F350" s="415">
        <v>12.1</v>
      </c>
      <c r="G350" s="413">
        <v>1254</v>
      </c>
      <c r="H350" s="413">
        <v>2025</v>
      </c>
      <c r="I350" s="413">
        <v>104.4</v>
      </c>
      <c r="J350" s="413">
        <v>105.5</v>
      </c>
      <c r="K350" s="416" t="s">
        <v>1706</v>
      </c>
      <c r="L350" s="416">
        <v>32.32</v>
      </c>
      <c r="M350" s="416">
        <v>36</v>
      </c>
      <c r="N350" s="416">
        <v>56.78</v>
      </c>
      <c r="O350" s="416"/>
      <c r="P350" s="416"/>
      <c r="Q350" s="416"/>
      <c r="R350" s="416" t="s">
        <v>1707</v>
      </c>
      <c r="S350" s="416">
        <v>55.3</v>
      </c>
      <c r="T350" s="102" t="s">
        <v>23</v>
      </c>
      <c r="U350" s="416" t="s">
        <v>236</v>
      </c>
      <c r="V350" s="587"/>
    </row>
    <row r="351" spans="2:22" s="343" customFormat="1" ht="36" customHeight="1" x14ac:dyDescent="0.25">
      <c r="B351" s="617">
        <v>44539</v>
      </c>
      <c r="C351" s="103">
        <v>0.97916666666666663</v>
      </c>
      <c r="D351" s="410">
        <v>46</v>
      </c>
      <c r="E351" s="415">
        <v>9.5</v>
      </c>
      <c r="F351" s="415">
        <v>12.1</v>
      </c>
      <c r="G351" s="413">
        <v>1272</v>
      </c>
      <c r="H351" s="413">
        <v>2066</v>
      </c>
      <c r="I351" s="413">
        <v>104.4</v>
      </c>
      <c r="J351" s="413">
        <v>106.1</v>
      </c>
      <c r="K351" s="416" t="s">
        <v>1711</v>
      </c>
      <c r="L351" s="416">
        <v>34.869999999999997</v>
      </c>
      <c r="M351" s="416">
        <v>38</v>
      </c>
      <c r="N351" s="416">
        <v>53.52</v>
      </c>
      <c r="O351" s="416"/>
      <c r="P351" s="416"/>
      <c r="Q351" s="416"/>
      <c r="R351" s="416" t="s">
        <v>1707</v>
      </c>
      <c r="S351" s="416">
        <v>54</v>
      </c>
      <c r="T351" s="102" t="s">
        <v>23</v>
      </c>
      <c r="U351" s="416" t="s">
        <v>236</v>
      </c>
      <c r="V351" s="587"/>
    </row>
    <row r="352" spans="2:22" s="343" customFormat="1" ht="49.5" customHeight="1" x14ac:dyDescent="0.25">
      <c r="B352" s="619">
        <v>44540</v>
      </c>
      <c r="C352" s="103">
        <v>0.97916666666666663</v>
      </c>
      <c r="D352" s="410">
        <v>47</v>
      </c>
      <c r="E352" s="415">
        <v>9.8000000000000007</v>
      </c>
      <c r="F352" s="415">
        <v>12.2</v>
      </c>
      <c r="G352" s="413">
        <v>1277</v>
      </c>
      <c r="H352" s="413">
        <v>2100</v>
      </c>
      <c r="I352" s="413">
        <v>104.4</v>
      </c>
      <c r="J352" s="413">
        <v>106.1</v>
      </c>
      <c r="K352" s="416" t="s">
        <v>1712</v>
      </c>
      <c r="L352" s="416">
        <v>37.81</v>
      </c>
      <c r="M352" s="416">
        <v>40</v>
      </c>
      <c r="N352" s="416">
        <v>53.64</v>
      </c>
      <c r="O352" s="416"/>
      <c r="P352" s="416"/>
      <c r="Q352" s="416"/>
      <c r="R352" s="416" t="s">
        <v>1707</v>
      </c>
      <c r="S352" s="416">
        <v>55.8</v>
      </c>
      <c r="T352" s="102" t="s">
        <v>23</v>
      </c>
      <c r="U352" s="416" t="s">
        <v>236</v>
      </c>
      <c r="V352" s="587" t="s">
        <v>1713</v>
      </c>
    </row>
    <row r="353" spans="1:22" s="343" customFormat="1" ht="36" customHeight="1" x14ac:dyDescent="0.25">
      <c r="B353" s="620">
        <v>44541</v>
      </c>
      <c r="C353" s="103">
        <v>0.9375</v>
      </c>
      <c r="D353" s="410">
        <v>47</v>
      </c>
      <c r="E353" s="415">
        <v>10</v>
      </c>
      <c r="F353" s="415">
        <v>12.5</v>
      </c>
      <c r="G353" s="413">
        <v>1281</v>
      </c>
      <c r="H353" s="413">
        <v>2089</v>
      </c>
      <c r="I353" s="413">
        <v>104.4</v>
      </c>
      <c r="J353" s="413">
        <v>106.1</v>
      </c>
      <c r="K353" s="416" t="s">
        <v>1714</v>
      </c>
      <c r="L353" s="416">
        <v>36.43</v>
      </c>
      <c r="M353" s="416">
        <v>40</v>
      </c>
      <c r="N353" s="416">
        <v>54.22</v>
      </c>
      <c r="O353" s="416"/>
      <c r="P353" s="416"/>
      <c r="Q353" s="416"/>
      <c r="R353" s="416" t="s">
        <v>1707</v>
      </c>
      <c r="S353" s="416">
        <v>57.2</v>
      </c>
      <c r="T353" s="102" t="s">
        <v>23</v>
      </c>
      <c r="U353" s="416" t="s">
        <v>236</v>
      </c>
      <c r="V353" s="587"/>
    </row>
    <row r="354" spans="1:22" s="343" customFormat="1" ht="36" customHeight="1" x14ac:dyDescent="0.25">
      <c r="B354" s="621">
        <v>44542</v>
      </c>
      <c r="C354" s="103">
        <v>0.9375</v>
      </c>
      <c r="D354" s="410">
        <v>47</v>
      </c>
      <c r="E354" s="415">
        <v>10</v>
      </c>
      <c r="F354" s="415">
        <v>12.5</v>
      </c>
      <c r="G354" s="413">
        <v>1280</v>
      </c>
      <c r="H354" s="413">
        <v>2090</v>
      </c>
      <c r="I354" s="413">
        <v>104.4</v>
      </c>
      <c r="J354" s="413">
        <v>106.1</v>
      </c>
      <c r="K354" s="416" t="s">
        <v>1715</v>
      </c>
      <c r="L354" s="416">
        <v>35.54</v>
      </c>
      <c r="M354" s="416">
        <v>39</v>
      </c>
      <c r="N354" s="416">
        <v>55.29</v>
      </c>
      <c r="O354" s="416"/>
      <c r="P354" s="416"/>
      <c r="Q354" s="416"/>
      <c r="R354" s="416" t="s">
        <v>1707</v>
      </c>
      <c r="S354" s="416">
        <v>57.2</v>
      </c>
      <c r="T354" s="102" t="s">
        <v>23</v>
      </c>
      <c r="U354" s="416" t="s">
        <v>236</v>
      </c>
      <c r="V354" s="587"/>
    </row>
    <row r="355" spans="1:22" s="343" customFormat="1" ht="36" customHeight="1" x14ac:dyDescent="0.25">
      <c r="B355" s="622">
        <v>44543</v>
      </c>
      <c r="C355" s="103">
        <v>0.91666666666666663</v>
      </c>
      <c r="D355" s="410">
        <v>47</v>
      </c>
      <c r="E355" s="415">
        <v>10.9</v>
      </c>
      <c r="F355" s="415">
        <v>13.2</v>
      </c>
      <c r="G355" s="413">
        <v>1270</v>
      </c>
      <c r="H355" s="413">
        <v>2045</v>
      </c>
      <c r="I355" s="413">
        <v>105</v>
      </c>
      <c r="J355" s="413">
        <v>106.1</v>
      </c>
      <c r="K355" s="416" t="s">
        <v>1716</v>
      </c>
      <c r="L355" s="416">
        <v>32.14</v>
      </c>
      <c r="M355" s="416">
        <v>38</v>
      </c>
      <c r="N355" s="416">
        <v>56.74</v>
      </c>
      <c r="O355" s="416"/>
      <c r="P355" s="416"/>
      <c r="Q355" s="416"/>
      <c r="R355" s="416" t="s">
        <v>1717</v>
      </c>
      <c r="S355" s="416">
        <v>60.4</v>
      </c>
      <c r="T355" s="102" t="s">
        <v>23</v>
      </c>
      <c r="U355" s="416" t="s">
        <v>236</v>
      </c>
      <c r="V355" s="587"/>
    </row>
    <row r="356" spans="1:22" s="343" customFormat="1" ht="36" customHeight="1" x14ac:dyDescent="0.25">
      <c r="B356" s="623">
        <v>44544</v>
      </c>
      <c r="C356" s="103">
        <v>0.91666666666666663</v>
      </c>
      <c r="D356" s="410">
        <v>47</v>
      </c>
      <c r="E356" s="415">
        <v>10.6</v>
      </c>
      <c r="F356" s="415">
        <v>12.9</v>
      </c>
      <c r="G356" s="413">
        <v>1264</v>
      </c>
      <c r="H356" s="413">
        <v>2036</v>
      </c>
      <c r="I356" s="413">
        <v>104.4</v>
      </c>
      <c r="J356" s="413">
        <v>105.5</v>
      </c>
      <c r="K356" s="416" t="s">
        <v>1718</v>
      </c>
      <c r="L356" s="416">
        <v>33.74</v>
      </c>
      <c r="M356" s="416">
        <v>38.5</v>
      </c>
      <c r="N356" s="416">
        <v>57.51</v>
      </c>
      <c r="O356" s="416"/>
      <c r="P356" s="416"/>
      <c r="Q356" s="416"/>
      <c r="R356" s="416" t="s">
        <v>1719</v>
      </c>
      <c r="S356" s="416">
        <v>59</v>
      </c>
      <c r="T356" s="102" t="s">
        <v>23</v>
      </c>
      <c r="U356" s="416" t="s">
        <v>236</v>
      </c>
      <c r="V356" s="587"/>
    </row>
    <row r="357" spans="1:22" s="343" customFormat="1" ht="36" customHeight="1" x14ac:dyDescent="0.25">
      <c r="B357" s="624">
        <v>44545</v>
      </c>
      <c r="C357" s="103">
        <v>0.95833333333333337</v>
      </c>
      <c r="D357" s="410">
        <v>47</v>
      </c>
      <c r="E357" s="415">
        <v>10.5</v>
      </c>
      <c r="F357" s="415">
        <v>12.9</v>
      </c>
      <c r="G357" s="413">
        <v>1268</v>
      </c>
      <c r="H357" s="413">
        <v>2047</v>
      </c>
      <c r="I357" s="413">
        <v>104.4</v>
      </c>
      <c r="J357" s="413">
        <v>105.5</v>
      </c>
      <c r="K357" s="416" t="s">
        <v>1720</v>
      </c>
      <c r="L357" s="416">
        <v>33.04</v>
      </c>
      <c r="M357" s="416">
        <v>38.5</v>
      </c>
      <c r="N357" s="416">
        <v>57.14</v>
      </c>
      <c r="O357" s="416"/>
      <c r="P357" s="416"/>
      <c r="Q357" s="416"/>
      <c r="R357" s="416" t="s">
        <v>1719</v>
      </c>
      <c r="S357" s="416">
        <v>59</v>
      </c>
      <c r="T357" s="102" t="s">
        <v>23</v>
      </c>
      <c r="U357" s="416" t="s">
        <v>236</v>
      </c>
      <c r="V357" s="587"/>
    </row>
    <row r="358" spans="1:22" s="343" customFormat="1" ht="36" customHeight="1" x14ac:dyDescent="0.25">
      <c r="B358" s="625">
        <v>44546</v>
      </c>
      <c r="C358" s="103">
        <v>0.9375</v>
      </c>
      <c r="D358" s="410">
        <v>47</v>
      </c>
      <c r="E358" s="415">
        <v>10.5</v>
      </c>
      <c r="F358" s="415">
        <v>12.9</v>
      </c>
      <c r="G358" s="413">
        <v>1265</v>
      </c>
      <c r="H358" s="413">
        <v>2050</v>
      </c>
      <c r="I358" s="413">
        <v>104.4</v>
      </c>
      <c r="J358" s="413">
        <v>105.5</v>
      </c>
      <c r="K358" s="416" t="s">
        <v>1721</v>
      </c>
      <c r="L358" s="416">
        <v>33.5</v>
      </c>
      <c r="M358" s="416">
        <v>38.5</v>
      </c>
      <c r="N358" s="416">
        <v>53.99</v>
      </c>
      <c r="O358" s="416"/>
      <c r="P358" s="416"/>
      <c r="Q358" s="416"/>
      <c r="R358" s="416" t="s">
        <v>1722</v>
      </c>
      <c r="S358" s="416">
        <v>59</v>
      </c>
      <c r="T358" s="102" t="s">
        <v>23</v>
      </c>
      <c r="U358" s="416" t="s">
        <v>236</v>
      </c>
      <c r="V358" s="587"/>
    </row>
    <row r="359" spans="1:22" s="343" customFormat="1" ht="36" customHeight="1" x14ac:dyDescent="0.25">
      <c r="B359" s="626">
        <v>44547</v>
      </c>
      <c r="C359" s="103">
        <v>0.9375</v>
      </c>
      <c r="D359" s="410">
        <v>47</v>
      </c>
      <c r="E359" s="415">
        <v>10.5</v>
      </c>
      <c r="F359" s="415">
        <v>12.9</v>
      </c>
      <c r="G359" s="413">
        <v>1267</v>
      </c>
      <c r="H359" s="413">
        <v>2049</v>
      </c>
      <c r="I359" s="413">
        <v>104.4</v>
      </c>
      <c r="J359" s="413">
        <v>105.5</v>
      </c>
      <c r="K359" s="416" t="s">
        <v>1727</v>
      </c>
      <c r="L359" s="416">
        <v>33.56</v>
      </c>
      <c r="M359" s="416">
        <v>37</v>
      </c>
      <c r="N359" s="416">
        <v>56.44</v>
      </c>
      <c r="O359" s="416"/>
      <c r="P359" s="416"/>
      <c r="Q359" s="416"/>
      <c r="R359" s="416" t="s">
        <v>1728</v>
      </c>
      <c r="S359" s="416">
        <v>59</v>
      </c>
      <c r="T359" s="102" t="s">
        <v>23</v>
      </c>
      <c r="U359" s="416" t="s">
        <v>236</v>
      </c>
      <c r="V359" s="587"/>
    </row>
    <row r="360" spans="1:22" s="343" customFormat="1" ht="36" customHeight="1" x14ac:dyDescent="0.25">
      <c r="B360" s="627">
        <v>44548</v>
      </c>
      <c r="C360" s="103">
        <v>0.9375</v>
      </c>
      <c r="D360" s="410">
        <v>47</v>
      </c>
      <c r="E360" s="415">
        <v>10.5</v>
      </c>
      <c r="F360" s="415">
        <v>12.8</v>
      </c>
      <c r="G360" s="413">
        <v>1265</v>
      </c>
      <c r="H360" s="413">
        <v>2039</v>
      </c>
      <c r="I360" s="413">
        <v>105</v>
      </c>
      <c r="J360" s="413">
        <v>106.1</v>
      </c>
      <c r="K360" s="416" t="s">
        <v>1737</v>
      </c>
      <c r="L360" s="416">
        <v>33.4</v>
      </c>
      <c r="M360" s="416">
        <v>37</v>
      </c>
      <c r="N360" s="416">
        <v>57.04</v>
      </c>
      <c r="O360" s="416"/>
      <c r="P360" s="416"/>
      <c r="Q360" s="416"/>
      <c r="R360" s="416" t="s">
        <v>1738</v>
      </c>
      <c r="S360" s="416">
        <v>58.5</v>
      </c>
      <c r="T360" s="102" t="s">
        <v>23</v>
      </c>
      <c r="U360" s="416" t="s">
        <v>236</v>
      </c>
      <c r="V360" s="587"/>
    </row>
    <row r="361" spans="1:22" s="343" customFormat="1" ht="36" customHeight="1" x14ac:dyDescent="0.25">
      <c r="A361" s="343" t="s">
        <v>383</v>
      </c>
      <c r="B361" s="628">
        <v>44549</v>
      </c>
      <c r="C361" s="103">
        <v>0.89583333333333337</v>
      </c>
      <c r="D361" s="410">
        <v>47</v>
      </c>
      <c r="E361" s="415">
        <v>10.5</v>
      </c>
      <c r="F361" s="415">
        <v>13</v>
      </c>
      <c r="G361" s="413">
        <v>1258</v>
      </c>
      <c r="H361" s="413">
        <v>2038</v>
      </c>
      <c r="I361" s="413">
        <v>105</v>
      </c>
      <c r="J361" s="413">
        <v>106.6</v>
      </c>
      <c r="K361" s="416" t="s">
        <v>1741</v>
      </c>
      <c r="L361" s="416">
        <v>34.119999999999997</v>
      </c>
      <c r="M361" s="416">
        <v>37</v>
      </c>
      <c r="N361" s="416">
        <v>57.32</v>
      </c>
      <c r="O361" s="416"/>
      <c r="P361" s="416"/>
      <c r="Q361" s="416"/>
      <c r="R361" s="416" t="s">
        <v>1742</v>
      </c>
      <c r="S361" s="416">
        <v>59.5</v>
      </c>
      <c r="T361" s="102" t="s">
        <v>23</v>
      </c>
      <c r="U361" s="416" t="s">
        <v>236</v>
      </c>
      <c r="V361" s="587"/>
    </row>
    <row r="362" spans="1:22" s="343" customFormat="1" ht="36" customHeight="1" x14ac:dyDescent="0.25">
      <c r="A362" s="343" t="s">
        <v>383</v>
      </c>
      <c r="B362" s="629">
        <v>44550</v>
      </c>
      <c r="C362" s="103">
        <v>0.9375</v>
      </c>
      <c r="D362" s="410">
        <v>47</v>
      </c>
      <c r="E362" s="415">
        <v>10.3</v>
      </c>
      <c r="F362" s="415">
        <v>12.8</v>
      </c>
      <c r="G362" s="413">
        <v>1258.9000000000001</v>
      </c>
      <c r="H362" s="413">
        <v>2045</v>
      </c>
      <c r="I362" s="413">
        <v>104.4</v>
      </c>
      <c r="J362" s="413">
        <v>105.5</v>
      </c>
      <c r="K362" s="416" t="s">
        <v>1747</v>
      </c>
      <c r="L362" s="416">
        <v>34.33</v>
      </c>
      <c r="M362" s="416">
        <v>37</v>
      </c>
      <c r="N362" s="416">
        <v>56.5</v>
      </c>
      <c r="O362" s="416"/>
      <c r="P362" s="416"/>
      <c r="Q362" s="416"/>
      <c r="R362" s="416" t="s">
        <v>1748</v>
      </c>
      <c r="S362" s="416">
        <v>58.5</v>
      </c>
      <c r="T362" s="102" t="s">
        <v>23</v>
      </c>
      <c r="U362" s="416" t="s">
        <v>236</v>
      </c>
      <c r="V362" s="587"/>
    </row>
    <row r="363" spans="1:22" s="343" customFormat="1" ht="36" customHeight="1" x14ac:dyDescent="0.25">
      <c r="A363" s="343" t="s">
        <v>383</v>
      </c>
      <c r="B363" s="630">
        <v>44551</v>
      </c>
      <c r="C363" s="103">
        <v>0.9375</v>
      </c>
      <c r="D363" s="410">
        <v>47</v>
      </c>
      <c r="E363" s="415">
        <v>10.1</v>
      </c>
      <c r="F363" s="415">
        <v>12.5</v>
      </c>
      <c r="G363" s="413">
        <v>1262</v>
      </c>
      <c r="H363" s="413">
        <v>2074</v>
      </c>
      <c r="I363" s="413">
        <v>104.4</v>
      </c>
      <c r="J363" s="413">
        <v>106.1</v>
      </c>
      <c r="K363" s="416" t="s">
        <v>1753</v>
      </c>
      <c r="L363" s="416">
        <v>35.700000000000003</v>
      </c>
      <c r="M363" s="416">
        <v>38</v>
      </c>
      <c r="N363" s="416">
        <v>57.2</v>
      </c>
      <c r="O363" s="416"/>
      <c r="P363" s="416"/>
      <c r="Q363" s="416"/>
      <c r="R363" s="416" t="s">
        <v>1111</v>
      </c>
      <c r="S363" s="416">
        <v>57.2</v>
      </c>
      <c r="T363" s="102" t="s">
        <v>23</v>
      </c>
      <c r="U363" s="416" t="s">
        <v>236</v>
      </c>
      <c r="V363" s="587"/>
    </row>
    <row r="364" spans="1:22" s="343" customFormat="1" ht="36" customHeight="1" x14ac:dyDescent="0.25">
      <c r="A364" s="343" t="s">
        <v>383</v>
      </c>
      <c r="B364" s="631">
        <v>44552</v>
      </c>
      <c r="C364" s="103">
        <v>0.91666666666666663</v>
      </c>
      <c r="D364" s="410">
        <v>47</v>
      </c>
      <c r="E364" s="415">
        <v>10.3</v>
      </c>
      <c r="F364" s="415">
        <v>12.7</v>
      </c>
      <c r="G364" s="413">
        <v>1270</v>
      </c>
      <c r="H364" s="413">
        <v>2065</v>
      </c>
      <c r="I364" s="413">
        <v>104.4</v>
      </c>
      <c r="J364" s="413">
        <v>105.5</v>
      </c>
      <c r="K364" s="416" t="s">
        <v>1762</v>
      </c>
      <c r="L364" s="416">
        <v>35.369999999999997</v>
      </c>
      <c r="M364" s="416">
        <v>38</v>
      </c>
      <c r="N364" s="416">
        <v>55.2</v>
      </c>
      <c r="O364" s="416"/>
      <c r="P364" s="416"/>
      <c r="Q364" s="416"/>
      <c r="R364" s="416" t="s">
        <v>1763</v>
      </c>
      <c r="S364" s="416">
        <v>58.1</v>
      </c>
      <c r="T364" s="102" t="s">
        <v>23</v>
      </c>
      <c r="U364" s="416" t="s">
        <v>236</v>
      </c>
      <c r="V364" s="587"/>
    </row>
    <row r="365" spans="1:22" s="343" customFormat="1" ht="36" customHeight="1" x14ac:dyDescent="0.25">
      <c r="A365" s="343" t="s">
        <v>383</v>
      </c>
      <c r="B365" s="632">
        <v>44553</v>
      </c>
      <c r="C365" s="103">
        <v>0.95833333333333337</v>
      </c>
      <c r="D365" s="410">
        <v>47</v>
      </c>
      <c r="E365" s="415">
        <v>10.4</v>
      </c>
      <c r="F365" s="415">
        <v>12.7</v>
      </c>
      <c r="G365" s="413">
        <v>1262.7</v>
      </c>
      <c r="H365" s="413">
        <v>2052</v>
      </c>
      <c r="I365" s="413">
        <v>104.4</v>
      </c>
      <c r="J365" s="413">
        <v>105.5</v>
      </c>
      <c r="K365" s="416" t="s">
        <v>1767</v>
      </c>
      <c r="L365" s="416">
        <v>34.06</v>
      </c>
      <c r="M365" s="416">
        <v>37.5</v>
      </c>
      <c r="N365" s="416">
        <v>55.2</v>
      </c>
      <c r="O365" s="416"/>
      <c r="P365" s="416"/>
      <c r="Q365" s="416"/>
      <c r="R365" s="416" t="s">
        <v>1768</v>
      </c>
      <c r="S365" s="416">
        <v>58.1</v>
      </c>
      <c r="T365" s="102" t="s">
        <v>23</v>
      </c>
      <c r="U365" s="416" t="s">
        <v>236</v>
      </c>
      <c r="V365" s="587"/>
    </row>
    <row r="366" spans="1:22" s="343" customFormat="1" ht="36" customHeight="1" x14ac:dyDescent="0.25">
      <c r="A366" s="343" t="s">
        <v>383</v>
      </c>
      <c r="B366" s="633">
        <v>44554</v>
      </c>
      <c r="C366" s="103">
        <v>0.9375</v>
      </c>
      <c r="D366" s="410">
        <v>47</v>
      </c>
      <c r="E366" s="415">
        <v>10.7</v>
      </c>
      <c r="F366" s="415">
        <v>13</v>
      </c>
      <c r="G366" s="413">
        <v>1252.7</v>
      </c>
      <c r="H366" s="413">
        <v>2012</v>
      </c>
      <c r="I366" s="413">
        <v>105.5</v>
      </c>
      <c r="J366" s="413">
        <v>106.1</v>
      </c>
      <c r="K366" s="416" t="s">
        <v>1772</v>
      </c>
      <c r="L366" s="416">
        <v>33.020000000000003</v>
      </c>
      <c r="M366" s="416">
        <v>37.5</v>
      </c>
      <c r="N366" s="416">
        <v>58.16</v>
      </c>
      <c r="O366" s="416"/>
      <c r="P366" s="416"/>
      <c r="Q366" s="416"/>
      <c r="R366" s="416" t="s">
        <v>1773</v>
      </c>
      <c r="S366" s="416">
        <v>59.5</v>
      </c>
      <c r="T366" s="102" t="s">
        <v>23</v>
      </c>
      <c r="U366" s="416" t="s">
        <v>236</v>
      </c>
      <c r="V366" s="587"/>
    </row>
    <row r="367" spans="1:22" s="343" customFormat="1" ht="36" customHeight="1" x14ac:dyDescent="0.25">
      <c r="A367" s="343" t="s">
        <v>383</v>
      </c>
      <c r="B367" s="634">
        <v>44555</v>
      </c>
      <c r="C367" s="103">
        <v>0.91666666666666663</v>
      </c>
      <c r="D367" s="410">
        <v>47</v>
      </c>
      <c r="E367" s="415">
        <v>10.9</v>
      </c>
      <c r="F367" s="415">
        <v>13.2</v>
      </c>
      <c r="G367" s="413">
        <v>1243</v>
      </c>
      <c r="H367" s="413">
        <v>1981</v>
      </c>
      <c r="I367" s="413">
        <v>105</v>
      </c>
      <c r="J367" s="413">
        <v>106.6</v>
      </c>
      <c r="K367" s="416" t="s">
        <v>1781</v>
      </c>
      <c r="L367" s="416">
        <v>31.18</v>
      </c>
      <c r="M367" s="416">
        <v>35.5</v>
      </c>
      <c r="N367" s="416">
        <v>58.54</v>
      </c>
      <c r="O367" s="416"/>
      <c r="P367" s="416"/>
      <c r="Q367" s="416"/>
      <c r="R367" s="416" t="s">
        <v>1782</v>
      </c>
      <c r="S367" s="416">
        <v>60.4</v>
      </c>
      <c r="T367" s="102" t="s">
        <v>23</v>
      </c>
      <c r="U367" s="416" t="s">
        <v>236</v>
      </c>
      <c r="V367" s="587"/>
    </row>
    <row r="368" spans="1:22" s="343" customFormat="1" ht="36" customHeight="1" x14ac:dyDescent="0.25">
      <c r="A368" s="343" t="s">
        <v>383</v>
      </c>
      <c r="B368" s="635">
        <v>44556</v>
      </c>
      <c r="C368" s="103">
        <v>0.9375</v>
      </c>
      <c r="D368" s="410">
        <v>47</v>
      </c>
      <c r="E368" s="415">
        <v>10.199999999999999</v>
      </c>
      <c r="F368" s="415">
        <v>12.6</v>
      </c>
      <c r="G368" s="413">
        <v>1248</v>
      </c>
      <c r="H368" s="413">
        <v>2044</v>
      </c>
      <c r="I368" s="413">
        <v>104.4</v>
      </c>
      <c r="J368" s="413">
        <v>105.5</v>
      </c>
      <c r="K368" s="416" t="s">
        <v>1786</v>
      </c>
      <c r="L368" s="416">
        <v>34.54</v>
      </c>
      <c r="M368" s="416">
        <v>37</v>
      </c>
      <c r="N368" s="416">
        <v>56.71</v>
      </c>
      <c r="O368" s="416"/>
      <c r="P368" s="416"/>
      <c r="Q368" s="416"/>
      <c r="R368" s="416" t="s">
        <v>1787</v>
      </c>
      <c r="S368" s="416">
        <v>57.6</v>
      </c>
      <c r="T368" s="102" t="s">
        <v>23</v>
      </c>
      <c r="U368" s="416" t="s">
        <v>236</v>
      </c>
      <c r="V368" s="587"/>
    </row>
    <row r="369" spans="1:22" s="343" customFormat="1" ht="36" customHeight="1" x14ac:dyDescent="0.25">
      <c r="A369" s="343" t="s">
        <v>383</v>
      </c>
      <c r="B369" s="636">
        <v>44557</v>
      </c>
      <c r="C369" s="103">
        <v>0.85416666666666663</v>
      </c>
      <c r="D369" s="410">
        <v>47</v>
      </c>
      <c r="E369" s="415">
        <v>10.5</v>
      </c>
      <c r="F369" s="415">
        <v>12.8</v>
      </c>
      <c r="G369" s="413">
        <v>1248.0999999999999</v>
      </c>
      <c r="H369" s="413">
        <v>2017</v>
      </c>
      <c r="I369" s="413">
        <v>105</v>
      </c>
      <c r="J369" s="413">
        <v>106.1</v>
      </c>
      <c r="K369" s="416" t="s">
        <v>954</v>
      </c>
      <c r="L369" s="416">
        <v>32.630000000000003</v>
      </c>
      <c r="M369" s="416">
        <v>36</v>
      </c>
      <c r="N369" s="416">
        <v>58.05</v>
      </c>
      <c r="O369" s="416"/>
      <c r="P369" s="416"/>
      <c r="Q369" s="416"/>
      <c r="R369" s="416" t="s">
        <v>1790</v>
      </c>
      <c r="S369" s="416">
        <v>58.5</v>
      </c>
      <c r="T369" s="102" t="s">
        <v>23</v>
      </c>
      <c r="U369" s="416" t="s">
        <v>236</v>
      </c>
      <c r="V369" s="587"/>
    </row>
    <row r="370" spans="1:22" s="343" customFormat="1" ht="36" customHeight="1" x14ac:dyDescent="0.25">
      <c r="A370" s="343" t="s">
        <v>383</v>
      </c>
      <c r="B370" s="637">
        <v>44558</v>
      </c>
      <c r="C370" s="103">
        <v>0.9375</v>
      </c>
      <c r="D370" s="410">
        <v>47</v>
      </c>
      <c r="E370" s="415">
        <v>10.6</v>
      </c>
      <c r="F370" s="415">
        <v>13</v>
      </c>
      <c r="G370" s="413">
        <v>1243</v>
      </c>
      <c r="H370" s="413">
        <v>2017</v>
      </c>
      <c r="I370" s="413">
        <v>105</v>
      </c>
      <c r="J370" s="413">
        <v>105.5</v>
      </c>
      <c r="K370" s="416" t="s">
        <v>1793</v>
      </c>
      <c r="L370" s="416">
        <v>33.25</v>
      </c>
      <c r="M370" s="416">
        <v>36</v>
      </c>
      <c r="N370" s="416">
        <v>57.97</v>
      </c>
      <c r="O370" s="416"/>
      <c r="P370" s="416"/>
      <c r="Q370" s="416"/>
      <c r="R370" s="416" t="s">
        <v>1728</v>
      </c>
      <c r="S370" s="416">
        <v>59.5</v>
      </c>
      <c r="T370" s="102" t="s">
        <v>23</v>
      </c>
      <c r="U370" s="416" t="s">
        <v>236</v>
      </c>
      <c r="V370" s="587"/>
    </row>
    <row r="371" spans="1:22" s="343" customFormat="1" ht="36" customHeight="1" x14ac:dyDescent="0.25">
      <c r="A371" s="343" t="s">
        <v>383</v>
      </c>
      <c r="B371" s="638">
        <v>44559</v>
      </c>
      <c r="C371" s="103">
        <v>0.97916666666666663</v>
      </c>
      <c r="D371" s="410">
        <v>47</v>
      </c>
      <c r="E371" s="415">
        <v>10.7</v>
      </c>
      <c r="F371" s="415">
        <v>13</v>
      </c>
      <c r="G371" s="413">
        <v>1238</v>
      </c>
      <c r="H371" s="413">
        <v>1992</v>
      </c>
      <c r="I371" s="413">
        <v>104.4</v>
      </c>
      <c r="J371" s="413">
        <v>105.5</v>
      </c>
      <c r="K371" s="416" t="s">
        <v>1796</v>
      </c>
      <c r="L371" s="416">
        <v>32.28</v>
      </c>
      <c r="M371" s="416">
        <v>36</v>
      </c>
      <c r="N371" s="416">
        <v>57.85</v>
      </c>
      <c r="O371" s="416"/>
      <c r="P371" s="416"/>
      <c r="Q371" s="416"/>
      <c r="R371" s="416" t="s">
        <v>1797</v>
      </c>
      <c r="S371" s="416">
        <v>59.5</v>
      </c>
      <c r="T371" s="102" t="s">
        <v>23</v>
      </c>
      <c r="U371" s="416" t="s">
        <v>236</v>
      </c>
      <c r="V371" s="587"/>
    </row>
    <row r="372" spans="1:22" s="343" customFormat="1" ht="36" customHeight="1" x14ac:dyDescent="0.25">
      <c r="A372" s="343" t="s">
        <v>383</v>
      </c>
      <c r="B372" s="639">
        <v>44560</v>
      </c>
      <c r="C372" s="103">
        <v>0.95833333333333337</v>
      </c>
      <c r="D372" s="410">
        <v>47</v>
      </c>
      <c r="E372" s="415">
        <v>10.7</v>
      </c>
      <c r="F372" s="415">
        <v>13</v>
      </c>
      <c r="G372" s="413">
        <v>1239</v>
      </c>
      <c r="H372" s="413">
        <v>2019</v>
      </c>
      <c r="I372" s="413">
        <v>105.5</v>
      </c>
      <c r="J372" s="413">
        <v>106.1</v>
      </c>
      <c r="K372" s="416" t="s">
        <v>1807</v>
      </c>
      <c r="L372" s="416">
        <v>32.01</v>
      </c>
      <c r="M372" s="416">
        <v>36</v>
      </c>
      <c r="N372" s="416">
        <v>57.81</v>
      </c>
      <c r="O372" s="416"/>
      <c r="P372" s="416"/>
      <c r="Q372" s="416"/>
      <c r="R372" s="416" t="s">
        <v>1808</v>
      </c>
      <c r="S372" s="416">
        <v>59.5</v>
      </c>
      <c r="T372" s="102" t="s">
        <v>23</v>
      </c>
      <c r="U372" s="416" t="s">
        <v>236</v>
      </c>
      <c r="V372" s="587"/>
    </row>
    <row r="373" spans="1:22" s="343" customFormat="1" ht="36" customHeight="1" x14ac:dyDescent="0.25">
      <c r="A373" s="343" t="s">
        <v>383</v>
      </c>
      <c r="B373" s="640">
        <v>44561</v>
      </c>
      <c r="C373" s="103">
        <v>0.85416666666666663</v>
      </c>
      <c r="D373" s="410">
        <v>47</v>
      </c>
      <c r="E373" s="415">
        <v>10.4</v>
      </c>
      <c r="F373" s="415">
        <v>12.8</v>
      </c>
      <c r="G373" s="413">
        <v>1243</v>
      </c>
      <c r="H373" s="413">
        <v>2038</v>
      </c>
      <c r="I373" s="413">
        <v>104.4</v>
      </c>
      <c r="J373" s="413">
        <v>106.1</v>
      </c>
      <c r="K373" s="416" t="s">
        <v>1817</v>
      </c>
      <c r="L373" s="416">
        <v>33.46</v>
      </c>
      <c r="M373" s="416">
        <v>36</v>
      </c>
      <c r="N373" s="416">
        <v>56.81</v>
      </c>
      <c r="O373" s="416"/>
      <c r="P373" s="416"/>
      <c r="Q373" s="416"/>
      <c r="R373" s="416" t="s">
        <v>1053</v>
      </c>
      <c r="S373" s="416">
        <v>58.5</v>
      </c>
      <c r="T373" s="102" t="s">
        <v>23</v>
      </c>
      <c r="U373" s="416" t="s">
        <v>236</v>
      </c>
      <c r="V373" s="587"/>
    </row>
    <row r="374" spans="1:22" s="343" customFormat="1" ht="36" customHeight="1" x14ac:dyDescent="0.25">
      <c r="A374" s="343" t="s">
        <v>383</v>
      </c>
      <c r="B374" s="643">
        <v>44562</v>
      </c>
      <c r="C374" s="103">
        <v>0.95833333333333337</v>
      </c>
      <c r="D374" s="410">
        <v>47</v>
      </c>
      <c r="E374" s="415">
        <v>10.8</v>
      </c>
      <c r="F374" s="415">
        <v>13</v>
      </c>
      <c r="G374" s="413">
        <v>1243</v>
      </c>
      <c r="H374" s="413">
        <v>2025</v>
      </c>
      <c r="I374" s="413">
        <v>105</v>
      </c>
      <c r="J374" s="413">
        <v>105.5</v>
      </c>
      <c r="K374" s="416" t="s">
        <v>1821</v>
      </c>
      <c r="L374" s="416">
        <v>31.56</v>
      </c>
      <c r="M374" s="416">
        <v>35</v>
      </c>
      <c r="N374" s="416">
        <v>57.7</v>
      </c>
      <c r="O374" s="416"/>
      <c r="P374" s="416"/>
      <c r="Q374" s="416"/>
      <c r="R374" s="416" t="s">
        <v>1822</v>
      </c>
      <c r="S374" s="416">
        <v>59.5</v>
      </c>
      <c r="T374" s="102" t="s">
        <v>23</v>
      </c>
      <c r="U374" s="416" t="s">
        <v>236</v>
      </c>
      <c r="V374" s="587"/>
    </row>
    <row r="375" spans="1:22" s="343" customFormat="1" ht="36" customHeight="1" x14ac:dyDescent="0.25">
      <c r="A375" s="343" t="s">
        <v>383</v>
      </c>
      <c r="B375" s="647">
        <v>44563</v>
      </c>
      <c r="C375" s="1583" t="s">
        <v>1857</v>
      </c>
      <c r="D375" s="1584"/>
      <c r="E375" s="1584"/>
      <c r="F375" s="1584"/>
      <c r="G375" s="1584"/>
      <c r="H375" s="1584"/>
      <c r="I375" s="1584"/>
      <c r="J375" s="1584"/>
      <c r="K375" s="1584"/>
      <c r="L375" s="1584"/>
      <c r="M375" s="1584"/>
      <c r="N375" s="1584"/>
      <c r="O375" s="1584"/>
      <c r="P375" s="1584"/>
      <c r="Q375" s="1584"/>
      <c r="R375" s="1584"/>
      <c r="S375" s="1585"/>
      <c r="T375" s="102" t="s">
        <v>23</v>
      </c>
      <c r="U375" s="416" t="s">
        <v>236</v>
      </c>
      <c r="V375" s="587"/>
    </row>
    <row r="376" spans="1:22" s="343" customFormat="1" ht="36" customHeight="1" x14ac:dyDescent="0.25">
      <c r="A376" s="343" t="s">
        <v>383</v>
      </c>
      <c r="B376" s="648">
        <v>44564</v>
      </c>
      <c r="C376" s="1586"/>
      <c r="D376" s="1587"/>
      <c r="E376" s="1587"/>
      <c r="F376" s="1587"/>
      <c r="G376" s="1587"/>
      <c r="H376" s="1587"/>
      <c r="I376" s="1587"/>
      <c r="J376" s="1587"/>
      <c r="K376" s="1587"/>
      <c r="L376" s="1587"/>
      <c r="M376" s="1587"/>
      <c r="N376" s="1587"/>
      <c r="O376" s="1587"/>
      <c r="P376" s="1587"/>
      <c r="Q376" s="1587"/>
      <c r="R376" s="1587"/>
      <c r="S376" s="1588"/>
      <c r="T376" s="102" t="s">
        <v>23</v>
      </c>
      <c r="U376" s="416" t="s">
        <v>236</v>
      </c>
      <c r="V376" s="587"/>
    </row>
    <row r="377" spans="1:22" s="343" customFormat="1" ht="36" customHeight="1" x14ac:dyDescent="0.25">
      <c r="A377" s="343" t="s">
        <v>383</v>
      </c>
      <c r="B377" s="649">
        <v>44565</v>
      </c>
      <c r="C377" s="1586"/>
      <c r="D377" s="1587"/>
      <c r="E377" s="1587"/>
      <c r="F377" s="1587"/>
      <c r="G377" s="1587"/>
      <c r="H377" s="1587"/>
      <c r="I377" s="1587"/>
      <c r="J377" s="1587"/>
      <c r="K377" s="1587"/>
      <c r="L377" s="1587"/>
      <c r="M377" s="1587"/>
      <c r="N377" s="1587"/>
      <c r="O377" s="1587"/>
      <c r="P377" s="1587"/>
      <c r="Q377" s="1587"/>
      <c r="R377" s="1587"/>
      <c r="S377" s="1588"/>
      <c r="T377" s="102" t="s">
        <v>23</v>
      </c>
      <c r="U377" s="416" t="s">
        <v>236</v>
      </c>
      <c r="V377" s="587"/>
    </row>
    <row r="378" spans="1:22" s="343" customFormat="1" ht="36" customHeight="1" x14ac:dyDescent="0.25">
      <c r="A378" s="343" t="s">
        <v>383</v>
      </c>
      <c r="B378" s="650">
        <v>44566</v>
      </c>
      <c r="C378" s="1589"/>
      <c r="D378" s="1590"/>
      <c r="E378" s="1590"/>
      <c r="F378" s="1590"/>
      <c r="G378" s="1590"/>
      <c r="H378" s="1590"/>
      <c r="I378" s="1590"/>
      <c r="J378" s="1590"/>
      <c r="K378" s="1590"/>
      <c r="L378" s="1590"/>
      <c r="M378" s="1590"/>
      <c r="N378" s="1590"/>
      <c r="O378" s="1590"/>
      <c r="P378" s="1590"/>
      <c r="Q378" s="1590"/>
      <c r="R378" s="1590"/>
      <c r="S378" s="1591"/>
      <c r="T378" s="102" t="s">
        <v>23</v>
      </c>
      <c r="U378" s="416" t="s">
        <v>236</v>
      </c>
      <c r="V378" s="587"/>
    </row>
    <row r="379" spans="1:22" s="343" customFormat="1" ht="36" customHeight="1" x14ac:dyDescent="0.25">
      <c r="A379" s="343" t="s">
        <v>383</v>
      </c>
      <c r="B379" s="651">
        <v>44567</v>
      </c>
      <c r="C379" s="103">
        <v>0.75</v>
      </c>
      <c r="D379" s="410">
        <v>47</v>
      </c>
      <c r="E379" s="415">
        <v>10.3</v>
      </c>
      <c r="F379" s="415">
        <v>18</v>
      </c>
      <c r="G379" s="413">
        <v>1431</v>
      </c>
      <c r="H379" s="413">
        <v>2044</v>
      </c>
      <c r="I379" s="413">
        <v>106</v>
      </c>
      <c r="J379" s="413">
        <v>107.8</v>
      </c>
      <c r="K379" s="416" t="s">
        <v>1847</v>
      </c>
      <c r="L379" s="416">
        <v>31.4</v>
      </c>
      <c r="M379" s="416">
        <v>36</v>
      </c>
      <c r="N379" s="416">
        <v>54.6</v>
      </c>
      <c r="O379" s="416"/>
      <c r="P379" s="416"/>
      <c r="Q379" s="416"/>
      <c r="R379" s="416" t="s">
        <v>1848</v>
      </c>
      <c r="S379" s="416">
        <v>70</v>
      </c>
      <c r="T379" s="102" t="s">
        <v>23</v>
      </c>
      <c r="U379" s="416" t="s">
        <v>236</v>
      </c>
      <c r="V379" s="587"/>
    </row>
    <row r="380" spans="1:22" s="343" customFormat="1" ht="36" customHeight="1" x14ac:dyDescent="0.25">
      <c r="A380" s="343" t="s">
        <v>383</v>
      </c>
      <c r="B380" s="652">
        <v>44568</v>
      </c>
      <c r="C380" s="103">
        <v>0.97916666666666663</v>
      </c>
      <c r="D380" s="410">
        <v>47</v>
      </c>
      <c r="E380" s="415">
        <v>10.199999999999999</v>
      </c>
      <c r="F380" s="415">
        <v>17.899999999999999</v>
      </c>
      <c r="G380" s="413">
        <v>1329</v>
      </c>
      <c r="H380" s="413">
        <v>2064</v>
      </c>
      <c r="I380" s="413">
        <v>106</v>
      </c>
      <c r="J380" s="413">
        <v>106.8</v>
      </c>
      <c r="K380" s="416" t="s">
        <v>1852</v>
      </c>
      <c r="L380" s="416">
        <v>36.32</v>
      </c>
      <c r="M380" s="416">
        <v>39</v>
      </c>
      <c r="N380" s="416">
        <v>58.88</v>
      </c>
      <c r="O380" s="416"/>
      <c r="P380" s="416"/>
      <c r="Q380" s="416"/>
      <c r="R380" s="416" t="s">
        <v>1853</v>
      </c>
      <c r="S380" s="416">
        <v>69.599999999999994</v>
      </c>
      <c r="T380" s="102" t="s">
        <v>23</v>
      </c>
      <c r="U380" s="416" t="s">
        <v>236</v>
      </c>
      <c r="V380" s="587"/>
    </row>
    <row r="381" spans="1:22" s="343" customFormat="1" ht="36" customHeight="1" x14ac:dyDescent="0.25">
      <c r="A381" s="343" t="s">
        <v>383</v>
      </c>
      <c r="B381" s="653">
        <v>44569</v>
      </c>
      <c r="C381" s="103">
        <v>0.95833333333333337</v>
      </c>
      <c r="D381" s="410">
        <v>47</v>
      </c>
      <c r="E381" s="415">
        <v>9.9</v>
      </c>
      <c r="F381" s="415">
        <v>17.8</v>
      </c>
      <c r="G381" s="413">
        <v>1303</v>
      </c>
      <c r="H381" s="413">
        <v>2055</v>
      </c>
      <c r="I381" s="413">
        <v>105.6</v>
      </c>
      <c r="J381" s="413">
        <v>106.8</v>
      </c>
      <c r="K381" s="416" t="s">
        <v>1862</v>
      </c>
      <c r="L381" s="416">
        <v>35.619999999999997</v>
      </c>
      <c r="M381" s="416">
        <v>38.5</v>
      </c>
      <c r="N381" s="416">
        <v>58.43</v>
      </c>
      <c r="O381" s="416"/>
      <c r="P381" s="416"/>
      <c r="Q381" s="416"/>
      <c r="R381" s="416" t="s">
        <v>1863</v>
      </c>
      <c r="S381" s="416">
        <v>69.2</v>
      </c>
      <c r="T381" s="102" t="s">
        <v>23</v>
      </c>
      <c r="U381" s="416" t="s">
        <v>236</v>
      </c>
      <c r="V381" s="587"/>
    </row>
    <row r="382" spans="1:22" s="343" customFormat="1" ht="36" customHeight="1" x14ac:dyDescent="0.25">
      <c r="A382" s="343" t="s">
        <v>383</v>
      </c>
      <c r="B382" s="654">
        <v>44570</v>
      </c>
      <c r="C382" s="103">
        <v>0.91666666666666663</v>
      </c>
      <c r="D382" s="410">
        <v>47</v>
      </c>
      <c r="E382" s="415">
        <v>9.6999999999999993</v>
      </c>
      <c r="F382" s="415">
        <v>17.7</v>
      </c>
      <c r="G382" s="413">
        <v>1290</v>
      </c>
      <c r="H382" s="413">
        <v>2076</v>
      </c>
      <c r="I382" s="413">
        <v>104.7</v>
      </c>
      <c r="J382" s="413">
        <v>106.3</v>
      </c>
      <c r="K382" s="416" t="s">
        <v>1868</v>
      </c>
      <c r="L382" s="416">
        <v>36.14</v>
      </c>
      <c r="M382" s="416">
        <v>39</v>
      </c>
      <c r="N382" s="416">
        <v>56.73</v>
      </c>
      <c r="O382" s="416"/>
      <c r="P382" s="416"/>
      <c r="Q382" s="416"/>
      <c r="R382" s="416" t="s">
        <v>1869</v>
      </c>
      <c r="S382" s="416">
        <v>68.8</v>
      </c>
      <c r="T382" s="102" t="s">
        <v>23</v>
      </c>
      <c r="U382" s="416" t="s">
        <v>236</v>
      </c>
      <c r="V382" s="587"/>
    </row>
    <row r="383" spans="1:22" s="343" customFormat="1" ht="36" customHeight="1" x14ac:dyDescent="0.25">
      <c r="A383" s="343" t="s">
        <v>383</v>
      </c>
      <c r="B383" s="655">
        <v>44571</v>
      </c>
      <c r="C383" s="103">
        <v>0.91666666666666663</v>
      </c>
      <c r="D383" s="410">
        <v>47</v>
      </c>
      <c r="E383" s="415">
        <v>9.5</v>
      </c>
      <c r="F383" s="415">
        <v>17.600000000000001</v>
      </c>
      <c r="G383" s="413">
        <v>1284</v>
      </c>
      <c r="H383" s="413">
        <v>2092</v>
      </c>
      <c r="I383" s="413">
        <v>104.7</v>
      </c>
      <c r="J383" s="413">
        <v>106.6</v>
      </c>
      <c r="K383" s="416" t="s">
        <v>1882</v>
      </c>
      <c r="L383" s="416">
        <v>35.880000000000003</v>
      </c>
      <c r="M383" s="416">
        <v>40</v>
      </c>
      <c r="N383" s="416">
        <v>56.36</v>
      </c>
      <c r="O383" s="416"/>
      <c r="P383" s="416"/>
      <c r="Q383" s="416"/>
      <c r="R383" s="416" t="s">
        <v>1883</v>
      </c>
      <c r="S383" s="416">
        <v>68</v>
      </c>
      <c r="T383" s="102" t="s">
        <v>23</v>
      </c>
      <c r="U383" s="416" t="s">
        <v>236</v>
      </c>
      <c r="V383" s="587"/>
    </row>
    <row r="384" spans="1:22" s="343" customFormat="1" ht="36" customHeight="1" x14ac:dyDescent="0.25">
      <c r="A384" s="343" t="s">
        <v>383</v>
      </c>
      <c r="B384" s="656">
        <v>44572</v>
      </c>
      <c r="C384" s="103">
        <v>0.9375</v>
      </c>
      <c r="D384" s="410">
        <v>47</v>
      </c>
      <c r="E384" s="415">
        <v>9.4</v>
      </c>
      <c r="F384" s="415">
        <v>17.7</v>
      </c>
      <c r="G384" s="413">
        <v>1282</v>
      </c>
      <c r="H384" s="413">
        <v>2091</v>
      </c>
      <c r="I384" s="413">
        <v>105.1</v>
      </c>
      <c r="J384" s="413">
        <v>106.7</v>
      </c>
      <c r="K384" s="416" t="s">
        <v>1890</v>
      </c>
      <c r="L384" s="416">
        <v>36.28</v>
      </c>
      <c r="M384" s="416">
        <v>40</v>
      </c>
      <c r="N384" s="416">
        <v>56.05</v>
      </c>
      <c r="O384" s="416"/>
      <c r="P384" s="416"/>
      <c r="Q384" s="416"/>
      <c r="R384" s="416" t="s">
        <v>1891</v>
      </c>
      <c r="S384" s="416">
        <v>68.8</v>
      </c>
      <c r="T384" s="102" t="s">
        <v>23</v>
      </c>
      <c r="U384" s="416" t="s">
        <v>236</v>
      </c>
      <c r="V384" s="587" t="s">
        <v>415</v>
      </c>
    </row>
    <row r="385" spans="1:22" s="343" customFormat="1" ht="36" customHeight="1" x14ac:dyDescent="0.25">
      <c r="A385" s="343" t="s">
        <v>383</v>
      </c>
      <c r="B385" s="657">
        <v>44573</v>
      </c>
      <c r="C385" s="103">
        <v>0.97916666666666663</v>
      </c>
      <c r="D385" s="410">
        <v>47</v>
      </c>
      <c r="E385" s="415">
        <v>9.1999999999999993</v>
      </c>
      <c r="F385" s="415">
        <v>17.5</v>
      </c>
      <c r="G385" s="413">
        <v>1283</v>
      </c>
      <c r="H385" s="413">
        <v>2109</v>
      </c>
      <c r="I385" s="413">
        <v>104.6</v>
      </c>
      <c r="J385" s="413">
        <v>106.6</v>
      </c>
      <c r="K385" s="416" t="s">
        <v>1902</v>
      </c>
      <c r="L385" s="416">
        <v>36.19</v>
      </c>
      <c r="M385" s="416">
        <v>40</v>
      </c>
      <c r="N385" s="416">
        <v>54.64</v>
      </c>
      <c r="O385" s="416"/>
      <c r="P385" s="416"/>
      <c r="Q385" s="416"/>
      <c r="R385" s="416" t="s">
        <v>1903</v>
      </c>
      <c r="S385" s="416">
        <v>68</v>
      </c>
      <c r="T385" s="102" t="s">
        <v>23</v>
      </c>
      <c r="U385" s="416" t="s">
        <v>236</v>
      </c>
      <c r="V385" s="587" t="s">
        <v>415</v>
      </c>
    </row>
    <row r="386" spans="1:22" s="343" customFormat="1" ht="36" customHeight="1" x14ac:dyDescent="0.25">
      <c r="A386" s="343" t="s">
        <v>383</v>
      </c>
      <c r="B386" s="658">
        <v>44574</v>
      </c>
      <c r="C386" s="103">
        <v>0.97916666666666663</v>
      </c>
      <c r="D386" s="410">
        <v>47</v>
      </c>
      <c r="E386" s="415">
        <v>9.1</v>
      </c>
      <c r="F386" s="415">
        <v>17.600000000000001</v>
      </c>
      <c r="G386" s="413">
        <v>1287</v>
      </c>
      <c r="H386" s="413">
        <v>2121</v>
      </c>
      <c r="I386" s="413">
        <v>104.6</v>
      </c>
      <c r="J386" s="413">
        <v>106.8</v>
      </c>
      <c r="K386" s="416" t="s">
        <v>1910</v>
      </c>
      <c r="L386" s="416">
        <v>37.22</v>
      </c>
      <c r="M386" s="416">
        <v>40</v>
      </c>
      <c r="N386" s="416">
        <v>54.23</v>
      </c>
      <c r="O386" s="416"/>
      <c r="P386" s="416"/>
      <c r="Q386" s="416"/>
      <c r="R386" s="416" t="s">
        <v>1911</v>
      </c>
      <c r="S386" s="416">
        <v>68.400000000000006</v>
      </c>
      <c r="T386" s="102" t="s">
        <v>23</v>
      </c>
      <c r="U386" s="416" t="s">
        <v>236</v>
      </c>
      <c r="V386" s="587" t="s">
        <v>415</v>
      </c>
    </row>
    <row r="387" spans="1:22" s="343" customFormat="1" ht="36" customHeight="1" x14ac:dyDescent="0.25">
      <c r="A387" s="343" t="s">
        <v>383</v>
      </c>
      <c r="B387" s="659">
        <v>44575</v>
      </c>
      <c r="C387" s="103">
        <v>0.95833333333333337</v>
      </c>
      <c r="D387" s="410">
        <v>47</v>
      </c>
      <c r="E387" s="415">
        <v>9.5</v>
      </c>
      <c r="F387" s="415">
        <v>17.7</v>
      </c>
      <c r="G387" s="413">
        <v>1288</v>
      </c>
      <c r="H387" s="413">
        <v>2096</v>
      </c>
      <c r="I387" s="413">
        <v>105.3</v>
      </c>
      <c r="J387" s="413">
        <v>107.3</v>
      </c>
      <c r="K387" s="416" t="s">
        <v>1923</v>
      </c>
      <c r="L387" s="416">
        <v>36.479999999999997</v>
      </c>
      <c r="M387" s="416">
        <v>38.5</v>
      </c>
      <c r="N387" s="416">
        <v>54.64</v>
      </c>
      <c r="O387" s="416"/>
      <c r="P387" s="416"/>
      <c r="Q387" s="416"/>
      <c r="R387" s="416" t="s">
        <v>1869</v>
      </c>
      <c r="S387" s="416">
        <v>68.8</v>
      </c>
      <c r="T387" s="102" t="s">
        <v>23</v>
      </c>
      <c r="U387" s="416" t="s">
        <v>236</v>
      </c>
      <c r="V387" s="587" t="s">
        <v>415</v>
      </c>
    </row>
    <row r="388" spans="1:22" s="343" customFormat="1" ht="36" customHeight="1" x14ac:dyDescent="0.25">
      <c r="A388" s="343" t="s">
        <v>383</v>
      </c>
      <c r="B388" s="660">
        <v>44576</v>
      </c>
      <c r="C388" s="103">
        <v>0.97916666666666663</v>
      </c>
      <c r="D388" s="410">
        <v>47</v>
      </c>
      <c r="E388" s="415">
        <v>9.1</v>
      </c>
      <c r="F388" s="415">
        <v>17.5</v>
      </c>
      <c r="G388" s="413">
        <v>1294</v>
      </c>
      <c r="H388" s="413">
        <v>2126</v>
      </c>
      <c r="I388" s="413">
        <v>104.5</v>
      </c>
      <c r="J388" s="413">
        <v>106.5</v>
      </c>
      <c r="K388" s="416" t="s">
        <v>1932</v>
      </c>
      <c r="L388" s="416">
        <v>37.11</v>
      </c>
      <c r="M388" s="416">
        <v>39.5</v>
      </c>
      <c r="N388" s="416">
        <v>53.57</v>
      </c>
      <c r="O388" s="416"/>
      <c r="P388" s="416"/>
      <c r="Q388" s="416"/>
      <c r="R388" s="416" t="s">
        <v>1933</v>
      </c>
      <c r="S388" s="416">
        <v>68</v>
      </c>
      <c r="T388" s="102" t="s">
        <v>23</v>
      </c>
      <c r="U388" s="416" t="s">
        <v>236</v>
      </c>
      <c r="V388" s="587" t="s">
        <v>415</v>
      </c>
    </row>
    <row r="389" spans="1:22" s="343" customFormat="1" ht="36" customHeight="1" x14ac:dyDescent="0.25">
      <c r="A389" s="343" t="s">
        <v>383</v>
      </c>
      <c r="B389" s="661">
        <v>44577</v>
      </c>
      <c r="C389" s="103">
        <v>0.97916666666666663</v>
      </c>
      <c r="D389" s="410">
        <v>47</v>
      </c>
      <c r="E389" s="415">
        <v>9</v>
      </c>
      <c r="F389" s="415">
        <v>17.399999999999999</v>
      </c>
      <c r="G389" s="413">
        <v>1296</v>
      </c>
      <c r="H389" s="413">
        <v>2139</v>
      </c>
      <c r="I389" s="413">
        <v>104.5</v>
      </c>
      <c r="J389" s="413">
        <v>107</v>
      </c>
      <c r="K389" s="416" t="s">
        <v>1946</v>
      </c>
      <c r="L389" s="416">
        <v>37.78</v>
      </c>
      <c r="M389" s="416">
        <v>39.5</v>
      </c>
      <c r="N389" s="416">
        <v>53.38</v>
      </c>
      <c r="O389" s="416"/>
      <c r="P389" s="416"/>
      <c r="Q389" s="416"/>
      <c r="R389" s="416" t="s">
        <v>1947</v>
      </c>
      <c r="S389" s="416">
        <v>67.7</v>
      </c>
      <c r="T389" s="102" t="s">
        <v>23</v>
      </c>
      <c r="U389" s="416" t="s">
        <v>236</v>
      </c>
      <c r="V389" s="587" t="s">
        <v>415</v>
      </c>
    </row>
    <row r="390" spans="1:22" s="343" customFormat="1" ht="36" customHeight="1" x14ac:dyDescent="0.25">
      <c r="A390" s="343" t="s">
        <v>383</v>
      </c>
      <c r="B390" s="662">
        <v>44578</v>
      </c>
      <c r="C390" s="103">
        <v>0.9375</v>
      </c>
      <c r="D390" s="410">
        <v>47</v>
      </c>
      <c r="E390" s="415">
        <v>9.1</v>
      </c>
      <c r="F390" s="415">
        <v>17.5</v>
      </c>
      <c r="G390" s="413">
        <v>1300</v>
      </c>
      <c r="H390" s="413">
        <v>2125</v>
      </c>
      <c r="I390" s="413">
        <v>104.5</v>
      </c>
      <c r="J390" s="413">
        <v>107</v>
      </c>
      <c r="K390" s="416" t="s">
        <v>1963</v>
      </c>
      <c r="L390" s="416">
        <v>38.35</v>
      </c>
      <c r="M390" s="416">
        <v>40.5</v>
      </c>
      <c r="N390" s="416">
        <v>53.1</v>
      </c>
      <c r="O390" s="416"/>
      <c r="P390" s="416"/>
      <c r="Q390" s="416"/>
      <c r="R390" s="416" t="s">
        <v>1933</v>
      </c>
      <c r="S390" s="416">
        <v>68</v>
      </c>
      <c r="T390" s="102" t="s">
        <v>23</v>
      </c>
      <c r="U390" s="416" t="s">
        <v>236</v>
      </c>
      <c r="V390" s="587" t="s">
        <v>415</v>
      </c>
    </row>
    <row r="391" spans="1:22" s="343" customFormat="1" ht="36" customHeight="1" x14ac:dyDescent="0.25">
      <c r="A391" s="343" t="s">
        <v>383</v>
      </c>
      <c r="B391" s="663">
        <v>44579</v>
      </c>
      <c r="C391" s="103">
        <v>0.9375</v>
      </c>
      <c r="D391" s="410">
        <v>47</v>
      </c>
      <c r="E391" s="415">
        <v>9</v>
      </c>
      <c r="F391" s="415">
        <v>17.399999999999999</v>
      </c>
      <c r="G391" s="413">
        <v>1300</v>
      </c>
      <c r="H391" s="413">
        <v>2140</v>
      </c>
      <c r="I391" s="413">
        <v>104.5</v>
      </c>
      <c r="J391" s="413">
        <v>107</v>
      </c>
      <c r="K391" s="416" t="s">
        <v>1974</v>
      </c>
      <c r="L391" s="416">
        <v>36.85</v>
      </c>
      <c r="M391" s="416">
        <v>38.5</v>
      </c>
      <c r="N391" s="416">
        <v>53.38</v>
      </c>
      <c r="O391" s="416"/>
      <c r="P391" s="416"/>
      <c r="Q391" s="416"/>
      <c r="R391" s="416" t="s">
        <v>1975</v>
      </c>
      <c r="S391" s="416">
        <v>67.7</v>
      </c>
      <c r="T391" s="102" t="s">
        <v>23</v>
      </c>
      <c r="U391" s="416" t="s">
        <v>236</v>
      </c>
      <c r="V391" s="587" t="s">
        <v>415</v>
      </c>
    </row>
    <row r="392" spans="1:22" s="343" customFormat="1" ht="36" customHeight="1" x14ac:dyDescent="0.25">
      <c r="A392" s="343" t="s">
        <v>383</v>
      </c>
      <c r="B392" s="664">
        <v>44580</v>
      </c>
      <c r="C392" s="103">
        <v>0.9375</v>
      </c>
      <c r="D392" s="410">
        <v>47</v>
      </c>
      <c r="E392" s="415">
        <v>8.9</v>
      </c>
      <c r="F392" s="415">
        <v>17.399999999999999</v>
      </c>
      <c r="G392" s="413">
        <v>1301</v>
      </c>
      <c r="H392" s="413">
        <v>2137</v>
      </c>
      <c r="I392" s="413">
        <v>104.5</v>
      </c>
      <c r="J392" s="413">
        <v>107</v>
      </c>
      <c r="K392" s="416" t="s">
        <v>1980</v>
      </c>
      <c r="L392" s="416">
        <v>36.51</v>
      </c>
      <c r="M392" s="416">
        <v>39.5</v>
      </c>
      <c r="N392" s="416">
        <v>53.41</v>
      </c>
      <c r="O392" s="416"/>
      <c r="P392" s="416"/>
      <c r="Q392" s="416"/>
      <c r="R392" s="416" t="s">
        <v>1975</v>
      </c>
      <c r="S392" s="416">
        <v>67.7</v>
      </c>
      <c r="T392" s="102" t="s">
        <v>23</v>
      </c>
      <c r="U392" s="416" t="s">
        <v>236</v>
      </c>
      <c r="V392" s="587" t="s">
        <v>415</v>
      </c>
    </row>
    <row r="393" spans="1:22" s="343" customFormat="1" ht="36" customHeight="1" x14ac:dyDescent="0.25">
      <c r="A393" s="343" t="s">
        <v>383</v>
      </c>
      <c r="B393" s="665">
        <v>44581</v>
      </c>
      <c r="C393" s="103">
        <v>0.91666666666666663</v>
      </c>
      <c r="D393" s="410">
        <v>47</v>
      </c>
      <c r="E393" s="415">
        <v>9.1</v>
      </c>
      <c r="F393" s="415">
        <v>17.5</v>
      </c>
      <c r="G393" s="413">
        <v>1302</v>
      </c>
      <c r="H393" s="413">
        <v>2138</v>
      </c>
      <c r="I393" s="413">
        <v>104.9</v>
      </c>
      <c r="J393" s="413">
        <v>106.6</v>
      </c>
      <c r="K393" s="416" t="s">
        <v>1994</v>
      </c>
      <c r="L393" s="416">
        <v>37.01</v>
      </c>
      <c r="M393" s="416">
        <v>39.5</v>
      </c>
      <c r="N393" s="416">
        <v>53.52</v>
      </c>
      <c r="O393" s="416"/>
      <c r="P393" s="416"/>
      <c r="Q393" s="416"/>
      <c r="R393" s="416" t="s">
        <v>1995</v>
      </c>
      <c r="S393" s="416">
        <v>68</v>
      </c>
      <c r="T393" s="102" t="s">
        <v>23</v>
      </c>
      <c r="U393" s="416" t="s">
        <v>236</v>
      </c>
      <c r="V393" s="587" t="s">
        <v>415</v>
      </c>
    </row>
    <row r="394" spans="1:22" s="343" customFormat="1" ht="36" customHeight="1" x14ac:dyDescent="0.25">
      <c r="A394" s="343" t="s">
        <v>383</v>
      </c>
      <c r="B394" s="666">
        <v>44582</v>
      </c>
      <c r="C394" s="103">
        <v>0.9375</v>
      </c>
      <c r="D394" s="410">
        <v>47</v>
      </c>
      <c r="E394" s="415">
        <v>9.1999999999999993</v>
      </c>
      <c r="F394" s="415">
        <v>17.5</v>
      </c>
      <c r="G394" s="413">
        <v>1301</v>
      </c>
      <c r="H394" s="413">
        <v>2124</v>
      </c>
      <c r="I394" s="413">
        <v>104.6</v>
      </c>
      <c r="J394" s="413">
        <v>106.9</v>
      </c>
      <c r="K394" s="416" t="s">
        <v>1998</v>
      </c>
      <c r="L394" s="416">
        <v>36.81</v>
      </c>
      <c r="M394" s="416">
        <v>39</v>
      </c>
      <c r="N394" s="416">
        <v>54.41</v>
      </c>
      <c r="O394" s="416"/>
      <c r="P394" s="416"/>
      <c r="Q394" s="416"/>
      <c r="R394" s="416" t="s">
        <v>1911</v>
      </c>
      <c r="S394" s="416">
        <v>68</v>
      </c>
      <c r="T394" s="102" t="s">
        <v>23</v>
      </c>
      <c r="U394" s="416" t="s">
        <v>236</v>
      </c>
      <c r="V394" s="587" t="s">
        <v>415</v>
      </c>
    </row>
    <row r="395" spans="1:22" s="343" customFormat="1" ht="36" customHeight="1" x14ac:dyDescent="0.25">
      <c r="A395" s="343" t="s">
        <v>383</v>
      </c>
      <c r="B395" s="667">
        <v>44583</v>
      </c>
      <c r="C395" s="103">
        <v>0.9375</v>
      </c>
      <c r="D395" s="410">
        <v>47</v>
      </c>
      <c r="E395" s="415">
        <v>9.1999999999999993</v>
      </c>
      <c r="F395" s="415">
        <v>17.5</v>
      </c>
      <c r="G395" s="413">
        <v>1294</v>
      </c>
      <c r="H395" s="413">
        <v>2113</v>
      </c>
      <c r="I395" s="413">
        <v>104.7</v>
      </c>
      <c r="J395" s="413">
        <v>106.5</v>
      </c>
      <c r="K395" s="416" t="s">
        <v>2001</v>
      </c>
      <c r="L395" s="416">
        <v>36.11</v>
      </c>
      <c r="M395" s="416">
        <v>38.5</v>
      </c>
      <c r="N395" s="416">
        <v>54.71</v>
      </c>
      <c r="O395" s="416"/>
      <c r="P395" s="416"/>
      <c r="Q395" s="416"/>
      <c r="R395" s="416" t="s">
        <v>2002</v>
      </c>
      <c r="S395" s="416">
        <v>68</v>
      </c>
      <c r="T395" s="102" t="s">
        <v>23</v>
      </c>
      <c r="U395" s="416" t="s">
        <v>236</v>
      </c>
      <c r="V395" s="587" t="s">
        <v>415</v>
      </c>
    </row>
    <row r="396" spans="1:22" s="343" customFormat="1" ht="36" customHeight="1" x14ac:dyDescent="0.25">
      <c r="A396" s="343" t="s">
        <v>383</v>
      </c>
      <c r="B396" s="680">
        <v>44584</v>
      </c>
      <c r="C396" s="103">
        <v>0.9375</v>
      </c>
      <c r="D396" s="410">
        <v>47</v>
      </c>
      <c r="E396" s="415">
        <v>9.1</v>
      </c>
      <c r="F396" s="415">
        <v>17.600000000000001</v>
      </c>
      <c r="G396" s="413">
        <v>1289</v>
      </c>
      <c r="H396" s="413">
        <v>2116</v>
      </c>
      <c r="I396" s="413">
        <v>104.6</v>
      </c>
      <c r="J396" s="413">
        <v>106.8</v>
      </c>
      <c r="K396" s="416" t="s">
        <v>2011</v>
      </c>
      <c r="L396" s="416">
        <v>37.33</v>
      </c>
      <c r="M396" s="416">
        <v>39.4</v>
      </c>
      <c r="N396" s="416">
        <v>54.6</v>
      </c>
      <c r="O396" s="416"/>
      <c r="P396" s="416"/>
      <c r="Q396" s="416"/>
      <c r="R396" s="416" t="s">
        <v>1903</v>
      </c>
      <c r="S396" s="416">
        <v>68.400000000000006</v>
      </c>
      <c r="T396" s="102" t="s">
        <v>23</v>
      </c>
      <c r="U396" s="416" t="s">
        <v>236</v>
      </c>
      <c r="V396" s="587" t="s">
        <v>415</v>
      </c>
    </row>
    <row r="397" spans="1:22" s="343" customFormat="1" ht="36" customHeight="1" x14ac:dyDescent="0.25">
      <c r="A397" s="343" t="s">
        <v>383</v>
      </c>
      <c r="B397" s="686">
        <v>44585</v>
      </c>
      <c r="C397" s="103">
        <v>0.9375</v>
      </c>
      <c r="D397" s="410">
        <v>47</v>
      </c>
      <c r="E397" s="415">
        <v>9.6</v>
      </c>
      <c r="F397" s="415">
        <v>17.8</v>
      </c>
      <c r="G397" s="413">
        <v>1283</v>
      </c>
      <c r="H397" s="413">
        <v>2087</v>
      </c>
      <c r="I397" s="413">
        <v>106</v>
      </c>
      <c r="J397" s="413">
        <v>107.1</v>
      </c>
      <c r="K397" s="416" t="s">
        <v>2020</v>
      </c>
      <c r="L397" s="416">
        <v>36.07</v>
      </c>
      <c r="M397" s="416">
        <v>39.4</v>
      </c>
      <c r="N397" s="416">
        <v>56.02</v>
      </c>
      <c r="O397" s="416"/>
      <c r="P397" s="416"/>
      <c r="Q397" s="416"/>
      <c r="R397" s="416" t="s">
        <v>2021</v>
      </c>
      <c r="S397" s="416">
        <v>69.2</v>
      </c>
      <c r="T397" s="102" t="s">
        <v>23</v>
      </c>
      <c r="U397" s="416" t="s">
        <v>236</v>
      </c>
      <c r="V397" s="587" t="s">
        <v>415</v>
      </c>
    </row>
    <row r="398" spans="1:22" s="343" customFormat="1" ht="36" customHeight="1" x14ac:dyDescent="0.25">
      <c r="A398" s="343" t="s">
        <v>383</v>
      </c>
      <c r="B398" s="688">
        <v>44586</v>
      </c>
      <c r="C398" s="103">
        <v>0.95833333333333337</v>
      </c>
      <c r="D398" s="410">
        <v>47</v>
      </c>
      <c r="E398" s="415">
        <v>9.1999999999999993</v>
      </c>
      <c r="F398" s="415">
        <v>17.5</v>
      </c>
      <c r="G398" s="413">
        <v>1288</v>
      </c>
      <c r="H398" s="413">
        <v>2115</v>
      </c>
      <c r="I398" s="413">
        <v>106.2</v>
      </c>
      <c r="J398" s="413">
        <v>107.1</v>
      </c>
      <c r="K398" s="416" t="s">
        <v>2031</v>
      </c>
      <c r="L398" s="416">
        <v>35.630000000000003</v>
      </c>
      <c r="M398" s="416">
        <v>38</v>
      </c>
      <c r="N398" s="416">
        <v>55.63</v>
      </c>
      <c r="O398" s="416"/>
      <c r="P398" s="416"/>
      <c r="Q398" s="416"/>
      <c r="R398" s="416" t="s">
        <v>1911</v>
      </c>
      <c r="S398" s="416">
        <v>68</v>
      </c>
      <c r="T398" s="102" t="s">
        <v>23</v>
      </c>
      <c r="U398" s="416" t="s">
        <v>236</v>
      </c>
      <c r="V398" s="587" t="s">
        <v>415</v>
      </c>
    </row>
    <row r="399" spans="1:22" s="343" customFormat="1" ht="36" customHeight="1" x14ac:dyDescent="0.25">
      <c r="A399" s="343" t="s">
        <v>383</v>
      </c>
      <c r="B399" s="690">
        <v>44587</v>
      </c>
      <c r="C399" s="103">
        <v>0.95833333333333337</v>
      </c>
      <c r="D399" s="410">
        <v>47</v>
      </c>
      <c r="E399" s="415">
        <v>9.1</v>
      </c>
      <c r="F399" s="415">
        <v>17.399999999999999</v>
      </c>
      <c r="G399" s="413">
        <v>1299</v>
      </c>
      <c r="H399" s="413">
        <v>2129</v>
      </c>
      <c r="I399" s="413">
        <v>104.5</v>
      </c>
      <c r="J399" s="413">
        <v>107</v>
      </c>
      <c r="K399" s="416" t="s">
        <v>2042</v>
      </c>
      <c r="L399" s="416">
        <v>37.22</v>
      </c>
      <c r="M399" s="416">
        <v>39.5</v>
      </c>
      <c r="N399" s="416">
        <v>53.34</v>
      </c>
      <c r="O399" s="416"/>
      <c r="P399" s="416"/>
      <c r="Q399" s="416"/>
      <c r="R399" s="416" t="s">
        <v>1975</v>
      </c>
      <c r="S399" s="416">
        <v>67.7</v>
      </c>
      <c r="T399" s="102" t="s">
        <v>23</v>
      </c>
      <c r="U399" s="416" t="s">
        <v>236</v>
      </c>
      <c r="V399" s="587" t="s">
        <v>415</v>
      </c>
    </row>
    <row r="400" spans="1:22" s="343" customFormat="1" ht="36" customHeight="1" x14ac:dyDescent="0.25">
      <c r="A400" s="343" t="s">
        <v>383</v>
      </c>
      <c r="B400" s="692">
        <v>44588</v>
      </c>
      <c r="C400" s="103">
        <v>0.95833333333333337</v>
      </c>
      <c r="D400" s="410">
        <v>47</v>
      </c>
      <c r="E400" s="415">
        <v>9.1</v>
      </c>
      <c r="F400" s="415">
        <v>17.5</v>
      </c>
      <c r="G400" s="413">
        <v>1297</v>
      </c>
      <c r="H400" s="413">
        <v>2127</v>
      </c>
      <c r="I400" s="413">
        <v>105.5</v>
      </c>
      <c r="J400" s="413">
        <v>106.9</v>
      </c>
      <c r="K400" s="416" t="s">
        <v>2054</v>
      </c>
      <c r="L400" s="416">
        <v>35.97</v>
      </c>
      <c r="M400" s="416">
        <v>38.5</v>
      </c>
      <c r="N400" s="416">
        <v>54.7</v>
      </c>
      <c r="O400" s="416"/>
      <c r="P400" s="416"/>
      <c r="Q400" s="416"/>
      <c r="R400" s="416" t="s">
        <v>1933</v>
      </c>
      <c r="S400" s="416">
        <v>68</v>
      </c>
      <c r="T400" s="102" t="s">
        <v>23</v>
      </c>
      <c r="U400" s="416" t="s">
        <v>236</v>
      </c>
      <c r="V400" s="587" t="s">
        <v>415</v>
      </c>
    </row>
    <row r="401" spans="1:103" s="343" customFormat="1" ht="36" customHeight="1" x14ac:dyDescent="0.25">
      <c r="A401" s="343" t="s">
        <v>383</v>
      </c>
      <c r="B401" s="694">
        <v>44589</v>
      </c>
      <c r="C401" s="103">
        <v>0.95833333333333337</v>
      </c>
      <c r="D401" s="410">
        <v>47</v>
      </c>
      <c r="E401" s="415">
        <v>10.4</v>
      </c>
      <c r="F401" s="415">
        <v>18</v>
      </c>
      <c r="G401" s="413">
        <v>1287</v>
      </c>
      <c r="H401" s="413">
        <v>2119</v>
      </c>
      <c r="I401" s="413">
        <v>105.9</v>
      </c>
      <c r="J401" s="413">
        <v>106.5</v>
      </c>
      <c r="K401" s="416" t="s">
        <v>2061</v>
      </c>
      <c r="L401" s="416">
        <v>35.869999999999997</v>
      </c>
      <c r="M401" s="416">
        <v>38</v>
      </c>
      <c r="N401" s="416">
        <v>56.78</v>
      </c>
      <c r="O401" s="416"/>
      <c r="P401" s="416"/>
      <c r="Q401" s="416"/>
      <c r="R401" s="416" t="s">
        <v>2062</v>
      </c>
      <c r="S401" s="416">
        <v>70</v>
      </c>
      <c r="T401" s="102" t="s">
        <v>23</v>
      </c>
      <c r="U401" s="416" t="s">
        <v>236</v>
      </c>
      <c r="V401" s="587" t="s">
        <v>415</v>
      </c>
    </row>
    <row r="402" spans="1:103" s="343" customFormat="1" ht="18.75" x14ac:dyDescent="0.25">
      <c r="B402" s="696">
        <v>44590</v>
      </c>
      <c r="C402" s="103">
        <v>0.95833333333333337</v>
      </c>
      <c r="D402" s="410">
        <v>47</v>
      </c>
      <c r="E402" s="415">
        <v>9.1</v>
      </c>
      <c r="F402" s="415">
        <v>17.399999999999999</v>
      </c>
      <c r="G402" s="413">
        <v>1299</v>
      </c>
      <c r="H402" s="413">
        <v>2129</v>
      </c>
      <c r="I402" s="413">
        <v>104.5</v>
      </c>
      <c r="J402" s="413">
        <v>107</v>
      </c>
      <c r="K402" s="416" t="s">
        <v>2042</v>
      </c>
      <c r="L402" s="416">
        <v>37.22</v>
      </c>
      <c r="M402" s="416">
        <v>39.5</v>
      </c>
      <c r="N402" s="416">
        <v>53.34</v>
      </c>
      <c r="O402" s="416"/>
      <c r="P402" s="416"/>
      <c r="Q402" s="416"/>
      <c r="R402" s="416" t="s">
        <v>1975</v>
      </c>
      <c r="S402" s="416">
        <v>67.7</v>
      </c>
      <c r="T402" s="102" t="s">
        <v>23</v>
      </c>
      <c r="U402" s="416" t="s">
        <v>928</v>
      </c>
      <c r="V402" s="587" t="s">
        <v>415</v>
      </c>
      <c r="CM402" s="342"/>
      <c r="CN402" s="342"/>
      <c r="CO402" s="342"/>
      <c r="CP402" s="342"/>
      <c r="CQ402" s="342"/>
      <c r="CR402" s="342"/>
      <c r="CS402" s="342"/>
      <c r="CT402" s="342"/>
      <c r="CU402" s="342"/>
      <c r="CV402" s="342"/>
      <c r="CW402" s="342"/>
      <c r="CX402" s="342"/>
      <c r="CY402" s="342"/>
    </row>
    <row r="403" spans="1:103" s="343" customFormat="1" ht="18.75" x14ac:dyDescent="0.25">
      <c r="B403" s="696">
        <v>44591</v>
      </c>
      <c r="C403" s="103">
        <v>0.97916666666666663</v>
      </c>
      <c r="D403" s="410">
        <v>47</v>
      </c>
      <c r="E403" s="415">
        <v>7.2</v>
      </c>
      <c r="F403" s="415">
        <v>16.7</v>
      </c>
      <c r="G403" s="413">
        <v>1305</v>
      </c>
      <c r="H403" s="413">
        <v>2188</v>
      </c>
      <c r="I403" s="413">
        <v>104.4</v>
      </c>
      <c r="J403" s="413">
        <v>110.1</v>
      </c>
      <c r="K403" s="416" t="s">
        <v>2074</v>
      </c>
      <c r="L403" s="416">
        <v>34.93</v>
      </c>
      <c r="M403" s="416">
        <v>38</v>
      </c>
      <c r="N403" s="416">
        <v>55.94</v>
      </c>
      <c r="O403" s="416"/>
      <c r="P403" s="416"/>
      <c r="Q403" s="416"/>
      <c r="R403" s="416" t="s">
        <v>2075</v>
      </c>
      <c r="S403" s="416">
        <v>64.900000000000006</v>
      </c>
      <c r="T403" s="102" t="s">
        <v>23</v>
      </c>
      <c r="U403" s="416" t="s">
        <v>928</v>
      </c>
      <c r="V403" s="587" t="s">
        <v>2076</v>
      </c>
      <c r="CM403" s="342"/>
      <c r="CN403" s="342"/>
      <c r="CO403" s="342"/>
      <c r="CP403" s="342"/>
      <c r="CQ403" s="342"/>
      <c r="CR403" s="342"/>
      <c r="CS403" s="342"/>
      <c r="CT403" s="342"/>
      <c r="CU403" s="342"/>
      <c r="CV403" s="342"/>
      <c r="CW403" s="342"/>
      <c r="CX403" s="342"/>
      <c r="CY403" s="342"/>
    </row>
    <row r="404" spans="1:103" s="343" customFormat="1" ht="30" x14ac:dyDescent="0.25">
      <c r="B404" s="696">
        <v>44592</v>
      </c>
      <c r="C404" s="103">
        <v>0.98958333333333337</v>
      </c>
      <c r="D404" s="410">
        <v>47</v>
      </c>
      <c r="E404" s="415">
        <v>9.1999999999999993</v>
      </c>
      <c r="F404" s="415">
        <v>17.2</v>
      </c>
      <c r="G404" s="413">
        <v>1296</v>
      </c>
      <c r="H404" s="413">
        <v>2108</v>
      </c>
      <c r="I404" s="413">
        <v>105.2</v>
      </c>
      <c r="J404" s="413">
        <v>106.2</v>
      </c>
      <c r="K404" s="416" t="s">
        <v>2083</v>
      </c>
      <c r="L404" s="416">
        <v>36.090000000000003</v>
      </c>
      <c r="M404" s="416">
        <v>38</v>
      </c>
      <c r="N404" s="416">
        <v>56.47</v>
      </c>
      <c r="O404" s="416"/>
      <c r="P404" s="416"/>
      <c r="Q404" s="416"/>
      <c r="R404" s="416" t="s">
        <v>2075</v>
      </c>
      <c r="S404" s="416">
        <v>64.900000000000006</v>
      </c>
      <c r="T404" s="102" t="s">
        <v>23</v>
      </c>
      <c r="U404" s="416" t="s">
        <v>928</v>
      </c>
      <c r="V404" s="699" t="s">
        <v>2086</v>
      </c>
      <c r="CM404" s="342"/>
      <c r="CN404" s="342"/>
      <c r="CO404" s="342"/>
      <c r="CP404" s="342"/>
      <c r="CQ404" s="342"/>
      <c r="CR404" s="342"/>
      <c r="CS404" s="342"/>
      <c r="CT404" s="342"/>
      <c r="CU404" s="342"/>
      <c r="CV404" s="342"/>
      <c r="CW404" s="342"/>
      <c r="CX404" s="342"/>
      <c r="CY404" s="342"/>
    </row>
    <row r="405" spans="1:103" s="343" customFormat="1" ht="18.75" x14ac:dyDescent="0.25">
      <c r="B405" s="696">
        <v>44593</v>
      </c>
      <c r="C405" s="103">
        <v>0.9375</v>
      </c>
      <c r="D405" s="410">
        <v>47</v>
      </c>
      <c r="E405" s="415">
        <v>8.9</v>
      </c>
      <c r="F405" s="415">
        <v>17</v>
      </c>
      <c r="G405" s="413">
        <v>1291</v>
      </c>
      <c r="H405" s="413">
        <v>2126</v>
      </c>
      <c r="I405" s="413">
        <v>105.5</v>
      </c>
      <c r="J405" s="413">
        <v>107</v>
      </c>
      <c r="K405" s="416" t="s">
        <v>2100</v>
      </c>
      <c r="L405" s="416">
        <v>36.49</v>
      </c>
      <c r="M405" s="416">
        <v>37</v>
      </c>
      <c r="N405" s="416">
        <v>55.1</v>
      </c>
      <c r="O405" s="416"/>
      <c r="P405" s="416"/>
      <c r="Q405" s="416"/>
      <c r="R405" s="416" t="s">
        <v>2101</v>
      </c>
      <c r="S405" s="416">
        <v>66.099999999999994</v>
      </c>
      <c r="T405" s="102" t="s">
        <v>23</v>
      </c>
      <c r="U405" s="416" t="s">
        <v>928</v>
      </c>
      <c r="V405" s="587" t="s">
        <v>415</v>
      </c>
      <c r="CM405" s="342"/>
      <c r="CN405" s="342"/>
      <c r="CO405" s="342"/>
      <c r="CP405" s="342"/>
      <c r="CQ405" s="342"/>
      <c r="CR405" s="342"/>
      <c r="CS405" s="342"/>
      <c r="CT405" s="342"/>
      <c r="CU405" s="342"/>
      <c r="CV405" s="342"/>
      <c r="CW405" s="342"/>
      <c r="CX405" s="342"/>
      <c r="CY405" s="342"/>
    </row>
    <row r="406" spans="1:103" s="343" customFormat="1" ht="18.75" x14ac:dyDescent="0.25">
      <c r="B406" s="696">
        <v>44594</v>
      </c>
      <c r="C406" s="103">
        <v>0.9375</v>
      </c>
      <c r="D406" s="410">
        <v>47</v>
      </c>
      <c r="E406" s="415">
        <v>8.6</v>
      </c>
      <c r="F406" s="415">
        <v>16.899999999999999</v>
      </c>
      <c r="G406" s="413">
        <v>1298</v>
      </c>
      <c r="H406" s="413">
        <v>2152</v>
      </c>
      <c r="I406" s="413">
        <v>104.7</v>
      </c>
      <c r="J406" s="413">
        <v>105.9</v>
      </c>
      <c r="K406" s="416" t="s">
        <v>2108</v>
      </c>
      <c r="L406" s="416">
        <v>36.880000000000003</v>
      </c>
      <c r="M406" s="416">
        <v>37</v>
      </c>
      <c r="N406" s="416">
        <v>52.44</v>
      </c>
      <c r="O406" s="416"/>
      <c r="P406" s="416"/>
      <c r="Q406" s="416"/>
      <c r="R406" s="416" t="s">
        <v>2109</v>
      </c>
      <c r="S406" s="416">
        <v>66.099999999999994</v>
      </c>
      <c r="T406" s="102" t="s">
        <v>23</v>
      </c>
      <c r="U406" s="416" t="s">
        <v>928</v>
      </c>
      <c r="V406" s="401"/>
      <c r="CM406" s="342"/>
      <c r="CN406" s="342"/>
      <c r="CO406" s="342"/>
      <c r="CP406" s="342"/>
      <c r="CQ406" s="342"/>
      <c r="CR406" s="342"/>
      <c r="CS406" s="342"/>
      <c r="CT406" s="342"/>
      <c r="CU406" s="342"/>
      <c r="CV406" s="342"/>
      <c r="CW406" s="342"/>
      <c r="CX406" s="342"/>
      <c r="CY406" s="342"/>
    </row>
    <row r="407" spans="1:103" s="343" customFormat="1" ht="18.75" x14ac:dyDescent="0.25">
      <c r="B407" s="696">
        <v>44595</v>
      </c>
      <c r="C407" s="103">
        <v>0.91666666666666663</v>
      </c>
      <c r="D407" s="410">
        <v>47</v>
      </c>
      <c r="E407" s="415">
        <v>8.6</v>
      </c>
      <c r="F407" s="415">
        <v>16.899999999999999</v>
      </c>
      <c r="G407" s="413">
        <v>1306</v>
      </c>
      <c r="H407" s="413">
        <v>2161</v>
      </c>
      <c r="I407" s="413">
        <v>104.9</v>
      </c>
      <c r="J407" s="413">
        <v>106.1</v>
      </c>
      <c r="K407" s="416" t="s">
        <v>2114</v>
      </c>
      <c r="L407" s="416">
        <v>36.81</v>
      </c>
      <c r="M407" s="416">
        <v>37</v>
      </c>
      <c r="N407" s="416">
        <v>53.26</v>
      </c>
      <c r="O407" s="416"/>
      <c r="P407" s="416"/>
      <c r="Q407" s="416"/>
      <c r="R407" s="416" t="s">
        <v>2115</v>
      </c>
      <c r="S407" s="416">
        <v>65.7</v>
      </c>
      <c r="T407" s="102" t="s">
        <v>23</v>
      </c>
      <c r="U407" s="416" t="s">
        <v>928</v>
      </c>
      <c r="V407" s="401"/>
      <c r="CM407" s="342"/>
      <c r="CN407" s="342"/>
      <c r="CO407" s="342"/>
      <c r="CP407" s="342"/>
      <c r="CQ407" s="342"/>
      <c r="CR407" s="342"/>
      <c r="CS407" s="342"/>
      <c r="CT407" s="342"/>
      <c r="CU407" s="342"/>
      <c r="CV407" s="342"/>
      <c r="CW407" s="342"/>
      <c r="CX407" s="342"/>
      <c r="CY407" s="342"/>
    </row>
    <row r="408" spans="1:103" s="343" customFormat="1" ht="18.75" x14ac:dyDescent="0.25">
      <c r="B408" s="696">
        <v>44596</v>
      </c>
      <c r="C408" s="103">
        <v>0.9375</v>
      </c>
      <c r="D408" s="410">
        <v>47</v>
      </c>
      <c r="E408" s="415">
        <v>8.5</v>
      </c>
      <c r="F408" s="415">
        <v>16.899999999999999</v>
      </c>
      <c r="G408" s="413">
        <v>1308</v>
      </c>
      <c r="H408" s="413">
        <v>2163</v>
      </c>
      <c r="I408" s="413">
        <v>104.5</v>
      </c>
      <c r="J408" s="413">
        <v>106.2</v>
      </c>
      <c r="K408" s="416" t="s">
        <v>2119</v>
      </c>
      <c r="L408" s="416">
        <v>36.81</v>
      </c>
      <c r="M408" s="416">
        <v>37</v>
      </c>
      <c r="N408" s="416">
        <v>53.26</v>
      </c>
      <c r="O408" s="416"/>
      <c r="P408" s="416"/>
      <c r="Q408" s="416"/>
      <c r="R408" s="416" t="s">
        <v>2120</v>
      </c>
      <c r="S408" s="416">
        <v>66.099999999999994</v>
      </c>
      <c r="T408" s="102" t="s">
        <v>23</v>
      </c>
      <c r="U408" s="416" t="s">
        <v>928</v>
      </c>
      <c r="V408" s="401"/>
      <c r="CM408" s="342"/>
      <c r="CN408" s="342"/>
      <c r="CO408" s="342"/>
      <c r="CP408" s="342"/>
      <c r="CQ408" s="342"/>
      <c r="CR408" s="342"/>
      <c r="CS408" s="342"/>
      <c r="CT408" s="342"/>
      <c r="CU408" s="342"/>
      <c r="CV408" s="342"/>
      <c r="CW408" s="342"/>
      <c r="CX408" s="342"/>
      <c r="CY408" s="342"/>
    </row>
    <row r="409" spans="1:103" s="343" customFormat="1" ht="18.75" x14ac:dyDescent="0.25">
      <c r="B409" s="696">
        <v>44597</v>
      </c>
      <c r="C409" s="103">
        <v>0.98958333333333337</v>
      </c>
      <c r="D409" s="410">
        <v>47</v>
      </c>
      <c r="E409" s="415">
        <v>8.5</v>
      </c>
      <c r="F409" s="415">
        <v>16.899999999999999</v>
      </c>
      <c r="G409" s="413">
        <v>1309</v>
      </c>
      <c r="H409" s="413">
        <v>2169</v>
      </c>
      <c r="I409" s="413">
        <v>104.9</v>
      </c>
      <c r="J409" s="413">
        <v>106</v>
      </c>
      <c r="K409" s="416" t="s">
        <v>2128</v>
      </c>
      <c r="L409" s="416">
        <v>36.81</v>
      </c>
      <c r="M409" s="416">
        <v>37</v>
      </c>
      <c r="N409" s="416">
        <v>53.26</v>
      </c>
      <c r="O409" s="416"/>
      <c r="P409" s="416"/>
      <c r="Q409" s="416"/>
      <c r="R409" s="416" t="s">
        <v>2115</v>
      </c>
      <c r="S409" s="416">
        <v>65.7</v>
      </c>
      <c r="T409" s="102" t="s">
        <v>23</v>
      </c>
      <c r="U409" s="416" t="s">
        <v>928</v>
      </c>
      <c r="V409" s="401"/>
      <c r="CM409" s="342"/>
      <c r="CN409" s="342"/>
      <c r="CO409" s="342"/>
      <c r="CP409" s="342"/>
      <c r="CQ409" s="342"/>
      <c r="CR409" s="342"/>
      <c r="CS409" s="342"/>
      <c r="CT409" s="342"/>
      <c r="CU409" s="342"/>
      <c r="CV409" s="342"/>
      <c r="CW409" s="342"/>
      <c r="CX409" s="342"/>
      <c r="CY409" s="342"/>
    </row>
    <row r="410" spans="1:103" s="343" customFormat="1" ht="18.75" x14ac:dyDescent="0.25">
      <c r="B410" s="696">
        <v>44598</v>
      </c>
      <c r="C410" s="103">
        <v>0.9375</v>
      </c>
      <c r="D410" s="410">
        <v>47</v>
      </c>
      <c r="E410" s="415">
        <v>8.5</v>
      </c>
      <c r="F410" s="415">
        <v>16.899999999999999</v>
      </c>
      <c r="G410" s="413">
        <v>1309</v>
      </c>
      <c r="H410" s="413">
        <v>2162</v>
      </c>
      <c r="I410" s="413">
        <v>105</v>
      </c>
      <c r="J410" s="413">
        <v>106</v>
      </c>
      <c r="K410" s="416" t="s">
        <v>2132</v>
      </c>
      <c r="L410" s="416">
        <v>36.770000000000003</v>
      </c>
      <c r="M410" s="416">
        <v>37</v>
      </c>
      <c r="N410" s="416">
        <v>53.49</v>
      </c>
      <c r="O410" s="416"/>
      <c r="P410" s="416"/>
      <c r="Q410" s="416"/>
      <c r="R410" s="416" t="s">
        <v>2115</v>
      </c>
      <c r="S410" s="416">
        <v>65.7</v>
      </c>
      <c r="T410" s="102" t="s">
        <v>23</v>
      </c>
      <c r="U410" s="416" t="s">
        <v>928</v>
      </c>
      <c r="V410" s="401"/>
      <c r="CM410" s="342"/>
      <c r="CN410" s="342"/>
      <c r="CO410" s="342"/>
      <c r="CP410" s="342"/>
      <c r="CQ410" s="342"/>
      <c r="CR410" s="342"/>
      <c r="CS410" s="342"/>
      <c r="CT410" s="342"/>
      <c r="CU410" s="342"/>
      <c r="CV410" s="342"/>
      <c r="CW410" s="342"/>
      <c r="CX410" s="342"/>
      <c r="CY410" s="342"/>
    </row>
    <row r="411" spans="1:103" s="343" customFormat="1" ht="18.75" x14ac:dyDescent="0.25">
      <c r="B411" s="696">
        <v>44599</v>
      </c>
      <c r="C411" s="103">
        <v>0.9375</v>
      </c>
      <c r="D411" s="410">
        <v>47</v>
      </c>
      <c r="E411" s="415">
        <v>8.8000000000000007</v>
      </c>
      <c r="F411" s="415">
        <v>17</v>
      </c>
      <c r="G411" s="413">
        <v>1304</v>
      </c>
      <c r="H411" s="413">
        <v>2129</v>
      </c>
      <c r="I411" s="413">
        <v>105.6</v>
      </c>
      <c r="J411" s="413">
        <v>106.2</v>
      </c>
      <c r="K411" s="416" t="s">
        <v>2132</v>
      </c>
      <c r="L411" s="416">
        <v>36.770000000000003</v>
      </c>
      <c r="M411" s="416">
        <v>37</v>
      </c>
      <c r="N411" s="416">
        <v>53.49</v>
      </c>
      <c r="O411" s="416"/>
      <c r="P411" s="416"/>
      <c r="Q411" s="416"/>
      <c r="R411" s="416" t="s">
        <v>2101</v>
      </c>
      <c r="S411" s="416">
        <v>66.099999999999994</v>
      </c>
      <c r="T411" s="102" t="s">
        <v>23</v>
      </c>
      <c r="U411" s="416" t="s">
        <v>928</v>
      </c>
      <c r="V411" s="401"/>
      <c r="CM411" s="342"/>
      <c r="CN411" s="342"/>
      <c r="CO411" s="342"/>
      <c r="CP411" s="342"/>
      <c r="CQ411" s="342"/>
      <c r="CR411" s="342"/>
      <c r="CS411" s="342"/>
      <c r="CT411" s="342"/>
      <c r="CU411" s="342"/>
      <c r="CV411" s="342"/>
      <c r="CW411" s="342"/>
      <c r="CX411" s="342"/>
      <c r="CY411" s="342"/>
    </row>
    <row r="412" spans="1:103" s="343" customFormat="1" ht="18.75" x14ac:dyDescent="0.25">
      <c r="B412" s="696">
        <v>44600</v>
      </c>
      <c r="C412" s="103">
        <v>0.91666666666666663</v>
      </c>
      <c r="D412" s="410">
        <v>47</v>
      </c>
      <c r="E412" s="415">
        <v>8.8000000000000007</v>
      </c>
      <c r="F412" s="415">
        <v>17</v>
      </c>
      <c r="G412" s="413">
        <v>1292</v>
      </c>
      <c r="H412" s="413">
        <v>2117</v>
      </c>
      <c r="I412" s="413">
        <v>105.6</v>
      </c>
      <c r="J412" s="413">
        <v>106.4</v>
      </c>
      <c r="K412" s="416" t="s">
        <v>2142</v>
      </c>
      <c r="L412" s="416">
        <v>36.090000000000003</v>
      </c>
      <c r="M412" s="416">
        <v>37</v>
      </c>
      <c r="N412" s="416">
        <v>57.09</v>
      </c>
      <c r="O412" s="416"/>
      <c r="P412" s="416"/>
      <c r="Q412" s="416"/>
      <c r="R412" s="416" t="s">
        <v>2120</v>
      </c>
      <c r="S412" s="416">
        <v>66.099999999999994</v>
      </c>
      <c r="T412" s="102" t="s">
        <v>23</v>
      </c>
      <c r="U412" s="416" t="s">
        <v>928</v>
      </c>
      <c r="V412" s="401"/>
      <c r="CM412" s="342"/>
      <c r="CN412" s="342"/>
      <c r="CO412" s="342"/>
      <c r="CP412" s="342"/>
      <c r="CQ412" s="342"/>
      <c r="CR412" s="342"/>
      <c r="CS412" s="342"/>
      <c r="CT412" s="342"/>
      <c r="CU412" s="342"/>
      <c r="CV412" s="342"/>
      <c r="CW412" s="342"/>
      <c r="CX412" s="342"/>
      <c r="CY412" s="342"/>
    </row>
    <row r="413" spans="1:103" s="343" customFormat="1" ht="18.75" x14ac:dyDescent="0.25">
      <c r="B413" s="696">
        <v>44601</v>
      </c>
      <c r="C413" s="103">
        <v>0.9375</v>
      </c>
      <c r="D413" s="410">
        <v>47</v>
      </c>
      <c r="E413" s="415">
        <v>9.9</v>
      </c>
      <c r="F413" s="415">
        <v>17.399999999999999</v>
      </c>
      <c r="G413" s="413">
        <v>1288</v>
      </c>
      <c r="H413" s="413">
        <v>2139</v>
      </c>
      <c r="I413" s="413">
        <v>106</v>
      </c>
      <c r="J413" s="413">
        <v>106.7</v>
      </c>
      <c r="K413" s="416" t="s">
        <v>2150</v>
      </c>
      <c r="L413" s="416">
        <v>36.89</v>
      </c>
      <c r="M413" s="416">
        <v>37</v>
      </c>
      <c r="N413" s="416">
        <v>54.3</v>
      </c>
      <c r="O413" s="416"/>
      <c r="P413" s="416"/>
      <c r="Q413" s="416"/>
      <c r="R413" s="416" t="s">
        <v>2151</v>
      </c>
      <c r="S413" s="416">
        <v>67.7</v>
      </c>
      <c r="T413" s="102" t="s">
        <v>23</v>
      </c>
      <c r="U413" s="416" t="s">
        <v>928</v>
      </c>
      <c r="V413" s="401"/>
      <c r="CM413" s="342"/>
      <c r="CN413" s="342"/>
      <c r="CO413" s="342"/>
      <c r="CP413" s="342"/>
      <c r="CQ413" s="342"/>
      <c r="CR413" s="342"/>
      <c r="CS413" s="342"/>
      <c r="CT413" s="342"/>
      <c r="CU413" s="342"/>
      <c r="CV413" s="342"/>
      <c r="CW413" s="342"/>
      <c r="CX413" s="342"/>
      <c r="CY413" s="342"/>
    </row>
    <row r="414" spans="1:103" s="343" customFormat="1" ht="18.75" x14ac:dyDescent="0.25">
      <c r="B414" s="696">
        <v>44602</v>
      </c>
      <c r="C414" s="103">
        <v>0.9375</v>
      </c>
      <c r="D414" s="410">
        <v>47</v>
      </c>
      <c r="E414" s="415">
        <v>8.6</v>
      </c>
      <c r="F414" s="415">
        <v>16.899999999999999</v>
      </c>
      <c r="G414" s="413">
        <v>1314</v>
      </c>
      <c r="H414" s="413">
        <v>2164</v>
      </c>
      <c r="I414" s="413">
        <v>104.2</v>
      </c>
      <c r="J414" s="413">
        <v>105.7</v>
      </c>
      <c r="K414" s="416" t="s">
        <v>2157</v>
      </c>
      <c r="L414" s="416">
        <v>36.89</v>
      </c>
      <c r="M414" s="416">
        <v>37</v>
      </c>
      <c r="N414" s="416">
        <v>54.3</v>
      </c>
      <c r="O414" s="416"/>
      <c r="P414" s="416"/>
      <c r="Q414" s="416"/>
      <c r="R414" s="416" t="s">
        <v>2158</v>
      </c>
      <c r="S414" s="416">
        <v>65.7</v>
      </c>
      <c r="T414" s="102" t="s">
        <v>23</v>
      </c>
      <c r="U414" s="416" t="s">
        <v>928</v>
      </c>
      <c r="V414" s="401"/>
      <c r="CM414" s="342"/>
      <c r="CN414" s="342"/>
      <c r="CO414" s="342"/>
      <c r="CP414" s="342"/>
      <c r="CQ414" s="342"/>
      <c r="CR414" s="342"/>
      <c r="CS414" s="342"/>
      <c r="CT414" s="342"/>
      <c r="CU414" s="342"/>
      <c r="CV414" s="342"/>
      <c r="CW414" s="342"/>
      <c r="CX414" s="342"/>
      <c r="CY414" s="342"/>
    </row>
    <row r="415" spans="1:103" s="343" customFormat="1" ht="18.75" x14ac:dyDescent="0.25">
      <c r="B415" s="696">
        <v>44603</v>
      </c>
      <c r="C415" s="103">
        <v>0.9375</v>
      </c>
      <c r="D415" s="410">
        <v>47</v>
      </c>
      <c r="E415" s="415">
        <v>8.4</v>
      </c>
      <c r="F415" s="415">
        <v>16.899999999999999</v>
      </c>
      <c r="G415" s="413">
        <v>1326</v>
      </c>
      <c r="H415" s="413">
        <v>2188</v>
      </c>
      <c r="I415" s="413">
        <v>104.2</v>
      </c>
      <c r="J415" s="413">
        <v>105.7</v>
      </c>
      <c r="K415" s="416" t="s">
        <v>2167</v>
      </c>
      <c r="L415" s="416">
        <v>36.89</v>
      </c>
      <c r="M415" s="416">
        <v>37</v>
      </c>
      <c r="N415" s="416">
        <v>54.3</v>
      </c>
      <c r="O415" s="416"/>
      <c r="P415" s="416"/>
      <c r="Q415" s="416"/>
      <c r="R415" s="416" t="s">
        <v>2168</v>
      </c>
      <c r="S415" s="416">
        <v>65.7</v>
      </c>
      <c r="T415" s="102" t="s">
        <v>23</v>
      </c>
      <c r="U415" s="416" t="s">
        <v>928</v>
      </c>
      <c r="V415" s="401"/>
      <c r="CM415" s="342"/>
      <c r="CN415" s="342"/>
      <c r="CO415" s="342"/>
      <c r="CP415" s="342"/>
      <c r="CQ415" s="342"/>
      <c r="CR415" s="342"/>
      <c r="CS415" s="342"/>
      <c r="CT415" s="342"/>
      <c r="CU415" s="342"/>
      <c r="CV415" s="342"/>
      <c r="CW415" s="342"/>
      <c r="CX415" s="342"/>
      <c r="CY415" s="342"/>
    </row>
    <row r="416" spans="1:103" s="343" customFormat="1" ht="18.75" x14ac:dyDescent="0.25">
      <c r="B416" s="696">
        <v>44604</v>
      </c>
      <c r="C416" s="103">
        <v>0.9375</v>
      </c>
      <c r="D416" s="410">
        <v>47</v>
      </c>
      <c r="E416" s="415">
        <v>8.3000000000000007</v>
      </c>
      <c r="F416" s="415">
        <v>16.8</v>
      </c>
      <c r="G416" s="413">
        <v>1343</v>
      </c>
      <c r="H416" s="413">
        <v>2216</v>
      </c>
      <c r="I416" s="413">
        <v>104.2</v>
      </c>
      <c r="J416" s="413">
        <v>106.2</v>
      </c>
      <c r="K416" s="416" t="s">
        <v>2173</v>
      </c>
      <c r="L416" s="416">
        <v>38.33</v>
      </c>
      <c r="M416" s="416">
        <v>37</v>
      </c>
      <c r="N416" s="416">
        <v>54.5</v>
      </c>
      <c r="O416" s="416"/>
      <c r="P416" s="416"/>
      <c r="Q416" s="416"/>
      <c r="R416" s="416" t="s">
        <v>2174</v>
      </c>
      <c r="S416" s="416">
        <v>65.3</v>
      </c>
      <c r="T416" s="102" t="s">
        <v>23</v>
      </c>
      <c r="U416" s="416" t="s">
        <v>928</v>
      </c>
      <c r="V416" s="401" t="s">
        <v>415</v>
      </c>
      <c r="CM416" s="342"/>
      <c r="CN416" s="342"/>
      <c r="CO416" s="342"/>
      <c r="CP416" s="342"/>
      <c r="CQ416" s="342"/>
      <c r="CR416" s="342"/>
      <c r="CS416" s="342"/>
      <c r="CT416" s="342"/>
      <c r="CU416" s="342"/>
      <c r="CV416" s="342"/>
      <c r="CW416" s="342"/>
      <c r="CX416" s="342"/>
      <c r="CY416" s="342"/>
    </row>
    <row r="417" spans="2:103" s="343" customFormat="1" ht="18.75" x14ac:dyDescent="0.25">
      <c r="B417" s="696">
        <v>44605</v>
      </c>
      <c r="C417" s="103">
        <v>0.95833333333333337</v>
      </c>
      <c r="D417" s="410">
        <v>47</v>
      </c>
      <c r="E417" s="415">
        <v>10.199999999999999</v>
      </c>
      <c r="F417" s="415">
        <v>17.7</v>
      </c>
      <c r="G417" s="413">
        <v>1317</v>
      </c>
      <c r="H417" s="413">
        <v>2160</v>
      </c>
      <c r="I417" s="413">
        <v>105.5</v>
      </c>
      <c r="J417" s="413">
        <v>106.7</v>
      </c>
      <c r="K417" s="416" t="s">
        <v>2180</v>
      </c>
      <c r="L417" s="416">
        <v>38.01</v>
      </c>
      <c r="M417" s="416">
        <v>37</v>
      </c>
      <c r="N417" s="416">
        <v>58.12</v>
      </c>
      <c r="O417" s="416"/>
      <c r="P417" s="416"/>
      <c r="Q417" s="416"/>
      <c r="R417" s="416" t="s">
        <v>2181</v>
      </c>
      <c r="S417" s="416">
        <v>68.8</v>
      </c>
      <c r="T417" s="102" t="s">
        <v>23</v>
      </c>
      <c r="U417" s="416" t="s">
        <v>928</v>
      </c>
      <c r="V417" s="401" t="s">
        <v>415</v>
      </c>
      <c r="CM417" s="342"/>
      <c r="CN417" s="342"/>
      <c r="CO417" s="342"/>
      <c r="CP417" s="342"/>
      <c r="CQ417" s="342"/>
      <c r="CR417" s="342"/>
      <c r="CS417" s="342"/>
      <c r="CT417" s="342"/>
      <c r="CU417" s="342"/>
      <c r="CV417" s="342"/>
      <c r="CW417" s="342"/>
      <c r="CX417" s="342"/>
      <c r="CY417" s="342"/>
    </row>
    <row r="418" spans="2:103" s="343" customFormat="1" ht="18.75" x14ac:dyDescent="0.25">
      <c r="B418" s="696">
        <v>44606</v>
      </c>
      <c r="C418" s="103">
        <v>0.95833333333333337</v>
      </c>
      <c r="D418" s="410">
        <v>47</v>
      </c>
      <c r="E418" s="415">
        <v>9</v>
      </c>
      <c r="F418" s="415">
        <v>17.2</v>
      </c>
      <c r="G418" s="413">
        <v>1310</v>
      </c>
      <c r="H418" s="413">
        <v>2178</v>
      </c>
      <c r="I418" s="413">
        <v>105</v>
      </c>
      <c r="J418" s="413">
        <v>105.9</v>
      </c>
      <c r="K418" s="416" t="s">
        <v>2187</v>
      </c>
      <c r="L418" s="416">
        <v>39.51</v>
      </c>
      <c r="M418" s="416">
        <v>37</v>
      </c>
      <c r="N418" s="416">
        <v>55.1</v>
      </c>
      <c r="O418" s="416"/>
      <c r="P418" s="416"/>
      <c r="Q418" s="416"/>
      <c r="R418" s="416" t="s">
        <v>2188</v>
      </c>
      <c r="S418" s="416">
        <v>66.900000000000006</v>
      </c>
      <c r="T418" s="102" t="s">
        <v>23</v>
      </c>
      <c r="U418" s="416" t="s">
        <v>928</v>
      </c>
      <c r="V418" s="401" t="s">
        <v>415</v>
      </c>
      <c r="CM418" s="342"/>
      <c r="CN418" s="342"/>
      <c r="CO418" s="342"/>
      <c r="CP418" s="342"/>
      <c r="CQ418" s="342"/>
      <c r="CR418" s="342"/>
      <c r="CS418" s="342"/>
      <c r="CT418" s="342"/>
      <c r="CU418" s="342"/>
      <c r="CV418" s="342"/>
      <c r="CW418" s="342"/>
      <c r="CX418" s="342"/>
      <c r="CY418" s="342"/>
    </row>
    <row r="419" spans="2:103" s="343" customFormat="1" ht="18.75" x14ac:dyDescent="0.25">
      <c r="B419" s="696">
        <v>44607</v>
      </c>
      <c r="C419" s="103">
        <v>0.9375</v>
      </c>
      <c r="D419" s="410">
        <v>48</v>
      </c>
      <c r="E419" s="415">
        <v>8.9</v>
      </c>
      <c r="F419" s="415">
        <v>17.100000000000001</v>
      </c>
      <c r="G419" s="413">
        <v>1309</v>
      </c>
      <c r="H419" s="413">
        <v>2182</v>
      </c>
      <c r="I419" s="413">
        <v>105.1</v>
      </c>
      <c r="J419" s="413">
        <v>106</v>
      </c>
      <c r="K419" s="416" t="s">
        <v>2190</v>
      </c>
      <c r="L419" s="416">
        <v>38.18</v>
      </c>
      <c r="M419" s="416">
        <v>37</v>
      </c>
      <c r="N419" s="416">
        <v>56.74</v>
      </c>
      <c r="O419" s="416"/>
      <c r="P419" s="416"/>
      <c r="Q419" s="416"/>
      <c r="R419" s="416" t="s">
        <v>2191</v>
      </c>
      <c r="S419" s="416">
        <v>66.5</v>
      </c>
      <c r="T419" s="102" t="s">
        <v>23</v>
      </c>
      <c r="U419" s="416" t="s">
        <v>928</v>
      </c>
      <c r="V419" s="401" t="s">
        <v>2194</v>
      </c>
      <c r="CM419" s="342"/>
      <c r="CN419" s="342"/>
      <c r="CO419" s="342"/>
      <c r="CP419" s="342"/>
      <c r="CQ419" s="342"/>
      <c r="CR419" s="342"/>
      <c r="CS419" s="342"/>
      <c r="CT419" s="342"/>
      <c r="CU419" s="342"/>
      <c r="CV419" s="342"/>
      <c r="CW419" s="342"/>
      <c r="CX419" s="342"/>
      <c r="CY419" s="342"/>
    </row>
    <row r="420" spans="2:103" s="343" customFormat="1" ht="18.75" x14ac:dyDescent="0.25">
      <c r="B420" s="696">
        <v>44608</v>
      </c>
      <c r="C420" s="103">
        <v>0.95833333333333337</v>
      </c>
      <c r="D420" s="410">
        <v>48</v>
      </c>
      <c r="E420" s="415">
        <v>9.1999999999999993</v>
      </c>
      <c r="F420" s="415">
        <v>17.2</v>
      </c>
      <c r="G420" s="413">
        <v>1293</v>
      </c>
      <c r="H420" s="413">
        <v>2147</v>
      </c>
      <c r="I420" s="413">
        <v>105.5</v>
      </c>
      <c r="J420" s="413">
        <v>106.2</v>
      </c>
      <c r="K420" s="416" t="s">
        <v>2203</v>
      </c>
      <c r="L420" s="416">
        <v>38.18</v>
      </c>
      <c r="M420" s="416">
        <v>37</v>
      </c>
      <c r="N420" s="416">
        <v>56.74</v>
      </c>
      <c r="O420" s="416"/>
      <c r="P420" s="416"/>
      <c r="Q420" s="416"/>
      <c r="R420" s="416" t="s">
        <v>2204</v>
      </c>
      <c r="S420" s="416">
        <v>66.900000000000006</v>
      </c>
      <c r="T420" s="102" t="s">
        <v>23</v>
      </c>
      <c r="U420" s="416" t="s">
        <v>928</v>
      </c>
      <c r="V420" s="401"/>
      <c r="CM420" s="342"/>
      <c r="CN420" s="342"/>
      <c r="CO420" s="342"/>
      <c r="CP420" s="342"/>
      <c r="CQ420" s="342"/>
      <c r="CR420" s="342"/>
      <c r="CS420" s="342"/>
      <c r="CT420" s="342"/>
      <c r="CU420" s="342"/>
      <c r="CV420" s="342"/>
      <c r="CW420" s="342"/>
      <c r="CX420" s="342"/>
      <c r="CY420" s="342"/>
    </row>
    <row r="421" spans="2:103" s="343" customFormat="1" ht="18.75" x14ac:dyDescent="0.25">
      <c r="B421" s="696">
        <v>44609</v>
      </c>
      <c r="C421" s="103">
        <v>0.9375</v>
      </c>
      <c r="D421" s="410">
        <v>48</v>
      </c>
      <c r="E421" s="415">
        <v>9</v>
      </c>
      <c r="F421" s="415">
        <v>17.100000000000001</v>
      </c>
      <c r="G421" s="413">
        <v>1301</v>
      </c>
      <c r="H421" s="413">
        <v>2171</v>
      </c>
      <c r="I421" s="413">
        <v>104.9</v>
      </c>
      <c r="J421" s="413">
        <v>106</v>
      </c>
      <c r="K421" s="416" t="s">
        <v>2211</v>
      </c>
      <c r="L421" s="416">
        <v>37.17</v>
      </c>
      <c r="M421" s="416">
        <v>37</v>
      </c>
      <c r="N421" s="416">
        <v>57.85</v>
      </c>
      <c r="O421" s="416"/>
      <c r="P421" s="416"/>
      <c r="Q421" s="416"/>
      <c r="R421" s="416" t="s">
        <v>2188</v>
      </c>
      <c r="S421" s="416">
        <v>66.5</v>
      </c>
      <c r="T421" s="102" t="s">
        <v>23</v>
      </c>
      <c r="U421" s="416" t="s">
        <v>928</v>
      </c>
      <c r="V421" s="401"/>
      <c r="CM421" s="342"/>
      <c r="CN421" s="342"/>
      <c r="CO421" s="342"/>
      <c r="CP421" s="342"/>
      <c r="CQ421" s="342"/>
      <c r="CR421" s="342"/>
      <c r="CS421" s="342"/>
      <c r="CT421" s="342"/>
      <c r="CU421" s="342"/>
      <c r="CV421" s="342"/>
      <c r="CW421" s="342"/>
      <c r="CX421" s="342"/>
      <c r="CY421" s="342"/>
    </row>
    <row r="422" spans="2:103" s="343" customFormat="1" ht="18.75" x14ac:dyDescent="0.25">
      <c r="B422" s="696">
        <v>44610</v>
      </c>
      <c r="C422" s="103">
        <v>0.9375</v>
      </c>
      <c r="D422" s="410">
        <v>48</v>
      </c>
      <c r="E422" s="415">
        <v>8.6999999999999993</v>
      </c>
      <c r="F422" s="415">
        <v>17.100000000000001</v>
      </c>
      <c r="G422" s="413">
        <v>1296</v>
      </c>
      <c r="H422" s="413">
        <v>2190</v>
      </c>
      <c r="I422" s="413">
        <v>104.7</v>
      </c>
      <c r="J422" s="413">
        <v>106.3</v>
      </c>
      <c r="K422" s="416" t="s">
        <v>2214</v>
      </c>
      <c r="L422" s="416">
        <v>37.17</v>
      </c>
      <c r="M422" s="416">
        <v>37</v>
      </c>
      <c r="N422" s="416">
        <v>57.85</v>
      </c>
      <c r="O422" s="416"/>
      <c r="P422" s="416"/>
      <c r="Q422" s="416"/>
      <c r="R422" s="416" t="s">
        <v>2191</v>
      </c>
      <c r="S422" s="416">
        <v>66.5</v>
      </c>
      <c r="T422" s="102" t="s">
        <v>23</v>
      </c>
      <c r="U422" s="416" t="s">
        <v>928</v>
      </c>
      <c r="V422" s="401"/>
      <c r="CM422" s="342"/>
      <c r="CN422" s="342"/>
      <c r="CO422" s="342"/>
      <c r="CP422" s="342"/>
      <c r="CQ422" s="342"/>
      <c r="CR422" s="342"/>
      <c r="CS422" s="342"/>
      <c r="CT422" s="342"/>
      <c r="CU422" s="342"/>
      <c r="CV422" s="342"/>
      <c r="CW422" s="342"/>
      <c r="CX422" s="342"/>
      <c r="CY422" s="342"/>
    </row>
    <row r="423" spans="2:103" s="343" customFormat="1" ht="18.75" x14ac:dyDescent="0.25">
      <c r="B423" s="696">
        <v>44611</v>
      </c>
      <c r="C423" s="103">
        <v>0.9375</v>
      </c>
      <c r="D423" s="410">
        <v>48</v>
      </c>
      <c r="E423" s="415">
        <v>8.9</v>
      </c>
      <c r="F423" s="415">
        <v>17.100000000000001</v>
      </c>
      <c r="G423" s="413">
        <v>1311</v>
      </c>
      <c r="H423" s="413">
        <v>2179</v>
      </c>
      <c r="I423" s="413">
        <v>104.7</v>
      </c>
      <c r="J423" s="413">
        <v>105.8</v>
      </c>
      <c r="K423" s="416" t="s">
        <v>2226</v>
      </c>
      <c r="L423" s="416">
        <v>37.78</v>
      </c>
      <c r="M423" s="416">
        <v>37</v>
      </c>
      <c r="N423" s="416">
        <v>54.14</v>
      </c>
      <c r="O423" s="416"/>
      <c r="P423" s="416"/>
      <c r="Q423" s="416"/>
      <c r="R423" s="416" t="s">
        <v>2191</v>
      </c>
      <c r="S423" s="416">
        <v>66.5</v>
      </c>
      <c r="T423" s="102" t="s">
        <v>23</v>
      </c>
      <c r="U423" s="416" t="s">
        <v>928</v>
      </c>
      <c r="V423" s="401"/>
      <c r="CM423" s="342"/>
      <c r="CN423" s="342"/>
      <c r="CO423" s="342"/>
      <c r="CP423" s="342"/>
      <c r="CQ423" s="342"/>
      <c r="CR423" s="342"/>
      <c r="CS423" s="342"/>
      <c r="CT423" s="342"/>
      <c r="CU423" s="342"/>
      <c r="CV423" s="342"/>
      <c r="CW423" s="342"/>
      <c r="CX423" s="342"/>
      <c r="CY423" s="342"/>
    </row>
    <row r="424" spans="2:103" s="343" customFormat="1" ht="18.75" x14ac:dyDescent="0.25">
      <c r="B424" s="696">
        <v>44612</v>
      </c>
      <c r="C424" s="103">
        <v>0.9375</v>
      </c>
      <c r="D424" s="410">
        <v>48</v>
      </c>
      <c r="E424" s="415">
        <v>9</v>
      </c>
      <c r="F424" s="415">
        <v>17.2</v>
      </c>
      <c r="G424" s="413">
        <v>1296</v>
      </c>
      <c r="H424" s="413">
        <v>2161</v>
      </c>
      <c r="I424" s="413">
        <v>105.8</v>
      </c>
      <c r="J424" s="413">
        <v>107.3</v>
      </c>
      <c r="K424" s="416" t="s">
        <v>2231</v>
      </c>
      <c r="L424" s="416">
        <v>37.78</v>
      </c>
      <c r="M424" s="416">
        <v>37</v>
      </c>
      <c r="N424" s="416">
        <v>54.14</v>
      </c>
      <c r="O424" s="416"/>
      <c r="P424" s="416"/>
      <c r="Q424" s="416"/>
      <c r="R424" s="416" t="s">
        <v>2188</v>
      </c>
      <c r="S424" s="416">
        <v>66.900000000000006</v>
      </c>
      <c r="T424" s="102" t="s">
        <v>23</v>
      </c>
      <c r="U424" s="416" t="s">
        <v>928</v>
      </c>
      <c r="V424" s="401"/>
      <c r="CM424" s="342"/>
      <c r="CN424" s="342"/>
      <c r="CO424" s="342"/>
      <c r="CP424" s="342"/>
      <c r="CQ424" s="342"/>
      <c r="CR424" s="342"/>
      <c r="CS424" s="342"/>
      <c r="CT424" s="342"/>
      <c r="CU424" s="342"/>
      <c r="CV424" s="342"/>
      <c r="CW424" s="342"/>
      <c r="CX424" s="342"/>
      <c r="CY424" s="342"/>
    </row>
    <row r="425" spans="2:103" s="343" customFormat="1" ht="18.75" x14ac:dyDescent="0.25">
      <c r="B425" s="696">
        <v>44613</v>
      </c>
      <c r="C425" s="103">
        <v>0.9375</v>
      </c>
      <c r="D425" s="410">
        <v>48</v>
      </c>
      <c r="E425" s="415">
        <v>9</v>
      </c>
      <c r="F425" s="415">
        <v>17.2</v>
      </c>
      <c r="G425" s="413">
        <v>1296</v>
      </c>
      <c r="H425" s="413">
        <v>2161</v>
      </c>
      <c r="I425" s="413">
        <v>105.8</v>
      </c>
      <c r="J425" s="413">
        <v>107.3</v>
      </c>
      <c r="K425" s="416" t="s">
        <v>2231</v>
      </c>
      <c r="L425" s="416">
        <v>36.68</v>
      </c>
      <c r="M425" s="416">
        <v>37</v>
      </c>
      <c r="N425" s="416">
        <v>52.76</v>
      </c>
      <c r="O425" s="416"/>
      <c r="P425" s="416"/>
      <c r="Q425" s="416"/>
      <c r="R425" s="416" t="s">
        <v>2188</v>
      </c>
      <c r="S425" s="416">
        <v>66.900000000000006</v>
      </c>
      <c r="T425" s="102" t="s">
        <v>23</v>
      </c>
      <c r="U425" s="416" t="s">
        <v>928</v>
      </c>
      <c r="V425" s="401"/>
      <c r="CM425" s="342"/>
      <c r="CN425" s="342"/>
      <c r="CO425" s="342"/>
      <c r="CP425" s="342"/>
      <c r="CQ425" s="342"/>
      <c r="CR425" s="342"/>
      <c r="CS425" s="342"/>
      <c r="CT425" s="342"/>
      <c r="CU425" s="342"/>
      <c r="CV425" s="342"/>
      <c r="CW425" s="342"/>
      <c r="CX425" s="342"/>
      <c r="CY425" s="342"/>
    </row>
    <row r="426" spans="2:103" s="343" customFormat="1" ht="18.75" x14ac:dyDescent="0.25">
      <c r="B426" s="696">
        <v>44614</v>
      </c>
      <c r="C426" s="103">
        <v>0.9375</v>
      </c>
      <c r="D426" s="410">
        <v>47</v>
      </c>
      <c r="E426" s="415">
        <v>8.8000000000000007</v>
      </c>
      <c r="F426" s="415">
        <v>17</v>
      </c>
      <c r="G426" s="413">
        <v>1306</v>
      </c>
      <c r="H426" s="413">
        <v>2134</v>
      </c>
      <c r="I426" s="413">
        <v>105.5</v>
      </c>
      <c r="J426" s="413">
        <v>106.6</v>
      </c>
      <c r="K426" s="416" t="s">
        <v>2237</v>
      </c>
      <c r="L426" s="416">
        <v>36.85</v>
      </c>
      <c r="M426" s="416">
        <v>37</v>
      </c>
      <c r="N426" s="416">
        <v>54.48</v>
      </c>
      <c r="O426" s="416"/>
      <c r="P426" s="416"/>
      <c r="Q426" s="416"/>
      <c r="R426" s="416" t="s">
        <v>2120</v>
      </c>
      <c r="S426" s="416">
        <v>66.099999999999994</v>
      </c>
      <c r="T426" s="102" t="s">
        <v>23</v>
      </c>
      <c r="U426" s="416" t="s">
        <v>928</v>
      </c>
      <c r="V426" s="401" t="s">
        <v>2239</v>
      </c>
      <c r="CM426" s="342"/>
      <c r="CN426" s="342"/>
      <c r="CO426" s="342"/>
      <c r="CP426" s="342"/>
      <c r="CQ426" s="342"/>
      <c r="CR426" s="342"/>
      <c r="CS426" s="342"/>
      <c r="CT426" s="342"/>
      <c r="CU426" s="342"/>
      <c r="CV426" s="342"/>
      <c r="CW426" s="342"/>
      <c r="CX426" s="342"/>
      <c r="CY426" s="342"/>
    </row>
    <row r="427" spans="2:103" s="343" customFormat="1" ht="18.75" x14ac:dyDescent="0.25">
      <c r="B427" s="696">
        <v>44615</v>
      </c>
      <c r="C427" s="103">
        <v>0.95833333333333337</v>
      </c>
      <c r="D427" s="410">
        <v>47</v>
      </c>
      <c r="E427" s="415">
        <v>8.4</v>
      </c>
      <c r="F427" s="415">
        <v>16.899999999999999</v>
      </c>
      <c r="G427" s="413">
        <v>1315</v>
      </c>
      <c r="H427" s="413">
        <v>2190</v>
      </c>
      <c r="I427" s="413">
        <v>105.8</v>
      </c>
      <c r="J427" s="413">
        <v>106.7</v>
      </c>
      <c r="K427" s="416" t="s">
        <v>2241</v>
      </c>
      <c r="L427" s="416">
        <v>36.85</v>
      </c>
      <c r="M427" s="416">
        <v>37</v>
      </c>
      <c r="N427" s="416">
        <v>54.48</v>
      </c>
      <c r="O427" s="416"/>
      <c r="P427" s="416"/>
      <c r="Q427" s="416"/>
      <c r="R427" s="416" t="s">
        <v>2115</v>
      </c>
      <c r="S427" s="416">
        <v>65.7</v>
      </c>
      <c r="T427" s="102" t="s">
        <v>23</v>
      </c>
      <c r="U427" s="416" t="s">
        <v>928</v>
      </c>
      <c r="V427" s="401"/>
      <c r="CM427" s="342"/>
      <c r="CN427" s="342"/>
      <c r="CO427" s="342"/>
      <c r="CP427" s="342"/>
      <c r="CQ427" s="342"/>
      <c r="CR427" s="342"/>
      <c r="CS427" s="342"/>
      <c r="CT427" s="342"/>
      <c r="CU427" s="342"/>
      <c r="CV427" s="342"/>
      <c r="CW427" s="342"/>
      <c r="CX427" s="342"/>
      <c r="CY427" s="342"/>
    </row>
    <row r="428" spans="2:103" s="343" customFormat="1" ht="18.75" x14ac:dyDescent="0.25">
      <c r="B428" s="696">
        <v>44616</v>
      </c>
      <c r="C428" s="103">
        <v>0.95833333333333337</v>
      </c>
      <c r="D428" s="410">
        <v>47</v>
      </c>
      <c r="E428" s="415">
        <v>8</v>
      </c>
      <c r="F428" s="415">
        <v>16.899999999999999</v>
      </c>
      <c r="G428" s="413">
        <v>1331</v>
      </c>
      <c r="H428" s="413">
        <v>2225</v>
      </c>
      <c r="I428" s="413">
        <v>104.3</v>
      </c>
      <c r="J428" s="413">
        <v>105.7</v>
      </c>
      <c r="K428" s="416" t="s">
        <v>2249</v>
      </c>
      <c r="L428" s="416">
        <v>40</v>
      </c>
      <c r="M428" s="416">
        <v>37</v>
      </c>
      <c r="N428" s="416">
        <v>47.52</v>
      </c>
      <c r="O428" s="416"/>
      <c r="P428" s="416"/>
      <c r="Q428" s="416"/>
      <c r="R428" s="416" t="s">
        <v>2250</v>
      </c>
      <c r="S428" s="416">
        <v>65.7</v>
      </c>
      <c r="T428" s="102" t="s">
        <v>23</v>
      </c>
      <c r="U428" s="416" t="s">
        <v>928</v>
      </c>
      <c r="V428" s="711" t="s">
        <v>415</v>
      </c>
      <c r="CM428" s="342"/>
      <c r="CN428" s="342"/>
      <c r="CO428" s="342"/>
      <c r="CP428" s="342"/>
      <c r="CQ428" s="342"/>
      <c r="CR428" s="342"/>
      <c r="CS428" s="342"/>
      <c r="CT428" s="342"/>
      <c r="CU428" s="342"/>
      <c r="CV428" s="342"/>
      <c r="CW428" s="342"/>
      <c r="CX428" s="342"/>
      <c r="CY428" s="342"/>
    </row>
    <row r="429" spans="2:103" s="343" customFormat="1" ht="18.75" x14ac:dyDescent="0.25">
      <c r="B429" s="696">
        <v>44617</v>
      </c>
      <c r="C429" s="103">
        <v>0.95833333333333337</v>
      </c>
      <c r="D429" s="410">
        <v>47</v>
      </c>
      <c r="E429" s="415">
        <v>8.5</v>
      </c>
      <c r="F429" s="415">
        <v>16.899999999999999</v>
      </c>
      <c r="G429" s="413">
        <v>1318</v>
      </c>
      <c r="H429" s="413">
        <v>2164</v>
      </c>
      <c r="I429" s="413">
        <v>104.8</v>
      </c>
      <c r="J429" s="413">
        <v>106</v>
      </c>
      <c r="K429" s="416" t="s">
        <v>2257</v>
      </c>
      <c r="L429" s="416">
        <v>37.78</v>
      </c>
      <c r="M429" s="416">
        <v>37</v>
      </c>
      <c r="N429" s="416">
        <v>54.95</v>
      </c>
      <c r="O429" s="416"/>
      <c r="P429" s="416"/>
      <c r="Q429" s="416"/>
      <c r="R429" s="416" t="s">
        <v>2258</v>
      </c>
      <c r="S429" s="416">
        <v>65.7</v>
      </c>
      <c r="T429" s="102" t="s">
        <v>23</v>
      </c>
      <c r="U429" s="416" t="s">
        <v>928</v>
      </c>
      <c r="V429" s="401"/>
      <c r="CM429" s="342"/>
      <c r="CN429" s="342"/>
      <c r="CO429" s="342"/>
      <c r="CP429" s="342"/>
      <c r="CQ429" s="342"/>
      <c r="CR429" s="342"/>
      <c r="CS429" s="342"/>
      <c r="CT429" s="342"/>
      <c r="CU429" s="342"/>
      <c r="CV429" s="342"/>
      <c r="CW429" s="342"/>
      <c r="CX429" s="342"/>
      <c r="CY429" s="342"/>
    </row>
    <row r="430" spans="2:103" s="343" customFormat="1" ht="18.75" x14ac:dyDescent="0.25">
      <c r="B430" s="696">
        <v>44618</v>
      </c>
      <c r="C430" s="103">
        <v>0.95833333333333337</v>
      </c>
      <c r="D430" s="410">
        <v>47</v>
      </c>
      <c r="E430" s="415">
        <v>8.5</v>
      </c>
      <c r="F430" s="415">
        <v>16.899999999999999</v>
      </c>
      <c r="G430" s="413">
        <v>1333</v>
      </c>
      <c r="H430" s="413">
        <v>2192</v>
      </c>
      <c r="I430" s="413">
        <v>105.7</v>
      </c>
      <c r="J430" s="413">
        <v>106.3</v>
      </c>
      <c r="K430" s="416" t="s">
        <v>2263</v>
      </c>
      <c r="L430" s="416">
        <v>38.130000000000003</v>
      </c>
      <c r="M430" s="416">
        <v>37</v>
      </c>
      <c r="N430" s="416">
        <v>50.3</v>
      </c>
      <c r="O430" s="416"/>
      <c r="P430" s="416"/>
      <c r="Q430" s="416"/>
      <c r="R430" s="416" t="s">
        <v>2264</v>
      </c>
      <c r="S430" s="416">
        <v>65.7</v>
      </c>
      <c r="T430" s="102" t="s">
        <v>23</v>
      </c>
      <c r="U430" s="416" t="s">
        <v>928</v>
      </c>
      <c r="V430" s="401"/>
      <c r="CM430" s="342"/>
      <c r="CN430" s="342"/>
      <c r="CO430" s="342"/>
      <c r="CP430" s="342"/>
      <c r="CQ430" s="342"/>
      <c r="CR430" s="342"/>
      <c r="CS430" s="342"/>
      <c r="CT430" s="342"/>
      <c r="CU430" s="342"/>
      <c r="CV430" s="342"/>
      <c r="CW430" s="342"/>
      <c r="CX430" s="342"/>
      <c r="CY430" s="342"/>
    </row>
    <row r="431" spans="2:103" s="343" customFormat="1" ht="18.75" x14ac:dyDescent="0.25">
      <c r="B431" s="696">
        <v>44619</v>
      </c>
      <c r="C431" s="103">
        <v>0.95833333333333337</v>
      </c>
      <c r="D431" s="410">
        <v>47</v>
      </c>
      <c r="E431" s="415">
        <v>8.8000000000000007</v>
      </c>
      <c r="F431" s="415">
        <v>17.100000000000001</v>
      </c>
      <c r="G431" s="413">
        <v>1333</v>
      </c>
      <c r="H431" s="413">
        <v>2156</v>
      </c>
      <c r="I431" s="413">
        <v>105.1</v>
      </c>
      <c r="J431" s="413">
        <v>106</v>
      </c>
      <c r="K431" s="416" t="s">
        <v>2270</v>
      </c>
      <c r="L431" s="416">
        <v>37.979999999999997</v>
      </c>
      <c r="M431" s="416">
        <v>37</v>
      </c>
      <c r="N431" s="416">
        <v>55.48</v>
      </c>
      <c r="O431" s="416"/>
      <c r="P431" s="416"/>
      <c r="Q431" s="416"/>
      <c r="R431" s="416" t="s">
        <v>2101</v>
      </c>
      <c r="S431" s="416">
        <v>66.5</v>
      </c>
      <c r="T431" s="102" t="s">
        <v>23</v>
      </c>
      <c r="U431" s="416" t="s">
        <v>928</v>
      </c>
      <c r="V431" s="401"/>
      <c r="CM431" s="342"/>
      <c r="CN431" s="342"/>
      <c r="CO431" s="342"/>
      <c r="CP431" s="342"/>
      <c r="CQ431" s="342"/>
      <c r="CR431" s="342"/>
      <c r="CS431" s="342"/>
      <c r="CT431" s="342"/>
      <c r="CU431" s="342"/>
      <c r="CV431" s="342"/>
      <c r="CW431" s="342"/>
      <c r="CX431" s="342"/>
      <c r="CY431" s="342"/>
    </row>
    <row r="432" spans="2:103" s="343" customFormat="1" ht="18.75" x14ac:dyDescent="0.25">
      <c r="B432" s="696">
        <v>44620</v>
      </c>
      <c r="C432" s="103">
        <v>0.97916666666666663</v>
      </c>
      <c r="D432" s="410">
        <v>47</v>
      </c>
      <c r="E432" s="415">
        <v>8.4</v>
      </c>
      <c r="F432" s="415">
        <v>16.899999999999999</v>
      </c>
      <c r="G432" s="413">
        <v>1341</v>
      </c>
      <c r="H432" s="413">
        <v>2209</v>
      </c>
      <c r="I432" s="413">
        <v>104.5</v>
      </c>
      <c r="J432" s="413">
        <v>106.4</v>
      </c>
      <c r="K432" s="416" t="s">
        <v>2273</v>
      </c>
      <c r="L432" s="416">
        <v>38.35</v>
      </c>
      <c r="M432" s="416">
        <v>37</v>
      </c>
      <c r="N432" s="416">
        <v>49.13</v>
      </c>
      <c r="O432" s="416"/>
      <c r="P432" s="416"/>
      <c r="Q432" s="416"/>
      <c r="R432" s="416" t="s">
        <v>2168</v>
      </c>
      <c r="S432" s="416">
        <v>65.7</v>
      </c>
      <c r="T432" s="102" t="s">
        <v>23</v>
      </c>
      <c r="U432" s="416" t="s">
        <v>928</v>
      </c>
      <c r="V432" s="401"/>
      <c r="CM432" s="342"/>
      <c r="CN432" s="342"/>
      <c r="CO432" s="342"/>
      <c r="CP432" s="342"/>
      <c r="CQ432" s="342"/>
      <c r="CR432" s="342"/>
      <c r="CS432" s="342"/>
      <c r="CT432" s="342"/>
      <c r="CU432" s="342"/>
      <c r="CV432" s="342"/>
      <c r="CW432" s="342"/>
      <c r="CX432" s="342"/>
      <c r="CY432" s="342"/>
    </row>
    <row r="433" spans="2:103" s="343" customFormat="1" ht="18.75" x14ac:dyDescent="0.25">
      <c r="B433" s="696">
        <v>44621</v>
      </c>
      <c r="C433" s="103">
        <v>0.91666666666666663</v>
      </c>
      <c r="D433" s="410">
        <v>47</v>
      </c>
      <c r="E433" s="415">
        <v>8.6</v>
      </c>
      <c r="F433" s="415">
        <v>17</v>
      </c>
      <c r="G433" s="413">
        <v>1348</v>
      </c>
      <c r="H433" s="413">
        <v>2194</v>
      </c>
      <c r="I433" s="413">
        <v>104.7</v>
      </c>
      <c r="J433" s="413">
        <v>105.8</v>
      </c>
      <c r="K433" s="416" t="s">
        <v>2277</v>
      </c>
      <c r="L433" s="416">
        <v>38.479999999999997</v>
      </c>
      <c r="M433" s="416">
        <v>37</v>
      </c>
      <c r="N433" s="416">
        <v>51.97</v>
      </c>
      <c r="O433" s="416"/>
      <c r="P433" s="416"/>
      <c r="Q433" s="416"/>
      <c r="R433" s="416" t="s">
        <v>2120</v>
      </c>
      <c r="S433" s="416" t="s">
        <v>2278</v>
      </c>
      <c r="T433" s="102" t="s">
        <v>23</v>
      </c>
      <c r="U433" s="416" t="s">
        <v>928</v>
      </c>
      <c r="V433" s="401"/>
      <c r="CM433" s="342"/>
      <c r="CN433" s="342"/>
      <c r="CO433" s="342"/>
      <c r="CP433" s="342"/>
      <c r="CQ433" s="342"/>
      <c r="CR433" s="342"/>
      <c r="CS433" s="342"/>
      <c r="CT433" s="342"/>
      <c r="CU433" s="342"/>
      <c r="CV433" s="342"/>
      <c r="CW433" s="342"/>
      <c r="CX433" s="342"/>
      <c r="CY433" s="342"/>
    </row>
    <row r="434" spans="2:103" s="343" customFormat="1" ht="18.75" x14ac:dyDescent="0.25">
      <c r="B434" s="696">
        <v>44622</v>
      </c>
      <c r="C434" s="103">
        <v>0.91666666666666663</v>
      </c>
      <c r="D434" s="410">
        <v>47</v>
      </c>
      <c r="E434" s="415">
        <v>8.6</v>
      </c>
      <c r="F434" s="415">
        <v>17</v>
      </c>
      <c r="G434" s="413">
        <v>1348</v>
      </c>
      <c r="H434" s="413">
        <v>2194</v>
      </c>
      <c r="I434" s="413">
        <v>104.7</v>
      </c>
      <c r="J434" s="413">
        <v>105.8</v>
      </c>
      <c r="K434" s="416" t="s">
        <v>2277</v>
      </c>
      <c r="L434" s="416">
        <v>38.479999999999997</v>
      </c>
      <c r="M434" s="416">
        <v>37</v>
      </c>
      <c r="N434" s="416">
        <v>51.97</v>
      </c>
      <c r="O434" s="416"/>
      <c r="P434" s="416"/>
      <c r="Q434" s="416"/>
      <c r="R434" s="416" t="s">
        <v>2120</v>
      </c>
      <c r="S434" s="416" t="s">
        <v>2278</v>
      </c>
      <c r="T434" s="102" t="s">
        <v>23</v>
      </c>
      <c r="U434" s="416" t="s">
        <v>928</v>
      </c>
      <c r="V434" s="401"/>
      <c r="CM434" s="342"/>
      <c r="CN434" s="342"/>
      <c r="CO434" s="342"/>
      <c r="CP434" s="342"/>
      <c r="CQ434" s="342"/>
      <c r="CR434" s="342"/>
      <c r="CS434" s="342"/>
      <c r="CT434" s="342"/>
      <c r="CU434" s="342"/>
      <c r="CV434" s="342"/>
      <c r="CW434" s="342"/>
      <c r="CX434" s="342"/>
      <c r="CY434" s="342"/>
    </row>
    <row r="435" spans="2:103" s="343" customFormat="1" ht="18.75" x14ac:dyDescent="0.25">
      <c r="B435" s="696">
        <v>44623</v>
      </c>
      <c r="C435" s="103">
        <v>0.97916666666666663</v>
      </c>
      <c r="D435" s="410">
        <v>47</v>
      </c>
      <c r="E435" s="415">
        <v>9.1</v>
      </c>
      <c r="F435" s="415">
        <v>17.100000000000001</v>
      </c>
      <c r="G435" s="413">
        <v>1329</v>
      </c>
      <c r="H435" s="413">
        <v>2148</v>
      </c>
      <c r="I435" s="413">
        <v>105.6</v>
      </c>
      <c r="J435" s="413">
        <v>106.2</v>
      </c>
      <c r="K435" s="416" t="s">
        <v>2288</v>
      </c>
      <c r="L435" s="416">
        <v>36.479999999999997</v>
      </c>
      <c r="M435" s="416">
        <v>37</v>
      </c>
      <c r="N435" s="416">
        <v>57.46</v>
      </c>
      <c r="O435" s="416"/>
      <c r="P435" s="416"/>
      <c r="Q435" s="416"/>
      <c r="R435" s="416" t="s">
        <v>2289</v>
      </c>
      <c r="S435" s="416">
        <v>66.5</v>
      </c>
      <c r="T435" s="102" t="s">
        <v>23</v>
      </c>
      <c r="U435" s="416" t="s">
        <v>928</v>
      </c>
      <c r="V435" s="401"/>
      <c r="CM435" s="342"/>
      <c r="CN435" s="342"/>
      <c r="CO435" s="342"/>
      <c r="CP435" s="342"/>
      <c r="CQ435" s="342"/>
      <c r="CR435" s="342"/>
      <c r="CS435" s="342"/>
      <c r="CT435" s="342"/>
      <c r="CU435" s="342"/>
      <c r="CV435" s="342"/>
      <c r="CW435" s="342"/>
      <c r="CX435" s="342"/>
      <c r="CY435" s="342"/>
    </row>
    <row r="436" spans="2:103" ht="18.75" x14ac:dyDescent="0.25">
      <c r="B436" s="696">
        <v>44624</v>
      </c>
      <c r="C436" s="103">
        <v>0.91666666666666663</v>
      </c>
      <c r="D436" s="410">
        <v>47</v>
      </c>
      <c r="E436" s="415">
        <v>8.6</v>
      </c>
      <c r="F436" s="415">
        <v>17</v>
      </c>
      <c r="G436" s="413">
        <v>1325</v>
      </c>
      <c r="H436" s="413">
        <v>2170</v>
      </c>
      <c r="I436" s="413">
        <v>105.6</v>
      </c>
      <c r="J436" s="413">
        <v>106.1</v>
      </c>
      <c r="K436" s="416" t="s">
        <v>2298</v>
      </c>
      <c r="L436" s="416">
        <v>36.479999999999997</v>
      </c>
      <c r="M436" s="416">
        <v>37</v>
      </c>
      <c r="N436" s="416">
        <v>57.46</v>
      </c>
      <c r="O436" s="416"/>
      <c r="P436" s="416"/>
      <c r="Q436" s="416"/>
      <c r="R436" s="416" t="s">
        <v>2120</v>
      </c>
      <c r="S436" s="416">
        <v>66.099999999999994</v>
      </c>
      <c r="T436" s="102" t="s">
        <v>23</v>
      </c>
      <c r="U436" s="416" t="s">
        <v>928</v>
      </c>
      <c r="V436" s="401"/>
    </row>
    <row r="437" spans="2:103" ht="18.75" x14ac:dyDescent="0.25">
      <c r="B437" s="696">
        <v>44625</v>
      </c>
      <c r="C437" s="103">
        <v>0.9375</v>
      </c>
      <c r="D437" s="410">
        <v>47</v>
      </c>
      <c r="E437" s="415">
        <v>8.6999999999999993</v>
      </c>
      <c r="F437" s="415">
        <v>17</v>
      </c>
      <c r="G437" s="413">
        <v>1334</v>
      </c>
      <c r="H437" s="413">
        <v>2189</v>
      </c>
      <c r="I437" s="413">
        <v>105.3</v>
      </c>
      <c r="J437" s="413">
        <v>106</v>
      </c>
      <c r="K437" s="416" t="s">
        <v>2304</v>
      </c>
      <c r="L437" s="416">
        <v>39.06</v>
      </c>
      <c r="M437" s="416">
        <v>37</v>
      </c>
      <c r="N437" s="416">
        <v>52.34</v>
      </c>
      <c r="O437" s="416"/>
      <c r="P437" s="416"/>
      <c r="Q437" s="416"/>
      <c r="R437" s="416" t="s">
        <v>2264</v>
      </c>
      <c r="S437" s="416">
        <v>66.099999999999994</v>
      </c>
      <c r="T437" s="102" t="s">
        <v>23</v>
      </c>
      <c r="U437" s="416" t="s">
        <v>928</v>
      </c>
      <c r="V437" s="401"/>
    </row>
    <row r="438" spans="2:103" ht="18.75" x14ac:dyDescent="0.25">
      <c r="B438" s="696">
        <v>44626</v>
      </c>
      <c r="C438" s="103">
        <v>0.9375</v>
      </c>
      <c r="D438" s="410">
        <v>47</v>
      </c>
      <c r="E438" s="415">
        <v>10.3</v>
      </c>
      <c r="F438" s="415">
        <v>17.600000000000001</v>
      </c>
      <c r="G438" s="413">
        <v>1342</v>
      </c>
      <c r="H438" s="413">
        <v>2185</v>
      </c>
      <c r="I438" s="413">
        <v>104.7</v>
      </c>
      <c r="J438" s="413">
        <v>106</v>
      </c>
      <c r="K438" s="416" t="s">
        <v>2309</v>
      </c>
      <c r="L438" s="416">
        <v>37.76</v>
      </c>
      <c r="M438" s="416">
        <v>37</v>
      </c>
      <c r="N438" s="416">
        <v>50.7</v>
      </c>
      <c r="O438" s="416"/>
      <c r="P438" s="416"/>
      <c r="Q438" s="416"/>
      <c r="R438" s="416" t="s">
        <v>2310</v>
      </c>
      <c r="S438" s="416">
        <v>68.400000000000006</v>
      </c>
      <c r="T438" s="102" t="s">
        <v>23</v>
      </c>
      <c r="U438" s="416" t="s">
        <v>928</v>
      </c>
      <c r="V438" s="401"/>
    </row>
    <row r="439" spans="2:103" ht="18.75" x14ac:dyDescent="0.25">
      <c r="B439" s="696">
        <v>44627</v>
      </c>
      <c r="C439" s="103">
        <v>0.9375</v>
      </c>
      <c r="D439" s="410">
        <v>47</v>
      </c>
      <c r="E439" s="415">
        <v>10.4</v>
      </c>
      <c r="F439" s="415">
        <v>17.7</v>
      </c>
      <c r="G439" s="413">
        <v>1352</v>
      </c>
      <c r="H439" s="413">
        <v>2237</v>
      </c>
      <c r="I439" s="413">
        <v>105.2</v>
      </c>
      <c r="J439" s="413">
        <v>106.6</v>
      </c>
      <c r="K439" s="416" t="s">
        <v>2317</v>
      </c>
      <c r="L439" s="416">
        <v>38.479999999999997</v>
      </c>
      <c r="M439" s="416">
        <v>37</v>
      </c>
      <c r="N439" s="416">
        <v>49.65</v>
      </c>
      <c r="O439" s="416"/>
      <c r="P439" s="416"/>
      <c r="Q439" s="416"/>
      <c r="R439" s="416" t="s">
        <v>2318</v>
      </c>
      <c r="S439" s="416">
        <v>68.599999999999994</v>
      </c>
      <c r="T439" s="102" t="s">
        <v>23</v>
      </c>
      <c r="U439" s="416" t="s">
        <v>928</v>
      </c>
      <c r="V439" s="401"/>
    </row>
    <row r="440" spans="2:103" ht="18.75" x14ac:dyDescent="0.25">
      <c r="B440" s="696">
        <v>44628</v>
      </c>
      <c r="C440" s="103">
        <v>0.9375</v>
      </c>
      <c r="D440" s="410">
        <v>47</v>
      </c>
      <c r="E440" s="415">
        <v>9.1999999999999993</v>
      </c>
      <c r="F440" s="415">
        <v>17.100000000000001</v>
      </c>
      <c r="G440" s="413">
        <v>1340</v>
      </c>
      <c r="H440" s="413">
        <v>2137</v>
      </c>
      <c r="I440" s="413">
        <v>105.3</v>
      </c>
      <c r="J440" s="413">
        <v>106.1</v>
      </c>
      <c r="K440" s="416" t="s">
        <v>2326</v>
      </c>
      <c r="L440" s="416">
        <v>36.08</v>
      </c>
      <c r="M440" s="416">
        <v>37</v>
      </c>
      <c r="N440" s="416">
        <v>57.92</v>
      </c>
      <c r="O440" s="416"/>
      <c r="P440" s="416"/>
      <c r="Q440" s="416"/>
      <c r="R440" s="416" t="s">
        <v>2327</v>
      </c>
      <c r="S440" s="416">
        <v>66.5</v>
      </c>
      <c r="T440" s="102" t="s">
        <v>23</v>
      </c>
      <c r="U440" s="416" t="s">
        <v>928</v>
      </c>
      <c r="V440" s="401"/>
    </row>
    <row r="441" spans="2:103" ht="18.75" x14ac:dyDescent="0.25">
      <c r="B441" s="696">
        <v>44629</v>
      </c>
      <c r="C441" s="103">
        <v>0.9375</v>
      </c>
      <c r="D441" s="410">
        <v>47</v>
      </c>
      <c r="E441" s="415">
        <v>8.4</v>
      </c>
      <c r="F441" s="415">
        <v>16.899999999999999</v>
      </c>
      <c r="G441" s="413">
        <v>1345</v>
      </c>
      <c r="H441" s="413">
        <v>2211</v>
      </c>
      <c r="I441" s="413">
        <v>104.6</v>
      </c>
      <c r="J441" s="413">
        <v>105.7</v>
      </c>
      <c r="K441" s="416" t="s">
        <v>2333</v>
      </c>
      <c r="L441" s="416">
        <v>37.729999999999997</v>
      </c>
      <c r="M441" s="416">
        <v>37</v>
      </c>
      <c r="N441" s="416">
        <v>52.03</v>
      </c>
      <c r="O441" s="416"/>
      <c r="P441" s="416"/>
      <c r="Q441" s="416"/>
      <c r="R441" s="416" t="s">
        <v>2168</v>
      </c>
      <c r="S441" s="416">
        <v>65.7</v>
      </c>
      <c r="T441" s="102" t="s">
        <v>23</v>
      </c>
      <c r="U441" s="416" t="s">
        <v>928</v>
      </c>
      <c r="V441" s="401"/>
    </row>
    <row r="442" spans="2:103" ht="18.75" x14ac:dyDescent="0.25">
      <c r="B442" s="696">
        <v>44630</v>
      </c>
      <c r="C442" s="103">
        <v>0.9375</v>
      </c>
      <c r="D442" s="410">
        <v>47</v>
      </c>
      <c r="E442" s="415">
        <v>8.6999999999999993</v>
      </c>
      <c r="F442" s="415">
        <v>17</v>
      </c>
      <c r="G442" s="413">
        <v>1326</v>
      </c>
      <c r="H442" s="413">
        <v>2156</v>
      </c>
      <c r="I442" s="413">
        <v>104.9</v>
      </c>
      <c r="J442" s="413">
        <v>106</v>
      </c>
      <c r="K442" s="416" t="s">
        <v>2337</v>
      </c>
      <c r="L442" s="416">
        <v>36.950000000000003</v>
      </c>
      <c r="M442" s="416">
        <v>37</v>
      </c>
      <c r="N442" s="416">
        <v>55.9</v>
      </c>
      <c r="O442" s="416"/>
      <c r="P442" s="416"/>
      <c r="Q442" s="416"/>
      <c r="R442" s="416" t="s">
        <v>2120</v>
      </c>
      <c r="S442" s="416">
        <v>66.099999999999994</v>
      </c>
      <c r="T442" s="102" t="s">
        <v>23</v>
      </c>
      <c r="U442" s="416" t="s">
        <v>928</v>
      </c>
      <c r="V442" s="401"/>
    </row>
    <row r="443" spans="2:103" ht="18.75" x14ac:dyDescent="0.25">
      <c r="B443" s="696">
        <v>44631</v>
      </c>
      <c r="C443" s="103">
        <v>0.9375</v>
      </c>
      <c r="D443" s="410">
        <v>47</v>
      </c>
      <c r="E443" s="415">
        <v>8.6999999999999993</v>
      </c>
      <c r="F443" s="415">
        <v>17</v>
      </c>
      <c r="G443" s="413">
        <v>1326</v>
      </c>
      <c r="H443" s="413">
        <v>2156</v>
      </c>
      <c r="I443" s="413">
        <v>104.9</v>
      </c>
      <c r="J443" s="413">
        <v>106</v>
      </c>
      <c r="K443" s="416" t="s">
        <v>2337</v>
      </c>
      <c r="L443" s="416">
        <v>36.950000000000003</v>
      </c>
      <c r="M443" s="416">
        <v>37</v>
      </c>
      <c r="N443" s="416">
        <v>55.9</v>
      </c>
      <c r="O443" s="416"/>
      <c r="P443" s="416"/>
      <c r="Q443" s="416"/>
      <c r="R443" s="416" t="s">
        <v>2120</v>
      </c>
      <c r="S443" s="416">
        <v>66.099999999999994</v>
      </c>
      <c r="T443" s="102" t="s">
        <v>23</v>
      </c>
      <c r="U443" s="416" t="s">
        <v>928</v>
      </c>
      <c r="V443" s="401"/>
    </row>
    <row r="444" spans="2:103" ht="18.75" x14ac:dyDescent="0.25">
      <c r="B444" s="696">
        <v>44632</v>
      </c>
      <c r="C444" s="103">
        <v>0.97916666666666663</v>
      </c>
      <c r="D444" s="410">
        <v>47</v>
      </c>
      <c r="E444" s="415">
        <v>8.4</v>
      </c>
      <c r="F444" s="415">
        <v>16.899999999999999</v>
      </c>
      <c r="G444" s="413">
        <v>1335</v>
      </c>
      <c r="H444" s="413">
        <v>2187</v>
      </c>
      <c r="I444" s="413">
        <v>105.2</v>
      </c>
      <c r="J444" s="413">
        <v>107.1</v>
      </c>
      <c r="K444" s="416" t="s">
        <v>2337</v>
      </c>
      <c r="L444" s="416">
        <v>37</v>
      </c>
      <c r="M444" s="416">
        <v>37</v>
      </c>
      <c r="N444" s="416">
        <v>53.34</v>
      </c>
      <c r="O444" s="416"/>
      <c r="P444" s="416"/>
      <c r="Q444" s="416"/>
      <c r="R444" s="416" t="s">
        <v>2115</v>
      </c>
      <c r="S444" s="416">
        <v>65.7</v>
      </c>
      <c r="T444" s="102" t="s">
        <v>23</v>
      </c>
      <c r="U444" s="416" t="s">
        <v>928</v>
      </c>
      <c r="V444" s="401"/>
    </row>
    <row r="445" spans="2:103" s="404" customFormat="1" ht="18.75" x14ac:dyDescent="0.25">
      <c r="B445" s="696">
        <v>44633</v>
      </c>
      <c r="C445" s="103">
        <v>0.97916666666666663</v>
      </c>
      <c r="D445" s="410">
        <v>47</v>
      </c>
      <c r="E445" s="415">
        <v>8.9</v>
      </c>
      <c r="F445" s="415">
        <v>17.100000000000001</v>
      </c>
      <c r="G445" s="413">
        <v>1319</v>
      </c>
      <c r="H445" s="413">
        <v>2149</v>
      </c>
      <c r="I445" s="413">
        <v>105.5</v>
      </c>
      <c r="J445" s="413">
        <v>106.2</v>
      </c>
      <c r="K445" s="416" t="s">
        <v>2349</v>
      </c>
      <c r="L445" s="416">
        <v>33.35</v>
      </c>
      <c r="M445" s="416">
        <v>37</v>
      </c>
      <c r="N445" s="416">
        <v>56.97</v>
      </c>
      <c r="O445" s="416"/>
      <c r="P445" s="416"/>
      <c r="Q445" s="416"/>
      <c r="R445" s="416" t="s">
        <v>2151</v>
      </c>
      <c r="S445" s="416">
        <v>68</v>
      </c>
      <c r="T445" s="102" t="s">
        <v>23</v>
      </c>
      <c r="U445" s="416" t="s">
        <v>928</v>
      </c>
      <c r="V445" s="401"/>
      <c r="W445" s="403"/>
      <c r="X445" s="403"/>
      <c r="Y445" s="403"/>
      <c r="Z445" s="403"/>
      <c r="AA445" s="403"/>
      <c r="AB445" s="403"/>
      <c r="AC445" s="403"/>
      <c r="AD445" s="403"/>
      <c r="AE445" s="403"/>
      <c r="AF445" s="403"/>
      <c r="AG445" s="403"/>
      <c r="AH445" s="403"/>
      <c r="AI445" s="403"/>
      <c r="AJ445" s="403"/>
      <c r="AK445" s="403"/>
      <c r="AL445" s="403"/>
      <c r="AM445" s="403"/>
      <c r="AN445" s="403"/>
      <c r="AO445" s="403"/>
      <c r="AP445" s="403"/>
      <c r="AQ445" s="403"/>
      <c r="AR445" s="403"/>
      <c r="AS445" s="403"/>
      <c r="AT445" s="403"/>
      <c r="AU445" s="403"/>
      <c r="AV445" s="403"/>
      <c r="AW445" s="403"/>
      <c r="AX445" s="403"/>
      <c r="AY445" s="403"/>
      <c r="AZ445" s="403"/>
      <c r="BA445" s="403"/>
      <c r="BB445" s="403"/>
      <c r="BC445" s="403"/>
      <c r="BD445" s="403"/>
      <c r="BE445" s="403"/>
      <c r="BF445" s="403"/>
      <c r="BG445" s="403"/>
      <c r="BH445" s="403"/>
      <c r="BI445" s="403"/>
      <c r="BJ445" s="403"/>
      <c r="BK445" s="403"/>
      <c r="BL445" s="403"/>
      <c r="BM445" s="403"/>
      <c r="BN445" s="403"/>
      <c r="BO445" s="403"/>
      <c r="BP445" s="403"/>
      <c r="BQ445" s="403"/>
      <c r="BR445" s="403"/>
      <c r="BS445" s="403"/>
      <c r="BT445" s="403"/>
      <c r="BU445" s="403"/>
      <c r="BV445" s="403"/>
      <c r="BW445" s="403"/>
      <c r="BX445" s="403"/>
      <c r="BY445" s="403"/>
      <c r="BZ445" s="403"/>
      <c r="CA445" s="403"/>
      <c r="CB445" s="403"/>
      <c r="CC445" s="403"/>
      <c r="CD445" s="403"/>
      <c r="CE445" s="403"/>
      <c r="CF445" s="403"/>
      <c r="CG445" s="403"/>
      <c r="CH445" s="403"/>
      <c r="CI445" s="403"/>
      <c r="CJ445" s="403"/>
      <c r="CK445" s="403"/>
      <c r="CL445" s="403"/>
    </row>
    <row r="446" spans="2:103" s="404" customFormat="1" ht="18.75" x14ac:dyDescent="0.25">
      <c r="B446" s="696">
        <v>44634</v>
      </c>
      <c r="C446" s="103">
        <v>0.97916666666666663</v>
      </c>
      <c r="D446" s="410">
        <v>47</v>
      </c>
      <c r="E446" s="415">
        <v>8.3000000000000007</v>
      </c>
      <c r="F446" s="415">
        <v>16.899999999999999</v>
      </c>
      <c r="G446" s="413">
        <v>1320</v>
      </c>
      <c r="H446" s="413">
        <v>2179</v>
      </c>
      <c r="I446" s="413">
        <v>104.7</v>
      </c>
      <c r="J446" s="413">
        <v>106.2</v>
      </c>
      <c r="K446" s="416" t="s">
        <v>2358</v>
      </c>
      <c r="L446" s="416">
        <v>37.49</v>
      </c>
      <c r="M446" s="416">
        <v>37</v>
      </c>
      <c r="N446" s="416">
        <v>52.11</v>
      </c>
      <c r="O446" s="416"/>
      <c r="P446" s="416"/>
      <c r="Q446" s="416"/>
      <c r="R446" s="416" t="s">
        <v>2174</v>
      </c>
      <c r="S446" s="416">
        <v>65.7</v>
      </c>
      <c r="T446" s="102" t="s">
        <v>23</v>
      </c>
      <c r="U446" s="416" t="s">
        <v>928</v>
      </c>
      <c r="V446" s="401"/>
      <c r="W446" s="403"/>
      <c r="X446" s="403"/>
      <c r="Y446" s="403"/>
      <c r="Z446" s="403"/>
      <c r="AA446" s="403"/>
      <c r="AB446" s="403"/>
      <c r="AC446" s="403"/>
      <c r="AD446" s="403"/>
      <c r="AE446" s="403"/>
      <c r="AF446" s="403"/>
      <c r="AG446" s="403"/>
      <c r="AH446" s="403"/>
      <c r="AI446" s="403"/>
      <c r="AJ446" s="403"/>
      <c r="AK446" s="403"/>
      <c r="AL446" s="403"/>
      <c r="AM446" s="403"/>
      <c r="AN446" s="403"/>
      <c r="AO446" s="403"/>
      <c r="AP446" s="403"/>
      <c r="AQ446" s="403"/>
      <c r="AR446" s="403"/>
      <c r="AS446" s="403"/>
      <c r="AT446" s="403"/>
      <c r="AU446" s="403"/>
      <c r="AV446" s="403"/>
      <c r="AW446" s="403"/>
      <c r="AX446" s="403"/>
      <c r="AY446" s="403"/>
      <c r="AZ446" s="403"/>
      <c r="BA446" s="403"/>
      <c r="BB446" s="403"/>
      <c r="BC446" s="403"/>
      <c r="BD446" s="403"/>
      <c r="BE446" s="403"/>
      <c r="BF446" s="403"/>
      <c r="BG446" s="403"/>
      <c r="BH446" s="403"/>
      <c r="BI446" s="403"/>
      <c r="BJ446" s="403"/>
      <c r="BK446" s="403"/>
      <c r="BL446" s="403"/>
      <c r="BM446" s="403"/>
      <c r="BN446" s="403"/>
      <c r="BO446" s="403"/>
      <c r="BP446" s="403"/>
      <c r="BQ446" s="403"/>
      <c r="BR446" s="403"/>
      <c r="BS446" s="403"/>
      <c r="BT446" s="403"/>
      <c r="BU446" s="403"/>
      <c r="BV446" s="403"/>
      <c r="BW446" s="403"/>
      <c r="BX446" s="403"/>
      <c r="BY446" s="403"/>
      <c r="BZ446" s="403"/>
      <c r="CA446" s="403"/>
      <c r="CB446" s="403"/>
      <c r="CC446" s="403"/>
      <c r="CD446" s="403"/>
      <c r="CE446" s="403"/>
      <c r="CF446" s="403"/>
      <c r="CG446" s="403"/>
      <c r="CH446" s="403"/>
      <c r="CI446" s="403"/>
      <c r="CJ446" s="403"/>
      <c r="CK446" s="403"/>
      <c r="CL446" s="403"/>
    </row>
    <row r="447" spans="2:103" s="404" customFormat="1" ht="18.75" x14ac:dyDescent="0.25">
      <c r="B447" s="696">
        <v>44635</v>
      </c>
      <c r="C447" s="103">
        <v>0.95833333333333337</v>
      </c>
      <c r="D447" s="410">
        <v>47</v>
      </c>
      <c r="E447" s="415">
        <v>8.4</v>
      </c>
      <c r="F447" s="415">
        <v>16.899999999999999</v>
      </c>
      <c r="G447" s="413">
        <v>1318</v>
      </c>
      <c r="H447" s="413">
        <v>2178</v>
      </c>
      <c r="I447" s="413">
        <v>104.7</v>
      </c>
      <c r="J447" s="413">
        <v>105.8</v>
      </c>
      <c r="K447" s="416" t="s">
        <v>2361</v>
      </c>
      <c r="L447" s="416">
        <v>37.93</v>
      </c>
      <c r="M447" s="416">
        <v>37</v>
      </c>
      <c r="N447" s="416">
        <v>54.19</v>
      </c>
      <c r="O447" s="416"/>
      <c r="P447" s="416"/>
      <c r="Q447" s="416"/>
      <c r="R447" s="416" t="s">
        <v>2168</v>
      </c>
      <c r="S447" s="416">
        <v>65.7</v>
      </c>
      <c r="T447" s="102" t="s">
        <v>23</v>
      </c>
      <c r="U447" s="416" t="s">
        <v>928</v>
      </c>
      <c r="V447" s="401"/>
      <c r="W447" s="403"/>
      <c r="X447" s="403"/>
      <c r="Y447" s="403"/>
      <c r="Z447" s="403"/>
      <c r="AA447" s="403"/>
      <c r="AB447" s="403"/>
      <c r="AC447" s="403"/>
      <c r="AD447" s="403"/>
      <c r="AE447" s="403"/>
      <c r="AF447" s="403"/>
      <c r="AG447" s="403"/>
      <c r="AH447" s="403"/>
      <c r="AI447" s="403"/>
      <c r="AJ447" s="403"/>
      <c r="AK447" s="403"/>
      <c r="AL447" s="403"/>
      <c r="AM447" s="403"/>
      <c r="AN447" s="403"/>
      <c r="AO447" s="403"/>
      <c r="AP447" s="403"/>
      <c r="AQ447" s="403"/>
      <c r="AR447" s="403"/>
      <c r="AS447" s="403"/>
      <c r="AT447" s="403"/>
      <c r="AU447" s="403"/>
      <c r="AV447" s="403"/>
      <c r="AW447" s="403"/>
      <c r="AX447" s="403"/>
      <c r="AY447" s="403"/>
      <c r="AZ447" s="403"/>
      <c r="BA447" s="403"/>
      <c r="BB447" s="403"/>
      <c r="BC447" s="403"/>
      <c r="BD447" s="403"/>
      <c r="BE447" s="403"/>
      <c r="BF447" s="403"/>
      <c r="BG447" s="403"/>
      <c r="BH447" s="403"/>
      <c r="BI447" s="403"/>
      <c r="BJ447" s="403"/>
      <c r="BK447" s="403"/>
      <c r="BL447" s="403"/>
      <c r="BM447" s="403"/>
      <c r="BN447" s="403"/>
      <c r="BO447" s="403"/>
      <c r="BP447" s="403"/>
      <c r="BQ447" s="403"/>
      <c r="BR447" s="403"/>
      <c r="BS447" s="403"/>
      <c r="BT447" s="403"/>
      <c r="BU447" s="403"/>
      <c r="BV447" s="403"/>
      <c r="BW447" s="403"/>
      <c r="BX447" s="403"/>
      <c r="BY447" s="403"/>
      <c r="BZ447" s="403"/>
      <c r="CA447" s="403"/>
      <c r="CB447" s="403"/>
      <c r="CC447" s="403"/>
      <c r="CD447" s="403"/>
      <c r="CE447" s="403"/>
      <c r="CF447" s="403"/>
      <c r="CG447" s="403"/>
      <c r="CH447" s="403"/>
      <c r="CI447" s="403"/>
      <c r="CJ447" s="403"/>
      <c r="CK447" s="403"/>
      <c r="CL447" s="403"/>
    </row>
    <row r="448" spans="2:103" s="404" customFormat="1" ht="18.75" x14ac:dyDescent="0.25">
      <c r="B448" s="723">
        <v>44636</v>
      </c>
      <c r="C448" s="103">
        <v>0.95833333333333337</v>
      </c>
      <c r="D448" s="410">
        <v>47</v>
      </c>
      <c r="E448" s="415">
        <v>8.6</v>
      </c>
      <c r="F448" s="415">
        <v>17</v>
      </c>
      <c r="G448" s="413">
        <v>1318</v>
      </c>
      <c r="H448" s="413">
        <v>2164</v>
      </c>
      <c r="I448" s="413">
        <v>104.7</v>
      </c>
      <c r="J448" s="413">
        <v>105.8</v>
      </c>
      <c r="K448" s="416" t="s">
        <v>2367</v>
      </c>
      <c r="L448" s="416">
        <v>37.26</v>
      </c>
      <c r="M448" s="416">
        <v>37</v>
      </c>
      <c r="N448" s="416">
        <v>55.63</v>
      </c>
      <c r="O448" s="416"/>
      <c r="P448" s="416"/>
      <c r="Q448" s="416"/>
      <c r="R448" s="416" t="s">
        <v>2258</v>
      </c>
      <c r="S448" s="416">
        <v>66.099999999999994</v>
      </c>
      <c r="T448" s="102" t="s">
        <v>23</v>
      </c>
      <c r="U448" s="416" t="s">
        <v>928</v>
      </c>
      <c r="V448" s="401"/>
      <c r="W448" s="403"/>
      <c r="X448" s="403"/>
      <c r="Y448" s="403"/>
      <c r="Z448" s="403"/>
      <c r="AA448" s="403"/>
      <c r="AB448" s="403"/>
      <c r="AC448" s="403"/>
      <c r="AD448" s="403"/>
      <c r="AE448" s="403"/>
      <c r="AF448" s="403"/>
      <c r="AG448" s="403"/>
      <c r="AH448" s="403"/>
      <c r="AI448" s="403"/>
      <c r="AJ448" s="403"/>
      <c r="AK448" s="403"/>
      <c r="AL448" s="403"/>
      <c r="AM448" s="403"/>
      <c r="AN448" s="403"/>
      <c r="AO448" s="403"/>
      <c r="AP448" s="403"/>
      <c r="AQ448" s="403"/>
      <c r="AR448" s="403"/>
      <c r="AS448" s="403"/>
      <c r="AT448" s="403"/>
      <c r="AU448" s="403"/>
      <c r="AV448" s="403"/>
      <c r="AW448" s="403"/>
      <c r="AX448" s="403"/>
      <c r="AY448" s="403"/>
      <c r="AZ448" s="403"/>
      <c r="BA448" s="403"/>
      <c r="BB448" s="403"/>
      <c r="BC448" s="403"/>
      <c r="BD448" s="403"/>
      <c r="BE448" s="403"/>
      <c r="BF448" s="403"/>
      <c r="BG448" s="403"/>
      <c r="BH448" s="403"/>
      <c r="BI448" s="403"/>
      <c r="BJ448" s="403"/>
      <c r="BK448" s="403"/>
      <c r="BL448" s="403"/>
      <c r="BM448" s="403"/>
      <c r="BN448" s="403"/>
      <c r="BO448" s="403"/>
      <c r="BP448" s="403"/>
      <c r="BQ448" s="403"/>
      <c r="BR448" s="403"/>
      <c r="BS448" s="403"/>
      <c r="BT448" s="403"/>
      <c r="BU448" s="403"/>
      <c r="BV448" s="403"/>
      <c r="BW448" s="403"/>
      <c r="BX448" s="403"/>
      <c r="BY448" s="403"/>
      <c r="BZ448" s="403"/>
      <c r="CA448" s="403"/>
      <c r="CB448" s="403"/>
      <c r="CC448" s="403"/>
      <c r="CD448" s="403"/>
      <c r="CE448" s="403"/>
      <c r="CF448" s="403"/>
      <c r="CG448" s="403"/>
      <c r="CH448" s="403"/>
      <c r="CI448" s="403"/>
      <c r="CJ448" s="403"/>
      <c r="CK448" s="403"/>
      <c r="CL448" s="403"/>
    </row>
    <row r="449" spans="2:103" s="404" customFormat="1" ht="18.75" x14ac:dyDescent="0.25">
      <c r="B449" s="723">
        <v>44637</v>
      </c>
      <c r="C449" s="103">
        <v>0.95833333333333337</v>
      </c>
      <c r="D449" s="410">
        <v>47</v>
      </c>
      <c r="E449" s="415">
        <v>8.1999999999999993</v>
      </c>
      <c r="F449" s="415">
        <v>16.899999999999999</v>
      </c>
      <c r="G449" s="413">
        <v>1327</v>
      </c>
      <c r="H449" s="413">
        <v>2197</v>
      </c>
      <c r="I449" s="413">
        <v>105.1</v>
      </c>
      <c r="J449" s="413">
        <v>106.1</v>
      </c>
      <c r="K449" s="416" t="s">
        <v>2372</v>
      </c>
      <c r="L449" s="416">
        <v>37.33</v>
      </c>
      <c r="M449" s="416">
        <v>37</v>
      </c>
      <c r="N449" s="416">
        <v>52.65</v>
      </c>
      <c r="O449" s="416"/>
      <c r="P449" s="416"/>
      <c r="Q449" s="416"/>
      <c r="R449" s="416" t="s">
        <v>2115</v>
      </c>
      <c r="S449" s="416">
        <v>65.7</v>
      </c>
      <c r="T449" s="102" t="s">
        <v>23</v>
      </c>
      <c r="U449" s="416" t="s">
        <v>928</v>
      </c>
      <c r="V449" s="401"/>
      <c r="W449" s="403"/>
      <c r="X449" s="403"/>
      <c r="Y449" s="403"/>
      <c r="Z449" s="403"/>
      <c r="AA449" s="403"/>
      <c r="AB449" s="403"/>
      <c r="AC449" s="403"/>
      <c r="AD449" s="403"/>
      <c r="AE449" s="403"/>
      <c r="AF449" s="403"/>
      <c r="AG449" s="403"/>
      <c r="AH449" s="403"/>
      <c r="AI449" s="403"/>
      <c r="AJ449" s="403"/>
      <c r="AK449" s="403"/>
      <c r="AL449" s="403"/>
      <c r="AM449" s="403"/>
      <c r="AN449" s="403"/>
      <c r="AO449" s="403"/>
      <c r="AP449" s="403"/>
      <c r="AQ449" s="403"/>
      <c r="AR449" s="403"/>
      <c r="AS449" s="403"/>
      <c r="AT449" s="403"/>
      <c r="AU449" s="403"/>
      <c r="AV449" s="403"/>
      <c r="AW449" s="403"/>
      <c r="AX449" s="403"/>
      <c r="AY449" s="403"/>
      <c r="AZ449" s="403"/>
      <c r="BA449" s="403"/>
      <c r="BB449" s="403"/>
      <c r="BC449" s="403"/>
      <c r="BD449" s="403"/>
      <c r="BE449" s="403"/>
      <c r="BF449" s="403"/>
      <c r="BG449" s="403"/>
      <c r="BH449" s="403"/>
      <c r="BI449" s="403"/>
      <c r="BJ449" s="403"/>
      <c r="BK449" s="403"/>
      <c r="BL449" s="403"/>
      <c r="BM449" s="403"/>
      <c r="BN449" s="403"/>
      <c r="BO449" s="403"/>
      <c r="BP449" s="403"/>
      <c r="BQ449" s="403"/>
      <c r="BR449" s="403"/>
      <c r="BS449" s="403"/>
      <c r="BT449" s="403"/>
      <c r="BU449" s="403"/>
      <c r="BV449" s="403"/>
      <c r="BW449" s="403"/>
      <c r="BX449" s="403"/>
      <c r="BY449" s="403"/>
      <c r="BZ449" s="403"/>
      <c r="CA449" s="403"/>
      <c r="CB449" s="403"/>
      <c r="CC449" s="403"/>
      <c r="CD449" s="403"/>
      <c r="CE449" s="403"/>
      <c r="CF449" s="403"/>
      <c r="CG449" s="403"/>
      <c r="CH449" s="403"/>
      <c r="CI449" s="403"/>
      <c r="CJ449" s="403"/>
      <c r="CK449" s="403"/>
      <c r="CL449" s="403"/>
    </row>
    <row r="450" spans="2:103" ht="18.75" x14ac:dyDescent="0.25">
      <c r="B450" s="723">
        <v>44638</v>
      </c>
      <c r="C450" s="103">
        <v>0.95833333333333337</v>
      </c>
      <c r="D450" s="410">
        <v>47</v>
      </c>
      <c r="E450" s="415">
        <v>10</v>
      </c>
      <c r="F450" s="415">
        <v>17.5</v>
      </c>
      <c r="G450" s="413">
        <v>1321</v>
      </c>
      <c r="H450" s="413">
        <v>2135</v>
      </c>
      <c r="I450" s="413">
        <v>105.5</v>
      </c>
      <c r="J450" s="413">
        <v>106.1</v>
      </c>
      <c r="K450" s="416" t="s">
        <v>2378</v>
      </c>
      <c r="L450" s="416">
        <v>36.76</v>
      </c>
      <c r="M450" s="416">
        <v>37</v>
      </c>
      <c r="N450" s="416">
        <v>55.78</v>
      </c>
      <c r="O450" s="416"/>
      <c r="P450" s="416"/>
      <c r="Q450" s="416"/>
      <c r="R450" s="416" t="s">
        <v>2151</v>
      </c>
      <c r="S450" s="416">
        <v>68</v>
      </c>
      <c r="T450" s="102" t="s">
        <v>23</v>
      </c>
      <c r="U450" s="416" t="s">
        <v>928</v>
      </c>
      <c r="V450" s="401"/>
    </row>
    <row r="451" spans="2:103" ht="18.75" x14ac:dyDescent="0.25">
      <c r="B451" s="723">
        <v>44639</v>
      </c>
      <c r="C451" s="103">
        <v>0.95833333333333337</v>
      </c>
      <c r="D451" s="410">
        <v>47</v>
      </c>
      <c r="E451" s="415">
        <v>8.1999999999999993</v>
      </c>
      <c r="F451" s="415">
        <v>16.899999999999999</v>
      </c>
      <c r="G451" s="413">
        <v>1327</v>
      </c>
      <c r="H451" s="413">
        <v>2211</v>
      </c>
      <c r="I451" s="413">
        <v>104.8</v>
      </c>
      <c r="J451" s="413">
        <v>105.8</v>
      </c>
      <c r="K451" s="416" t="s">
        <v>2386</v>
      </c>
      <c r="L451" s="416">
        <v>37.78</v>
      </c>
      <c r="M451" s="416">
        <v>37</v>
      </c>
      <c r="N451" s="416">
        <v>51.42</v>
      </c>
      <c r="O451" s="416"/>
      <c r="P451" s="416"/>
      <c r="Q451" s="416"/>
      <c r="R451" s="416" t="s">
        <v>2174</v>
      </c>
      <c r="S451" s="416">
        <v>65.7</v>
      </c>
      <c r="T451" s="102" t="s">
        <v>23</v>
      </c>
      <c r="U451" s="416" t="s">
        <v>928</v>
      </c>
      <c r="V451" s="401"/>
    </row>
    <row r="452" spans="2:103" s="343" customFormat="1" ht="18.75" x14ac:dyDescent="0.25">
      <c r="B452" s="723">
        <v>44640</v>
      </c>
      <c r="C452" s="103">
        <v>0.9375</v>
      </c>
      <c r="D452" s="410">
        <v>47</v>
      </c>
      <c r="E452" s="415">
        <v>8.6</v>
      </c>
      <c r="F452" s="415">
        <v>16.899999999999999</v>
      </c>
      <c r="G452" s="413">
        <v>1330</v>
      </c>
      <c r="H452" s="413">
        <v>2171</v>
      </c>
      <c r="I452" s="413">
        <v>104.8</v>
      </c>
      <c r="J452" s="413">
        <v>105.8</v>
      </c>
      <c r="K452" s="416" t="s">
        <v>2386</v>
      </c>
      <c r="L452" s="416">
        <v>35.909999999999997</v>
      </c>
      <c r="M452" s="416">
        <v>37</v>
      </c>
      <c r="N452" s="416">
        <v>56.51</v>
      </c>
      <c r="O452" s="416"/>
      <c r="P452" s="416"/>
      <c r="Q452" s="416"/>
      <c r="R452" s="416" t="s">
        <v>2174</v>
      </c>
      <c r="S452" s="416">
        <v>65.7</v>
      </c>
      <c r="T452" s="102" t="s">
        <v>23</v>
      </c>
      <c r="U452" s="416" t="s">
        <v>928</v>
      </c>
      <c r="V452" s="401"/>
      <c r="CM452" s="342"/>
      <c r="CN452" s="342"/>
      <c r="CO452" s="342"/>
      <c r="CP452" s="342"/>
      <c r="CQ452" s="342"/>
      <c r="CR452" s="342"/>
      <c r="CS452" s="342"/>
      <c r="CT452" s="342"/>
      <c r="CU452" s="342"/>
      <c r="CV452" s="342"/>
      <c r="CW452" s="342"/>
      <c r="CX452" s="342"/>
      <c r="CY452" s="342"/>
    </row>
    <row r="453" spans="2:103" s="343" customFormat="1" ht="18.75" x14ac:dyDescent="0.25">
      <c r="B453" s="723">
        <v>44641</v>
      </c>
      <c r="C453" s="103">
        <v>0.9375</v>
      </c>
      <c r="D453" s="410">
        <v>47</v>
      </c>
      <c r="E453" s="415">
        <v>8.6999999999999993</v>
      </c>
      <c r="F453" s="415">
        <v>17</v>
      </c>
      <c r="G453" s="413">
        <v>1322</v>
      </c>
      <c r="H453" s="413">
        <v>2148</v>
      </c>
      <c r="I453" s="413">
        <v>105.1</v>
      </c>
      <c r="J453" s="413">
        <v>105.8</v>
      </c>
      <c r="K453" s="416" t="s">
        <v>2394</v>
      </c>
      <c r="L453" s="416">
        <v>35.83</v>
      </c>
      <c r="M453" s="416">
        <v>37</v>
      </c>
      <c r="N453" s="416">
        <v>54.79</v>
      </c>
      <c r="O453" s="416"/>
      <c r="P453" s="416"/>
      <c r="Q453" s="416"/>
      <c r="R453" s="416" t="s">
        <v>2168</v>
      </c>
      <c r="S453" s="416">
        <v>66.099999999999994</v>
      </c>
      <c r="T453" s="102" t="s">
        <v>23</v>
      </c>
      <c r="U453" s="416" t="s">
        <v>928</v>
      </c>
      <c r="V453" s="401"/>
      <c r="CM453" s="342"/>
      <c r="CN453" s="342"/>
      <c r="CO453" s="342"/>
      <c r="CP453" s="342"/>
      <c r="CQ453" s="342"/>
      <c r="CR453" s="342"/>
      <c r="CS453" s="342"/>
      <c r="CT453" s="342"/>
      <c r="CU453" s="342"/>
      <c r="CV453" s="342"/>
      <c r="CW453" s="342"/>
      <c r="CX453" s="342"/>
      <c r="CY453" s="342"/>
    </row>
    <row r="454" spans="2:103" s="343" customFormat="1" ht="18.75" x14ac:dyDescent="0.25">
      <c r="B454" s="723">
        <v>44642</v>
      </c>
      <c r="C454" s="103">
        <v>0.9375</v>
      </c>
      <c r="D454" s="410">
        <v>47</v>
      </c>
      <c r="E454" s="415">
        <v>8.1999999999999993</v>
      </c>
      <c r="F454" s="415">
        <v>16.899999999999999</v>
      </c>
      <c r="G454" s="413">
        <v>1329</v>
      </c>
      <c r="H454" s="413">
        <v>2199</v>
      </c>
      <c r="I454" s="413">
        <v>104.4</v>
      </c>
      <c r="J454" s="413">
        <v>105.8</v>
      </c>
      <c r="K454" s="416" t="s">
        <v>2399</v>
      </c>
      <c r="L454" s="416">
        <v>38.78</v>
      </c>
      <c r="M454" s="416">
        <v>37</v>
      </c>
      <c r="N454" s="416">
        <v>49.63</v>
      </c>
      <c r="O454" s="416"/>
      <c r="P454" s="416"/>
      <c r="Q454" s="416"/>
      <c r="R454" s="416" t="s">
        <v>2174</v>
      </c>
      <c r="S454" s="416">
        <v>65.7</v>
      </c>
      <c r="T454" s="102" t="s">
        <v>23</v>
      </c>
      <c r="U454" s="416" t="s">
        <v>928</v>
      </c>
      <c r="V454" s="401"/>
      <c r="CM454" s="342"/>
      <c r="CN454" s="342"/>
      <c r="CO454" s="342"/>
      <c r="CP454" s="342"/>
      <c r="CQ454" s="342"/>
      <c r="CR454" s="342"/>
      <c r="CS454" s="342"/>
      <c r="CT454" s="342"/>
      <c r="CU454" s="342"/>
      <c r="CV454" s="342"/>
      <c r="CW454" s="342"/>
      <c r="CX454" s="342"/>
      <c r="CY454" s="342"/>
    </row>
    <row r="455" spans="2:103" s="343" customFormat="1" ht="18.75" x14ac:dyDescent="0.25">
      <c r="B455" s="723">
        <v>44643</v>
      </c>
      <c r="C455" s="103">
        <v>0.9375</v>
      </c>
      <c r="D455" s="410">
        <v>47</v>
      </c>
      <c r="E455" s="415">
        <v>8.1999999999999993</v>
      </c>
      <c r="F455" s="415">
        <v>16.899999999999999</v>
      </c>
      <c r="G455" s="413">
        <v>1329</v>
      </c>
      <c r="H455" s="413">
        <v>2199</v>
      </c>
      <c r="I455" s="413">
        <v>104.4</v>
      </c>
      <c r="J455" s="413">
        <v>105.8</v>
      </c>
      <c r="K455" s="416" t="s">
        <v>2399</v>
      </c>
      <c r="L455" s="416">
        <v>38.78</v>
      </c>
      <c r="M455" s="416">
        <v>37</v>
      </c>
      <c r="N455" s="416">
        <v>49.63</v>
      </c>
      <c r="O455" s="416"/>
      <c r="P455" s="416"/>
      <c r="Q455" s="416"/>
      <c r="R455" s="416" t="s">
        <v>2174</v>
      </c>
      <c r="S455" s="416">
        <v>65.7</v>
      </c>
      <c r="T455" s="102" t="s">
        <v>23</v>
      </c>
      <c r="U455" s="416" t="s">
        <v>928</v>
      </c>
      <c r="V455" s="401"/>
      <c r="CM455" s="342"/>
      <c r="CN455" s="342"/>
      <c r="CO455" s="342"/>
      <c r="CP455" s="342"/>
      <c r="CQ455" s="342"/>
      <c r="CR455" s="342"/>
      <c r="CS455" s="342"/>
      <c r="CT455" s="342"/>
      <c r="CU455" s="342"/>
      <c r="CV455" s="342"/>
      <c r="CW455" s="342"/>
      <c r="CX455" s="342"/>
      <c r="CY455" s="342"/>
    </row>
    <row r="456" spans="2:103" s="343" customFormat="1" ht="18.75" x14ac:dyDescent="0.25">
      <c r="B456" s="723">
        <v>44644</v>
      </c>
      <c r="C456" s="103">
        <v>0.95833333333333337</v>
      </c>
      <c r="D456" s="410">
        <v>47</v>
      </c>
      <c r="E456" s="415">
        <v>8.4</v>
      </c>
      <c r="F456" s="415">
        <v>16.899999999999999</v>
      </c>
      <c r="G456" s="413">
        <v>1340</v>
      </c>
      <c r="H456" s="413">
        <v>2199</v>
      </c>
      <c r="I456" s="413">
        <v>104.7</v>
      </c>
      <c r="J456" s="413">
        <v>105.6</v>
      </c>
      <c r="K456" s="416" t="s">
        <v>2399</v>
      </c>
      <c r="L456" s="416">
        <v>39.58</v>
      </c>
      <c r="M456" s="416">
        <v>37</v>
      </c>
      <c r="N456" s="416">
        <v>51.97</v>
      </c>
      <c r="O456" s="416"/>
      <c r="P456" s="416"/>
      <c r="Q456" s="416"/>
      <c r="R456" s="416" t="s">
        <v>2158</v>
      </c>
      <c r="S456" s="416">
        <v>65.7</v>
      </c>
      <c r="T456" s="102" t="s">
        <v>23</v>
      </c>
      <c r="U456" s="416" t="s">
        <v>928</v>
      </c>
      <c r="V456" s="401"/>
      <c r="CM456" s="342"/>
      <c r="CN456" s="342"/>
      <c r="CO456" s="342"/>
      <c r="CP456" s="342"/>
      <c r="CQ456" s="342"/>
      <c r="CR456" s="342"/>
      <c r="CS456" s="342"/>
      <c r="CT456" s="342"/>
      <c r="CU456" s="342"/>
      <c r="CV456" s="342"/>
      <c r="CW456" s="342"/>
      <c r="CX456" s="342"/>
      <c r="CY456" s="342"/>
    </row>
    <row r="457" spans="2:103" s="343" customFormat="1" ht="18.75" x14ac:dyDescent="0.25">
      <c r="B457" s="723">
        <v>44645</v>
      </c>
      <c r="C457" s="103">
        <v>0.95833333333333337</v>
      </c>
      <c r="D457" s="410">
        <v>47</v>
      </c>
      <c r="E457" s="415">
        <v>8.5</v>
      </c>
      <c r="F457" s="415">
        <v>16.899999999999999</v>
      </c>
      <c r="G457" s="413">
        <v>1327</v>
      </c>
      <c r="H457" s="413">
        <v>2164</v>
      </c>
      <c r="I457" s="413">
        <v>105.1</v>
      </c>
      <c r="J457" s="413">
        <v>105.9</v>
      </c>
      <c r="K457" s="416" t="s">
        <v>2407</v>
      </c>
      <c r="L457" s="416">
        <v>37.43</v>
      </c>
      <c r="M457" s="416">
        <v>37</v>
      </c>
      <c r="N457" s="416">
        <v>56.17</v>
      </c>
      <c r="O457" s="416"/>
      <c r="P457" s="416"/>
      <c r="Q457" s="416"/>
      <c r="R457" s="416" t="s">
        <v>2408</v>
      </c>
      <c r="S457" s="416">
        <v>66.099999999999994</v>
      </c>
      <c r="T457" s="102" t="s">
        <v>23</v>
      </c>
      <c r="U457" s="416" t="s">
        <v>928</v>
      </c>
      <c r="V457" s="401"/>
      <c r="CM457" s="342"/>
      <c r="CN457" s="342"/>
      <c r="CO457" s="342"/>
      <c r="CP457" s="342"/>
      <c r="CQ457" s="342"/>
      <c r="CR457" s="342"/>
      <c r="CS457" s="342"/>
      <c r="CT457" s="342"/>
      <c r="CU457" s="342"/>
      <c r="CV457" s="342"/>
      <c r="CW457" s="342"/>
      <c r="CX457" s="342"/>
      <c r="CY457" s="342"/>
    </row>
    <row r="458" spans="2:103" s="343" customFormat="1" ht="18.75" x14ac:dyDescent="0.25">
      <c r="B458" s="723">
        <v>44646</v>
      </c>
      <c r="C458" s="103">
        <v>0.95833333333333337</v>
      </c>
      <c r="D458" s="410">
        <v>47</v>
      </c>
      <c r="E458" s="415">
        <v>8.5</v>
      </c>
      <c r="F458" s="415">
        <v>16.899999999999999</v>
      </c>
      <c r="G458" s="413">
        <v>1327</v>
      </c>
      <c r="H458" s="413">
        <v>2164</v>
      </c>
      <c r="I458" s="413">
        <v>105.1</v>
      </c>
      <c r="J458" s="413">
        <v>105.9</v>
      </c>
      <c r="K458" s="416" t="s">
        <v>2407</v>
      </c>
      <c r="L458" s="416">
        <v>37.43</v>
      </c>
      <c r="M458" s="416">
        <v>37</v>
      </c>
      <c r="N458" s="416">
        <v>56.17</v>
      </c>
      <c r="O458" s="416"/>
      <c r="P458" s="416"/>
      <c r="Q458" s="416"/>
      <c r="R458" s="416" t="s">
        <v>2408</v>
      </c>
      <c r="S458" s="416">
        <v>66.099999999999994</v>
      </c>
      <c r="T458" s="102" t="s">
        <v>23</v>
      </c>
      <c r="U458" s="416" t="s">
        <v>928</v>
      </c>
      <c r="V458" s="401"/>
      <c r="CM458" s="342"/>
      <c r="CN458" s="342"/>
      <c r="CO458" s="342"/>
      <c r="CP458" s="342"/>
      <c r="CQ458" s="342"/>
      <c r="CR458" s="342"/>
      <c r="CS458" s="342"/>
      <c r="CT458" s="342"/>
      <c r="CU458" s="342"/>
      <c r="CV458" s="342"/>
      <c r="CW458" s="342"/>
      <c r="CX458" s="342"/>
      <c r="CY458" s="342"/>
    </row>
    <row r="459" spans="2:103" s="343" customFormat="1" ht="18.75" x14ac:dyDescent="0.25">
      <c r="B459" s="723">
        <v>44647</v>
      </c>
      <c r="C459" s="103">
        <v>0.95833333333333337</v>
      </c>
      <c r="D459" s="410">
        <v>48</v>
      </c>
      <c r="E459" s="415">
        <v>8.6999999999999993</v>
      </c>
      <c r="F459" s="415">
        <v>17.100000000000001</v>
      </c>
      <c r="G459" s="413">
        <v>1334</v>
      </c>
      <c r="H459" s="413">
        <v>2204</v>
      </c>
      <c r="I459" s="413">
        <v>104.9</v>
      </c>
      <c r="J459" s="413">
        <v>105.7</v>
      </c>
      <c r="K459" s="416" t="s">
        <v>2411</v>
      </c>
      <c r="L459" s="416">
        <v>38.049999999999997</v>
      </c>
      <c r="M459" s="416">
        <v>37</v>
      </c>
      <c r="N459" s="416">
        <v>55.74</v>
      </c>
      <c r="O459" s="416"/>
      <c r="P459" s="416"/>
      <c r="Q459" s="416"/>
      <c r="R459" s="416" t="s">
        <v>2101</v>
      </c>
      <c r="S459" s="416">
        <v>66.5</v>
      </c>
      <c r="T459" s="102" t="s">
        <v>23</v>
      </c>
      <c r="U459" s="416" t="s">
        <v>928</v>
      </c>
      <c r="V459" s="401"/>
      <c r="CM459" s="342"/>
      <c r="CN459" s="342"/>
      <c r="CO459" s="342"/>
      <c r="CP459" s="342"/>
      <c r="CQ459" s="342"/>
      <c r="CR459" s="342"/>
      <c r="CS459" s="342"/>
      <c r="CT459" s="342"/>
      <c r="CU459" s="342"/>
      <c r="CV459" s="342"/>
      <c r="CW459" s="342"/>
      <c r="CX459" s="342"/>
      <c r="CY459" s="342"/>
    </row>
    <row r="460" spans="2:103" s="343" customFormat="1" ht="18.75" x14ac:dyDescent="0.25">
      <c r="B460" s="723">
        <v>44648</v>
      </c>
      <c r="C460" s="103">
        <v>0.95833333333333337</v>
      </c>
      <c r="D460" s="410">
        <v>47.5</v>
      </c>
      <c r="E460" s="415">
        <v>8.9</v>
      </c>
      <c r="F460" s="415">
        <v>17.100000000000001</v>
      </c>
      <c r="G460" s="413">
        <v>1330</v>
      </c>
      <c r="H460" s="413">
        <v>2182</v>
      </c>
      <c r="I460" s="413">
        <v>104.9</v>
      </c>
      <c r="J460" s="413">
        <v>105.7</v>
      </c>
      <c r="K460" s="416" t="s">
        <v>2413</v>
      </c>
      <c r="L460" s="416">
        <v>37.89</v>
      </c>
      <c r="M460" s="416">
        <v>37</v>
      </c>
      <c r="N460" s="416">
        <v>54.53</v>
      </c>
      <c r="O460" s="416"/>
      <c r="P460" s="416"/>
      <c r="Q460" s="416"/>
      <c r="R460" s="416" t="s">
        <v>2414</v>
      </c>
      <c r="S460" s="416">
        <v>66.5</v>
      </c>
      <c r="T460" s="102" t="s">
        <v>23</v>
      </c>
      <c r="U460" s="416" t="s">
        <v>928</v>
      </c>
      <c r="V460" s="401"/>
      <c r="CM460" s="342"/>
      <c r="CN460" s="342"/>
      <c r="CO460" s="342"/>
      <c r="CP460" s="342"/>
      <c r="CQ460" s="342"/>
      <c r="CR460" s="342"/>
      <c r="CS460" s="342"/>
      <c r="CT460" s="342"/>
      <c r="CU460" s="342"/>
      <c r="CV460" s="342"/>
      <c r="CW460" s="342"/>
      <c r="CX460" s="342"/>
      <c r="CY460" s="342"/>
    </row>
    <row r="461" spans="2:103" s="343" customFormat="1" ht="18.75" x14ac:dyDescent="0.25">
      <c r="B461" s="723">
        <v>44649</v>
      </c>
      <c r="C461" s="103">
        <v>0.95833333333333337</v>
      </c>
      <c r="D461" s="410">
        <v>47.5</v>
      </c>
      <c r="E461" s="415">
        <v>8.4</v>
      </c>
      <c r="F461" s="415">
        <v>16.899999999999999</v>
      </c>
      <c r="G461" s="413">
        <v>1339</v>
      </c>
      <c r="H461" s="413">
        <v>2227</v>
      </c>
      <c r="I461" s="413">
        <v>104.4</v>
      </c>
      <c r="J461" s="413">
        <v>105.6</v>
      </c>
      <c r="K461" s="416" t="s">
        <v>2420</v>
      </c>
      <c r="L461" s="416">
        <v>39.270000000000003</v>
      </c>
      <c r="M461" s="416">
        <v>37</v>
      </c>
      <c r="N461" s="416">
        <v>49.48</v>
      </c>
      <c r="O461" s="416"/>
      <c r="P461" s="416"/>
      <c r="Q461" s="416"/>
      <c r="R461" s="416" t="s">
        <v>2115</v>
      </c>
      <c r="S461" s="416">
        <v>65.7</v>
      </c>
      <c r="T461" s="102" t="s">
        <v>23</v>
      </c>
      <c r="U461" s="416" t="s">
        <v>928</v>
      </c>
      <c r="V461" s="401"/>
      <c r="CM461" s="342"/>
      <c r="CN461" s="342"/>
      <c r="CO461" s="342"/>
      <c r="CP461" s="342"/>
      <c r="CQ461" s="342"/>
      <c r="CR461" s="342"/>
      <c r="CS461" s="342"/>
      <c r="CT461" s="342"/>
      <c r="CU461" s="342"/>
      <c r="CV461" s="342"/>
      <c r="CW461" s="342"/>
      <c r="CX461" s="342"/>
      <c r="CY461" s="342"/>
    </row>
    <row r="462" spans="2:103" s="343" customFormat="1" ht="18.75" x14ac:dyDescent="0.25">
      <c r="B462" s="723">
        <v>44650</v>
      </c>
      <c r="C462" s="103">
        <v>0.9375</v>
      </c>
      <c r="D462" s="410">
        <v>47.5</v>
      </c>
      <c r="E462" s="415">
        <v>9.8000000000000007</v>
      </c>
      <c r="F462" s="415">
        <v>17.399999999999999</v>
      </c>
      <c r="G462" s="413">
        <v>1340</v>
      </c>
      <c r="H462" s="413">
        <v>2243</v>
      </c>
      <c r="I462" s="413">
        <v>105.2</v>
      </c>
      <c r="J462" s="413">
        <v>106.1</v>
      </c>
      <c r="K462" s="416" t="s">
        <v>2424</v>
      </c>
      <c r="L462" s="416">
        <v>39.130000000000003</v>
      </c>
      <c r="M462" s="416">
        <v>37</v>
      </c>
      <c r="N462" s="416">
        <v>51.2</v>
      </c>
      <c r="O462" s="416"/>
      <c r="P462" s="416"/>
      <c r="Q462" s="416"/>
      <c r="R462" s="416" t="s">
        <v>2425</v>
      </c>
      <c r="S462" s="416">
        <v>67.7</v>
      </c>
      <c r="T462" s="102" t="s">
        <v>23</v>
      </c>
      <c r="U462" s="416" t="s">
        <v>928</v>
      </c>
      <c r="V462" s="401"/>
      <c r="CM462" s="342"/>
      <c r="CN462" s="342"/>
      <c r="CO462" s="342"/>
      <c r="CP462" s="342"/>
      <c r="CQ462" s="342"/>
      <c r="CR462" s="342"/>
      <c r="CS462" s="342"/>
      <c r="CT462" s="342"/>
      <c r="CU462" s="342"/>
      <c r="CV462" s="342"/>
      <c r="CW462" s="342"/>
      <c r="CX462" s="342"/>
      <c r="CY462" s="342"/>
    </row>
    <row r="463" spans="2:103" s="343" customFormat="1" ht="18.75" x14ac:dyDescent="0.25">
      <c r="B463" s="723">
        <v>44651</v>
      </c>
      <c r="C463" s="103">
        <v>0.97916666666666663</v>
      </c>
      <c r="D463" s="410">
        <v>47</v>
      </c>
      <c r="E463" s="415">
        <v>8.1</v>
      </c>
      <c r="F463" s="415">
        <v>16.8</v>
      </c>
      <c r="G463" s="413">
        <v>1333</v>
      </c>
      <c r="H463" s="413">
        <v>2217</v>
      </c>
      <c r="I463" s="413">
        <v>104.5</v>
      </c>
      <c r="J463" s="413">
        <v>106.7</v>
      </c>
      <c r="K463" s="416" t="s">
        <v>2432</v>
      </c>
      <c r="L463" s="416">
        <v>39.869999999999997</v>
      </c>
      <c r="M463" s="416">
        <v>37</v>
      </c>
      <c r="N463" s="416">
        <v>50.01</v>
      </c>
      <c r="O463" s="416"/>
      <c r="P463" s="416"/>
      <c r="Q463" s="416"/>
      <c r="R463" s="416" t="s">
        <v>2433</v>
      </c>
      <c r="S463" s="416">
        <v>65.3</v>
      </c>
      <c r="T463" s="102" t="s">
        <v>23</v>
      </c>
      <c r="U463" s="416" t="s">
        <v>928</v>
      </c>
      <c r="V463" s="401"/>
      <c r="CM463" s="342"/>
      <c r="CN463" s="342"/>
      <c r="CO463" s="342"/>
      <c r="CP463" s="342"/>
      <c r="CQ463" s="342"/>
      <c r="CR463" s="342"/>
      <c r="CS463" s="342"/>
      <c r="CT463" s="342"/>
      <c r="CU463" s="342"/>
      <c r="CV463" s="342"/>
      <c r="CW463" s="342"/>
      <c r="CX463" s="342"/>
      <c r="CY463" s="342"/>
    </row>
    <row r="464" spans="2:103" s="343" customFormat="1" ht="25.5" customHeight="1" x14ac:dyDescent="0.25">
      <c r="B464" s="723">
        <v>44652</v>
      </c>
      <c r="C464" s="103">
        <v>0.97916666666666663</v>
      </c>
      <c r="D464" s="410">
        <v>47.5</v>
      </c>
      <c r="E464" s="415">
        <v>8.4</v>
      </c>
      <c r="F464" s="415">
        <v>17</v>
      </c>
      <c r="G464" s="413">
        <v>1351</v>
      </c>
      <c r="H464" s="413">
        <v>2233</v>
      </c>
      <c r="I464" s="413">
        <v>104.5</v>
      </c>
      <c r="J464" s="413">
        <v>106.3</v>
      </c>
      <c r="K464" s="416" t="s">
        <v>2453</v>
      </c>
      <c r="L464" s="416">
        <v>38.200000000000003</v>
      </c>
      <c r="M464" s="416">
        <v>37</v>
      </c>
      <c r="N464" s="416">
        <v>48.9</v>
      </c>
      <c r="O464" s="416"/>
      <c r="P464" s="416"/>
      <c r="Q464" s="416"/>
      <c r="R464" s="416" t="s">
        <v>2120</v>
      </c>
      <c r="S464" s="416">
        <v>66.099999999999994</v>
      </c>
      <c r="T464" s="102" t="s">
        <v>23</v>
      </c>
      <c r="U464" s="416" t="s">
        <v>928</v>
      </c>
      <c r="V464" s="401"/>
      <c r="CM464" s="342"/>
      <c r="CN464" s="342"/>
      <c r="CO464" s="342"/>
      <c r="CP464" s="342"/>
      <c r="CQ464" s="342"/>
      <c r="CR464" s="342"/>
      <c r="CS464" s="342"/>
      <c r="CT464" s="342"/>
      <c r="CU464" s="342"/>
      <c r="CV464" s="342"/>
      <c r="CW464" s="342"/>
      <c r="CX464" s="342"/>
      <c r="CY464" s="342"/>
    </row>
    <row r="465" spans="2:103" s="343" customFormat="1" ht="25.5" customHeight="1" x14ac:dyDescent="0.25">
      <c r="B465" s="727">
        <v>44653</v>
      </c>
      <c r="C465" s="103">
        <v>0.89583333333333337</v>
      </c>
      <c r="D465" s="410">
        <v>47</v>
      </c>
      <c r="E465" s="415">
        <v>9</v>
      </c>
      <c r="F465" s="415">
        <v>17</v>
      </c>
      <c r="G465" s="413">
        <v>1324</v>
      </c>
      <c r="H465" s="413">
        <v>2134</v>
      </c>
      <c r="I465" s="413">
        <v>105.8</v>
      </c>
      <c r="J465" s="413">
        <v>106.4</v>
      </c>
      <c r="K465" s="416" t="s">
        <v>2458</v>
      </c>
      <c r="L465" s="416">
        <v>36.81</v>
      </c>
      <c r="M465" s="416">
        <v>39</v>
      </c>
      <c r="N465" s="416">
        <v>57.97</v>
      </c>
      <c r="O465" s="416"/>
      <c r="P465" s="416"/>
      <c r="Q465" s="416"/>
      <c r="R465" s="416" t="s">
        <v>2101</v>
      </c>
      <c r="S465" s="416">
        <v>66.099999999999994</v>
      </c>
      <c r="T465" s="102" t="s">
        <v>23</v>
      </c>
      <c r="U465" s="416" t="s">
        <v>236</v>
      </c>
      <c r="V465" s="401" t="s">
        <v>415</v>
      </c>
      <c r="CM465" s="342"/>
      <c r="CN465" s="342"/>
      <c r="CO465" s="342"/>
      <c r="CP465" s="342"/>
      <c r="CQ465" s="342"/>
      <c r="CR465" s="342"/>
      <c r="CS465" s="342"/>
      <c r="CT465" s="342"/>
      <c r="CU465" s="342"/>
      <c r="CV465" s="342"/>
      <c r="CW465" s="342"/>
      <c r="CX465" s="342"/>
      <c r="CY465" s="342"/>
    </row>
    <row r="466" spans="2:103" s="343" customFormat="1" ht="25.5" customHeight="1" x14ac:dyDescent="0.25">
      <c r="B466" s="729">
        <v>44654</v>
      </c>
      <c r="C466" s="103">
        <v>0.89583333333333337</v>
      </c>
      <c r="D466" s="410">
        <v>47</v>
      </c>
      <c r="E466" s="415">
        <v>8.6999999999999993</v>
      </c>
      <c r="F466" s="415">
        <v>17</v>
      </c>
      <c r="G466" s="413">
        <v>1327</v>
      </c>
      <c r="H466" s="413">
        <v>2168</v>
      </c>
      <c r="I466" s="413">
        <v>105.1</v>
      </c>
      <c r="J466" s="413">
        <v>105.9</v>
      </c>
      <c r="K466" s="416" t="s">
        <v>2471</v>
      </c>
      <c r="L466" s="416">
        <v>36.25</v>
      </c>
      <c r="M466" s="416">
        <v>38.5</v>
      </c>
      <c r="N466" s="416">
        <v>55.18</v>
      </c>
      <c r="O466" s="416"/>
      <c r="P466" s="416"/>
      <c r="Q466" s="416"/>
      <c r="R466" s="416" t="s">
        <v>2168</v>
      </c>
      <c r="S466" s="416">
        <v>66.099999999999994</v>
      </c>
      <c r="T466" s="102" t="s">
        <v>23</v>
      </c>
      <c r="U466" s="416" t="s">
        <v>236</v>
      </c>
      <c r="V466" s="401" t="s">
        <v>415</v>
      </c>
      <c r="CM466" s="342"/>
      <c r="CN466" s="342"/>
      <c r="CO466" s="342"/>
      <c r="CP466" s="342"/>
      <c r="CQ466" s="342"/>
      <c r="CR466" s="342"/>
      <c r="CS466" s="342"/>
      <c r="CT466" s="342"/>
      <c r="CU466" s="342"/>
      <c r="CV466" s="342"/>
      <c r="CW466" s="342"/>
      <c r="CX466" s="342"/>
      <c r="CY466" s="342"/>
    </row>
    <row r="467" spans="2:103" s="343" customFormat="1" ht="25.5" customHeight="1" x14ac:dyDescent="0.25">
      <c r="B467" s="735">
        <v>44655</v>
      </c>
      <c r="C467" s="103">
        <v>0.89583333333333337</v>
      </c>
      <c r="D467" s="410">
        <v>47</v>
      </c>
      <c r="E467" s="415">
        <v>8.9</v>
      </c>
      <c r="F467" s="415">
        <v>17</v>
      </c>
      <c r="G467" s="413">
        <v>1320</v>
      </c>
      <c r="H467" s="413">
        <v>2140</v>
      </c>
      <c r="I467" s="413">
        <v>105.2</v>
      </c>
      <c r="J467" s="413">
        <v>106.5</v>
      </c>
      <c r="K467" s="416" t="s">
        <v>2491</v>
      </c>
      <c r="L467" s="416">
        <v>35.08</v>
      </c>
      <c r="M467" s="416">
        <v>38</v>
      </c>
      <c r="N467" s="416">
        <v>58.8</v>
      </c>
      <c r="O467" s="416"/>
      <c r="P467" s="416"/>
      <c r="Q467" s="416"/>
      <c r="R467" s="416" t="s">
        <v>2120</v>
      </c>
      <c r="S467" s="416">
        <v>66.099999999999994</v>
      </c>
      <c r="T467" s="102" t="s">
        <v>23</v>
      </c>
      <c r="U467" s="416" t="s">
        <v>236</v>
      </c>
      <c r="V467" s="401"/>
      <c r="CM467" s="342"/>
      <c r="CN467" s="342"/>
      <c r="CO467" s="342"/>
      <c r="CP467" s="342"/>
      <c r="CQ467" s="342"/>
      <c r="CR467" s="342"/>
      <c r="CS467" s="342"/>
      <c r="CT467" s="342"/>
      <c r="CU467" s="342"/>
      <c r="CV467" s="342"/>
      <c r="CW467" s="342"/>
      <c r="CX467" s="342"/>
      <c r="CY467" s="342"/>
    </row>
    <row r="468" spans="2:103" s="343" customFormat="1" ht="25.5" customHeight="1" x14ac:dyDescent="0.25">
      <c r="B468" s="737">
        <v>44656</v>
      </c>
      <c r="C468" s="103">
        <v>0.95833333333333337</v>
      </c>
      <c r="D468" s="410">
        <v>47</v>
      </c>
      <c r="E468" s="415">
        <v>8.6</v>
      </c>
      <c r="F468" s="415">
        <v>17</v>
      </c>
      <c r="G468" s="413">
        <v>1325.6</v>
      </c>
      <c r="H468" s="413">
        <v>2164</v>
      </c>
      <c r="I468" s="413">
        <v>105</v>
      </c>
      <c r="J468" s="413">
        <v>106.3</v>
      </c>
      <c r="K468" s="416" t="s">
        <v>2496</v>
      </c>
      <c r="L468" s="416">
        <v>36.68</v>
      </c>
      <c r="M468" s="416">
        <v>38</v>
      </c>
      <c r="N468" s="416">
        <v>56.1</v>
      </c>
      <c r="O468" s="416"/>
      <c r="P468" s="416"/>
      <c r="Q468" s="416"/>
      <c r="R468" s="416" t="s">
        <v>2120</v>
      </c>
      <c r="S468" s="416">
        <v>66.099999999999994</v>
      </c>
      <c r="T468" s="102" t="s">
        <v>23</v>
      </c>
      <c r="U468" s="416" t="s">
        <v>236</v>
      </c>
      <c r="V468" s="401"/>
      <c r="CM468" s="342"/>
      <c r="CN468" s="342"/>
      <c r="CO468" s="342"/>
      <c r="CP468" s="342"/>
      <c r="CQ468" s="342"/>
      <c r="CR468" s="342"/>
      <c r="CS468" s="342"/>
      <c r="CT468" s="342"/>
      <c r="CU468" s="342"/>
      <c r="CV468" s="342"/>
      <c r="CW468" s="342"/>
      <c r="CX468" s="342"/>
      <c r="CY468" s="342"/>
    </row>
    <row r="469" spans="2:103" s="343" customFormat="1" ht="25.5" customHeight="1" x14ac:dyDescent="0.25">
      <c r="B469" s="739">
        <v>44657</v>
      </c>
      <c r="C469" s="103">
        <v>0.89583333333333337</v>
      </c>
      <c r="D469" s="410">
        <v>47</v>
      </c>
      <c r="E469" s="415">
        <v>8</v>
      </c>
      <c r="F469" s="415">
        <v>16.8</v>
      </c>
      <c r="G469" s="413">
        <v>1335</v>
      </c>
      <c r="H469" s="413">
        <v>2179</v>
      </c>
      <c r="I469" s="413">
        <v>104.3</v>
      </c>
      <c r="J469" s="413">
        <v>105.7</v>
      </c>
      <c r="K469" s="416" t="s">
        <v>2509</v>
      </c>
      <c r="L469" s="416">
        <v>38.369999999999997</v>
      </c>
      <c r="M469" s="416">
        <v>40.5</v>
      </c>
      <c r="N469" s="416">
        <v>49.86</v>
      </c>
      <c r="O469" s="416"/>
      <c r="P469" s="416"/>
      <c r="Q469" s="416"/>
      <c r="R469" s="416" t="s">
        <v>2168</v>
      </c>
      <c r="S469" s="416">
        <v>65.7</v>
      </c>
      <c r="T469" s="102" t="s">
        <v>23</v>
      </c>
      <c r="U469" s="416" t="s">
        <v>236</v>
      </c>
      <c r="V469" s="401"/>
      <c r="CM469" s="342"/>
      <c r="CN469" s="342"/>
      <c r="CO469" s="342"/>
      <c r="CP469" s="342"/>
      <c r="CQ469" s="342"/>
      <c r="CR469" s="342"/>
      <c r="CS469" s="342"/>
      <c r="CT469" s="342"/>
      <c r="CU469" s="342"/>
      <c r="CV469" s="342"/>
      <c r="CW469" s="342"/>
      <c r="CX469" s="342"/>
      <c r="CY469" s="342"/>
    </row>
    <row r="470" spans="2:103" s="343" customFormat="1" ht="27" customHeight="1" x14ac:dyDescent="0.25">
      <c r="B470" s="741">
        <v>44658</v>
      </c>
      <c r="C470" s="103">
        <v>0.95833333333333337</v>
      </c>
      <c r="D470" s="410">
        <v>48</v>
      </c>
      <c r="E470" s="415">
        <v>8.9</v>
      </c>
      <c r="F470" s="415">
        <v>17.100000000000001</v>
      </c>
      <c r="G470" s="413">
        <v>1346</v>
      </c>
      <c r="H470" s="413">
        <v>2243</v>
      </c>
      <c r="I470" s="413">
        <v>104.5</v>
      </c>
      <c r="J470" s="413">
        <v>105.6</v>
      </c>
      <c r="K470" s="416" t="s">
        <v>2516</v>
      </c>
      <c r="L470" s="416">
        <v>37.68</v>
      </c>
      <c r="M470" s="416">
        <v>39</v>
      </c>
      <c r="N470" s="416">
        <v>47.8</v>
      </c>
      <c r="O470" s="416"/>
      <c r="P470" s="416"/>
      <c r="Q470" s="416"/>
      <c r="R470" s="416" t="s">
        <v>2191</v>
      </c>
      <c r="S470" s="416">
        <v>66.5</v>
      </c>
      <c r="T470" s="102" t="s">
        <v>23</v>
      </c>
      <c r="U470" s="416" t="s">
        <v>236</v>
      </c>
      <c r="V470" s="401" t="s">
        <v>2523</v>
      </c>
      <c r="CM470" s="342"/>
      <c r="CN470" s="342"/>
      <c r="CO470" s="342"/>
      <c r="CP470" s="342"/>
      <c r="CQ470" s="342"/>
      <c r="CR470" s="342"/>
      <c r="CS470" s="342"/>
      <c r="CT470" s="342"/>
      <c r="CU470" s="342"/>
      <c r="CV470" s="342"/>
      <c r="CW470" s="342"/>
      <c r="CX470" s="342"/>
      <c r="CY470" s="342"/>
    </row>
    <row r="471" spans="2:103" s="343" customFormat="1" ht="27" customHeight="1" x14ac:dyDescent="0.25">
      <c r="B471" s="743">
        <v>44659</v>
      </c>
      <c r="C471" s="103">
        <v>0.95833333333333337</v>
      </c>
      <c r="D471" s="410">
        <v>47.5</v>
      </c>
      <c r="E471" s="415">
        <v>8.5</v>
      </c>
      <c r="F471" s="415">
        <v>17</v>
      </c>
      <c r="G471" s="413">
        <v>1322</v>
      </c>
      <c r="H471" s="413">
        <v>2195</v>
      </c>
      <c r="I471" s="413">
        <v>104.9</v>
      </c>
      <c r="J471" s="413">
        <v>106.1</v>
      </c>
      <c r="K471" s="416" t="s">
        <v>2526</v>
      </c>
      <c r="L471" s="416">
        <v>37.67</v>
      </c>
      <c r="M471" s="416">
        <v>40</v>
      </c>
      <c r="N471" s="416">
        <v>55.4</v>
      </c>
      <c r="O471" s="416"/>
      <c r="P471" s="416"/>
      <c r="Q471" s="416"/>
      <c r="R471" s="416" t="s">
        <v>2158</v>
      </c>
      <c r="S471" s="416">
        <v>66.099999999999994</v>
      </c>
      <c r="T471" s="102" t="s">
        <v>23</v>
      </c>
      <c r="U471" s="416" t="s">
        <v>236</v>
      </c>
      <c r="V471" s="401" t="s">
        <v>2527</v>
      </c>
      <c r="CM471" s="342"/>
      <c r="CN471" s="342"/>
      <c r="CO471" s="342"/>
      <c r="CP471" s="342"/>
      <c r="CQ471" s="342"/>
      <c r="CR471" s="342"/>
      <c r="CS471" s="342"/>
      <c r="CT471" s="342"/>
      <c r="CU471" s="342"/>
      <c r="CV471" s="342"/>
      <c r="CW471" s="342"/>
      <c r="CX471" s="342"/>
      <c r="CY471" s="342"/>
    </row>
    <row r="472" spans="2:103" s="343" customFormat="1" ht="27" customHeight="1" x14ac:dyDescent="0.25">
      <c r="B472" s="745">
        <v>44660</v>
      </c>
      <c r="C472" s="103">
        <v>0.95833333333333337</v>
      </c>
      <c r="D472" s="410">
        <v>47.5</v>
      </c>
      <c r="E472" s="415">
        <v>8.8000000000000007</v>
      </c>
      <c r="F472" s="415">
        <v>17</v>
      </c>
      <c r="G472" s="413">
        <v>1324</v>
      </c>
      <c r="H472" s="413">
        <v>2139</v>
      </c>
      <c r="I472" s="413">
        <v>104.9</v>
      </c>
      <c r="J472" s="413">
        <v>105.8</v>
      </c>
      <c r="K472" s="416" t="s">
        <v>2542</v>
      </c>
      <c r="L472" s="416">
        <v>38.049999999999997</v>
      </c>
      <c r="M472" s="416">
        <v>40.5</v>
      </c>
      <c r="N472" s="416">
        <v>55.7</v>
      </c>
      <c r="O472" s="416"/>
      <c r="P472" s="416"/>
      <c r="Q472" s="416"/>
      <c r="R472" s="416" t="s">
        <v>2543</v>
      </c>
      <c r="S472" s="416">
        <v>66.900000000000006</v>
      </c>
      <c r="T472" s="102" t="s">
        <v>23</v>
      </c>
      <c r="U472" s="416" t="s">
        <v>236</v>
      </c>
      <c r="V472" s="401"/>
      <c r="CM472" s="342"/>
      <c r="CN472" s="342"/>
      <c r="CO472" s="342"/>
      <c r="CP472" s="342"/>
      <c r="CQ472" s="342"/>
      <c r="CR472" s="342"/>
      <c r="CS472" s="342"/>
      <c r="CT472" s="342"/>
      <c r="CU472" s="342"/>
      <c r="CV472" s="342"/>
      <c r="CW472" s="342"/>
      <c r="CX472" s="342"/>
      <c r="CY472" s="342"/>
    </row>
    <row r="473" spans="2:103" s="343" customFormat="1" ht="27" customHeight="1" x14ac:dyDescent="0.25">
      <c r="B473" s="747">
        <v>44661</v>
      </c>
      <c r="C473" s="103">
        <v>0</v>
      </c>
      <c r="D473" s="410">
        <v>47.5</v>
      </c>
      <c r="E473" s="415">
        <v>8.9</v>
      </c>
      <c r="F473" s="415">
        <v>17</v>
      </c>
      <c r="G473" s="413">
        <v>1319</v>
      </c>
      <c r="H473" s="413">
        <v>2156</v>
      </c>
      <c r="I473" s="413">
        <v>105.6</v>
      </c>
      <c r="J473" s="413">
        <v>106.1</v>
      </c>
      <c r="K473" s="416" t="s">
        <v>2560</v>
      </c>
      <c r="L473" s="416">
        <v>37.76</v>
      </c>
      <c r="M473" s="416">
        <v>40.5</v>
      </c>
      <c r="N473" s="416">
        <v>54.6</v>
      </c>
      <c r="O473" s="416"/>
      <c r="P473" s="416"/>
      <c r="Q473" s="416"/>
      <c r="R473" s="416" t="s">
        <v>2191</v>
      </c>
      <c r="S473" s="416">
        <v>66.900000000000006</v>
      </c>
      <c r="T473" s="102" t="s">
        <v>23</v>
      </c>
      <c r="U473" s="416" t="s">
        <v>236</v>
      </c>
      <c r="V473" s="401"/>
      <c r="CM473" s="342"/>
      <c r="CN473" s="342"/>
      <c r="CO473" s="342"/>
      <c r="CP473" s="342"/>
      <c r="CQ473" s="342"/>
      <c r="CR473" s="342"/>
      <c r="CS473" s="342"/>
      <c r="CT473" s="342"/>
      <c r="CU473" s="342"/>
      <c r="CV473" s="342"/>
      <c r="CW473" s="342"/>
      <c r="CX473" s="342"/>
      <c r="CY473" s="342"/>
    </row>
    <row r="474" spans="2:103" s="343" customFormat="1" ht="27" customHeight="1" x14ac:dyDescent="0.25">
      <c r="B474" s="749">
        <v>44662</v>
      </c>
      <c r="C474" s="103">
        <v>0.75</v>
      </c>
      <c r="D474" s="410">
        <v>47.5</v>
      </c>
      <c r="E474" s="415">
        <v>8.4</v>
      </c>
      <c r="F474" s="415">
        <v>17</v>
      </c>
      <c r="G474" s="413">
        <v>1325</v>
      </c>
      <c r="H474" s="413">
        <v>2214</v>
      </c>
      <c r="I474" s="413">
        <v>104.7</v>
      </c>
      <c r="J474" s="413">
        <v>105.8</v>
      </c>
      <c r="K474" s="416" t="s">
        <v>2584</v>
      </c>
      <c r="L474" s="416">
        <v>37.9</v>
      </c>
      <c r="M474" s="416">
        <v>41</v>
      </c>
      <c r="N474" s="416">
        <v>52.9</v>
      </c>
      <c r="O474" s="416"/>
      <c r="P474" s="416"/>
      <c r="Q474" s="416"/>
      <c r="R474" s="416" t="s">
        <v>2258</v>
      </c>
      <c r="S474" s="416">
        <v>66.099999999999994</v>
      </c>
      <c r="T474" s="102" t="s">
        <v>23</v>
      </c>
      <c r="U474" s="416" t="s">
        <v>236</v>
      </c>
      <c r="V474" s="401"/>
      <c r="CM474" s="342"/>
      <c r="CN474" s="342"/>
      <c r="CO474" s="342"/>
      <c r="CP474" s="342"/>
      <c r="CQ474" s="342"/>
      <c r="CR474" s="342"/>
      <c r="CS474" s="342"/>
      <c r="CT474" s="342"/>
      <c r="CU474" s="342"/>
      <c r="CV474" s="342"/>
      <c r="CW474" s="342"/>
      <c r="CX474" s="342"/>
      <c r="CY474" s="342"/>
    </row>
    <row r="475" spans="2:103" s="343" customFormat="1" ht="27" customHeight="1" x14ac:dyDescent="0.25">
      <c r="B475" s="751">
        <v>44663</v>
      </c>
      <c r="C475" s="103">
        <v>0.25</v>
      </c>
      <c r="D475" s="410">
        <v>47.5</v>
      </c>
      <c r="E475" s="415">
        <v>8.6999999999999993</v>
      </c>
      <c r="F475" s="415">
        <v>17.100000000000001</v>
      </c>
      <c r="G475" s="413">
        <v>1321</v>
      </c>
      <c r="H475" s="413">
        <v>2169</v>
      </c>
      <c r="I475" s="413">
        <v>105.5</v>
      </c>
      <c r="J475" s="413">
        <v>107.3</v>
      </c>
      <c r="K475" s="416" t="s">
        <v>2591</v>
      </c>
      <c r="L475" s="416">
        <v>37.33</v>
      </c>
      <c r="M475" s="416">
        <v>39</v>
      </c>
      <c r="N475" s="416">
        <v>52.96</v>
      </c>
      <c r="O475" s="416"/>
      <c r="P475" s="416"/>
      <c r="Q475" s="416"/>
      <c r="R475" s="416" t="s">
        <v>2258</v>
      </c>
      <c r="S475" s="416">
        <v>66.5</v>
      </c>
      <c r="T475" s="102" t="s">
        <v>23</v>
      </c>
      <c r="U475" s="416" t="s">
        <v>236</v>
      </c>
      <c r="V475" s="401"/>
      <c r="CM475" s="342"/>
      <c r="CN475" s="342"/>
      <c r="CO475" s="342"/>
      <c r="CP475" s="342"/>
      <c r="CQ475" s="342"/>
      <c r="CR475" s="342"/>
      <c r="CS475" s="342"/>
      <c r="CT475" s="342"/>
      <c r="CU475" s="342"/>
      <c r="CV475" s="342"/>
      <c r="CW475" s="342"/>
      <c r="CX475" s="342"/>
      <c r="CY475" s="342"/>
    </row>
    <row r="476" spans="2:103" s="343" customFormat="1" ht="27" customHeight="1" x14ac:dyDescent="0.25">
      <c r="B476" s="753">
        <v>44664</v>
      </c>
      <c r="C476" s="103">
        <v>0.9375</v>
      </c>
      <c r="D476" s="410">
        <v>47.5</v>
      </c>
      <c r="E476" s="415">
        <v>8.6999999999999993</v>
      </c>
      <c r="F476" s="415">
        <v>17</v>
      </c>
      <c r="G476" s="413">
        <v>1307</v>
      </c>
      <c r="H476" s="413">
        <v>2153</v>
      </c>
      <c r="I476" s="413">
        <v>105.5</v>
      </c>
      <c r="J476" s="413">
        <v>106.6</v>
      </c>
      <c r="K476" s="416" t="s">
        <v>2599</v>
      </c>
      <c r="L476" s="416">
        <v>37.130000000000003</v>
      </c>
      <c r="M476" s="416">
        <v>39.5</v>
      </c>
      <c r="N476" s="416">
        <v>52.9</v>
      </c>
      <c r="O476" s="416"/>
      <c r="P476" s="416"/>
      <c r="Q476" s="416"/>
      <c r="R476" s="416" t="s">
        <v>2120</v>
      </c>
      <c r="S476" s="416">
        <v>66.099999999999994</v>
      </c>
      <c r="T476" s="102" t="s">
        <v>23</v>
      </c>
      <c r="U476" s="416" t="s">
        <v>236</v>
      </c>
      <c r="V476" s="401"/>
      <c r="CM476" s="342"/>
      <c r="CN476" s="342"/>
      <c r="CO476" s="342"/>
      <c r="CP476" s="342"/>
      <c r="CQ476" s="342"/>
      <c r="CR476" s="342"/>
      <c r="CS476" s="342"/>
      <c r="CT476" s="342"/>
      <c r="CU476" s="342"/>
      <c r="CV476" s="342"/>
      <c r="CW476" s="342"/>
      <c r="CX476" s="342"/>
      <c r="CY476" s="342"/>
    </row>
    <row r="477" spans="2:103" s="343" customFormat="1" ht="27" customHeight="1" x14ac:dyDescent="0.25">
      <c r="B477" s="755">
        <v>44665</v>
      </c>
      <c r="C477" s="103">
        <v>0.9375</v>
      </c>
      <c r="D477" s="410">
        <v>47.5</v>
      </c>
      <c r="E477" s="415">
        <v>9.1</v>
      </c>
      <c r="F477" s="415">
        <v>17.100000000000001</v>
      </c>
      <c r="G477" s="413">
        <v>1295</v>
      </c>
      <c r="H477" s="413">
        <v>2116</v>
      </c>
      <c r="I477" s="413">
        <v>105.9</v>
      </c>
      <c r="J477" s="413">
        <v>106.4</v>
      </c>
      <c r="K477" s="416" t="s">
        <v>2602</v>
      </c>
      <c r="L477" s="416">
        <v>34.43</v>
      </c>
      <c r="M477" s="416">
        <v>37.5</v>
      </c>
      <c r="N477" s="416">
        <v>60.11</v>
      </c>
      <c r="O477" s="416"/>
      <c r="P477" s="416"/>
      <c r="Q477" s="416"/>
      <c r="R477" s="416" t="s">
        <v>2327</v>
      </c>
      <c r="S477" s="416">
        <v>66.5</v>
      </c>
      <c r="T477" s="102" t="s">
        <v>23</v>
      </c>
      <c r="U477" s="416" t="s">
        <v>236</v>
      </c>
      <c r="V477" s="401"/>
      <c r="CM477" s="342"/>
      <c r="CN477" s="342"/>
      <c r="CO477" s="342"/>
      <c r="CP477" s="342"/>
      <c r="CQ477" s="342"/>
      <c r="CR477" s="342"/>
      <c r="CS477" s="342"/>
      <c r="CT477" s="342"/>
      <c r="CU477" s="342"/>
      <c r="CV477" s="342"/>
      <c r="CW477" s="342"/>
      <c r="CX477" s="342"/>
      <c r="CY477" s="342"/>
    </row>
    <row r="478" spans="2:103" s="343" customFormat="1" ht="27" customHeight="1" x14ac:dyDescent="0.25">
      <c r="B478" s="757">
        <v>44666</v>
      </c>
      <c r="C478" s="103">
        <v>0.9375</v>
      </c>
      <c r="D478" s="410">
        <v>47.5</v>
      </c>
      <c r="E478" s="415">
        <v>8.5</v>
      </c>
      <c r="F478" s="415">
        <v>17</v>
      </c>
      <c r="G478" s="413">
        <v>1306</v>
      </c>
      <c r="H478" s="413">
        <v>2186</v>
      </c>
      <c r="I478" s="413">
        <v>105.1</v>
      </c>
      <c r="J478" s="413">
        <v>106</v>
      </c>
      <c r="K478" s="416" t="s">
        <v>2610</v>
      </c>
      <c r="L478" s="416">
        <v>36.72</v>
      </c>
      <c r="M478" s="416">
        <v>39.5</v>
      </c>
      <c r="N478" s="416">
        <v>53.24</v>
      </c>
      <c r="O478" s="416"/>
      <c r="P478" s="416"/>
      <c r="Q478" s="416"/>
      <c r="R478" s="416" t="s">
        <v>2120</v>
      </c>
      <c r="S478" s="416">
        <v>66.099999999999994</v>
      </c>
      <c r="T478" s="102" t="s">
        <v>23</v>
      </c>
      <c r="U478" s="416" t="s">
        <v>236</v>
      </c>
      <c r="V478" s="401"/>
      <c r="CM478" s="342"/>
      <c r="CN478" s="342"/>
      <c r="CO478" s="342"/>
      <c r="CP478" s="342"/>
      <c r="CQ478" s="342"/>
      <c r="CR478" s="342"/>
      <c r="CS478" s="342"/>
      <c r="CT478" s="342"/>
      <c r="CU478" s="342"/>
      <c r="CV478" s="342"/>
      <c r="CW478" s="342"/>
      <c r="CX478" s="342"/>
      <c r="CY478" s="342"/>
    </row>
    <row r="479" spans="2:103" s="343" customFormat="1" ht="27" customHeight="1" x14ac:dyDescent="0.25">
      <c r="B479" s="759">
        <v>44667</v>
      </c>
      <c r="C479" s="103">
        <v>0.95833333333333337</v>
      </c>
      <c r="D479" s="410">
        <v>47.5</v>
      </c>
      <c r="E479" s="415">
        <v>8.3000000000000007</v>
      </c>
      <c r="F479" s="415">
        <v>16.899999999999999</v>
      </c>
      <c r="G479" s="413">
        <v>1318</v>
      </c>
      <c r="H479" s="413">
        <v>2221</v>
      </c>
      <c r="I479" s="413">
        <v>104.8</v>
      </c>
      <c r="J479" s="413">
        <v>105.8</v>
      </c>
      <c r="K479" s="416" t="s">
        <v>2619</v>
      </c>
      <c r="L479" s="416">
        <v>39.700000000000003</v>
      </c>
      <c r="M479" s="416">
        <v>42</v>
      </c>
      <c r="N479" s="416">
        <v>48.71</v>
      </c>
      <c r="O479" s="416"/>
      <c r="P479" s="416"/>
      <c r="Q479" s="416"/>
      <c r="R479" s="416" t="s">
        <v>2115</v>
      </c>
      <c r="S479" s="416">
        <v>65.7</v>
      </c>
      <c r="T479" s="102" t="s">
        <v>23</v>
      </c>
      <c r="U479" s="416" t="s">
        <v>236</v>
      </c>
      <c r="V479" s="401"/>
      <c r="CM479" s="342"/>
      <c r="CN479" s="342"/>
      <c r="CO479" s="342"/>
      <c r="CP479" s="342"/>
      <c r="CQ479" s="342"/>
      <c r="CR479" s="342"/>
      <c r="CS479" s="342"/>
      <c r="CT479" s="342"/>
      <c r="CU479" s="342"/>
      <c r="CV479" s="342"/>
      <c r="CW479" s="342"/>
      <c r="CX479" s="342"/>
      <c r="CY479" s="342"/>
    </row>
    <row r="480" spans="2:103" s="343" customFormat="1" ht="27" customHeight="1" x14ac:dyDescent="0.25">
      <c r="B480" s="761">
        <v>44668</v>
      </c>
      <c r="C480" s="103">
        <v>0.97916666666666663</v>
      </c>
      <c r="D480" s="410">
        <v>47.5</v>
      </c>
      <c r="E480" s="415">
        <v>9.3000000000000007</v>
      </c>
      <c r="F480" s="415">
        <v>17.2</v>
      </c>
      <c r="G480" s="413">
        <v>1310</v>
      </c>
      <c r="H480" s="413">
        <v>2130</v>
      </c>
      <c r="I480" s="413">
        <v>105.2</v>
      </c>
      <c r="J480" s="413">
        <v>106</v>
      </c>
      <c r="K480" s="416" t="s">
        <v>2630</v>
      </c>
      <c r="L480" s="416">
        <v>35.74</v>
      </c>
      <c r="M480" s="416">
        <v>38</v>
      </c>
      <c r="N480" s="416">
        <v>56.62</v>
      </c>
      <c r="O480" s="416"/>
      <c r="P480" s="416"/>
      <c r="Q480" s="416"/>
      <c r="R480" s="416" t="s">
        <v>2204</v>
      </c>
      <c r="S480" s="416">
        <v>66.900000000000006</v>
      </c>
      <c r="T480" s="102" t="s">
        <v>23</v>
      </c>
      <c r="U480" s="416" t="s">
        <v>236</v>
      </c>
      <c r="V480" s="401"/>
      <c r="CM480" s="342"/>
      <c r="CN480" s="342"/>
      <c r="CO480" s="342"/>
      <c r="CP480" s="342"/>
      <c r="CQ480" s="342"/>
      <c r="CR480" s="342"/>
      <c r="CS480" s="342"/>
      <c r="CT480" s="342"/>
      <c r="CU480" s="342"/>
      <c r="CV480" s="342"/>
      <c r="CW480" s="342"/>
      <c r="CX480" s="342"/>
      <c r="CY480" s="342"/>
    </row>
    <row r="481" spans="2:103" s="343" customFormat="1" ht="27" customHeight="1" x14ac:dyDescent="0.25">
      <c r="B481" s="763">
        <v>44669</v>
      </c>
      <c r="C481" s="103">
        <v>0.95833333333333337</v>
      </c>
      <c r="D481" s="410">
        <v>47.5</v>
      </c>
      <c r="E481" s="415">
        <v>8.6999999999999993</v>
      </c>
      <c r="F481" s="415">
        <v>17.100000000000001</v>
      </c>
      <c r="G481" s="413">
        <v>1302</v>
      </c>
      <c r="H481" s="413">
        <v>2170</v>
      </c>
      <c r="I481" s="413">
        <v>105.5</v>
      </c>
      <c r="J481" s="413">
        <v>106</v>
      </c>
      <c r="K481" s="416" t="s">
        <v>2634</v>
      </c>
      <c r="L481" s="416">
        <v>37.18</v>
      </c>
      <c r="M481" s="416">
        <v>40</v>
      </c>
      <c r="N481" s="416">
        <v>53.83</v>
      </c>
      <c r="O481" s="416"/>
      <c r="P481" s="416"/>
      <c r="Q481" s="416"/>
      <c r="R481" s="416" t="s">
        <v>2414</v>
      </c>
      <c r="S481" s="416">
        <v>66.5</v>
      </c>
      <c r="T481" s="102" t="s">
        <v>23</v>
      </c>
      <c r="U481" s="416" t="s">
        <v>236</v>
      </c>
      <c r="V481" s="401"/>
      <c r="CM481" s="342"/>
      <c r="CN481" s="342"/>
      <c r="CO481" s="342"/>
      <c r="CP481" s="342"/>
      <c r="CQ481" s="342"/>
      <c r="CR481" s="342"/>
      <c r="CS481" s="342"/>
      <c r="CT481" s="342"/>
      <c r="CU481" s="342"/>
      <c r="CV481" s="342"/>
      <c r="CW481" s="342"/>
      <c r="CX481" s="342"/>
      <c r="CY481" s="342"/>
    </row>
    <row r="482" spans="2:103" s="343" customFormat="1" ht="27" customHeight="1" x14ac:dyDescent="0.25">
      <c r="B482" s="765">
        <v>44670</v>
      </c>
      <c r="C482" s="103">
        <v>0.85416666666666663</v>
      </c>
      <c r="D482" s="410">
        <v>47.5</v>
      </c>
      <c r="E482" s="415">
        <v>8.8000000000000007</v>
      </c>
      <c r="F482" s="415">
        <v>17</v>
      </c>
      <c r="G482" s="413">
        <v>1300</v>
      </c>
      <c r="H482" s="413">
        <v>2145</v>
      </c>
      <c r="I482" s="413">
        <v>105.2</v>
      </c>
      <c r="J482" s="413">
        <v>106.1</v>
      </c>
      <c r="K482" s="416" t="s">
        <v>2647</v>
      </c>
      <c r="L482" s="416">
        <v>36.869999999999997</v>
      </c>
      <c r="M482" s="416">
        <v>39</v>
      </c>
      <c r="N482" s="416">
        <v>56.02</v>
      </c>
      <c r="O482" s="416"/>
      <c r="P482" s="416"/>
      <c r="Q482" s="416"/>
      <c r="R482" s="416" t="s">
        <v>2101</v>
      </c>
      <c r="S482" s="416">
        <v>66.099999999999994</v>
      </c>
      <c r="T482" s="102" t="s">
        <v>23</v>
      </c>
      <c r="U482" s="416" t="s">
        <v>236</v>
      </c>
      <c r="V482" s="401"/>
      <c r="CM482" s="342"/>
      <c r="CN482" s="342"/>
      <c r="CO482" s="342"/>
      <c r="CP482" s="342"/>
      <c r="CQ482" s="342"/>
      <c r="CR482" s="342"/>
      <c r="CS482" s="342"/>
      <c r="CT482" s="342"/>
      <c r="CU482" s="342"/>
      <c r="CV482" s="342"/>
      <c r="CW482" s="342"/>
      <c r="CX482" s="342"/>
      <c r="CY482" s="342"/>
    </row>
    <row r="483" spans="2:103" s="343" customFormat="1" ht="27" customHeight="1" x14ac:dyDescent="0.25">
      <c r="B483" s="768">
        <v>44671</v>
      </c>
      <c r="C483" s="103">
        <v>0.95833333333333337</v>
      </c>
      <c r="D483" s="410">
        <v>47.5</v>
      </c>
      <c r="E483" s="415">
        <v>8.6999999999999993</v>
      </c>
      <c r="F483" s="415">
        <v>17</v>
      </c>
      <c r="G483" s="413">
        <v>1310</v>
      </c>
      <c r="H483" s="413">
        <v>2160</v>
      </c>
      <c r="I483" s="413">
        <v>105.5</v>
      </c>
      <c r="J483" s="413">
        <v>106.3</v>
      </c>
      <c r="K483" s="416" t="s">
        <v>2659</v>
      </c>
      <c r="L483" s="416">
        <v>35.47</v>
      </c>
      <c r="M483" s="416">
        <v>38.5</v>
      </c>
      <c r="N483" s="416">
        <v>55.37</v>
      </c>
      <c r="O483" s="416"/>
      <c r="P483" s="416"/>
      <c r="Q483" s="416"/>
      <c r="R483" s="416" t="s">
        <v>2120</v>
      </c>
      <c r="S483" s="416">
        <v>66.099999999999994</v>
      </c>
      <c r="T483" s="102" t="s">
        <v>23</v>
      </c>
      <c r="U483" s="416" t="s">
        <v>236</v>
      </c>
      <c r="V483" s="401"/>
      <c r="CM483" s="342"/>
      <c r="CN483" s="342"/>
      <c r="CO483" s="342"/>
      <c r="CP483" s="342"/>
      <c r="CQ483" s="342"/>
      <c r="CR483" s="342"/>
      <c r="CS483" s="342"/>
      <c r="CT483" s="342"/>
      <c r="CU483" s="342"/>
      <c r="CV483" s="342"/>
      <c r="CW483" s="342"/>
      <c r="CX483" s="342"/>
      <c r="CY483" s="342"/>
    </row>
    <row r="484" spans="2:103" s="343" customFormat="1" ht="27" customHeight="1" x14ac:dyDescent="0.25">
      <c r="B484" s="770">
        <v>44672</v>
      </c>
      <c r="C484" s="103">
        <v>0</v>
      </c>
      <c r="D484" s="410">
        <v>47.5</v>
      </c>
      <c r="E484" s="415">
        <v>8.8000000000000007</v>
      </c>
      <c r="F484" s="415">
        <v>17.100000000000001</v>
      </c>
      <c r="G484" s="413">
        <v>1300</v>
      </c>
      <c r="H484" s="413">
        <v>2143</v>
      </c>
      <c r="I484" s="413">
        <v>105.3</v>
      </c>
      <c r="J484" s="413">
        <v>106</v>
      </c>
      <c r="K484" s="416" t="s">
        <v>2663</v>
      </c>
      <c r="L484" s="416">
        <v>36.4</v>
      </c>
      <c r="M484" s="416">
        <v>38</v>
      </c>
      <c r="N484" s="416">
        <v>56.09</v>
      </c>
      <c r="O484" s="416"/>
      <c r="P484" s="416"/>
      <c r="Q484" s="416"/>
      <c r="R484" s="416" t="s">
        <v>2664</v>
      </c>
      <c r="S484" s="416">
        <v>66.5</v>
      </c>
      <c r="T484" s="102" t="s">
        <v>23</v>
      </c>
      <c r="U484" s="416" t="s">
        <v>236</v>
      </c>
      <c r="V484" s="401"/>
      <c r="CM484" s="342"/>
      <c r="CN484" s="342"/>
      <c r="CO484" s="342"/>
      <c r="CP484" s="342"/>
      <c r="CQ484" s="342"/>
      <c r="CR484" s="342"/>
      <c r="CS484" s="342"/>
      <c r="CT484" s="342"/>
      <c r="CU484" s="342"/>
      <c r="CV484" s="342"/>
      <c r="CW484" s="342"/>
      <c r="CX484" s="342"/>
      <c r="CY484" s="342"/>
    </row>
    <row r="485" spans="2:103" s="343" customFormat="1" ht="27" customHeight="1" x14ac:dyDescent="0.25">
      <c r="B485" s="772">
        <v>44673</v>
      </c>
      <c r="C485" s="103">
        <v>0.89583333333333337</v>
      </c>
      <c r="D485" s="410">
        <v>47.5</v>
      </c>
      <c r="E485" s="415">
        <v>8.5</v>
      </c>
      <c r="F485" s="415">
        <v>17</v>
      </c>
      <c r="G485" s="413">
        <v>1296</v>
      </c>
      <c r="H485" s="413">
        <v>2174</v>
      </c>
      <c r="I485" s="413">
        <v>104.8</v>
      </c>
      <c r="J485" s="413">
        <v>105.9</v>
      </c>
      <c r="K485" s="416" t="s">
        <v>2672</v>
      </c>
      <c r="L485" s="416">
        <v>35.369999999999997</v>
      </c>
      <c r="M485" s="416">
        <v>38</v>
      </c>
      <c r="N485" s="416">
        <v>57.16</v>
      </c>
      <c r="O485" s="416"/>
      <c r="P485" s="416"/>
      <c r="Q485" s="416"/>
      <c r="R485" s="416" t="s">
        <v>2120</v>
      </c>
      <c r="S485" s="416">
        <v>66.099999999999994</v>
      </c>
      <c r="T485" s="102" t="s">
        <v>23</v>
      </c>
      <c r="U485" s="416" t="s">
        <v>236</v>
      </c>
      <c r="V485" s="401"/>
      <c r="CM485" s="342"/>
      <c r="CN485" s="342"/>
      <c r="CO485" s="342"/>
      <c r="CP485" s="342"/>
      <c r="CQ485" s="342"/>
      <c r="CR485" s="342"/>
      <c r="CS485" s="342"/>
      <c r="CT485" s="342"/>
      <c r="CU485" s="342"/>
      <c r="CV485" s="342"/>
      <c r="CW485" s="342"/>
      <c r="CX485" s="342"/>
      <c r="CY485" s="342"/>
    </row>
    <row r="486" spans="2:103" s="343" customFormat="1" ht="27" customHeight="1" x14ac:dyDescent="0.25">
      <c r="B486" s="774">
        <v>44674</v>
      </c>
      <c r="C486" s="103">
        <v>0.97916666666666663</v>
      </c>
      <c r="D486" s="410">
        <v>47.5</v>
      </c>
      <c r="E486" s="415">
        <v>8.5</v>
      </c>
      <c r="F486" s="415">
        <v>17</v>
      </c>
      <c r="G486" s="413">
        <v>1302</v>
      </c>
      <c r="H486" s="413">
        <v>2177</v>
      </c>
      <c r="I486" s="413">
        <v>104.8</v>
      </c>
      <c r="J486" s="413">
        <v>105.9</v>
      </c>
      <c r="K486" s="416" t="s">
        <v>2677</v>
      </c>
      <c r="L486" s="416">
        <v>36.35</v>
      </c>
      <c r="M486" s="416">
        <v>38.5</v>
      </c>
      <c r="N486" s="416">
        <v>56.36</v>
      </c>
      <c r="O486" s="416"/>
      <c r="P486" s="416"/>
      <c r="Q486" s="416"/>
      <c r="R486" s="416" t="s">
        <v>2120</v>
      </c>
      <c r="S486" s="416">
        <v>66.099999999999994</v>
      </c>
      <c r="T486" s="102" t="s">
        <v>23</v>
      </c>
      <c r="U486" s="416" t="s">
        <v>236</v>
      </c>
      <c r="V486" s="401"/>
      <c r="CM486" s="342"/>
      <c r="CN486" s="342"/>
      <c r="CO486" s="342"/>
      <c r="CP486" s="342"/>
      <c r="CQ486" s="342"/>
      <c r="CR486" s="342"/>
      <c r="CS486" s="342"/>
      <c r="CT486" s="342"/>
      <c r="CU486" s="342"/>
      <c r="CV486" s="342"/>
      <c r="CW486" s="342"/>
      <c r="CX486" s="342"/>
      <c r="CY486" s="342"/>
    </row>
    <row r="487" spans="2:103" s="343" customFormat="1" ht="27" customHeight="1" x14ac:dyDescent="0.25">
      <c r="B487" s="776">
        <v>44675</v>
      </c>
      <c r="C487" s="103">
        <v>0.97916666666666663</v>
      </c>
      <c r="D487" s="410">
        <v>47.5</v>
      </c>
      <c r="E487" s="415">
        <v>8.5</v>
      </c>
      <c r="F487" s="415">
        <v>17</v>
      </c>
      <c r="G487" s="413">
        <v>1302</v>
      </c>
      <c r="H487" s="413">
        <v>2172</v>
      </c>
      <c r="I487" s="413">
        <v>104.7</v>
      </c>
      <c r="J487" s="413">
        <v>105.8</v>
      </c>
      <c r="K487" s="416" t="s">
        <v>2682</v>
      </c>
      <c r="L487" s="416">
        <v>36.65</v>
      </c>
      <c r="M487" s="416">
        <v>38.5</v>
      </c>
      <c r="N487" s="416">
        <v>54.3</v>
      </c>
      <c r="O487" s="416"/>
      <c r="P487" s="416"/>
      <c r="Q487" s="416"/>
      <c r="R487" s="416" t="s">
        <v>2120</v>
      </c>
      <c r="S487" s="416">
        <v>66.099999999999994</v>
      </c>
      <c r="T487" s="102" t="s">
        <v>23</v>
      </c>
      <c r="U487" s="416" t="s">
        <v>236</v>
      </c>
      <c r="V487" s="401"/>
      <c r="CM487" s="342"/>
      <c r="CN487" s="342"/>
      <c r="CO487" s="342"/>
      <c r="CP487" s="342"/>
      <c r="CQ487" s="342"/>
      <c r="CR487" s="342"/>
      <c r="CS487" s="342"/>
      <c r="CT487" s="342"/>
      <c r="CU487" s="342"/>
      <c r="CV487" s="342"/>
      <c r="CW487" s="342"/>
      <c r="CX487" s="342"/>
      <c r="CY487" s="342"/>
    </row>
    <row r="488" spans="2:103" s="343" customFormat="1" ht="27" customHeight="1" x14ac:dyDescent="0.25">
      <c r="B488" s="778">
        <v>44676</v>
      </c>
      <c r="C488" s="103">
        <v>0.97916666666666663</v>
      </c>
      <c r="D488" s="410">
        <v>47.5</v>
      </c>
      <c r="E488" s="415">
        <v>8.5</v>
      </c>
      <c r="F488" s="415">
        <v>17</v>
      </c>
      <c r="G488" s="413">
        <v>1304</v>
      </c>
      <c r="H488" s="413">
        <v>2180</v>
      </c>
      <c r="I488" s="413">
        <v>104.8</v>
      </c>
      <c r="J488" s="413">
        <v>106</v>
      </c>
      <c r="K488" s="416" t="s">
        <v>2687</v>
      </c>
      <c r="L488" s="416">
        <v>36.5</v>
      </c>
      <c r="M488" s="416">
        <v>38.5</v>
      </c>
      <c r="N488" s="416">
        <v>55.42</v>
      </c>
      <c r="O488" s="416"/>
      <c r="P488" s="416"/>
      <c r="Q488" s="416"/>
      <c r="R488" s="416" t="s">
        <v>2258</v>
      </c>
      <c r="S488" s="416">
        <v>66.099999999999994</v>
      </c>
      <c r="T488" s="102" t="s">
        <v>23</v>
      </c>
      <c r="U488" s="416" t="s">
        <v>236</v>
      </c>
      <c r="V488" s="401"/>
      <c r="CM488" s="342"/>
      <c r="CN488" s="342"/>
      <c r="CO488" s="342"/>
      <c r="CP488" s="342"/>
      <c r="CQ488" s="342"/>
      <c r="CR488" s="342"/>
      <c r="CS488" s="342"/>
      <c r="CT488" s="342"/>
      <c r="CU488" s="342"/>
      <c r="CV488" s="342"/>
      <c r="CW488" s="342"/>
      <c r="CX488" s="342"/>
      <c r="CY488" s="342"/>
    </row>
    <row r="489" spans="2:103" s="343" customFormat="1" ht="27" customHeight="1" x14ac:dyDescent="0.25">
      <c r="B489" s="780">
        <v>44677</v>
      </c>
      <c r="C489" s="103">
        <v>0.91666666666666663</v>
      </c>
      <c r="D489" s="410">
        <v>47.5</v>
      </c>
      <c r="E489" s="415">
        <v>10.6</v>
      </c>
      <c r="F489" s="415">
        <v>17.8</v>
      </c>
      <c r="G489" s="413">
        <v>1299</v>
      </c>
      <c r="H489" s="413">
        <v>2182</v>
      </c>
      <c r="I489" s="413">
        <v>105.8</v>
      </c>
      <c r="J489" s="413">
        <v>106.2</v>
      </c>
      <c r="K489" s="416" t="s">
        <v>2694</v>
      </c>
      <c r="L489" s="416">
        <v>36.78</v>
      </c>
      <c r="M489" s="416">
        <v>38.5</v>
      </c>
      <c r="N489" s="416">
        <v>55.13</v>
      </c>
      <c r="O489" s="416"/>
      <c r="P489" s="416"/>
      <c r="Q489" s="416"/>
      <c r="R489" s="416" t="s">
        <v>2695</v>
      </c>
      <c r="S489" s="416">
        <v>69.2</v>
      </c>
      <c r="T489" s="102" t="s">
        <v>23</v>
      </c>
      <c r="U489" s="416" t="s">
        <v>236</v>
      </c>
      <c r="V489" s="401"/>
      <c r="CM489" s="342"/>
      <c r="CN489" s="342"/>
      <c r="CO489" s="342"/>
      <c r="CP489" s="342"/>
      <c r="CQ489" s="342"/>
      <c r="CR489" s="342"/>
      <c r="CS489" s="342"/>
      <c r="CT489" s="342"/>
      <c r="CU489" s="342"/>
      <c r="CV489" s="342"/>
      <c r="CW489" s="342"/>
      <c r="CX489" s="342"/>
      <c r="CY489" s="342"/>
    </row>
    <row r="490" spans="2:103" s="343" customFormat="1" ht="27" customHeight="1" x14ac:dyDescent="0.25">
      <c r="B490" s="782">
        <v>44678</v>
      </c>
      <c r="C490" s="103">
        <v>0.91666666666666663</v>
      </c>
      <c r="D490" s="410">
        <v>47.5</v>
      </c>
      <c r="E490" s="415">
        <v>9</v>
      </c>
      <c r="F490" s="415">
        <v>17.100000000000001</v>
      </c>
      <c r="G490" s="413">
        <v>1292</v>
      </c>
      <c r="H490" s="413">
        <v>2117</v>
      </c>
      <c r="I490" s="413">
        <v>105.3</v>
      </c>
      <c r="J490" s="413">
        <v>106.1</v>
      </c>
      <c r="K490" s="416" t="s">
        <v>2718</v>
      </c>
      <c r="L490" s="416">
        <v>36.450000000000003</v>
      </c>
      <c r="M490" s="416">
        <v>38.5</v>
      </c>
      <c r="N490" s="416">
        <v>55.76</v>
      </c>
      <c r="O490" s="416"/>
      <c r="P490" s="416"/>
      <c r="Q490" s="416"/>
      <c r="R490" s="416" t="s">
        <v>2191</v>
      </c>
      <c r="S490" s="416">
        <v>66.5</v>
      </c>
      <c r="T490" s="102" t="s">
        <v>23</v>
      </c>
      <c r="U490" s="416" t="s">
        <v>236</v>
      </c>
      <c r="V490" s="401"/>
      <c r="CM490" s="342"/>
      <c r="CN490" s="342"/>
      <c r="CO490" s="342"/>
      <c r="CP490" s="342"/>
      <c r="CQ490" s="342"/>
      <c r="CR490" s="342"/>
      <c r="CS490" s="342"/>
      <c r="CT490" s="342"/>
      <c r="CU490" s="342"/>
      <c r="CV490" s="342"/>
      <c r="CW490" s="342"/>
      <c r="CX490" s="342"/>
      <c r="CY490" s="342"/>
    </row>
    <row r="491" spans="2:103" s="343" customFormat="1" ht="27" customHeight="1" x14ac:dyDescent="0.25">
      <c r="B491" s="784">
        <v>44679</v>
      </c>
      <c r="C491" s="103">
        <v>0.66666666666666663</v>
      </c>
      <c r="D491" s="410">
        <v>47.5</v>
      </c>
      <c r="E491" s="415">
        <v>8.6999999999999993</v>
      </c>
      <c r="F491" s="415">
        <v>17</v>
      </c>
      <c r="G491" s="413">
        <v>1293</v>
      </c>
      <c r="H491" s="413">
        <v>2155</v>
      </c>
      <c r="I491" s="413">
        <v>105.1</v>
      </c>
      <c r="J491" s="413">
        <v>106.2</v>
      </c>
      <c r="K491" s="416" t="s">
        <v>2728</v>
      </c>
      <c r="L491" s="416">
        <v>36.54</v>
      </c>
      <c r="M491" s="416">
        <v>38.5</v>
      </c>
      <c r="N491" s="416">
        <v>57.09</v>
      </c>
      <c r="O491" s="416"/>
      <c r="P491" s="416"/>
      <c r="Q491" s="416"/>
      <c r="R491" s="416" t="s">
        <v>2120</v>
      </c>
      <c r="S491" s="416">
        <v>66.099999999999994</v>
      </c>
      <c r="T491" s="102" t="s">
        <v>23</v>
      </c>
      <c r="U491" s="416" t="s">
        <v>236</v>
      </c>
      <c r="V491" s="401"/>
      <c r="CM491" s="342"/>
      <c r="CN491" s="342"/>
      <c r="CO491" s="342"/>
      <c r="CP491" s="342"/>
      <c r="CQ491" s="342"/>
      <c r="CR491" s="342"/>
      <c r="CS491" s="342"/>
      <c r="CT491" s="342"/>
      <c r="CU491" s="342"/>
      <c r="CV491" s="342"/>
      <c r="CW491" s="342"/>
      <c r="CX491" s="342"/>
      <c r="CY491" s="342"/>
    </row>
    <row r="492" spans="2:103" s="343" customFormat="1" ht="27" customHeight="1" x14ac:dyDescent="0.25">
      <c r="B492" s="786">
        <v>44680</v>
      </c>
      <c r="C492" s="103">
        <v>0.75</v>
      </c>
      <c r="D492" s="410">
        <v>47.5</v>
      </c>
      <c r="E492" s="415">
        <v>8.6999999999999993</v>
      </c>
      <c r="F492" s="415">
        <v>17.100000000000001</v>
      </c>
      <c r="G492" s="413">
        <v>1291</v>
      </c>
      <c r="H492" s="413">
        <v>2143</v>
      </c>
      <c r="I492" s="413">
        <v>105.1</v>
      </c>
      <c r="J492" s="413">
        <v>106.1</v>
      </c>
      <c r="K492" s="416" t="s">
        <v>2739</v>
      </c>
      <c r="L492" s="416">
        <v>36.74</v>
      </c>
      <c r="M492" s="416">
        <v>38.5</v>
      </c>
      <c r="N492" s="416">
        <v>57.13</v>
      </c>
      <c r="O492" s="416"/>
      <c r="P492" s="416"/>
      <c r="Q492" s="416"/>
      <c r="R492" s="416" t="s">
        <v>2414</v>
      </c>
      <c r="S492" s="416">
        <v>66.5</v>
      </c>
      <c r="T492" s="102" t="s">
        <v>23</v>
      </c>
      <c r="U492" s="416" t="s">
        <v>236</v>
      </c>
      <c r="V492" s="401"/>
      <c r="CM492" s="342"/>
      <c r="CN492" s="342"/>
      <c r="CO492" s="342"/>
      <c r="CP492" s="342"/>
      <c r="CQ492" s="342"/>
      <c r="CR492" s="342"/>
      <c r="CS492" s="342"/>
      <c r="CT492" s="342"/>
      <c r="CU492" s="342"/>
      <c r="CV492" s="342"/>
      <c r="CW492" s="342"/>
      <c r="CX492" s="342"/>
      <c r="CY492" s="342"/>
    </row>
    <row r="493" spans="2:103" s="343" customFormat="1" ht="27" customHeight="1" x14ac:dyDescent="0.25">
      <c r="B493" s="788">
        <v>44681</v>
      </c>
      <c r="C493" s="103">
        <v>0.75</v>
      </c>
      <c r="D493" s="410">
        <v>47.5</v>
      </c>
      <c r="E493" s="415">
        <v>8.4</v>
      </c>
      <c r="F493" s="415">
        <v>17</v>
      </c>
      <c r="G493" s="413">
        <v>1300</v>
      </c>
      <c r="H493" s="413">
        <v>2190</v>
      </c>
      <c r="I493" s="413">
        <v>104.7</v>
      </c>
      <c r="J493" s="413">
        <v>106.3</v>
      </c>
      <c r="K493" s="416" t="s">
        <v>2752</v>
      </c>
      <c r="L493" s="416">
        <v>36.89</v>
      </c>
      <c r="M493" s="416">
        <v>38.5</v>
      </c>
      <c r="N493" s="416">
        <v>54.87</v>
      </c>
      <c r="O493" s="416"/>
      <c r="P493" s="416"/>
      <c r="Q493" s="416"/>
      <c r="R493" s="416" t="s">
        <v>2120</v>
      </c>
      <c r="S493" s="416">
        <v>66.099999999999994</v>
      </c>
      <c r="T493" s="102" t="s">
        <v>23</v>
      </c>
      <c r="U493" s="416" t="s">
        <v>236</v>
      </c>
      <c r="V493" s="401"/>
      <c r="CM493" s="342"/>
      <c r="CN493" s="342"/>
      <c r="CO493" s="342"/>
      <c r="CP493" s="342"/>
      <c r="CQ493" s="342"/>
      <c r="CR493" s="342"/>
      <c r="CS493" s="342"/>
      <c r="CT493" s="342"/>
      <c r="CU493" s="342"/>
      <c r="CV493" s="342"/>
      <c r="CW493" s="342"/>
      <c r="CX493" s="342"/>
      <c r="CY493" s="342"/>
    </row>
    <row r="494" spans="2:103" s="343" customFormat="1" ht="27" customHeight="1" x14ac:dyDescent="0.25">
      <c r="B494" s="790">
        <v>44682</v>
      </c>
      <c r="C494" s="103">
        <v>0.70833333333333337</v>
      </c>
      <c r="D494" s="410">
        <v>47.5</v>
      </c>
      <c r="E494" s="415">
        <v>8.3000000000000007</v>
      </c>
      <c r="F494" s="415">
        <v>16.899999999999999</v>
      </c>
      <c r="G494" s="413">
        <v>1316</v>
      </c>
      <c r="H494" s="413">
        <v>2215</v>
      </c>
      <c r="I494" s="413">
        <v>104.4</v>
      </c>
      <c r="J494" s="413">
        <v>106.6</v>
      </c>
      <c r="K494" s="416" t="s">
        <v>2758</v>
      </c>
      <c r="L494" s="416">
        <v>37.549999999999997</v>
      </c>
      <c r="M494" s="416">
        <v>39</v>
      </c>
      <c r="N494" s="416">
        <v>50.2</v>
      </c>
      <c r="O494" s="416"/>
      <c r="P494" s="416"/>
      <c r="Q494" s="416"/>
      <c r="R494" s="416" t="s">
        <v>2115</v>
      </c>
      <c r="S494" s="416">
        <v>65.7</v>
      </c>
      <c r="T494" s="102" t="s">
        <v>23</v>
      </c>
      <c r="U494" s="416" t="s">
        <v>236</v>
      </c>
      <c r="V494" s="401"/>
      <c r="CM494" s="342"/>
      <c r="CN494" s="342"/>
      <c r="CO494" s="342"/>
      <c r="CP494" s="342"/>
      <c r="CQ494" s="342"/>
      <c r="CR494" s="342"/>
      <c r="CS494" s="342"/>
      <c r="CT494" s="342"/>
      <c r="CU494" s="342"/>
      <c r="CV494" s="342"/>
      <c r="CW494" s="342"/>
      <c r="CX494" s="342"/>
      <c r="CY494" s="342"/>
    </row>
    <row r="495" spans="2:103" s="343" customFormat="1" ht="40.5" customHeight="1" x14ac:dyDescent="0.25">
      <c r="B495" s="794">
        <v>44683</v>
      </c>
      <c r="C495" s="103">
        <v>0.77083333333333337</v>
      </c>
      <c r="D495" s="410">
        <v>47.5</v>
      </c>
      <c r="E495" s="415">
        <v>10</v>
      </c>
      <c r="F495" s="415">
        <v>17.600000000000001</v>
      </c>
      <c r="G495" s="413">
        <v>1293</v>
      </c>
      <c r="H495" s="413">
        <v>2165</v>
      </c>
      <c r="I495" s="413">
        <v>105.3</v>
      </c>
      <c r="J495" s="413">
        <v>106.2</v>
      </c>
      <c r="K495" s="416" t="s">
        <v>2766</v>
      </c>
      <c r="L495" s="416">
        <v>36.29</v>
      </c>
      <c r="M495" s="416">
        <v>38.5</v>
      </c>
      <c r="N495" s="416">
        <v>55.94</v>
      </c>
      <c r="O495" s="416"/>
      <c r="P495" s="416"/>
      <c r="Q495" s="416"/>
      <c r="R495" s="416" t="s">
        <v>2002</v>
      </c>
      <c r="S495" s="416">
        <v>68.400000000000006</v>
      </c>
      <c r="T495" s="102" t="s">
        <v>23</v>
      </c>
      <c r="U495" s="416" t="s">
        <v>236</v>
      </c>
      <c r="V495" s="798" t="s">
        <v>2771</v>
      </c>
      <c r="CM495" s="342"/>
      <c r="CN495" s="342"/>
      <c r="CO495" s="342"/>
      <c r="CP495" s="342"/>
      <c r="CQ495" s="342"/>
      <c r="CR495" s="342"/>
      <c r="CS495" s="342"/>
      <c r="CT495" s="342"/>
      <c r="CU495" s="342"/>
      <c r="CV495" s="342"/>
      <c r="CW495" s="342"/>
      <c r="CX495" s="342"/>
      <c r="CY495" s="342"/>
    </row>
    <row r="496" spans="2:103" s="343" customFormat="1" ht="29.25" customHeight="1" x14ac:dyDescent="0.25">
      <c r="B496" s="796">
        <v>44684</v>
      </c>
      <c r="C496" s="103">
        <v>0.77083333333333337</v>
      </c>
      <c r="D496" s="410">
        <v>47.5</v>
      </c>
      <c r="E496" s="415">
        <v>8.6</v>
      </c>
      <c r="F496" s="415">
        <v>17</v>
      </c>
      <c r="G496" s="413">
        <v>1311</v>
      </c>
      <c r="H496" s="413">
        <v>2172</v>
      </c>
      <c r="I496" s="413">
        <v>104.5</v>
      </c>
      <c r="J496" s="413">
        <v>106.2</v>
      </c>
      <c r="K496" s="416" t="s">
        <v>2774</v>
      </c>
      <c r="L496" s="416">
        <v>38.42</v>
      </c>
      <c r="M496" s="416">
        <v>41</v>
      </c>
      <c r="N496" s="416">
        <v>51.46</v>
      </c>
      <c r="O496" s="416"/>
      <c r="P496" s="416"/>
      <c r="Q496" s="416"/>
      <c r="R496" s="416" t="s">
        <v>2258</v>
      </c>
      <c r="S496" s="416">
        <v>66.099999999999994</v>
      </c>
      <c r="T496" s="102" t="s">
        <v>23</v>
      </c>
      <c r="U496" s="416" t="s">
        <v>236</v>
      </c>
      <c r="V496" s="798"/>
      <c r="CM496" s="342"/>
      <c r="CN496" s="342"/>
      <c r="CO496" s="342"/>
      <c r="CP496" s="342"/>
      <c r="CQ496" s="342"/>
      <c r="CR496" s="342"/>
      <c r="CS496" s="342"/>
      <c r="CT496" s="342"/>
      <c r="CU496" s="342"/>
      <c r="CV496" s="342"/>
      <c r="CW496" s="342"/>
      <c r="CX496" s="342"/>
      <c r="CY496" s="342"/>
    </row>
    <row r="497" spans="2:103" s="343" customFormat="1" ht="29.25" customHeight="1" x14ac:dyDescent="0.25">
      <c r="B497" s="799">
        <v>44685</v>
      </c>
      <c r="C497" s="103">
        <v>0.75</v>
      </c>
      <c r="D497" s="410">
        <v>47.5</v>
      </c>
      <c r="E497" s="415">
        <v>9.1999999999999993</v>
      </c>
      <c r="F497" s="415">
        <v>17.2</v>
      </c>
      <c r="G497" s="413">
        <v>1311</v>
      </c>
      <c r="H497" s="413">
        <v>2135</v>
      </c>
      <c r="I497" s="413">
        <v>105.3</v>
      </c>
      <c r="J497" s="413">
        <v>106.1</v>
      </c>
      <c r="K497" s="416" t="s">
        <v>2782</v>
      </c>
      <c r="L497" s="416">
        <v>36.119999999999997</v>
      </c>
      <c r="M497" s="416">
        <v>39</v>
      </c>
      <c r="N497" s="416">
        <v>57.85</v>
      </c>
      <c r="O497" s="416"/>
      <c r="P497" s="416"/>
      <c r="Q497" s="416"/>
      <c r="R497" s="416" t="s">
        <v>2188</v>
      </c>
      <c r="S497" s="416">
        <v>66.900000000000006</v>
      </c>
      <c r="T497" s="102" t="s">
        <v>23</v>
      </c>
      <c r="U497" s="416" t="s">
        <v>236</v>
      </c>
      <c r="V497" s="798"/>
      <c r="CM497" s="342"/>
      <c r="CN497" s="342"/>
      <c r="CO497" s="342"/>
      <c r="CP497" s="342"/>
      <c r="CQ497" s="342"/>
      <c r="CR497" s="342"/>
      <c r="CS497" s="342"/>
      <c r="CT497" s="342"/>
      <c r="CU497" s="342"/>
      <c r="CV497" s="342"/>
      <c r="CW497" s="342"/>
      <c r="CX497" s="342"/>
      <c r="CY497" s="342"/>
    </row>
    <row r="498" spans="2:103" s="343" customFormat="1" ht="29.25" customHeight="1" x14ac:dyDescent="0.25">
      <c r="B498" s="801">
        <v>44686</v>
      </c>
      <c r="C498" s="103">
        <v>0.79166666666666663</v>
      </c>
      <c r="D498" s="410">
        <v>47.5</v>
      </c>
      <c r="E498" s="415">
        <v>9.1999999999999993</v>
      </c>
      <c r="F498" s="415">
        <v>17.2</v>
      </c>
      <c r="G498" s="413">
        <v>1294</v>
      </c>
      <c r="H498" s="413">
        <v>2122</v>
      </c>
      <c r="I498" s="413">
        <v>105.3</v>
      </c>
      <c r="J498" s="413">
        <v>106</v>
      </c>
      <c r="K498" s="416" t="s">
        <v>2784</v>
      </c>
      <c r="L498" s="416">
        <v>35.880000000000003</v>
      </c>
      <c r="M498" s="416">
        <v>39</v>
      </c>
      <c r="N498" s="416">
        <v>57.35</v>
      </c>
      <c r="O498" s="416"/>
      <c r="P498" s="416"/>
      <c r="Q498" s="416"/>
      <c r="R498" s="416" t="s">
        <v>2188</v>
      </c>
      <c r="S498" s="416">
        <v>66.900000000000006</v>
      </c>
      <c r="T498" s="102" t="s">
        <v>23</v>
      </c>
      <c r="U498" s="416" t="s">
        <v>236</v>
      </c>
      <c r="V498" s="798"/>
      <c r="CM498" s="342"/>
      <c r="CN498" s="342"/>
      <c r="CO498" s="342"/>
      <c r="CP498" s="342"/>
      <c r="CQ498" s="342"/>
      <c r="CR498" s="342"/>
      <c r="CS498" s="342"/>
      <c r="CT498" s="342"/>
      <c r="CU498" s="342"/>
      <c r="CV498" s="342"/>
      <c r="CW498" s="342"/>
      <c r="CX498" s="342"/>
      <c r="CY498" s="342"/>
    </row>
    <row r="499" spans="2:103" s="343" customFormat="1" ht="29.25" customHeight="1" x14ac:dyDescent="0.25">
      <c r="B499" s="803">
        <v>44687</v>
      </c>
      <c r="C499" s="103">
        <v>0.77777777777777779</v>
      </c>
      <c r="D499" s="410">
        <v>47.5</v>
      </c>
      <c r="E499" s="415">
        <v>10.1</v>
      </c>
      <c r="F499" s="415">
        <v>17.600000000000001</v>
      </c>
      <c r="G499" s="413">
        <v>1289</v>
      </c>
      <c r="H499" s="413">
        <v>2172</v>
      </c>
      <c r="I499" s="413">
        <v>105.2</v>
      </c>
      <c r="J499" s="413">
        <v>106.4</v>
      </c>
      <c r="K499" s="416" t="s">
        <v>2796</v>
      </c>
      <c r="L499" s="416">
        <v>36.200000000000003</v>
      </c>
      <c r="M499" s="416">
        <v>38.6</v>
      </c>
      <c r="N499" s="416">
        <v>56.17</v>
      </c>
      <c r="O499" s="416"/>
      <c r="P499" s="416"/>
      <c r="Q499" s="416"/>
      <c r="R499" s="416" t="s">
        <v>1883</v>
      </c>
      <c r="S499" s="416">
        <v>68.400000000000006</v>
      </c>
      <c r="T499" s="102" t="s">
        <v>23</v>
      </c>
      <c r="U499" s="416" t="s">
        <v>236</v>
      </c>
      <c r="V499" s="798"/>
      <c r="CM499" s="342"/>
      <c r="CN499" s="342"/>
      <c r="CO499" s="342"/>
      <c r="CP499" s="342"/>
      <c r="CQ499" s="342"/>
      <c r="CR499" s="342"/>
      <c r="CS499" s="342"/>
      <c r="CT499" s="342"/>
      <c r="CU499" s="342"/>
      <c r="CV499" s="342"/>
      <c r="CW499" s="342"/>
      <c r="CX499" s="342"/>
      <c r="CY499" s="342"/>
    </row>
    <row r="500" spans="2:103" s="343" customFormat="1" ht="29.25" customHeight="1" x14ac:dyDescent="0.25">
      <c r="B500" s="805">
        <v>44688</v>
      </c>
      <c r="C500" s="103">
        <v>0.8125</v>
      </c>
      <c r="D500" s="410">
        <v>47.5</v>
      </c>
      <c r="E500" s="415">
        <v>8.6</v>
      </c>
      <c r="F500" s="415">
        <v>17</v>
      </c>
      <c r="G500" s="413">
        <v>1286</v>
      </c>
      <c r="H500" s="413">
        <v>2163</v>
      </c>
      <c r="I500" s="413">
        <v>104.8</v>
      </c>
      <c r="J500" s="413">
        <v>106.3</v>
      </c>
      <c r="K500" s="416" t="s">
        <v>2801</v>
      </c>
      <c r="L500" s="416">
        <v>34.58</v>
      </c>
      <c r="M500" s="416">
        <v>38</v>
      </c>
      <c r="N500" s="416">
        <v>55.21</v>
      </c>
      <c r="O500" s="416"/>
      <c r="P500" s="416"/>
      <c r="Q500" s="416"/>
      <c r="R500" s="416" t="s">
        <v>2120</v>
      </c>
      <c r="S500" s="416">
        <v>66.099999999999994</v>
      </c>
      <c r="T500" s="102" t="s">
        <v>23</v>
      </c>
      <c r="U500" s="416" t="s">
        <v>236</v>
      </c>
      <c r="V500" s="798"/>
      <c r="CM500" s="342"/>
      <c r="CN500" s="342"/>
      <c r="CO500" s="342"/>
      <c r="CP500" s="342"/>
      <c r="CQ500" s="342"/>
      <c r="CR500" s="342"/>
      <c r="CS500" s="342"/>
      <c r="CT500" s="342"/>
      <c r="CU500" s="342"/>
      <c r="CV500" s="342"/>
      <c r="CW500" s="342"/>
      <c r="CX500" s="342"/>
      <c r="CY500" s="342"/>
    </row>
    <row r="501" spans="2:103" s="343" customFormat="1" ht="29.25" customHeight="1" x14ac:dyDescent="0.25">
      <c r="B501" s="807">
        <v>44689</v>
      </c>
      <c r="C501" s="103">
        <v>0.91666666666666663</v>
      </c>
      <c r="D501" s="410">
        <v>47.5</v>
      </c>
      <c r="E501" s="415">
        <v>9</v>
      </c>
      <c r="F501" s="415">
        <v>17.100000000000001</v>
      </c>
      <c r="G501" s="413">
        <v>1286.5999999999999</v>
      </c>
      <c r="H501" s="413">
        <v>2128</v>
      </c>
      <c r="I501" s="413">
        <v>105</v>
      </c>
      <c r="J501" s="413">
        <v>106</v>
      </c>
      <c r="K501" s="416" t="s">
        <v>2813</v>
      </c>
      <c r="L501" s="416">
        <v>33.32</v>
      </c>
      <c r="M501" s="416">
        <v>36</v>
      </c>
      <c r="N501" s="416">
        <v>58.65</v>
      </c>
      <c r="O501" s="416"/>
      <c r="P501" s="416"/>
      <c r="Q501" s="416"/>
      <c r="R501" s="416" t="s">
        <v>2191</v>
      </c>
      <c r="S501" s="416">
        <v>66.5</v>
      </c>
      <c r="T501" s="102" t="s">
        <v>23</v>
      </c>
      <c r="U501" s="416" t="s">
        <v>236</v>
      </c>
      <c r="V501" s="798"/>
      <c r="CM501" s="342"/>
      <c r="CN501" s="342"/>
      <c r="CO501" s="342"/>
      <c r="CP501" s="342"/>
      <c r="CQ501" s="342"/>
      <c r="CR501" s="342"/>
      <c r="CS501" s="342"/>
      <c r="CT501" s="342"/>
      <c r="CU501" s="342"/>
      <c r="CV501" s="342"/>
      <c r="CW501" s="342"/>
      <c r="CX501" s="342"/>
      <c r="CY501" s="342"/>
    </row>
    <row r="502" spans="2:103" s="343" customFormat="1" ht="29.25" customHeight="1" x14ac:dyDescent="0.25">
      <c r="B502" s="815">
        <v>44690</v>
      </c>
      <c r="C502" s="103">
        <v>0.91666666666666663</v>
      </c>
      <c r="D502" s="410">
        <v>47.5</v>
      </c>
      <c r="E502" s="415">
        <v>8.8000000000000007</v>
      </c>
      <c r="F502" s="415">
        <v>17.100000000000001</v>
      </c>
      <c r="G502" s="413">
        <v>1281</v>
      </c>
      <c r="H502" s="413">
        <v>2127</v>
      </c>
      <c r="I502" s="413">
        <v>105.8</v>
      </c>
      <c r="J502" s="413">
        <v>107.1</v>
      </c>
      <c r="K502" s="416" t="s">
        <v>2816</v>
      </c>
      <c r="L502" s="416">
        <v>33.909999999999997</v>
      </c>
      <c r="M502" s="416">
        <v>36.5</v>
      </c>
      <c r="N502" s="416">
        <v>58</v>
      </c>
      <c r="O502" s="416"/>
      <c r="P502" s="416"/>
      <c r="Q502" s="416"/>
      <c r="R502" s="416" t="s">
        <v>2120</v>
      </c>
      <c r="S502" s="416">
        <v>66.5</v>
      </c>
      <c r="T502" s="102" t="s">
        <v>23</v>
      </c>
      <c r="U502" s="416" t="s">
        <v>236</v>
      </c>
      <c r="V502" s="798"/>
      <c r="CM502" s="342"/>
      <c r="CN502" s="342"/>
      <c r="CO502" s="342"/>
      <c r="CP502" s="342"/>
      <c r="CQ502" s="342"/>
      <c r="CR502" s="342"/>
      <c r="CS502" s="342"/>
      <c r="CT502" s="342"/>
      <c r="CU502" s="342"/>
      <c r="CV502" s="342"/>
      <c r="CW502" s="342"/>
      <c r="CX502" s="342"/>
      <c r="CY502" s="342"/>
    </row>
    <row r="503" spans="2:103" s="343" customFormat="1" ht="29.25" customHeight="1" x14ac:dyDescent="0.25">
      <c r="B503" s="816">
        <v>44691</v>
      </c>
      <c r="C503" s="103">
        <v>0.95833333333333337</v>
      </c>
      <c r="D503" s="410">
        <v>47.5</v>
      </c>
      <c r="E503" s="415">
        <v>8.4</v>
      </c>
      <c r="F503" s="415">
        <v>16.899999999999999</v>
      </c>
      <c r="G503" s="413">
        <v>1287</v>
      </c>
      <c r="H503" s="413">
        <v>2176</v>
      </c>
      <c r="I503" s="413">
        <v>104.7</v>
      </c>
      <c r="J503" s="413">
        <v>106.6</v>
      </c>
      <c r="K503" s="416" t="s">
        <v>2823</v>
      </c>
      <c r="L503" s="416">
        <v>36.68</v>
      </c>
      <c r="M503" s="416">
        <v>39</v>
      </c>
      <c r="N503" s="416">
        <v>52</v>
      </c>
      <c r="O503" s="416"/>
      <c r="P503" s="416"/>
      <c r="Q503" s="416"/>
      <c r="R503" s="416" t="s">
        <v>2115</v>
      </c>
      <c r="S503" s="416">
        <v>65.7</v>
      </c>
      <c r="T503" s="102" t="s">
        <v>23</v>
      </c>
      <c r="U503" s="416" t="s">
        <v>236</v>
      </c>
      <c r="V503" s="798"/>
      <c r="CM503" s="342"/>
      <c r="CN503" s="342"/>
      <c r="CO503" s="342"/>
      <c r="CP503" s="342"/>
      <c r="CQ503" s="342"/>
      <c r="CR503" s="342"/>
      <c r="CS503" s="342"/>
      <c r="CT503" s="342"/>
      <c r="CU503" s="342"/>
      <c r="CV503" s="342"/>
      <c r="CW503" s="342"/>
      <c r="CX503" s="342"/>
      <c r="CY503" s="342"/>
    </row>
    <row r="504" spans="2:103" s="343" customFormat="1" ht="29.25" customHeight="1" x14ac:dyDescent="0.25">
      <c r="B504" s="819">
        <v>44692</v>
      </c>
      <c r="C504" s="103">
        <v>0.89583333333333337</v>
      </c>
      <c r="D504" s="410">
        <v>47.5</v>
      </c>
      <c r="E504" s="415">
        <v>10.4</v>
      </c>
      <c r="F504" s="415">
        <v>17.7</v>
      </c>
      <c r="G504" s="413">
        <v>1293</v>
      </c>
      <c r="H504" s="413">
        <v>2136</v>
      </c>
      <c r="I504" s="413">
        <v>105.2</v>
      </c>
      <c r="J504" s="413">
        <v>106</v>
      </c>
      <c r="K504" s="416" t="s">
        <v>2829</v>
      </c>
      <c r="L504" s="416">
        <v>35.99</v>
      </c>
      <c r="M504" s="416">
        <v>38.5</v>
      </c>
      <c r="N504" s="416">
        <v>54.75</v>
      </c>
      <c r="O504" s="416"/>
      <c r="P504" s="416"/>
      <c r="Q504" s="416"/>
      <c r="R504" s="416" t="s">
        <v>2191</v>
      </c>
      <c r="S504" s="416">
        <v>66.5</v>
      </c>
      <c r="T504" s="102" t="s">
        <v>23</v>
      </c>
      <c r="U504" s="416" t="s">
        <v>236</v>
      </c>
      <c r="V504" s="798"/>
      <c r="CM504" s="342"/>
      <c r="CN504" s="342"/>
      <c r="CO504" s="342"/>
      <c r="CP504" s="342"/>
      <c r="CQ504" s="342"/>
      <c r="CR504" s="342"/>
      <c r="CS504" s="342"/>
      <c r="CT504" s="342"/>
      <c r="CU504" s="342"/>
      <c r="CV504" s="342"/>
      <c r="CW504" s="342"/>
      <c r="CX504" s="342"/>
      <c r="CY504" s="342"/>
    </row>
    <row r="505" spans="2:103" s="343" customFormat="1" ht="29.25" customHeight="1" x14ac:dyDescent="0.25">
      <c r="B505" s="820">
        <v>44693</v>
      </c>
      <c r="C505" s="103">
        <v>0.95833333333333337</v>
      </c>
      <c r="D505" s="410">
        <v>47.5</v>
      </c>
      <c r="E505" s="415">
        <v>8.5</v>
      </c>
      <c r="F505" s="415">
        <v>17</v>
      </c>
      <c r="G505" s="413">
        <v>1287</v>
      </c>
      <c r="H505" s="413">
        <v>2164</v>
      </c>
      <c r="I505" s="413">
        <v>104.7</v>
      </c>
      <c r="J505" s="413">
        <v>106.3</v>
      </c>
      <c r="K505" s="416" t="s">
        <v>2837</v>
      </c>
      <c r="L505" s="416">
        <v>36.020000000000003</v>
      </c>
      <c r="M505" s="416">
        <v>38.5</v>
      </c>
      <c r="N505" s="416">
        <v>54.25</v>
      </c>
      <c r="O505" s="416"/>
      <c r="P505" s="416"/>
      <c r="Q505" s="416"/>
      <c r="R505" s="416" t="s">
        <v>2120</v>
      </c>
      <c r="S505" s="416">
        <v>66.099999999999994</v>
      </c>
      <c r="T505" s="102" t="s">
        <v>23</v>
      </c>
      <c r="U505" s="416" t="s">
        <v>236</v>
      </c>
      <c r="V505" s="798"/>
      <c r="CM505" s="342"/>
      <c r="CN505" s="342"/>
      <c r="CO505" s="342"/>
      <c r="CP505" s="342"/>
      <c r="CQ505" s="342"/>
      <c r="CR505" s="342"/>
      <c r="CS505" s="342"/>
      <c r="CT505" s="342"/>
      <c r="CU505" s="342"/>
      <c r="CV505" s="342"/>
      <c r="CW505" s="342"/>
      <c r="CX505" s="342"/>
      <c r="CY505" s="342"/>
    </row>
    <row r="506" spans="2:103" s="343" customFormat="1" ht="29.25" customHeight="1" x14ac:dyDescent="0.25">
      <c r="B506" s="823">
        <v>44694</v>
      </c>
      <c r="C506" s="103">
        <v>0.91666666666666663</v>
      </c>
      <c r="D506" s="410">
        <v>47.5</v>
      </c>
      <c r="E506" s="415">
        <v>9.1</v>
      </c>
      <c r="F506" s="415">
        <v>17.2</v>
      </c>
      <c r="G506" s="413">
        <v>1285</v>
      </c>
      <c r="H506" s="413">
        <v>2121</v>
      </c>
      <c r="I506" s="413">
        <v>105.3</v>
      </c>
      <c r="J506" s="413">
        <v>106.4</v>
      </c>
      <c r="K506" s="416" t="s">
        <v>2849</v>
      </c>
      <c r="L506" s="416">
        <v>34.35</v>
      </c>
      <c r="M506" s="416">
        <v>37</v>
      </c>
      <c r="N506" s="416">
        <v>56.51</v>
      </c>
      <c r="O506" s="416"/>
      <c r="P506" s="416"/>
      <c r="Q506" s="416"/>
      <c r="R506" s="416" t="s">
        <v>2188</v>
      </c>
      <c r="S506" s="416">
        <v>66.900000000000006</v>
      </c>
      <c r="T506" s="102" t="s">
        <v>23</v>
      </c>
      <c r="U506" s="416" t="s">
        <v>236</v>
      </c>
      <c r="V506" s="798"/>
      <c r="CM506" s="342"/>
      <c r="CN506" s="342"/>
      <c r="CO506" s="342"/>
      <c r="CP506" s="342"/>
      <c r="CQ506" s="342"/>
      <c r="CR506" s="342"/>
      <c r="CS506" s="342"/>
      <c r="CT506" s="342"/>
      <c r="CU506" s="342"/>
      <c r="CV506" s="342"/>
      <c r="CW506" s="342"/>
      <c r="CX506" s="342"/>
      <c r="CY506" s="342"/>
    </row>
    <row r="507" spans="2:103" s="343" customFormat="1" ht="29.25" customHeight="1" x14ac:dyDescent="0.25">
      <c r="B507" s="825">
        <v>44695</v>
      </c>
      <c r="C507" s="103">
        <v>0.75</v>
      </c>
      <c r="D507" s="410">
        <v>47.5</v>
      </c>
      <c r="E507" s="415">
        <v>8.8000000000000007</v>
      </c>
      <c r="F507" s="415">
        <v>17.100000000000001</v>
      </c>
      <c r="G507" s="413">
        <v>1278.5</v>
      </c>
      <c r="H507" s="413">
        <v>2122.1999999999998</v>
      </c>
      <c r="I507" s="413">
        <v>105.3</v>
      </c>
      <c r="J507" s="413">
        <v>105.9</v>
      </c>
      <c r="K507" s="416" t="s">
        <v>2855</v>
      </c>
      <c r="L507" s="416">
        <v>35.25</v>
      </c>
      <c r="M507" s="416">
        <v>37</v>
      </c>
      <c r="N507" s="416">
        <v>56.55</v>
      </c>
      <c r="O507" s="416"/>
      <c r="P507" s="416"/>
      <c r="Q507" s="416"/>
      <c r="R507" s="416" t="s">
        <v>2856</v>
      </c>
      <c r="S507" s="416">
        <v>66.5</v>
      </c>
      <c r="T507" s="102" t="s">
        <v>23</v>
      </c>
      <c r="U507" s="416" t="s">
        <v>236</v>
      </c>
      <c r="V507" s="798"/>
      <c r="CM507" s="342"/>
      <c r="CN507" s="342"/>
      <c r="CO507" s="342"/>
      <c r="CP507" s="342"/>
      <c r="CQ507" s="342"/>
      <c r="CR507" s="342"/>
      <c r="CS507" s="342"/>
      <c r="CT507" s="342"/>
      <c r="CU507" s="342"/>
      <c r="CV507" s="342"/>
      <c r="CW507" s="342"/>
      <c r="CX507" s="342"/>
      <c r="CY507" s="342"/>
    </row>
    <row r="508" spans="2:103" s="343" customFormat="1" ht="29.25" customHeight="1" x14ac:dyDescent="0.25">
      <c r="B508" s="829">
        <v>44696</v>
      </c>
      <c r="C508" s="103">
        <v>0.75</v>
      </c>
      <c r="D508" s="410">
        <v>47.5</v>
      </c>
      <c r="E508" s="415">
        <v>8.1999999999999993</v>
      </c>
      <c r="F508" s="415">
        <v>16.899999999999999</v>
      </c>
      <c r="G508" s="413">
        <v>1285</v>
      </c>
      <c r="H508" s="413">
        <v>2179</v>
      </c>
      <c r="I508" s="413">
        <v>104</v>
      </c>
      <c r="J508" s="413">
        <v>106</v>
      </c>
      <c r="K508" s="416" t="s">
        <v>2860</v>
      </c>
      <c r="L508" s="416">
        <v>37.18</v>
      </c>
      <c r="M508" s="416">
        <v>39</v>
      </c>
      <c r="N508" s="416">
        <v>50.81</v>
      </c>
      <c r="O508" s="416"/>
      <c r="P508" s="416"/>
      <c r="Q508" s="416"/>
      <c r="R508" s="416" t="s">
        <v>2861</v>
      </c>
      <c r="S508" s="416">
        <v>65.7</v>
      </c>
      <c r="T508" s="102" t="s">
        <v>23</v>
      </c>
      <c r="U508" s="416" t="s">
        <v>236</v>
      </c>
      <c r="V508" s="798"/>
      <c r="CM508" s="342"/>
      <c r="CN508" s="342"/>
      <c r="CO508" s="342"/>
      <c r="CP508" s="342"/>
      <c r="CQ508" s="342"/>
      <c r="CR508" s="342"/>
      <c r="CS508" s="342"/>
      <c r="CT508" s="342"/>
      <c r="CU508" s="342"/>
      <c r="CV508" s="342"/>
      <c r="CW508" s="342"/>
      <c r="CX508" s="342"/>
      <c r="CY508" s="342"/>
    </row>
    <row r="509" spans="2:103" s="343" customFormat="1" ht="29.25" customHeight="1" x14ac:dyDescent="0.25">
      <c r="B509" s="831">
        <v>44697</v>
      </c>
      <c r="C509" s="103">
        <v>0.75</v>
      </c>
      <c r="D509" s="410">
        <v>47.5</v>
      </c>
      <c r="E509" s="415">
        <v>8.6</v>
      </c>
      <c r="F509" s="415">
        <v>17</v>
      </c>
      <c r="G509" s="413">
        <v>1315</v>
      </c>
      <c r="H509" s="413">
        <v>2190</v>
      </c>
      <c r="I509" s="413">
        <v>104.3</v>
      </c>
      <c r="J509" s="413">
        <v>106</v>
      </c>
      <c r="K509" s="416" t="s">
        <v>2860</v>
      </c>
      <c r="L509" s="416">
        <v>34.78</v>
      </c>
      <c r="M509" s="416">
        <v>38</v>
      </c>
      <c r="N509" s="416">
        <v>50.7</v>
      </c>
      <c r="O509" s="416"/>
      <c r="P509" s="416"/>
      <c r="Q509" s="416"/>
      <c r="R509" s="416" t="s">
        <v>2861</v>
      </c>
      <c r="S509" s="416">
        <v>66.7</v>
      </c>
      <c r="T509" s="102" t="s">
        <v>23</v>
      </c>
      <c r="U509" s="416" t="s">
        <v>236</v>
      </c>
      <c r="V509" s="798"/>
      <c r="CM509" s="342"/>
      <c r="CN509" s="342"/>
      <c r="CO509" s="342"/>
      <c r="CP509" s="342"/>
      <c r="CQ509" s="342"/>
      <c r="CR509" s="342"/>
      <c r="CS509" s="342"/>
      <c r="CT509" s="342"/>
      <c r="CU509" s="342"/>
      <c r="CV509" s="342"/>
      <c r="CW509" s="342"/>
      <c r="CX509" s="342"/>
      <c r="CY509" s="342"/>
    </row>
    <row r="510" spans="2:103" s="343" customFormat="1" ht="29.25" customHeight="1" x14ac:dyDescent="0.25">
      <c r="B510" s="833">
        <v>44698</v>
      </c>
      <c r="C510" s="103">
        <v>0.75</v>
      </c>
      <c r="D510" s="410">
        <v>47.5</v>
      </c>
      <c r="E510" s="415">
        <v>10.4</v>
      </c>
      <c r="F510" s="415">
        <v>17.600000000000001</v>
      </c>
      <c r="G510" s="413">
        <v>1311</v>
      </c>
      <c r="H510" s="413">
        <v>2198</v>
      </c>
      <c r="I510" s="413">
        <v>105.7</v>
      </c>
      <c r="J510" s="413">
        <v>106.7</v>
      </c>
      <c r="K510" s="416" t="s">
        <v>2878</v>
      </c>
      <c r="L510" s="416">
        <v>36.5</v>
      </c>
      <c r="M510" s="416">
        <v>38</v>
      </c>
      <c r="N510" s="416">
        <v>58.21</v>
      </c>
      <c r="O510" s="416"/>
      <c r="P510" s="416"/>
      <c r="Q510" s="416"/>
      <c r="R510" s="416" t="s">
        <v>2879</v>
      </c>
      <c r="S510" s="416">
        <v>68.8</v>
      </c>
      <c r="T510" s="102" t="s">
        <v>23</v>
      </c>
      <c r="U510" s="416" t="s">
        <v>236</v>
      </c>
      <c r="V510" s="798"/>
      <c r="CM510" s="342"/>
      <c r="CN510" s="342"/>
      <c r="CO510" s="342"/>
      <c r="CP510" s="342"/>
      <c r="CQ510" s="342"/>
      <c r="CR510" s="342"/>
      <c r="CS510" s="342"/>
      <c r="CT510" s="342"/>
      <c r="CU510" s="342"/>
      <c r="CV510" s="342"/>
      <c r="CW510" s="342"/>
      <c r="CX510" s="342"/>
      <c r="CY510" s="342"/>
    </row>
    <row r="511" spans="2:103" s="343" customFormat="1" ht="29.25" customHeight="1" x14ac:dyDescent="0.25">
      <c r="B511" s="835">
        <v>44699</v>
      </c>
      <c r="C511" s="103">
        <v>0.75</v>
      </c>
      <c r="D511" s="410">
        <v>47.5</v>
      </c>
      <c r="E511" s="415">
        <v>9.1</v>
      </c>
      <c r="F511" s="415">
        <v>17.2</v>
      </c>
      <c r="G511" s="413">
        <v>1286</v>
      </c>
      <c r="H511" s="413">
        <v>2112</v>
      </c>
      <c r="I511" s="413">
        <v>105.1</v>
      </c>
      <c r="J511" s="413">
        <v>106</v>
      </c>
      <c r="K511" s="416" t="s">
        <v>2886</v>
      </c>
      <c r="L511" s="416">
        <v>34.950000000000003</v>
      </c>
      <c r="M511" s="416">
        <v>37</v>
      </c>
      <c r="N511" s="416">
        <v>55.54</v>
      </c>
      <c r="O511" s="416"/>
      <c r="P511" s="416"/>
      <c r="Q511" s="416"/>
      <c r="R511" s="416" t="s">
        <v>2887</v>
      </c>
      <c r="S511" s="416">
        <v>66.5</v>
      </c>
      <c r="T511" s="102" t="s">
        <v>23</v>
      </c>
      <c r="U511" s="416" t="s">
        <v>236</v>
      </c>
      <c r="V511" s="798"/>
      <c r="CM511" s="342"/>
      <c r="CN511" s="342"/>
      <c r="CO511" s="342"/>
      <c r="CP511" s="342"/>
      <c r="CQ511" s="342"/>
      <c r="CR511" s="342"/>
      <c r="CS511" s="342"/>
      <c r="CT511" s="342"/>
      <c r="CU511" s="342"/>
      <c r="CV511" s="342"/>
      <c r="CW511" s="342"/>
      <c r="CX511" s="342"/>
      <c r="CY511" s="342"/>
    </row>
    <row r="512" spans="2:103" s="343" customFormat="1" ht="29.25" customHeight="1" x14ac:dyDescent="0.25">
      <c r="B512" s="837">
        <v>44700</v>
      </c>
      <c r="C512" s="103">
        <v>0.75</v>
      </c>
      <c r="D512" s="410">
        <v>47.5</v>
      </c>
      <c r="E512" s="415">
        <v>9.1</v>
      </c>
      <c r="F512" s="415">
        <v>17.100000000000001</v>
      </c>
      <c r="G512" s="413">
        <v>17</v>
      </c>
      <c r="H512" s="413">
        <v>1288</v>
      </c>
      <c r="I512" s="413">
        <v>105.1</v>
      </c>
      <c r="J512" s="413">
        <v>106</v>
      </c>
      <c r="K512" s="416" t="s">
        <v>2891</v>
      </c>
      <c r="L512" s="416">
        <v>35.15</v>
      </c>
      <c r="M512" s="416">
        <v>37</v>
      </c>
      <c r="N512" s="416">
        <v>52.05</v>
      </c>
      <c r="O512" s="416"/>
      <c r="P512" s="416"/>
      <c r="Q512" s="416"/>
      <c r="R512" s="416" t="s">
        <v>2892</v>
      </c>
      <c r="S512" s="416">
        <v>66.5</v>
      </c>
      <c r="T512" s="102" t="s">
        <v>23</v>
      </c>
      <c r="U512" s="416" t="s">
        <v>236</v>
      </c>
      <c r="V512" s="798"/>
      <c r="CM512" s="342"/>
      <c r="CN512" s="342"/>
      <c r="CO512" s="342"/>
      <c r="CP512" s="342"/>
      <c r="CQ512" s="342"/>
      <c r="CR512" s="342"/>
      <c r="CS512" s="342"/>
      <c r="CT512" s="342"/>
      <c r="CU512" s="342"/>
      <c r="CV512" s="342"/>
      <c r="CW512" s="342"/>
      <c r="CX512" s="342"/>
      <c r="CY512" s="342"/>
    </row>
    <row r="513" spans="2:103" s="343" customFormat="1" ht="29.25" customHeight="1" x14ac:dyDescent="0.25">
      <c r="B513" s="839">
        <v>44701</v>
      </c>
      <c r="C513" s="103">
        <v>0.89583333333333337</v>
      </c>
      <c r="D513" s="410">
        <v>47.5</v>
      </c>
      <c r="E513" s="415">
        <v>9.1</v>
      </c>
      <c r="F513" s="415">
        <v>17.2</v>
      </c>
      <c r="G513" s="413">
        <v>1279</v>
      </c>
      <c r="H513" s="413">
        <v>2092</v>
      </c>
      <c r="I513" s="413">
        <v>105.8</v>
      </c>
      <c r="J513" s="413">
        <v>107.5</v>
      </c>
      <c r="K513" s="416" t="s">
        <v>2901</v>
      </c>
      <c r="L513" s="416">
        <v>34</v>
      </c>
      <c r="M513" s="416">
        <v>37</v>
      </c>
      <c r="N513" s="416">
        <v>59.23</v>
      </c>
      <c r="O513" s="416"/>
      <c r="P513" s="416"/>
      <c r="Q513" s="416"/>
      <c r="R513" s="416" t="s">
        <v>2188</v>
      </c>
      <c r="S513" s="416">
        <v>66.900000000000006</v>
      </c>
      <c r="T513" s="102" t="s">
        <v>23</v>
      </c>
      <c r="U513" s="416" t="s">
        <v>236</v>
      </c>
      <c r="V513" s="798"/>
      <c r="CM513" s="342"/>
      <c r="CN513" s="342"/>
      <c r="CO513" s="342"/>
      <c r="CP513" s="342"/>
      <c r="CQ513" s="342"/>
      <c r="CR513" s="342"/>
      <c r="CS513" s="342"/>
      <c r="CT513" s="342"/>
      <c r="CU513" s="342"/>
      <c r="CV513" s="342"/>
      <c r="CW513" s="342"/>
      <c r="CX513" s="342"/>
      <c r="CY513" s="342"/>
    </row>
    <row r="514" spans="2:103" s="343" customFormat="1" ht="29.25" customHeight="1" x14ac:dyDescent="0.25">
      <c r="B514" s="841">
        <v>44702</v>
      </c>
      <c r="C514" s="103">
        <v>0.89583333333333337</v>
      </c>
      <c r="D514" s="410">
        <v>47.5</v>
      </c>
      <c r="E514" s="415">
        <v>10.199999999999999</v>
      </c>
      <c r="F514" s="415">
        <v>17.600000000000001</v>
      </c>
      <c r="G514" s="413">
        <v>1274</v>
      </c>
      <c r="H514" s="413">
        <v>2127</v>
      </c>
      <c r="I514" s="413">
        <v>105.5</v>
      </c>
      <c r="J514" s="413">
        <v>107.1</v>
      </c>
      <c r="K514" s="416" t="s">
        <v>2904</v>
      </c>
      <c r="L514" s="416">
        <v>34</v>
      </c>
      <c r="M514" s="416">
        <v>36</v>
      </c>
      <c r="N514" s="416">
        <v>58.31</v>
      </c>
      <c r="O514" s="416"/>
      <c r="P514" s="416"/>
      <c r="Q514" s="416"/>
      <c r="R514" s="416" t="s">
        <v>2905</v>
      </c>
      <c r="S514" s="416">
        <v>68.400000000000006</v>
      </c>
      <c r="T514" s="102" t="s">
        <v>23</v>
      </c>
      <c r="U514" s="416" t="s">
        <v>236</v>
      </c>
      <c r="V514" s="798"/>
      <c r="CM514" s="342"/>
      <c r="CN514" s="342"/>
      <c r="CO514" s="342"/>
      <c r="CP514" s="342"/>
      <c r="CQ514" s="342"/>
      <c r="CR514" s="342"/>
      <c r="CS514" s="342"/>
      <c r="CT514" s="342"/>
      <c r="CU514" s="342"/>
      <c r="CV514" s="342"/>
      <c r="CW514" s="342"/>
      <c r="CX514" s="342"/>
      <c r="CY514" s="342"/>
    </row>
    <row r="515" spans="2:103" s="343" customFormat="1" ht="29.25" customHeight="1" x14ac:dyDescent="0.25">
      <c r="B515" s="843">
        <v>44703</v>
      </c>
      <c r="C515" s="103">
        <v>0.89583333333333337</v>
      </c>
      <c r="D515" s="410">
        <v>47.5</v>
      </c>
      <c r="E515" s="415">
        <v>8.6</v>
      </c>
      <c r="F515" s="415">
        <v>17</v>
      </c>
      <c r="G515" s="413">
        <v>1280</v>
      </c>
      <c r="H515" s="413">
        <v>2167</v>
      </c>
      <c r="I515" s="413">
        <v>105.3</v>
      </c>
      <c r="J515" s="413">
        <v>105.8</v>
      </c>
      <c r="K515" s="416" t="s">
        <v>2907</v>
      </c>
      <c r="L515" s="416">
        <v>35.68</v>
      </c>
      <c r="M515" s="416">
        <v>37.5</v>
      </c>
      <c r="N515" s="416">
        <v>54.01</v>
      </c>
      <c r="O515" s="416"/>
      <c r="P515" s="416"/>
      <c r="Q515" s="416"/>
      <c r="R515" s="416" t="s">
        <v>2120</v>
      </c>
      <c r="S515" s="416">
        <v>66.099999999999994</v>
      </c>
      <c r="T515" s="102" t="s">
        <v>23</v>
      </c>
      <c r="U515" s="416" t="s">
        <v>236</v>
      </c>
      <c r="V515" s="798"/>
      <c r="CM515" s="342"/>
      <c r="CN515" s="342"/>
      <c r="CO515" s="342"/>
      <c r="CP515" s="342"/>
      <c r="CQ515" s="342"/>
      <c r="CR515" s="342"/>
      <c r="CS515" s="342"/>
      <c r="CT515" s="342"/>
      <c r="CU515" s="342"/>
      <c r="CV515" s="342"/>
      <c r="CW515" s="342"/>
      <c r="CX515" s="342"/>
      <c r="CY515" s="342"/>
    </row>
    <row r="516" spans="2:103" s="343" customFormat="1" ht="29.25" customHeight="1" x14ac:dyDescent="0.25">
      <c r="B516" s="845">
        <v>44704</v>
      </c>
      <c r="C516" s="103">
        <v>0.875</v>
      </c>
      <c r="D516" s="410">
        <v>47.5</v>
      </c>
      <c r="E516" s="415">
        <v>9.1999999999999993</v>
      </c>
      <c r="F516" s="415">
        <v>17.100000000000001</v>
      </c>
      <c r="G516" s="413">
        <v>1277</v>
      </c>
      <c r="H516" s="413">
        <v>2088</v>
      </c>
      <c r="I516" s="413">
        <v>105.1</v>
      </c>
      <c r="J516" s="413">
        <v>106</v>
      </c>
      <c r="K516" s="416" t="s">
        <v>2919</v>
      </c>
      <c r="L516" s="416">
        <v>33.630000000000003</v>
      </c>
      <c r="M516" s="416">
        <v>37.5</v>
      </c>
      <c r="N516" s="416">
        <v>58.76</v>
      </c>
      <c r="O516" s="416"/>
      <c r="P516" s="416"/>
      <c r="Q516" s="416"/>
      <c r="R516" s="416" t="s">
        <v>2188</v>
      </c>
      <c r="S516" s="416">
        <v>66.5</v>
      </c>
      <c r="T516" s="102" t="s">
        <v>23</v>
      </c>
      <c r="U516" s="416" t="s">
        <v>236</v>
      </c>
      <c r="V516" s="798"/>
      <c r="CM516" s="342"/>
      <c r="CN516" s="342"/>
      <c r="CO516" s="342"/>
      <c r="CP516" s="342"/>
      <c r="CQ516" s="342"/>
      <c r="CR516" s="342"/>
      <c r="CS516" s="342"/>
      <c r="CT516" s="342"/>
      <c r="CU516" s="342"/>
      <c r="CV516" s="342"/>
      <c r="CW516" s="342"/>
      <c r="CX516" s="342"/>
      <c r="CY516" s="342"/>
    </row>
    <row r="517" spans="2:103" s="343" customFormat="1" ht="29.25" customHeight="1" x14ac:dyDescent="0.25">
      <c r="B517" s="849">
        <v>44705</v>
      </c>
      <c r="C517" s="103">
        <v>0.83333333333333337</v>
      </c>
      <c r="D517" s="410">
        <v>47.5</v>
      </c>
      <c r="E517" s="415">
        <v>8.4</v>
      </c>
      <c r="F517" s="415">
        <v>16.899999999999999</v>
      </c>
      <c r="G517" s="413">
        <v>1287</v>
      </c>
      <c r="H517" s="413">
        <v>2166</v>
      </c>
      <c r="I517" s="413">
        <v>105.1</v>
      </c>
      <c r="J517" s="413">
        <v>106.2</v>
      </c>
      <c r="K517" s="416" t="s">
        <v>2927</v>
      </c>
      <c r="L517" s="416">
        <v>34.75</v>
      </c>
      <c r="M517" s="416">
        <v>38</v>
      </c>
      <c r="N517" s="416">
        <v>55.63</v>
      </c>
      <c r="O517" s="416"/>
      <c r="P517" s="416"/>
      <c r="Q517" s="416"/>
      <c r="R517" s="416" t="s">
        <v>2115</v>
      </c>
      <c r="S517" s="416">
        <v>65.7</v>
      </c>
      <c r="T517" s="102" t="s">
        <v>23</v>
      </c>
      <c r="U517" s="416" t="s">
        <v>236</v>
      </c>
      <c r="V517" s="798"/>
      <c r="CM517" s="342"/>
      <c r="CN517" s="342"/>
      <c r="CO517" s="342"/>
      <c r="CP517" s="342"/>
      <c r="CQ517" s="342"/>
      <c r="CR517" s="342"/>
      <c r="CS517" s="342"/>
      <c r="CT517" s="342"/>
      <c r="CU517" s="342"/>
      <c r="CV517" s="342"/>
      <c r="CW517" s="342"/>
      <c r="CX517" s="342"/>
      <c r="CY517" s="342"/>
    </row>
    <row r="518" spans="2:103" s="343" customFormat="1" ht="29.25" customHeight="1" x14ac:dyDescent="0.25">
      <c r="B518" s="851">
        <v>44706</v>
      </c>
      <c r="C518" s="103">
        <v>0.97916666666666663</v>
      </c>
      <c r="D518" s="410">
        <v>47.5</v>
      </c>
      <c r="E518" s="415">
        <v>8.3000000000000007</v>
      </c>
      <c r="F518" s="415">
        <v>16.899999999999999</v>
      </c>
      <c r="G518" s="413">
        <v>1288</v>
      </c>
      <c r="H518" s="413">
        <v>2180</v>
      </c>
      <c r="I518" s="413">
        <v>105.1</v>
      </c>
      <c r="J518" s="413">
        <v>106.2</v>
      </c>
      <c r="K518" s="416" t="s">
        <v>2933</v>
      </c>
      <c r="L518" s="416">
        <v>36.69</v>
      </c>
      <c r="M518" s="416">
        <v>38.5</v>
      </c>
      <c r="N518" s="416">
        <v>50.67</v>
      </c>
      <c r="O518" s="416"/>
      <c r="P518" s="416"/>
      <c r="Q518" s="416"/>
      <c r="R518" s="416" t="s">
        <v>2115</v>
      </c>
      <c r="S518" s="416">
        <v>65.7</v>
      </c>
      <c r="T518" s="102" t="s">
        <v>23</v>
      </c>
      <c r="U518" s="416" t="s">
        <v>236</v>
      </c>
      <c r="V518" s="798"/>
      <c r="CM518" s="342"/>
      <c r="CN518" s="342"/>
      <c r="CO518" s="342"/>
      <c r="CP518" s="342"/>
      <c r="CQ518" s="342"/>
      <c r="CR518" s="342"/>
      <c r="CS518" s="342"/>
      <c r="CT518" s="342"/>
      <c r="CU518" s="342"/>
      <c r="CV518" s="342"/>
      <c r="CW518" s="342"/>
      <c r="CX518" s="342"/>
      <c r="CY518" s="342"/>
    </row>
    <row r="519" spans="2:103" s="343" customFormat="1" ht="29.25" customHeight="1" x14ac:dyDescent="0.25">
      <c r="B519" s="853">
        <v>44707</v>
      </c>
      <c r="C519" s="103">
        <v>0.91666666666666663</v>
      </c>
      <c r="D519" s="410">
        <v>47.5</v>
      </c>
      <c r="E519" s="415">
        <v>9.1999999999999993</v>
      </c>
      <c r="F519" s="415">
        <v>17.2</v>
      </c>
      <c r="G519" s="413">
        <v>1285</v>
      </c>
      <c r="H519" s="413">
        <v>2087</v>
      </c>
      <c r="I519" s="413">
        <v>105.3</v>
      </c>
      <c r="J519" s="413">
        <v>106.3</v>
      </c>
      <c r="K519" s="416" t="s">
        <v>2941</v>
      </c>
      <c r="L519" s="416">
        <v>33.57</v>
      </c>
      <c r="M519" s="416">
        <v>36.5</v>
      </c>
      <c r="N519" s="416">
        <v>52.14</v>
      </c>
      <c r="O519" s="416"/>
      <c r="P519" s="416"/>
      <c r="Q519" s="416"/>
      <c r="R519" s="416" t="s">
        <v>2204</v>
      </c>
      <c r="S519" s="416">
        <v>66.900000000000006</v>
      </c>
      <c r="T519" s="102" t="s">
        <v>23</v>
      </c>
      <c r="U519" s="416" t="s">
        <v>236</v>
      </c>
      <c r="V519" s="798"/>
      <c r="CM519" s="342"/>
      <c r="CN519" s="342"/>
      <c r="CO519" s="342"/>
      <c r="CP519" s="342"/>
      <c r="CQ519" s="342"/>
      <c r="CR519" s="342"/>
      <c r="CS519" s="342"/>
      <c r="CT519" s="342"/>
      <c r="CU519" s="342"/>
      <c r="CV519" s="342"/>
      <c r="CW519" s="342"/>
      <c r="CX519" s="342"/>
      <c r="CY519" s="342"/>
    </row>
    <row r="520" spans="2:103" s="343" customFormat="1" ht="29.25" customHeight="1" x14ac:dyDescent="0.25">
      <c r="B520" s="855">
        <v>44708</v>
      </c>
      <c r="C520" s="103">
        <v>0.79166666666666663</v>
      </c>
      <c r="D520" s="410">
        <v>47.5</v>
      </c>
      <c r="E520" s="415">
        <v>10.4</v>
      </c>
      <c r="F520" s="415">
        <v>17.7</v>
      </c>
      <c r="G520" s="413">
        <v>1275</v>
      </c>
      <c r="H520" s="413">
        <v>2123</v>
      </c>
      <c r="I520" s="413">
        <v>105.8</v>
      </c>
      <c r="J520" s="413">
        <v>106.1</v>
      </c>
      <c r="K520" s="416" t="s">
        <v>2949</v>
      </c>
      <c r="L520" s="416">
        <v>35.25</v>
      </c>
      <c r="M520" s="416">
        <v>38</v>
      </c>
      <c r="N520" s="416">
        <v>57.16</v>
      </c>
      <c r="O520" s="416"/>
      <c r="P520" s="416"/>
      <c r="Q520" s="416"/>
      <c r="R520" s="416" t="s">
        <v>2950</v>
      </c>
      <c r="S520" s="416">
        <v>68.8</v>
      </c>
      <c r="T520" s="102" t="s">
        <v>23</v>
      </c>
      <c r="U520" s="416" t="s">
        <v>236</v>
      </c>
      <c r="V520" s="798"/>
      <c r="CM520" s="342"/>
      <c r="CN520" s="342"/>
      <c r="CO520" s="342"/>
      <c r="CP520" s="342"/>
      <c r="CQ520" s="342"/>
      <c r="CR520" s="342"/>
      <c r="CS520" s="342"/>
      <c r="CT520" s="342"/>
      <c r="CU520" s="342"/>
      <c r="CV520" s="342"/>
      <c r="CW520" s="342"/>
      <c r="CX520" s="342"/>
      <c r="CY520" s="342"/>
    </row>
    <row r="521" spans="2:103" s="343" customFormat="1" ht="29.25" customHeight="1" x14ac:dyDescent="0.25">
      <c r="B521" s="857">
        <v>44709</v>
      </c>
      <c r="C521" s="103">
        <v>0.89583333333333337</v>
      </c>
      <c r="D521" s="410">
        <v>47.5</v>
      </c>
      <c r="E521" s="415">
        <v>8.9</v>
      </c>
      <c r="F521" s="415">
        <v>17.100000000000001</v>
      </c>
      <c r="G521" s="413">
        <v>1277</v>
      </c>
      <c r="H521" s="413">
        <v>2105</v>
      </c>
      <c r="I521" s="413">
        <v>105.5</v>
      </c>
      <c r="J521" s="413">
        <v>106.7</v>
      </c>
      <c r="K521" s="416" t="s">
        <v>2957</v>
      </c>
      <c r="L521" s="416">
        <v>35.32</v>
      </c>
      <c r="M521" s="416">
        <v>38</v>
      </c>
      <c r="N521" s="416">
        <v>56.05</v>
      </c>
      <c r="O521" s="416"/>
      <c r="P521" s="416"/>
      <c r="Q521" s="416"/>
      <c r="R521" s="416" t="s">
        <v>2191</v>
      </c>
      <c r="S521" s="416">
        <v>66.5</v>
      </c>
      <c r="T521" s="102" t="s">
        <v>23</v>
      </c>
      <c r="U521" s="416" t="s">
        <v>236</v>
      </c>
      <c r="V521" s="798"/>
      <c r="CM521" s="342"/>
      <c r="CN521" s="342"/>
      <c r="CO521" s="342"/>
      <c r="CP521" s="342"/>
      <c r="CQ521" s="342"/>
      <c r="CR521" s="342"/>
      <c r="CS521" s="342"/>
      <c r="CT521" s="342"/>
      <c r="CU521" s="342"/>
      <c r="CV521" s="342"/>
      <c r="CW521" s="342"/>
      <c r="CX521" s="342"/>
      <c r="CY521" s="342"/>
    </row>
    <row r="522" spans="2:103" s="343" customFormat="1" ht="29.25" customHeight="1" x14ac:dyDescent="0.25">
      <c r="B522" s="859">
        <v>44710</v>
      </c>
      <c r="C522" s="103">
        <v>0.8125</v>
      </c>
      <c r="D522" s="410">
        <v>47.5</v>
      </c>
      <c r="E522" s="415">
        <v>8.8000000000000007</v>
      </c>
      <c r="F522" s="415">
        <v>17</v>
      </c>
      <c r="G522" s="413">
        <v>1267</v>
      </c>
      <c r="H522" s="413">
        <v>2154</v>
      </c>
      <c r="I522" s="413">
        <v>105.5</v>
      </c>
      <c r="J522" s="413">
        <v>106.7</v>
      </c>
      <c r="K522" s="416" t="s">
        <v>2965</v>
      </c>
      <c r="L522" s="416">
        <v>34.840000000000003</v>
      </c>
      <c r="M522" s="416">
        <v>38</v>
      </c>
      <c r="N522" s="416">
        <v>56.51</v>
      </c>
      <c r="O522" s="416"/>
      <c r="P522" s="416"/>
      <c r="Q522" s="416"/>
      <c r="R522" s="416" t="s">
        <v>2414</v>
      </c>
      <c r="S522" s="416">
        <v>66.099999999999994</v>
      </c>
      <c r="T522" s="102" t="s">
        <v>23</v>
      </c>
      <c r="U522" s="416" t="s">
        <v>236</v>
      </c>
      <c r="V522" s="798"/>
      <c r="CM522" s="342"/>
      <c r="CN522" s="342"/>
      <c r="CO522" s="342"/>
      <c r="CP522" s="342"/>
      <c r="CQ522" s="342"/>
      <c r="CR522" s="342"/>
      <c r="CS522" s="342"/>
      <c r="CT522" s="342"/>
      <c r="CU522" s="342"/>
      <c r="CV522" s="342"/>
      <c r="CW522" s="342"/>
      <c r="CX522" s="342"/>
      <c r="CY522" s="342"/>
    </row>
    <row r="523" spans="2:103" s="343" customFormat="1" ht="29.25" customHeight="1" x14ac:dyDescent="0.25">
      <c r="B523" s="861">
        <v>44711</v>
      </c>
      <c r="C523" s="103">
        <v>0.91666666666666663</v>
      </c>
      <c r="D523" s="410">
        <v>47.5</v>
      </c>
      <c r="E523" s="415">
        <v>9</v>
      </c>
      <c r="F523" s="415">
        <v>17.100000000000001</v>
      </c>
      <c r="G523" s="413">
        <v>1272</v>
      </c>
      <c r="H523" s="413">
        <v>2121</v>
      </c>
      <c r="I523" s="413">
        <v>105.1</v>
      </c>
      <c r="J523" s="413">
        <v>106.2</v>
      </c>
      <c r="K523" s="416" t="s">
        <v>2970</v>
      </c>
      <c r="L523" s="416">
        <v>35.5</v>
      </c>
      <c r="M523" s="416">
        <v>38</v>
      </c>
      <c r="N523" s="416">
        <v>56.55</v>
      </c>
      <c r="O523" s="416"/>
      <c r="P523" s="416"/>
      <c r="Q523" s="416"/>
      <c r="R523" s="416" t="s">
        <v>2191</v>
      </c>
      <c r="S523" s="416">
        <v>66.5</v>
      </c>
      <c r="T523" s="102" t="s">
        <v>23</v>
      </c>
      <c r="U523" s="416" t="s">
        <v>236</v>
      </c>
      <c r="V523" s="798"/>
      <c r="CM523" s="342"/>
      <c r="CN523" s="342"/>
      <c r="CO523" s="342"/>
      <c r="CP523" s="342"/>
      <c r="CQ523" s="342"/>
      <c r="CR523" s="342"/>
      <c r="CS523" s="342"/>
      <c r="CT523" s="342"/>
      <c r="CU523" s="342"/>
      <c r="CV523" s="342"/>
      <c r="CW523" s="342"/>
      <c r="CX523" s="342"/>
      <c r="CY523" s="342"/>
    </row>
    <row r="524" spans="2:103" s="343" customFormat="1" ht="29.25" customHeight="1" x14ac:dyDescent="0.25">
      <c r="B524" s="863">
        <v>44712</v>
      </c>
      <c r="C524" s="103">
        <v>0.91666666666666663</v>
      </c>
      <c r="D524" s="410">
        <v>47.5</v>
      </c>
      <c r="E524" s="415">
        <v>8.6</v>
      </c>
      <c r="F524" s="415">
        <v>17</v>
      </c>
      <c r="G524" s="413">
        <v>1281</v>
      </c>
      <c r="H524" s="413">
        <v>2162</v>
      </c>
      <c r="I524" s="413">
        <v>105.1</v>
      </c>
      <c r="J524" s="413">
        <v>106.5</v>
      </c>
      <c r="K524" s="416" t="s">
        <v>2981</v>
      </c>
      <c r="L524" s="416">
        <v>35.909999999999997</v>
      </c>
      <c r="M524" s="416">
        <v>38</v>
      </c>
      <c r="N524" s="416">
        <v>52.61</v>
      </c>
      <c r="O524" s="416"/>
      <c r="P524" s="416"/>
      <c r="Q524" s="416"/>
      <c r="R524" s="416" t="s">
        <v>2120</v>
      </c>
      <c r="S524" s="416">
        <v>66.099999999999994</v>
      </c>
      <c r="T524" s="102" t="s">
        <v>23</v>
      </c>
      <c r="U524" s="416" t="s">
        <v>236</v>
      </c>
      <c r="V524" s="798"/>
      <c r="CM524" s="342"/>
      <c r="CN524" s="342"/>
      <c r="CO524" s="342"/>
      <c r="CP524" s="342"/>
      <c r="CQ524" s="342"/>
      <c r="CR524" s="342"/>
      <c r="CS524" s="342"/>
      <c r="CT524" s="342"/>
      <c r="CU524" s="342"/>
      <c r="CV524" s="342"/>
      <c r="CW524" s="342"/>
      <c r="CX524" s="342"/>
      <c r="CY524" s="342"/>
    </row>
    <row r="525" spans="2:103" s="343" customFormat="1" ht="29.25" customHeight="1" x14ac:dyDescent="0.25">
      <c r="B525" s="867">
        <v>44713</v>
      </c>
      <c r="C525" s="103">
        <v>0.91666666666666663</v>
      </c>
      <c r="D525" s="410">
        <v>47.5</v>
      </c>
      <c r="E525" s="415">
        <v>8.1999999999999993</v>
      </c>
      <c r="F525" s="415">
        <v>16.899999999999999</v>
      </c>
      <c r="G525" s="413">
        <v>1291</v>
      </c>
      <c r="H525" s="413">
        <v>2196</v>
      </c>
      <c r="I525" s="413">
        <v>104.5</v>
      </c>
      <c r="J525" s="413">
        <v>107.2</v>
      </c>
      <c r="K525" s="416" t="s">
        <v>2995</v>
      </c>
      <c r="L525" s="416">
        <v>37.33</v>
      </c>
      <c r="M525" s="416">
        <v>39.5</v>
      </c>
      <c r="N525" s="416">
        <v>53.41</v>
      </c>
      <c r="O525" s="416"/>
      <c r="P525" s="416"/>
      <c r="Q525" s="416"/>
      <c r="R525" s="416" t="s">
        <v>3004</v>
      </c>
      <c r="S525" s="416">
        <v>73.7</v>
      </c>
      <c r="T525" s="102" t="s">
        <v>23</v>
      </c>
      <c r="U525" s="416" t="s">
        <v>236</v>
      </c>
      <c r="V525" s="798"/>
      <c r="CM525" s="342"/>
      <c r="CN525" s="342"/>
      <c r="CO525" s="342"/>
      <c r="CP525" s="342"/>
      <c r="CQ525" s="342"/>
      <c r="CR525" s="342"/>
      <c r="CS525" s="342"/>
      <c r="CT525" s="342"/>
      <c r="CU525" s="342"/>
      <c r="CV525" s="342"/>
      <c r="CW525" s="342"/>
      <c r="CX525" s="342"/>
      <c r="CY525" s="342"/>
    </row>
    <row r="526" spans="2:103" s="343" customFormat="1" ht="29.25" customHeight="1" x14ac:dyDescent="0.25">
      <c r="B526" s="869">
        <v>44714</v>
      </c>
      <c r="C526" s="103">
        <v>0.79166666666666663</v>
      </c>
      <c r="D526" s="410">
        <v>47.5</v>
      </c>
      <c r="E526" s="415">
        <v>7.5</v>
      </c>
      <c r="F526" s="415">
        <v>16.8</v>
      </c>
      <c r="G526" s="413">
        <v>1310</v>
      </c>
      <c r="H526" s="413">
        <v>2233</v>
      </c>
      <c r="I526" s="413">
        <v>104.6</v>
      </c>
      <c r="J526" s="413">
        <v>107.3</v>
      </c>
      <c r="K526" s="416" t="s">
        <v>3003</v>
      </c>
      <c r="L526" s="416">
        <v>36.200000000000003</v>
      </c>
      <c r="M526" s="416">
        <v>38.5</v>
      </c>
      <c r="N526" s="416">
        <v>48.75</v>
      </c>
      <c r="O526" s="416"/>
      <c r="P526" s="416"/>
      <c r="Q526" s="416"/>
      <c r="R526" s="416" t="s">
        <v>2433</v>
      </c>
      <c r="S526" s="416">
        <v>73.7</v>
      </c>
      <c r="T526" s="102" t="s">
        <v>23</v>
      </c>
      <c r="U526" s="416" t="s">
        <v>236</v>
      </c>
      <c r="V526" s="817" t="s">
        <v>3005</v>
      </c>
      <c r="CM526" s="342"/>
      <c r="CN526" s="342"/>
      <c r="CO526" s="342"/>
      <c r="CP526" s="342"/>
      <c r="CQ526" s="342"/>
      <c r="CR526" s="342"/>
      <c r="CS526" s="342"/>
      <c r="CT526" s="342"/>
      <c r="CU526" s="342"/>
      <c r="CV526" s="342"/>
      <c r="CW526" s="342"/>
      <c r="CX526" s="342"/>
      <c r="CY526" s="342"/>
    </row>
    <row r="527" spans="2:103" s="343" customFormat="1" ht="29.25" customHeight="1" x14ac:dyDescent="0.25">
      <c r="B527" s="871">
        <v>44715</v>
      </c>
      <c r="C527" s="103">
        <v>0.83333333333333337</v>
      </c>
      <c r="D527" s="410">
        <v>47.5</v>
      </c>
      <c r="E527" s="415">
        <v>8.6999999999999993</v>
      </c>
      <c r="F527" s="415">
        <v>17</v>
      </c>
      <c r="G527" s="413">
        <v>1304</v>
      </c>
      <c r="H527" s="413">
        <v>2158</v>
      </c>
      <c r="I527" s="413">
        <v>104.9</v>
      </c>
      <c r="J527" s="413">
        <v>107.2</v>
      </c>
      <c r="K527" s="416" t="s">
        <v>3012</v>
      </c>
      <c r="L527" s="416">
        <v>36.92</v>
      </c>
      <c r="M527" s="416">
        <v>39.5</v>
      </c>
      <c r="N527" s="416">
        <v>54.53</v>
      </c>
      <c r="O527" s="416"/>
      <c r="P527" s="416"/>
      <c r="Q527" s="416"/>
      <c r="R527" s="416" t="s">
        <v>2120</v>
      </c>
      <c r="S527" s="416">
        <v>66.099999999999994</v>
      </c>
      <c r="T527" s="102" t="s">
        <v>23</v>
      </c>
      <c r="U527" s="416" t="s">
        <v>236</v>
      </c>
      <c r="V527" s="817" t="s">
        <v>3005</v>
      </c>
      <c r="CM527" s="342"/>
      <c r="CN527" s="342"/>
      <c r="CO527" s="342"/>
      <c r="CP527" s="342"/>
      <c r="CQ527" s="342"/>
      <c r="CR527" s="342"/>
      <c r="CS527" s="342"/>
      <c r="CT527" s="342"/>
      <c r="CU527" s="342"/>
      <c r="CV527" s="342"/>
      <c r="CW527" s="342"/>
      <c r="CX527" s="342"/>
      <c r="CY527" s="342"/>
    </row>
    <row r="528" spans="2:103" s="343" customFormat="1" ht="29.25" customHeight="1" x14ac:dyDescent="0.25">
      <c r="B528" s="873">
        <v>44716</v>
      </c>
      <c r="C528" s="103">
        <v>0.89583333333333337</v>
      </c>
      <c r="D528" s="410">
        <v>47.5</v>
      </c>
      <c r="E528" s="415">
        <v>9.1999999999999993</v>
      </c>
      <c r="F528" s="415">
        <v>17.2</v>
      </c>
      <c r="G528" s="413">
        <v>1309</v>
      </c>
      <c r="H528" s="413">
        <v>2169</v>
      </c>
      <c r="I528" s="413">
        <v>105.1</v>
      </c>
      <c r="J528" s="413">
        <v>107</v>
      </c>
      <c r="K528" s="416" t="s">
        <v>3017</v>
      </c>
      <c r="L528" s="416">
        <v>33.369999999999997</v>
      </c>
      <c r="M528" s="416">
        <v>36.5</v>
      </c>
      <c r="N528" s="416">
        <v>55.48</v>
      </c>
      <c r="O528" s="416"/>
      <c r="P528" s="416"/>
      <c r="Q528" s="416"/>
      <c r="R528" s="416" t="s">
        <v>2188</v>
      </c>
      <c r="S528" s="416">
        <v>66.900000000000006</v>
      </c>
      <c r="T528" s="102" t="s">
        <v>23</v>
      </c>
      <c r="U528" s="416" t="s">
        <v>236</v>
      </c>
      <c r="V528" s="817" t="s">
        <v>3005</v>
      </c>
      <c r="CM528" s="342"/>
      <c r="CN528" s="342"/>
      <c r="CO528" s="342"/>
      <c r="CP528" s="342"/>
      <c r="CQ528" s="342"/>
      <c r="CR528" s="342"/>
      <c r="CS528" s="342"/>
      <c r="CT528" s="342"/>
      <c r="CU528" s="342"/>
      <c r="CV528" s="342"/>
      <c r="CW528" s="342"/>
      <c r="CX528" s="342"/>
      <c r="CY528" s="342"/>
    </row>
    <row r="529" spans="2:103" s="343" customFormat="1" ht="29.25" customHeight="1" x14ac:dyDescent="0.25">
      <c r="B529" s="875">
        <v>44717</v>
      </c>
      <c r="C529" s="103">
        <v>0.89583333333333337</v>
      </c>
      <c r="D529" s="410">
        <v>47.5</v>
      </c>
      <c r="E529" s="415">
        <v>8.8000000000000007</v>
      </c>
      <c r="F529" s="415">
        <v>17</v>
      </c>
      <c r="G529" s="413">
        <v>1293</v>
      </c>
      <c r="H529" s="413">
        <v>2138</v>
      </c>
      <c r="I529" s="413">
        <v>105.1</v>
      </c>
      <c r="J529" s="413">
        <v>107.3</v>
      </c>
      <c r="K529" s="416" t="s">
        <v>3024</v>
      </c>
      <c r="L529" s="416">
        <v>36.28</v>
      </c>
      <c r="M529" s="416">
        <v>39.5</v>
      </c>
      <c r="N529" s="416">
        <v>55.86</v>
      </c>
      <c r="O529" s="416"/>
      <c r="P529" s="416"/>
      <c r="Q529" s="416"/>
      <c r="R529" s="416" t="s">
        <v>2120</v>
      </c>
      <c r="S529" s="416">
        <v>66.099999999999994</v>
      </c>
      <c r="T529" s="102" t="s">
        <v>23</v>
      </c>
      <c r="U529" s="416" t="s">
        <v>236</v>
      </c>
      <c r="V529" s="817" t="s">
        <v>3005</v>
      </c>
      <c r="CM529" s="342"/>
      <c r="CN529" s="342"/>
      <c r="CO529" s="342"/>
      <c r="CP529" s="342"/>
      <c r="CQ529" s="342"/>
      <c r="CR529" s="342"/>
      <c r="CS529" s="342"/>
      <c r="CT529" s="342"/>
      <c r="CU529" s="342"/>
      <c r="CV529" s="342"/>
      <c r="CW529" s="342"/>
      <c r="CX529" s="342"/>
      <c r="CY529" s="342"/>
    </row>
    <row r="530" spans="2:103" s="343" customFormat="1" ht="29.25" customHeight="1" x14ac:dyDescent="0.25">
      <c r="B530" s="877">
        <v>44718</v>
      </c>
      <c r="C530" s="103">
        <v>0.91666666666666663</v>
      </c>
      <c r="D530" s="410">
        <v>47.5</v>
      </c>
      <c r="E530" s="415">
        <v>8.6</v>
      </c>
      <c r="F530" s="415">
        <v>17</v>
      </c>
      <c r="G530" s="413">
        <v>1295</v>
      </c>
      <c r="H530" s="413">
        <v>2163</v>
      </c>
      <c r="I530" s="413">
        <v>104.8</v>
      </c>
      <c r="J530" s="413">
        <v>107.3</v>
      </c>
      <c r="K530" s="416" t="s">
        <v>3026</v>
      </c>
      <c r="L530" s="416">
        <v>35.64</v>
      </c>
      <c r="M530" s="416">
        <v>39</v>
      </c>
      <c r="N530" s="416">
        <v>55.41</v>
      </c>
      <c r="O530" s="416"/>
      <c r="P530" s="416"/>
      <c r="Q530" s="416"/>
      <c r="R530" s="416" t="s">
        <v>3027</v>
      </c>
      <c r="S530" s="416">
        <v>66.099999999999994</v>
      </c>
      <c r="T530" s="102" t="s">
        <v>23</v>
      </c>
      <c r="U530" s="416" t="s">
        <v>236</v>
      </c>
      <c r="V530" s="817"/>
      <c r="CM530" s="342"/>
      <c r="CN530" s="342"/>
      <c r="CO530" s="342"/>
      <c r="CP530" s="342"/>
      <c r="CQ530" s="342"/>
      <c r="CR530" s="342"/>
      <c r="CS530" s="342"/>
      <c r="CT530" s="342"/>
      <c r="CU530" s="342"/>
      <c r="CV530" s="342"/>
      <c r="CW530" s="342"/>
      <c r="CX530" s="342"/>
      <c r="CY530" s="342"/>
    </row>
    <row r="531" spans="2:103" s="343" customFormat="1" ht="29.25" customHeight="1" x14ac:dyDescent="0.25">
      <c r="B531" s="879">
        <v>44719</v>
      </c>
      <c r="C531" s="103">
        <v>0.875</v>
      </c>
      <c r="D531" s="410">
        <v>47.5</v>
      </c>
      <c r="E531" s="415">
        <v>8.3000000000000007</v>
      </c>
      <c r="F531" s="415">
        <v>16.899999999999999</v>
      </c>
      <c r="G531" s="413">
        <v>1298</v>
      </c>
      <c r="H531" s="413">
        <v>2200</v>
      </c>
      <c r="I531" s="413">
        <v>104.7</v>
      </c>
      <c r="J531" s="413">
        <v>107.5</v>
      </c>
      <c r="K531" s="416" t="s">
        <v>3032</v>
      </c>
      <c r="L531" s="416">
        <v>37.729999999999997</v>
      </c>
      <c r="M531" s="416">
        <v>40</v>
      </c>
      <c r="N531" s="416">
        <v>52.42</v>
      </c>
      <c r="O531" s="416"/>
      <c r="P531" s="416"/>
      <c r="Q531" s="416"/>
      <c r="R531" s="416" t="s">
        <v>2174</v>
      </c>
      <c r="S531" s="416">
        <v>65.7</v>
      </c>
      <c r="T531" s="102" t="s">
        <v>23</v>
      </c>
      <c r="U531" s="416" t="s">
        <v>236</v>
      </c>
      <c r="V531" s="817"/>
      <c r="CM531" s="342"/>
      <c r="CN531" s="342"/>
      <c r="CO531" s="342"/>
      <c r="CP531" s="342"/>
      <c r="CQ531" s="342"/>
      <c r="CR531" s="342"/>
      <c r="CS531" s="342"/>
      <c r="CT531" s="342"/>
      <c r="CU531" s="342"/>
      <c r="CV531" s="342"/>
      <c r="CW531" s="342"/>
      <c r="CX531" s="342"/>
      <c r="CY531" s="342"/>
    </row>
    <row r="532" spans="2:103" s="343" customFormat="1" ht="18.75" x14ac:dyDescent="0.25">
      <c r="B532" s="881">
        <v>44720</v>
      </c>
      <c r="C532" s="103">
        <v>0.91666666666666663</v>
      </c>
      <c r="D532" s="410">
        <v>47.5</v>
      </c>
      <c r="E532" s="415">
        <v>8.5</v>
      </c>
      <c r="F532" s="415">
        <v>17</v>
      </c>
      <c r="G532" s="413">
        <v>1308</v>
      </c>
      <c r="H532" s="413">
        <v>2180</v>
      </c>
      <c r="I532" s="413">
        <v>105.6</v>
      </c>
      <c r="J532" s="413">
        <v>107.5</v>
      </c>
      <c r="K532" s="416" t="s">
        <v>3039</v>
      </c>
      <c r="L532" s="416">
        <v>36.700000000000003</v>
      </c>
      <c r="M532" s="416">
        <v>40</v>
      </c>
      <c r="N532" s="416">
        <v>54.14</v>
      </c>
      <c r="O532" s="416"/>
      <c r="P532" s="416"/>
      <c r="Q532" s="416"/>
      <c r="R532" s="416" t="s">
        <v>2101</v>
      </c>
      <c r="S532" s="416">
        <v>66.099999999999994</v>
      </c>
      <c r="T532" s="102" t="s">
        <v>23</v>
      </c>
      <c r="U532" s="416" t="s">
        <v>928</v>
      </c>
      <c r="V532" s="401"/>
      <c r="CM532" s="342"/>
      <c r="CN532" s="342"/>
      <c r="CO532" s="342"/>
      <c r="CP532" s="342"/>
      <c r="CQ532" s="342"/>
      <c r="CR532" s="342"/>
      <c r="CS532" s="342"/>
      <c r="CT532" s="342"/>
      <c r="CU532" s="342"/>
      <c r="CV532" s="342"/>
      <c r="CW532" s="342"/>
      <c r="CX532" s="342"/>
      <c r="CY532" s="342"/>
    </row>
    <row r="533" spans="2:103" s="343" customFormat="1" ht="18.75" x14ac:dyDescent="0.25">
      <c r="B533" s="881">
        <v>44721</v>
      </c>
      <c r="C533" s="103">
        <v>0.88541666666666663</v>
      </c>
      <c r="D533" s="410">
        <v>47.5</v>
      </c>
      <c r="E533" s="415">
        <v>9.6999999999999993</v>
      </c>
      <c r="F533" s="415">
        <v>17.399999999999999</v>
      </c>
      <c r="G533" s="413">
        <v>1297</v>
      </c>
      <c r="H533" s="413">
        <v>2110</v>
      </c>
      <c r="I533" s="413">
        <v>105.6</v>
      </c>
      <c r="J533" s="413">
        <v>106.3</v>
      </c>
      <c r="K533" s="416" t="s">
        <v>3049</v>
      </c>
      <c r="L533" s="416">
        <v>34.65</v>
      </c>
      <c r="M533" s="416">
        <v>40</v>
      </c>
      <c r="N533" s="416">
        <v>58.92</v>
      </c>
      <c r="O533" s="416"/>
      <c r="P533" s="416"/>
      <c r="Q533" s="416"/>
      <c r="R533" s="416" t="s">
        <v>2425</v>
      </c>
      <c r="S533" s="416">
        <v>67.7</v>
      </c>
      <c r="T533" s="102" t="s">
        <v>23</v>
      </c>
      <c r="U533" s="416" t="s">
        <v>928</v>
      </c>
      <c r="V533" s="401"/>
      <c r="CM533" s="342"/>
      <c r="CN533" s="342"/>
      <c r="CO533" s="342"/>
      <c r="CP533" s="342"/>
      <c r="CQ533" s="342"/>
      <c r="CR533" s="342"/>
      <c r="CS533" s="342"/>
      <c r="CT533" s="342"/>
      <c r="CU533" s="342"/>
      <c r="CV533" s="342"/>
      <c r="CW533" s="342"/>
      <c r="CX533" s="342"/>
      <c r="CY533" s="342"/>
    </row>
    <row r="534" spans="2:103" s="343" customFormat="1" ht="18.75" x14ac:dyDescent="0.25">
      <c r="B534" s="881">
        <v>44722</v>
      </c>
      <c r="C534" s="103">
        <v>0.88541666666666663</v>
      </c>
      <c r="D534" s="410">
        <v>47.5</v>
      </c>
      <c r="E534" s="415">
        <v>9.1999999999999993</v>
      </c>
      <c r="F534" s="415">
        <v>17.2</v>
      </c>
      <c r="G534" s="413">
        <v>1284</v>
      </c>
      <c r="H534" s="413">
        <v>2097</v>
      </c>
      <c r="I534" s="413">
        <v>105.5</v>
      </c>
      <c r="J534" s="413">
        <v>107.5</v>
      </c>
      <c r="K534" s="416" t="s">
        <v>3061</v>
      </c>
      <c r="L534" s="416">
        <v>35.700000000000003</v>
      </c>
      <c r="M534" s="416">
        <v>40</v>
      </c>
      <c r="N534" s="416">
        <v>59.15</v>
      </c>
      <c r="O534" s="416"/>
      <c r="P534" s="416"/>
      <c r="Q534" s="416"/>
      <c r="R534" s="416" t="s">
        <v>2204</v>
      </c>
      <c r="S534" s="416">
        <v>66.900000000000006</v>
      </c>
      <c r="T534" s="102" t="s">
        <v>23</v>
      </c>
      <c r="U534" s="416" t="s">
        <v>928</v>
      </c>
      <c r="V534" s="401"/>
      <c r="CM534" s="342"/>
      <c r="CN534" s="342"/>
      <c r="CO534" s="342"/>
      <c r="CP534" s="342"/>
      <c r="CQ534" s="342"/>
      <c r="CR534" s="342"/>
      <c r="CS534" s="342"/>
      <c r="CT534" s="342"/>
      <c r="CU534" s="342"/>
      <c r="CV534" s="342"/>
      <c r="CW534" s="342"/>
      <c r="CX534" s="342"/>
      <c r="CY534" s="342"/>
    </row>
    <row r="535" spans="2:103" s="343" customFormat="1" ht="18.75" x14ac:dyDescent="0.25">
      <c r="B535" s="881">
        <v>44723</v>
      </c>
      <c r="C535" s="103">
        <v>0.92708333333333337</v>
      </c>
      <c r="D535" s="410">
        <v>47.5</v>
      </c>
      <c r="E535" s="415">
        <v>9.4</v>
      </c>
      <c r="F535" s="415">
        <v>17.2</v>
      </c>
      <c r="G535" s="413">
        <v>1276</v>
      </c>
      <c r="H535" s="413">
        <v>2059</v>
      </c>
      <c r="I535" s="413">
        <v>105.9</v>
      </c>
      <c r="J535" s="413">
        <v>107.5</v>
      </c>
      <c r="K535" s="416" t="s">
        <v>3067</v>
      </c>
      <c r="L535" s="416">
        <v>30.23</v>
      </c>
      <c r="M535" s="416">
        <v>40</v>
      </c>
      <c r="N535" s="416">
        <v>62.13</v>
      </c>
      <c r="O535" s="416"/>
      <c r="P535" s="416"/>
      <c r="Q535" s="416"/>
      <c r="R535" s="416" t="s">
        <v>2188</v>
      </c>
      <c r="S535" s="416">
        <v>66.900000000000006</v>
      </c>
      <c r="T535" s="102" t="s">
        <v>23</v>
      </c>
      <c r="U535" s="416" t="s">
        <v>928</v>
      </c>
      <c r="V535" s="401"/>
      <c r="CM535" s="342"/>
      <c r="CN535" s="342"/>
      <c r="CO535" s="342"/>
      <c r="CP535" s="342"/>
      <c r="CQ535" s="342"/>
      <c r="CR535" s="342"/>
      <c r="CS535" s="342"/>
      <c r="CT535" s="342"/>
      <c r="CU535" s="342"/>
      <c r="CV535" s="342"/>
      <c r="CW535" s="342"/>
      <c r="CX535" s="342"/>
      <c r="CY535" s="342"/>
    </row>
    <row r="536" spans="2:103" s="343" customFormat="1" ht="18.75" x14ac:dyDescent="0.25">
      <c r="B536" s="881">
        <v>44724</v>
      </c>
      <c r="C536" s="103">
        <v>0.93055555555555547</v>
      </c>
      <c r="D536" s="410">
        <v>47.5</v>
      </c>
      <c r="E536" s="415">
        <v>8.8000000000000007</v>
      </c>
      <c r="F536" s="415">
        <v>17.100000000000001</v>
      </c>
      <c r="G536" s="413">
        <v>1263</v>
      </c>
      <c r="H536" s="413">
        <v>2119</v>
      </c>
      <c r="I536" s="413">
        <v>105.5</v>
      </c>
      <c r="J536" s="413">
        <v>107</v>
      </c>
      <c r="K536" s="416" t="s">
        <v>3078</v>
      </c>
      <c r="L536" s="416">
        <v>34.119999999999997</v>
      </c>
      <c r="M536" s="416">
        <v>40</v>
      </c>
      <c r="N536" s="416">
        <v>58.27</v>
      </c>
      <c r="O536" s="416"/>
      <c r="P536" s="416"/>
      <c r="Q536" s="416"/>
      <c r="R536" s="416" t="s">
        <v>2191</v>
      </c>
      <c r="S536" s="416">
        <v>66.5</v>
      </c>
      <c r="T536" s="102" t="s">
        <v>23</v>
      </c>
      <c r="U536" s="416" t="s">
        <v>928</v>
      </c>
      <c r="V536" s="401"/>
      <c r="CM536" s="342"/>
      <c r="CN536" s="342"/>
      <c r="CO536" s="342"/>
      <c r="CP536" s="342"/>
      <c r="CQ536" s="342"/>
      <c r="CR536" s="342"/>
      <c r="CS536" s="342"/>
      <c r="CT536" s="342"/>
      <c r="CU536" s="342"/>
      <c r="CV536" s="342"/>
      <c r="CW536" s="342"/>
      <c r="CX536" s="342"/>
      <c r="CY536" s="342"/>
    </row>
    <row r="537" spans="2:103" s="343" customFormat="1" ht="18.75" x14ac:dyDescent="0.25">
      <c r="B537" s="881">
        <v>44725</v>
      </c>
      <c r="C537" s="103">
        <v>0.88541666666666663</v>
      </c>
      <c r="D537" s="410">
        <v>47.5</v>
      </c>
      <c r="E537" s="415">
        <v>8.8000000000000007</v>
      </c>
      <c r="F537" s="415">
        <v>17.100000000000001</v>
      </c>
      <c r="G537" s="413">
        <v>1261</v>
      </c>
      <c r="H537" s="413">
        <v>2106</v>
      </c>
      <c r="I537" s="413">
        <v>105.2</v>
      </c>
      <c r="J537" s="413">
        <v>107.5</v>
      </c>
      <c r="K537" s="416" t="s">
        <v>3078</v>
      </c>
      <c r="L537" s="416">
        <v>34.270000000000003</v>
      </c>
      <c r="M537" s="416">
        <v>40</v>
      </c>
      <c r="N537" s="416">
        <v>59.88</v>
      </c>
      <c r="O537" s="416"/>
      <c r="P537" s="416"/>
      <c r="Q537" s="416"/>
      <c r="R537" s="416" t="s">
        <v>2191</v>
      </c>
      <c r="S537" s="416">
        <v>66.5</v>
      </c>
      <c r="T537" s="102" t="s">
        <v>23</v>
      </c>
      <c r="U537" s="416" t="s">
        <v>928</v>
      </c>
      <c r="V537" s="401"/>
      <c r="CM537" s="342"/>
      <c r="CN537" s="342"/>
      <c r="CO537" s="342"/>
      <c r="CP537" s="342"/>
      <c r="CQ537" s="342"/>
      <c r="CR537" s="342"/>
      <c r="CS537" s="342"/>
      <c r="CT537" s="342"/>
      <c r="CU537" s="342"/>
      <c r="CV537" s="342"/>
      <c r="CW537" s="342"/>
      <c r="CX537" s="342"/>
      <c r="CY537" s="342"/>
    </row>
    <row r="538" spans="2:103" s="343" customFormat="1" ht="18.75" x14ac:dyDescent="0.25">
      <c r="B538" s="881">
        <v>44726</v>
      </c>
      <c r="C538" s="103">
        <v>0.89583333333333337</v>
      </c>
      <c r="D538" s="410">
        <v>47.5</v>
      </c>
      <c r="E538" s="415">
        <v>8.6</v>
      </c>
      <c r="F538" s="415">
        <v>17</v>
      </c>
      <c r="G538" s="413">
        <v>1263</v>
      </c>
      <c r="H538" s="413">
        <v>2119</v>
      </c>
      <c r="I538" s="413">
        <v>105</v>
      </c>
      <c r="J538" s="413">
        <v>107.4</v>
      </c>
      <c r="K538" s="416" t="s">
        <v>3096</v>
      </c>
      <c r="L538" s="416">
        <v>33.46</v>
      </c>
      <c r="M538" s="416">
        <v>40</v>
      </c>
      <c r="N538" s="416">
        <v>58.5</v>
      </c>
      <c r="O538" s="416"/>
      <c r="P538" s="416"/>
      <c r="Q538" s="416"/>
      <c r="R538" s="416" t="s">
        <v>3097</v>
      </c>
      <c r="S538" s="416">
        <v>66.099999999999994</v>
      </c>
      <c r="T538" s="102" t="s">
        <v>23</v>
      </c>
      <c r="U538" s="416" t="s">
        <v>928</v>
      </c>
      <c r="V538" s="401"/>
      <c r="CM538" s="342"/>
      <c r="CN538" s="342"/>
      <c r="CO538" s="342"/>
      <c r="CP538" s="342"/>
      <c r="CQ538" s="342"/>
      <c r="CR538" s="342"/>
      <c r="CS538" s="342"/>
      <c r="CT538" s="342"/>
      <c r="CU538" s="342"/>
      <c r="CV538" s="342"/>
      <c r="CW538" s="342"/>
      <c r="CX538" s="342"/>
      <c r="CY538" s="342"/>
    </row>
    <row r="539" spans="2:103" s="343" customFormat="1" ht="18.75" x14ac:dyDescent="0.25">
      <c r="B539" s="881">
        <v>44727</v>
      </c>
      <c r="C539" s="103">
        <v>0.90625</v>
      </c>
      <c r="D539" s="410">
        <v>47.5</v>
      </c>
      <c r="E539" s="415">
        <v>9.3000000000000007</v>
      </c>
      <c r="F539" s="415">
        <v>17.2</v>
      </c>
      <c r="G539" s="413">
        <v>1254</v>
      </c>
      <c r="H539" s="413">
        <v>2130</v>
      </c>
      <c r="I539" s="413">
        <v>105.3</v>
      </c>
      <c r="J539" s="413">
        <v>107</v>
      </c>
      <c r="K539" s="416" t="s">
        <v>1998</v>
      </c>
      <c r="L539" s="416">
        <v>32.07</v>
      </c>
      <c r="M539" s="416">
        <v>40</v>
      </c>
      <c r="N539" s="416">
        <v>59.73</v>
      </c>
      <c r="O539" s="416"/>
      <c r="P539" s="416"/>
      <c r="Q539" s="416"/>
      <c r="R539" s="416" t="s">
        <v>3102</v>
      </c>
      <c r="S539" s="416">
        <v>66.900000000000006</v>
      </c>
      <c r="T539" s="102" t="s">
        <v>23</v>
      </c>
      <c r="U539" s="416" t="s">
        <v>928</v>
      </c>
      <c r="V539" s="401"/>
      <c r="CM539" s="342"/>
      <c r="CN539" s="342"/>
      <c r="CO539" s="342"/>
      <c r="CP539" s="342"/>
      <c r="CQ539" s="342"/>
      <c r="CR539" s="342"/>
      <c r="CS539" s="342"/>
      <c r="CT539" s="342"/>
      <c r="CU539" s="342"/>
      <c r="CV539" s="342"/>
      <c r="CW539" s="342"/>
      <c r="CX539" s="342"/>
      <c r="CY539" s="342"/>
    </row>
    <row r="540" spans="2:103" s="343" customFormat="1" ht="18.75" x14ac:dyDescent="0.25">
      <c r="B540" s="881">
        <v>44728</v>
      </c>
      <c r="C540" s="103">
        <v>0.89583333333333337</v>
      </c>
      <c r="D540" s="410">
        <v>47.5</v>
      </c>
      <c r="E540" s="415">
        <v>8.9</v>
      </c>
      <c r="F540" s="415">
        <v>17.100000000000001</v>
      </c>
      <c r="G540" s="413">
        <v>1250</v>
      </c>
      <c r="H540" s="413">
        <v>2078</v>
      </c>
      <c r="I540" s="413">
        <v>105.3</v>
      </c>
      <c r="J540" s="413">
        <v>107.1</v>
      </c>
      <c r="K540" s="416" t="s">
        <v>3109</v>
      </c>
      <c r="L540" s="416">
        <v>34.119999999999997</v>
      </c>
      <c r="M540" s="416">
        <v>40</v>
      </c>
      <c r="N540" s="416">
        <v>58.43</v>
      </c>
      <c r="O540" s="416"/>
      <c r="P540" s="416"/>
      <c r="Q540" s="416"/>
      <c r="R540" s="416" t="s">
        <v>2101</v>
      </c>
      <c r="S540" s="416">
        <v>66.5</v>
      </c>
      <c r="T540" s="102" t="s">
        <v>23</v>
      </c>
      <c r="U540" s="416" t="s">
        <v>928</v>
      </c>
      <c r="V540" s="401"/>
      <c r="CM540" s="342"/>
      <c r="CN540" s="342"/>
      <c r="CO540" s="342"/>
      <c r="CP540" s="342"/>
      <c r="CQ540" s="342"/>
      <c r="CR540" s="342"/>
      <c r="CS540" s="342"/>
      <c r="CT540" s="342"/>
      <c r="CU540" s="342"/>
      <c r="CV540" s="342"/>
      <c r="CW540" s="342"/>
      <c r="CX540" s="342"/>
      <c r="CY540" s="342"/>
    </row>
    <row r="541" spans="2:103" s="343" customFormat="1" ht="18.75" x14ac:dyDescent="0.25">
      <c r="B541" s="881">
        <v>44729</v>
      </c>
      <c r="C541" s="103">
        <v>0.89583333333333337</v>
      </c>
      <c r="D541" s="410">
        <v>47.5</v>
      </c>
      <c r="E541" s="415">
        <v>8.6</v>
      </c>
      <c r="F541" s="415">
        <v>17</v>
      </c>
      <c r="G541" s="413">
        <v>1260</v>
      </c>
      <c r="H541" s="413">
        <v>2123</v>
      </c>
      <c r="I541" s="413">
        <v>105.3</v>
      </c>
      <c r="J541" s="413">
        <v>107.2</v>
      </c>
      <c r="K541" s="416" t="s">
        <v>3112</v>
      </c>
      <c r="L541" s="416">
        <v>34.270000000000003</v>
      </c>
      <c r="M541" s="416">
        <v>40</v>
      </c>
      <c r="N541" s="416">
        <v>55.78</v>
      </c>
      <c r="O541" s="416"/>
      <c r="P541" s="416"/>
      <c r="Q541" s="416"/>
      <c r="R541" s="416" t="s">
        <v>2101</v>
      </c>
      <c r="S541" s="416">
        <v>66.099999999999994</v>
      </c>
      <c r="T541" s="102" t="s">
        <v>23</v>
      </c>
      <c r="U541" s="416" t="s">
        <v>928</v>
      </c>
      <c r="V541" s="401"/>
      <c r="CM541" s="342"/>
      <c r="CN541" s="342"/>
      <c r="CO541" s="342"/>
      <c r="CP541" s="342"/>
      <c r="CQ541" s="342"/>
      <c r="CR541" s="342"/>
      <c r="CS541" s="342"/>
      <c r="CT541" s="342"/>
      <c r="CU541" s="342"/>
      <c r="CV541" s="342"/>
      <c r="CW541" s="342"/>
      <c r="CX541" s="342"/>
      <c r="CY541" s="342"/>
    </row>
    <row r="542" spans="2:103" s="343" customFormat="1" ht="18.75" x14ac:dyDescent="0.25">
      <c r="B542" s="881">
        <v>44730</v>
      </c>
      <c r="C542" s="103">
        <v>0.89583333333333337</v>
      </c>
      <c r="D542" s="410">
        <v>47.5</v>
      </c>
      <c r="E542" s="415">
        <v>8.8000000000000007</v>
      </c>
      <c r="F542" s="415">
        <v>17</v>
      </c>
      <c r="G542" s="413">
        <v>1253</v>
      </c>
      <c r="H542" s="413">
        <v>2099</v>
      </c>
      <c r="I542" s="413">
        <v>105.3</v>
      </c>
      <c r="J542" s="413">
        <v>107.3</v>
      </c>
      <c r="K542" s="416" t="s">
        <v>3123</v>
      </c>
      <c r="L542" s="416">
        <v>33.090000000000003</v>
      </c>
      <c r="M542" s="416">
        <v>40</v>
      </c>
      <c r="N542" s="416">
        <v>58.73</v>
      </c>
      <c r="O542" s="416"/>
      <c r="P542" s="416"/>
      <c r="Q542" s="416"/>
      <c r="R542" s="416" t="s">
        <v>2120</v>
      </c>
      <c r="S542" s="416">
        <v>66.099999999999994</v>
      </c>
      <c r="T542" s="102" t="s">
        <v>23</v>
      </c>
      <c r="U542" s="416" t="s">
        <v>928</v>
      </c>
      <c r="V542" s="401"/>
      <c r="CM542" s="342"/>
      <c r="CN542" s="342"/>
      <c r="CO542" s="342"/>
      <c r="CP542" s="342"/>
      <c r="CQ542" s="342"/>
      <c r="CR542" s="342"/>
      <c r="CS542" s="342"/>
      <c r="CT542" s="342"/>
      <c r="CU542" s="342"/>
      <c r="CV542" s="342"/>
      <c r="CW542" s="342"/>
      <c r="CX542" s="342"/>
      <c r="CY542" s="342"/>
    </row>
    <row r="543" spans="2:103" s="343" customFormat="1" ht="18.75" x14ac:dyDescent="0.25">
      <c r="B543" s="881">
        <v>44731</v>
      </c>
      <c r="C543" s="103">
        <v>0.89583333333333337</v>
      </c>
      <c r="D543" s="410">
        <v>47.5</v>
      </c>
      <c r="E543" s="415">
        <v>8.8000000000000007</v>
      </c>
      <c r="F543" s="415">
        <v>17</v>
      </c>
      <c r="G543" s="413">
        <v>1253</v>
      </c>
      <c r="H543" s="413">
        <v>2099</v>
      </c>
      <c r="I543" s="413">
        <v>105.3</v>
      </c>
      <c r="J543" s="413">
        <v>107.3</v>
      </c>
      <c r="K543" s="416" t="s">
        <v>3123</v>
      </c>
      <c r="L543" s="416">
        <v>33.090000000000003</v>
      </c>
      <c r="M543" s="416">
        <v>40</v>
      </c>
      <c r="N543" s="416">
        <v>58.73</v>
      </c>
      <c r="O543" s="416"/>
      <c r="P543" s="416"/>
      <c r="Q543" s="416"/>
      <c r="R543" s="416" t="s">
        <v>2120</v>
      </c>
      <c r="S543" s="416">
        <v>66.099999999999994</v>
      </c>
      <c r="T543" s="102" t="s">
        <v>23</v>
      </c>
      <c r="U543" s="416" t="s">
        <v>928</v>
      </c>
      <c r="V543" s="401"/>
      <c r="CM543" s="342"/>
      <c r="CN543" s="342"/>
      <c r="CO543" s="342"/>
      <c r="CP543" s="342"/>
      <c r="CQ543" s="342"/>
      <c r="CR543" s="342"/>
      <c r="CS543" s="342"/>
      <c r="CT543" s="342"/>
      <c r="CU543" s="342"/>
      <c r="CV543" s="342"/>
      <c r="CW543" s="342"/>
      <c r="CX543" s="342"/>
      <c r="CY543" s="342"/>
    </row>
    <row r="544" spans="2:103" s="343" customFormat="1" ht="18.75" x14ac:dyDescent="0.25">
      <c r="B544" s="881">
        <v>44732</v>
      </c>
      <c r="C544" s="103">
        <v>0.91666666666666663</v>
      </c>
      <c r="D544" s="410">
        <v>47.5</v>
      </c>
      <c r="E544" s="415">
        <v>8.6999999999999993</v>
      </c>
      <c r="F544" s="415">
        <v>17</v>
      </c>
      <c r="G544" s="413">
        <v>1255</v>
      </c>
      <c r="H544" s="413">
        <v>2108</v>
      </c>
      <c r="I544" s="413">
        <v>105.1</v>
      </c>
      <c r="J544" s="413">
        <v>107</v>
      </c>
      <c r="K544" s="416" t="s">
        <v>3125</v>
      </c>
      <c r="L544" s="416">
        <v>34.26</v>
      </c>
      <c r="M544" s="416">
        <v>40</v>
      </c>
      <c r="N544" s="416">
        <v>56.17</v>
      </c>
      <c r="O544" s="416"/>
      <c r="P544" s="416"/>
      <c r="Q544" s="416"/>
      <c r="R544" s="416" t="s">
        <v>2120</v>
      </c>
      <c r="S544" s="416">
        <v>66.099999999999994</v>
      </c>
      <c r="T544" s="102" t="s">
        <v>23</v>
      </c>
      <c r="U544" s="416" t="s">
        <v>928</v>
      </c>
      <c r="V544" s="401"/>
      <c r="CM544" s="342"/>
      <c r="CN544" s="342"/>
      <c r="CO544" s="342"/>
      <c r="CP544" s="342"/>
      <c r="CQ544" s="342"/>
      <c r="CR544" s="342"/>
      <c r="CS544" s="342"/>
      <c r="CT544" s="342"/>
      <c r="CU544" s="342"/>
      <c r="CV544" s="342"/>
      <c r="CW544" s="342"/>
      <c r="CX544" s="342"/>
      <c r="CY544" s="342"/>
    </row>
    <row r="545" spans="2:103" s="343" customFormat="1" ht="18.75" x14ac:dyDescent="0.25">
      <c r="B545" s="881">
        <v>44733</v>
      </c>
      <c r="C545" s="103">
        <v>0.92708333333333337</v>
      </c>
      <c r="D545" s="410">
        <v>47.5</v>
      </c>
      <c r="E545" s="415">
        <v>8.5</v>
      </c>
      <c r="F545" s="415">
        <v>17</v>
      </c>
      <c r="G545" s="413">
        <v>1251</v>
      </c>
      <c r="H545" s="413">
        <v>2118</v>
      </c>
      <c r="I545" s="413">
        <v>105</v>
      </c>
      <c r="J545" s="413">
        <v>107.6</v>
      </c>
      <c r="K545" s="416" t="s">
        <v>3140</v>
      </c>
      <c r="L545" s="416">
        <v>34.17</v>
      </c>
      <c r="M545" s="416">
        <v>39</v>
      </c>
      <c r="N545" s="416">
        <v>55.06</v>
      </c>
      <c r="O545" s="416"/>
      <c r="P545" s="416"/>
      <c r="Q545" s="416"/>
      <c r="R545" s="416" t="s">
        <v>2258</v>
      </c>
      <c r="S545" s="416">
        <v>66.099999999999994</v>
      </c>
      <c r="T545" s="102" t="s">
        <v>23</v>
      </c>
      <c r="U545" s="416" t="s">
        <v>928</v>
      </c>
      <c r="V545" s="401"/>
      <c r="CM545" s="342"/>
      <c r="CN545" s="342"/>
      <c r="CO545" s="342"/>
      <c r="CP545" s="342"/>
      <c r="CQ545" s="342"/>
      <c r="CR545" s="342"/>
      <c r="CS545" s="342"/>
      <c r="CT545" s="342"/>
      <c r="CU545" s="342"/>
      <c r="CV545" s="342"/>
      <c r="CW545" s="342"/>
      <c r="CX545" s="342"/>
      <c r="CY545" s="342"/>
    </row>
    <row r="546" spans="2:103" s="343" customFormat="1" ht="18.75" x14ac:dyDescent="0.25">
      <c r="B546" s="881">
        <v>44734</v>
      </c>
      <c r="C546" s="103">
        <v>0.91666666666666663</v>
      </c>
      <c r="D546" s="410">
        <v>47.5</v>
      </c>
      <c r="E546" s="415">
        <v>8.6</v>
      </c>
      <c r="F546" s="415">
        <v>17</v>
      </c>
      <c r="G546" s="413">
        <v>1259</v>
      </c>
      <c r="H546" s="413">
        <v>2122</v>
      </c>
      <c r="I546" s="413">
        <v>105.1</v>
      </c>
      <c r="J546" s="413">
        <v>107.2</v>
      </c>
      <c r="K546" s="416" t="s">
        <v>3150</v>
      </c>
      <c r="L546" s="416">
        <v>34.89</v>
      </c>
      <c r="M546" s="416">
        <v>39</v>
      </c>
      <c r="N546" s="416">
        <v>55.6</v>
      </c>
      <c r="O546" s="416"/>
      <c r="P546" s="416"/>
      <c r="Q546" s="416"/>
      <c r="R546" s="416" t="s">
        <v>2258</v>
      </c>
      <c r="S546" s="416">
        <v>66.099999999999994</v>
      </c>
      <c r="T546" s="102" t="s">
        <v>23</v>
      </c>
      <c r="U546" s="416" t="s">
        <v>928</v>
      </c>
      <c r="V546" s="401"/>
      <c r="CM546" s="342"/>
      <c r="CN546" s="342"/>
      <c r="CO546" s="342"/>
      <c r="CP546" s="342"/>
      <c r="CQ546" s="342"/>
      <c r="CR546" s="342"/>
      <c r="CS546" s="342"/>
      <c r="CT546" s="342"/>
      <c r="CU546" s="342"/>
      <c r="CV546" s="342"/>
      <c r="CW546" s="342"/>
      <c r="CX546" s="342"/>
      <c r="CY546" s="342"/>
    </row>
    <row r="547" spans="2:103" s="343" customFormat="1" ht="18.75" x14ac:dyDescent="0.25">
      <c r="B547" s="881">
        <v>44735</v>
      </c>
      <c r="C547" s="103">
        <v>0.86458333333333337</v>
      </c>
      <c r="D547" s="410">
        <v>47.5</v>
      </c>
      <c r="E547" s="415">
        <v>8.8000000000000007</v>
      </c>
      <c r="F547" s="415">
        <v>17.100000000000001</v>
      </c>
      <c r="G547" s="413">
        <v>1255</v>
      </c>
      <c r="H547" s="413">
        <v>2099</v>
      </c>
      <c r="I547" s="413">
        <v>105.3</v>
      </c>
      <c r="J547" s="413">
        <v>107.3</v>
      </c>
      <c r="K547" s="416" t="s">
        <v>3162</v>
      </c>
      <c r="L547" s="416">
        <v>32.32</v>
      </c>
      <c r="M547" s="416">
        <v>39</v>
      </c>
      <c r="N547" s="416">
        <v>58.12</v>
      </c>
      <c r="O547" s="416"/>
      <c r="P547" s="416"/>
      <c r="Q547" s="416"/>
      <c r="R547" s="416" t="s">
        <v>2289</v>
      </c>
      <c r="S547" s="416">
        <v>66.5</v>
      </c>
      <c r="T547" s="102" t="s">
        <v>23</v>
      </c>
      <c r="U547" s="416" t="s">
        <v>928</v>
      </c>
      <c r="V547" s="401"/>
      <c r="CM547" s="342"/>
      <c r="CN547" s="342"/>
      <c r="CO547" s="342"/>
      <c r="CP547" s="342"/>
      <c r="CQ547" s="342"/>
      <c r="CR547" s="342"/>
      <c r="CS547" s="342"/>
      <c r="CT547" s="342"/>
      <c r="CU547" s="342"/>
      <c r="CV547" s="342"/>
      <c r="CW547" s="342"/>
      <c r="CX547" s="342"/>
      <c r="CY547" s="342"/>
    </row>
    <row r="548" spans="2:103" s="343" customFormat="1" ht="18.75" x14ac:dyDescent="0.25">
      <c r="B548" s="881">
        <v>44736</v>
      </c>
      <c r="C548" s="103">
        <v>0.88541666666666663</v>
      </c>
      <c r="D548" s="410">
        <v>47.5</v>
      </c>
      <c r="E548" s="415">
        <v>9.6999999999999993</v>
      </c>
      <c r="F548" s="415">
        <v>17.399999999999999</v>
      </c>
      <c r="G548" s="413">
        <v>1247</v>
      </c>
      <c r="H548" s="413">
        <v>2061</v>
      </c>
      <c r="I548" s="413">
        <v>105.6</v>
      </c>
      <c r="J548" s="413">
        <v>107.3</v>
      </c>
      <c r="K548" s="416" t="s">
        <v>3165</v>
      </c>
      <c r="L548" s="416">
        <v>33.479999999999997</v>
      </c>
      <c r="M548" s="416">
        <v>39</v>
      </c>
      <c r="N548" s="416">
        <v>59.95</v>
      </c>
      <c r="O548" s="416"/>
      <c r="P548" s="416"/>
      <c r="Q548" s="416"/>
      <c r="R548" s="416" t="s">
        <v>2425</v>
      </c>
      <c r="S548" s="416">
        <v>67.7</v>
      </c>
      <c r="T548" s="102" t="s">
        <v>23</v>
      </c>
      <c r="U548" s="416" t="s">
        <v>928</v>
      </c>
      <c r="V548" s="401"/>
      <c r="CM548" s="342"/>
      <c r="CN548" s="342"/>
      <c r="CO548" s="342"/>
      <c r="CP548" s="342"/>
      <c r="CQ548" s="342"/>
      <c r="CR548" s="342"/>
      <c r="CS548" s="342"/>
      <c r="CT548" s="342"/>
      <c r="CU548" s="342"/>
      <c r="CV548" s="342"/>
      <c r="CW548" s="342"/>
      <c r="CX548" s="342"/>
      <c r="CY548" s="342"/>
    </row>
    <row r="549" spans="2:103" s="343" customFormat="1" ht="18.75" x14ac:dyDescent="0.25">
      <c r="B549" s="881">
        <v>44737</v>
      </c>
      <c r="C549" s="103">
        <v>0.90625</v>
      </c>
      <c r="D549" s="410">
        <v>47.5</v>
      </c>
      <c r="E549" s="415">
        <v>8.9</v>
      </c>
      <c r="F549" s="415">
        <v>17.100000000000001</v>
      </c>
      <c r="G549" s="413">
        <v>1244</v>
      </c>
      <c r="H549" s="413">
        <v>2085</v>
      </c>
      <c r="I549" s="413">
        <v>105.2</v>
      </c>
      <c r="J549" s="413">
        <v>107.3</v>
      </c>
      <c r="K549" s="416" t="s">
        <v>3177</v>
      </c>
      <c r="L549" s="416">
        <v>33.69</v>
      </c>
      <c r="M549" s="416">
        <v>39</v>
      </c>
      <c r="N549" s="416">
        <v>57.74</v>
      </c>
      <c r="O549" s="416"/>
      <c r="P549" s="416"/>
      <c r="Q549" s="416"/>
      <c r="R549" s="416" t="s">
        <v>2191</v>
      </c>
      <c r="S549" s="416">
        <v>66.5</v>
      </c>
      <c r="T549" s="102" t="s">
        <v>23</v>
      </c>
      <c r="U549" s="416" t="s">
        <v>928</v>
      </c>
      <c r="V549" s="401"/>
      <c r="CM549" s="342"/>
      <c r="CN549" s="342"/>
      <c r="CO549" s="342"/>
      <c r="CP549" s="342"/>
      <c r="CQ549" s="342"/>
      <c r="CR549" s="342"/>
      <c r="CS549" s="342"/>
      <c r="CT549" s="342"/>
      <c r="CU549" s="342"/>
      <c r="CV549" s="342"/>
      <c r="CW549" s="342"/>
      <c r="CX549" s="342"/>
      <c r="CY549" s="342"/>
    </row>
    <row r="550" spans="2:103" s="343" customFormat="1" ht="18.75" x14ac:dyDescent="0.25">
      <c r="B550" s="881">
        <v>44738</v>
      </c>
      <c r="C550" s="103">
        <v>0.90625</v>
      </c>
      <c r="D550" s="410">
        <v>47.5</v>
      </c>
      <c r="E550" s="415">
        <v>8.6999999999999993</v>
      </c>
      <c r="F550" s="415">
        <v>17</v>
      </c>
      <c r="G550" s="413">
        <v>1248</v>
      </c>
      <c r="H550" s="413">
        <v>2108</v>
      </c>
      <c r="I550" s="413">
        <v>105.2</v>
      </c>
      <c r="J550" s="413">
        <v>107.3</v>
      </c>
      <c r="K550" s="416" t="s">
        <v>3184</v>
      </c>
      <c r="L550" s="416">
        <v>33.9</v>
      </c>
      <c r="M550" s="416">
        <v>39</v>
      </c>
      <c r="N550" s="416">
        <v>59.43</v>
      </c>
      <c r="O550" s="416"/>
      <c r="P550" s="416"/>
      <c r="Q550" s="416"/>
      <c r="R550" s="416" t="s">
        <v>2258</v>
      </c>
      <c r="S550" s="416">
        <v>66.099999999999994</v>
      </c>
      <c r="T550" s="102" t="s">
        <v>23</v>
      </c>
      <c r="U550" s="416" t="s">
        <v>928</v>
      </c>
      <c r="V550" s="401"/>
      <c r="CM550" s="342"/>
      <c r="CN550" s="342"/>
      <c r="CO550" s="342"/>
      <c r="CP550" s="342"/>
      <c r="CQ550" s="342"/>
      <c r="CR550" s="342"/>
      <c r="CS550" s="342"/>
      <c r="CT550" s="342"/>
      <c r="CU550" s="342"/>
      <c r="CV550" s="342"/>
      <c r="CW550" s="342"/>
      <c r="CX550" s="342"/>
      <c r="CY550" s="342"/>
    </row>
    <row r="551" spans="2:103" s="343" customFormat="1" ht="18.75" x14ac:dyDescent="0.25">
      <c r="B551" s="881">
        <v>44739</v>
      </c>
      <c r="C551" s="103">
        <v>0.91666666666666663</v>
      </c>
      <c r="D551" s="410">
        <v>47.5</v>
      </c>
      <c r="E551" s="415">
        <v>9</v>
      </c>
      <c r="F551" s="415">
        <v>17.100000000000001</v>
      </c>
      <c r="G551" s="413">
        <v>1239</v>
      </c>
      <c r="H551" s="413">
        <v>2048</v>
      </c>
      <c r="I551" s="413">
        <v>105.2</v>
      </c>
      <c r="J551" s="413">
        <v>107.1</v>
      </c>
      <c r="K551" s="416" t="s">
        <v>3193</v>
      </c>
      <c r="L551" s="416">
        <v>31.35</v>
      </c>
      <c r="M551" s="416">
        <v>39</v>
      </c>
      <c r="N551" s="416">
        <v>59.38</v>
      </c>
      <c r="O551" s="416"/>
      <c r="P551" s="416"/>
      <c r="Q551" s="416"/>
      <c r="R551" s="416" t="s">
        <v>2191</v>
      </c>
      <c r="S551" s="416">
        <v>66.5</v>
      </c>
      <c r="T551" s="102" t="s">
        <v>23</v>
      </c>
      <c r="U551" s="416" t="s">
        <v>928</v>
      </c>
      <c r="V551" s="401"/>
      <c r="CM551" s="342"/>
      <c r="CN551" s="342"/>
      <c r="CO551" s="342"/>
      <c r="CP551" s="342"/>
      <c r="CQ551" s="342"/>
      <c r="CR551" s="342"/>
      <c r="CS551" s="342"/>
      <c r="CT551" s="342"/>
      <c r="CU551" s="342"/>
      <c r="CV551" s="342"/>
      <c r="CW551" s="342"/>
      <c r="CX551" s="342"/>
      <c r="CY551" s="342"/>
    </row>
    <row r="552" spans="2:103" s="343" customFormat="1" ht="18.75" x14ac:dyDescent="0.25">
      <c r="B552" s="881">
        <v>44740</v>
      </c>
      <c r="C552" s="103">
        <v>0.9375</v>
      </c>
      <c r="D552" s="410">
        <v>47.5</v>
      </c>
      <c r="E552" s="415">
        <v>8.4</v>
      </c>
      <c r="F552" s="415">
        <v>16.899999999999999</v>
      </c>
      <c r="G552" s="413">
        <v>1258</v>
      </c>
      <c r="H552" s="413">
        <v>2145</v>
      </c>
      <c r="I552" s="413">
        <v>104.3</v>
      </c>
      <c r="J552" s="413">
        <v>107.2</v>
      </c>
      <c r="K552" s="416" t="s">
        <v>3199</v>
      </c>
      <c r="L552" s="416">
        <v>33.19</v>
      </c>
      <c r="M552" s="416">
        <v>39</v>
      </c>
      <c r="N552" s="416">
        <v>53.49</v>
      </c>
      <c r="O552" s="416"/>
      <c r="P552" s="416"/>
      <c r="Q552" s="416"/>
      <c r="R552" s="416" t="s">
        <v>2158</v>
      </c>
      <c r="S552" s="416">
        <v>65.7</v>
      </c>
      <c r="T552" s="102" t="s">
        <v>23</v>
      </c>
      <c r="U552" s="416" t="s">
        <v>928</v>
      </c>
      <c r="V552" s="401"/>
      <c r="CM552" s="342"/>
      <c r="CN552" s="342"/>
      <c r="CO552" s="342"/>
      <c r="CP552" s="342"/>
      <c r="CQ552" s="342"/>
      <c r="CR552" s="342"/>
      <c r="CS552" s="342"/>
      <c r="CT552" s="342"/>
      <c r="CU552" s="342"/>
      <c r="CV552" s="342"/>
      <c r="CW552" s="342"/>
      <c r="CX552" s="342"/>
      <c r="CY552" s="342"/>
    </row>
    <row r="553" spans="2:103" s="343" customFormat="1" ht="18.75" x14ac:dyDescent="0.25">
      <c r="B553" s="881">
        <v>44741</v>
      </c>
      <c r="C553" s="103">
        <v>0.88541666666666663</v>
      </c>
      <c r="D553" s="410">
        <v>47.5</v>
      </c>
      <c r="E553" s="415">
        <v>8.6999999999999993</v>
      </c>
      <c r="F553" s="415">
        <v>17</v>
      </c>
      <c r="G553" s="413">
        <v>1266</v>
      </c>
      <c r="H553" s="413">
        <v>2121</v>
      </c>
      <c r="I553" s="413">
        <v>104.7</v>
      </c>
      <c r="J553" s="413">
        <v>107.3</v>
      </c>
      <c r="K553" s="416" t="s">
        <v>3208</v>
      </c>
      <c r="L553" s="416">
        <v>34.44</v>
      </c>
      <c r="M553" s="416">
        <v>39</v>
      </c>
      <c r="N553" s="416">
        <v>55.6</v>
      </c>
      <c r="O553" s="416"/>
      <c r="P553" s="416"/>
      <c r="Q553" s="416"/>
      <c r="R553" s="416" t="s">
        <v>2101</v>
      </c>
      <c r="S553" s="416">
        <v>66.099999999999994</v>
      </c>
      <c r="T553" s="102" t="s">
        <v>23</v>
      </c>
      <c r="U553" s="416" t="s">
        <v>928</v>
      </c>
      <c r="V553" s="401"/>
      <c r="CM553" s="342"/>
      <c r="CN553" s="342"/>
      <c r="CO553" s="342"/>
      <c r="CP553" s="342"/>
      <c r="CQ553" s="342"/>
      <c r="CR553" s="342"/>
      <c r="CS553" s="342"/>
      <c r="CT553" s="342"/>
      <c r="CU553" s="342"/>
      <c r="CV553" s="342"/>
      <c r="CW553" s="342"/>
      <c r="CX553" s="342"/>
      <c r="CY553" s="342"/>
    </row>
    <row r="554" spans="2:103" s="343" customFormat="1" ht="18.75" x14ac:dyDescent="0.25">
      <c r="B554" s="881">
        <v>44742</v>
      </c>
      <c r="C554" s="103">
        <v>0.88541666666666663</v>
      </c>
      <c r="D554" s="410">
        <v>47.5</v>
      </c>
      <c r="E554" s="415">
        <v>8.8000000000000007</v>
      </c>
      <c r="F554" s="415">
        <v>17</v>
      </c>
      <c r="G554" s="413">
        <v>1258</v>
      </c>
      <c r="H554" s="413">
        <v>2107</v>
      </c>
      <c r="I554" s="413">
        <v>105</v>
      </c>
      <c r="J554" s="413">
        <v>107.1</v>
      </c>
      <c r="K554" s="416" t="s">
        <v>3216</v>
      </c>
      <c r="L554" s="416">
        <v>34.76</v>
      </c>
      <c r="M554" s="416">
        <v>39</v>
      </c>
      <c r="N554" s="416">
        <v>55.83</v>
      </c>
      <c r="O554" s="416"/>
      <c r="P554" s="416"/>
      <c r="Q554" s="416"/>
      <c r="R554" s="416" t="s">
        <v>2120</v>
      </c>
      <c r="S554" s="416">
        <v>66.099999999999994</v>
      </c>
      <c r="T554" s="102" t="s">
        <v>23</v>
      </c>
      <c r="U554" s="416" t="s">
        <v>928</v>
      </c>
      <c r="V554" s="401"/>
      <c r="CM554" s="342"/>
      <c r="CN554" s="342"/>
      <c r="CO554" s="342"/>
      <c r="CP554" s="342"/>
      <c r="CQ554" s="342"/>
      <c r="CR554" s="342"/>
      <c r="CS554" s="342"/>
      <c r="CT554" s="342"/>
      <c r="CU554" s="342"/>
      <c r="CV554" s="342"/>
      <c r="CW554" s="342"/>
      <c r="CX554" s="342"/>
      <c r="CY554" s="342"/>
    </row>
    <row r="555" spans="2:103" s="343" customFormat="1" ht="18.75" x14ac:dyDescent="0.25">
      <c r="B555" s="884">
        <v>44743</v>
      </c>
      <c r="C555" s="103">
        <v>0.89583333333333337</v>
      </c>
      <c r="D555" s="410">
        <v>47.5</v>
      </c>
      <c r="E555" s="415">
        <v>8.1999999999999993</v>
      </c>
      <c r="F555" s="415">
        <v>16.899999999999999</v>
      </c>
      <c r="G555" s="413">
        <v>1273</v>
      </c>
      <c r="H555" s="413">
        <v>2169</v>
      </c>
      <c r="I555" s="413">
        <v>105.1</v>
      </c>
      <c r="J555" s="413">
        <v>107.2</v>
      </c>
      <c r="K555" s="416" t="s">
        <v>3216</v>
      </c>
      <c r="L555" s="416">
        <v>35.409999999999997</v>
      </c>
      <c r="M555" s="416">
        <v>39</v>
      </c>
      <c r="N555" s="416">
        <v>50.01</v>
      </c>
      <c r="O555" s="416"/>
      <c r="P555" s="416"/>
      <c r="Q555" s="416"/>
      <c r="R555" s="416" t="s">
        <v>2115</v>
      </c>
      <c r="S555" s="416">
        <v>65.7</v>
      </c>
      <c r="T555" s="102" t="s">
        <v>23</v>
      </c>
      <c r="U555" s="416" t="s">
        <v>928</v>
      </c>
      <c r="V555" s="401"/>
      <c r="CM555" s="342"/>
      <c r="CN555" s="342"/>
      <c r="CO555" s="342"/>
      <c r="CP555" s="342"/>
      <c r="CQ555" s="342"/>
      <c r="CR555" s="342"/>
      <c r="CS555" s="342"/>
      <c r="CT555" s="342"/>
      <c r="CU555" s="342"/>
      <c r="CV555" s="342"/>
      <c r="CW555" s="342"/>
      <c r="CX555" s="342"/>
      <c r="CY555" s="342"/>
    </row>
    <row r="556" spans="2:103" s="343" customFormat="1" ht="18.75" x14ac:dyDescent="0.25">
      <c r="B556" s="884">
        <v>44744</v>
      </c>
      <c r="C556" s="103">
        <v>0.89583333333333337</v>
      </c>
      <c r="D556" s="410">
        <v>47.5</v>
      </c>
      <c r="E556" s="415">
        <v>8.8000000000000007</v>
      </c>
      <c r="F556" s="415">
        <v>17</v>
      </c>
      <c r="G556" s="413">
        <v>1279</v>
      </c>
      <c r="H556" s="413">
        <v>2130</v>
      </c>
      <c r="I556" s="413">
        <v>105</v>
      </c>
      <c r="J556" s="413">
        <v>107.2</v>
      </c>
      <c r="K556" s="416" t="s">
        <v>3216</v>
      </c>
      <c r="L556" s="416">
        <v>35.51</v>
      </c>
      <c r="M556" s="416">
        <v>39</v>
      </c>
      <c r="N556" s="416">
        <v>54.02</v>
      </c>
      <c r="O556" s="416"/>
      <c r="P556" s="416"/>
      <c r="Q556" s="416"/>
      <c r="R556" s="416" t="s">
        <v>2120</v>
      </c>
      <c r="S556" s="416">
        <v>66.099999999999994</v>
      </c>
      <c r="T556" s="102" t="s">
        <v>23</v>
      </c>
      <c r="U556" s="416" t="s">
        <v>928</v>
      </c>
      <c r="V556" s="401"/>
      <c r="CM556" s="342"/>
      <c r="CN556" s="342"/>
      <c r="CO556" s="342"/>
      <c r="CP556" s="342"/>
      <c r="CQ556" s="342"/>
      <c r="CR556" s="342"/>
      <c r="CS556" s="342"/>
      <c r="CT556" s="342"/>
      <c r="CU556" s="342"/>
      <c r="CV556" s="342"/>
      <c r="CW556" s="342"/>
      <c r="CX556" s="342"/>
      <c r="CY556" s="342"/>
    </row>
    <row r="557" spans="2:103" s="343" customFormat="1" ht="18.75" x14ac:dyDescent="0.25">
      <c r="B557" s="884">
        <v>44745</v>
      </c>
      <c r="C557" s="103">
        <v>0.89583333333333337</v>
      </c>
      <c r="D557" s="410">
        <v>47.5</v>
      </c>
      <c r="E557" s="415">
        <v>8.8000000000000007</v>
      </c>
      <c r="F557" s="415">
        <v>17.100000000000001</v>
      </c>
      <c r="G557" s="413">
        <v>1265</v>
      </c>
      <c r="H557" s="413">
        <v>2102</v>
      </c>
      <c r="I557" s="413">
        <v>105.5</v>
      </c>
      <c r="J557" s="413">
        <v>107.5</v>
      </c>
      <c r="K557" s="416" t="s">
        <v>3216</v>
      </c>
      <c r="L557" s="416">
        <v>34.47</v>
      </c>
      <c r="M557" s="416">
        <v>39</v>
      </c>
      <c r="N557" s="416">
        <v>55.6</v>
      </c>
      <c r="O557" s="416"/>
      <c r="P557" s="416"/>
      <c r="Q557" s="416"/>
      <c r="R557" s="416" t="s">
        <v>2414</v>
      </c>
      <c r="S557" s="416">
        <v>66.5</v>
      </c>
      <c r="T557" s="102" t="s">
        <v>23</v>
      </c>
      <c r="U557" s="416" t="s">
        <v>928</v>
      </c>
      <c r="V557" s="401"/>
      <c r="CM557" s="342"/>
      <c r="CN557" s="342"/>
      <c r="CO557" s="342"/>
      <c r="CP557" s="342"/>
      <c r="CQ557" s="342"/>
      <c r="CR557" s="342"/>
      <c r="CS557" s="342"/>
      <c r="CT557" s="342"/>
      <c r="CU557" s="342"/>
      <c r="CV557" s="342"/>
      <c r="CW557" s="342"/>
      <c r="CX557" s="342"/>
      <c r="CY557" s="342"/>
    </row>
    <row r="558" spans="2:103" s="343" customFormat="1" ht="18.75" x14ac:dyDescent="0.25">
      <c r="B558" s="884">
        <v>44746</v>
      </c>
      <c r="C558" s="103">
        <v>0.875</v>
      </c>
      <c r="D558" s="410">
        <v>47.5</v>
      </c>
      <c r="E558" s="415">
        <v>8.6</v>
      </c>
      <c r="F558" s="415">
        <v>17.100000000000001</v>
      </c>
      <c r="G558" s="413">
        <v>1271</v>
      </c>
      <c r="H558" s="413">
        <v>2146</v>
      </c>
      <c r="I558" s="413">
        <v>105.6</v>
      </c>
      <c r="J558" s="413">
        <v>107.2</v>
      </c>
      <c r="K558" s="416" t="s">
        <v>3242</v>
      </c>
      <c r="L558" s="416">
        <v>34.72</v>
      </c>
      <c r="M558" s="416">
        <v>39</v>
      </c>
      <c r="N558" s="416">
        <v>53.45</v>
      </c>
      <c r="O558" s="416"/>
      <c r="P558" s="416"/>
      <c r="Q558" s="416"/>
      <c r="R558" s="416" t="s">
        <v>2101</v>
      </c>
      <c r="S558" s="416">
        <v>66.099999999999994</v>
      </c>
      <c r="T558" s="102" t="s">
        <v>23</v>
      </c>
      <c r="U558" s="416" t="s">
        <v>928</v>
      </c>
      <c r="V558" s="401"/>
      <c r="CM558" s="342"/>
      <c r="CN558" s="342"/>
      <c r="CO558" s="342"/>
      <c r="CP558" s="342"/>
      <c r="CQ558" s="342"/>
      <c r="CR558" s="342"/>
      <c r="CS558" s="342"/>
      <c r="CT558" s="342"/>
      <c r="CU558" s="342"/>
      <c r="CV558" s="342"/>
      <c r="CW558" s="342"/>
      <c r="CX558" s="342"/>
      <c r="CY558" s="342"/>
    </row>
    <row r="559" spans="2:103" s="343" customFormat="1" ht="18.75" x14ac:dyDescent="0.25">
      <c r="B559" s="884">
        <v>44747</v>
      </c>
      <c r="C559" s="103">
        <v>0.89583333333333337</v>
      </c>
      <c r="D559" s="410">
        <v>47.5</v>
      </c>
      <c r="E559" s="415">
        <v>8.8000000000000007</v>
      </c>
      <c r="F559" s="415">
        <v>17</v>
      </c>
      <c r="G559" s="413">
        <v>1276</v>
      </c>
      <c r="H559" s="413">
        <v>2149</v>
      </c>
      <c r="I559" s="413">
        <v>105.3</v>
      </c>
      <c r="J559" s="413">
        <v>106.2</v>
      </c>
      <c r="K559" s="416" t="s">
        <v>3253</v>
      </c>
      <c r="L559" s="416">
        <v>34.630000000000003</v>
      </c>
      <c r="M559" s="416">
        <v>39</v>
      </c>
      <c r="N559" s="416">
        <v>53.3</v>
      </c>
      <c r="O559" s="416"/>
      <c r="P559" s="416"/>
      <c r="Q559" s="416"/>
      <c r="R559" s="416" t="s">
        <v>2120</v>
      </c>
      <c r="S559" s="416">
        <v>66.099999999999994</v>
      </c>
      <c r="T559" s="102" t="s">
        <v>23</v>
      </c>
      <c r="U559" s="416" t="s">
        <v>928</v>
      </c>
      <c r="V559" s="401"/>
      <c r="CM559" s="342"/>
      <c r="CN559" s="342"/>
      <c r="CO559" s="342"/>
      <c r="CP559" s="342"/>
      <c r="CQ559" s="342"/>
      <c r="CR559" s="342"/>
      <c r="CS559" s="342"/>
      <c r="CT559" s="342"/>
      <c r="CU559" s="342"/>
      <c r="CV559" s="342"/>
      <c r="CW559" s="342"/>
      <c r="CX559" s="342"/>
      <c r="CY559" s="342"/>
    </row>
    <row r="560" spans="2:103" s="343" customFormat="1" ht="18.75" x14ac:dyDescent="0.25">
      <c r="B560" s="884">
        <v>44748</v>
      </c>
      <c r="C560" s="103">
        <v>0.89583333333333337</v>
      </c>
      <c r="D560" s="410">
        <v>47.5</v>
      </c>
      <c r="E560" s="415">
        <v>8.5</v>
      </c>
      <c r="F560" s="415">
        <v>17</v>
      </c>
      <c r="G560" s="413">
        <v>1277</v>
      </c>
      <c r="H560" s="413">
        <v>2153</v>
      </c>
      <c r="I560" s="413">
        <v>105.5</v>
      </c>
      <c r="J560" s="413">
        <v>106.2</v>
      </c>
      <c r="K560" s="416" t="s">
        <v>3266</v>
      </c>
      <c r="L560" s="416">
        <v>36.72</v>
      </c>
      <c r="M560" s="416">
        <v>39</v>
      </c>
      <c r="N560" s="416">
        <v>49.32</v>
      </c>
      <c r="O560" s="416"/>
      <c r="P560" s="416"/>
      <c r="Q560" s="416"/>
      <c r="R560" s="416" t="s">
        <v>2120</v>
      </c>
      <c r="S560" s="416">
        <v>66.099999999999994</v>
      </c>
      <c r="T560" s="102" t="s">
        <v>23</v>
      </c>
      <c r="U560" s="416" t="s">
        <v>928</v>
      </c>
      <c r="V560" s="401"/>
      <c r="CM560" s="342"/>
      <c r="CN560" s="342"/>
      <c r="CO560" s="342"/>
      <c r="CP560" s="342"/>
      <c r="CQ560" s="342"/>
      <c r="CR560" s="342"/>
      <c r="CS560" s="342"/>
      <c r="CT560" s="342"/>
      <c r="CU560" s="342"/>
      <c r="CV560" s="342"/>
      <c r="CW560" s="342"/>
      <c r="CX560" s="342"/>
      <c r="CY560" s="342"/>
    </row>
    <row r="561" spans="2:103" s="343" customFormat="1" ht="18.75" x14ac:dyDescent="0.3">
      <c r="B561" s="884">
        <v>44749</v>
      </c>
      <c r="C561" s="103">
        <v>0.89583333333333337</v>
      </c>
      <c r="D561" s="410">
        <v>48.5</v>
      </c>
      <c r="E561" s="415">
        <v>8.9</v>
      </c>
      <c r="F561" s="415">
        <v>17.2</v>
      </c>
      <c r="G561" s="413">
        <v>1287</v>
      </c>
      <c r="H561" s="413">
        <v>2182</v>
      </c>
      <c r="I561" s="413">
        <v>104.6</v>
      </c>
      <c r="J561" s="413">
        <v>107</v>
      </c>
      <c r="K561" s="416" t="s">
        <v>3271</v>
      </c>
      <c r="L561" s="416">
        <v>36.69</v>
      </c>
      <c r="M561" s="416">
        <v>39</v>
      </c>
      <c r="N561" s="416">
        <v>54.71</v>
      </c>
      <c r="O561" s="416"/>
      <c r="P561" s="416"/>
      <c r="Q561" s="416"/>
      <c r="R561" s="416" t="s">
        <v>2188</v>
      </c>
      <c r="S561" s="416">
        <v>66.900000000000006</v>
      </c>
      <c r="T561" s="102" t="s">
        <v>23</v>
      </c>
      <c r="U561" s="416" t="s">
        <v>928</v>
      </c>
      <c r="V561" s="418" t="s">
        <v>3272</v>
      </c>
      <c r="CM561" s="342"/>
      <c r="CN561" s="342"/>
      <c r="CO561" s="342"/>
      <c r="CP561" s="342"/>
      <c r="CQ561" s="342"/>
      <c r="CR561" s="342"/>
      <c r="CS561" s="342"/>
      <c r="CT561" s="342"/>
      <c r="CU561" s="342"/>
      <c r="CV561" s="342"/>
      <c r="CW561" s="342"/>
      <c r="CX561" s="342"/>
      <c r="CY561" s="342"/>
    </row>
    <row r="562" spans="2:103" s="343" customFormat="1" ht="18.75" x14ac:dyDescent="0.25">
      <c r="B562" s="884">
        <v>44750</v>
      </c>
      <c r="C562" s="103">
        <v>0.89583333333333337</v>
      </c>
      <c r="D562" s="410">
        <v>48.5</v>
      </c>
      <c r="E562" s="415">
        <v>9.3000000000000007</v>
      </c>
      <c r="F562" s="415">
        <v>17.3</v>
      </c>
      <c r="G562" s="413">
        <v>1267</v>
      </c>
      <c r="H562" s="413">
        <v>2132</v>
      </c>
      <c r="I562" s="413">
        <v>105.1</v>
      </c>
      <c r="J562" s="413">
        <v>107.6</v>
      </c>
      <c r="K562" s="416" t="s">
        <v>3291</v>
      </c>
      <c r="L562" s="416">
        <v>35.64</v>
      </c>
      <c r="M562" s="416">
        <v>39</v>
      </c>
      <c r="N562" s="416">
        <v>58.43</v>
      </c>
      <c r="O562" s="416"/>
      <c r="P562" s="416"/>
      <c r="Q562" s="416"/>
      <c r="R562" s="416" t="s">
        <v>3292</v>
      </c>
      <c r="S562" s="416">
        <v>67.3</v>
      </c>
      <c r="T562" s="102" t="s">
        <v>23</v>
      </c>
      <c r="U562" s="416" t="s">
        <v>928</v>
      </c>
      <c r="V562" s="401"/>
      <c r="CM562" s="342"/>
      <c r="CN562" s="342"/>
      <c r="CO562" s="342"/>
      <c r="CP562" s="342"/>
      <c r="CQ562" s="342"/>
      <c r="CR562" s="342"/>
      <c r="CS562" s="342"/>
      <c r="CT562" s="342"/>
      <c r="CU562" s="342"/>
      <c r="CV562" s="342"/>
      <c r="CW562" s="342"/>
      <c r="CX562" s="342"/>
      <c r="CY562" s="342"/>
    </row>
    <row r="563" spans="2:103" s="343" customFormat="1" ht="18.75" x14ac:dyDescent="0.25">
      <c r="B563" s="884">
        <v>44751</v>
      </c>
      <c r="C563" s="103">
        <v>0.89583333333333337</v>
      </c>
      <c r="D563" s="410">
        <v>48.5</v>
      </c>
      <c r="E563" s="415">
        <v>9</v>
      </c>
      <c r="F563" s="415">
        <v>17.100000000000001</v>
      </c>
      <c r="G563" s="413">
        <v>1242</v>
      </c>
      <c r="H563" s="413">
        <v>2122</v>
      </c>
      <c r="I563" s="413">
        <v>105.2</v>
      </c>
      <c r="J563" s="413">
        <v>107.7</v>
      </c>
      <c r="K563" s="416" t="s">
        <v>3306</v>
      </c>
      <c r="L563" s="416">
        <v>35.700000000000003</v>
      </c>
      <c r="M563" s="416">
        <v>39</v>
      </c>
      <c r="N563" s="416">
        <v>56.4</v>
      </c>
      <c r="O563" s="416"/>
      <c r="P563" s="416"/>
      <c r="Q563" s="416"/>
      <c r="R563" s="416" t="s">
        <v>3296</v>
      </c>
      <c r="S563" s="416">
        <v>66.5</v>
      </c>
      <c r="T563" s="102" t="s">
        <v>23</v>
      </c>
      <c r="U563" s="416" t="s">
        <v>928</v>
      </c>
      <c r="V563" s="401"/>
      <c r="CM563" s="342"/>
      <c r="CN563" s="342"/>
      <c r="CO563" s="342"/>
      <c r="CP563" s="342"/>
      <c r="CQ563" s="342"/>
      <c r="CR563" s="342"/>
      <c r="CS563" s="342"/>
      <c r="CT563" s="342"/>
      <c r="CU563" s="342"/>
      <c r="CV563" s="342"/>
      <c r="CW563" s="342"/>
      <c r="CX563" s="342"/>
      <c r="CY563" s="342"/>
    </row>
    <row r="564" spans="2:103" s="343" customFormat="1" ht="18.75" x14ac:dyDescent="0.25">
      <c r="B564" s="884">
        <v>44752</v>
      </c>
      <c r="C564" s="103">
        <v>0.875</v>
      </c>
      <c r="D564" s="410">
        <v>48.5</v>
      </c>
      <c r="E564" s="415">
        <v>9.3000000000000007</v>
      </c>
      <c r="F564" s="415">
        <v>17.3</v>
      </c>
      <c r="G564" s="413">
        <v>6500</v>
      </c>
      <c r="H564" s="413">
        <v>2126</v>
      </c>
      <c r="I564" s="413">
        <v>105.7</v>
      </c>
      <c r="J564" s="413">
        <v>107.7</v>
      </c>
      <c r="K564" s="416" t="s">
        <v>3314</v>
      </c>
      <c r="L564" s="416">
        <v>33.79</v>
      </c>
      <c r="M564" s="416">
        <v>39</v>
      </c>
      <c r="N564" s="416">
        <v>58.31</v>
      </c>
      <c r="O564" s="416"/>
      <c r="P564" s="416"/>
      <c r="Q564" s="416"/>
      <c r="R564" s="416" t="s">
        <v>3292</v>
      </c>
      <c r="S564" s="416">
        <v>67.3</v>
      </c>
      <c r="T564" s="102" t="s">
        <v>23</v>
      </c>
      <c r="U564" s="416" t="s">
        <v>928</v>
      </c>
      <c r="V564" s="401"/>
      <c r="CM564" s="342"/>
      <c r="CN564" s="342"/>
      <c r="CO564" s="342"/>
      <c r="CP564" s="342"/>
      <c r="CQ564" s="342"/>
      <c r="CR564" s="342"/>
      <c r="CS564" s="342"/>
      <c r="CT564" s="342"/>
      <c r="CU564" s="342"/>
      <c r="CV564" s="342"/>
      <c r="CW564" s="342"/>
      <c r="CX564" s="342"/>
      <c r="CY564" s="342"/>
    </row>
    <row r="565" spans="2:103" s="343" customFormat="1" ht="18.75" x14ac:dyDescent="0.25">
      <c r="B565" s="884">
        <v>44753</v>
      </c>
      <c r="C565" s="103">
        <v>0.875</v>
      </c>
      <c r="D565" s="410">
        <v>48.5</v>
      </c>
      <c r="E565" s="415">
        <v>9.3000000000000007</v>
      </c>
      <c r="F565" s="415">
        <v>17.3</v>
      </c>
      <c r="G565" s="413">
        <v>6500</v>
      </c>
      <c r="H565" s="413">
        <v>2126</v>
      </c>
      <c r="I565" s="413">
        <v>105.7</v>
      </c>
      <c r="J565" s="413">
        <v>107.7</v>
      </c>
      <c r="K565" s="416" t="s">
        <v>3314</v>
      </c>
      <c r="L565" s="416">
        <v>33.79</v>
      </c>
      <c r="M565" s="416">
        <v>39</v>
      </c>
      <c r="N565" s="416">
        <v>58.31</v>
      </c>
      <c r="O565" s="416"/>
      <c r="P565" s="416"/>
      <c r="Q565" s="416"/>
      <c r="R565" s="416" t="s">
        <v>3292</v>
      </c>
      <c r="S565" s="416">
        <v>67.3</v>
      </c>
      <c r="T565" s="102" t="s">
        <v>23</v>
      </c>
      <c r="U565" s="416" t="s">
        <v>928</v>
      </c>
      <c r="V565" s="401"/>
      <c r="CM565" s="342"/>
      <c r="CN565" s="342"/>
      <c r="CO565" s="342"/>
      <c r="CP565" s="342"/>
      <c r="CQ565" s="342"/>
      <c r="CR565" s="342"/>
      <c r="CS565" s="342"/>
      <c r="CT565" s="342"/>
      <c r="CU565" s="342"/>
      <c r="CV565" s="342"/>
      <c r="CW565" s="342"/>
      <c r="CX565" s="342"/>
      <c r="CY565" s="342"/>
    </row>
    <row r="566" spans="2:103" s="343" customFormat="1" ht="18.75" x14ac:dyDescent="0.25">
      <c r="B566" s="884">
        <v>44754</v>
      </c>
      <c r="C566" s="103">
        <v>0.875</v>
      </c>
      <c r="D566" s="410">
        <v>48.5</v>
      </c>
      <c r="E566" s="415">
        <v>9.3000000000000007</v>
      </c>
      <c r="F566" s="415">
        <v>17.3</v>
      </c>
      <c r="G566" s="413">
        <v>6500</v>
      </c>
      <c r="H566" s="413">
        <v>2126</v>
      </c>
      <c r="I566" s="413">
        <v>105.7</v>
      </c>
      <c r="J566" s="413">
        <v>107.7</v>
      </c>
      <c r="K566" s="416" t="s">
        <v>3314</v>
      </c>
      <c r="L566" s="416">
        <v>33.369999999999997</v>
      </c>
      <c r="M566" s="416">
        <v>39</v>
      </c>
      <c r="N566" s="416">
        <v>60.41</v>
      </c>
      <c r="O566" s="416"/>
      <c r="P566" s="416"/>
      <c r="Q566" s="416"/>
      <c r="R566" s="416" t="s">
        <v>3292</v>
      </c>
      <c r="S566" s="416">
        <v>67.3</v>
      </c>
      <c r="T566" s="102" t="s">
        <v>23</v>
      </c>
      <c r="U566" s="416" t="s">
        <v>928</v>
      </c>
      <c r="V566" s="401"/>
      <c r="CM566" s="342"/>
      <c r="CN566" s="342"/>
      <c r="CO566" s="342"/>
      <c r="CP566" s="342"/>
      <c r="CQ566" s="342"/>
      <c r="CR566" s="342"/>
      <c r="CS566" s="342"/>
      <c r="CT566" s="342"/>
      <c r="CU566" s="342"/>
      <c r="CV566" s="342"/>
      <c r="CW566" s="342"/>
      <c r="CX566" s="342"/>
      <c r="CY566" s="342"/>
    </row>
    <row r="567" spans="2:103" s="343" customFormat="1" ht="18.75" x14ac:dyDescent="0.25">
      <c r="B567" s="884">
        <v>44755</v>
      </c>
      <c r="C567" s="103">
        <v>0.85416666666666663</v>
      </c>
      <c r="D567" s="410">
        <v>48.5</v>
      </c>
      <c r="E567" s="415">
        <v>9.1999999999999993</v>
      </c>
      <c r="F567" s="415">
        <v>17.2</v>
      </c>
      <c r="G567" s="1566" t="s">
        <v>3340</v>
      </c>
      <c r="H567" s="1567"/>
      <c r="I567" s="1567"/>
      <c r="J567" s="1567"/>
      <c r="K567" s="1568"/>
      <c r="L567" s="416">
        <v>33.369999999999997</v>
      </c>
      <c r="M567" s="416">
        <v>39</v>
      </c>
      <c r="N567" s="416">
        <v>60.41</v>
      </c>
      <c r="O567" s="416"/>
      <c r="P567" s="416"/>
      <c r="Q567" s="416"/>
      <c r="R567" s="416" t="s">
        <v>3292</v>
      </c>
      <c r="S567" s="416">
        <v>67.3</v>
      </c>
      <c r="T567" s="102" t="s">
        <v>23</v>
      </c>
      <c r="U567" s="416" t="s">
        <v>928</v>
      </c>
      <c r="V567" s="401"/>
      <c r="CM567" s="342"/>
      <c r="CN567" s="342"/>
      <c r="CO567" s="342"/>
      <c r="CP567" s="342"/>
      <c r="CQ567" s="342"/>
      <c r="CR567" s="342"/>
      <c r="CS567" s="342"/>
      <c r="CT567" s="342"/>
      <c r="CU567" s="342"/>
      <c r="CV567" s="342"/>
      <c r="CW567" s="342"/>
      <c r="CX567" s="342"/>
      <c r="CY567" s="342"/>
    </row>
    <row r="568" spans="2:103" s="343" customFormat="1" ht="18.75" x14ac:dyDescent="0.25">
      <c r="B568" s="884">
        <v>44756</v>
      </c>
      <c r="C568" s="103">
        <v>0.875</v>
      </c>
      <c r="D568" s="410">
        <v>48.5</v>
      </c>
      <c r="E568" s="415">
        <v>8.6</v>
      </c>
      <c r="F568" s="415">
        <v>17.100000000000001</v>
      </c>
      <c r="G568" s="1566" t="s">
        <v>3340</v>
      </c>
      <c r="H568" s="1567"/>
      <c r="I568" s="1567"/>
      <c r="J568" s="1567"/>
      <c r="K568" s="1568"/>
      <c r="L568" s="416">
        <v>35.86</v>
      </c>
      <c r="M568" s="416">
        <v>39</v>
      </c>
      <c r="N568" s="416">
        <v>58.44</v>
      </c>
      <c r="O568" s="416"/>
      <c r="P568" s="416"/>
      <c r="Q568" s="416"/>
      <c r="R568" s="416" t="s">
        <v>2191</v>
      </c>
      <c r="S568" s="416">
        <v>66.5</v>
      </c>
      <c r="T568" s="102" t="s">
        <v>23</v>
      </c>
      <c r="U568" s="416" t="s">
        <v>928</v>
      </c>
      <c r="V568" s="401"/>
      <c r="CM568" s="342"/>
      <c r="CN568" s="342"/>
      <c r="CO568" s="342"/>
      <c r="CP568" s="342"/>
      <c r="CQ568" s="342"/>
      <c r="CR568" s="342"/>
      <c r="CS568" s="342"/>
      <c r="CT568" s="342"/>
      <c r="CU568" s="342"/>
      <c r="CV568" s="342"/>
      <c r="CW568" s="342"/>
      <c r="CX568" s="342"/>
      <c r="CY568" s="342"/>
    </row>
    <row r="569" spans="2:103" s="343" customFormat="1" ht="18.75" x14ac:dyDescent="0.25">
      <c r="B569" s="884">
        <v>44757</v>
      </c>
      <c r="C569" s="103">
        <v>0.88541666666666663</v>
      </c>
      <c r="D569" s="410">
        <v>48.5</v>
      </c>
      <c r="E569" s="415">
        <v>10</v>
      </c>
      <c r="F569" s="415">
        <v>17.600000000000001</v>
      </c>
      <c r="G569" s="1566" t="s">
        <v>3340</v>
      </c>
      <c r="H569" s="1567"/>
      <c r="I569" s="1567"/>
      <c r="J569" s="1567"/>
      <c r="K569" s="1568"/>
      <c r="L569" s="416">
        <v>35.86</v>
      </c>
      <c r="M569" s="416">
        <v>39</v>
      </c>
      <c r="N569" s="416">
        <v>58</v>
      </c>
      <c r="O569" s="416"/>
      <c r="P569" s="416"/>
      <c r="Q569" s="416"/>
      <c r="R569" s="416" t="s">
        <v>2310</v>
      </c>
      <c r="S569" s="416">
        <v>68.400000000000006</v>
      </c>
      <c r="T569" s="102" t="s">
        <v>23</v>
      </c>
      <c r="U569" s="416" t="s">
        <v>928</v>
      </c>
      <c r="V569" s="401"/>
      <c r="CM569" s="342"/>
      <c r="CN569" s="342"/>
      <c r="CO569" s="342"/>
      <c r="CP569" s="342"/>
      <c r="CQ569" s="342"/>
      <c r="CR569" s="342"/>
      <c r="CS569" s="342"/>
      <c r="CT569" s="342"/>
      <c r="CU569" s="342"/>
      <c r="CV569" s="342"/>
      <c r="CW569" s="342"/>
      <c r="CX569" s="342"/>
      <c r="CY569" s="342"/>
    </row>
    <row r="570" spans="2:103" s="343" customFormat="1" ht="18.75" x14ac:dyDescent="0.25">
      <c r="B570" s="884">
        <v>44758</v>
      </c>
      <c r="C570" s="103">
        <v>0.88541666666666663</v>
      </c>
      <c r="D570" s="410">
        <v>48.5</v>
      </c>
      <c r="E570" s="415">
        <v>10</v>
      </c>
      <c r="F570" s="415">
        <v>17.600000000000001</v>
      </c>
      <c r="G570" s="1566" t="s">
        <v>3340</v>
      </c>
      <c r="H570" s="1567"/>
      <c r="I570" s="1567"/>
      <c r="J570" s="1567"/>
      <c r="K570" s="1568"/>
      <c r="L570" s="416">
        <v>32.15</v>
      </c>
      <c r="M570" s="416">
        <v>39</v>
      </c>
      <c r="N570" s="416">
        <v>59.11</v>
      </c>
      <c r="O570" s="416"/>
      <c r="P570" s="416"/>
      <c r="Q570" s="416"/>
      <c r="R570" s="416" t="s">
        <v>2905</v>
      </c>
      <c r="S570" s="416">
        <v>68.400000000000006</v>
      </c>
      <c r="T570" s="102" t="s">
        <v>23</v>
      </c>
      <c r="U570" s="416" t="s">
        <v>928</v>
      </c>
      <c r="V570" s="401"/>
      <c r="CM570" s="342"/>
      <c r="CN570" s="342"/>
      <c r="CO570" s="342"/>
      <c r="CP570" s="342"/>
      <c r="CQ570" s="342"/>
      <c r="CR570" s="342"/>
      <c r="CS570" s="342"/>
      <c r="CT570" s="342"/>
      <c r="CU570" s="342"/>
      <c r="CV570" s="342"/>
      <c r="CW570" s="342"/>
      <c r="CX570" s="342"/>
      <c r="CY570" s="342"/>
    </row>
    <row r="571" spans="2:103" s="343" customFormat="1" ht="18.75" x14ac:dyDescent="0.25">
      <c r="B571" s="884">
        <v>44759</v>
      </c>
      <c r="C571" s="103">
        <v>0.91666666666666663</v>
      </c>
      <c r="D571" s="410">
        <v>48.5</v>
      </c>
      <c r="E571" s="415">
        <v>8.6999999999999993</v>
      </c>
      <c r="F571" s="415">
        <v>17.100000000000001</v>
      </c>
      <c r="G571" s="1566" t="s">
        <v>3340</v>
      </c>
      <c r="H571" s="1567"/>
      <c r="I571" s="1567"/>
      <c r="J571" s="1567"/>
      <c r="K571" s="1568"/>
      <c r="L571" s="416">
        <v>34.4</v>
      </c>
      <c r="M571" s="416">
        <v>39</v>
      </c>
      <c r="N571" s="416">
        <v>56.2</v>
      </c>
      <c r="O571" s="416"/>
      <c r="P571" s="416"/>
      <c r="Q571" s="416"/>
      <c r="R571" s="416" t="s">
        <v>2191</v>
      </c>
      <c r="S571" s="416">
        <v>66.5</v>
      </c>
      <c r="T571" s="102" t="s">
        <v>23</v>
      </c>
      <c r="U571" s="416" t="s">
        <v>928</v>
      </c>
      <c r="V571" s="401"/>
      <c r="CM571" s="342"/>
      <c r="CN571" s="342"/>
      <c r="CO571" s="342"/>
      <c r="CP571" s="342"/>
      <c r="CQ571" s="342"/>
      <c r="CR571" s="342"/>
      <c r="CS571" s="342"/>
      <c r="CT571" s="342"/>
      <c r="CU571" s="342"/>
      <c r="CV571" s="342"/>
      <c r="CW571" s="342"/>
      <c r="CX571" s="342"/>
      <c r="CY571" s="342"/>
    </row>
    <row r="572" spans="2:103" s="343" customFormat="1" ht="18.75" x14ac:dyDescent="0.25">
      <c r="B572" s="884">
        <v>44760</v>
      </c>
      <c r="C572" s="103">
        <v>0.875</v>
      </c>
      <c r="D572" s="410">
        <v>48.5</v>
      </c>
      <c r="E572" s="415">
        <v>8.6</v>
      </c>
      <c r="F572" s="415">
        <v>17</v>
      </c>
      <c r="G572" s="1566" t="s">
        <v>3340</v>
      </c>
      <c r="H572" s="1567"/>
      <c r="I572" s="1567"/>
      <c r="J572" s="1567"/>
      <c r="K572" s="1568"/>
      <c r="L572" s="416">
        <v>34.72</v>
      </c>
      <c r="M572" s="416">
        <v>39</v>
      </c>
      <c r="N572" s="416">
        <v>52.99</v>
      </c>
      <c r="O572" s="416"/>
      <c r="P572" s="416"/>
      <c r="Q572" s="416"/>
      <c r="R572" s="416" t="s">
        <v>2120</v>
      </c>
      <c r="S572" s="416">
        <v>66.099999999999994</v>
      </c>
      <c r="T572" s="102" t="s">
        <v>23</v>
      </c>
      <c r="U572" s="416" t="s">
        <v>928</v>
      </c>
      <c r="V572" s="401"/>
      <c r="CM572" s="342"/>
      <c r="CN572" s="342"/>
      <c r="CO572" s="342"/>
      <c r="CP572" s="342"/>
      <c r="CQ572" s="342"/>
      <c r="CR572" s="342"/>
      <c r="CS572" s="342"/>
      <c r="CT572" s="342"/>
      <c r="CU572" s="342"/>
      <c r="CV572" s="342"/>
      <c r="CW572" s="342"/>
      <c r="CX572" s="342"/>
      <c r="CY572" s="342"/>
    </row>
    <row r="573" spans="2:103" s="343" customFormat="1" ht="18.75" x14ac:dyDescent="0.25">
      <c r="B573" s="884">
        <v>44761</v>
      </c>
      <c r="C573" s="103">
        <v>0.875</v>
      </c>
      <c r="D573" s="410">
        <v>48.5</v>
      </c>
      <c r="E573" s="415">
        <v>9</v>
      </c>
      <c r="F573" s="415">
        <v>17.2</v>
      </c>
      <c r="G573" s="1566" t="s">
        <v>3340</v>
      </c>
      <c r="H573" s="1567"/>
      <c r="I573" s="1567"/>
      <c r="J573" s="1567"/>
      <c r="K573" s="1568"/>
      <c r="L573" s="416">
        <v>35.28</v>
      </c>
      <c r="M573" s="416">
        <v>39</v>
      </c>
      <c r="N573" s="416">
        <v>55.9</v>
      </c>
      <c r="O573" s="416"/>
      <c r="P573" s="416"/>
      <c r="Q573" s="416"/>
      <c r="R573" s="416" t="s">
        <v>2327</v>
      </c>
      <c r="S573" s="416">
        <v>66.900000000000006</v>
      </c>
      <c r="T573" s="102" t="s">
        <v>23</v>
      </c>
      <c r="U573" s="416" t="s">
        <v>928</v>
      </c>
      <c r="V573" s="401"/>
      <c r="CM573" s="342"/>
      <c r="CN573" s="342"/>
      <c r="CO573" s="342"/>
      <c r="CP573" s="342"/>
      <c r="CQ573" s="342"/>
      <c r="CR573" s="342"/>
      <c r="CS573" s="342"/>
      <c r="CT573" s="342"/>
      <c r="CU573" s="342"/>
      <c r="CV573" s="342"/>
      <c r="CW573" s="342"/>
      <c r="CX573" s="342"/>
      <c r="CY573" s="342"/>
    </row>
    <row r="574" spans="2:103" s="343" customFormat="1" ht="18.75" x14ac:dyDescent="0.25">
      <c r="B574" s="884">
        <v>44762</v>
      </c>
      <c r="C574" s="103">
        <v>0.875</v>
      </c>
      <c r="D574" s="410">
        <v>48.5</v>
      </c>
      <c r="E574" s="415">
        <v>8.9</v>
      </c>
      <c r="F574" s="415">
        <v>17.2</v>
      </c>
      <c r="G574" s="1566" t="s">
        <v>3340</v>
      </c>
      <c r="H574" s="1567"/>
      <c r="I574" s="1567"/>
      <c r="J574" s="1567"/>
      <c r="K574" s="1568"/>
      <c r="L574" s="416">
        <v>34.47</v>
      </c>
      <c r="M574" s="416">
        <v>39</v>
      </c>
      <c r="N574" s="416">
        <v>57.92</v>
      </c>
      <c r="O574" s="416"/>
      <c r="P574" s="416"/>
      <c r="Q574" s="416"/>
      <c r="R574" s="416" t="s">
        <v>2188</v>
      </c>
      <c r="S574" s="416">
        <v>66.900000000000006</v>
      </c>
      <c r="T574" s="102" t="s">
        <v>23</v>
      </c>
      <c r="U574" s="416" t="s">
        <v>928</v>
      </c>
      <c r="V574" s="401"/>
      <c r="CM574" s="342"/>
      <c r="CN574" s="342"/>
      <c r="CO574" s="342"/>
      <c r="CP574" s="342"/>
      <c r="CQ574" s="342"/>
      <c r="CR574" s="342"/>
      <c r="CS574" s="342"/>
      <c r="CT574" s="342"/>
      <c r="CU574" s="342"/>
      <c r="CV574" s="342"/>
      <c r="CW574" s="342"/>
      <c r="CX574" s="342"/>
      <c r="CY574" s="342"/>
    </row>
    <row r="575" spans="2:103" s="343" customFormat="1" ht="18.75" x14ac:dyDescent="0.25">
      <c r="B575" s="884">
        <v>44763</v>
      </c>
      <c r="C575" s="103">
        <v>0.875</v>
      </c>
      <c r="D575" s="410">
        <v>48.5</v>
      </c>
      <c r="E575" s="415">
        <v>9</v>
      </c>
      <c r="F575" s="415">
        <v>17.2</v>
      </c>
      <c r="G575" s="1566" t="s">
        <v>3340</v>
      </c>
      <c r="H575" s="1567"/>
      <c r="I575" s="1567"/>
      <c r="J575" s="1567"/>
      <c r="K575" s="1568"/>
      <c r="L575" s="416">
        <v>34.74</v>
      </c>
      <c r="M575" s="416">
        <v>39</v>
      </c>
      <c r="N575" s="416">
        <v>55.67</v>
      </c>
      <c r="O575" s="416"/>
      <c r="P575" s="416"/>
      <c r="Q575" s="416"/>
      <c r="R575" s="416" t="s">
        <v>3380</v>
      </c>
      <c r="S575" s="416">
        <v>66.900000000000006</v>
      </c>
      <c r="T575" s="102" t="s">
        <v>23</v>
      </c>
      <c r="U575" s="416" t="s">
        <v>928</v>
      </c>
      <c r="V575" s="401"/>
      <c r="CM575" s="342"/>
      <c r="CN575" s="342"/>
      <c r="CO575" s="342"/>
      <c r="CP575" s="342"/>
      <c r="CQ575" s="342"/>
      <c r="CR575" s="342"/>
      <c r="CS575" s="342"/>
      <c r="CT575" s="342"/>
      <c r="CU575" s="342"/>
      <c r="CV575" s="342"/>
      <c r="CW575" s="342"/>
      <c r="CX575" s="342"/>
      <c r="CY575" s="342"/>
    </row>
    <row r="576" spans="2:103" s="343" customFormat="1" ht="18.75" x14ac:dyDescent="0.25">
      <c r="B576" s="884">
        <v>44764</v>
      </c>
      <c r="C576" s="103">
        <v>0.89583333333333337</v>
      </c>
      <c r="D576" s="410">
        <v>48.5</v>
      </c>
      <c r="E576" s="415">
        <v>9</v>
      </c>
      <c r="F576" s="415">
        <v>17.2</v>
      </c>
      <c r="G576" s="1566" t="s">
        <v>3340</v>
      </c>
      <c r="H576" s="1567"/>
      <c r="I576" s="1567"/>
      <c r="J576" s="1567"/>
      <c r="K576" s="1568"/>
      <c r="L576" s="416">
        <v>33.89</v>
      </c>
      <c r="M576" s="416">
        <v>39</v>
      </c>
      <c r="N576" s="416">
        <v>56.71</v>
      </c>
      <c r="O576" s="416"/>
      <c r="P576" s="416"/>
      <c r="Q576" s="416"/>
      <c r="R576" s="416" t="s">
        <v>2204</v>
      </c>
      <c r="S576" s="416">
        <v>66.900000000000006</v>
      </c>
      <c r="T576" s="102" t="s">
        <v>23</v>
      </c>
      <c r="U576" s="416" t="s">
        <v>928</v>
      </c>
      <c r="V576" s="401"/>
      <c r="CM576" s="342"/>
      <c r="CN576" s="342"/>
      <c r="CO576" s="342"/>
      <c r="CP576" s="342"/>
      <c r="CQ576" s="342"/>
      <c r="CR576" s="342"/>
      <c r="CS576" s="342"/>
      <c r="CT576" s="342"/>
      <c r="CU576" s="342"/>
      <c r="CV576" s="342"/>
      <c r="CW576" s="342"/>
      <c r="CX576" s="342"/>
      <c r="CY576" s="342"/>
    </row>
    <row r="577" spans="2:103" s="343" customFormat="1" ht="18.75" x14ac:dyDescent="0.25">
      <c r="B577" s="884">
        <v>44765</v>
      </c>
      <c r="C577" s="103">
        <v>0.89583333333333337</v>
      </c>
      <c r="D577" s="410">
        <v>48.5</v>
      </c>
      <c r="E577" s="415">
        <v>8.8000000000000007</v>
      </c>
      <c r="F577" s="415">
        <v>17.100000000000001</v>
      </c>
      <c r="G577" s="1566" t="s">
        <v>3340</v>
      </c>
      <c r="H577" s="1567"/>
      <c r="I577" s="1567"/>
      <c r="J577" s="1567"/>
      <c r="K577" s="1568"/>
      <c r="L577" s="416">
        <v>36.090000000000003</v>
      </c>
      <c r="M577" s="416">
        <v>39</v>
      </c>
      <c r="N577" s="416">
        <v>52.65</v>
      </c>
      <c r="O577" s="416"/>
      <c r="P577" s="416"/>
      <c r="Q577" s="416"/>
      <c r="R577" s="416" t="s">
        <v>2191</v>
      </c>
      <c r="S577" s="416">
        <v>66.5</v>
      </c>
      <c r="T577" s="102" t="s">
        <v>23</v>
      </c>
      <c r="U577" s="416" t="s">
        <v>928</v>
      </c>
      <c r="V577" s="401"/>
      <c r="CM577" s="342"/>
      <c r="CN577" s="342"/>
      <c r="CO577" s="342"/>
      <c r="CP577" s="342"/>
      <c r="CQ577" s="342"/>
      <c r="CR577" s="342"/>
      <c r="CS577" s="342"/>
      <c r="CT577" s="342"/>
      <c r="CU577" s="342"/>
      <c r="CV577" s="342"/>
      <c r="CW577" s="342"/>
      <c r="CX577" s="342"/>
      <c r="CY577" s="342"/>
    </row>
    <row r="578" spans="2:103" s="343" customFormat="1" ht="18.75" x14ac:dyDescent="0.25">
      <c r="B578" s="884">
        <v>44766</v>
      </c>
      <c r="C578" s="103">
        <v>0.85416666666666663</v>
      </c>
      <c r="D578" s="410">
        <v>48.5</v>
      </c>
      <c r="E578" s="415">
        <v>8.8000000000000007</v>
      </c>
      <c r="F578" s="415">
        <v>17.100000000000001</v>
      </c>
      <c r="G578" s="1566" t="s">
        <v>3340</v>
      </c>
      <c r="H578" s="1567"/>
      <c r="I578" s="1567"/>
      <c r="J578" s="1567"/>
      <c r="K578" s="1568"/>
      <c r="L578" s="416">
        <v>36.72</v>
      </c>
      <c r="M578" s="416">
        <v>39</v>
      </c>
      <c r="N578" s="416">
        <v>54.37</v>
      </c>
      <c r="O578" s="416"/>
      <c r="P578" s="416"/>
      <c r="Q578" s="416"/>
      <c r="R578" s="416" t="s">
        <v>2191</v>
      </c>
      <c r="S578" s="416">
        <v>66.5</v>
      </c>
      <c r="T578" s="102" t="s">
        <v>23</v>
      </c>
      <c r="U578" s="416" t="s">
        <v>928</v>
      </c>
      <c r="V578" s="401"/>
      <c r="CM578" s="342"/>
      <c r="CN578" s="342"/>
      <c r="CO578" s="342"/>
      <c r="CP578" s="342"/>
      <c r="CQ578" s="342"/>
      <c r="CR578" s="342"/>
      <c r="CS578" s="342"/>
      <c r="CT578" s="342"/>
      <c r="CU578" s="342"/>
      <c r="CV578" s="342"/>
      <c r="CW578" s="342"/>
      <c r="CX578" s="342"/>
      <c r="CY578" s="342"/>
    </row>
    <row r="579" spans="2:103" s="343" customFormat="1" ht="18.75" x14ac:dyDescent="0.25">
      <c r="B579" s="884">
        <v>44767</v>
      </c>
      <c r="C579" s="103">
        <v>0.875</v>
      </c>
      <c r="D579" s="410">
        <v>48.5</v>
      </c>
      <c r="E579" s="415">
        <v>9.1</v>
      </c>
      <c r="F579" s="415">
        <v>17.2</v>
      </c>
      <c r="G579" s="1566" t="s">
        <v>3340</v>
      </c>
      <c r="H579" s="1567"/>
      <c r="I579" s="1567"/>
      <c r="J579" s="1567"/>
      <c r="K579" s="1568"/>
      <c r="L579" s="416">
        <v>34.96</v>
      </c>
      <c r="M579" s="416">
        <v>39</v>
      </c>
      <c r="N579" s="416">
        <v>58.93</v>
      </c>
      <c r="O579" s="416"/>
      <c r="P579" s="416"/>
      <c r="Q579" s="416"/>
      <c r="R579" s="416" t="s">
        <v>3409</v>
      </c>
      <c r="S579" s="416">
        <v>66.900000000000006</v>
      </c>
      <c r="T579" s="102" t="s">
        <v>23</v>
      </c>
      <c r="U579" s="416" t="s">
        <v>928</v>
      </c>
      <c r="V579" s="401"/>
      <c r="CM579" s="342"/>
      <c r="CN579" s="342"/>
      <c r="CO579" s="342"/>
      <c r="CP579" s="342"/>
      <c r="CQ579" s="342"/>
      <c r="CR579" s="342"/>
      <c r="CS579" s="342"/>
      <c r="CT579" s="342"/>
      <c r="CU579" s="342"/>
      <c r="CV579" s="342"/>
      <c r="CW579" s="342"/>
      <c r="CX579" s="342"/>
      <c r="CY579" s="342"/>
    </row>
    <row r="580" spans="2:103" s="343" customFormat="1" ht="18.75" x14ac:dyDescent="0.25">
      <c r="B580" s="884">
        <v>44768</v>
      </c>
      <c r="C580" s="103">
        <v>0.875</v>
      </c>
      <c r="D580" s="410">
        <v>48.5</v>
      </c>
      <c r="E580" s="415">
        <v>9.8000000000000007</v>
      </c>
      <c r="F580" s="415">
        <v>17.5</v>
      </c>
      <c r="G580" s="1566" t="s">
        <v>3340</v>
      </c>
      <c r="H580" s="1567"/>
      <c r="I580" s="1567"/>
      <c r="J580" s="1567"/>
      <c r="K580" s="1568"/>
      <c r="L580" s="416">
        <v>35.450000000000003</v>
      </c>
      <c r="M580" s="416">
        <v>39</v>
      </c>
      <c r="N580" s="416">
        <v>56</v>
      </c>
      <c r="O580" s="416"/>
      <c r="P580" s="416"/>
      <c r="Q580" s="416"/>
      <c r="R580" s="416" t="s">
        <v>3414</v>
      </c>
      <c r="S580" s="416">
        <v>68</v>
      </c>
      <c r="T580" s="102" t="s">
        <v>23</v>
      </c>
      <c r="U580" s="416" t="s">
        <v>928</v>
      </c>
      <c r="V580" s="322"/>
      <c r="CM580" s="342"/>
      <c r="CN580" s="342"/>
      <c r="CO580" s="342"/>
      <c r="CP580" s="342"/>
      <c r="CQ580" s="342"/>
      <c r="CR580" s="342"/>
      <c r="CS580" s="342"/>
      <c r="CT580" s="342"/>
      <c r="CU580" s="342"/>
      <c r="CV580" s="342"/>
      <c r="CW580" s="342"/>
      <c r="CX580" s="342"/>
      <c r="CY580" s="342"/>
    </row>
    <row r="581" spans="2:103" s="343" customFormat="1" ht="18.75" x14ac:dyDescent="0.25">
      <c r="B581" s="884">
        <v>44769</v>
      </c>
      <c r="C581" s="103">
        <v>0.91666666666666663</v>
      </c>
      <c r="D581" s="410">
        <v>48.5</v>
      </c>
      <c r="E581" s="415">
        <v>8.5</v>
      </c>
      <c r="F581" s="415">
        <v>17.100000000000001</v>
      </c>
      <c r="G581" s="1566" t="s">
        <v>3340</v>
      </c>
      <c r="H581" s="1567"/>
      <c r="I581" s="1567"/>
      <c r="J581" s="1567"/>
      <c r="K581" s="1568"/>
      <c r="L581" s="416">
        <v>35.74</v>
      </c>
      <c r="M581" s="416">
        <v>39</v>
      </c>
      <c r="N581" s="416">
        <v>53.34</v>
      </c>
      <c r="O581" s="416"/>
      <c r="P581" s="416"/>
      <c r="Q581" s="416"/>
      <c r="R581" s="416" t="s">
        <v>2414</v>
      </c>
      <c r="S581" s="416">
        <v>66.5</v>
      </c>
      <c r="T581" s="102" t="s">
        <v>23</v>
      </c>
      <c r="U581" s="416" t="s">
        <v>928</v>
      </c>
      <c r="V581" s="322"/>
      <c r="CM581" s="342"/>
      <c r="CN581" s="342"/>
      <c r="CO581" s="342"/>
      <c r="CP581" s="342"/>
      <c r="CQ581" s="342"/>
      <c r="CR581" s="342"/>
      <c r="CS581" s="342"/>
      <c r="CT581" s="342"/>
      <c r="CU581" s="342"/>
      <c r="CV581" s="342"/>
      <c r="CW581" s="342"/>
      <c r="CX581" s="342"/>
      <c r="CY581" s="342"/>
    </row>
    <row r="582" spans="2:103" s="343" customFormat="1" ht="18.75" x14ac:dyDescent="0.25">
      <c r="B582" s="884">
        <v>44770</v>
      </c>
      <c r="C582" s="103">
        <v>0.91666666666666663</v>
      </c>
      <c r="D582" s="410">
        <v>48.5</v>
      </c>
      <c r="E582" s="415">
        <v>8.9</v>
      </c>
      <c r="F582" s="415">
        <v>17.100000000000001</v>
      </c>
      <c r="G582" s="1566" t="s">
        <v>3340</v>
      </c>
      <c r="H582" s="1567"/>
      <c r="I582" s="1567"/>
      <c r="J582" s="1567"/>
      <c r="K582" s="1568"/>
      <c r="L582" s="416">
        <v>35.82</v>
      </c>
      <c r="M582" s="416">
        <v>39</v>
      </c>
      <c r="N582" s="416">
        <v>55.86</v>
      </c>
      <c r="O582" s="416"/>
      <c r="P582" s="416"/>
      <c r="Q582" s="416"/>
      <c r="R582" s="416" t="s">
        <v>2191</v>
      </c>
      <c r="S582" s="416">
        <v>66.5</v>
      </c>
      <c r="T582" s="102" t="s">
        <v>23</v>
      </c>
      <c r="U582" s="416" t="s">
        <v>928</v>
      </c>
      <c r="V582" s="322"/>
      <c r="CM582" s="342"/>
      <c r="CN582" s="342"/>
      <c r="CO582" s="342"/>
      <c r="CP582" s="342"/>
      <c r="CQ582" s="342"/>
      <c r="CR582" s="342"/>
      <c r="CS582" s="342"/>
      <c r="CT582" s="342"/>
      <c r="CU582" s="342"/>
      <c r="CV582" s="342"/>
      <c r="CW582" s="342"/>
      <c r="CX582" s="342"/>
      <c r="CY582" s="342"/>
    </row>
    <row r="583" spans="2:103" s="343" customFormat="1" ht="18.75" x14ac:dyDescent="0.25">
      <c r="B583" s="895">
        <v>44771</v>
      </c>
      <c r="C583" s="103">
        <v>0.91666666666666663</v>
      </c>
      <c r="D583" s="410">
        <v>48.5</v>
      </c>
      <c r="E583" s="415">
        <v>8.6999999999999993</v>
      </c>
      <c r="F583" s="415">
        <v>17.100000000000001</v>
      </c>
      <c r="G583" s="1566" t="s">
        <v>3340</v>
      </c>
      <c r="H583" s="1567"/>
      <c r="I583" s="1567"/>
      <c r="J583" s="1567"/>
      <c r="K583" s="1568"/>
      <c r="L583" s="416">
        <v>35.96</v>
      </c>
      <c r="M583" s="416">
        <v>39</v>
      </c>
      <c r="N583" s="416">
        <v>53.64</v>
      </c>
      <c r="O583" s="416"/>
      <c r="P583" s="416"/>
      <c r="Q583" s="416"/>
      <c r="R583" s="416" t="s">
        <v>2191</v>
      </c>
      <c r="S583" s="416">
        <v>66.099999999999994</v>
      </c>
      <c r="T583" s="102" t="s">
        <v>23</v>
      </c>
      <c r="U583" s="416" t="s">
        <v>928</v>
      </c>
      <c r="V583" s="322"/>
      <c r="CM583" s="342"/>
      <c r="CN583" s="342"/>
      <c r="CO583" s="342"/>
      <c r="CP583" s="342"/>
      <c r="CQ583" s="342"/>
      <c r="CR583" s="342"/>
      <c r="CS583" s="342"/>
      <c r="CT583" s="342"/>
      <c r="CU583" s="342"/>
      <c r="CV583" s="342"/>
      <c r="CW583" s="342"/>
      <c r="CX583" s="342"/>
      <c r="CY583" s="342"/>
    </row>
    <row r="584" spans="2:103" s="343" customFormat="1" ht="18.75" x14ac:dyDescent="0.25">
      <c r="B584" s="895">
        <v>44772</v>
      </c>
      <c r="C584" s="103">
        <v>0.89583333333333337</v>
      </c>
      <c r="D584" s="410">
        <v>48.5</v>
      </c>
      <c r="E584" s="415">
        <v>8.6</v>
      </c>
      <c r="F584" s="415">
        <v>17</v>
      </c>
      <c r="G584" s="1566" t="s">
        <v>3340</v>
      </c>
      <c r="H584" s="1567"/>
      <c r="I584" s="1567"/>
      <c r="J584" s="1567"/>
      <c r="K584" s="1568"/>
      <c r="L584" s="416">
        <v>35.96</v>
      </c>
      <c r="M584" s="416">
        <v>39</v>
      </c>
      <c r="N584" s="416">
        <v>53.64</v>
      </c>
      <c r="O584" s="416"/>
      <c r="P584" s="416"/>
      <c r="Q584" s="416"/>
      <c r="R584" s="416" t="s">
        <v>2101</v>
      </c>
      <c r="S584" s="416">
        <v>66.099999999999994</v>
      </c>
      <c r="T584" s="102" t="s">
        <v>23</v>
      </c>
      <c r="U584" s="416" t="s">
        <v>928</v>
      </c>
      <c r="V584" s="322"/>
      <c r="CM584" s="342"/>
      <c r="CN584" s="342"/>
      <c r="CO584" s="342"/>
      <c r="CP584" s="342"/>
      <c r="CQ584" s="342"/>
      <c r="CR584" s="342"/>
      <c r="CS584" s="342"/>
      <c r="CT584" s="342"/>
      <c r="CU584" s="342"/>
      <c r="CV584" s="342"/>
      <c r="CW584" s="342"/>
      <c r="CX584" s="342"/>
      <c r="CY584" s="342"/>
    </row>
    <row r="585" spans="2:103" s="343" customFormat="1" ht="18.75" x14ac:dyDescent="0.25">
      <c r="B585" s="895">
        <v>44773</v>
      </c>
      <c r="C585" s="103">
        <v>0.85416666666666663</v>
      </c>
      <c r="D585" s="410">
        <v>48.5</v>
      </c>
      <c r="E585" s="415">
        <v>8.6999999999999993</v>
      </c>
      <c r="F585" s="415">
        <v>17.100000000000001</v>
      </c>
      <c r="G585" s="1566" t="s">
        <v>3340</v>
      </c>
      <c r="H585" s="1567"/>
      <c r="I585" s="1567"/>
      <c r="J585" s="1567"/>
      <c r="K585" s="1568"/>
      <c r="L585" s="416">
        <v>36.369999999999997</v>
      </c>
      <c r="M585" s="416">
        <v>39</v>
      </c>
      <c r="N585" s="416">
        <v>56.59</v>
      </c>
      <c r="O585" s="416"/>
      <c r="P585" s="416"/>
      <c r="Q585" s="416"/>
      <c r="R585" s="416" t="s">
        <v>3457</v>
      </c>
      <c r="S585" s="416">
        <v>66.5</v>
      </c>
      <c r="T585" s="102" t="s">
        <v>23</v>
      </c>
      <c r="U585" s="416" t="s">
        <v>928</v>
      </c>
      <c r="V585" s="322"/>
      <c r="CM585" s="342"/>
      <c r="CN585" s="342"/>
      <c r="CO585" s="342"/>
      <c r="CP585" s="342"/>
      <c r="CQ585" s="342"/>
      <c r="CR585" s="342"/>
      <c r="CS585" s="342"/>
      <c r="CT585" s="342"/>
      <c r="CU585" s="342"/>
      <c r="CV585" s="342"/>
      <c r="CW585" s="342"/>
      <c r="CX585" s="342"/>
      <c r="CY585" s="342"/>
    </row>
    <row r="586" spans="2:103" s="343" customFormat="1" ht="18.75" x14ac:dyDescent="0.25">
      <c r="B586" s="895">
        <v>44774</v>
      </c>
      <c r="C586" s="103">
        <v>0.91666666666666663</v>
      </c>
      <c r="D586" s="410">
        <v>48.5</v>
      </c>
      <c r="E586" s="415">
        <v>8.5</v>
      </c>
      <c r="F586" s="415">
        <v>17.100000000000001</v>
      </c>
      <c r="G586" s="1566" t="s">
        <v>3340</v>
      </c>
      <c r="H586" s="1567"/>
      <c r="I586" s="1567"/>
      <c r="J586" s="1567"/>
      <c r="K586" s="1568"/>
      <c r="L586" s="416">
        <v>36.57</v>
      </c>
      <c r="M586" s="416">
        <v>39</v>
      </c>
      <c r="N586" s="416">
        <v>53.69</v>
      </c>
      <c r="O586" s="416"/>
      <c r="P586" s="416"/>
      <c r="Q586" s="416"/>
      <c r="R586" s="416" t="s">
        <v>2101</v>
      </c>
      <c r="S586" s="416">
        <v>66.5</v>
      </c>
      <c r="T586" s="102" t="s">
        <v>23</v>
      </c>
      <c r="U586" s="416" t="s">
        <v>928</v>
      </c>
      <c r="V586" s="322"/>
      <c r="CM586" s="342"/>
      <c r="CN586" s="342"/>
      <c r="CO586" s="342"/>
      <c r="CP586" s="342"/>
      <c r="CQ586" s="342"/>
      <c r="CR586" s="342"/>
      <c r="CS586" s="342"/>
      <c r="CT586" s="342"/>
      <c r="CU586" s="342"/>
      <c r="CV586" s="342"/>
      <c r="CW586" s="342"/>
      <c r="CX586" s="342"/>
      <c r="CY586" s="342"/>
    </row>
    <row r="587" spans="2:103" s="343" customFormat="1" ht="18.75" x14ac:dyDescent="0.25">
      <c r="B587" s="895">
        <v>44775</v>
      </c>
      <c r="C587" s="103">
        <v>0.89583333333333337</v>
      </c>
      <c r="D587" s="410">
        <v>48.5</v>
      </c>
      <c r="E587" s="415">
        <v>8.6</v>
      </c>
      <c r="F587" s="415">
        <v>17.100000000000001</v>
      </c>
      <c r="G587" s="1566" t="s">
        <v>3340</v>
      </c>
      <c r="H587" s="1567"/>
      <c r="I587" s="1567"/>
      <c r="J587" s="1567"/>
      <c r="K587" s="1568"/>
      <c r="L587" s="416">
        <v>38.36</v>
      </c>
      <c r="M587" s="416">
        <v>39</v>
      </c>
      <c r="N587" s="416">
        <v>50.32</v>
      </c>
      <c r="O587" s="416"/>
      <c r="P587" s="416"/>
      <c r="Q587" s="416"/>
      <c r="R587" s="416" t="s">
        <v>2191</v>
      </c>
      <c r="S587" s="416">
        <v>66.5</v>
      </c>
      <c r="T587" s="102" t="s">
        <v>23</v>
      </c>
      <c r="U587" s="416" t="s">
        <v>928</v>
      </c>
      <c r="V587" s="322" t="s">
        <v>415</v>
      </c>
      <c r="CM587" s="342"/>
      <c r="CN587" s="342"/>
      <c r="CO587" s="342"/>
      <c r="CP587" s="342"/>
      <c r="CQ587" s="342"/>
      <c r="CR587" s="342"/>
      <c r="CS587" s="342"/>
      <c r="CT587" s="342"/>
      <c r="CU587" s="342"/>
      <c r="CV587" s="342"/>
      <c r="CW587" s="342"/>
      <c r="CX587" s="342"/>
      <c r="CY587" s="342"/>
    </row>
    <row r="588" spans="2:103" s="343" customFormat="1" ht="18.75" x14ac:dyDescent="0.25">
      <c r="B588" s="895">
        <v>44776</v>
      </c>
      <c r="C588" s="103">
        <v>0.91666666666666663</v>
      </c>
      <c r="D588" s="410">
        <v>48.5</v>
      </c>
      <c r="E588" s="415">
        <v>8.4</v>
      </c>
      <c r="F588" s="415">
        <v>17</v>
      </c>
      <c r="G588" s="1566" t="s">
        <v>3340</v>
      </c>
      <c r="H588" s="1567"/>
      <c r="I588" s="1567"/>
      <c r="J588" s="1567"/>
      <c r="K588" s="1568"/>
      <c r="L588" s="416">
        <v>36.68</v>
      </c>
      <c r="M588" s="416">
        <v>39</v>
      </c>
      <c r="N588" s="416">
        <v>48.98</v>
      </c>
      <c r="O588" s="416"/>
      <c r="P588" s="416"/>
      <c r="Q588" s="416"/>
      <c r="R588" s="416" t="s">
        <v>2191</v>
      </c>
      <c r="S588" s="416">
        <v>66.5</v>
      </c>
      <c r="T588" s="102" t="s">
        <v>23</v>
      </c>
      <c r="U588" s="416" t="s">
        <v>928</v>
      </c>
      <c r="V588" s="322" t="s">
        <v>415</v>
      </c>
      <c r="CM588" s="342"/>
      <c r="CN588" s="342"/>
      <c r="CO588" s="342"/>
      <c r="CP588" s="342"/>
      <c r="CQ588" s="342"/>
      <c r="CR588" s="342"/>
      <c r="CS588" s="342"/>
      <c r="CT588" s="342"/>
      <c r="CU588" s="342"/>
      <c r="CV588" s="342"/>
      <c r="CW588" s="342"/>
      <c r="CX588" s="342"/>
      <c r="CY588" s="342"/>
    </row>
    <row r="589" spans="2:103" s="343" customFormat="1" ht="18.75" x14ac:dyDescent="0.25">
      <c r="B589" s="895">
        <v>44777</v>
      </c>
      <c r="C589" s="103">
        <v>0.91666666666666663</v>
      </c>
      <c r="D589" s="410">
        <v>48.5</v>
      </c>
      <c r="E589" s="415">
        <v>8.4</v>
      </c>
      <c r="F589" s="415">
        <v>17</v>
      </c>
      <c r="G589" s="1566" t="s">
        <v>3340</v>
      </c>
      <c r="H589" s="1567"/>
      <c r="I589" s="1567"/>
      <c r="J589" s="1567"/>
      <c r="K589" s="1568"/>
      <c r="L589" s="416">
        <v>36.68</v>
      </c>
      <c r="M589" s="416">
        <v>39</v>
      </c>
      <c r="N589" s="416">
        <v>48.98</v>
      </c>
      <c r="O589" s="416"/>
      <c r="P589" s="416"/>
      <c r="Q589" s="416"/>
      <c r="R589" s="416" t="s">
        <v>2191</v>
      </c>
      <c r="S589" s="416">
        <v>66.5</v>
      </c>
      <c r="T589" s="102" t="s">
        <v>23</v>
      </c>
      <c r="U589" s="416" t="s">
        <v>928</v>
      </c>
      <c r="V589" s="322" t="s">
        <v>415</v>
      </c>
      <c r="CM589" s="342"/>
      <c r="CN589" s="342"/>
      <c r="CO589" s="342"/>
      <c r="CP589" s="342"/>
      <c r="CQ589" s="342"/>
      <c r="CR589" s="342"/>
      <c r="CS589" s="342"/>
      <c r="CT589" s="342"/>
      <c r="CU589" s="342"/>
      <c r="CV589" s="342"/>
      <c r="CW589" s="342"/>
      <c r="CX589" s="342"/>
      <c r="CY589" s="342"/>
    </row>
    <row r="590" spans="2:103" s="343" customFormat="1" ht="18.75" x14ac:dyDescent="0.25">
      <c r="B590" s="895">
        <v>44778</v>
      </c>
      <c r="C590" s="103">
        <v>0.95833333333333337</v>
      </c>
      <c r="D590" s="410">
        <v>48.5</v>
      </c>
      <c r="E590" s="415">
        <v>8.4</v>
      </c>
      <c r="F590" s="415">
        <v>17</v>
      </c>
      <c r="G590" s="1566" t="s">
        <v>3340</v>
      </c>
      <c r="H590" s="1567"/>
      <c r="I590" s="1567"/>
      <c r="J590" s="1567"/>
      <c r="K590" s="1568"/>
      <c r="L590" s="416">
        <v>40</v>
      </c>
      <c r="M590" s="416">
        <v>39</v>
      </c>
      <c r="N590" s="416">
        <v>48.9</v>
      </c>
      <c r="O590" s="416"/>
      <c r="P590" s="416"/>
      <c r="Q590" s="416"/>
      <c r="R590" s="416" t="s">
        <v>2120</v>
      </c>
      <c r="S590" s="416">
        <v>66.099999999999994</v>
      </c>
      <c r="T590" s="102" t="s">
        <v>23</v>
      </c>
      <c r="U590" s="416" t="s">
        <v>928</v>
      </c>
      <c r="V590" s="322" t="s">
        <v>415</v>
      </c>
      <c r="CM590" s="342"/>
      <c r="CN590" s="342"/>
      <c r="CO590" s="342"/>
      <c r="CP590" s="342"/>
      <c r="CQ590" s="342"/>
      <c r="CR590" s="342"/>
      <c r="CS590" s="342"/>
      <c r="CT590" s="342"/>
      <c r="CU590" s="342"/>
      <c r="CV590" s="342"/>
      <c r="CW590" s="342"/>
      <c r="CX590" s="342"/>
      <c r="CY590" s="342"/>
    </row>
    <row r="591" spans="2:103" s="343" customFormat="1" ht="18.75" x14ac:dyDescent="0.25">
      <c r="B591" s="895">
        <v>44779</v>
      </c>
      <c r="C591" s="103">
        <v>0.91666666666666663</v>
      </c>
      <c r="D591" s="410">
        <v>48.5</v>
      </c>
      <c r="E591" s="415">
        <v>8.9</v>
      </c>
      <c r="F591" s="415">
        <v>17.100000000000001</v>
      </c>
      <c r="G591" s="1566" t="s">
        <v>3340</v>
      </c>
      <c r="H591" s="1567"/>
      <c r="I591" s="1567"/>
      <c r="J591" s="1567"/>
      <c r="K591" s="1568"/>
      <c r="L591" s="416">
        <v>36.85</v>
      </c>
      <c r="M591" s="416">
        <v>39</v>
      </c>
      <c r="N591" s="416">
        <v>54.06</v>
      </c>
      <c r="O591" s="416"/>
      <c r="P591" s="416"/>
      <c r="Q591" s="416"/>
      <c r="R591" s="416" t="s">
        <v>3514</v>
      </c>
      <c r="S591" s="416">
        <v>66.900000000000006</v>
      </c>
      <c r="T591" s="102" t="s">
        <v>23</v>
      </c>
      <c r="U591" s="416" t="s">
        <v>928</v>
      </c>
      <c r="V591" s="322" t="s">
        <v>415</v>
      </c>
      <c r="CM591" s="342"/>
      <c r="CN591" s="342"/>
      <c r="CO591" s="342"/>
      <c r="CP591" s="342"/>
      <c r="CQ591" s="342"/>
      <c r="CR591" s="342"/>
      <c r="CS591" s="342"/>
      <c r="CT591" s="342"/>
      <c r="CU591" s="342"/>
      <c r="CV591" s="342"/>
      <c r="CW591" s="342"/>
      <c r="CX591" s="342"/>
      <c r="CY591" s="342"/>
    </row>
    <row r="592" spans="2:103" s="343" customFormat="1" ht="18.75" x14ac:dyDescent="0.25">
      <c r="B592" s="895">
        <v>44780</v>
      </c>
      <c r="C592" s="103">
        <v>0.91666666666666663</v>
      </c>
      <c r="D592" s="410">
        <v>47.5</v>
      </c>
      <c r="E592" s="415">
        <v>8.5</v>
      </c>
      <c r="F592" s="415">
        <v>17.899999999999999</v>
      </c>
      <c r="G592" s="1566" t="s">
        <v>3340</v>
      </c>
      <c r="H592" s="1567"/>
      <c r="I592" s="1567"/>
      <c r="J592" s="1567"/>
      <c r="K592" s="1568"/>
      <c r="L592" s="416">
        <v>33.79</v>
      </c>
      <c r="M592" s="416">
        <v>39</v>
      </c>
      <c r="N592" s="416">
        <v>55.6</v>
      </c>
      <c r="O592" s="416"/>
      <c r="P592" s="416"/>
      <c r="Q592" s="416"/>
      <c r="R592" s="416" t="s">
        <v>3520</v>
      </c>
      <c r="S592" s="416">
        <v>69.599999999999994</v>
      </c>
      <c r="T592" s="102" t="s">
        <v>23</v>
      </c>
      <c r="U592" s="416" t="s">
        <v>928</v>
      </c>
      <c r="V592" s="322" t="s">
        <v>3542</v>
      </c>
      <c r="CM592" s="342"/>
      <c r="CN592" s="342"/>
      <c r="CO592" s="342"/>
      <c r="CP592" s="342"/>
      <c r="CQ592" s="342"/>
      <c r="CR592" s="342"/>
      <c r="CS592" s="342"/>
      <c r="CT592" s="342"/>
      <c r="CU592" s="342"/>
      <c r="CV592" s="342"/>
      <c r="CW592" s="342"/>
      <c r="CX592" s="342"/>
      <c r="CY592" s="342"/>
    </row>
    <row r="593" spans="2:103" s="343" customFormat="1" ht="18.75" x14ac:dyDescent="0.25">
      <c r="B593" s="895">
        <v>44781</v>
      </c>
      <c r="C593" s="103">
        <v>0.91666666666666663</v>
      </c>
      <c r="D593" s="410">
        <v>47.5</v>
      </c>
      <c r="E593" s="415">
        <v>8.6</v>
      </c>
      <c r="F593" s="415">
        <v>17.100000000000001</v>
      </c>
      <c r="G593" s="1566" t="s">
        <v>3340</v>
      </c>
      <c r="H593" s="1567"/>
      <c r="I593" s="1567"/>
      <c r="J593" s="1567"/>
      <c r="K593" s="1568"/>
      <c r="L593" s="416">
        <v>34.119999999999997</v>
      </c>
      <c r="M593" s="416">
        <v>39</v>
      </c>
      <c r="N593" s="416">
        <v>56.85</v>
      </c>
      <c r="O593" s="416"/>
      <c r="P593" s="416"/>
      <c r="Q593" s="416"/>
      <c r="R593" s="416" t="s">
        <v>2289</v>
      </c>
      <c r="S593" s="416">
        <v>66.099999999999994</v>
      </c>
      <c r="T593" s="102" t="s">
        <v>23</v>
      </c>
      <c r="U593" s="416" t="s">
        <v>928</v>
      </c>
      <c r="V593" s="401"/>
      <c r="CM593" s="342"/>
      <c r="CN593" s="342"/>
      <c r="CO593" s="342"/>
      <c r="CP593" s="342"/>
      <c r="CQ593" s="342"/>
      <c r="CR593" s="342"/>
      <c r="CS593" s="342"/>
      <c r="CT593" s="342"/>
      <c r="CU593" s="342"/>
      <c r="CV593" s="342"/>
      <c r="CW593" s="342"/>
      <c r="CX593" s="342"/>
      <c r="CY593" s="342"/>
    </row>
    <row r="594" spans="2:103" s="343" customFormat="1" ht="18.75" x14ac:dyDescent="0.25">
      <c r="B594" s="895">
        <v>44782</v>
      </c>
      <c r="C594" s="103">
        <v>0.95833333333333337</v>
      </c>
      <c r="D594" s="410">
        <v>47.5</v>
      </c>
      <c r="E594" s="415">
        <v>8.3000000000000007</v>
      </c>
      <c r="F594" s="415">
        <v>16.899999999999999</v>
      </c>
      <c r="G594" s="1566" t="s">
        <v>3340</v>
      </c>
      <c r="H594" s="1567"/>
      <c r="I594" s="1567"/>
      <c r="J594" s="1567"/>
      <c r="K594" s="1568"/>
      <c r="L594" s="416">
        <v>35.119999999999997</v>
      </c>
      <c r="M594" s="416">
        <v>39</v>
      </c>
      <c r="N594" s="416">
        <v>52.88</v>
      </c>
      <c r="O594" s="416"/>
      <c r="P594" s="416"/>
      <c r="Q594" s="416"/>
      <c r="R594" s="416" t="s">
        <v>3503</v>
      </c>
      <c r="S594" s="416">
        <v>66.099999999999994</v>
      </c>
      <c r="T594" s="102" t="s">
        <v>23</v>
      </c>
      <c r="U594" s="416" t="s">
        <v>928</v>
      </c>
      <c r="V594" s="401"/>
      <c r="CM594" s="342"/>
      <c r="CN594" s="342"/>
      <c r="CO594" s="342"/>
      <c r="CP594" s="342"/>
      <c r="CQ594" s="342"/>
      <c r="CR594" s="342"/>
      <c r="CS594" s="342"/>
      <c r="CT594" s="342"/>
      <c r="CU594" s="342"/>
      <c r="CV594" s="342"/>
      <c r="CW594" s="342"/>
      <c r="CX594" s="342"/>
      <c r="CY594" s="342"/>
    </row>
    <row r="595" spans="2:103" s="343" customFormat="1" ht="18.75" x14ac:dyDescent="0.25">
      <c r="B595" s="895">
        <v>44783</v>
      </c>
      <c r="C595" s="103">
        <v>0.89583333333333337</v>
      </c>
      <c r="D595" s="410">
        <v>47.5</v>
      </c>
      <c r="E595" s="415">
        <v>8.3000000000000007</v>
      </c>
      <c r="F595" s="415">
        <v>16.899999999999999</v>
      </c>
      <c r="G595" s="1566" t="s">
        <v>3340</v>
      </c>
      <c r="H595" s="1567"/>
      <c r="I595" s="1567"/>
      <c r="J595" s="1567"/>
      <c r="K595" s="1568"/>
      <c r="L595" s="416">
        <v>35.5</v>
      </c>
      <c r="M595" s="416">
        <v>39</v>
      </c>
      <c r="N595" s="416">
        <v>49.13</v>
      </c>
      <c r="O595" s="416"/>
      <c r="P595" s="416"/>
      <c r="Q595" s="416"/>
      <c r="R595" s="416" t="s">
        <v>2174</v>
      </c>
      <c r="S595" s="416">
        <v>65.7</v>
      </c>
      <c r="T595" s="102" t="s">
        <v>23</v>
      </c>
      <c r="U595" s="416" t="s">
        <v>928</v>
      </c>
      <c r="V595" s="401"/>
      <c r="CM595" s="342"/>
      <c r="CN595" s="342"/>
      <c r="CO595" s="342"/>
      <c r="CP595" s="342"/>
      <c r="CQ595" s="342"/>
      <c r="CR595" s="342"/>
      <c r="CS595" s="342"/>
      <c r="CT595" s="342"/>
      <c r="CU595" s="342"/>
      <c r="CV595" s="342"/>
      <c r="CW595" s="342"/>
      <c r="CX595" s="342"/>
      <c r="CY595" s="342"/>
    </row>
    <row r="596" spans="2:103" s="343" customFormat="1" ht="18.75" x14ac:dyDescent="0.25">
      <c r="B596" s="907">
        <v>44784</v>
      </c>
      <c r="C596" s="103">
        <v>0.875</v>
      </c>
      <c r="D596" s="410">
        <v>47.5</v>
      </c>
      <c r="E596" s="415">
        <v>9.3000000000000007</v>
      </c>
      <c r="F596" s="415">
        <v>17.2</v>
      </c>
      <c r="G596" s="1566" t="s">
        <v>3340</v>
      </c>
      <c r="H596" s="1567"/>
      <c r="I596" s="1567"/>
      <c r="J596" s="1567"/>
      <c r="K596" s="1568"/>
      <c r="L596" s="416">
        <v>34.04</v>
      </c>
      <c r="M596" s="416">
        <v>39</v>
      </c>
      <c r="N596" s="416">
        <v>57.55</v>
      </c>
      <c r="O596" s="416"/>
      <c r="P596" s="416"/>
      <c r="Q596" s="416"/>
      <c r="R596" s="416" t="s">
        <v>2204</v>
      </c>
      <c r="S596" s="416">
        <v>66.900000000000006</v>
      </c>
      <c r="T596" s="102" t="s">
        <v>23</v>
      </c>
      <c r="U596" s="416" t="s">
        <v>236</v>
      </c>
      <c r="V596" s="401"/>
      <c r="CM596" s="342"/>
      <c r="CN596" s="342"/>
      <c r="CO596" s="342"/>
      <c r="CP596" s="342"/>
      <c r="CQ596" s="342"/>
      <c r="CR596" s="342"/>
      <c r="CS596" s="342"/>
      <c r="CT596" s="342"/>
      <c r="CU596" s="342"/>
      <c r="CV596" s="342"/>
      <c r="CW596" s="342"/>
      <c r="CX596" s="342"/>
      <c r="CY596" s="342"/>
    </row>
    <row r="597" spans="2:103" s="343" customFormat="1" ht="18.75" x14ac:dyDescent="0.25">
      <c r="B597" s="909">
        <v>44785</v>
      </c>
      <c r="C597" s="103">
        <v>0.85416666666666663</v>
      </c>
      <c r="D597" s="410">
        <v>47.5</v>
      </c>
      <c r="E597" s="415">
        <v>8.6999999999999993</v>
      </c>
      <c r="F597" s="415">
        <v>17</v>
      </c>
      <c r="G597" s="1566" t="s">
        <v>3340</v>
      </c>
      <c r="H597" s="1567"/>
      <c r="I597" s="1567"/>
      <c r="J597" s="1567"/>
      <c r="K597" s="1568"/>
      <c r="L597" s="416">
        <v>34.46</v>
      </c>
      <c r="M597" s="416">
        <v>38</v>
      </c>
      <c r="N597" s="416">
        <v>56.74</v>
      </c>
      <c r="O597" s="416"/>
      <c r="P597" s="416"/>
      <c r="Q597" s="416"/>
      <c r="R597" s="416" t="s">
        <v>2120</v>
      </c>
      <c r="S597" s="416">
        <v>66.099999999999994</v>
      </c>
      <c r="T597" s="102" t="s">
        <v>23</v>
      </c>
      <c r="U597" s="416" t="s">
        <v>236</v>
      </c>
      <c r="V597" s="401"/>
      <c r="CM597" s="342"/>
      <c r="CN597" s="342"/>
      <c r="CO597" s="342"/>
      <c r="CP597" s="342"/>
      <c r="CQ597" s="342"/>
      <c r="CR597" s="342"/>
      <c r="CS597" s="342"/>
      <c r="CT597" s="342"/>
      <c r="CU597" s="342"/>
      <c r="CV597" s="342"/>
      <c r="CW597" s="342"/>
      <c r="CX597" s="342"/>
      <c r="CY597" s="342"/>
    </row>
    <row r="598" spans="2:103" s="343" customFormat="1" ht="18.75" x14ac:dyDescent="0.25">
      <c r="B598" s="910">
        <v>44786</v>
      </c>
      <c r="C598" s="103">
        <v>0.85416666666666663</v>
      </c>
      <c r="D598" s="410">
        <v>47.5</v>
      </c>
      <c r="E598" s="415">
        <v>8.6999999999999993</v>
      </c>
      <c r="F598" s="415">
        <v>17</v>
      </c>
      <c r="G598" s="1566" t="s">
        <v>3340</v>
      </c>
      <c r="H598" s="1567"/>
      <c r="I598" s="1567"/>
      <c r="J598" s="1567"/>
      <c r="K598" s="1568"/>
      <c r="L598" s="416">
        <v>33.770000000000003</v>
      </c>
      <c r="M598" s="416">
        <v>38</v>
      </c>
      <c r="N598" s="416">
        <v>55.18</v>
      </c>
      <c r="O598" s="416"/>
      <c r="P598" s="416"/>
      <c r="Q598" s="416"/>
      <c r="R598" s="416" t="s">
        <v>2191</v>
      </c>
      <c r="S598" s="416">
        <v>66.099999999999994</v>
      </c>
      <c r="T598" s="102" t="s">
        <v>23</v>
      </c>
      <c r="U598" s="416" t="s">
        <v>236</v>
      </c>
      <c r="V598" s="401"/>
      <c r="CM598" s="342"/>
      <c r="CN598" s="342"/>
      <c r="CO598" s="342"/>
      <c r="CP598" s="342"/>
      <c r="CQ598" s="342"/>
      <c r="CR598" s="342"/>
      <c r="CS598" s="342"/>
      <c r="CT598" s="342"/>
      <c r="CU598" s="342"/>
      <c r="CV598" s="342"/>
      <c r="CW598" s="342"/>
      <c r="CX598" s="342"/>
      <c r="CY598" s="342"/>
    </row>
    <row r="599" spans="2:103" s="343" customFormat="1" ht="18.75" x14ac:dyDescent="0.25">
      <c r="B599" s="912">
        <v>44787</v>
      </c>
      <c r="C599" s="103">
        <v>0.875</v>
      </c>
      <c r="D599" s="410">
        <v>47.5</v>
      </c>
      <c r="E599" s="415">
        <v>8.1999999999999993</v>
      </c>
      <c r="F599" s="415">
        <v>16.899999999999999</v>
      </c>
      <c r="G599" s="1566" t="s">
        <v>3340</v>
      </c>
      <c r="H599" s="1567"/>
      <c r="I599" s="1567"/>
      <c r="J599" s="1567"/>
      <c r="K599" s="1568"/>
      <c r="L599" s="416">
        <v>35.07</v>
      </c>
      <c r="M599" s="416">
        <v>38</v>
      </c>
      <c r="N599" s="416">
        <v>51.31</v>
      </c>
      <c r="O599" s="416"/>
      <c r="P599" s="416"/>
      <c r="Q599" s="416"/>
      <c r="R599" s="416" t="s">
        <v>2115</v>
      </c>
      <c r="S599" s="416">
        <v>65.7</v>
      </c>
      <c r="T599" s="102" t="s">
        <v>23</v>
      </c>
      <c r="U599" s="416" t="s">
        <v>236</v>
      </c>
      <c r="V599" s="401"/>
      <c r="CM599" s="342"/>
      <c r="CN599" s="342"/>
      <c r="CO599" s="342"/>
      <c r="CP599" s="342"/>
      <c r="CQ599" s="342"/>
      <c r="CR599" s="342"/>
      <c r="CS599" s="342"/>
      <c r="CT599" s="342"/>
      <c r="CU599" s="342"/>
      <c r="CV599" s="342"/>
      <c r="CW599" s="342"/>
      <c r="CX599" s="342"/>
      <c r="CY599" s="342"/>
    </row>
    <row r="600" spans="2:103" s="343" customFormat="1" ht="18.75" x14ac:dyDescent="0.25">
      <c r="B600" s="913">
        <v>44788</v>
      </c>
      <c r="C600" s="103">
        <v>0.83333333333333337</v>
      </c>
      <c r="D600" s="410">
        <v>47.5</v>
      </c>
      <c r="E600" s="415">
        <v>8.1</v>
      </c>
      <c r="F600" s="415">
        <v>16.899999999999999</v>
      </c>
      <c r="G600" s="1566" t="s">
        <v>3340</v>
      </c>
      <c r="H600" s="1567"/>
      <c r="I600" s="1567"/>
      <c r="J600" s="1567"/>
      <c r="K600" s="1568"/>
      <c r="L600" s="416">
        <v>34.729999999999997</v>
      </c>
      <c r="M600" s="416">
        <v>38</v>
      </c>
      <c r="N600" s="416">
        <v>48.44</v>
      </c>
      <c r="O600" s="416"/>
      <c r="P600" s="416"/>
      <c r="Q600" s="416"/>
      <c r="R600" s="416" t="s">
        <v>2174</v>
      </c>
      <c r="S600" s="416">
        <v>65.7</v>
      </c>
      <c r="T600" s="102" t="s">
        <v>23</v>
      </c>
      <c r="U600" s="416" t="s">
        <v>236</v>
      </c>
      <c r="V600" s="401"/>
      <c r="CM600" s="342"/>
      <c r="CN600" s="342"/>
      <c r="CO600" s="342"/>
      <c r="CP600" s="342"/>
      <c r="CQ600" s="342"/>
      <c r="CR600" s="342"/>
      <c r="CS600" s="342"/>
      <c r="CT600" s="342"/>
      <c r="CU600" s="342"/>
      <c r="CV600" s="342"/>
      <c r="CW600" s="342"/>
      <c r="CX600" s="342"/>
      <c r="CY600" s="342"/>
    </row>
    <row r="601" spans="2:103" s="343" customFormat="1" ht="18.75" x14ac:dyDescent="0.25">
      <c r="B601" s="915">
        <v>44789</v>
      </c>
      <c r="C601" s="103">
        <v>0.9375</v>
      </c>
      <c r="D601" s="410">
        <v>47.5</v>
      </c>
      <c r="E601" s="415">
        <v>8.5</v>
      </c>
      <c r="F601" s="415">
        <v>17</v>
      </c>
      <c r="G601" s="1566" t="s">
        <v>3340</v>
      </c>
      <c r="H601" s="1567"/>
      <c r="I601" s="1567"/>
      <c r="J601" s="1567"/>
      <c r="K601" s="1568"/>
      <c r="L601" s="416">
        <v>35.15</v>
      </c>
      <c r="M601" s="416">
        <v>38</v>
      </c>
      <c r="N601" s="416">
        <v>55.63</v>
      </c>
      <c r="O601" s="416"/>
      <c r="P601" s="416"/>
      <c r="Q601" s="416"/>
      <c r="R601" s="416" t="s">
        <v>2120</v>
      </c>
      <c r="S601" s="416">
        <v>66.099999999999994</v>
      </c>
      <c r="T601" s="102" t="s">
        <v>23</v>
      </c>
      <c r="U601" s="416" t="s">
        <v>236</v>
      </c>
      <c r="V601" s="401"/>
      <c r="CM601" s="342"/>
      <c r="CN601" s="342"/>
      <c r="CO601" s="342"/>
      <c r="CP601" s="342"/>
      <c r="CQ601" s="342"/>
      <c r="CR601" s="342"/>
      <c r="CS601" s="342"/>
      <c r="CT601" s="342"/>
      <c r="CU601" s="342"/>
      <c r="CV601" s="342"/>
      <c r="CW601" s="342"/>
      <c r="CX601" s="342"/>
      <c r="CY601" s="342"/>
    </row>
    <row r="602" spans="2:103" s="343" customFormat="1" ht="18.75" x14ac:dyDescent="0.25">
      <c r="B602" s="917">
        <v>44790</v>
      </c>
      <c r="C602" s="103">
        <v>0.89583333333333337</v>
      </c>
      <c r="D602" s="410">
        <v>47.5</v>
      </c>
      <c r="E602" s="415">
        <v>8.5</v>
      </c>
      <c r="F602" s="415">
        <v>17</v>
      </c>
      <c r="G602" s="1566" t="s">
        <v>3340</v>
      </c>
      <c r="H602" s="1567"/>
      <c r="I602" s="1567"/>
      <c r="J602" s="1567"/>
      <c r="K602" s="1568"/>
      <c r="L602" s="416">
        <v>35.07</v>
      </c>
      <c r="M602" s="416">
        <v>38.5</v>
      </c>
      <c r="N602" s="416">
        <v>55.96</v>
      </c>
      <c r="O602" s="416"/>
      <c r="P602" s="416"/>
      <c r="Q602" s="416"/>
      <c r="R602" s="416" t="s">
        <v>2120</v>
      </c>
      <c r="S602" s="416">
        <v>66.099999999999994</v>
      </c>
      <c r="T602" s="102" t="s">
        <v>23</v>
      </c>
      <c r="U602" s="416" t="s">
        <v>236</v>
      </c>
      <c r="V602" s="401"/>
      <c r="CM602" s="342"/>
      <c r="CN602" s="342"/>
      <c r="CO602" s="342"/>
      <c r="CP602" s="342"/>
      <c r="CQ602" s="342"/>
      <c r="CR602" s="342"/>
      <c r="CS602" s="342"/>
      <c r="CT602" s="342"/>
      <c r="CU602" s="342"/>
      <c r="CV602" s="342"/>
      <c r="CW602" s="342"/>
      <c r="CX602" s="342"/>
      <c r="CY602" s="342"/>
    </row>
    <row r="603" spans="2:103" s="343" customFormat="1" ht="27" customHeight="1" x14ac:dyDescent="0.25">
      <c r="B603" s="918">
        <v>44791</v>
      </c>
      <c r="C603" s="103">
        <v>0.95833333333333337</v>
      </c>
      <c r="D603" s="410">
        <v>47.5</v>
      </c>
      <c r="E603" s="415">
        <v>9.6999999999999993</v>
      </c>
      <c r="F603" s="415">
        <v>17.399999999999999</v>
      </c>
      <c r="G603" s="1566" t="s">
        <v>3340</v>
      </c>
      <c r="H603" s="1567"/>
      <c r="I603" s="1567"/>
      <c r="J603" s="1567"/>
      <c r="K603" s="1568"/>
      <c r="L603" s="416">
        <v>33.86</v>
      </c>
      <c r="M603" s="416">
        <v>37.5</v>
      </c>
      <c r="N603" s="416">
        <v>57.16</v>
      </c>
      <c r="O603" s="416"/>
      <c r="P603" s="416"/>
      <c r="Q603" s="416"/>
      <c r="R603" s="416" t="s">
        <v>2425</v>
      </c>
      <c r="S603" s="416">
        <v>67.7</v>
      </c>
      <c r="T603" s="102" t="s">
        <v>23</v>
      </c>
      <c r="U603" s="416" t="s">
        <v>236</v>
      </c>
      <c r="V603" s="401"/>
      <c r="CM603" s="342"/>
      <c r="CN603" s="342"/>
      <c r="CO603" s="342"/>
      <c r="CP603" s="342"/>
      <c r="CQ603" s="342"/>
      <c r="CR603" s="342"/>
      <c r="CS603" s="342"/>
      <c r="CT603" s="342"/>
      <c r="CU603" s="342"/>
      <c r="CV603" s="342"/>
      <c r="CW603" s="342"/>
      <c r="CX603" s="342"/>
      <c r="CY603" s="342"/>
    </row>
    <row r="604" spans="2:103" s="343" customFormat="1" ht="27" customHeight="1" x14ac:dyDescent="0.25">
      <c r="B604" s="920">
        <v>44792</v>
      </c>
      <c r="C604" s="103">
        <v>0.91666666666666663</v>
      </c>
      <c r="D604" s="410">
        <v>47.5</v>
      </c>
      <c r="E604" s="415">
        <v>8.9</v>
      </c>
      <c r="F604" s="415">
        <v>17.100000000000001</v>
      </c>
      <c r="G604" s="1566" t="s">
        <v>3340</v>
      </c>
      <c r="H604" s="1567"/>
      <c r="I604" s="1567"/>
      <c r="J604" s="1567"/>
      <c r="K604" s="1568"/>
      <c r="L604" s="416">
        <v>34.11</v>
      </c>
      <c r="M604" s="416">
        <v>37.5</v>
      </c>
      <c r="N604" s="416">
        <v>57.51</v>
      </c>
      <c r="O604" s="416"/>
      <c r="P604" s="416"/>
      <c r="Q604" s="416"/>
      <c r="R604" s="416" t="s">
        <v>2191</v>
      </c>
      <c r="S604" s="416">
        <v>66.5</v>
      </c>
      <c r="T604" s="102" t="s">
        <v>23</v>
      </c>
      <c r="U604" s="416" t="s">
        <v>236</v>
      </c>
      <c r="V604" s="401"/>
      <c r="CM604" s="342"/>
      <c r="CN604" s="342"/>
      <c r="CO604" s="342"/>
      <c r="CP604" s="342"/>
      <c r="CQ604" s="342"/>
      <c r="CR604" s="342"/>
      <c r="CS604" s="342"/>
      <c r="CT604" s="342"/>
      <c r="CU604" s="342"/>
      <c r="CV604" s="342"/>
      <c r="CW604" s="342"/>
      <c r="CX604" s="342"/>
      <c r="CY604" s="342"/>
    </row>
    <row r="605" spans="2:103" s="343" customFormat="1" ht="27" customHeight="1" x14ac:dyDescent="0.25">
      <c r="B605" s="921">
        <v>44793</v>
      </c>
      <c r="C605" s="103">
        <v>0.91666666666666663</v>
      </c>
      <c r="D605" s="410">
        <v>47.5</v>
      </c>
      <c r="E605" s="415">
        <v>8.4</v>
      </c>
      <c r="F605" s="415">
        <v>16.899999999999999</v>
      </c>
      <c r="G605" s="1566" t="s">
        <v>3340</v>
      </c>
      <c r="H605" s="1567"/>
      <c r="I605" s="1567"/>
      <c r="J605" s="1567"/>
      <c r="K605" s="1568"/>
      <c r="L605" s="416">
        <v>34.64</v>
      </c>
      <c r="M605" s="416">
        <v>37.5</v>
      </c>
      <c r="N605" s="416">
        <v>54.76</v>
      </c>
      <c r="O605" s="416"/>
      <c r="P605" s="416"/>
      <c r="Q605" s="416"/>
      <c r="R605" s="416" t="s">
        <v>2115</v>
      </c>
      <c r="S605" s="416">
        <v>65.7</v>
      </c>
      <c r="T605" s="102" t="s">
        <v>23</v>
      </c>
      <c r="U605" s="416" t="s">
        <v>236</v>
      </c>
      <c r="V605" s="401"/>
      <c r="CM605" s="342"/>
      <c r="CN605" s="342"/>
      <c r="CO605" s="342"/>
      <c r="CP605" s="342"/>
      <c r="CQ605" s="342"/>
      <c r="CR605" s="342"/>
      <c r="CS605" s="342"/>
      <c r="CT605" s="342"/>
      <c r="CU605" s="342"/>
      <c r="CV605" s="342"/>
      <c r="CW605" s="342"/>
      <c r="CX605" s="342"/>
      <c r="CY605" s="342"/>
    </row>
    <row r="606" spans="2:103" s="343" customFormat="1" ht="27" customHeight="1" x14ac:dyDescent="0.25">
      <c r="B606" s="923">
        <v>44794</v>
      </c>
      <c r="C606" s="103">
        <v>0.9375</v>
      </c>
      <c r="D606" s="410">
        <v>47.5</v>
      </c>
      <c r="E606" s="415">
        <v>8.6</v>
      </c>
      <c r="F606" s="415">
        <v>16.899999999999999</v>
      </c>
      <c r="G606" s="1566" t="s">
        <v>3340</v>
      </c>
      <c r="H606" s="1567"/>
      <c r="I606" s="1567"/>
      <c r="J606" s="1567"/>
      <c r="K606" s="1568"/>
      <c r="L606" s="416">
        <v>33.42</v>
      </c>
      <c r="M606" s="416">
        <v>37.5</v>
      </c>
      <c r="N606" s="416">
        <v>55.37</v>
      </c>
      <c r="O606" s="416"/>
      <c r="P606" s="416"/>
      <c r="Q606" s="416"/>
      <c r="R606" s="416" t="s">
        <v>2168</v>
      </c>
      <c r="S606" s="416">
        <v>65.7</v>
      </c>
      <c r="T606" s="102" t="s">
        <v>23</v>
      </c>
      <c r="U606" s="416" t="s">
        <v>236</v>
      </c>
      <c r="V606" s="401"/>
      <c r="CM606" s="342"/>
      <c r="CN606" s="342"/>
      <c r="CO606" s="342"/>
      <c r="CP606" s="342"/>
      <c r="CQ606" s="342"/>
      <c r="CR606" s="342"/>
      <c r="CS606" s="342"/>
      <c r="CT606" s="342"/>
      <c r="CU606" s="342"/>
      <c r="CV606" s="342"/>
      <c r="CW606" s="342"/>
      <c r="CX606" s="342"/>
      <c r="CY606" s="342"/>
    </row>
    <row r="607" spans="2:103" s="343" customFormat="1" ht="61.5" customHeight="1" x14ac:dyDescent="0.25">
      <c r="B607" s="924">
        <v>44795</v>
      </c>
      <c r="C607" s="103">
        <v>0.9375</v>
      </c>
      <c r="D607" s="410">
        <v>47.5</v>
      </c>
      <c r="E607" s="415">
        <v>7.1</v>
      </c>
      <c r="F607" s="415">
        <v>16.7</v>
      </c>
      <c r="G607" s="1566" t="s">
        <v>3340</v>
      </c>
      <c r="H607" s="1567"/>
      <c r="I607" s="1567"/>
      <c r="J607" s="1567"/>
      <c r="K607" s="1568"/>
      <c r="L607" s="416">
        <v>35.75</v>
      </c>
      <c r="M607" s="416">
        <v>38</v>
      </c>
      <c r="N607" s="416">
        <v>48.44</v>
      </c>
      <c r="O607" s="416"/>
      <c r="P607" s="416"/>
      <c r="Q607" s="416"/>
      <c r="R607" s="416" t="s">
        <v>3630</v>
      </c>
      <c r="S607" s="416">
        <v>64.900000000000006</v>
      </c>
      <c r="T607" s="102" t="s">
        <v>23</v>
      </c>
      <c r="U607" s="416" t="s">
        <v>236</v>
      </c>
      <c r="V607" s="925" t="s">
        <v>3634</v>
      </c>
      <c r="CM607" s="342"/>
      <c r="CN607" s="342"/>
      <c r="CO607" s="342"/>
      <c r="CP607" s="342"/>
      <c r="CQ607" s="342"/>
      <c r="CR607" s="342"/>
      <c r="CS607" s="342"/>
      <c r="CT607" s="342"/>
      <c r="CU607" s="342"/>
      <c r="CV607" s="342"/>
      <c r="CW607" s="342"/>
      <c r="CX607" s="342"/>
      <c r="CY607" s="342"/>
    </row>
    <row r="608" spans="2:103" s="343" customFormat="1" ht="30" customHeight="1" x14ac:dyDescent="0.25">
      <c r="B608" s="926">
        <v>44796</v>
      </c>
      <c r="C608" s="103">
        <v>0.9375</v>
      </c>
      <c r="D608" s="410">
        <v>48</v>
      </c>
      <c r="E608" s="415">
        <v>9.1</v>
      </c>
      <c r="F608" s="415">
        <v>17.2</v>
      </c>
      <c r="G608" s="1566" t="s">
        <v>3340</v>
      </c>
      <c r="H608" s="1567"/>
      <c r="I608" s="1567"/>
      <c r="J608" s="1567"/>
      <c r="K608" s="1568"/>
      <c r="L608" s="416">
        <v>33.46</v>
      </c>
      <c r="M608" s="416">
        <v>37.5</v>
      </c>
      <c r="N608" s="416">
        <v>57.39</v>
      </c>
      <c r="O608" s="416"/>
      <c r="P608" s="416"/>
      <c r="Q608" s="416"/>
      <c r="R608" s="416" t="s">
        <v>2204</v>
      </c>
      <c r="S608" s="416">
        <v>66.900000000000006</v>
      </c>
      <c r="T608" s="102" t="s">
        <v>23</v>
      </c>
      <c r="U608" s="416" t="s">
        <v>236</v>
      </c>
      <c r="V608" s="928" t="s">
        <v>3637</v>
      </c>
      <c r="CM608" s="342"/>
      <c r="CN608" s="342"/>
      <c r="CO608" s="342"/>
      <c r="CP608" s="342"/>
      <c r="CQ608" s="342"/>
      <c r="CR608" s="342"/>
      <c r="CS608" s="342"/>
      <c r="CT608" s="342"/>
      <c r="CU608" s="342"/>
      <c r="CV608" s="342"/>
      <c r="CW608" s="342"/>
      <c r="CX608" s="342"/>
      <c r="CY608" s="342"/>
    </row>
    <row r="609" spans="2:103" s="343" customFormat="1" ht="30" customHeight="1" x14ac:dyDescent="0.25">
      <c r="B609" s="927">
        <v>44797</v>
      </c>
      <c r="C609" s="103">
        <v>0.95833333333333337</v>
      </c>
      <c r="D609" s="410">
        <v>48.5</v>
      </c>
      <c r="E609" s="415">
        <v>9.4</v>
      </c>
      <c r="F609" s="415">
        <v>17.399999999999999</v>
      </c>
      <c r="G609" s="1566" t="s">
        <v>3340</v>
      </c>
      <c r="H609" s="1567"/>
      <c r="I609" s="1567"/>
      <c r="J609" s="1567"/>
      <c r="K609" s="1568"/>
      <c r="L609" s="416">
        <v>35.479999999999997</v>
      </c>
      <c r="M609" s="416">
        <v>39</v>
      </c>
      <c r="N609" s="416">
        <v>57.7</v>
      </c>
      <c r="O609" s="416"/>
      <c r="P609" s="416"/>
      <c r="Q609" s="416"/>
      <c r="R609" s="416" t="s">
        <v>3644</v>
      </c>
      <c r="S609" s="416">
        <v>67.7</v>
      </c>
      <c r="T609" s="102" t="s">
        <v>23</v>
      </c>
      <c r="U609" s="416" t="s">
        <v>236</v>
      </c>
      <c r="V609" s="928" t="s">
        <v>3645</v>
      </c>
      <c r="CM609" s="342"/>
      <c r="CN609" s="342"/>
      <c r="CO609" s="342"/>
      <c r="CP609" s="342"/>
      <c r="CQ609" s="342"/>
      <c r="CR609" s="342"/>
      <c r="CS609" s="342"/>
      <c r="CT609" s="342"/>
      <c r="CU609" s="342"/>
      <c r="CV609" s="342"/>
      <c r="CW609" s="342"/>
      <c r="CX609" s="342"/>
      <c r="CY609" s="342"/>
    </row>
    <row r="610" spans="2:103" s="343" customFormat="1" ht="30" customHeight="1" x14ac:dyDescent="0.25">
      <c r="B610" s="929">
        <v>44798</v>
      </c>
      <c r="C610" s="103">
        <v>0.9375</v>
      </c>
      <c r="D610" s="410">
        <v>48.5</v>
      </c>
      <c r="E610" s="415">
        <v>9</v>
      </c>
      <c r="F610" s="415">
        <v>17.2</v>
      </c>
      <c r="G610" s="1566" t="s">
        <v>3340</v>
      </c>
      <c r="H610" s="1567"/>
      <c r="I610" s="1567"/>
      <c r="J610" s="1567"/>
      <c r="K610" s="1568"/>
      <c r="L610" s="416">
        <v>34.11</v>
      </c>
      <c r="M610" s="416">
        <v>37</v>
      </c>
      <c r="N610" s="416">
        <v>56.8</v>
      </c>
      <c r="O610" s="416"/>
      <c r="P610" s="416"/>
      <c r="Q610" s="416"/>
      <c r="R610" s="416" t="s">
        <v>2204</v>
      </c>
      <c r="S610" s="416">
        <v>66.900000000000006</v>
      </c>
      <c r="T610" s="102" t="s">
        <v>23</v>
      </c>
      <c r="U610" s="416" t="s">
        <v>236</v>
      </c>
      <c r="V610" s="928"/>
      <c r="CM610" s="342"/>
      <c r="CN610" s="342"/>
      <c r="CO610" s="342"/>
      <c r="CP610" s="342"/>
      <c r="CQ610" s="342"/>
      <c r="CR610" s="342"/>
      <c r="CS610" s="342"/>
      <c r="CT610" s="342"/>
      <c r="CU610" s="342"/>
      <c r="CV610" s="342"/>
      <c r="CW610" s="342"/>
      <c r="CX610" s="342"/>
      <c r="CY610" s="342"/>
    </row>
    <row r="611" spans="2:103" s="343" customFormat="1" ht="30" customHeight="1" x14ac:dyDescent="0.25">
      <c r="B611" s="930">
        <v>44799</v>
      </c>
      <c r="C611" s="103">
        <v>0.91666666666666663</v>
      </c>
      <c r="D611" s="410">
        <v>48.5</v>
      </c>
      <c r="E611" s="415">
        <v>8.8000000000000007</v>
      </c>
      <c r="F611" s="415">
        <v>17.100000000000001</v>
      </c>
      <c r="G611" s="1566" t="s">
        <v>3340</v>
      </c>
      <c r="H611" s="1567"/>
      <c r="I611" s="1567"/>
      <c r="J611" s="1567"/>
      <c r="K611" s="1568"/>
      <c r="L611" s="416">
        <v>36.020000000000003</v>
      </c>
      <c r="M611" s="416">
        <v>39</v>
      </c>
      <c r="N611" s="416">
        <v>54.48</v>
      </c>
      <c r="O611" s="416"/>
      <c r="P611" s="416"/>
      <c r="Q611" s="416"/>
      <c r="R611" s="416" t="s">
        <v>2188</v>
      </c>
      <c r="S611" s="416">
        <v>66.5</v>
      </c>
      <c r="T611" s="102" t="s">
        <v>23</v>
      </c>
      <c r="U611" s="416" t="s">
        <v>236</v>
      </c>
      <c r="V611" s="928"/>
      <c r="CM611" s="342"/>
      <c r="CN611" s="342"/>
      <c r="CO611" s="342"/>
      <c r="CP611" s="342"/>
      <c r="CQ611" s="342"/>
      <c r="CR611" s="342"/>
      <c r="CS611" s="342"/>
      <c r="CT611" s="342"/>
      <c r="CU611" s="342"/>
      <c r="CV611" s="342"/>
      <c r="CW611" s="342"/>
      <c r="CX611" s="342"/>
      <c r="CY611" s="342"/>
    </row>
    <row r="612" spans="2:103" s="343" customFormat="1" ht="30" customHeight="1" x14ac:dyDescent="0.25">
      <c r="B612" s="931">
        <v>44800</v>
      </c>
      <c r="C612" s="103">
        <v>0.9375</v>
      </c>
      <c r="D612" s="410">
        <v>48.5</v>
      </c>
      <c r="E612" s="415">
        <v>8.8000000000000007</v>
      </c>
      <c r="F612" s="415">
        <v>17.100000000000001</v>
      </c>
      <c r="G612" s="1566" t="s">
        <v>3340</v>
      </c>
      <c r="H612" s="1567"/>
      <c r="I612" s="1567"/>
      <c r="J612" s="1567"/>
      <c r="K612" s="1568"/>
      <c r="L612" s="416">
        <v>35.54</v>
      </c>
      <c r="M612" s="416">
        <v>38.5</v>
      </c>
      <c r="N612" s="416">
        <v>58.16</v>
      </c>
      <c r="O612" s="416"/>
      <c r="P612" s="416"/>
      <c r="Q612" s="416"/>
      <c r="R612" s="416" t="s">
        <v>2327</v>
      </c>
      <c r="S612" s="416">
        <v>66.5</v>
      </c>
      <c r="T612" s="102" t="s">
        <v>23</v>
      </c>
      <c r="U612" s="416" t="s">
        <v>236</v>
      </c>
      <c r="V612" s="928"/>
      <c r="CM612" s="342"/>
      <c r="CN612" s="342"/>
      <c r="CO612" s="342"/>
      <c r="CP612" s="342"/>
      <c r="CQ612" s="342"/>
      <c r="CR612" s="342"/>
      <c r="CS612" s="342"/>
      <c r="CT612" s="342"/>
      <c r="CU612" s="342"/>
      <c r="CV612" s="342"/>
      <c r="CW612" s="342"/>
      <c r="CX612" s="342"/>
      <c r="CY612" s="342"/>
    </row>
    <row r="613" spans="2:103" s="343" customFormat="1" ht="30" customHeight="1" x14ac:dyDescent="0.25">
      <c r="B613" s="932">
        <v>44801</v>
      </c>
      <c r="C613" s="103">
        <v>0.91666666666666663</v>
      </c>
      <c r="D613" s="410">
        <v>48.5</v>
      </c>
      <c r="E613" s="415">
        <v>8.6999999999999993</v>
      </c>
      <c r="F613" s="415">
        <v>17.100000000000001</v>
      </c>
      <c r="G613" s="1566" t="s">
        <v>3340</v>
      </c>
      <c r="H613" s="1567"/>
      <c r="I613" s="1567"/>
      <c r="J613" s="1567"/>
      <c r="K613" s="1568"/>
      <c r="L613" s="416">
        <v>36.11</v>
      </c>
      <c r="M613" s="416">
        <v>38.5</v>
      </c>
      <c r="N613" s="416">
        <v>56.17</v>
      </c>
      <c r="O613" s="416"/>
      <c r="P613" s="416"/>
      <c r="Q613" s="416"/>
      <c r="R613" s="416" t="s">
        <v>2191</v>
      </c>
      <c r="S613" s="416">
        <v>66.5</v>
      </c>
      <c r="T613" s="102" t="s">
        <v>23</v>
      </c>
      <c r="U613" s="416" t="s">
        <v>236</v>
      </c>
      <c r="V613" s="928"/>
      <c r="CM613" s="342"/>
      <c r="CN613" s="342"/>
      <c r="CO613" s="342"/>
      <c r="CP613" s="342"/>
      <c r="CQ613" s="342"/>
      <c r="CR613" s="342"/>
      <c r="CS613" s="342"/>
      <c r="CT613" s="342"/>
      <c r="CU613" s="342"/>
      <c r="CV613" s="342"/>
      <c r="CW613" s="342"/>
      <c r="CX613" s="342"/>
      <c r="CY613" s="342"/>
    </row>
    <row r="614" spans="2:103" s="343" customFormat="1" ht="30" customHeight="1" x14ac:dyDescent="0.25">
      <c r="B614" s="934">
        <v>44802</v>
      </c>
      <c r="C614" s="103">
        <v>0.875</v>
      </c>
      <c r="D614" s="410">
        <v>48.5</v>
      </c>
      <c r="E614" s="415">
        <v>8.6999999999999993</v>
      </c>
      <c r="F614" s="415">
        <v>17.100000000000001</v>
      </c>
      <c r="G614" s="1566" t="s">
        <v>3340</v>
      </c>
      <c r="H614" s="1567"/>
      <c r="I614" s="1567"/>
      <c r="J614" s="1567"/>
      <c r="K614" s="1568"/>
      <c r="L614" s="416">
        <v>36.020000000000003</v>
      </c>
      <c r="M614" s="416">
        <v>39.5</v>
      </c>
      <c r="N614" s="416">
        <v>56.25</v>
      </c>
      <c r="O614" s="416"/>
      <c r="P614" s="416"/>
      <c r="Q614" s="416"/>
      <c r="R614" s="416" t="s">
        <v>2101</v>
      </c>
      <c r="S614" s="416">
        <v>66.5</v>
      </c>
      <c r="T614" s="102" t="s">
        <v>23</v>
      </c>
      <c r="U614" s="416" t="s">
        <v>236</v>
      </c>
      <c r="V614" s="928"/>
      <c r="CM614" s="342"/>
      <c r="CN614" s="342"/>
      <c r="CO614" s="342"/>
      <c r="CP614" s="342"/>
      <c r="CQ614" s="342"/>
      <c r="CR614" s="342"/>
      <c r="CS614" s="342"/>
      <c r="CT614" s="342"/>
      <c r="CU614" s="342"/>
      <c r="CV614" s="342"/>
      <c r="CW614" s="342"/>
      <c r="CX614" s="342"/>
      <c r="CY614" s="342"/>
    </row>
    <row r="615" spans="2:103" s="343" customFormat="1" ht="30" customHeight="1" x14ac:dyDescent="0.25">
      <c r="B615" s="935">
        <v>44803</v>
      </c>
      <c r="C615" s="103">
        <v>0.91666666666666663</v>
      </c>
      <c r="D615" s="410">
        <v>48.5</v>
      </c>
      <c r="E615" s="415">
        <v>8.5</v>
      </c>
      <c r="F615" s="415">
        <v>17</v>
      </c>
      <c r="G615" s="1566" t="s">
        <v>3340</v>
      </c>
      <c r="H615" s="1567"/>
      <c r="I615" s="1567"/>
      <c r="J615" s="1567"/>
      <c r="K615" s="1568"/>
      <c r="L615" s="416">
        <v>39.47</v>
      </c>
      <c r="M615" s="416">
        <v>42</v>
      </c>
      <c r="N615" s="416">
        <v>49.82</v>
      </c>
      <c r="O615" s="416"/>
      <c r="P615" s="416"/>
      <c r="Q615" s="416"/>
      <c r="R615" s="416" t="s">
        <v>3681</v>
      </c>
      <c r="S615" s="416">
        <v>66.099999999999994</v>
      </c>
      <c r="T615" s="102" t="s">
        <v>23</v>
      </c>
      <c r="U615" s="416" t="s">
        <v>236</v>
      </c>
      <c r="V615" s="928"/>
      <c r="CM615" s="342"/>
      <c r="CN615" s="342"/>
      <c r="CO615" s="342"/>
      <c r="CP615" s="342"/>
      <c r="CQ615" s="342"/>
      <c r="CR615" s="342"/>
      <c r="CS615" s="342"/>
      <c r="CT615" s="342"/>
      <c r="CU615" s="342"/>
      <c r="CV615" s="342"/>
      <c r="CW615" s="342"/>
      <c r="CX615" s="342"/>
      <c r="CY615" s="342"/>
    </row>
    <row r="616" spans="2:103" s="343" customFormat="1" ht="30" customHeight="1" x14ac:dyDescent="0.25">
      <c r="B616" s="936">
        <v>44804</v>
      </c>
      <c r="C616" s="103">
        <v>0.91666666666666663</v>
      </c>
      <c r="D616" s="410">
        <v>48.5</v>
      </c>
      <c r="E616" s="415">
        <v>9.1</v>
      </c>
      <c r="F616" s="415">
        <v>17.2</v>
      </c>
      <c r="G616" s="1566" t="s">
        <v>3340</v>
      </c>
      <c r="H616" s="1567"/>
      <c r="I616" s="1567"/>
      <c r="J616" s="1567"/>
      <c r="K616" s="1568"/>
      <c r="L616" s="416">
        <v>36.54</v>
      </c>
      <c r="M616" s="416">
        <v>40</v>
      </c>
      <c r="N616" s="416">
        <v>56.78</v>
      </c>
      <c r="O616" s="416"/>
      <c r="P616" s="416"/>
      <c r="Q616" s="416"/>
      <c r="R616" s="416" t="s">
        <v>3102</v>
      </c>
      <c r="S616" s="416">
        <v>66.900000000000006</v>
      </c>
      <c r="T616" s="102" t="s">
        <v>23</v>
      </c>
      <c r="U616" s="416" t="s">
        <v>236</v>
      </c>
      <c r="V616" s="928"/>
      <c r="CM616" s="342"/>
      <c r="CN616" s="342"/>
      <c r="CO616" s="342"/>
      <c r="CP616" s="342"/>
      <c r="CQ616" s="342"/>
      <c r="CR616" s="342"/>
      <c r="CS616" s="342"/>
      <c r="CT616" s="342"/>
      <c r="CU616" s="342"/>
      <c r="CV616" s="342"/>
      <c r="CW616" s="342"/>
      <c r="CX616" s="342"/>
      <c r="CY616" s="342"/>
    </row>
    <row r="617" spans="2:103" s="343" customFormat="1" ht="30" customHeight="1" x14ac:dyDescent="0.25">
      <c r="B617" s="939">
        <v>44805</v>
      </c>
      <c r="C617" s="103">
        <v>0.91666666666666663</v>
      </c>
      <c r="D617" s="410">
        <v>48.5</v>
      </c>
      <c r="E617" s="415">
        <v>10.5</v>
      </c>
      <c r="F617" s="415">
        <v>17.8</v>
      </c>
      <c r="G617" s="1566" t="s">
        <v>3340</v>
      </c>
      <c r="H617" s="1567"/>
      <c r="I617" s="1567"/>
      <c r="J617" s="1567"/>
      <c r="K617" s="1568"/>
      <c r="L617" s="416">
        <v>34.67</v>
      </c>
      <c r="M617" s="416">
        <v>37.6</v>
      </c>
      <c r="N617" s="416">
        <v>55.6</v>
      </c>
      <c r="O617" s="416"/>
      <c r="P617" s="416"/>
      <c r="Q617" s="416"/>
      <c r="R617" s="416" t="s">
        <v>2695</v>
      </c>
      <c r="S617" s="416">
        <v>69.2</v>
      </c>
      <c r="T617" s="102" t="s">
        <v>23</v>
      </c>
      <c r="U617" s="416" t="s">
        <v>236</v>
      </c>
      <c r="V617" s="928"/>
      <c r="CM617" s="342"/>
      <c r="CN617" s="342"/>
      <c r="CO617" s="342"/>
      <c r="CP617" s="342"/>
      <c r="CQ617" s="342"/>
      <c r="CR617" s="342"/>
      <c r="CS617" s="342"/>
      <c r="CT617" s="342"/>
      <c r="CU617" s="342"/>
      <c r="CV617" s="342"/>
      <c r="CW617" s="342"/>
      <c r="CX617" s="342"/>
      <c r="CY617" s="342"/>
    </row>
    <row r="618" spans="2:103" s="343" customFormat="1" ht="30" customHeight="1" x14ac:dyDescent="0.25">
      <c r="B618" s="940">
        <v>44806</v>
      </c>
      <c r="C618" s="103">
        <v>0.9375</v>
      </c>
      <c r="D618" s="410">
        <v>48.5</v>
      </c>
      <c r="E618" s="415">
        <v>9</v>
      </c>
      <c r="F618" s="415">
        <v>17.2</v>
      </c>
      <c r="G618" s="1566" t="s">
        <v>3340</v>
      </c>
      <c r="H618" s="1567"/>
      <c r="I618" s="1567"/>
      <c r="J618" s="1567"/>
      <c r="K618" s="1568"/>
      <c r="L618" s="416">
        <v>35.67</v>
      </c>
      <c r="M618" s="416">
        <v>37.6</v>
      </c>
      <c r="N618" s="416">
        <v>57.63</v>
      </c>
      <c r="O618" s="416"/>
      <c r="P618" s="416"/>
      <c r="Q618" s="416"/>
      <c r="R618" s="416" t="s">
        <v>2204</v>
      </c>
      <c r="S618" s="416">
        <v>66.900000000000006</v>
      </c>
      <c r="T618" s="102" t="s">
        <v>23</v>
      </c>
      <c r="U618" s="416" t="s">
        <v>236</v>
      </c>
      <c r="V618" s="928"/>
      <c r="CM618" s="342"/>
      <c r="CN618" s="342"/>
      <c r="CO618" s="342"/>
      <c r="CP618" s="342"/>
      <c r="CQ618" s="342"/>
      <c r="CR618" s="342"/>
      <c r="CS618" s="342"/>
      <c r="CT618" s="342"/>
      <c r="CU618" s="342"/>
      <c r="CV618" s="342"/>
      <c r="CW618" s="342"/>
      <c r="CX618" s="342"/>
      <c r="CY618" s="342"/>
    </row>
    <row r="619" spans="2:103" s="343" customFormat="1" ht="30" customHeight="1" x14ac:dyDescent="0.25">
      <c r="B619" s="942">
        <v>44807</v>
      </c>
      <c r="C619" s="103">
        <v>0.89583333333333337</v>
      </c>
      <c r="D619" s="410">
        <v>48.5</v>
      </c>
      <c r="E619" s="415">
        <v>8.6999999999999993</v>
      </c>
      <c r="F619" s="415">
        <v>17.100000000000001</v>
      </c>
      <c r="G619" s="1566" t="s">
        <v>3340</v>
      </c>
      <c r="H619" s="1567"/>
      <c r="I619" s="1567"/>
      <c r="J619" s="1567"/>
      <c r="K619" s="1568"/>
      <c r="L619" s="416">
        <v>35.11</v>
      </c>
      <c r="M619" s="416">
        <v>38</v>
      </c>
      <c r="N619" s="416">
        <v>56.2</v>
      </c>
      <c r="O619" s="416"/>
      <c r="P619" s="416"/>
      <c r="Q619" s="416"/>
      <c r="R619" s="416" t="s">
        <v>2191</v>
      </c>
      <c r="S619" s="416">
        <v>66.5</v>
      </c>
      <c r="T619" s="102" t="s">
        <v>23</v>
      </c>
      <c r="U619" s="416" t="s">
        <v>236</v>
      </c>
      <c r="V619" s="928"/>
      <c r="CM619" s="342"/>
      <c r="CN619" s="342"/>
      <c r="CO619" s="342"/>
      <c r="CP619" s="342"/>
      <c r="CQ619" s="342"/>
      <c r="CR619" s="342"/>
      <c r="CS619" s="342"/>
      <c r="CT619" s="342"/>
      <c r="CU619" s="342"/>
      <c r="CV619" s="342"/>
      <c r="CW619" s="342"/>
      <c r="CX619" s="342"/>
      <c r="CY619" s="342"/>
    </row>
    <row r="620" spans="2:103" s="343" customFormat="1" ht="30" customHeight="1" x14ac:dyDescent="0.25">
      <c r="B620" s="943">
        <v>44808</v>
      </c>
      <c r="C620" s="103">
        <v>0.97916666666666663</v>
      </c>
      <c r="D620" s="410">
        <v>48.5</v>
      </c>
      <c r="E620" s="415">
        <v>8.9</v>
      </c>
      <c r="F620" s="415">
        <v>17.2</v>
      </c>
      <c r="G620" s="1566" t="s">
        <v>3340</v>
      </c>
      <c r="H620" s="1567"/>
      <c r="I620" s="1567"/>
      <c r="J620" s="1567"/>
      <c r="K620" s="1568"/>
      <c r="L620" s="416">
        <v>34.21</v>
      </c>
      <c r="M620" s="416">
        <v>37.5</v>
      </c>
      <c r="N620" s="416">
        <v>55.83</v>
      </c>
      <c r="O620" s="416"/>
      <c r="P620" s="416"/>
      <c r="Q620" s="416"/>
      <c r="R620" s="416" t="s">
        <v>3726</v>
      </c>
      <c r="S620" s="416">
        <v>66.900000000000006</v>
      </c>
      <c r="T620" s="102" t="s">
        <v>23</v>
      </c>
      <c r="U620" s="416" t="s">
        <v>236</v>
      </c>
      <c r="V620" s="928"/>
      <c r="CM620" s="342"/>
      <c r="CN620" s="342"/>
      <c r="CO620" s="342"/>
      <c r="CP620" s="342"/>
      <c r="CQ620" s="342"/>
      <c r="CR620" s="342"/>
      <c r="CS620" s="342"/>
      <c r="CT620" s="342"/>
      <c r="CU620" s="342"/>
      <c r="CV620" s="342"/>
      <c r="CW620" s="342"/>
      <c r="CX620" s="342"/>
      <c r="CY620" s="342"/>
    </row>
    <row r="621" spans="2:103" s="343" customFormat="1" ht="30" customHeight="1" x14ac:dyDescent="0.25">
      <c r="B621" s="945">
        <v>44809</v>
      </c>
      <c r="C621" s="103">
        <v>0.9375</v>
      </c>
      <c r="D621" s="410">
        <v>48.5</v>
      </c>
      <c r="E621" s="415">
        <v>9.3000000000000007</v>
      </c>
      <c r="F621" s="415">
        <v>17.3</v>
      </c>
      <c r="G621" s="1566" t="s">
        <v>3340</v>
      </c>
      <c r="H621" s="1567"/>
      <c r="I621" s="1567"/>
      <c r="J621" s="1567"/>
      <c r="K621" s="1568"/>
      <c r="L621" s="416">
        <v>34.82</v>
      </c>
      <c r="M621" s="416">
        <v>38</v>
      </c>
      <c r="N621" s="416">
        <v>59.53</v>
      </c>
      <c r="O621" s="416"/>
      <c r="P621" s="416"/>
      <c r="Q621" s="416"/>
      <c r="R621" s="416" t="s">
        <v>3733</v>
      </c>
      <c r="S621" s="416">
        <v>67.3</v>
      </c>
      <c r="T621" s="102" t="s">
        <v>23</v>
      </c>
      <c r="U621" s="416" t="s">
        <v>236</v>
      </c>
      <c r="V621" s="928"/>
      <c r="CM621" s="342"/>
      <c r="CN621" s="342"/>
      <c r="CO621" s="342"/>
      <c r="CP621" s="342"/>
      <c r="CQ621" s="342"/>
      <c r="CR621" s="342"/>
      <c r="CS621" s="342"/>
      <c r="CT621" s="342"/>
      <c r="CU621" s="342"/>
      <c r="CV621" s="342"/>
      <c r="CW621" s="342"/>
      <c r="CX621" s="342"/>
      <c r="CY621" s="342"/>
    </row>
    <row r="622" spans="2:103" s="343" customFormat="1" ht="30" customHeight="1" x14ac:dyDescent="0.25">
      <c r="B622" s="947">
        <v>44810</v>
      </c>
      <c r="C622" s="103">
        <v>0.91666666666666663</v>
      </c>
      <c r="D622" s="410">
        <v>48.5</v>
      </c>
      <c r="E622" s="415">
        <v>8.6999999999999993</v>
      </c>
      <c r="F622" s="415">
        <v>17.100000000000001</v>
      </c>
      <c r="G622" s="1566" t="s">
        <v>3340</v>
      </c>
      <c r="H622" s="1567"/>
      <c r="I622" s="1567"/>
      <c r="J622" s="1567"/>
      <c r="K622" s="1568"/>
      <c r="L622" s="416">
        <v>35.72</v>
      </c>
      <c r="M622" s="416">
        <v>37.5</v>
      </c>
      <c r="N622" s="416">
        <v>55.32</v>
      </c>
      <c r="O622" s="416"/>
      <c r="P622" s="416"/>
      <c r="Q622" s="416"/>
      <c r="R622" s="416" t="s">
        <v>2327</v>
      </c>
      <c r="S622" s="416">
        <v>66.5</v>
      </c>
      <c r="T622" s="102" t="s">
        <v>23</v>
      </c>
      <c r="U622" s="416" t="s">
        <v>236</v>
      </c>
      <c r="V622" s="928"/>
      <c r="CM622" s="342"/>
      <c r="CN622" s="342"/>
      <c r="CO622" s="342"/>
      <c r="CP622" s="342"/>
      <c r="CQ622" s="342"/>
      <c r="CR622" s="342"/>
      <c r="CS622" s="342"/>
      <c r="CT622" s="342"/>
      <c r="CU622" s="342"/>
      <c r="CV622" s="342"/>
      <c r="CW622" s="342"/>
      <c r="CX622" s="342"/>
      <c r="CY622" s="342"/>
    </row>
    <row r="623" spans="2:103" s="343" customFormat="1" ht="30" customHeight="1" x14ac:dyDescent="0.25">
      <c r="B623" s="948">
        <v>44811</v>
      </c>
      <c r="C623" s="103">
        <v>0.95833333333333337</v>
      </c>
      <c r="D623" s="410">
        <v>48.5</v>
      </c>
      <c r="E623" s="415">
        <v>8.1</v>
      </c>
      <c r="F623" s="415">
        <v>17</v>
      </c>
      <c r="G623" s="1566" t="s">
        <v>3340</v>
      </c>
      <c r="H623" s="1567"/>
      <c r="I623" s="1567"/>
      <c r="J623" s="1567"/>
      <c r="K623" s="1568"/>
      <c r="L623" s="416">
        <v>37.33</v>
      </c>
      <c r="M623" s="416">
        <v>39.5</v>
      </c>
      <c r="N623" s="416">
        <v>50.12</v>
      </c>
      <c r="O623" s="416"/>
      <c r="P623" s="416"/>
      <c r="Q623" s="416"/>
      <c r="R623" s="416" t="s">
        <v>2120</v>
      </c>
      <c r="S623" s="416" t="s">
        <v>3747</v>
      </c>
      <c r="T623" s="102" t="s">
        <v>23</v>
      </c>
      <c r="U623" s="416" t="s">
        <v>236</v>
      </c>
      <c r="V623" s="928"/>
      <c r="CM623" s="342"/>
      <c r="CN623" s="342"/>
      <c r="CO623" s="342"/>
      <c r="CP623" s="342"/>
      <c r="CQ623" s="342"/>
      <c r="CR623" s="342"/>
      <c r="CS623" s="342"/>
      <c r="CT623" s="342"/>
      <c r="CU623" s="342"/>
      <c r="CV623" s="342"/>
      <c r="CW623" s="342"/>
      <c r="CX623" s="342"/>
      <c r="CY623" s="342"/>
    </row>
    <row r="624" spans="2:103" s="343" customFormat="1" ht="30" customHeight="1" x14ac:dyDescent="0.25">
      <c r="B624" s="949">
        <v>44812</v>
      </c>
      <c r="C624" s="103">
        <v>0.9375</v>
      </c>
      <c r="D624" s="410">
        <v>48.5</v>
      </c>
      <c r="E624" s="415">
        <v>9.1999999999999993</v>
      </c>
      <c r="F624" s="415">
        <v>17.2</v>
      </c>
      <c r="G624" s="1566" t="s">
        <v>3340</v>
      </c>
      <c r="H624" s="1567"/>
      <c r="I624" s="1567"/>
      <c r="J624" s="1567"/>
      <c r="K624" s="1568"/>
      <c r="L624" s="416">
        <v>34.47</v>
      </c>
      <c r="M624" s="416">
        <v>37.5</v>
      </c>
      <c r="N624" s="416">
        <v>54.56</v>
      </c>
      <c r="O624" s="416"/>
      <c r="P624" s="416"/>
      <c r="Q624" s="416"/>
      <c r="R624" s="416" t="s">
        <v>3102</v>
      </c>
      <c r="S624" s="416">
        <v>66.900000000000006</v>
      </c>
      <c r="T624" s="102" t="s">
        <v>23</v>
      </c>
      <c r="U624" s="416" t="s">
        <v>236</v>
      </c>
      <c r="V624" s="928"/>
      <c r="CM624" s="342"/>
      <c r="CN624" s="342"/>
      <c r="CO624" s="342"/>
      <c r="CP624" s="342"/>
      <c r="CQ624" s="342"/>
      <c r="CR624" s="342"/>
      <c r="CS624" s="342"/>
      <c r="CT624" s="342"/>
      <c r="CU624" s="342"/>
      <c r="CV624" s="342"/>
      <c r="CW624" s="342"/>
      <c r="CX624" s="342"/>
      <c r="CY624" s="342"/>
    </row>
    <row r="625" spans="2:103" s="343" customFormat="1" ht="30" customHeight="1" x14ac:dyDescent="0.25">
      <c r="B625" s="951">
        <v>44813</v>
      </c>
      <c r="C625" s="103">
        <v>0.95833333333333337</v>
      </c>
      <c r="D625" s="410">
        <v>48.5</v>
      </c>
      <c r="E625" s="415">
        <v>8.6999999999999993</v>
      </c>
      <c r="F625" s="415">
        <v>17.100000000000001</v>
      </c>
      <c r="G625" s="1566" t="s">
        <v>3340</v>
      </c>
      <c r="H625" s="1567"/>
      <c r="I625" s="1567"/>
      <c r="J625" s="1567"/>
      <c r="K625" s="1568"/>
      <c r="L625" s="416">
        <v>38.4</v>
      </c>
      <c r="M625" s="416">
        <v>40.5</v>
      </c>
      <c r="N625" s="416">
        <v>54.33</v>
      </c>
      <c r="O625" s="416"/>
      <c r="P625" s="416"/>
      <c r="Q625" s="416"/>
      <c r="R625" s="416" t="s">
        <v>3761</v>
      </c>
      <c r="S625" s="416">
        <v>66.5</v>
      </c>
      <c r="T625" s="102" t="s">
        <v>23</v>
      </c>
      <c r="U625" s="416" t="s">
        <v>236</v>
      </c>
      <c r="V625" s="928"/>
      <c r="CM625" s="342"/>
      <c r="CN625" s="342"/>
      <c r="CO625" s="342"/>
      <c r="CP625" s="342"/>
      <c r="CQ625" s="342"/>
      <c r="CR625" s="342"/>
      <c r="CS625" s="342"/>
      <c r="CT625" s="342"/>
      <c r="CU625" s="342"/>
      <c r="CV625" s="342"/>
      <c r="CW625" s="342"/>
      <c r="CX625" s="342"/>
      <c r="CY625" s="342"/>
    </row>
    <row r="626" spans="2:103" s="343" customFormat="1" ht="30" customHeight="1" x14ac:dyDescent="0.25">
      <c r="B626" s="953">
        <v>44814</v>
      </c>
      <c r="C626" s="103">
        <v>0.97916666666666663</v>
      </c>
      <c r="D626" s="410">
        <v>48.5</v>
      </c>
      <c r="E626" s="415">
        <v>8.6</v>
      </c>
      <c r="F626" s="415">
        <v>13.5</v>
      </c>
      <c r="G626" s="1566" t="s">
        <v>3340</v>
      </c>
      <c r="H626" s="1567"/>
      <c r="I626" s="1567"/>
      <c r="J626" s="1567"/>
      <c r="K626" s="1568"/>
      <c r="L626" s="416">
        <v>35.54</v>
      </c>
      <c r="M626" s="416">
        <v>38.5</v>
      </c>
      <c r="N626" s="416">
        <v>51</v>
      </c>
      <c r="O626" s="416"/>
      <c r="P626" s="416"/>
      <c r="Q626" s="416"/>
      <c r="R626" s="416" t="s">
        <v>3769</v>
      </c>
      <c r="S626" s="416">
        <v>52.5</v>
      </c>
      <c r="T626" s="102" t="s">
        <v>23</v>
      </c>
      <c r="U626" s="416" t="s">
        <v>236</v>
      </c>
      <c r="V626" s="928"/>
      <c r="CM626" s="342"/>
      <c r="CN626" s="342"/>
      <c r="CO626" s="342"/>
      <c r="CP626" s="342"/>
      <c r="CQ626" s="342"/>
      <c r="CR626" s="342"/>
      <c r="CS626" s="342"/>
      <c r="CT626" s="342"/>
      <c r="CU626" s="342"/>
      <c r="CV626" s="342"/>
      <c r="CW626" s="342"/>
      <c r="CX626" s="342"/>
      <c r="CY626" s="342"/>
    </row>
    <row r="627" spans="2:103" s="343" customFormat="1" ht="30" customHeight="1" x14ac:dyDescent="0.25">
      <c r="B627" s="955">
        <v>44815</v>
      </c>
      <c r="C627" s="103">
        <v>0.95138888888888884</v>
      </c>
      <c r="D627" s="410">
        <v>48.5</v>
      </c>
      <c r="E627" s="415">
        <v>9.1999999999999993</v>
      </c>
      <c r="F627" s="415">
        <v>13.9</v>
      </c>
      <c r="G627" s="1566" t="s">
        <v>3340</v>
      </c>
      <c r="H627" s="1567"/>
      <c r="I627" s="1567"/>
      <c r="J627" s="1567"/>
      <c r="K627" s="1568"/>
      <c r="L627" s="416">
        <v>35.56</v>
      </c>
      <c r="M627" s="416">
        <v>38.5</v>
      </c>
      <c r="N627" s="416">
        <v>57.55</v>
      </c>
      <c r="O627" s="416"/>
      <c r="P627" s="416"/>
      <c r="Q627" s="416"/>
      <c r="R627" s="416" t="s">
        <v>3778</v>
      </c>
      <c r="S627" s="416">
        <v>54</v>
      </c>
      <c r="T627" s="102" t="s">
        <v>23</v>
      </c>
      <c r="U627" s="416" t="s">
        <v>236</v>
      </c>
      <c r="V627" s="928"/>
      <c r="CM627" s="342"/>
      <c r="CN627" s="342"/>
      <c r="CO627" s="342"/>
      <c r="CP627" s="342"/>
      <c r="CQ627" s="342"/>
      <c r="CR627" s="342"/>
      <c r="CS627" s="342"/>
      <c r="CT627" s="342"/>
      <c r="CU627" s="342"/>
      <c r="CV627" s="342"/>
      <c r="CW627" s="342"/>
      <c r="CX627" s="342"/>
      <c r="CY627" s="342"/>
    </row>
    <row r="628" spans="2:103" s="343" customFormat="1" ht="30" customHeight="1" x14ac:dyDescent="0.25">
      <c r="B628" s="956">
        <v>44816</v>
      </c>
      <c r="C628" s="103">
        <v>0.91666666666666663</v>
      </c>
      <c r="D628" s="410">
        <v>48.5</v>
      </c>
      <c r="E628" s="415">
        <v>9.1</v>
      </c>
      <c r="F628" s="415">
        <v>13.8</v>
      </c>
      <c r="G628" s="1566" t="s">
        <v>3340</v>
      </c>
      <c r="H628" s="1567"/>
      <c r="I628" s="1567"/>
      <c r="J628" s="1567"/>
      <c r="K628" s="1568"/>
      <c r="L628" s="416">
        <v>35.25</v>
      </c>
      <c r="M628" s="416">
        <v>38.5</v>
      </c>
      <c r="N628" s="416">
        <v>56.93</v>
      </c>
      <c r="O628" s="416"/>
      <c r="P628" s="416"/>
      <c r="Q628" s="416"/>
      <c r="R628" s="416" t="s">
        <v>3786</v>
      </c>
      <c r="S628" s="416">
        <v>53.6</v>
      </c>
      <c r="T628" s="102" t="s">
        <v>23</v>
      </c>
      <c r="U628" s="416" t="s">
        <v>236</v>
      </c>
      <c r="V628" s="928"/>
      <c r="CM628" s="342"/>
      <c r="CN628" s="342"/>
      <c r="CO628" s="342"/>
      <c r="CP628" s="342"/>
      <c r="CQ628" s="342"/>
      <c r="CR628" s="342"/>
      <c r="CS628" s="342"/>
      <c r="CT628" s="342"/>
      <c r="CU628" s="342"/>
      <c r="CV628" s="342"/>
      <c r="CW628" s="342"/>
      <c r="CX628" s="342"/>
      <c r="CY628" s="342"/>
    </row>
    <row r="629" spans="2:103" s="343" customFormat="1" ht="30" customHeight="1" x14ac:dyDescent="0.25">
      <c r="B629" s="958">
        <v>44817</v>
      </c>
      <c r="C629" s="103">
        <v>0.58333333333333337</v>
      </c>
      <c r="D629" s="410">
        <v>48.5</v>
      </c>
      <c r="E629" s="415">
        <v>11</v>
      </c>
      <c r="F629" s="415">
        <v>14.6</v>
      </c>
      <c r="G629" s="1566" t="s">
        <v>3340</v>
      </c>
      <c r="H629" s="1567"/>
      <c r="I629" s="1567"/>
      <c r="J629" s="1567"/>
      <c r="K629" s="1568"/>
      <c r="L629" s="416">
        <v>34.72</v>
      </c>
      <c r="M629" s="416">
        <v>38</v>
      </c>
      <c r="N629" s="416">
        <v>58.18</v>
      </c>
      <c r="O629" s="416"/>
      <c r="P629" s="416"/>
      <c r="Q629" s="416"/>
      <c r="R629" s="416" t="s">
        <v>2644</v>
      </c>
      <c r="S629" s="416">
        <v>56.8</v>
      </c>
      <c r="T629" s="102" t="s">
        <v>23</v>
      </c>
      <c r="U629" s="416" t="s">
        <v>236</v>
      </c>
      <c r="V629" s="928"/>
      <c r="CM629" s="342"/>
      <c r="CN629" s="342"/>
      <c r="CO629" s="342"/>
      <c r="CP629" s="342"/>
      <c r="CQ629" s="342"/>
      <c r="CR629" s="342"/>
      <c r="CS629" s="342"/>
      <c r="CT629" s="342"/>
      <c r="CU629" s="342"/>
      <c r="CV629" s="342"/>
      <c r="CW629" s="342"/>
      <c r="CX629" s="342"/>
      <c r="CY629" s="342"/>
    </row>
    <row r="630" spans="2:103" s="343" customFormat="1" ht="30" customHeight="1" x14ac:dyDescent="0.25">
      <c r="B630" s="960">
        <v>44818</v>
      </c>
      <c r="C630" s="103">
        <v>0.9375</v>
      </c>
      <c r="D630" s="410">
        <v>48.5</v>
      </c>
      <c r="E630" s="415">
        <v>9.1999999999999993</v>
      </c>
      <c r="F630" s="415">
        <v>13.9</v>
      </c>
      <c r="G630" s="1566" t="s">
        <v>3340</v>
      </c>
      <c r="H630" s="1567"/>
      <c r="I630" s="1567"/>
      <c r="J630" s="1567"/>
      <c r="K630" s="1568"/>
      <c r="L630" s="416">
        <v>35.020000000000003</v>
      </c>
      <c r="M630" s="416">
        <v>38</v>
      </c>
      <c r="N630" s="416">
        <v>57.85</v>
      </c>
      <c r="O630" s="416"/>
      <c r="P630" s="416"/>
      <c r="Q630" s="416"/>
      <c r="R630" s="416" t="s">
        <v>3786</v>
      </c>
      <c r="S630" s="416">
        <v>54</v>
      </c>
      <c r="T630" s="102" t="s">
        <v>23</v>
      </c>
      <c r="U630" s="416" t="s">
        <v>236</v>
      </c>
      <c r="V630" s="928"/>
      <c r="CM630" s="342"/>
      <c r="CN630" s="342"/>
      <c r="CO630" s="342"/>
      <c r="CP630" s="342"/>
      <c r="CQ630" s="342"/>
      <c r="CR630" s="342"/>
      <c r="CS630" s="342"/>
      <c r="CT630" s="342"/>
      <c r="CU630" s="342"/>
      <c r="CV630" s="342"/>
      <c r="CW630" s="342"/>
      <c r="CX630" s="342"/>
      <c r="CY630" s="342"/>
    </row>
    <row r="631" spans="2:103" s="343" customFormat="1" ht="30" customHeight="1" x14ac:dyDescent="0.25">
      <c r="B631" s="963">
        <v>44819</v>
      </c>
      <c r="C631" s="103">
        <v>0.8125</v>
      </c>
      <c r="D631" s="410">
        <v>48.5</v>
      </c>
      <c r="E631" s="415">
        <v>11.2</v>
      </c>
      <c r="F631" s="415">
        <v>15.3</v>
      </c>
      <c r="G631" s="1566" t="s">
        <v>3340</v>
      </c>
      <c r="H631" s="1567"/>
      <c r="I631" s="1567"/>
      <c r="J631" s="1567"/>
      <c r="K631" s="1568"/>
      <c r="L631" s="416">
        <v>36.06</v>
      </c>
      <c r="M631" s="416">
        <v>39</v>
      </c>
      <c r="N631" s="416">
        <v>55.06</v>
      </c>
      <c r="O631" s="416"/>
      <c r="P631" s="416"/>
      <c r="Q631" s="416"/>
      <c r="R631" s="416" t="s">
        <v>3813</v>
      </c>
      <c r="S631" s="416">
        <v>59.5</v>
      </c>
      <c r="T631" s="102" t="s">
        <v>23</v>
      </c>
      <c r="U631" s="416" t="s">
        <v>236</v>
      </c>
      <c r="V631" s="928"/>
      <c r="CM631" s="342"/>
      <c r="CN631" s="342"/>
      <c r="CO631" s="342"/>
      <c r="CP631" s="342"/>
      <c r="CQ631" s="342"/>
      <c r="CR631" s="342"/>
      <c r="CS631" s="342"/>
      <c r="CT631" s="342"/>
      <c r="CU631" s="342"/>
      <c r="CV631" s="342"/>
      <c r="CW631" s="342"/>
      <c r="CX631" s="342"/>
      <c r="CY631" s="342"/>
    </row>
    <row r="632" spans="2:103" s="343" customFormat="1" ht="30" customHeight="1" x14ac:dyDescent="0.25">
      <c r="B632" s="964">
        <v>44820</v>
      </c>
      <c r="C632" s="103">
        <v>0.75</v>
      </c>
      <c r="D632" s="410">
        <v>48.5</v>
      </c>
      <c r="E632" s="415">
        <v>8.6</v>
      </c>
      <c r="F632" s="415">
        <v>13.5</v>
      </c>
      <c r="G632" s="1566" t="s">
        <v>3340</v>
      </c>
      <c r="H632" s="1567"/>
      <c r="I632" s="1567"/>
      <c r="J632" s="1567"/>
      <c r="K632" s="1568"/>
      <c r="L632" s="416">
        <v>35.01</v>
      </c>
      <c r="M632" s="416">
        <v>38</v>
      </c>
      <c r="N632" s="416">
        <v>54.53</v>
      </c>
      <c r="O632" s="416"/>
      <c r="P632" s="416"/>
      <c r="Q632" s="416"/>
      <c r="R632" s="416" t="s">
        <v>3819</v>
      </c>
      <c r="S632" s="416">
        <v>52.5</v>
      </c>
      <c r="T632" s="102" t="s">
        <v>23</v>
      </c>
      <c r="U632" s="416" t="s">
        <v>236</v>
      </c>
      <c r="V632" s="928"/>
      <c r="CM632" s="342"/>
      <c r="CN632" s="342"/>
      <c r="CO632" s="342"/>
      <c r="CP632" s="342"/>
      <c r="CQ632" s="342"/>
      <c r="CR632" s="342"/>
      <c r="CS632" s="342"/>
      <c r="CT632" s="342"/>
      <c r="CU632" s="342"/>
      <c r="CV632" s="342"/>
      <c r="CW632" s="342"/>
      <c r="CX632" s="342"/>
      <c r="CY632" s="342"/>
    </row>
    <row r="633" spans="2:103" s="343" customFormat="1" ht="30" customHeight="1" x14ac:dyDescent="0.25">
      <c r="B633" s="965">
        <v>44821</v>
      </c>
      <c r="C633" s="103">
        <v>0.75</v>
      </c>
      <c r="D633" s="410">
        <v>48.5</v>
      </c>
      <c r="E633" s="415">
        <v>8.6</v>
      </c>
      <c r="F633" s="415">
        <v>13.5</v>
      </c>
      <c r="G633" s="1566" t="s">
        <v>3340</v>
      </c>
      <c r="H633" s="1567"/>
      <c r="I633" s="1567"/>
      <c r="J633" s="1567"/>
      <c r="K633" s="1568"/>
      <c r="L633" s="416">
        <v>36.06</v>
      </c>
      <c r="M633" s="416">
        <v>38</v>
      </c>
      <c r="N633" s="416">
        <v>53.6</v>
      </c>
      <c r="O633" s="416"/>
      <c r="P633" s="416"/>
      <c r="Q633" s="416"/>
      <c r="R633" s="416" t="s">
        <v>3819</v>
      </c>
      <c r="S633" s="416">
        <v>52.5</v>
      </c>
      <c r="T633" s="102" t="s">
        <v>23</v>
      </c>
      <c r="U633" s="416" t="s">
        <v>236</v>
      </c>
      <c r="V633" s="928"/>
      <c r="CM633" s="342"/>
      <c r="CN633" s="342"/>
      <c r="CO633" s="342"/>
      <c r="CP633" s="342"/>
      <c r="CQ633" s="342"/>
      <c r="CR633" s="342"/>
      <c r="CS633" s="342"/>
      <c r="CT633" s="342"/>
      <c r="CU633" s="342"/>
      <c r="CV633" s="342"/>
      <c r="CW633" s="342"/>
      <c r="CX633" s="342"/>
      <c r="CY633" s="342"/>
    </row>
    <row r="634" spans="2:103" s="343" customFormat="1" ht="30" customHeight="1" x14ac:dyDescent="0.25">
      <c r="B634" s="967">
        <v>44822</v>
      </c>
      <c r="C634" s="103">
        <v>0.75</v>
      </c>
      <c r="D634" s="410">
        <v>48.5</v>
      </c>
      <c r="E634" s="415">
        <v>8.6</v>
      </c>
      <c r="F634" s="415">
        <v>13.5</v>
      </c>
      <c r="G634" s="1566" t="s">
        <v>3340</v>
      </c>
      <c r="H634" s="1567"/>
      <c r="I634" s="1567"/>
      <c r="J634" s="1567"/>
      <c r="K634" s="1568"/>
      <c r="L634" s="416">
        <v>35.71</v>
      </c>
      <c r="M634" s="416">
        <v>37.5</v>
      </c>
      <c r="N634" s="416">
        <v>53.7</v>
      </c>
      <c r="O634" s="416"/>
      <c r="P634" s="416"/>
      <c r="Q634" s="416"/>
      <c r="R634" s="416" t="s">
        <v>3819</v>
      </c>
      <c r="S634" s="416">
        <v>52.5</v>
      </c>
      <c r="T634" s="102" t="s">
        <v>23</v>
      </c>
      <c r="U634" s="416" t="s">
        <v>236</v>
      </c>
      <c r="V634" s="928"/>
      <c r="CM634" s="342"/>
      <c r="CN634" s="342"/>
      <c r="CO634" s="342"/>
      <c r="CP634" s="342"/>
      <c r="CQ634" s="342"/>
      <c r="CR634" s="342"/>
      <c r="CS634" s="342"/>
      <c r="CT634" s="342"/>
      <c r="CU634" s="342"/>
      <c r="CV634" s="342"/>
      <c r="CW634" s="342"/>
      <c r="CX634" s="342"/>
      <c r="CY634" s="342"/>
    </row>
    <row r="635" spans="2:103" s="343" customFormat="1" ht="30" customHeight="1" x14ac:dyDescent="0.25">
      <c r="B635" s="968">
        <v>44823</v>
      </c>
      <c r="C635" s="103">
        <v>0.75</v>
      </c>
      <c r="D635" s="410">
        <v>48.5</v>
      </c>
      <c r="E635" s="415">
        <v>8.9</v>
      </c>
      <c r="F635" s="415">
        <v>13.7</v>
      </c>
      <c r="G635" s="1566" t="s">
        <v>3340</v>
      </c>
      <c r="H635" s="1567"/>
      <c r="I635" s="1567"/>
      <c r="J635" s="1567"/>
      <c r="K635" s="1568"/>
      <c r="L635" s="416">
        <v>34.29</v>
      </c>
      <c r="M635" s="416">
        <v>37</v>
      </c>
      <c r="N635" s="416">
        <v>57.35</v>
      </c>
      <c r="O635" s="416"/>
      <c r="P635" s="416"/>
      <c r="Q635" s="416"/>
      <c r="R635" s="416" t="s">
        <v>3838</v>
      </c>
      <c r="S635" s="416">
        <v>53.5</v>
      </c>
      <c r="T635" s="102" t="s">
        <v>23</v>
      </c>
      <c r="U635" s="416" t="s">
        <v>236</v>
      </c>
      <c r="V635" s="928"/>
      <c r="CM635" s="342"/>
      <c r="CN635" s="342"/>
      <c r="CO635" s="342"/>
      <c r="CP635" s="342"/>
      <c r="CQ635" s="342"/>
      <c r="CR635" s="342"/>
      <c r="CS635" s="342"/>
      <c r="CT635" s="342"/>
      <c r="CU635" s="342"/>
      <c r="CV635" s="342"/>
      <c r="CW635" s="342"/>
      <c r="CX635" s="342"/>
      <c r="CY635" s="342"/>
    </row>
    <row r="636" spans="2:103" s="343" customFormat="1" ht="30" customHeight="1" x14ac:dyDescent="0.25">
      <c r="B636" s="969">
        <v>44824</v>
      </c>
      <c r="C636" s="103">
        <v>0.91666666666666663</v>
      </c>
      <c r="D636" s="410">
        <v>48.5</v>
      </c>
      <c r="E636" s="415">
        <v>8.5</v>
      </c>
      <c r="F636" s="415">
        <v>13.4</v>
      </c>
      <c r="G636" s="1566" t="s">
        <v>3340</v>
      </c>
      <c r="H636" s="1567"/>
      <c r="I636" s="1567"/>
      <c r="J636" s="1567"/>
      <c r="K636" s="1568"/>
      <c r="L636" s="416">
        <v>36.700000000000003</v>
      </c>
      <c r="M636" s="416">
        <v>38.5</v>
      </c>
      <c r="N636" s="416">
        <v>52.34</v>
      </c>
      <c r="O636" s="416"/>
      <c r="P636" s="416"/>
      <c r="Q636" s="416"/>
      <c r="R636" s="416" t="s">
        <v>3850</v>
      </c>
      <c r="S636" s="416">
        <v>52.1</v>
      </c>
      <c r="T636" s="102" t="s">
        <v>23</v>
      </c>
      <c r="U636" s="416" t="s">
        <v>236</v>
      </c>
      <c r="V636" s="928"/>
      <c r="CM636" s="342"/>
      <c r="CN636" s="342"/>
      <c r="CO636" s="342"/>
      <c r="CP636" s="342"/>
      <c r="CQ636" s="342"/>
      <c r="CR636" s="342"/>
      <c r="CS636" s="342"/>
      <c r="CT636" s="342"/>
      <c r="CU636" s="342"/>
      <c r="CV636" s="342"/>
      <c r="CW636" s="342"/>
      <c r="CX636" s="342"/>
      <c r="CY636" s="342"/>
    </row>
    <row r="637" spans="2:103" s="343" customFormat="1" ht="30" customHeight="1" x14ac:dyDescent="0.25">
      <c r="B637" s="970">
        <v>44825</v>
      </c>
      <c r="C637" s="103">
        <v>0.79166666666666663</v>
      </c>
      <c r="D637" s="410">
        <v>49</v>
      </c>
      <c r="E637" s="415">
        <v>9.1999999999999993</v>
      </c>
      <c r="F637" s="415">
        <v>13.9</v>
      </c>
      <c r="G637" s="1566" t="s">
        <v>3340</v>
      </c>
      <c r="H637" s="1567"/>
      <c r="I637" s="1567"/>
      <c r="J637" s="1567"/>
      <c r="K637" s="1568"/>
      <c r="L637" s="416">
        <v>34.53</v>
      </c>
      <c r="M637" s="416">
        <v>37.5</v>
      </c>
      <c r="N637" s="416">
        <v>58.39</v>
      </c>
      <c r="O637" s="416"/>
      <c r="P637" s="416"/>
      <c r="Q637" s="416"/>
      <c r="R637" s="416" t="s">
        <v>3858</v>
      </c>
      <c r="S637" s="416">
        <v>54</v>
      </c>
      <c r="T637" s="102" t="s">
        <v>23</v>
      </c>
      <c r="U637" s="416" t="s">
        <v>236</v>
      </c>
      <c r="V637" s="928" t="s">
        <v>3861</v>
      </c>
      <c r="CM637" s="342"/>
      <c r="CN637" s="342"/>
      <c r="CO637" s="342"/>
      <c r="CP637" s="342"/>
      <c r="CQ637" s="342"/>
      <c r="CR637" s="342"/>
      <c r="CS637" s="342"/>
      <c r="CT637" s="342"/>
      <c r="CU637" s="342"/>
      <c r="CV637" s="342"/>
      <c r="CW637" s="342"/>
      <c r="CX637" s="342"/>
      <c r="CY637" s="342"/>
    </row>
    <row r="638" spans="2:103" s="343" customFormat="1" ht="30" customHeight="1" x14ac:dyDescent="0.25">
      <c r="B638" s="972">
        <v>44826</v>
      </c>
      <c r="C638" s="103">
        <v>0.83333333333333337</v>
      </c>
      <c r="D638" s="410">
        <v>49</v>
      </c>
      <c r="E638" s="415">
        <v>9</v>
      </c>
      <c r="F638" s="415">
        <v>13.8</v>
      </c>
      <c r="G638" s="1566" t="s">
        <v>3340</v>
      </c>
      <c r="H638" s="1567"/>
      <c r="I638" s="1567"/>
      <c r="J638" s="1567"/>
      <c r="K638" s="1568"/>
      <c r="L638" s="416">
        <v>33.21</v>
      </c>
      <c r="M638" s="416">
        <v>37</v>
      </c>
      <c r="N638" s="416">
        <v>54.26</v>
      </c>
      <c r="O638" s="416"/>
      <c r="P638" s="416"/>
      <c r="Q638" s="416"/>
      <c r="R638" s="416" t="s">
        <v>3869</v>
      </c>
      <c r="S638" s="416">
        <v>53.6</v>
      </c>
      <c r="T638" s="102" t="s">
        <v>23</v>
      </c>
      <c r="U638" s="416" t="s">
        <v>236</v>
      </c>
      <c r="V638" s="928"/>
      <c r="CM638" s="342"/>
      <c r="CN638" s="342"/>
      <c r="CO638" s="342"/>
      <c r="CP638" s="342"/>
      <c r="CQ638" s="342"/>
      <c r="CR638" s="342"/>
      <c r="CS638" s="342"/>
      <c r="CT638" s="342"/>
      <c r="CU638" s="342"/>
      <c r="CV638" s="342"/>
      <c r="CW638" s="342"/>
      <c r="CX638" s="342"/>
      <c r="CY638" s="342"/>
    </row>
    <row r="639" spans="2:103" s="343" customFormat="1" ht="30" customHeight="1" x14ac:dyDescent="0.25">
      <c r="B639" s="973">
        <v>44827</v>
      </c>
      <c r="C639" s="103">
        <v>0.91666666666666663</v>
      </c>
      <c r="D639" s="410">
        <v>49</v>
      </c>
      <c r="E639" s="415">
        <v>9.1999999999999993</v>
      </c>
      <c r="F639" s="415">
        <v>13.9</v>
      </c>
      <c r="G639" s="1566" t="s">
        <v>3340</v>
      </c>
      <c r="H639" s="1567"/>
      <c r="I639" s="1567"/>
      <c r="J639" s="1567"/>
      <c r="K639" s="1568"/>
      <c r="L639" s="416">
        <v>36</v>
      </c>
      <c r="M639" s="416">
        <v>37.5</v>
      </c>
      <c r="N639" s="416">
        <v>56.78</v>
      </c>
      <c r="O639" s="416"/>
      <c r="P639" s="416"/>
      <c r="Q639" s="416"/>
      <c r="R639" s="416" t="s">
        <v>3875</v>
      </c>
      <c r="S639" s="416">
        <v>54</v>
      </c>
      <c r="T639" s="102" t="s">
        <v>23</v>
      </c>
      <c r="U639" s="416" t="s">
        <v>236</v>
      </c>
      <c r="V639" s="928"/>
      <c r="CM639" s="342"/>
      <c r="CN639" s="342"/>
      <c r="CO639" s="342"/>
      <c r="CP639" s="342"/>
      <c r="CQ639" s="342"/>
      <c r="CR639" s="342"/>
      <c r="CS639" s="342"/>
      <c r="CT639" s="342"/>
      <c r="CU639" s="342"/>
      <c r="CV639" s="342"/>
      <c r="CW639" s="342"/>
      <c r="CX639" s="342"/>
      <c r="CY639" s="342"/>
    </row>
    <row r="640" spans="2:103" s="343" customFormat="1" ht="30" customHeight="1" x14ac:dyDescent="0.25">
      <c r="B640" s="974">
        <v>44828</v>
      </c>
      <c r="C640" s="103">
        <v>0.91666666666666663</v>
      </c>
      <c r="D640" s="410">
        <v>49</v>
      </c>
      <c r="E640" s="415">
        <v>9.3000000000000007</v>
      </c>
      <c r="F640" s="415">
        <v>14</v>
      </c>
      <c r="G640" s="1566" t="s">
        <v>3340</v>
      </c>
      <c r="H640" s="1567"/>
      <c r="I640" s="1567"/>
      <c r="J640" s="1567"/>
      <c r="K640" s="1568"/>
      <c r="L640" s="416">
        <v>34.03</v>
      </c>
      <c r="M640" s="416">
        <v>37.5</v>
      </c>
      <c r="N640" s="416">
        <v>59.27</v>
      </c>
      <c r="O640" s="416"/>
      <c r="P640" s="416"/>
      <c r="Q640" s="416"/>
      <c r="R640" s="416" t="s">
        <v>3884</v>
      </c>
      <c r="S640" s="416">
        <v>54.4</v>
      </c>
      <c r="T640" s="102" t="s">
        <v>23</v>
      </c>
      <c r="U640" s="416" t="s">
        <v>236</v>
      </c>
      <c r="V640" s="928"/>
      <c r="CM640" s="342"/>
      <c r="CN640" s="342"/>
      <c r="CO640" s="342"/>
      <c r="CP640" s="342"/>
      <c r="CQ640" s="342"/>
      <c r="CR640" s="342"/>
      <c r="CS640" s="342"/>
      <c r="CT640" s="342"/>
      <c r="CU640" s="342"/>
      <c r="CV640" s="342"/>
      <c r="CW640" s="342"/>
      <c r="CX640" s="342"/>
      <c r="CY640" s="342"/>
    </row>
    <row r="641" spans="2:103" s="343" customFormat="1" ht="30" customHeight="1" x14ac:dyDescent="0.25">
      <c r="B641" s="975">
        <v>44829</v>
      </c>
      <c r="C641" s="103">
        <v>0.91666666666666663</v>
      </c>
      <c r="D641" s="410">
        <v>49</v>
      </c>
      <c r="E641" s="415">
        <v>9.3000000000000007</v>
      </c>
      <c r="F641" s="415">
        <v>14</v>
      </c>
      <c r="G641" s="1566" t="s">
        <v>3340</v>
      </c>
      <c r="H641" s="1567"/>
      <c r="I641" s="1567"/>
      <c r="J641" s="1567"/>
      <c r="K641" s="1568"/>
      <c r="L641" s="416">
        <v>34.81</v>
      </c>
      <c r="M641" s="416">
        <v>38</v>
      </c>
      <c r="N641" s="416">
        <v>58.08</v>
      </c>
      <c r="O641" s="416"/>
      <c r="P641" s="416"/>
      <c r="Q641" s="416"/>
      <c r="R641" s="416" t="s">
        <v>3884</v>
      </c>
      <c r="S641" s="416">
        <v>54.4</v>
      </c>
      <c r="T641" s="102" t="s">
        <v>23</v>
      </c>
      <c r="U641" s="416" t="s">
        <v>236</v>
      </c>
      <c r="V641" s="928"/>
      <c r="CM641" s="342"/>
      <c r="CN641" s="342"/>
      <c r="CO641" s="342"/>
      <c r="CP641" s="342"/>
      <c r="CQ641" s="342"/>
      <c r="CR641" s="342"/>
      <c r="CS641" s="342"/>
      <c r="CT641" s="342"/>
      <c r="CU641" s="342"/>
      <c r="CV641" s="342"/>
      <c r="CW641" s="342"/>
      <c r="CX641" s="342"/>
      <c r="CY641" s="342"/>
    </row>
    <row r="642" spans="2:103" s="343" customFormat="1" ht="33.75" customHeight="1" x14ac:dyDescent="0.25">
      <c r="B642" s="976">
        <v>44830</v>
      </c>
      <c r="C642" s="103">
        <v>0.89583333333333337</v>
      </c>
      <c r="D642" s="410">
        <v>49</v>
      </c>
      <c r="E642" s="415">
        <v>9</v>
      </c>
      <c r="F642" s="415">
        <v>13.7</v>
      </c>
      <c r="G642" s="1566" t="s">
        <v>3340</v>
      </c>
      <c r="H642" s="1567"/>
      <c r="I642" s="1567"/>
      <c r="J642" s="1567"/>
      <c r="K642" s="1568"/>
      <c r="L642" s="416">
        <v>34.82</v>
      </c>
      <c r="M642" s="416">
        <v>37.5</v>
      </c>
      <c r="N642" s="416">
        <v>58.96</v>
      </c>
      <c r="O642" s="416"/>
      <c r="P642" s="416"/>
      <c r="Q642" s="416"/>
      <c r="R642" s="416" t="s">
        <v>3903</v>
      </c>
      <c r="S642" s="416">
        <v>53.3</v>
      </c>
      <c r="T642" s="102" t="s">
        <v>23</v>
      </c>
      <c r="U642" s="416" t="s">
        <v>236</v>
      </c>
      <c r="V642" s="928"/>
      <c r="CM642" s="342"/>
      <c r="CN642" s="342"/>
      <c r="CO642" s="342"/>
      <c r="CP642" s="342"/>
      <c r="CQ642" s="342"/>
      <c r="CR642" s="342"/>
      <c r="CS642" s="342"/>
      <c r="CT642" s="342"/>
      <c r="CU642" s="342"/>
      <c r="CV642" s="342"/>
      <c r="CW642" s="342"/>
      <c r="CX642" s="342"/>
      <c r="CY642" s="342"/>
    </row>
    <row r="643" spans="2:103" s="343" customFormat="1" ht="33.75" customHeight="1" x14ac:dyDescent="0.25">
      <c r="B643" s="977">
        <v>44831</v>
      </c>
      <c r="C643" s="103">
        <v>0.91666666666666663</v>
      </c>
      <c r="D643" s="410">
        <v>49</v>
      </c>
      <c r="E643" s="415">
        <v>10.5</v>
      </c>
      <c r="F643" s="415">
        <v>14.9</v>
      </c>
      <c r="G643" s="1566" t="s">
        <v>3340</v>
      </c>
      <c r="H643" s="1567"/>
      <c r="I643" s="1567"/>
      <c r="J643" s="1567"/>
      <c r="K643" s="1568"/>
      <c r="L643" s="416">
        <v>35.76</v>
      </c>
      <c r="M643" s="416">
        <v>38</v>
      </c>
      <c r="N643" s="416">
        <v>55.74</v>
      </c>
      <c r="O643" s="416"/>
      <c r="P643" s="416"/>
      <c r="Q643" s="416"/>
      <c r="R643" s="416" t="s">
        <v>3912</v>
      </c>
      <c r="S643" s="416">
        <v>57.9</v>
      </c>
      <c r="T643" s="102" t="s">
        <v>23</v>
      </c>
      <c r="U643" s="416" t="s">
        <v>236</v>
      </c>
      <c r="V643" s="928"/>
      <c r="CM643" s="342"/>
      <c r="CN643" s="342"/>
      <c r="CO643" s="342"/>
      <c r="CP643" s="342"/>
      <c r="CQ643" s="342"/>
      <c r="CR643" s="342"/>
      <c r="CS643" s="342"/>
      <c r="CT643" s="342"/>
      <c r="CU643" s="342"/>
      <c r="CV643" s="342"/>
      <c r="CW643" s="342"/>
      <c r="CX643" s="342"/>
      <c r="CY643" s="342"/>
    </row>
    <row r="644" spans="2:103" s="343" customFormat="1" ht="33.75" customHeight="1" x14ac:dyDescent="0.25">
      <c r="B644" s="978">
        <v>44832</v>
      </c>
      <c r="C644" s="103">
        <v>0.95833333333333337</v>
      </c>
      <c r="D644" s="410">
        <v>49</v>
      </c>
      <c r="E644" s="415">
        <v>8.5</v>
      </c>
      <c r="F644" s="415">
        <v>13.4</v>
      </c>
      <c r="G644" s="1566" t="s">
        <v>3340</v>
      </c>
      <c r="H644" s="1567"/>
      <c r="I644" s="1567"/>
      <c r="J644" s="1567"/>
      <c r="K644" s="1568"/>
      <c r="L644" s="416">
        <v>36.700000000000003</v>
      </c>
      <c r="M644" s="416">
        <v>39</v>
      </c>
      <c r="N644" s="416">
        <v>51.77</v>
      </c>
      <c r="O644" s="416"/>
      <c r="P644" s="416"/>
      <c r="Q644" s="416"/>
      <c r="R644" s="416" t="s">
        <v>3924</v>
      </c>
      <c r="S644" s="416">
        <v>52.1</v>
      </c>
      <c r="T644" s="102" t="s">
        <v>23</v>
      </c>
      <c r="U644" s="416" t="s">
        <v>236</v>
      </c>
      <c r="V644" s="928"/>
      <c r="CM644" s="342"/>
      <c r="CN644" s="342"/>
      <c r="CO644" s="342"/>
      <c r="CP644" s="342"/>
      <c r="CQ644" s="342"/>
      <c r="CR644" s="342"/>
      <c r="CS644" s="342"/>
      <c r="CT644" s="342"/>
      <c r="CU644" s="342"/>
      <c r="CV644" s="342"/>
      <c r="CW644" s="342"/>
      <c r="CX644" s="342"/>
      <c r="CY644" s="342"/>
    </row>
    <row r="645" spans="2:103" s="343" customFormat="1" ht="33.75" customHeight="1" x14ac:dyDescent="0.25">
      <c r="B645" s="979">
        <v>44833</v>
      </c>
      <c r="C645" s="103">
        <v>0.9375</v>
      </c>
      <c r="D645" s="410">
        <v>49</v>
      </c>
      <c r="E645" s="415">
        <v>8.8000000000000007</v>
      </c>
      <c r="F645" s="415">
        <v>13.6</v>
      </c>
      <c r="G645" s="1566" t="s">
        <v>3340</v>
      </c>
      <c r="H645" s="1567"/>
      <c r="I645" s="1567"/>
      <c r="J645" s="1567"/>
      <c r="K645" s="1568"/>
      <c r="L645" s="416">
        <v>36.86</v>
      </c>
      <c r="M645" s="416">
        <v>39</v>
      </c>
      <c r="N645" s="416">
        <v>53.45</v>
      </c>
      <c r="O645" s="416"/>
      <c r="P645" s="416"/>
      <c r="Q645" s="416"/>
      <c r="R645" s="416" t="s">
        <v>3930</v>
      </c>
      <c r="S645" s="416">
        <v>52.9</v>
      </c>
      <c r="T645" s="102" t="s">
        <v>23</v>
      </c>
      <c r="U645" s="416" t="s">
        <v>236</v>
      </c>
      <c r="V645" s="928"/>
      <c r="CM645" s="342"/>
      <c r="CN645" s="342"/>
      <c r="CO645" s="342"/>
      <c r="CP645" s="342"/>
      <c r="CQ645" s="342"/>
      <c r="CR645" s="342"/>
      <c r="CS645" s="342"/>
      <c r="CT645" s="342"/>
      <c r="CU645" s="342"/>
      <c r="CV645" s="342"/>
      <c r="CW645" s="342"/>
      <c r="CX645" s="342"/>
      <c r="CY645" s="342"/>
    </row>
    <row r="646" spans="2:103" s="343" customFormat="1" ht="33.75" customHeight="1" x14ac:dyDescent="0.25">
      <c r="B646" s="980">
        <v>44834</v>
      </c>
      <c r="C646" s="103">
        <v>0.9375</v>
      </c>
      <c r="D646" s="410">
        <v>51</v>
      </c>
      <c r="E646" s="415">
        <v>10.9</v>
      </c>
      <c r="F646" s="415">
        <v>15.3</v>
      </c>
      <c r="G646" s="1566" t="s">
        <v>3340</v>
      </c>
      <c r="H646" s="1567"/>
      <c r="I646" s="1567"/>
      <c r="J646" s="1567"/>
      <c r="K646" s="1568"/>
      <c r="L646" s="416">
        <v>38.020000000000003</v>
      </c>
      <c r="M646" s="416">
        <v>40.5</v>
      </c>
      <c r="N646" s="416">
        <v>58.4</v>
      </c>
      <c r="O646" s="416"/>
      <c r="P646" s="416"/>
      <c r="Q646" s="416"/>
      <c r="R646" s="416" t="s">
        <v>3937</v>
      </c>
      <c r="S646" s="416">
        <v>59.5</v>
      </c>
      <c r="T646" s="102" t="s">
        <v>23</v>
      </c>
      <c r="U646" s="416" t="s">
        <v>236</v>
      </c>
      <c r="V646" s="928" t="s">
        <v>3942</v>
      </c>
      <c r="CM646" s="342"/>
      <c r="CN646" s="342"/>
      <c r="CO646" s="342"/>
      <c r="CP646" s="342"/>
      <c r="CQ646" s="342"/>
      <c r="CR646" s="342"/>
      <c r="CS646" s="342"/>
      <c r="CT646" s="342"/>
      <c r="CU646" s="342"/>
      <c r="CV646" s="342"/>
      <c r="CW646" s="342"/>
      <c r="CX646" s="342"/>
      <c r="CY646" s="342"/>
    </row>
    <row r="647" spans="2:103" s="343" customFormat="1" ht="33.75" customHeight="1" x14ac:dyDescent="0.25">
      <c r="B647" s="984">
        <v>44835</v>
      </c>
      <c r="C647" s="103">
        <v>0.9375</v>
      </c>
      <c r="D647" s="410">
        <v>50.5</v>
      </c>
      <c r="E647" s="415">
        <v>10.199999999999999</v>
      </c>
      <c r="F647" s="415">
        <v>14.8</v>
      </c>
      <c r="G647" s="1566" t="s">
        <v>3340</v>
      </c>
      <c r="H647" s="1567"/>
      <c r="I647" s="1567"/>
      <c r="J647" s="1567"/>
      <c r="K647" s="1568"/>
      <c r="L647" s="416">
        <v>38.270000000000003</v>
      </c>
      <c r="M647" s="416">
        <v>41</v>
      </c>
      <c r="N647" s="416">
        <v>60</v>
      </c>
      <c r="O647" s="416"/>
      <c r="P647" s="416"/>
      <c r="Q647" s="416"/>
      <c r="R647" s="416" t="s">
        <v>2590</v>
      </c>
      <c r="S647" s="416">
        <v>57.5</v>
      </c>
      <c r="T647" s="102" t="s">
        <v>23</v>
      </c>
      <c r="U647" s="416" t="s">
        <v>236</v>
      </c>
      <c r="V647" s="928" t="s">
        <v>3948</v>
      </c>
      <c r="CM647" s="342"/>
      <c r="CN647" s="342"/>
      <c r="CO647" s="342"/>
      <c r="CP647" s="342"/>
      <c r="CQ647" s="342"/>
      <c r="CR647" s="342"/>
      <c r="CS647" s="342"/>
      <c r="CT647" s="342"/>
      <c r="CU647" s="342"/>
      <c r="CV647" s="342"/>
      <c r="CW647" s="342"/>
      <c r="CX647" s="342"/>
      <c r="CY647" s="342"/>
    </row>
    <row r="648" spans="2:103" s="343" customFormat="1" ht="33.75" customHeight="1" x14ac:dyDescent="0.25">
      <c r="B648" s="986">
        <v>44836</v>
      </c>
      <c r="C648" s="103">
        <v>0.95833333333333337</v>
      </c>
      <c r="D648" s="410">
        <v>49.5</v>
      </c>
      <c r="E648" s="415">
        <v>9.4</v>
      </c>
      <c r="F648" s="415">
        <v>14.1</v>
      </c>
      <c r="G648" s="1566" t="s">
        <v>3340</v>
      </c>
      <c r="H648" s="1567"/>
      <c r="I648" s="1567"/>
      <c r="J648" s="1567"/>
      <c r="K648" s="1568"/>
      <c r="L648" s="416">
        <v>36.14</v>
      </c>
      <c r="M648" s="416">
        <v>40</v>
      </c>
      <c r="N648" s="416">
        <v>61.8</v>
      </c>
      <c r="O648" s="416"/>
      <c r="P648" s="416"/>
      <c r="Q648" s="416"/>
      <c r="R648" s="416" t="s">
        <v>3957</v>
      </c>
      <c r="S648" s="416">
        <v>54.8</v>
      </c>
      <c r="T648" s="102" t="s">
        <v>23</v>
      </c>
      <c r="U648" s="416" t="s">
        <v>236</v>
      </c>
      <c r="V648" s="928" t="s">
        <v>3958</v>
      </c>
      <c r="CM648" s="342"/>
      <c r="CN648" s="342"/>
      <c r="CO648" s="342"/>
      <c r="CP648" s="342"/>
      <c r="CQ648" s="342"/>
      <c r="CR648" s="342"/>
      <c r="CS648" s="342"/>
      <c r="CT648" s="342"/>
      <c r="CU648" s="342"/>
      <c r="CV648" s="342"/>
      <c r="CW648" s="342"/>
      <c r="CX648" s="342"/>
      <c r="CY648" s="342"/>
    </row>
    <row r="649" spans="2:103" s="343" customFormat="1" ht="33.75" customHeight="1" x14ac:dyDescent="0.25">
      <c r="B649" s="987">
        <v>44837</v>
      </c>
      <c r="C649" s="103">
        <v>0.89583333333333337</v>
      </c>
      <c r="D649" s="410">
        <v>49.5</v>
      </c>
      <c r="E649" s="415">
        <v>8.6999999999999993</v>
      </c>
      <c r="F649" s="415">
        <v>13.6</v>
      </c>
      <c r="G649" s="1566" t="s">
        <v>3340</v>
      </c>
      <c r="H649" s="1567"/>
      <c r="I649" s="1567"/>
      <c r="J649" s="1567"/>
      <c r="K649" s="1568"/>
      <c r="L649" s="416">
        <v>37.22</v>
      </c>
      <c r="M649" s="416">
        <v>40</v>
      </c>
      <c r="N649" s="416">
        <v>53.52</v>
      </c>
      <c r="O649" s="416"/>
      <c r="P649" s="416"/>
      <c r="Q649" s="416"/>
      <c r="R649" s="416" t="s">
        <v>3964</v>
      </c>
      <c r="S649" s="416">
        <v>52.9</v>
      </c>
      <c r="T649" s="102" t="s">
        <v>23</v>
      </c>
      <c r="U649" s="416" t="s">
        <v>236</v>
      </c>
      <c r="V649" s="928" t="s">
        <v>3958</v>
      </c>
      <c r="CM649" s="342"/>
      <c r="CN649" s="342"/>
      <c r="CO649" s="342"/>
      <c r="CP649" s="342"/>
      <c r="CQ649" s="342"/>
      <c r="CR649" s="342"/>
      <c r="CS649" s="342"/>
      <c r="CT649" s="342"/>
      <c r="CU649" s="342"/>
      <c r="CV649" s="342"/>
      <c r="CW649" s="342"/>
      <c r="CX649" s="342"/>
      <c r="CY649" s="342"/>
    </row>
    <row r="650" spans="2:103" s="343" customFormat="1" ht="33.75" customHeight="1" x14ac:dyDescent="0.25">
      <c r="B650" s="988">
        <v>44838</v>
      </c>
      <c r="C650" s="103">
        <v>0</v>
      </c>
      <c r="D650" s="410">
        <v>49.5</v>
      </c>
      <c r="E650" s="415">
        <v>8.4</v>
      </c>
      <c r="F650" s="415">
        <v>13.4</v>
      </c>
      <c r="G650" s="1566" t="s">
        <v>3340</v>
      </c>
      <c r="H650" s="1567"/>
      <c r="I650" s="1567"/>
      <c r="J650" s="1567"/>
      <c r="K650" s="1568"/>
      <c r="L650" s="416">
        <v>37.409999999999997</v>
      </c>
      <c r="M650" s="416">
        <v>40</v>
      </c>
      <c r="N650" s="416">
        <v>48.02</v>
      </c>
      <c r="O650" s="416"/>
      <c r="P650" s="416"/>
      <c r="Q650" s="416"/>
      <c r="R650" s="416" t="s">
        <v>3973</v>
      </c>
      <c r="S650" s="416">
        <v>52.1</v>
      </c>
      <c r="T650" s="102" t="s">
        <v>23</v>
      </c>
      <c r="U650" s="416" t="s">
        <v>236</v>
      </c>
      <c r="V650" s="928"/>
      <c r="CM650" s="342"/>
      <c r="CN650" s="342"/>
      <c r="CO650" s="342"/>
      <c r="CP650" s="342"/>
      <c r="CQ650" s="342"/>
      <c r="CR650" s="342"/>
      <c r="CS650" s="342"/>
      <c r="CT650" s="342"/>
      <c r="CU650" s="342"/>
      <c r="CV650" s="342"/>
      <c r="CW650" s="342"/>
      <c r="CX650" s="342"/>
      <c r="CY650" s="342"/>
    </row>
    <row r="651" spans="2:103" s="343" customFormat="1" ht="33.75" customHeight="1" x14ac:dyDescent="0.25">
      <c r="B651" s="989">
        <v>44839</v>
      </c>
      <c r="C651" s="103">
        <v>0.9375</v>
      </c>
      <c r="D651" s="410">
        <v>51.5</v>
      </c>
      <c r="E651" s="415">
        <v>10.4</v>
      </c>
      <c r="F651" s="415">
        <v>14.9</v>
      </c>
      <c r="G651" s="1566" t="s">
        <v>3340</v>
      </c>
      <c r="H651" s="1567"/>
      <c r="I651" s="1567"/>
      <c r="J651" s="1567"/>
      <c r="K651" s="1568"/>
      <c r="L651" s="416">
        <v>39.72</v>
      </c>
      <c r="M651" s="416">
        <v>41.5</v>
      </c>
      <c r="N651" s="416">
        <v>61.33</v>
      </c>
      <c r="O651" s="416"/>
      <c r="P651" s="416"/>
      <c r="Q651" s="416"/>
      <c r="R651" s="416" t="s">
        <v>3912</v>
      </c>
      <c r="S651" s="416">
        <v>57.9</v>
      </c>
      <c r="T651" s="102" t="s">
        <v>23</v>
      </c>
      <c r="U651" s="416" t="s">
        <v>236</v>
      </c>
      <c r="V651" s="928" t="s">
        <v>3978</v>
      </c>
      <c r="CM651" s="342"/>
      <c r="CN651" s="342"/>
      <c r="CO651" s="342"/>
      <c r="CP651" s="342"/>
      <c r="CQ651" s="342"/>
      <c r="CR651" s="342"/>
      <c r="CS651" s="342"/>
      <c r="CT651" s="342"/>
      <c r="CU651" s="342"/>
      <c r="CV651" s="342"/>
      <c r="CW651" s="342"/>
      <c r="CX651" s="342"/>
      <c r="CY651" s="342"/>
    </row>
    <row r="652" spans="2:103" s="343" customFormat="1" ht="33.75" customHeight="1" x14ac:dyDescent="0.25">
      <c r="B652" s="991">
        <v>44840</v>
      </c>
      <c r="C652" s="103">
        <v>0.95833333333333337</v>
      </c>
      <c r="D652" s="410">
        <v>51.5</v>
      </c>
      <c r="E652" s="415">
        <v>11.8</v>
      </c>
      <c r="F652" s="415">
        <v>16.100000000000001</v>
      </c>
      <c r="G652" s="1566" t="s">
        <v>3340</v>
      </c>
      <c r="H652" s="1567"/>
      <c r="I652" s="1567"/>
      <c r="J652" s="1567"/>
      <c r="K652" s="1568"/>
      <c r="L652" s="416">
        <v>40</v>
      </c>
      <c r="M652" s="416">
        <v>43</v>
      </c>
      <c r="N652" s="416">
        <v>58.16</v>
      </c>
      <c r="O652" s="416"/>
      <c r="P652" s="416"/>
      <c r="Q652" s="416"/>
      <c r="R652" s="416" t="s">
        <v>3988</v>
      </c>
      <c r="S652" s="416">
        <v>62.6</v>
      </c>
      <c r="T652" s="102" t="s">
        <v>23</v>
      </c>
      <c r="U652" s="416" t="s">
        <v>236</v>
      </c>
      <c r="V652" s="928"/>
      <c r="CM652" s="342"/>
      <c r="CN652" s="342"/>
      <c r="CO652" s="342"/>
      <c r="CP652" s="342"/>
      <c r="CQ652" s="342"/>
      <c r="CR652" s="342"/>
      <c r="CS652" s="342"/>
      <c r="CT652" s="342"/>
      <c r="CU652" s="342"/>
      <c r="CV652" s="342"/>
      <c r="CW652" s="342"/>
      <c r="CX652" s="342"/>
      <c r="CY652" s="342"/>
    </row>
    <row r="653" spans="2:103" s="343" customFormat="1" ht="37.5" customHeight="1" x14ac:dyDescent="0.25">
      <c r="B653" s="992">
        <v>44841</v>
      </c>
      <c r="C653" s="103">
        <v>0.8125</v>
      </c>
      <c r="D653" s="410">
        <v>51.5</v>
      </c>
      <c r="E653" s="415">
        <v>9.5</v>
      </c>
      <c r="F653" s="415">
        <v>14.2</v>
      </c>
      <c r="G653" s="1566" t="s">
        <v>3340</v>
      </c>
      <c r="H653" s="1567"/>
      <c r="I653" s="1567"/>
      <c r="J653" s="1567"/>
      <c r="K653" s="1568"/>
      <c r="L653" s="416">
        <v>40</v>
      </c>
      <c r="M653" s="416">
        <v>43</v>
      </c>
      <c r="N653" s="416">
        <v>57.74</v>
      </c>
      <c r="O653" s="416"/>
      <c r="P653" s="416"/>
      <c r="Q653" s="416"/>
      <c r="R653" s="416" t="s">
        <v>4000</v>
      </c>
      <c r="S653" s="416">
        <v>55.2</v>
      </c>
      <c r="T653" s="102" t="s">
        <v>23</v>
      </c>
      <c r="U653" s="416" t="s">
        <v>236</v>
      </c>
      <c r="V653" s="928" t="s">
        <v>4001</v>
      </c>
      <c r="CM653" s="342"/>
      <c r="CN653" s="342"/>
      <c r="CO653" s="342"/>
      <c r="CP653" s="342"/>
      <c r="CQ653" s="342"/>
      <c r="CR653" s="342"/>
      <c r="CS653" s="342"/>
      <c r="CT653" s="342"/>
      <c r="CU653" s="342"/>
      <c r="CV653" s="342"/>
      <c r="CW653" s="342"/>
      <c r="CX653" s="342"/>
      <c r="CY653" s="342"/>
    </row>
    <row r="654" spans="2:103" s="343" customFormat="1" ht="33.75" customHeight="1" x14ac:dyDescent="0.25">
      <c r="B654" s="993">
        <v>44842</v>
      </c>
      <c r="C654" s="103">
        <v>0.9375</v>
      </c>
      <c r="D654" s="410">
        <v>51.5</v>
      </c>
      <c r="E654" s="415">
        <v>11.4</v>
      </c>
      <c r="F654" s="415">
        <v>15.7</v>
      </c>
      <c r="G654" s="1566" t="s">
        <v>3340</v>
      </c>
      <c r="H654" s="1567"/>
      <c r="I654" s="1567"/>
      <c r="J654" s="1567"/>
      <c r="K654" s="1568"/>
      <c r="L654" s="416">
        <v>37.39</v>
      </c>
      <c r="M654" s="416">
        <v>41</v>
      </c>
      <c r="N654" s="416">
        <v>63.01</v>
      </c>
      <c r="O654" s="416"/>
      <c r="P654" s="416"/>
      <c r="Q654" s="416"/>
      <c r="R654" s="416" t="s">
        <v>4002</v>
      </c>
      <c r="S654" s="416">
        <v>61</v>
      </c>
      <c r="T654" s="102" t="s">
        <v>23</v>
      </c>
      <c r="U654" s="416" t="s">
        <v>236</v>
      </c>
      <c r="V654" s="928"/>
      <c r="CM654" s="342"/>
      <c r="CN654" s="342"/>
      <c r="CO654" s="342"/>
      <c r="CP654" s="342"/>
      <c r="CQ654" s="342"/>
      <c r="CR654" s="342"/>
      <c r="CS654" s="342"/>
      <c r="CT654" s="342"/>
      <c r="CU654" s="342"/>
      <c r="CV654" s="342"/>
      <c r="CW654" s="342"/>
      <c r="CX654" s="342"/>
      <c r="CY654" s="342"/>
    </row>
    <row r="655" spans="2:103" s="343" customFormat="1" ht="33.75" customHeight="1" x14ac:dyDescent="0.25">
      <c r="B655" s="994">
        <v>44843</v>
      </c>
      <c r="C655" s="103">
        <v>0.9375</v>
      </c>
      <c r="D655" s="410">
        <v>51.5</v>
      </c>
      <c r="E655" s="415">
        <v>12</v>
      </c>
      <c r="F655" s="415">
        <v>16.2</v>
      </c>
      <c r="G655" s="1566" t="s">
        <v>3340</v>
      </c>
      <c r="H655" s="1567"/>
      <c r="I655" s="1567"/>
      <c r="J655" s="1567"/>
      <c r="K655" s="1568"/>
      <c r="L655" s="416">
        <v>37.81</v>
      </c>
      <c r="M655" s="416">
        <v>41</v>
      </c>
      <c r="N655" s="416">
        <v>61.67</v>
      </c>
      <c r="O655" s="416"/>
      <c r="P655" s="416"/>
      <c r="Q655" s="416"/>
      <c r="R655" s="416" t="s">
        <v>4011</v>
      </c>
      <c r="S655" s="416">
        <v>63</v>
      </c>
      <c r="T655" s="102" t="s">
        <v>23</v>
      </c>
      <c r="U655" s="416" t="s">
        <v>236</v>
      </c>
      <c r="V655" s="928"/>
      <c r="CM655" s="342"/>
      <c r="CN655" s="342"/>
      <c r="CO655" s="342"/>
      <c r="CP655" s="342"/>
      <c r="CQ655" s="342"/>
      <c r="CR655" s="342"/>
      <c r="CS655" s="342"/>
      <c r="CT655" s="342"/>
      <c r="CU655" s="342"/>
      <c r="CV655" s="342"/>
      <c r="CW655" s="342"/>
      <c r="CX655" s="342"/>
      <c r="CY655" s="342"/>
    </row>
    <row r="656" spans="2:103" s="343" customFormat="1" ht="33.75" customHeight="1" x14ac:dyDescent="0.25">
      <c r="B656" s="995">
        <v>44844</v>
      </c>
      <c r="C656" s="103">
        <v>0.91666666666666663</v>
      </c>
      <c r="D656" s="410">
        <v>51.5</v>
      </c>
      <c r="E656" s="415">
        <v>11.2</v>
      </c>
      <c r="F656" s="415">
        <v>15.6</v>
      </c>
      <c r="G656" s="1566" t="s">
        <v>3340</v>
      </c>
      <c r="H656" s="1567"/>
      <c r="I656" s="1567"/>
      <c r="J656" s="1567"/>
      <c r="K656" s="1568"/>
      <c r="L656" s="416">
        <v>35.07</v>
      </c>
      <c r="M656" s="416">
        <v>39</v>
      </c>
      <c r="N656" s="416">
        <v>60.7</v>
      </c>
      <c r="O656" s="416"/>
      <c r="P656" s="416"/>
      <c r="Q656" s="416"/>
      <c r="R656" s="416" t="s">
        <v>4018</v>
      </c>
      <c r="S656" s="416">
        <v>60.7</v>
      </c>
      <c r="T656" s="102" t="s">
        <v>23</v>
      </c>
      <c r="U656" s="416" t="s">
        <v>236</v>
      </c>
      <c r="V656" s="928"/>
      <c r="CM656" s="342"/>
      <c r="CN656" s="342"/>
      <c r="CO656" s="342"/>
      <c r="CP656" s="342"/>
      <c r="CQ656" s="342"/>
      <c r="CR656" s="342"/>
      <c r="CS656" s="342"/>
      <c r="CT656" s="342"/>
      <c r="CU656" s="342"/>
      <c r="CV656" s="342"/>
      <c r="CW656" s="342"/>
      <c r="CX656" s="342"/>
      <c r="CY656" s="342"/>
    </row>
    <row r="657" spans="2:103" s="343" customFormat="1" ht="33.75" customHeight="1" x14ac:dyDescent="0.25">
      <c r="B657" s="996">
        <v>44845</v>
      </c>
      <c r="C657" s="103">
        <v>0.9375</v>
      </c>
      <c r="D657" s="410">
        <v>51.5</v>
      </c>
      <c r="E657" s="415">
        <v>9.6</v>
      </c>
      <c r="F657" s="415">
        <v>14.3</v>
      </c>
      <c r="G657" s="1566" t="s">
        <v>3340</v>
      </c>
      <c r="H657" s="1567"/>
      <c r="I657" s="1567"/>
      <c r="J657" s="1567"/>
      <c r="K657" s="1568"/>
      <c r="L657" s="416">
        <v>38.67</v>
      </c>
      <c r="M657" s="416">
        <v>39</v>
      </c>
      <c r="N657" s="416">
        <v>60.15</v>
      </c>
      <c r="O657" s="416"/>
      <c r="P657" s="416"/>
      <c r="Q657" s="416"/>
      <c r="R657" s="416" t="s">
        <v>4025</v>
      </c>
      <c r="S657" s="416">
        <v>55.6</v>
      </c>
      <c r="T657" s="102" t="s">
        <v>23</v>
      </c>
      <c r="U657" s="416" t="s">
        <v>236</v>
      </c>
      <c r="V657" s="928"/>
      <c r="CM657" s="342"/>
      <c r="CN657" s="342"/>
      <c r="CO657" s="342"/>
      <c r="CP657" s="342"/>
      <c r="CQ657" s="342"/>
      <c r="CR657" s="342"/>
      <c r="CS657" s="342"/>
      <c r="CT657" s="342"/>
      <c r="CU657" s="342"/>
      <c r="CV657" s="342"/>
      <c r="CW657" s="342"/>
      <c r="CX657" s="342"/>
      <c r="CY657" s="342"/>
    </row>
    <row r="658" spans="2:103" s="343" customFormat="1" ht="33.75" customHeight="1" x14ac:dyDescent="0.25">
      <c r="B658" s="997">
        <v>44846</v>
      </c>
      <c r="C658" s="103">
        <v>0.97916666666666663</v>
      </c>
      <c r="D658" s="410">
        <v>51.5</v>
      </c>
      <c r="E658" s="415">
        <v>10</v>
      </c>
      <c r="F658" s="415">
        <v>14.7</v>
      </c>
      <c r="G658" s="1566" t="s">
        <v>3340</v>
      </c>
      <c r="H658" s="1567"/>
      <c r="I658" s="1567"/>
      <c r="J658" s="1567"/>
      <c r="K658" s="1568"/>
      <c r="L658" s="416">
        <v>36.700000000000003</v>
      </c>
      <c r="M658" s="416">
        <v>39</v>
      </c>
      <c r="N658" s="416">
        <v>62.63</v>
      </c>
      <c r="O658" s="416"/>
      <c r="P658" s="416"/>
      <c r="Q658" s="416"/>
      <c r="R658" s="416" t="s">
        <v>4035</v>
      </c>
      <c r="S658" s="416">
        <v>57.1</v>
      </c>
      <c r="T658" s="102" t="s">
        <v>23</v>
      </c>
      <c r="U658" s="416" t="s">
        <v>236</v>
      </c>
      <c r="V658" s="928"/>
      <c r="CM658" s="342"/>
      <c r="CN658" s="342"/>
      <c r="CO658" s="342"/>
      <c r="CP658" s="342"/>
      <c r="CQ658" s="342"/>
      <c r="CR658" s="342"/>
      <c r="CS658" s="342"/>
      <c r="CT658" s="342"/>
      <c r="CU658" s="342"/>
      <c r="CV658" s="342"/>
      <c r="CW658" s="342"/>
      <c r="CX658" s="342"/>
      <c r="CY658" s="342"/>
    </row>
    <row r="659" spans="2:103" s="343" customFormat="1" ht="33.75" customHeight="1" x14ac:dyDescent="0.25">
      <c r="B659" s="998">
        <v>44847</v>
      </c>
      <c r="C659" s="103">
        <v>0</v>
      </c>
      <c r="D659" s="410">
        <v>51.5</v>
      </c>
      <c r="E659" s="415">
        <v>9.4</v>
      </c>
      <c r="F659" s="415">
        <v>14.4</v>
      </c>
      <c r="G659" s="1566" t="s">
        <v>3340</v>
      </c>
      <c r="H659" s="1567"/>
      <c r="I659" s="1567"/>
      <c r="J659" s="1567"/>
      <c r="K659" s="1568"/>
      <c r="L659" s="416">
        <v>37.799999999999997</v>
      </c>
      <c r="M659" s="416">
        <v>40</v>
      </c>
      <c r="N659" s="416">
        <v>59.8</v>
      </c>
      <c r="O659" s="416"/>
      <c r="P659" s="416"/>
      <c r="Q659" s="416"/>
      <c r="R659" s="416" t="s">
        <v>4052</v>
      </c>
      <c r="S659" s="416">
        <v>56.3</v>
      </c>
      <c r="T659" s="102" t="s">
        <v>23</v>
      </c>
      <c r="U659" s="416" t="s">
        <v>236</v>
      </c>
      <c r="V659" s="928"/>
      <c r="CM659" s="342"/>
      <c r="CN659" s="342"/>
      <c r="CO659" s="342"/>
      <c r="CP659" s="342"/>
      <c r="CQ659" s="342"/>
      <c r="CR659" s="342"/>
      <c r="CS659" s="342"/>
      <c r="CT659" s="342"/>
      <c r="CU659" s="342"/>
      <c r="CV659" s="342"/>
      <c r="CW659" s="342"/>
      <c r="CX659" s="342"/>
      <c r="CY659" s="342"/>
    </row>
    <row r="660" spans="2:103" s="343" customFormat="1" ht="33.75" customHeight="1" x14ac:dyDescent="0.25">
      <c r="B660" s="998">
        <v>44848</v>
      </c>
      <c r="C660" s="103">
        <v>0.75</v>
      </c>
      <c r="D660" s="410">
        <v>51.5</v>
      </c>
      <c r="E660" s="415">
        <v>9.4</v>
      </c>
      <c r="F660" s="415">
        <v>14.1</v>
      </c>
      <c r="G660" s="1566" t="s">
        <v>3340</v>
      </c>
      <c r="H660" s="1567"/>
      <c r="I660" s="1567"/>
      <c r="J660" s="1567"/>
      <c r="K660" s="1568"/>
      <c r="L660" s="416">
        <v>37.5</v>
      </c>
      <c r="M660" s="416">
        <v>40</v>
      </c>
      <c r="N660" s="416">
        <v>56.7</v>
      </c>
      <c r="O660" s="416"/>
      <c r="P660" s="416"/>
      <c r="Q660" s="416"/>
      <c r="R660" s="416" t="s">
        <v>4054</v>
      </c>
      <c r="S660" s="416">
        <v>61.4</v>
      </c>
      <c r="T660" s="102" t="s">
        <v>23</v>
      </c>
      <c r="U660" s="416" t="s">
        <v>236</v>
      </c>
      <c r="V660" s="928"/>
      <c r="CM660" s="342"/>
      <c r="CN660" s="342"/>
      <c r="CO660" s="342"/>
      <c r="CP660" s="342"/>
      <c r="CQ660" s="342"/>
      <c r="CR660" s="342"/>
      <c r="CS660" s="342"/>
      <c r="CT660" s="342"/>
      <c r="CU660" s="342"/>
      <c r="CV660" s="342"/>
      <c r="CW660" s="342"/>
      <c r="CX660" s="342"/>
      <c r="CY660" s="342"/>
    </row>
    <row r="661" spans="2:103" s="343" customFormat="1" ht="33.75" customHeight="1" x14ac:dyDescent="0.25">
      <c r="B661" s="998">
        <v>44849</v>
      </c>
      <c r="C661" s="103">
        <v>0.75</v>
      </c>
      <c r="D661" s="410">
        <v>51.5</v>
      </c>
      <c r="E661" s="415">
        <v>9.9</v>
      </c>
      <c r="F661" s="415">
        <v>14.5</v>
      </c>
      <c r="G661" s="1566" t="s">
        <v>3340</v>
      </c>
      <c r="H661" s="1567"/>
      <c r="I661" s="1567"/>
      <c r="J661" s="1567"/>
      <c r="K661" s="1568"/>
      <c r="L661" s="416">
        <v>37.6</v>
      </c>
      <c r="M661" s="416">
        <v>40</v>
      </c>
      <c r="N661" s="416">
        <v>59.8</v>
      </c>
      <c r="O661" s="416"/>
      <c r="P661" s="416"/>
      <c r="Q661" s="416"/>
      <c r="R661" s="416" t="s">
        <v>4059</v>
      </c>
      <c r="S661" s="416">
        <v>56.4</v>
      </c>
      <c r="T661" s="102" t="s">
        <v>23</v>
      </c>
      <c r="U661" s="416" t="s">
        <v>236</v>
      </c>
      <c r="V661" s="928"/>
      <c r="CM661" s="342"/>
      <c r="CN661" s="342"/>
      <c r="CO661" s="342"/>
      <c r="CP661" s="342"/>
      <c r="CQ661" s="342"/>
      <c r="CR661" s="342"/>
      <c r="CS661" s="342"/>
      <c r="CT661" s="342"/>
      <c r="CU661" s="342"/>
      <c r="CV661" s="342"/>
      <c r="CW661" s="342"/>
      <c r="CX661" s="342"/>
      <c r="CY661" s="342"/>
    </row>
    <row r="662" spans="2:103" s="343" customFormat="1" ht="33.75" customHeight="1" x14ac:dyDescent="0.25">
      <c r="B662" s="999">
        <v>44850</v>
      </c>
      <c r="C662" s="103">
        <v>0.97916666666666663</v>
      </c>
      <c r="D662" s="410">
        <v>51.5</v>
      </c>
      <c r="E662" s="415">
        <v>9.1999999999999993</v>
      </c>
      <c r="F662" s="415">
        <v>14.1</v>
      </c>
      <c r="G662" s="1566" t="s">
        <v>3340</v>
      </c>
      <c r="H662" s="1567"/>
      <c r="I662" s="1567"/>
      <c r="J662" s="1567"/>
      <c r="K662" s="1568"/>
      <c r="L662" s="416">
        <v>40</v>
      </c>
      <c r="M662" s="416">
        <v>43</v>
      </c>
      <c r="N662" s="416">
        <v>52.81</v>
      </c>
      <c r="O662" s="416"/>
      <c r="P662" s="416"/>
      <c r="Q662" s="416"/>
      <c r="R662" s="416" t="s">
        <v>3957</v>
      </c>
      <c r="S662" s="416">
        <v>54.8</v>
      </c>
      <c r="T662" s="102" t="s">
        <v>23</v>
      </c>
      <c r="U662" s="416" t="s">
        <v>236</v>
      </c>
      <c r="V662" s="928" t="s">
        <v>415</v>
      </c>
      <c r="CM662" s="342"/>
      <c r="CN662" s="342"/>
      <c r="CO662" s="342"/>
      <c r="CP662" s="342"/>
      <c r="CQ662" s="342"/>
      <c r="CR662" s="342"/>
      <c r="CS662" s="342"/>
      <c r="CT662" s="342"/>
      <c r="CU662" s="342"/>
      <c r="CV662" s="342"/>
      <c r="CW662" s="342"/>
      <c r="CX662" s="342"/>
      <c r="CY662" s="342"/>
    </row>
    <row r="663" spans="2:103" s="343" customFormat="1" ht="33.75" customHeight="1" x14ac:dyDescent="0.25">
      <c r="B663" s="1000">
        <v>44851</v>
      </c>
      <c r="C663" s="103">
        <v>0.54166666666666663</v>
      </c>
      <c r="D663" s="410">
        <v>51.5</v>
      </c>
      <c r="E663" s="415">
        <v>11.7</v>
      </c>
      <c r="F663" s="415">
        <v>16</v>
      </c>
      <c r="G663" s="1566" t="s">
        <v>3340</v>
      </c>
      <c r="H663" s="1567"/>
      <c r="I663" s="1567"/>
      <c r="J663" s="1567"/>
      <c r="K663" s="1568"/>
      <c r="L663" s="416">
        <v>38.86</v>
      </c>
      <c r="M663" s="416">
        <v>41.5</v>
      </c>
      <c r="N663" s="416">
        <v>58.96</v>
      </c>
      <c r="O663" s="416"/>
      <c r="P663" s="416"/>
      <c r="Q663" s="416"/>
      <c r="R663" s="416" t="s">
        <v>751</v>
      </c>
      <c r="S663" s="416">
        <v>62.2</v>
      </c>
      <c r="T663" s="102" t="s">
        <v>23</v>
      </c>
      <c r="U663" s="416" t="s">
        <v>236</v>
      </c>
      <c r="V663" s="928"/>
      <c r="CM663" s="342"/>
      <c r="CN663" s="342"/>
      <c r="CO663" s="342"/>
      <c r="CP663" s="342"/>
      <c r="CQ663" s="342"/>
      <c r="CR663" s="342"/>
      <c r="CS663" s="342"/>
      <c r="CT663" s="342"/>
      <c r="CU663" s="342"/>
      <c r="CV663" s="342"/>
      <c r="CW663" s="342"/>
      <c r="CX663" s="342"/>
      <c r="CY663" s="342"/>
    </row>
    <row r="664" spans="2:103" s="343" customFormat="1" ht="33.75" customHeight="1" x14ac:dyDescent="0.25">
      <c r="B664" s="1002">
        <v>44852</v>
      </c>
      <c r="C664" s="103">
        <v>0.54166666666666663</v>
      </c>
      <c r="D664" s="410">
        <v>51.5</v>
      </c>
      <c r="E664" s="415">
        <v>11.7</v>
      </c>
      <c r="F664" s="415">
        <v>16</v>
      </c>
      <c r="G664" s="1566" t="s">
        <v>3340</v>
      </c>
      <c r="H664" s="1567"/>
      <c r="I664" s="1567"/>
      <c r="J664" s="1567"/>
      <c r="K664" s="1568"/>
      <c r="L664" s="416">
        <v>38.1</v>
      </c>
      <c r="M664" s="416">
        <v>41.5</v>
      </c>
      <c r="N664" s="416">
        <v>59.4</v>
      </c>
      <c r="O664" s="416"/>
      <c r="P664" s="416"/>
      <c r="Q664" s="416"/>
      <c r="R664" s="416" t="s">
        <v>751</v>
      </c>
      <c r="S664" s="416">
        <v>62.6</v>
      </c>
      <c r="T664" s="102" t="s">
        <v>23</v>
      </c>
      <c r="U664" s="416" t="s">
        <v>236</v>
      </c>
      <c r="V664" s="928"/>
      <c r="CM664" s="342"/>
      <c r="CN664" s="342"/>
      <c r="CO664" s="342"/>
      <c r="CP664" s="342"/>
      <c r="CQ664" s="342"/>
      <c r="CR664" s="342"/>
      <c r="CS664" s="342"/>
      <c r="CT664" s="342"/>
      <c r="CU664" s="342"/>
      <c r="CV664" s="342"/>
      <c r="CW664" s="342"/>
      <c r="CX664" s="342"/>
      <c r="CY664" s="342"/>
    </row>
    <row r="665" spans="2:103" s="343" customFormat="1" ht="33.75" customHeight="1" x14ac:dyDescent="0.25">
      <c r="B665" s="1003">
        <v>44853</v>
      </c>
      <c r="C665" s="103">
        <v>0.95833333333333337</v>
      </c>
      <c r="D665" s="410">
        <v>51.5</v>
      </c>
      <c r="E665" s="415">
        <v>9.4</v>
      </c>
      <c r="F665" s="415">
        <v>14.2</v>
      </c>
      <c r="G665" s="1566" t="s">
        <v>3340</v>
      </c>
      <c r="H665" s="1567"/>
      <c r="I665" s="1567"/>
      <c r="J665" s="1567"/>
      <c r="K665" s="1568"/>
      <c r="L665" s="416">
        <v>39.94</v>
      </c>
      <c r="M665" s="416">
        <v>43</v>
      </c>
      <c r="N665" s="416">
        <v>56.67</v>
      </c>
      <c r="O665" s="416"/>
      <c r="P665" s="416"/>
      <c r="Q665" s="416"/>
      <c r="R665" s="416" t="s">
        <v>4087</v>
      </c>
      <c r="S665" s="416">
        <v>55.2</v>
      </c>
      <c r="T665" s="102" t="s">
        <v>23</v>
      </c>
      <c r="U665" s="416" t="s">
        <v>236</v>
      </c>
      <c r="V665" s="928"/>
      <c r="CM665" s="342"/>
      <c r="CN665" s="342"/>
      <c r="CO665" s="342"/>
      <c r="CP665" s="342"/>
      <c r="CQ665" s="342"/>
      <c r="CR665" s="342"/>
      <c r="CS665" s="342"/>
      <c r="CT665" s="342"/>
      <c r="CU665" s="342"/>
      <c r="CV665" s="342"/>
      <c r="CW665" s="342"/>
      <c r="CX665" s="342"/>
      <c r="CY665" s="342"/>
    </row>
    <row r="666" spans="2:103" s="343" customFormat="1" ht="33.75" customHeight="1" x14ac:dyDescent="0.25">
      <c r="B666" s="1004">
        <v>44854</v>
      </c>
      <c r="C666" s="103">
        <v>0.60416666666666663</v>
      </c>
      <c r="D666" s="410">
        <v>51.5</v>
      </c>
      <c r="E666" s="415">
        <v>9.9</v>
      </c>
      <c r="F666" s="415">
        <v>14.6</v>
      </c>
      <c r="G666" s="1566" t="s">
        <v>3340</v>
      </c>
      <c r="H666" s="1567"/>
      <c r="I666" s="1567"/>
      <c r="J666" s="1567"/>
      <c r="K666" s="1568"/>
      <c r="L666" s="416">
        <v>38.31</v>
      </c>
      <c r="M666" s="416">
        <v>42</v>
      </c>
      <c r="N666" s="416">
        <v>59.61</v>
      </c>
      <c r="O666" s="416"/>
      <c r="P666" s="416"/>
      <c r="Q666" s="416"/>
      <c r="R666" s="416" t="s">
        <v>4098</v>
      </c>
      <c r="S666" s="416">
        <v>56.8</v>
      </c>
      <c r="T666" s="102" t="s">
        <v>23</v>
      </c>
      <c r="U666" s="416" t="s">
        <v>236</v>
      </c>
      <c r="V666" s="928"/>
      <c r="CM666" s="342"/>
      <c r="CN666" s="342"/>
      <c r="CO666" s="342"/>
      <c r="CP666" s="342"/>
      <c r="CQ666" s="342"/>
      <c r="CR666" s="342"/>
      <c r="CS666" s="342"/>
      <c r="CT666" s="342"/>
      <c r="CU666" s="342"/>
      <c r="CV666" s="342"/>
      <c r="CW666" s="342"/>
      <c r="CX666" s="342"/>
      <c r="CY666" s="342"/>
    </row>
    <row r="667" spans="2:103" s="343" customFormat="1" ht="33.75" customHeight="1" x14ac:dyDescent="0.25">
      <c r="B667" s="1005">
        <v>44855</v>
      </c>
      <c r="C667" s="103">
        <v>0.60416666666666663</v>
      </c>
      <c r="D667" s="410">
        <v>51.5</v>
      </c>
      <c r="E667" s="415">
        <v>9.6999999999999993</v>
      </c>
      <c r="F667" s="415">
        <v>14.3</v>
      </c>
      <c r="G667" s="1566" t="s">
        <v>3340</v>
      </c>
      <c r="H667" s="1567"/>
      <c r="I667" s="1567"/>
      <c r="J667" s="1567"/>
      <c r="K667" s="1568"/>
      <c r="L667" s="416">
        <v>39.79</v>
      </c>
      <c r="M667" s="416">
        <v>42.5</v>
      </c>
      <c r="N667" s="416">
        <v>56.13</v>
      </c>
      <c r="O667" s="416"/>
      <c r="P667" s="416"/>
      <c r="Q667" s="416"/>
      <c r="R667" s="416" t="s">
        <v>4025</v>
      </c>
      <c r="S667" s="416">
        <v>55.6</v>
      </c>
      <c r="T667" s="102" t="s">
        <v>23</v>
      </c>
      <c r="U667" s="416" t="s">
        <v>236</v>
      </c>
      <c r="V667" s="928"/>
      <c r="CM667" s="342"/>
      <c r="CN667" s="342"/>
      <c r="CO667" s="342"/>
      <c r="CP667" s="342"/>
      <c r="CQ667" s="342"/>
      <c r="CR667" s="342"/>
      <c r="CS667" s="342"/>
      <c r="CT667" s="342"/>
      <c r="CU667" s="342"/>
      <c r="CV667" s="342"/>
      <c r="CW667" s="342"/>
      <c r="CX667" s="342"/>
      <c r="CY667" s="342"/>
    </row>
    <row r="668" spans="2:103" s="343" customFormat="1" ht="33.75" customHeight="1" x14ac:dyDescent="0.25">
      <c r="B668" s="1006">
        <v>44856</v>
      </c>
      <c r="C668" s="103">
        <v>0.75</v>
      </c>
      <c r="D668" s="410">
        <v>51.5</v>
      </c>
      <c r="E668" s="415">
        <v>10.4</v>
      </c>
      <c r="F668" s="415">
        <v>14.5</v>
      </c>
      <c r="G668" s="1566" t="s">
        <v>3340</v>
      </c>
      <c r="H668" s="1567"/>
      <c r="I668" s="1567"/>
      <c r="J668" s="1567"/>
      <c r="K668" s="1568"/>
      <c r="L668" s="416">
        <v>39.799999999999997</v>
      </c>
      <c r="M668" s="416">
        <v>42.5</v>
      </c>
      <c r="N668" s="416">
        <v>58</v>
      </c>
      <c r="O668" s="416"/>
      <c r="P668" s="416"/>
      <c r="Q668" s="416"/>
      <c r="R668" s="416" t="s">
        <v>4025</v>
      </c>
      <c r="S668" s="416">
        <v>56</v>
      </c>
      <c r="T668" s="102" t="s">
        <v>23</v>
      </c>
      <c r="U668" s="416" t="s">
        <v>236</v>
      </c>
      <c r="V668" s="928"/>
      <c r="CM668" s="342"/>
      <c r="CN668" s="342"/>
      <c r="CO668" s="342"/>
      <c r="CP668" s="342"/>
      <c r="CQ668" s="342"/>
      <c r="CR668" s="342"/>
      <c r="CS668" s="342"/>
      <c r="CT668" s="342"/>
      <c r="CU668" s="342"/>
      <c r="CV668" s="342"/>
      <c r="CW668" s="342"/>
      <c r="CX668" s="342"/>
      <c r="CY668" s="342"/>
    </row>
    <row r="669" spans="2:103" s="343" customFormat="1" ht="33.75" customHeight="1" x14ac:dyDescent="0.25">
      <c r="B669" s="1007">
        <v>44857</v>
      </c>
      <c r="C669" s="103">
        <v>0.75</v>
      </c>
      <c r="D669" s="410">
        <v>51.5</v>
      </c>
      <c r="E669" s="415">
        <v>9</v>
      </c>
      <c r="F669" s="415">
        <v>14.6</v>
      </c>
      <c r="G669" s="1566" t="s">
        <v>3340</v>
      </c>
      <c r="H669" s="1567"/>
      <c r="I669" s="1567"/>
      <c r="J669" s="1567"/>
      <c r="K669" s="1568"/>
      <c r="L669" s="416">
        <v>38.700000000000003</v>
      </c>
      <c r="M669" s="416">
        <v>41.5</v>
      </c>
      <c r="N669" s="416">
        <v>59.2</v>
      </c>
      <c r="O669" s="416"/>
      <c r="P669" s="416"/>
      <c r="Q669" s="416"/>
      <c r="R669" s="416" t="s">
        <v>4117</v>
      </c>
      <c r="S669" s="416">
        <v>57</v>
      </c>
      <c r="T669" s="102" t="s">
        <v>23</v>
      </c>
      <c r="U669" s="416" t="s">
        <v>236</v>
      </c>
      <c r="V669" s="928"/>
      <c r="CM669" s="342"/>
      <c r="CN669" s="342"/>
      <c r="CO669" s="342"/>
      <c r="CP669" s="342"/>
      <c r="CQ669" s="342"/>
      <c r="CR669" s="342"/>
      <c r="CS669" s="342"/>
      <c r="CT669" s="342"/>
      <c r="CU669" s="342"/>
      <c r="CV669" s="342"/>
      <c r="CW669" s="342"/>
      <c r="CX669" s="342"/>
      <c r="CY669" s="342"/>
    </row>
    <row r="670" spans="2:103" s="343" customFormat="1" ht="33.75" customHeight="1" x14ac:dyDescent="0.25">
      <c r="B670" s="1008">
        <v>44858</v>
      </c>
      <c r="C670" s="103">
        <v>0.75</v>
      </c>
      <c r="D670" s="410">
        <v>51.5</v>
      </c>
      <c r="E670" s="415">
        <v>9.6</v>
      </c>
      <c r="F670" s="415">
        <v>14.7</v>
      </c>
      <c r="G670" s="1566" t="s">
        <v>3340</v>
      </c>
      <c r="H670" s="1567"/>
      <c r="I670" s="1567"/>
      <c r="J670" s="1567"/>
      <c r="K670" s="1568"/>
      <c r="L670" s="416">
        <v>38.5</v>
      </c>
      <c r="M670" s="416">
        <v>40.5</v>
      </c>
      <c r="N670" s="416">
        <v>57</v>
      </c>
      <c r="O670" s="416"/>
      <c r="P670" s="416"/>
      <c r="Q670" s="416"/>
      <c r="R670" s="416" t="s">
        <v>4117</v>
      </c>
      <c r="S670" s="416">
        <v>56.2</v>
      </c>
      <c r="T670" s="102" t="s">
        <v>23</v>
      </c>
      <c r="U670" s="416" t="s">
        <v>236</v>
      </c>
      <c r="V670" s="928"/>
      <c r="CM670" s="342"/>
      <c r="CN670" s="342"/>
      <c r="CO670" s="342"/>
      <c r="CP670" s="342"/>
      <c r="CQ670" s="342"/>
      <c r="CR670" s="342"/>
      <c r="CS670" s="342"/>
      <c r="CT670" s="342"/>
      <c r="CU670" s="342"/>
      <c r="CV670" s="342"/>
      <c r="CW670" s="342"/>
      <c r="CX670" s="342"/>
      <c r="CY670" s="342"/>
    </row>
    <row r="671" spans="2:103" s="343" customFormat="1" ht="33.75" customHeight="1" x14ac:dyDescent="0.25">
      <c r="B671" s="1009">
        <v>44859</v>
      </c>
      <c r="C671" s="103">
        <v>0.95833333333333337</v>
      </c>
      <c r="D671" s="410">
        <v>51.5</v>
      </c>
      <c r="E671" s="415">
        <v>10</v>
      </c>
      <c r="F671" s="415">
        <v>14.6</v>
      </c>
      <c r="G671" s="1566" t="s">
        <v>3340</v>
      </c>
      <c r="H671" s="1567"/>
      <c r="I671" s="1567"/>
      <c r="J671" s="1567"/>
      <c r="K671" s="1568"/>
      <c r="L671" s="416">
        <v>37.26</v>
      </c>
      <c r="M671" s="416">
        <v>40</v>
      </c>
      <c r="N671" s="416">
        <v>59.57</v>
      </c>
      <c r="O671" s="416"/>
      <c r="P671" s="416"/>
      <c r="Q671" s="416"/>
      <c r="R671" s="416" t="s">
        <v>4123</v>
      </c>
      <c r="S671" s="416">
        <v>56.8</v>
      </c>
      <c r="T671" s="102" t="s">
        <v>23</v>
      </c>
      <c r="U671" s="416" t="s">
        <v>236</v>
      </c>
      <c r="V671" s="928"/>
      <c r="CM671" s="342"/>
      <c r="CN671" s="342"/>
      <c r="CO671" s="342"/>
      <c r="CP671" s="342"/>
      <c r="CQ671" s="342"/>
      <c r="CR671" s="342"/>
      <c r="CS671" s="342"/>
      <c r="CT671" s="342"/>
      <c r="CU671" s="342"/>
      <c r="CV671" s="342"/>
      <c r="CW671" s="342"/>
      <c r="CX671" s="342"/>
      <c r="CY671" s="342"/>
    </row>
    <row r="672" spans="2:103" s="343" customFormat="1" ht="33.75" customHeight="1" x14ac:dyDescent="0.25">
      <c r="B672" s="1010">
        <v>44860</v>
      </c>
      <c r="C672" s="103">
        <v>0.95833333333333337</v>
      </c>
      <c r="D672" s="410">
        <v>51.5</v>
      </c>
      <c r="E672" s="415">
        <v>9.6</v>
      </c>
      <c r="F672" s="415">
        <v>14.3</v>
      </c>
      <c r="G672" s="1566" t="s">
        <v>3340</v>
      </c>
      <c r="H672" s="1567"/>
      <c r="I672" s="1567"/>
      <c r="J672" s="1567"/>
      <c r="K672" s="1568"/>
      <c r="L672" s="416">
        <v>38.89</v>
      </c>
      <c r="M672" s="416">
        <v>40</v>
      </c>
      <c r="N672" s="416">
        <v>55.25</v>
      </c>
      <c r="O672" s="416"/>
      <c r="P672" s="416"/>
      <c r="Q672" s="416"/>
      <c r="R672" s="416" t="s">
        <v>4011</v>
      </c>
      <c r="S672" s="416">
        <v>63</v>
      </c>
      <c r="T672" s="102" t="s">
        <v>23</v>
      </c>
      <c r="U672" s="416" t="s">
        <v>236</v>
      </c>
      <c r="V672" s="928"/>
      <c r="CM672" s="342"/>
      <c r="CN672" s="342"/>
      <c r="CO672" s="342"/>
      <c r="CP672" s="342"/>
      <c r="CQ672" s="342"/>
      <c r="CR672" s="342"/>
      <c r="CS672" s="342"/>
      <c r="CT672" s="342"/>
      <c r="CU672" s="342"/>
      <c r="CV672" s="342"/>
      <c r="CW672" s="342"/>
      <c r="CX672" s="342"/>
      <c r="CY672" s="342"/>
    </row>
    <row r="673" spans="2:103" s="343" customFormat="1" ht="33.75" customHeight="1" x14ac:dyDescent="0.25">
      <c r="B673" s="1011">
        <v>44861</v>
      </c>
      <c r="C673" s="103">
        <v>0.91666666666666663</v>
      </c>
      <c r="D673" s="410">
        <v>51.5</v>
      </c>
      <c r="E673" s="415">
        <v>9.4</v>
      </c>
      <c r="F673" s="415">
        <v>14.2</v>
      </c>
      <c r="G673" s="1566" t="s">
        <v>3340</v>
      </c>
      <c r="H673" s="1567"/>
      <c r="I673" s="1567"/>
      <c r="J673" s="1567"/>
      <c r="K673" s="1568"/>
      <c r="L673" s="416">
        <v>38.72</v>
      </c>
      <c r="M673" s="416">
        <v>40</v>
      </c>
      <c r="N673" s="416">
        <v>58.39</v>
      </c>
      <c r="O673" s="416"/>
      <c r="P673" s="416"/>
      <c r="Q673" s="416"/>
      <c r="R673" s="416" t="s">
        <v>4144</v>
      </c>
      <c r="S673" s="416">
        <v>55.2</v>
      </c>
      <c r="T673" s="102" t="s">
        <v>23</v>
      </c>
      <c r="U673" s="416" t="s">
        <v>236</v>
      </c>
      <c r="V673" s="928"/>
      <c r="CM673" s="342"/>
      <c r="CN673" s="342"/>
      <c r="CO673" s="342"/>
      <c r="CP673" s="342"/>
      <c r="CQ673" s="342"/>
      <c r="CR673" s="342"/>
      <c r="CS673" s="342"/>
      <c r="CT673" s="342"/>
      <c r="CU673" s="342"/>
      <c r="CV673" s="342"/>
      <c r="CW673" s="342"/>
      <c r="CX673" s="342"/>
      <c r="CY673" s="342"/>
    </row>
    <row r="674" spans="2:103" s="343" customFormat="1" ht="33.75" customHeight="1" x14ac:dyDescent="0.25">
      <c r="B674" s="1012">
        <v>44862</v>
      </c>
      <c r="C674" s="103">
        <v>0.95833333333333337</v>
      </c>
      <c r="D674" s="410">
        <v>51.5</v>
      </c>
      <c r="E674" s="415">
        <v>9.6999999999999993</v>
      </c>
      <c r="F674" s="415">
        <v>14.4</v>
      </c>
      <c r="G674" s="1566" t="s">
        <v>3340</v>
      </c>
      <c r="H674" s="1567"/>
      <c r="I674" s="1567"/>
      <c r="J674" s="1567"/>
      <c r="K674" s="1568"/>
      <c r="L674" s="416">
        <v>38.450000000000003</v>
      </c>
      <c r="M674" s="416">
        <v>41</v>
      </c>
      <c r="N674" s="416">
        <v>60.34</v>
      </c>
      <c r="O674" s="416"/>
      <c r="P674" s="416"/>
      <c r="Q674" s="416"/>
      <c r="R674" s="416" t="s">
        <v>4150</v>
      </c>
      <c r="S674" s="416">
        <v>56</v>
      </c>
      <c r="T674" s="102" t="s">
        <v>23</v>
      </c>
      <c r="U674" s="416" t="s">
        <v>236</v>
      </c>
      <c r="V674" s="928"/>
      <c r="CM674" s="342"/>
      <c r="CN674" s="342"/>
      <c r="CO674" s="342"/>
      <c r="CP674" s="342"/>
      <c r="CQ674" s="342"/>
      <c r="CR674" s="342"/>
      <c r="CS674" s="342"/>
      <c r="CT674" s="342"/>
      <c r="CU674" s="342"/>
      <c r="CV674" s="342"/>
      <c r="CW674" s="342"/>
      <c r="CX674" s="342"/>
      <c r="CY674" s="342"/>
    </row>
    <row r="675" spans="2:103" s="343" customFormat="1" ht="33.75" customHeight="1" x14ac:dyDescent="0.25">
      <c r="B675" s="1013">
        <v>44863</v>
      </c>
      <c r="C675" s="103">
        <v>0.97916666666666663</v>
      </c>
      <c r="D675" s="410">
        <v>52</v>
      </c>
      <c r="E675" s="415">
        <v>12.3</v>
      </c>
      <c r="F675" s="415">
        <v>16.5</v>
      </c>
      <c r="G675" s="1566" t="s">
        <v>3340</v>
      </c>
      <c r="H675" s="1567"/>
      <c r="I675" s="1567"/>
      <c r="J675" s="1567"/>
      <c r="K675" s="1568"/>
      <c r="L675" s="416">
        <v>39.130000000000003</v>
      </c>
      <c r="M675" s="416">
        <v>42.5</v>
      </c>
      <c r="N675" s="416">
        <v>60.22</v>
      </c>
      <c r="O675" s="416"/>
      <c r="P675" s="416"/>
      <c r="Q675" s="416"/>
      <c r="R675" s="416" t="s">
        <v>4161</v>
      </c>
      <c r="S675" s="416">
        <v>64.2</v>
      </c>
      <c r="T675" s="102" t="s">
        <v>23</v>
      </c>
      <c r="U675" s="416" t="s">
        <v>236</v>
      </c>
      <c r="V675" s="928"/>
      <c r="CM675" s="342"/>
      <c r="CN675" s="342"/>
      <c r="CO675" s="342"/>
      <c r="CP675" s="342"/>
      <c r="CQ675" s="342"/>
      <c r="CR675" s="342"/>
      <c r="CS675" s="342"/>
      <c r="CT675" s="342"/>
      <c r="CU675" s="342"/>
      <c r="CV675" s="342"/>
      <c r="CW675" s="342"/>
      <c r="CX675" s="342"/>
      <c r="CY675" s="342"/>
    </row>
    <row r="676" spans="2:103" s="343" customFormat="1" ht="33.75" customHeight="1" x14ac:dyDescent="0.25">
      <c r="B676" s="1014">
        <v>44864</v>
      </c>
      <c r="C676" s="103">
        <v>0.97916666666666663</v>
      </c>
      <c r="D676" s="410">
        <v>52</v>
      </c>
      <c r="E676" s="415">
        <v>12</v>
      </c>
      <c r="F676" s="415">
        <v>16.2</v>
      </c>
      <c r="G676" s="1566" t="s">
        <v>3340</v>
      </c>
      <c r="H676" s="1567"/>
      <c r="I676" s="1567"/>
      <c r="J676" s="1567"/>
      <c r="K676" s="1568"/>
      <c r="L676" s="416">
        <v>38.380000000000003</v>
      </c>
      <c r="M676" s="416">
        <v>42.5</v>
      </c>
      <c r="N676" s="416">
        <v>60.45</v>
      </c>
      <c r="O676" s="416"/>
      <c r="P676" s="416"/>
      <c r="Q676" s="416"/>
      <c r="R676" s="416" t="s">
        <v>4011</v>
      </c>
      <c r="S676" s="416">
        <v>63</v>
      </c>
      <c r="T676" s="102" t="s">
        <v>23</v>
      </c>
      <c r="U676" s="416" t="s">
        <v>236</v>
      </c>
      <c r="V676" s="928"/>
      <c r="CM676" s="342"/>
      <c r="CN676" s="342"/>
      <c r="CO676" s="342"/>
      <c r="CP676" s="342"/>
      <c r="CQ676" s="342"/>
      <c r="CR676" s="342"/>
      <c r="CS676" s="342"/>
      <c r="CT676" s="342"/>
      <c r="CU676" s="342"/>
      <c r="CV676" s="342"/>
      <c r="CW676" s="342"/>
      <c r="CX676" s="342"/>
      <c r="CY676" s="342"/>
    </row>
    <row r="677" spans="2:103" s="343" customFormat="1" ht="33.75" customHeight="1" x14ac:dyDescent="0.25">
      <c r="B677" s="1015">
        <v>44865</v>
      </c>
      <c r="C677" s="103">
        <v>0.875</v>
      </c>
      <c r="D677" s="410">
        <v>52</v>
      </c>
      <c r="E677" s="415">
        <v>10.1</v>
      </c>
      <c r="F677" s="415">
        <v>14.7</v>
      </c>
      <c r="G677" s="1566" t="s">
        <v>3340</v>
      </c>
      <c r="H677" s="1567"/>
      <c r="I677" s="1567"/>
      <c r="J677" s="1567"/>
      <c r="K677" s="1568"/>
      <c r="L677" s="416">
        <v>37.799999999999997</v>
      </c>
      <c r="M677" s="416">
        <v>41.5</v>
      </c>
      <c r="N677" s="416">
        <v>60.7</v>
      </c>
      <c r="O677" s="416"/>
      <c r="P677" s="416"/>
      <c r="Q677" s="416"/>
      <c r="R677" s="416" t="s">
        <v>2644</v>
      </c>
      <c r="S677" s="416">
        <v>57.1</v>
      </c>
      <c r="T677" s="102" t="s">
        <v>23</v>
      </c>
      <c r="U677" s="416" t="s">
        <v>236</v>
      </c>
      <c r="V677" s="928"/>
      <c r="CM677" s="342"/>
      <c r="CN677" s="342"/>
      <c r="CO677" s="342"/>
      <c r="CP677" s="342"/>
      <c r="CQ677" s="342"/>
      <c r="CR677" s="342"/>
      <c r="CS677" s="342"/>
      <c r="CT677" s="342"/>
      <c r="CU677" s="342"/>
      <c r="CV677" s="342"/>
      <c r="CW677" s="342"/>
      <c r="CX677" s="342"/>
      <c r="CY677" s="342"/>
    </row>
    <row r="678" spans="2:103" s="343" customFormat="1" ht="33.75" customHeight="1" x14ac:dyDescent="0.25">
      <c r="B678" s="1016">
        <v>44866</v>
      </c>
      <c r="C678" s="103">
        <v>0.95833333333333337</v>
      </c>
      <c r="D678" s="410">
        <v>52</v>
      </c>
      <c r="E678" s="415">
        <v>11.8</v>
      </c>
      <c r="F678" s="415">
        <v>16.100000000000001</v>
      </c>
      <c r="G678" s="1566" t="s">
        <v>3340</v>
      </c>
      <c r="H678" s="1567"/>
      <c r="I678" s="1567"/>
      <c r="J678" s="1567"/>
      <c r="K678" s="1568"/>
      <c r="L678" s="416">
        <v>35.270000000000003</v>
      </c>
      <c r="M678" s="416">
        <v>38</v>
      </c>
      <c r="N678" s="416">
        <v>63.1</v>
      </c>
      <c r="O678" s="416"/>
      <c r="P678" s="416"/>
      <c r="Q678" s="416"/>
      <c r="R678" s="416" t="s">
        <v>4178</v>
      </c>
      <c r="S678" s="416">
        <v>62.3</v>
      </c>
      <c r="T678" s="102" t="s">
        <v>23</v>
      </c>
      <c r="U678" s="416" t="s">
        <v>236</v>
      </c>
      <c r="V678" s="928"/>
      <c r="CM678" s="342"/>
      <c r="CN678" s="342"/>
      <c r="CO678" s="342"/>
      <c r="CP678" s="342"/>
      <c r="CQ678" s="342"/>
      <c r="CR678" s="342"/>
      <c r="CS678" s="342"/>
      <c r="CT678" s="342"/>
      <c r="CU678" s="342"/>
      <c r="CV678" s="342"/>
      <c r="CW678" s="342"/>
      <c r="CX678" s="342"/>
      <c r="CY678" s="342"/>
    </row>
    <row r="679" spans="2:103" s="343" customFormat="1" ht="33.75" customHeight="1" x14ac:dyDescent="0.25">
      <c r="B679" s="1019">
        <v>44867</v>
      </c>
      <c r="C679" s="103">
        <v>0.97916666666666663</v>
      </c>
      <c r="D679" s="410">
        <v>52</v>
      </c>
      <c r="E679" s="415">
        <v>9.1999999999999993</v>
      </c>
      <c r="F679" s="415">
        <v>14</v>
      </c>
      <c r="G679" s="1566" t="s">
        <v>3340</v>
      </c>
      <c r="H679" s="1567"/>
      <c r="I679" s="1567"/>
      <c r="J679" s="1567"/>
      <c r="K679" s="1568"/>
      <c r="L679" s="416">
        <v>40.19</v>
      </c>
      <c r="M679" s="416">
        <v>43</v>
      </c>
      <c r="N679" s="416">
        <v>54.6</v>
      </c>
      <c r="O679" s="416"/>
      <c r="P679" s="416"/>
      <c r="Q679" s="416"/>
      <c r="R679" s="416" t="s">
        <v>4179</v>
      </c>
      <c r="S679" s="416">
        <v>54.4</v>
      </c>
      <c r="T679" s="102" t="s">
        <v>23</v>
      </c>
      <c r="U679" s="416" t="s">
        <v>236</v>
      </c>
      <c r="V679" s="928" t="s">
        <v>415</v>
      </c>
      <c r="CM679" s="342"/>
      <c r="CN679" s="342"/>
      <c r="CO679" s="342"/>
      <c r="CP679" s="342"/>
      <c r="CQ679" s="342"/>
      <c r="CR679" s="342"/>
      <c r="CS679" s="342"/>
      <c r="CT679" s="342"/>
      <c r="CU679" s="342"/>
      <c r="CV679" s="342"/>
      <c r="CW679" s="342"/>
      <c r="CX679" s="342"/>
      <c r="CY679" s="342"/>
    </row>
    <row r="680" spans="2:103" s="343" customFormat="1" ht="33.75" customHeight="1" x14ac:dyDescent="0.25">
      <c r="B680" s="1021">
        <v>44868</v>
      </c>
      <c r="C680" s="103">
        <v>0.97916666666666663</v>
      </c>
      <c r="D680" s="410">
        <v>52</v>
      </c>
      <c r="E680" s="415">
        <v>9.9</v>
      </c>
      <c r="F680" s="415">
        <v>14.5</v>
      </c>
      <c r="G680" s="1566" t="s">
        <v>3340</v>
      </c>
      <c r="H680" s="1567"/>
      <c r="I680" s="1567"/>
      <c r="J680" s="1567"/>
      <c r="K680" s="1568"/>
      <c r="L680" s="416">
        <v>39.9</v>
      </c>
      <c r="M680" s="416">
        <v>43</v>
      </c>
      <c r="N680" s="416">
        <v>56.67</v>
      </c>
      <c r="O680" s="416"/>
      <c r="P680" s="416"/>
      <c r="Q680" s="416"/>
      <c r="R680" s="416" t="s">
        <v>3758</v>
      </c>
      <c r="S680" s="416">
        <v>56.4</v>
      </c>
      <c r="T680" s="102" t="s">
        <v>23</v>
      </c>
      <c r="U680" s="416" t="s">
        <v>236</v>
      </c>
      <c r="V680" s="928" t="s">
        <v>415</v>
      </c>
      <c r="CM680" s="342"/>
      <c r="CN680" s="342"/>
      <c r="CO680" s="342"/>
      <c r="CP680" s="342"/>
      <c r="CQ680" s="342"/>
      <c r="CR680" s="342"/>
      <c r="CS680" s="342"/>
      <c r="CT680" s="342"/>
      <c r="CU680" s="342"/>
      <c r="CV680" s="342"/>
      <c r="CW680" s="342"/>
      <c r="CX680" s="342"/>
      <c r="CY680" s="342"/>
    </row>
    <row r="681" spans="2:103" s="343" customFormat="1" ht="33.75" customHeight="1" x14ac:dyDescent="0.25">
      <c r="B681" s="1023">
        <v>44869</v>
      </c>
      <c r="C681" s="103">
        <v>0.97916666666666663</v>
      </c>
      <c r="D681" s="410">
        <v>52</v>
      </c>
      <c r="E681" s="415">
        <v>9.6</v>
      </c>
      <c r="F681" s="415">
        <v>14.3</v>
      </c>
      <c r="G681" s="1566" t="s">
        <v>3340</v>
      </c>
      <c r="H681" s="1567"/>
      <c r="I681" s="1567"/>
      <c r="J681" s="1567"/>
      <c r="K681" s="1568"/>
      <c r="L681" s="416">
        <v>39.64</v>
      </c>
      <c r="M681" s="416">
        <v>42</v>
      </c>
      <c r="N681" s="416">
        <v>59.8</v>
      </c>
      <c r="O681" s="416"/>
      <c r="P681" s="416"/>
      <c r="Q681" s="416"/>
      <c r="R681" s="416" t="s">
        <v>2964</v>
      </c>
      <c r="S681" s="416">
        <v>55.6</v>
      </c>
      <c r="T681" s="102" t="s">
        <v>23</v>
      </c>
      <c r="U681" s="416" t="s">
        <v>236</v>
      </c>
      <c r="V681" s="928" t="s">
        <v>415</v>
      </c>
      <c r="CM681" s="342"/>
      <c r="CN681" s="342"/>
      <c r="CO681" s="342"/>
      <c r="CP681" s="342"/>
      <c r="CQ681" s="342"/>
      <c r="CR681" s="342"/>
      <c r="CS681" s="342"/>
      <c r="CT681" s="342"/>
      <c r="CU681" s="342"/>
      <c r="CV681" s="342"/>
      <c r="CW681" s="342"/>
      <c r="CX681" s="342"/>
      <c r="CY681" s="342"/>
    </row>
    <row r="682" spans="2:103" s="343" customFormat="1" ht="33.75" customHeight="1" x14ac:dyDescent="0.25">
      <c r="B682" s="1024">
        <v>44870</v>
      </c>
      <c r="C682" s="103">
        <v>0.97916666666666663</v>
      </c>
      <c r="D682" s="410">
        <v>52</v>
      </c>
      <c r="E682" s="415">
        <v>9.8000000000000007</v>
      </c>
      <c r="F682" s="415">
        <v>14.5</v>
      </c>
      <c r="G682" s="1566" t="s">
        <v>3340</v>
      </c>
      <c r="H682" s="1567"/>
      <c r="I682" s="1567"/>
      <c r="J682" s="1567"/>
      <c r="K682" s="1568"/>
      <c r="L682" s="416">
        <v>39.659999999999997</v>
      </c>
      <c r="M682" s="416">
        <v>42</v>
      </c>
      <c r="N682" s="416">
        <v>58.99</v>
      </c>
      <c r="O682" s="416"/>
      <c r="P682" s="416"/>
      <c r="Q682" s="416"/>
      <c r="R682" s="416" t="s">
        <v>4209</v>
      </c>
      <c r="S682" s="416">
        <v>56.6</v>
      </c>
      <c r="T682" s="102" t="s">
        <v>23</v>
      </c>
      <c r="U682" s="416" t="s">
        <v>236</v>
      </c>
      <c r="V682" s="928" t="s">
        <v>415</v>
      </c>
      <c r="CM682" s="342"/>
      <c r="CN682" s="342"/>
      <c r="CO682" s="342"/>
      <c r="CP682" s="342"/>
      <c r="CQ682" s="342"/>
      <c r="CR682" s="342"/>
      <c r="CS682" s="342"/>
      <c r="CT682" s="342"/>
      <c r="CU682" s="342"/>
      <c r="CV682" s="342"/>
      <c r="CW682" s="342"/>
      <c r="CX682" s="342"/>
      <c r="CY682" s="342"/>
    </row>
    <row r="683" spans="2:103" s="343" customFormat="1" ht="33.75" customHeight="1" x14ac:dyDescent="0.25">
      <c r="B683" s="1025">
        <v>44871</v>
      </c>
      <c r="C683" s="103">
        <v>2.0833333333333332E-2</v>
      </c>
      <c r="D683" s="410">
        <v>52</v>
      </c>
      <c r="E683" s="415">
        <v>9.6999999999999993</v>
      </c>
      <c r="F683" s="415">
        <v>14.3</v>
      </c>
      <c r="G683" s="1566" t="s">
        <v>3340</v>
      </c>
      <c r="H683" s="1567"/>
      <c r="I683" s="1567"/>
      <c r="J683" s="1567"/>
      <c r="K683" s="1568"/>
      <c r="L683" s="416">
        <v>39.9</v>
      </c>
      <c r="M683" s="416">
        <v>42</v>
      </c>
      <c r="N683" s="416">
        <v>57.8</v>
      </c>
      <c r="O683" s="416"/>
      <c r="P683" s="416"/>
      <c r="Q683" s="416"/>
      <c r="R683" s="416" t="s">
        <v>4025</v>
      </c>
      <c r="S683" s="416">
        <v>55.6</v>
      </c>
      <c r="T683" s="102" t="s">
        <v>23</v>
      </c>
      <c r="U683" s="416" t="s">
        <v>236</v>
      </c>
      <c r="V683" s="928" t="s">
        <v>415</v>
      </c>
      <c r="CM683" s="342"/>
      <c r="CN683" s="342"/>
      <c r="CO683" s="342"/>
      <c r="CP683" s="342"/>
      <c r="CQ683" s="342"/>
      <c r="CR683" s="342"/>
      <c r="CS683" s="342"/>
      <c r="CT683" s="342"/>
      <c r="CU683" s="342"/>
      <c r="CV683" s="342"/>
      <c r="CW683" s="342"/>
      <c r="CX683" s="342"/>
      <c r="CY683" s="342"/>
    </row>
    <row r="684" spans="2:103" s="343" customFormat="1" ht="33.75" customHeight="1" x14ac:dyDescent="0.25">
      <c r="B684" s="1026">
        <v>44872</v>
      </c>
      <c r="C684" s="103">
        <v>0.97916666666666663</v>
      </c>
      <c r="D684" s="410">
        <v>52</v>
      </c>
      <c r="E684" s="415">
        <v>11.7</v>
      </c>
      <c r="F684" s="415">
        <v>16</v>
      </c>
      <c r="G684" s="1566" t="s">
        <v>3340</v>
      </c>
      <c r="H684" s="1567"/>
      <c r="I684" s="1567"/>
      <c r="J684" s="1567"/>
      <c r="K684" s="1568"/>
      <c r="L684" s="416">
        <v>37.799999999999997</v>
      </c>
      <c r="M684" s="416">
        <v>42</v>
      </c>
      <c r="N684" s="416">
        <v>60.9</v>
      </c>
      <c r="O684" s="416"/>
      <c r="P684" s="416"/>
      <c r="Q684" s="416"/>
      <c r="R684" s="416" t="s">
        <v>4230</v>
      </c>
      <c r="S684" s="416">
        <v>62.2</v>
      </c>
      <c r="T684" s="102" t="s">
        <v>23</v>
      </c>
      <c r="U684" s="416" t="s">
        <v>236</v>
      </c>
      <c r="V684" s="928" t="s">
        <v>415</v>
      </c>
      <c r="CM684" s="342"/>
      <c r="CN684" s="342"/>
      <c r="CO684" s="342"/>
      <c r="CP684" s="342"/>
      <c r="CQ684" s="342"/>
      <c r="CR684" s="342"/>
      <c r="CS684" s="342"/>
      <c r="CT684" s="342"/>
      <c r="CU684" s="342"/>
      <c r="CV684" s="342"/>
      <c r="CW684" s="342"/>
      <c r="CX684" s="342"/>
      <c r="CY684" s="342"/>
    </row>
    <row r="685" spans="2:103" s="343" customFormat="1" ht="33.75" customHeight="1" x14ac:dyDescent="0.25">
      <c r="B685" s="1027">
        <v>44873</v>
      </c>
      <c r="C685" s="103">
        <v>0</v>
      </c>
      <c r="D685" s="410">
        <v>52</v>
      </c>
      <c r="E685" s="415">
        <v>10</v>
      </c>
      <c r="F685" s="415">
        <v>14.6</v>
      </c>
      <c r="G685" s="1566" t="s">
        <v>3340</v>
      </c>
      <c r="H685" s="1567"/>
      <c r="I685" s="1567"/>
      <c r="J685" s="1567"/>
      <c r="K685" s="1568"/>
      <c r="L685" s="416">
        <v>38.22</v>
      </c>
      <c r="M685" s="416">
        <v>42</v>
      </c>
      <c r="N685" s="416">
        <v>60.24</v>
      </c>
      <c r="O685" s="416"/>
      <c r="P685" s="416"/>
      <c r="Q685" s="416"/>
      <c r="R685" s="416" t="s">
        <v>2644</v>
      </c>
      <c r="S685" s="416">
        <v>56.8</v>
      </c>
      <c r="T685" s="102" t="s">
        <v>23</v>
      </c>
      <c r="U685" s="416" t="s">
        <v>236</v>
      </c>
      <c r="V685" s="928" t="s">
        <v>415</v>
      </c>
      <c r="CM685" s="342"/>
      <c r="CN685" s="342"/>
      <c r="CO685" s="342"/>
      <c r="CP685" s="342"/>
      <c r="CQ685" s="342"/>
      <c r="CR685" s="342"/>
      <c r="CS685" s="342"/>
      <c r="CT685" s="342"/>
      <c r="CU685" s="342"/>
      <c r="CV685" s="342"/>
      <c r="CW685" s="342"/>
      <c r="CX685" s="342"/>
      <c r="CY685" s="342"/>
    </row>
    <row r="686" spans="2:103" s="343" customFormat="1" ht="33.75" customHeight="1" x14ac:dyDescent="0.25">
      <c r="B686" s="1028">
        <v>44874</v>
      </c>
      <c r="C686" s="103">
        <v>0.9375</v>
      </c>
      <c r="D686" s="410">
        <v>52</v>
      </c>
      <c r="E686" s="415">
        <v>10.4</v>
      </c>
      <c r="F686" s="415">
        <v>14.9</v>
      </c>
      <c r="G686" s="1566" t="s">
        <v>3340</v>
      </c>
      <c r="H686" s="1567"/>
      <c r="I686" s="1567"/>
      <c r="J686" s="1567"/>
      <c r="K686" s="1568"/>
      <c r="L686" s="416">
        <v>36.33</v>
      </c>
      <c r="M686" s="416">
        <v>39.5</v>
      </c>
      <c r="N686" s="416">
        <v>61.65</v>
      </c>
      <c r="O686" s="416"/>
      <c r="P686" s="416"/>
      <c r="Q686" s="416"/>
      <c r="R686" s="416" t="s">
        <v>2010</v>
      </c>
      <c r="S686" s="416">
        <v>57.9</v>
      </c>
      <c r="T686" s="102" t="s">
        <v>23</v>
      </c>
      <c r="U686" s="416" t="s">
        <v>236</v>
      </c>
      <c r="V686" s="928"/>
      <c r="CM686" s="342"/>
      <c r="CN686" s="342"/>
      <c r="CO686" s="342"/>
      <c r="CP686" s="342"/>
      <c r="CQ686" s="342"/>
      <c r="CR686" s="342"/>
      <c r="CS686" s="342"/>
      <c r="CT686" s="342"/>
      <c r="CU686" s="342"/>
      <c r="CV686" s="342"/>
      <c r="CW686" s="342"/>
      <c r="CX686" s="342"/>
      <c r="CY686" s="342"/>
    </row>
    <row r="687" spans="2:103" s="343" customFormat="1" ht="33.75" customHeight="1" x14ac:dyDescent="0.25">
      <c r="B687" s="1029">
        <v>44875</v>
      </c>
      <c r="C687" s="103">
        <v>0.97916666666666663</v>
      </c>
      <c r="D687" s="410">
        <v>52</v>
      </c>
      <c r="E687" s="415">
        <v>10</v>
      </c>
      <c r="F687" s="415">
        <v>14.6</v>
      </c>
      <c r="G687" s="1566" t="s">
        <v>3340</v>
      </c>
      <c r="H687" s="1567"/>
      <c r="I687" s="1567"/>
      <c r="J687" s="1567"/>
      <c r="K687" s="1568"/>
      <c r="L687" s="416">
        <v>38.58</v>
      </c>
      <c r="M687" s="416">
        <v>41</v>
      </c>
      <c r="N687" s="416">
        <v>60.8</v>
      </c>
      <c r="O687" s="416"/>
      <c r="P687" s="416"/>
      <c r="Q687" s="416"/>
      <c r="R687" s="416" t="s">
        <v>4098</v>
      </c>
      <c r="S687" s="416">
        <v>56.8</v>
      </c>
      <c r="T687" s="102" t="s">
        <v>23</v>
      </c>
      <c r="U687" s="416" t="s">
        <v>236</v>
      </c>
      <c r="V687" s="928"/>
      <c r="CM687" s="342"/>
      <c r="CN687" s="342"/>
      <c r="CO687" s="342"/>
      <c r="CP687" s="342"/>
      <c r="CQ687" s="342"/>
      <c r="CR687" s="342"/>
      <c r="CS687" s="342"/>
      <c r="CT687" s="342"/>
      <c r="CU687" s="342"/>
      <c r="CV687" s="342"/>
      <c r="CW687" s="342"/>
      <c r="CX687" s="342"/>
      <c r="CY687" s="342"/>
    </row>
    <row r="688" spans="2:103" s="343" customFormat="1" ht="27" customHeight="1" x14ac:dyDescent="0.25">
      <c r="B688" s="1032">
        <v>44876</v>
      </c>
      <c r="C688" s="103">
        <v>0.95833333333333337</v>
      </c>
      <c r="D688" s="410">
        <v>52</v>
      </c>
      <c r="E688" s="415">
        <v>9.6999999999999993</v>
      </c>
      <c r="F688" s="415">
        <v>14.4</v>
      </c>
      <c r="G688" s="1566" t="s">
        <v>3340</v>
      </c>
      <c r="H688" s="1567"/>
      <c r="I688" s="1567"/>
      <c r="J688" s="1567"/>
      <c r="K688" s="1568"/>
      <c r="L688" s="416">
        <v>40.01</v>
      </c>
      <c r="M688" s="416">
        <v>42.5</v>
      </c>
      <c r="N688" s="416">
        <v>55.8</v>
      </c>
      <c r="O688" s="416"/>
      <c r="P688" s="416"/>
      <c r="Q688" s="416"/>
      <c r="R688" s="416" t="s">
        <v>4150</v>
      </c>
      <c r="S688" s="416">
        <v>56</v>
      </c>
      <c r="T688" s="102" t="s">
        <v>23</v>
      </c>
      <c r="U688" s="416" t="s">
        <v>236</v>
      </c>
      <c r="V688" s="928"/>
      <c r="CM688" s="342"/>
      <c r="CN688" s="342"/>
      <c r="CO688" s="342"/>
      <c r="CP688" s="342"/>
      <c r="CQ688" s="342"/>
      <c r="CR688" s="342"/>
      <c r="CS688" s="342"/>
      <c r="CT688" s="342"/>
      <c r="CU688" s="342"/>
      <c r="CV688" s="342"/>
      <c r="CW688" s="342"/>
      <c r="CX688" s="342"/>
      <c r="CY688" s="342"/>
    </row>
    <row r="689" spans="2:103" s="343" customFormat="1" ht="27" customHeight="1" x14ac:dyDescent="0.25">
      <c r="B689" s="1033">
        <v>44877</v>
      </c>
      <c r="C689" s="103">
        <v>0.97916666666666663</v>
      </c>
      <c r="D689" s="410">
        <v>52</v>
      </c>
      <c r="E689" s="415">
        <v>9.5</v>
      </c>
      <c r="F689" s="415">
        <v>14.2</v>
      </c>
      <c r="G689" s="1566" t="s">
        <v>3340</v>
      </c>
      <c r="H689" s="1567"/>
      <c r="I689" s="1567"/>
      <c r="J689" s="1567"/>
      <c r="K689" s="1568"/>
      <c r="L689" s="416">
        <v>39.11</v>
      </c>
      <c r="M689" s="416">
        <v>43</v>
      </c>
      <c r="N689" s="416">
        <v>54.99</v>
      </c>
      <c r="O689" s="416"/>
      <c r="P689" s="416"/>
      <c r="Q689" s="416"/>
      <c r="R689" s="416" t="s">
        <v>4000</v>
      </c>
      <c r="S689" s="416">
        <v>55.2</v>
      </c>
      <c r="T689" s="102" t="s">
        <v>23</v>
      </c>
      <c r="U689" s="416" t="s">
        <v>236</v>
      </c>
      <c r="V689" s="928"/>
      <c r="CM689" s="342"/>
      <c r="CN689" s="342"/>
      <c r="CO689" s="342"/>
      <c r="CP689" s="342"/>
      <c r="CQ689" s="342"/>
      <c r="CR689" s="342"/>
      <c r="CS689" s="342"/>
      <c r="CT689" s="342"/>
      <c r="CU689" s="342"/>
      <c r="CV689" s="342"/>
      <c r="CW689" s="342"/>
      <c r="CX689" s="342"/>
      <c r="CY689" s="342"/>
    </row>
    <row r="690" spans="2:103" s="343" customFormat="1" ht="27" customHeight="1" x14ac:dyDescent="0.25">
      <c r="B690" s="1034">
        <v>44878</v>
      </c>
      <c r="C690" s="103">
        <v>0.9375</v>
      </c>
      <c r="D690" s="410">
        <v>52</v>
      </c>
      <c r="E690" s="415">
        <v>9.1</v>
      </c>
      <c r="F690" s="415">
        <v>14.3</v>
      </c>
      <c r="G690" s="1566" t="s">
        <v>3340</v>
      </c>
      <c r="H690" s="1567"/>
      <c r="I690" s="1567"/>
      <c r="J690" s="1567"/>
      <c r="K690" s="1568"/>
      <c r="L690" s="416">
        <v>41.8</v>
      </c>
      <c r="M690" s="416">
        <v>44</v>
      </c>
      <c r="N690" s="416">
        <v>56.28</v>
      </c>
      <c r="O690" s="416"/>
      <c r="P690" s="416"/>
      <c r="Q690" s="416"/>
      <c r="R690" s="416" t="s">
        <v>4000</v>
      </c>
      <c r="S690" s="416">
        <v>55.8</v>
      </c>
      <c r="T690" s="102" t="s">
        <v>23</v>
      </c>
      <c r="U690" s="416" t="s">
        <v>236</v>
      </c>
      <c r="V690" s="928"/>
      <c r="CM690" s="342"/>
      <c r="CN690" s="342"/>
      <c r="CO690" s="342"/>
      <c r="CP690" s="342"/>
      <c r="CQ690" s="342"/>
      <c r="CR690" s="342"/>
      <c r="CS690" s="342"/>
      <c r="CT690" s="342"/>
      <c r="CU690" s="342"/>
      <c r="CV690" s="342"/>
      <c r="CW690" s="342"/>
      <c r="CX690" s="342"/>
      <c r="CY690" s="342"/>
    </row>
    <row r="691" spans="2:103" s="343" customFormat="1" ht="27" customHeight="1" x14ac:dyDescent="0.25">
      <c r="B691" s="1034">
        <v>44879</v>
      </c>
      <c r="C691" s="103">
        <v>0.77083333333333337</v>
      </c>
      <c r="D691" s="410">
        <v>52</v>
      </c>
      <c r="E691" s="415">
        <v>9.1999999999999993</v>
      </c>
      <c r="F691" s="415">
        <v>14.1</v>
      </c>
      <c r="G691" s="1566" t="s">
        <v>3340</v>
      </c>
      <c r="H691" s="1567"/>
      <c r="I691" s="1567"/>
      <c r="J691" s="1567"/>
      <c r="K691" s="1568"/>
      <c r="L691" s="416">
        <v>39.799999999999997</v>
      </c>
      <c r="M691" s="416">
        <v>43</v>
      </c>
      <c r="N691" s="416">
        <v>53.18</v>
      </c>
      <c r="O691" s="416"/>
      <c r="P691" s="416"/>
      <c r="Q691" s="416"/>
      <c r="R691" s="416" t="s">
        <v>3957</v>
      </c>
      <c r="S691" s="416">
        <v>54.8</v>
      </c>
      <c r="T691" s="102" t="s">
        <v>23</v>
      </c>
      <c r="U691" s="416" t="s">
        <v>236</v>
      </c>
      <c r="V691" s="928"/>
      <c r="CM691" s="342"/>
      <c r="CN691" s="342"/>
      <c r="CO691" s="342"/>
      <c r="CP691" s="342"/>
      <c r="CQ691" s="342"/>
      <c r="CR691" s="342"/>
      <c r="CS691" s="342"/>
      <c r="CT691" s="342"/>
      <c r="CU691" s="342"/>
      <c r="CV691" s="342"/>
      <c r="CW691" s="342"/>
      <c r="CX691" s="342"/>
      <c r="CY691" s="342"/>
    </row>
    <row r="692" spans="2:103" s="343" customFormat="1" ht="27" customHeight="1" x14ac:dyDescent="0.25">
      <c r="B692" s="1035">
        <v>44880</v>
      </c>
      <c r="C692" s="103">
        <v>0.91666666666666663</v>
      </c>
      <c r="D692" s="410">
        <v>52</v>
      </c>
      <c r="E692" s="415">
        <v>10</v>
      </c>
      <c r="F692" s="415">
        <v>14.6</v>
      </c>
      <c r="G692" s="1566" t="s">
        <v>3340</v>
      </c>
      <c r="H692" s="1567"/>
      <c r="I692" s="1567"/>
      <c r="J692" s="1567"/>
      <c r="K692" s="1568"/>
      <c r="L692" s="416">
        <v>40.770000000000003</v>
      </c>
      <c r="M692" s="416">
        <v>44</v>
      </c>
      <c r="N692" s="416">
        <v>58.5</v>
      </c>
      <c r="O692" s="416"/>
      <c r="P692" s="416"/>
      <c r="Q692" s="416"/>
      <c r="R692" s="416" t="s">
        <v>4123</v>
      </c>
      <c r="S692" s="416">
        <v>56.8</v>
      </c>
      <c r="T692" s="102" t="s">
        <v>23</v>
      </c>
      <c r="U692" s="416" t="s">
        <v>236</v>
      </c>
      <c r="V692" s="928"/>
      <c r="CM692" s="342"/>
      <c r="CN692" s="342"/>
      <c r="CO692" s="342"/>
      <c r="CP692" s="342"/>
      <c r="CQ692" s="342"/>
      <c r="CR692" s="342"/>
      <c r="CS692" s="342"/>
      <c r="CT692" s="342"/>
      <c r="CU692" s="342"/>
      <c r="CV692" s="342"/>
      <c r="CW692" s="342"/>
      <c r="CX692" s="342"/>
      <c r="CY692" s="342"/>
    </row>
    <row r="693" spans="2:103" s="343" customFormat="1" ht="27" customHeight="1" x14ac:dyDescent="0.25">
      <c r="B693" s="1036">
        <v>44881</v>
      </c>
      <c r="C693" s="103">
        <v>0.97916666666666663</v>
      </c>
      <c r="D693" s="410">
        <v>52</v>
      </c>
      <c r="E693" s="415">
        <v>9.6999999999999993</v>
      </c>
      <c r="F693" s="415">
        <v>14.4</v>
      </c>
      <c r="G693" s="1566" t="s">
        <v>3340</v>
      </c>
      <c r="H693" s="1567"/>
      <c r="I693" s="1567"/>
      <c r="J693" s="1567"/>
      <c r="K693" s="1568"/>
      <c r="L693" s="416">
        <v>39.96</v>
      </c>
      <c r="M693" s="416">
        <v>44</v>
      </c>
      <c r="N693" s="416">
        <v>56.4</v>
      </c>
      <c r="O693" s="416"/>
      <c r="P693" s="416"/>
      <c r="Q693" s="416"/>
      <c r="R693" s="416" t="s">
        <v>4150</v>
      </c>
      <c r="S693" s="416">
        <v>56</v>
      </c>
      <c r="T693" s="102" t="s">
        <v>23</v>
      </c>
      <c r="U693" s="416" t="s">
        <v>236</v>
      </c>
      <c r="V693" s="928"/>
      <c r="CM693" s="342"/>
      <c r="CN693" s="342"/>
      <c r="CO693" s="342"/>
      <c r="CP693" s="342"/>
      <c r="CQ693" s="342"/>
      <c r="CR693" s="342"/>
      <c r="CS693" s="342"/>
      <c r="CT693" s="342"/>
      <c r="CU693" s="342"/>
      <c r="CV693" s="342"/>
      <c r="CW693" s="342"/>
      <c r="CX693" s="342"/>
      <c r="CY693" s="342"/>
    </row>
    <row r="694" spans="2:103" s="343" customFormat="1" ht="27" customHeight="1" x14ac:dyDescent="0.25">
      <c r="B694" s="1037">
        <v>44882</v>
      </c>
      <c r="C694" s="103">
        <v>0.95833333333333337</v>
      </c>
      <c r="D694" s="410">
        <v>52</v>
      </c>
      <c r="E694" s="415">
        <v>10</v>
      </c>
      <c r="F694" s="415">
        <v>14.6</v>
      </c>
      <c r="G694" s="1566" t="s">
        <v>3340</v>
      </c>
      <c r="H694" s="1567"/>
      <c r="I694" s="1567"/>
      <c r="J694" s="1567"/>
      <c r="K694" s="1568"/>
      <c r="L694" s="416">
        <v>39.75</v>
      </c>
      <c r="M694" s="416">
        <v>44</v>
      </c>
      <c r="N694" s="416">
        <v>59.7</v>
      </c>
      <c r="O694" s="416"/>
      <c r="P694" s="416"/>
      <c r="Q694" s="416"/>
      <c r="R694" s="416" t="s">
        <v>4098</v>
      </c>
      <c r="S694" s="416">
        <v>56.8</v>
      </c>
      <c r="T694" s="102" t="s">
        <v>23</v>
      </c>
      <c r="U694" s="416" t="s">
        <v>236</v>
      </c>
      <c r="V694" s="928"/>
      <c r="CM694" s="342"/>
      <c r="CN694" s="342"/>
      <c r="CO694" s="342"/>
      <c r="CP694" s="342"/>
      <c r="CQ694" s="342"/>
      <c r="CR694" s="342"/>
      <c r="CS694" s="342"/>
      <c r="CT694" s="342"/>
      <c r="CU694" s="342"/>
      <c r="CV694" s="342"/>
      <c r="CW694" s="342"/>
      <c r="CX694" s="342"/>
      <c r="CY694" s="342"/>
    </row>
    <row r="695" spans="2:103" s="343" customFormat="1" ht="27" customHeight="1" x14ac:dyDescent="0.25">
      <c r="B695" s="1038">
        <v>44883</v>
      </c>
      <c r="C695" s="103">
        <v>0.75</v>
      </c>
      <c r="D695" s="410">
        <v>52</v>
      </c>
      <c r="E695" s="415">
        <v>9.8000000000000007</v>
      </c>
      <c r="F695" s="415">
        <v>14.4</v>
      </c>
      <c r="G695" s="1566" t="s">
        <v>3340</v>
      </c>
      <c r="H695" s="1567"/>
      <c r="I695" s="1567"/>
      <c r="J695" s="1567"/>
      <c r="K695" s="1568"/>
      <c r="L695" s="416">
        <v>38.96</v>
      </c>
      <c r="M695" s="416">
        <v>42</v>
      </c>
      <c r="N695" s="416">
        <v>56.3</v>
      </c>
      <c r="O695" s="416"/>
      <c r="P695" s="416"/>
      <c r="Q695" s="416"/>
      <c r="R695" s="416" t="s">
        <v>4307</v>
      </c>
      <c r="S695" s="416">
        <v>56</v>
      </c>
      <c r="T695" s="102" t="s">
        <v>23</v>
      </c>
      <c r="U695" s="416" t="s">
        <v>236</v>
      </c>
      <c r="V695" s="928"/>
      <c r="CM695" s="342"/>
      <c r="CN695" s="342"/>
      <c r="CO695" s="342"/>
      <c r="CP695" s="342"/>
      <c r="CQ695" s="342"/>
      <c r="CR695" s="342"/>
      <c r="CS695" s="342"/>
      <c r="CT695" s="342"/>
      <c r="CU695" s="342"/>
      <c r="CV695" s="342"/>
      <c r="CW695" s="342"/>
      <c r="CX695" s="342"/>
      <c r="CY695" s="342"/>
    </row>
    <row r="696" spans="2:103" s="343" customFormat="1" ht="27" customHeight="1" x14ac:dyDescent="0.25">
      <c r="B696" s="1039">
        <v>44884</v>
      </c>
      <c r="C696" s="103">
        <v>0.97916666666666663</v>
      </c>
      <c r="D696" s="410">
        <v>52</v>
      </c>
      <c r="E696" s="415">
        <v>10.3</v>
      </c>
      <c r="F696" s="415">
        <v>14.8</v>
      </c>
      <c r="G696" s="1566" t="s">
        <v>3340</v>
      </c>
      <c r="H696" s="1567"/>
      <c r="I696" s="1567"/>
      <c r="J696" s="1567"/>
      <c r="K696" s="1568"/>
      <c r="L696" s="416">
        <v>40.19</v>
      </c>
      <c r="M696" s="416">
        <v>44</v>
      </c>
      <c r="N696" s="416">
        <v>55</v>
      </c>
      <c r="O696" s="416"/>
      <c r="P696" s="416"/>
      <c r="Q696" s="416"/>
      <c r="R696" s="416" t="s">
        <v>3704</v>
      </c>
      <c r="S696" s="416">
        <v>57.5</v>
      </c>
      <c r="T696" s="102" t="s">
        <v>23</v>
      </c>
      <c r="U696" s="416" t="s">
        <v>4310</v>
      </c>
      <c r="V696" s="928"/>
      <c r="CM696" s="342"/>
      <c r="CN696" s="342"/>
      <c r="CO696" s="342"/>
      <c r="CP696" s="342"/>
      <c r="CQ696" s="342"/>
      <c r="CR696" s="342"/>
      <c r="CS696" s="342"/>
      <c r="CT696" s="342"/>
      <c r="CU696" s="342"/>
      <c r="CV696" s="342"/>
      <c r="CW696" s="342"/>
      <c r="CX696" s="342"/>
      <c r="CY696" s="342"/>
    </row>
    <row r="697" spans="2:103" s="343" customFormat="1" ht="27" customHeight="1" x14ac:dyDescent="0.25">
      <c r="B697" s="1040">
        <v>44885</v>
      </c>
      <c r="C697" s="103">
        <v>0.95833333333333337</v>
      </c>
      <c r="D697" s="410">
        <v>52</v>
      </c>
      <c r="E697" s="415">
        <v>10.4</v>
      </c>
      <c r="F697" s="415">
        <v>15</v>
      </c>
      <c r="G697" s="1566" t="s">
        <v>3340</v>
      </c>
      <c r="H697" s="1567"/>
      <c r="I697" s="1567"/>
      <c r="J697" s="1567"/>
      <c r="K697" s="1568"/>
      <c r="L697" s="416">
        <v>41.08</v>
      </c>
      <c r="M697" s="416">
        <v>44</v>
      </c>
      <c r="N697" s="416">
        <v>57.51</v>
      </c>
      <c r="O697" s="416"/>
      <c r="P697" s="416"/>
      <c r="Q697" s="416"/>
      <c r="R697" s="416" t="s">
        <v>2010</v>
      </c>
      <c r="S697" s="416">
        <v>58.3</v>
      </c>
      <c r="T697" s="102" t="s">
        <v>23</v>
      </c>
      <c r="U697" s="416" t="s">
        <v>4320</v>
      </c>
      <c r="V697" s="928"/>
      <c r="CM697" s="342"/>
      <c r="CN697" s="342"/>
      <c r="CO697" s="342"/>
      <c r="CP697" s="342"/>
      <c r="CQ697" s="342"/>
      <c r="CR697" s="342"/>
      <c r="CS697" s="342"/>
      <c r="CT697" s="342"/>
      <c r="CU697" s="342"/>
      <c r="CV697" s="342"/>
      <c r="CW697" s="342"/>
      <c r="CX697" s="342"/>
      <c r="CY697" s="342"/>
    </row>
    <row r="698" spans="2:103" s="343" customFormat="1" ht="27" customHeight="1" x14ac:dyDescent="0.25">
      <c r="B698" s="1041">
        <v>44886</v>
      </c>
      <c r="C698" s="103">
        <v>0.96875</v>
      </c>
      <c r="D698" s="410">
        <v>52</v>
      </c>
      <c r="E698" s="415">
        <v>9.6</v>
      </c>
      <c r="F698" s="415">
        <v>14.3</v>
      </c>
      <c r="G698" s="1566" t="s">
        <v>3340</v>
      </c>
      <c r="H698" s="1567"/>
      <c r="I698" s="1567"/>
      <c r="J698" s="1567"/>
      <c r="K698" s="1568"/>
      <c r="L698" s="416">
        <v>41.08</v>
      </c>
      <c r="M698" s="416">
        <v>44</v>
      </c>
      <c r="N698" s="416">
        <v>53.15</v>
      </c>
      <c r="O698" s="416"/>
      <c r="P698" s="416"/>
      <c r="Q698" s="416"/>
      <c r="R698" s="416" t="s">
        <v>4144</v>
      </c>
      <c r="S698" s="416">
        <v>55.6</v>
      </c>
      <c r="T698" s="102" t="s">
        <v>23</v>
      </c>
      <c r="U698" s="416" t="s">
        <v>4320</v>
      </c>
      <c r="V698" s="928"/>
      <c r="CM698" s="342"/>
      <c r="CN698" s="342"/>
      <c r="CO698" s="342"/>
      <c r="CP698" s="342"/>
      <c r="CQ698" s="342"/>
      <c r="CR698" s="342"/>
      <c r="CS698" s="342"/>
      <c r="CT698" s="342"/>
      <c r="CU698" s="342"/>
      <c r="CV698" s="342"/>
      <c r="CW698" s="342"/>
      <c r="CX698" s="342"/>
      <c r="CY698" s="342"/>
    </row>
    <row r="699" spans="2:103" s="343" customFormat="1" ht="27" customHeight="1" x14ac:dyDescent="0.25">
      <c r="B699" s="1042">
        <v>44887</v>
      </c>
      <c r="C699" s="103">
        <v>0.91666666666666663</v>
      </c>
      <c r="D699" s="410">
        <v>52</v>
      </c>
      <c r="E699" s="415">
        <v>9.1</v>
      </c>
      <c r="F699" s="415">
        <v>14</v>
      </c>
      <c r="G699" s="1566" t="s">
        <v>3340</v>
      </c>
      <c r="H699" s="1567"/>
      <c r="I699" s="1567"/>
      <c r="J699" s="1567"/>
      <c r="K699" s="1568"/>
      <c r="L699" s="416">
        <v>42.18</v>
      </c>
      <c r="M699" s="416">
        <v>44</v>
      </c>
      <c r="N699" s="416">
        <v>54.08</v>
      </c>
      <c r="O699" s="416"/>
      <c r="P699" s="416"/>
      <c r="Q699" s="416"/>
      <c r="R699" s="416" t="s">
        <v>1278</v>
      </c>
      <c r="S699" s="416">
        <v>54.4</v>
      </c>
      <c r="T699" s="102" t="s">
        <v>23</v>
      </c>
      <c r="U699" s="416" t="s">
        <v>4320</v>
      </c>
      <c r="V699" s="928"/>
      <c r="CM699" s="342"/>
      <c r="CN699" s="342"/>
      <c r="CO699" s="342"/>
      <c r="CP699" s="342"/>
      <c r="CQ699" s="342"/>
      <c r="CR699" s="342"/>
      <c r="CS699" s="342"/>
      <c r="CT699" s="342"/>
      <c r="CU699" s="342"/>
      <c r="CV699" s="342"/>
      <c r="CW699" s="342"/>
      <c r="CX699" s="342"/>
      <c r="CY699" s="342"/>
    </row>
    <row r="700" spans="2:103" s="343" customFormat="1" ht="27" customHeight="1" x14ac:dyDescent="0.25">
      <c r="B700" s="1043">
        <v>44888</v>
      </c>
      <c r="C700" s="103">
        <v>0.83333333333333337</v>
      </c>
      <c r="D700" s="410">
        <v>52</v>
      </c>
      <c r="E700" s="415">
        <v>9.9</v>
      </c>
      <c r="F700" s="415">
        <v>14.5</v>
      </c>
      <c r="G700" s="1566" t="s">
        <v>3340</v>
      </c>
      <c r="H700" s="1567"/>
      <c r="I700" s="1567"/>
      <c r="J700" s="1567"/>
      <c r="K700" s="1568"/>
      <c r="L700" s="416">
        <v>40.19</v>
      </c>
      <c r="M700" s="416">
        <v>43</v>
      </c>
      <c r="N700" s="416">
        <v>59.11</v>
      </c>
      <c r="O700" s="416"/>
      <c r="P700" s="416"/>
      <c r="Q700" s="416"/>
      <c r="R700" s="416" t="s">
        <v>4356</v>
      </c>
      <c r="S700" s="416">
        <v>54.4</v>
      </c>
      <c r="T700" s="102" t="s">
        <v>23</v>
      </c>
      <c r="U700" s="416" t="s">
        <v>4320</v>
      </c>
      <c r="V700" s="928"/>
      <c r="CM700" s="342"/>
      <c r="CN700" s="342"/>
      <c r="CO700" s="342"/>
      <c r="CP700" s="342"/>
      <c r="CQ700" s="342"/>
      <c r="CR700" s="342"/>
      <c r="CS700" s="342"/>
      <c r="CT700" s="342"/>
      <c r="CU700" s="342"/>
      <c r="CV700" s="342"/>
      <c r="CW700" s="342"/>
      <c r="CX700" s="342"/>
      <c r="CY700" s="342"/>
    </row>
    <row r="701" spans="2:103" s="343" customFormat="1" ht="27" customHeight="1" x14ac:dyDescent="0.25">
      <c r="B701" s="1045">
        <v>44889</v>
      </c>
      <c r="C701" s="103">
        <v>0.83333333333333337</v>
      </c>
      <c r="D701" s="410">
        <v>52</v>
      </c>
      <c r="E701" s="415">
        <v>9.6999999999999993</v>
      </c>
      <c r="F701" s="415">
        <v>14.4</v>
      </c>
      <c r="G701" s="1566" t="s">
        <v>3340</v>
      </c>
      <c r="H701" s="1567"/>
      <c r="I701" s="1567"/>
      <c r="J701" s="1567"/>
      <c r="K701" s="1568"/>
      <c r="L701" s="416">
        <v>41.02</v>
      </c>
      <c r="M701" s="416">
        <v>44</v>
      </c>
      <c r="N701" s="416">
        <v>55.14</v>
      </c>
      <c r="O701" s="416"/>
      <c r="P701" s="416"/>
      <c r="Q701" s="416"/>
      <c r="R701" s="416" t="s">
        <v>4357</v>
      </c>
      <c r="S701" s="416">
        <v>56</v>
      </c>
      <c r="T701" s="102" t="s">
        <v>23</v>
      </c>
      <c r="U701" s="416" t="s">
        <v>4320</v>
      </c>
      <c r="V701" s="928"/>
      <c r="CM701" s="342"/>
      <c r="CN701" s="342"/>
      <c r="CO701" s="342"/>
      <c r="CP701" s="342"/>
      <c r="CQ701" s="342"/>
      <c r="CR701" s="342"/>
      <c r="CS701" s="342"/>
      <c r="CT701" s="342"/>
      <c r="CU701" s="342"/>
      <c r="CV701" s="342"/>
      <c r="CW701" s="342"/>
      <c r="CX701" s="342"/>
      <c r="CY701" s="342"/>
    </row>
    <row r="702" spans="2:103" s="343" customFormat="1" ht="27" customHeight="1" x14ac:dyDescent="0.25">
      <c r="B702" s="1046">
        <v>44890</v>
      </c>
      <c r="C702" s="103">
        <v>0.875</v>
      </c>
      <c r="D702" s="410">
        <v>52</v>
      </c>
      <c r="E702" s="415">
        <v>11.9</v>
      </c>
      <c r="F702" s="415">
        <v>16.2</v>
      </c>
      <c r="G702" s="1566" t="s">
        <v>3340</v>
      </c>
      <c r="H702" s="1567"/>
      <c r="I702" s="1567"/>
      <c r="J702" s="1567"/>
      <c r="K702" s="1568"/>
      <c r="L702" s="416">
        <v>38</v>
      </c>
      <c r="M702" s="416">
        <v>42</v>
      </c>
      <c r="N702" s="416">
        <v>60.68</v>
      </c>
      <c r="O702" s="416"/>
      <c r="P702" s="416"/>
      <c r="Q702" s="416"/>
      <c r="R702" s="416" t="s">
        <v>4365</v>
      </c>
      <c r="S702" s="416">
        <v>63</v>
      </c>
      <c r="T702" s="102" t="s">
        <v>23</v>
      </c>
      <c r="U702" s="416" t="s">
        <v>4320</v>
      </c>
      <c r="V702" s="928"/>
      <c r="CM702" s="342"/>
      <c r="CN702" s="342"/>
      <c r="CO702" s="342"/>
      <c r="CP702" s="342"/>
      <c r="CQ702" s="342"/>
      <c r="CR702" s="342"/>
      <c r="CS702" s="342"/>
      <c r="CT702" s="342"/>
      <c r="CU702" s="342"/>
      <c r="CV702" s="342"/>
      <c r="CW702" s="342"/>
      <c r="CX702" s="342"/>
      <c r="CY702" s="342"/>
    </row>
    <row r="703" spans="2:103" s="343" customFormat="1" ht="27" customHeight="1" x14ac:dyDescent="0.25">
      <c r="B703" s="1047">
        <v>44891</v>
      </c>
      <c r="C703" s="103">
        <v>0.875</v>
      </c>
      <c r="D703" s="410">
        <v>52</v>
      </c>
      <c r="E703" s="415">
        <v>8.9</v>
      </c>
      <c r="F703" s="415">
        <v>13.8</v>
      </c>
      <c r="G703" s="1566" t="s">
        <v>3340</v>
      </c>
      <c r="H703" s="1567"/>
      <c r="I703" s="1567"/>
      <c r="J703" s="1567"/>
      <c r="K703" s="1568"/>
      <c r="L703" s="416">
        <v>40.92</v>
      </c>
      <c r="M703" s="416">
        <v>41</v>
      </c>
      <c r="N703" s="416">
        <v>53.23</v>
      </c>
      <c r="O703" s="416"/>
      <c r="P703" s="416"/>
      <c r="Q703" s="416"/>
      <c r="R703" s="416" t="s">
        <v>1901</v>
      </c>
      <c r="S703" s="416">
        <v>53.6</v>
      </c>
      <c r="T703" s="102" t="s">
        <v>23</v>
      </c>
      <c r="U703" s="416" t="s">
        <v>4320</v>
      </c>
      <c r="V703" s="928"/>
      <c r="CM703" s="342"/>
      <c r="CN703" s="342"/>
      <c r="CO703" s="342"/>
      <c r="CP703" s="342"/>
      <c r="CQ703" s="342"/>
      <c r="CR703" s="342"/>
      <c r="CS703" s="342"/>
      <c r="CT703" s="342"/>
      <c r="CU703" s="342"/>
      <c r="CV703" s="342"/>
      <c r="CW703" s="342"/>
      <c r="CX703" s="342"/>
      <c r="CY703" s="342"/>
    </row>
    <row r="704" spans="2:103" s="343" customFormat="1" ht="27" customHeight="1" x14ac:dyDescent="0.25">
      <c r="B704" s="1048">
        <v>44892</v>
      </c>
      <c r="C704" s="103">
        <v>0.91666666666666663</v>
      </c>
      <c r="D704" s="410">
        <v>52</v>
      </c>
      <c r="E704" s="415">
        <v>9.8000000000000007</v>
      </c>
      <c r="F704" s="415">
        <v>14.5</v>
      </c>
      <c r="G704" s="1566" t="s">
        <v>3340</v>
      </c>
      <c r="H704" s="1567"/>
      <c r="I704" s="1567"/>
      <c r="J704" s="1567"/>
      <c r="K704" s="1568"/>
      <c r="L704" s="416">
        <v>38.65</v>
      </c>
      <c r="M704" s="416">
        <v>41</v>
      </c>
      <c r="N704" s="416">
        <v>54.83</v>
      </c>
      <c r="O704" s="416"/>
      <c r="P704" s="416"/>
      <c r="Q704" s="416"/>
      <c r="R704" s="416" t="s">
        <v>3758</v>
      </c>
      <c r="S704" s="416">
        <v>56.4</v>
      </c>
      <c r="T704" s="102" t="s">
        <v>23</v>
      </c>
      <c r="U704" s="416" t="s">
        <v>4320</v>
      </c>
      <c r="V704" s="928"/>
      <c r="CM704" s="342"/>
      <c r="CN704" s="342"/>
      <c r="CO704" s="342"/>
      <c r="CP704" s="342"/>
      <c r="CQ704" s="342"/>
      <c r="CR704" s="342"/>
      <c r="CS704" s="342"/>
      <c r="CT704" s="342"/>
      <c r="CU704" s="342"/>
      <c r="CV704" s="342"/>
      <c r="CW704" s="342"/>
      <c r="CX704" s="342"/>
      <c r="CY704" s="342"/>
    </row>
    <row r="705" spans="2:103" s="343" customFormat="1" ht="27" customHeight="1" x14ac:dyDescent="0.25">
      <c r="B705" s="1049">
        <v>44893</v>
      </c>
      <c r="C705" s="103">
        <v>0.79166666666666663</v>
      </c>
      <c r="D705" s="410">
        <v>52</v>
      </c>
      <c r="E705" s="415">
        <v>10.199999999999999</v>
      </c>
      <c r="F705" s="415">
        <v>14.8</v>
      </c>
      <c r="G705" s="1566" t="s">
        <v>3340</v>
      </c>
      <c r="H705" s="1567"/>
      <c r="I705" s="1567"/>
      <c r="J705" s="1567"/>
      <c r="K705" s="1568"/>
      <c r="L705" s="416">
        <v>38.950000000000003</v>
      </c>
      <c r="M705" s="416">
        <v>41</v>
      </c>
      <c r="N705" s="416">
        <v>60.19</v>
      </c>
      <c r="O705" s="416"/>
      <c r="P705" s="416"/>
      <c r="Q705" s="416"/>
      <c r="R705" s="416" t="s">
        <v>3704</v>
      </c>
      <c r="S705" s="416">
        <v>57.5</v>
      </c>
      <c r="T705" s="102" t="s">
        <v>23</v>
      </c>
      <c r="U705" s="416" t="s">
        <v>4320</v>
      </c>
      <c r="V705" s="928"/>
      <c r="CM705" s="342"/>
      <c r="CN705" s="342"/>
      <c r="CO705" s="342"/>
      <c r="CP705" s="342"/>
      <c r="CQ705" s="342"/>
      <c r="CR705" s="342"/>
      <c r="CS705" s="342"/>
      <c r="CT705" s="342"/>
      <c r="CU705" s="342"/>
      <c r="CV705" s="342"/>
      <c r="CW705" s="342"/>
      <c r="CX705" s="342"/>
      <c r="CY705" s="342"/>
    </row>
    <row r="706" spans="2:103" s="343" customFormat="1" ht="27" customHeight="1" x14ac:dyDescent="0.25">
      <c r="B706" s="1050">
        <v>44894</v>
      </c>
      <c r="C706" s="103">
        <v>0.89583333333333337</v>
      </c>
      <c r="D706" s="410">
        <v>52</v>
      </c>
      <c r="E706" s="415">
        <v>9.6999999999999993</v>
      </c>
      <c r="F706" s="415">
        <v>14.5</v>
      </c>
      <c r="G706" s="1566" t="s">
        <v>3340</v>
      </c>
      <c r="H706" s="1567"/>
      <c r="I706" s="1567"/>
      <c r="J706" s="1567"/>
      <c r="K706" s="1568"/>
      <c r="L706" s="416">
        <v>39.799999999999997</v>
      </c>
      <c r="M706" s="416">
        <v>41</v>
      </c>
      <c r="N706" s="416">
        <v>59.61</v>
      </c>
      <c r="O706" s="416"/>
      <c r="P706" s="416"/>
      <c r="Q706" s="416"/>
      <c r="R706" s="416" t="s">
        <v>4209</v>
      </c>
      <c r="S706" s="416">
        <v>56.4</v>
      </c>
      <c r="T706" s="102" t="s">
        <v>23</v>
      </c>
      <c r="U706" s="416" t="s">
        <v>4320</v>
      </c>
      <c r="V706" s="928"/>
      <c r="CM706" s="342"/>
      <c r="CN706" s="342"/>
      <c r="CO706" s="342"/>
      <c r="CP706" s="342"/>
      <c r="CQ706" s="342"/>
      <c r="CR706" s="342"/>
      <c r="CS706" s="342"/>
      <c r="CT706" s="342"/>
      <c r="CU706" s="342"/>
      <c r="CV706" s="342"/>
      <c r="CW706" s="342"/>
      <c r="CX706" s="342"/>
      <c r="CY706" s="342"/>
    </row>
    <row r="707" spans="2:103" s="343" customFormat="1" ht="27" customHeight="1" x14ac:dyDescent="0.25">
      <c r="B707" s="1051">
        <v>44895</v>
      </c>
      <c r="C707" s="103">
        <v>0.83333333333333337</v>
      </c>
      <c r="D707" s="410">
        <v>52</v>
      </c>
      <c r="E707" s="415">
        <v>9.9</v>
      </c>
      <c r="F707" s="415">
        <v>14.5</v>
      </c>
      <c r="G707" s="1566" t="s">
        <v>3340</v>
      </c>
      <c r="H707" s="1567"/>
      <c r="I707" s="1567"/>
      <c r="J707" s="1567"/>
      <c r="K707" s="1568"/>
      <c r="L707" s="416">
        <v>39.700000000000003</v>
      </c>
      <c r="M707" s="416">
        <v>41</v>
      </c>
      <c r="N707" s="416">
        <v>57.85</v>
      </c>
      <c r="O707" s="416"/>
      <c r="P707" s="416"/>
      <c r="Q707" s="416"/>
      <c r="R707" s="416" t="s">
        <v>4209</v>
      </c>
      <c r="S707" s="416">
        <v>56.4</v>
      </c>
      <c r="T707" s="102" t="s">
        <v>23</v>
      </c>
      <c r="U707" s="416" t="s">
        <v>4320</v>
      </c>
      <c r="V707" s="928"/>
      <c r="CM707" s="342"/>
      <c r="CN707" s="342"/>
      <c r="CO707" s="342"/>
      <c r="CP707" s="342"/>
      <c r="CQ707" s="342"/>
      <c r="CR707" s="342"/>
      <c r="CS707" s="342"/>
      <c r="CT707" s="342"/>
      <c r="CU707" s="342"/>
      <c r="CV707" s="342"/>
      <c r="CW707" s="342"/>
      <c r="CX707" s="342"/>
      <c r="CY707" s="342"/>
    </row>
    <row r="708" spans="2:103" s="343" customFormat="1" ht="27" customHeight="1" x14ac:dyDescent="0.25">
      <c r="B708" s="1052">
        <v>44896</v>
      </c>
      <c r="C708" s="103">
        <v>0.875</v>
      </c>
      <c r="D708" s="410">
        <v>52</v>
      </c>
      <c r="E708" s="415">
        <v>11.8</v>
      </c>
      <c r="F708" s="415">
        <v>16.100000000000001</v>
      </c>
      <c r="G708" s="1566" t="s">
        <v>3340</v>
      </c>
      <c r="H708" s="1567"/>
      <c r="I708" s="1567"/>
      <c r="J708" s="1567"/>
      <c r="K708" s="1568"/>
      <c r="L708" s="416">
        <v>38.880000000000003</v>
      </c>
      <c r="M708" s="416">
        <v>41</v>
      </c>
      <c r="N708" s="416">
        <v>60.37</v>
      </c>
      <c r="O708" s="416"/>
      <c r="P708" s="416"/>
      <c r="Q708" s="416"/>
      <c r="R708" s="416" t="s">
        <v>2342</v>
      </c>
      <c r="S708" s="416">
        <v>62.6</v>
      </c>
      <c r="T708" s="102" t="s">
        <v>23</v>
      </c>
      <c r="U708" s="416" t="s">
        <v>4320</v>
      </c>
      <c r="V708" s="928"/>
      <c r="CM708" s="342"/>
      <c r="CN708" s="342"/>
      <c r="CO708" s="342"/>
      <c r="CP708" s="342"/>
      <c r="CQ708" s="342"/>
      <c r="CR708" s="342"/>
      <c r="CS708" s="342"/>
      <c r="CT708" s="342"/>
      <c r="CU708" s="342"/>
      <c r="CV708" s="342"/>
      <c r="CW708" s="342"/>
      <c r="CX708" s="342"/>
      <c r="CY708" s="342"/>
    </row>
    <row r="709" spans="2:103" s="343" customFormat="1" ht="27" customHeight="1" x14ac:dyDescent="0.25">
      <c r="B709" s="1053">
        <v>44897</v>
      </c>
      <c r="C709" s="103">
        <v>0.875</v>
      </c>
      <c r="D709" s="410">
        <v>52</v>
      </c>
      <c r="E709" s="415">
        <v>9.5</v>
      </c>
      <c r="F709" s="415">
        <v>14.3</v>
      </c>
      <c r="G709" s="1566" t="s">
        <v>3340</v>
      </c>
      <c r="H709" s="1567"/>
      <c r="I709" s="1567"/>
      <c r="J709" s="1567"/>
      <c r="K709" s="1568"/>
      <c r="L709" s="416">
        <v>41.27</v>
      </c>
      <c r="M709" s="416">
        <v>44</v>
      </c>
      <c r="N709" s="416">
        <v>55.37</v>
      </c>
      <c r="O709" s="416"/>
      <c r="P709" s="416"/>
      <c r="Q709" s="416"/>
      <c r="R709" s="416" t="s">
        <v>4144</v>
      </c>
      <c r="S709" s="416">
        <v>55.6</v>
      </c>
      <c r="T709" s="102" t="s">
        <v>23</v>
      </c>
      <c r="U709" s="416" t="s">
        <v>4320</v>
      </c>
      <c r="V709" s="928"/>
      <c r="CM709" s="342"/>
      <c r="CN709" s="342"/>
      <c r="CO709" s="342"/>
      <c r="CP709" s="342"/>
      <c r="CQ709" s="342"/>
      <c r="CR709" s="342"/>
      <c r="CS709" s="342"/>
      <c r="CT709" s="342"/>
      <c r="CU709" s="342"/>
      <c r="CV709" s="342"/>
      <c r="CW709" s="342"/>
      <c r="CX709" s="342"/>
      <c r="CY709" s="342"/>
    </row>
    <row r="710" spans="2:103" s="343" customFormat="1" ht="27" customHeight="1" x14ac:dyDescent="0.25">
      <c r="B710" s="1054">
        <v>44898</v>
      </c>
      <c r="C710" s="103">
        <v>0.875</v>
      </c>
      <c r="D710" s="410">
        <v>52</v>
      </c>
      <c r="E710" s="415">
        <v>10.1</v>
      </c>
      <c r="F710" s="415">
        <v>14.7</v>
      </c>
      <c r="G710" s="1566" t="s">
        <v>3340</v>
      </c>
      <c r="H710" s="1567"/>
      <c r="I710" s="1567"/>
      <c r="J710" s="1567"/>
      <c r="K710" s="1568"/>
      <c r="L710" s="416">
        <v>39.520000000000003</v>
      </c>
      <c r="M710" s="416">
        <v>41</v>
      </c>
      <c r="N710" s="416">
        <v>60.06</v>
      </c>
      <c r="O710" s="416"/>
      <c r="P710" s="416"/>
      <c r="Q710" s="416"/>
      <c r="R710" s="416" t="s">
        <v>4418</v>
      </c>
      <c r="S710" s="416">
        <v>57.1</v>
      </c>
      <c r="T710" s="102" t="s">
        <v>23</v>
      </c>
      <c r="U710" s="416" t="s">
        <v>4320</v>
      </c>
      <c r="V710" s="928"/>
      <c r="CM710" s="342"/>
      <c r="CN710" s="342"/>
      <c r="CO710" s="342"/>
      <c r="CP710" s="342"/>
      <c r="CQ710" s="342"/>
      <c r="CR710" s="342"/>
      <c r="CS710" s="342"/>
      <c r="CT710" s="342"/>
      <c r="CU710" s="342"/>
      <c r="CV710" s="342"/>
      <c r="CW710" s="342"/>
      <c r="CX710" s="342"/>
      <c r="CY710" s="342"/>
    </row>
    <row r="711" spans="2:103" s="343" customFormat="1" ht="27" customHeight="1" x14ac:dyDescent="0.25">
      <c r="B711" s="1058">
        <v>44899</v>
      </c>
      <c r="C711" s="103">
        <v>0.79166666666666663</v>
      </c>
      <c r="D711" s="410">
        <v>52</v>
      </c>
      <c r="E711" s="415">
        <v>9.6999999999999993</v>
      </c>
      <c r="F711" s="415">
        <v>14.4</v>
      </c>
      <c r="G711" s="1566" t="s">
        <v>3340</v>
      </c>
      <c r="H711" s="1567"/>
      <c r="I711" s="1567"/>
      <c r="J711" s="1567"/>
      <c r="K711" s="1568"/>
      <c r="L711" s="416">
        <v>40.630000000000003</v>
      </c>
      <c r="M711" s="416">
        <v>42</v>
      </c>
      <c r="N711" s="416" t="s">
        <v>4437</v>
      </c>
      <c r="O711" s="416"/>
      <c r="P711" s="416"/>
      <c r="Q711" s="416"/>
      <c r="R711" s="416" t="s">
        <v>3456</v>
      </c>
      <c r="S711" s="416">
        <v>56</v>
      </c>
      <c r="T711" s="102" t="s">
        <v>23</v>
      </c>
      <c r="U711" s="416" t="s">
        <v>4320</v>
      </c>
      <c r="V711" s="928"/>
      <c r="CM711" s="342"/>
      <c r="CN711" s="342"/>
      <c r="CO711" s="342"/>
      <c r="CP711" s="342"/>
      <c r="CQ711" s="342"/>
      <c r="CR711" s="342"/>
      <c r="CS711" s="342"/>
      <c r="CT711" s="342"/>
      <c r="CU711" s="342"/>
      <c r="CV711" s="342"/>
      <c r="CW711" s="342"/>
      <c r="CX711" s="342"/>
      <c r="CY711" s="342"/>
    </row>
    <row r="712" spans="2:103" s="343" customFormat="1" ht="27" customHeight="1" x14ac:dyDescent="0.25">
      <c r="B712" s="1059">
        <v>44900</v>
      </c>
      <c r="C712" s="103">
        <v>0.79166666666666663</v>
      </c>
      <c r="D712" s="410">
        <v>52</v>
      </c>
      <c r="E712" s="415">
        <v>10.199999999999999</v>
      </c>
      <c r="F712" s="415">
        <v>14.8</v>
      </c>
      <c r="G712" s="1566" t="s">
        <v>3340</v>
      </c>
      <c r="H712" s="1567"/>
      <c r="I712" s="1567"/>
      <c r="J712" s="1567"/>
      <c r="K712" s="1568"/>
      <c r="L712" s="416">
        <v>38.119999999999997</v>
      </c>
      <c r="M712" s="416">
        <v>40</v>
      </c>
      <c r="N712" s="416">
        <v>60.67</v>
      </c>
      <c r="O712" s="416"/>
      <c r="P712" s="416"/>
      <c r="Q712" s="416"/>
      <c r="R712" s="416" t="s">
        <v>3704</v>
      </c>
      <c r="S712" s="416">
        <v>57.5</v>
      </c>
      <c r="T712" s="102" t="s">
        <v>23</v>
      </c>
      <c r="U712" s="416" t="s">
        <v>4320</v>
      </c>
      <c r="V712" s="928"/>
      <c r="CM712" s="342"/>
      <c r="CN712" s="342"/>
      <c r="CO712" s="342"/>
      <c r="CP712" s="342"/>
      <c r="CQ712" s="342"/>
      <c r="CR712" s="342"/>
      <c r="CS712" s="342"/>
      <c r="CT712" s="342"/>
      <c r="CU712" s="342"/>
      <c r="CV712" s="342"/>
      <c r="CW712" s="342"/>
      <c r="CX712" s="342"/>
      <c r="CY712" s="342"/>
    </row>
    <row r="713" spans="2:103" s="343" customFormat="1" ht="27" customHeight="1" x14ac:dyDescent="0.25">
      <c r="B713" s="1060">
        <v>44901</v>
      </c>
      <c r="C713" s="103">
        <v>0.83333333333333337</v>
      </c>
      <c r="D713" s="410">
        <v>52</v>
      </c>
      <c r="E713" s="415">
        <v>10</v>
      </c>
      <c r="F713" s="415">
        <v>14.7</v>
      </c>
      <c r="G713" s="1566" t="s">
        <v>3340</v>
      </c>
      <c r="H713" s="1567"/>
      <c r="I713" s="1567"/>
      <c r="J713" s="1567"/>
      <c r="K713" s="1568"/>
      <c r="L713" s="416">
        <v>37.99</v>
      </c>
      <c r="M713" s="416">
        <v>40</v>
      </c>
      <c r="N713" s="416">
        <v>58.96</v>
      </c>
      <c r="O713" s="416"/>
      <c r="P713" s="416"/>
      <c r="Q713" s="416"/>
      <c r="R713" s="416" t="s">
        <v>4418</v>
      </c>
      <c r="S713" s="416">
        <v>57.1</v>
      </c>
      <c r="T713" s="102" t="s">
        <v>23</v>
      </c>
      <c r="U713" s="416" t="s">
        <v>4320</v>
      </c>
      <c r="V713" s="928"/>
      <c r="CM713" s="342"/>
      <c r="CN713" s="342"/>
      <c r="CO713" s="342"/>
      <c r="CP713" s="342"/>
      <c r="CQ713" s="342"/>
      <c r="CR713" s="342"/>
      <c r="CS713" s="342"/>
      <c r="CT713" s="342"/>
      <c r="CU713" s="342"/>
      <c r="CV713" s="342"/>
      <c r="CW713" s="342"/>
      <c r="CX713" s="342"/>
      <c r="CY713" s="342"/>
    </row>
    <row r="714" spans="2:103" s="343" customFormat="1" ht="27" customHeight="1" x14ac:dyDescent="0.25">
      <c r="B714" s="1061">
        <v>44902</v>
      </c>
      <c r="C714" s="103">
        <v>0.83333333333333337</v>
      </c>
      <c r="D714" s="410">
        <v>52</v>
      </c>
      <c r="E714" s="415">
        <v>10.5</v>
      </c>
      <c r="F714" s="415">
        <v>15</v>
      </c>
      <c r="G714" s="1566" t="s">
        <v>3340</v>
      </c>
      <c r="H714" s="1567"/>
      <c r="I714" s="1567"/>
      <c r="J714" s="1567"/>
      <c r="K714" s="1568"/>
      <c r="L714" s="416">
        <v>38.28</v>
      </c>
      <c r="M714" s="416">
        <v>40</v>
      </c>
      <c r="N714" s="416">
        <v>60.11</v>
      </c>
      <c r="O714" s="416"/>
      <c r="P714" s="416"/>
      <c r="Q714" s="416"/>
      <c r="R714" s="416" t="s">
        <v>4461</v>
      </c>
      <c r="S714" s="416">
        <v>58.3</v>
      </c>
      <c r="T714" s="102" t="s">
        <v>23</v>
      </c>
      <c r="U714" s="416" t="s">
        <v>4320</v>
      </c>
      <c r="V714" s="928"/>
      <c r="CM714" s="342"/>
      <c r="CN714" s="342"/>
      <c r="CO714" s="342"/>
      <c r="CP714" s="342"/>
      <c r="CQ714" s="342"/>
      <c r="CR714" s="342"/>
      <c r="CS714" s="342"/>
      <c r="CT714" s="342"/>
      <c r="CU714" s="342"/>
      <c r="CV714" s="342"/>
      <c r="CW714" s="342"/>
      <c r="CX714" s="342"/>
      <c r="CY714" s="342"/>
    </row>
    <row r="715" spans="2:103" s="343" customFormat="1" ht="27" customHeight="1" x14ac:dyDescent="0.25">
      <c r="B715" s="1062">
        <v>44903</v>
      </c>
      <c r="C715" s="103">
        <v>0.83333333333333337</v>
      </c>
      <c r="D715" s="410">
        <v>52</v>
      </c>
      <c r="E715" s="415">
        <v>10</v>
      </c>
      <c r="F715" s="415">
        <v>14.6</v>
      </c>
      <c r="G715" s="1566" t="s">
        <v>3340</v>
      </c>
      <c r="H715" s="1567"/>
      <c r="I715" s="1567"/>
      <c r="J715" s="1567"/>
      <c r="K715" s="1568"/>
      <c r="L715" s="416">
        <v>36.75</v>
      </c>
      <c r="M715" s="416">
        <v>39</v>
      </c>
      <c r="N715" s="416">
        <v>60.72</v>
      </c>
      <c r="O715" s="416"/>
      <c r="P715" s="416"/>
      <c r="Q715" s="416"/>
      <c r="R715" s="416" t="s">
        <v>4098</v>
      </c>
      <c r="S715" s="416">
        <v>56.8</v>
      </c>
      <c r="T715" s="102" t="s">
        <v>23</v>
      </c>
      <c r="U715" s="416" t="s">
        <v>4320</v>
      </c>
      <c r="V715" s="928"/>
      <c r="CM715" s="342"/>
      <c r="CN715" s="342"/>
      <c r="CO715" s="342"/>
      <c r="CP715" s="342"/>
      <c r="CQ715" s="342"/>
      <c r="CR715" s="342"/>
      <c r="CS715" s="342"/>
      <c r="CT715" s="342"/>
      <c r="CU715" s="342"/>
      <c r="CV715" s="342"/>
      <c r="CW715" s="342"/>
      <c r="CX715" s="342"/>
      <c r="CY715" s="342"/>
    </row>
    <row r="716" spans="2:103" s="343" customFormat="1" ht="27" customHeight="1" x14ac:dyDescent="0.25">
      <c r="B716" s="1063">
        <v>44904</v>
      </c>
      <c r="C716" s="103">
        <v>0.83333333333333337</v>
      </c>
      <c r="D716" s="410">
        <v>52</v>
      </c>
      <c r="E716" s="415">
        <v>10.3</v>
      </c>
      <c r="F716" s="415">
        <v>14.9</v>
      </c>
      <c r="G716" s="1566" t="s">
        <v>3340</v>
      </c>
      <c r="H716" s="1567"/>
      <c r="I716" s="1567"/>
      <c r="J716" s="1567"/>
      <c r="K716" s="1568"/>
      <c r="L716" s="416">
        <v>36.03</v>
      </c>
      <c r="M716" s="416">
        <v>40</v>
      </c>
      <c r="N716" s="416">
        <v>62.09</v>
      </c>
      <c r="O716" s="416"/>
      <c r="P716" s="416"/>
      <c r="Q716" s="416"/>
      <c r="R716" s="416" t="s">
        <v>3912</v>
      </c>
      <c r="S716" s="416">
        <v>57.9</v>
      </c>
      <c r="T716" s="102" t="s">
        <v>23</v>
      </c>
      <c r="U716" s="416" t="s">
        <v>4320</v>
      </c>
      <c r="V716" s="928"/>
      <c r="CM716" s="342"/>
      <c r="CN716" s="342"/>
      <c r="CO716" s="342"/>
      <c r="CP716" s="342"/>
      <c r="CQ716" s="342"/>
      <c r="CR716" s="342"/>
      <c r="CS716" s="342"/>
      <c r="CT716" s="342"/>
      <c r="CU716" s="342"/>
      <c r="CV716" s="342"/>
      <c r="CW716" s="342"/>
      <c r="CX716" s="342"/>
      <c r="CY716" s="342"/>
    </row>
    <row r="717" spans="2:103" s="343" customFormat="1" ht="27" customHeight="1" x14ac:dyDescent="0.25">
      <c r="B717" s="1065">
        <v>44905</v>
      </c>
      <c r="C717" s="103">
        <v>0.83333333333333337</v>
      </c>
      <c r="D717" s="410">
        <v>52</v>
      </c>
      <c r="E717" s="415">
        <v>10.4</v>
      </c>
      <c r="F717" s="415">
        <v>14.9</v>
      </c>
      <c r="G717" s="1566" t="s">
        <v>3340</v>
      </c>
      <c r="H717" s="1567"/>
      <c r="I717" s="1567"/>
      <c r="J717" s="1567"/>
      <c r="K717" s="1568"/>
      <c r="L717" s="416">
        <v>37.590000000000003</v>
      </c>
      <c r="M717" s="416">
        <v>39</v>
      </c>
      <c r="N717" s="416">
        <v>60.87</v>
      </c>
      <c r="O717" s="416"/>
      <c r="P717" s="416"/>
      <c r="Q717" s="416"/>
      <c r="R717" s="416" t="s">
        <v>3912</v>
      </c>
      <c r="S717" s="416">
        <v>57.9</v>
      </c>
      <c r="T717" s="102" t="s">
        <v>23</v>
      </c>
      <c r="U717" s="416" t="s">
        <v>4320</v>
      </c>
      <c r="V717" s="928"/>
      <c r="CM717" s="342"/>
      <c r="CN717" s="342"/>
      <c r="CO717" s="342"/>
      <c r="CP717" s="342"/>
      <c r="CQ717" s="342"/>
      <c r="CR717" s="342"/>
      <c r="CS717" s="342"/>
      <c r="CT717" s="342"/>
      <c r="CU717" s="342"/>
      <c r="CV717" s="342"/>
      <c r="CW717" s="342"/>
      <c r="CX717" s="342"/>
      <c r="CY717" s="342"/>
    </row>
    <row r="718" spans="2:103" s="343" customFormat="1" ht="27" customHeight="1" x14ac:dyDescent="0.25">
      <c r="B718" s="1066">
        <v>44906</v>
      </c>
      <c r="C718" s="103">
        <v>0.83333333333333337</v>
      </c>
      <c r="D718" s="410">
        <v>52</v>
      </c>
      <c r="E718" s="415">
        <v>10.6</v>
      </c>
      <c r="F718" s="415">
        <v>15.1</v>
      </c>
      <c r="G718" s="1566" t="s">
        <v>3340</v>
      </c>
      <c r="H718" s="1567"/>
      <c r="I718" s="1567"/>
      <c r="J718" s="1567"/>
      <c r="K718" s="1568"/>
      <c r="L718" s="416">
        <v>36.47</v>
      </c>
      <c r="M718" s="416">
        <v>39</v>
      </c>
      <c r="N718" s="416">
        <v>61.67</v>
      </c>
      <c r="O718" s="416"/>
      <c r="P718" s="416"/>
      <c r="Q718" s="416"/>
      <c r="R718" s="416" t="s">
        <v>4491</v>
      </c>
      <c r="S718" s="416">
        <v>58.7</v>
      </c>
      <c r="T718" s="102" t="s">
        <v>23</v>
      </c>
      <c r="U718" s="416" t="s">
        <v>4320</v>
      </c>
      <c r="V718" s="928"/>
      <c r="CM718" s="342"/>
      <c r="CN718" s="342"/>
      <c r="CO718" s="342"/>
      <c r="CP718" s="342"/>
      <c r="CQ718" s="342"/>
      <c r="CR718" s="342"/>
      <c r="CS718" s="342"/>
      <c r="CT718" s="342"/>
      <c r="CU718" s="342"/>
      <c r="CV718" s="342"/>
      <c r="CW718" s="342"/>
      <c r="CX718" s="342"/>
      <c r="CY718" s="342"/>
    </row>
    <row r="719" spans="2:103" s="343" customFormat="1" ht="27" customHeight="1" x14ac:dyDescent="0.25">
      <c r="B719" s="1067">
        <v>44907</v>
      </c>
      <c r="C719" s="103">
        <v>0.875</v>
      </c>
      <c r="D719" s="410">
        <v>52</v>
      </c>
      <c r="E719" s="415">
        <v>10</v>
      </c>
      <c r="F719" s="415">
        <v>14.7</v>
      </c>
      <c r="G719" s="1566" t="s">
        <v>3340</v>
      </c>
      <c r="H719" s="1567"/>
      <c r="I719" s="1567"/>
      <c r="J719" s="1567"/>
      <c r="K719" s="1568"/>
      <c r="L719" s="416">
        <v>37.64</v>
      </c>
      <c r="M719" s="416">
        <v>39</v>
      </c>
      <c r="N719" s="416">
        <v>60.41</v>
      </c>
      <c r="O719" s="416"/>
      <c r="P719" s="416"/>
      <c r="Q719" s="416"/>
      <c r="R719" s="416" t="s">
        <v>4497</v>
      </c>
      <c r="S719" s="416">
        <v>57.1</v>
      </c>
      <c r="T719" s="102" t="s">
        <v>23</v>
      </c>
      <c r="U719" s="416" t="s">
        <v>4320</v>
      </c>
      <c r="V719" s="928"/>
      <c r="CM719" s="342"/>
      <c r="CN719" s="342"/>
      <c r="CO719" s="342"/>
      <c r="CP719" s="342"/>
      <c r="CQ719" s="342"/>
      <c r="CR719" s="342"/>
      <c r="CS719" s="342"/>
      <c r="CT719" s="342"/>
      <c r="CU719" s="342"/>
      <c r="CV719" s="342"/>
      <c r="CW719" s="342"/>
      <c r="CX719" s="342"/>
      <c r="CY719" s="342"/>
    </row>
    <row r="720" spans="2:103" s="343" customFormat="1" ht="27" customHeight="1" x14ac:dyDescent="0.25">
      <c r="B720" s="1068">
        <v>44908</v>
      </c>
      <c r="C720" s="103">
        <v>0.875</v>
      </c>
      <c r="D720" s="410">
        <v>52</v>
      </c>
      <c r="E720" s="415">
        <v>9.6</v>
      </c>
      <c r="F720" s="415">
        <v>14.3</v>
      </c>
      <c r="G720" s="1566" t="s">
        <v>3340</v>
      </c>
      <c r="H720" s="1567"/>
      <c r="I720" s="1567"/>
      <c r="J720" s="1567"/>
      <c r="K720" s="1568"/>
      <c r="L720" s="416">
        <v>38.51</v>
      </c>
      <c r="M720" s="416">
        <v>40</v>
      </c>
      <c r="N720" s="416">
        <v>57.24</v>
      </c>
      <c r="O720" s="416"/>
      <c r="P720" s="416"/>
      <c r="Q720" s="416"/>
      <c r="R720" s="416" t="s">
        <v>2964</v>
      </c>
      <c r="S720" s="416">
        <v>55.6</v>
      </c>
      <c r="T720" s="102" t="s">
        <v>23</v>
      </c>
      <c r="U720" s="416" t="s">
        <v>4320</v>
      </c>
      <c r="V720" s="928"/>
      <c r="CM720" s="342"/>
      <c r="CN720" s="342"/>
      <c r="CO720" s="342"/>
      <c r="CP720" s="342"/>
      <c r="CQ720" s="342"/>
      <c r="CR720" s="342"/>
      <c r="CS720" s="342"/>
      <c r="CT720" s="342"/>
      <c r="CU720" s="342"/>
      <c r="CV720" s="342"/>
      <c r="CW720" s="342"/>
      <c r="CX720" s="342"/>
      <c r="CY720" s="342"/>
    </row>
    <row r="721" spans="2:103" s="343" customFormat="1" ht="27" customHeight="1" x14ac:dyDescent="0.25">
      <c r="B721" s="1069">
        <v>44909</v>
      </c>
      <c r="C721" s="103">
        <v>0.91666666666666663</v>
      </c>
      <c r="D721" s="410">
        <v>52</v>
      </c>
      <c r="E721" s="415">
        <v>11.6</v>
      </c>
      <c r="F721" s="415">
        <v>15.9</v>
      </c>
      <c r="G721" s="1566" t="s">
        <v>3340</v>
      </c>
      <c r="H721" s="1567"/>
      <c r="I721" s="1567"/>
      <c r="J721" s="1567"/>
      <c r="K721" s="1568"/>
      <c r="L721" s="416">
        <v>38.24</v>
      </c>
      <c r="M721" s="416">
        <v>40</v>
      </c>
      <c r="N721" s="416">
        <v>60.26</v>
      </c>
      <c r="O721" s="416"/>
      <c r="P721" s="416"/>
      <c r="Q721" s="416"/>
      <c r="R721" s="416" t="s">
        <v>4506</v>
      </c>
      <c r="S721" s="416">
        <v>61.8</v>
      </c>
      <c r="T721" s="102" t="s">
        <v>23</v>
      </c>
      <c r="U721" s="416" t="s">
        <v>4320</v>
      </c>
      <c r="V721" s="928"/>
      <c r="CM721" s="342"/>
      <c r="CN721" s="342"/>
      <c r="CO721" s="342"/>
      <c r="CP721" s="342"/>
      <c r="CQ721" s="342"/>
      <c r="CR721" s="342"/>
      <c r="CS721" s="342"/>
      <c r="CT721" s="342"/>
      <c r="CU721" s="342"/>
      <c r="CV721" s="342"/>
      <c r="CW721" s="342"/>
      <c r="CX721" s="342"/>
      <c r="CY721" s="342"/>
    </row>
    <row r="722" spans="2:103" s="343" customFormat="1" ht="27" customHeight="1" x14ac:dyDescent="0.25">
      <c r="B722" s="1070">
        <v>44910</v>
      </c>
      <c r="C722" s="103">
        <v>0.91666666666666663</v>
      </c>
      <c r="D722" s="410">
        <v>52</v>
      </c>
      <c r="E722" s="415">
        <v>10.7</v>
      </c>
      <c r="F722" s="415">
        <v>15.2</v>
      </c>
      <c r="G722" s="1566" t="s">
        <v>3340</v>
      </c>
      <c r="H722" s="1567"/>
      <c r="I722" s="1567"/>
      <c r="J722" s="1567"/>
      <c r="K722" s="1568"/>
      <c r="L722" s="416">
        <v>38.86</v>
      </c>
      <c r="M722" s="416">
        <v>40</v>
      </c>
      <c r="N722" s="416">
        <v>59.15</v>
      </c>
      <c r="O722" s="416"/>
      <c r="P722" s="416"/>
      <c r="Q722" s="416"/>
      <c r="R722" s="416" t="s">
        <v>4513</v>
      </c>
      <c r="S722" s="416">
        <v>59.1</v>
      </c>
      <c r="T722" s="102" t="s">
        <v>23</v>
      </c>
      <c r="U722" s="416" t="s">
        <v>4320</v>
      </c>
      <c r="V722" s="928"/>
      <c r="CM722" s="342"/>
      <c r="CN722" s="342"/>
      <c r="CO722" s="342"/>
      <c r="CP722" s="342"/>
      <c r="CQ722" s="342"/>
      <c r="CR722" s="342"/>
      <c r="CS722" s="342"/>
      <c r="CT722" s="342"/>
      <c r="CU722" s="342"/>
      <c r="CV722" s="342"/>
      <c r="CW722" s="342"/>
      <c r="CX722" s="342"/>
      <c r="CY722" s="342"/>
    </row>
    <row r="723" spans="2:103" s="343" customFormat="1" ht="27" customHeight="1" x14ac:dyDescent="0.25">
      <c r="B723" s="1072">
        <v>44911</v>
      </c>
      <c r="C723" s="103">
        <v>0.91666666666666663</v>
      </c>
      <c r="D723" s="410">
        <v>52</v>
      </c>
      <c r="E723" s="415">
        <v>10</v>
      </c>
      <c r="F723" s="415">
        <v>14.7</v>
      </c>
      <c r="G723" s="1566" t="s">
        <v>3340</v>
      </c>
      <c r="H723" s="1567"/>
      <c r="I723" s="1567"/>
      <c r="J723" s="1567"/>
      <c r="K723" s="1568"/>
      <c r="L723" s="416">
        <v>37.159999999999997</v>
      </c>
      <c r="M723" s="416">
        <v>39</v>
      </c>
      <c r="N723" s="416">
        <v>59.04</v>
      </c>
      <c r="O723" s="416"/>
      <c r="P723" s="416"/>
      <c r="Q723" s="416"/>
      <c r="R723" s="416" t="s">
        <v>4529</v>
      </c>
      <c r="S723" s="416">
        <v>62.2</v>
      </c>
      <c r="T723" s="102" t="s">
        <v>23</v>
      </c>
      <c r="U723" s="416" t="s">
        <v>4320</v>
      </c>
      <c r="V723" s="928"/>
      <c r="CM723" s="342"/>
      <c r="CN723" s="342"/>
      <c r="CO723" s="342"/>
      <c r="CP723" s="342"/>
      <c r="CQ723" s="342"/>
      <c r="CR723" s="342"/>
      <c r="CS723" s="342"/>
      <c r="CT723" s="342"/>
      <c r="CU723" s="342"/>
      <c r="CV723" s="342"/>
      <c r="CW723" s="342"/>
      <c r="CX723" s="342"/>
      <c r="CY723" s="342"/>
    </row>
    <row r="724" spans="2:103" s="343" customFormat="1" ht="27" customHeight="1" x14ac:dyDescent="0.25">
      <c r="B724" s="1073">
        <v>44912</v>
      </c>
      <c r="C724" s="103">
        <v>0.91666666666666663</v>
      </c>
      <c r="D724" s="410">
        <v>52</v>
      </c>
      <c r="E724" s="415">
        <v>12</v>
      </c>
      <c r="F724" s="415">
        <v>16.2</v>
      </c>
      <c r="G724" s="1566" t="s">
        <v>3340</v>
      </c>
      <c r="H724" s="1567"/>
      <c r="I724" s="1567"/>
      <c r="J724" s="1567"/>
      <c r="K724" s="1568"/>
      <c r="L724" s="416">
        <v>34.090000000000003</v>
      </c>
      <c r="M724" s="416">
        <v>37</v>
      </c>
      <c r="N724" s="416">
        <v>62.48</v>
      </c>
      <c r="O724" s="416"/>
      <c r="P724" s="416"/>
      <c r="Q724" s="416"/>
      <c r="R724" s="416" t="s">
        <v>4538</v>
      </c>
      <c r="S724" s="416">
        <v>63</v>
      </c>
      <c r="T724" s="102" t="s">
        <v>23</v>
      </c>
      <c r="U724" s="416" t="s">
        <v>4320</v>
      </c>
      <c r="V724" s="928"/>
      <c r="CM724" s="342"/>
      <c r="CN724" s="342"/>
      <c r="CO724" s="342"/>
      <c r="CP724" s="342"/>
      <c r="CQ724" s="342"/>
      <c r="CR724" s="342"/>
      <c r="CS724" s="342"/>
      <c r="CT724" s="342"/>
      <c r="CU724" s="342"/>
      <c r="CV724" s="342"/>
      <c r="CW724" s="342"/>
      <c r="CX724" s="342"/>
      <c r="CY724" s="342"/>
    </row>
    <row r="725" spans="2:103" s="343" customFormat="1" ht="27" customHeight="1" x14ac:dyDescent="0.25">
      <c r="B725" s="1075">
        <v>44913</v>
      </c>
      <c r="C725" s="103">
        <v>0.91666666666666663</v>
      </c>
      <c r="D725" s="410">
        <v>52</v>
      </c>
      <c r="E725" s="415">
        <v>9.6999999999999993</v>
      </c>
      <c r="F725" s="415">
        <v>14.4</v>
      </c>
      <c r="G725" s="1566" t="s">
        <v>3340</v>
      </c>
      <c r="H725" s="1567"/>
      <c r="I725" s="1567"/>
      <c r="J725" s="1567"/>
      <c r="K725" s="1568"/>
      <c r="L725" s="416">
        <v>38.28</v>
      </c>
      <c r="M725" s="416">
        <v>38</v>
      </c>
      <c r="N725" s="416">
        <v>57.51</v>
      </c>
      <c r="O725" s="416"/>
      <c r="P725" s="416"/>
      <c r="Q725" s="416"/>
      <c r="R725" s="416" t="s">
        <v>4546</v>
      </c>
      <c r="S725" s="416">
        <v>55.6</v>
      </c>
      <c r="T725" s="102" t="s">
        <v>23</v>
      </c>
      <c r="U725" s="416" t="s">
        <v>4320</v>
      </c>
      <c r="V725" s="928"/>
      <c r="CM725" s="342"/>
      <c r="CN725" s="342"/>
      <c r="CO725" s="342"/>
      <c r="CP725" s="342"/>
      <c r="CQ725" s="342"/>
      <c r="CR725" s="342"/>
      <c r="CS725" s="342"/>
      <c r="CT725" s="342"/>
      <c r="CU725" s="342"/>
      <c r="CV725" s="342"/>
      <c r="CW725" s="342"/>
      <c r="CX725" s="342"/>
      <c r="CY725" s="342"/>
    </row>
    <row r="726" spans="2:103" s="343" customFormat="1" ht="27" customHeight="1" x14ac:dyDescent="0.25">
      <c r="B726" s="1076">
        <v>44914</v>
      </c>
      <c r="C726" s="103">
        <v>0.91666666666666663</v>
      </c>
      <c r="D726" s="410">
        <v>52</v>
      </c>
      <c r="E726" s="415">
        <v>10.6</v>
      </c>
      <c r="F726" s="415">
        <v>15.1</v>
      </c>
      <c r="G726" s="1566" t="s">
        <v>3340</v>
      </c>
      <c r="H726" s="1567"/>
      <c r="I726" s="1567"/>
      <c r="J726" s="1567"/>
      <c r="K726" s="1568"/>
      <c r="L726" s="416">
        <v>35.92</v>
      </c>
      <c r="M726" s="416">
        <v>37</v>
      </c>
      <c r="N726" s="416">
        <v>60.87</v>
      </c>
      <c r="O726" s="416"/>
      <c r="P726" s="416"/>
      <c r="Q726" s="416"/>
      <c r="R726" s="416" t="s">
        <v>4550</v>
      </c>
      <c r="S726" s="416">
        <v>58.7</v>
      </c>
      <c r="T726" s="102" t="s">
        <v>23</v>
      </c>
      <c r="U726" s="416" t="s">
        <v>4320</v>
      </c>
      <c r="V726" s="928"/>
      <c r="CM726" s="342"/>
      <c r="CN726" s="342"/>
      <c r="CO726" s="342"/>
      <c r="CP726" s="342"/>
      <c r="CQ726" s="342"/>
      <c r="CR726" s="342"/>
      <c r="CS726" s="342"/>
      <c r="CT726" s="342"/>
      <c r="CU726" s="342"/>
      <c r="CV726" s="342"/>
      <c r="CW726" s="342"/>
      <c r="CX726" s="342"/>
      <c r="CY726" s="342"/>
    </row>
    <row r="727" spans="2:103" s="343" customFormat="1" ht="27" customHeight="1" x14ac:dyDescent="0.25">
      <c r="B727" s="1078">
        <v>44915</v>
      </c>
      <c r="C727" s="103">
        <v>0.875</v>
      </c>
      <c r="D727" s="410">
        <v>52</v>
      </c>
      <c r="E727" s="415">
        <v>11.3</v>
      </c>
      <c r="F727" s="415">
        <v>15.6</v>
      </c>
      <c r="G727" s="1566" t="s">
        <v>3340</v>
      </c>
      <c r="H727" s="1567"/>
      <c r="I727" s="1567"/>
      <c r="J727" s="1567"/>
      <c r="K727" s="1568"/>
      <c r="L727" s="416">
        <v>35.39</v>
      </c>
      <c r="M727" s="416">
        <v>37</v>
      </c>
      <c r="N727" s="416">
        <v>61.21</v>
      </c>
      <c r="O727" s="416"/>
      <c r="P727" s="416"/>
      <c r="Q727" s="416"/>
      <c r="R727" s="416" t="s">
        <v>4569</v>
      </c>
      <c r="S727" s="416">
        <v>60.7</v>
      </c>
      <c r="T727" s="102" t="s">
        <v>23</v>
      </c>
      <c r="U727" s="416" t="s">
        <v>4320</v>
      </c>
      <c r="V727" s="928"/>
      <c r="CM727" s="342"/>
      <c r="CN727" s="342"/>
      <c r="CO727" s="342"/>
      <c r="CP727" s="342"/>
      <c r="CQ727" s="342"/>
      <c r="CR727" s="342"/>
      <c r="CS727" s="342"/>
      <c r="CT727" s="342"/>
      <c r="CU727" s="342"/>
      <c r="CV727" s="342"/>
      <c r="CW727" s="342"/>
      <c r="CX727" s="342"/>
      <c r="CY727" s="342"/>
    </row>
    <row r="728" spans="2:103" s="343" customFormat="1" ht="27" customHeight="1" x14ac:dyDescent="0.25">
      <c r="B728" s="1079">
        <v>44916</v>
      </c>
      <c r="C728" s="103">
        <v>0.91666666666666663</v>
      </c>
      <c r="D728" s="410">
        <v>52</v>
      </c>
      <c r="E728" s="415">
        <v>9.8000000000000007</v>
      </c>
      <c r="F728" s="415">
        <v>14.5</v>
      </c>
      <c r="G728" s="1566" t="s">
        <v>3340</v>
      </c>
      <c r="H728" s="1567"/>
      <c r="I728" s="1567"/>
      <c r="J728" s="1567"/>
      <c r="K728" s="1568"/>
      <c r="L728" s="416">
        <v>36.979999999999997</v>
      </c>
      <c r="M728" s="416">
        <v>38</v>
      </c>
      <c r="N728" s="416">
        <v>55.83</v>
      </c>
      <c r="O728" s="416"/>
      <c r="P728" s="416"/>
      <c r="Q728" s="416"/>
      <c r="R728" s="416" t="s">
        <v>3758</v>
      </c>
      <c r="S728" s="416">
        <v>56.4</v>
      </c>
      <c r="T728" s="102" t="s">
        <v>23</v>
      </c>
      <c r="U728" s="416" t="s">
        <v>4320</v>
      </c>
      <c r="V728" s="928"/>
      <c r="CM728" s="342"/>
      <c r="CN728" s="342"/>
      <c r="CO728" s="342"/>
      <c r="CP728" s="342"/>
      <c r="CQ728" s="342"/>
      <c r="CR728" s="342"/>
      <c r="CS728" s="342"/>
      <c r="CT728" s="342"/>
      <c r="CU728" s="342"/>
      <c r="CV728" s="342"/>
      <c r="CW728" s="342"/>
      <c r="CX728" s="342"/>
      <c r="CY728" s="342"/>
    </row>
    <row r="729" spans="2:103" s="343" customFormat="1" ht="27" customHeight="1" x14ac:dyDescent="0.25">
      <c r="B729" s="1080">
        <v>44917</v>
      </c>
      <c r="C729" s="103">
        <v>0.91666666666666663</v>
      </c>
      <c r="D729" s="410">
        <v>52</v>
      </c>
      <c r="E729" s="415">
        <v>12</v>
      </c>
      <c r="F729" s="415">
        <v>16.3</v>
      </c>
      <c r="G729" s="1566" t="s">
        <v>3340</v>
      </c>
      <c r="H729" s="1567"/>
      <c r="I729" s="1567"/>
      <c r="J729" s="1567"/>
      <c r="K729" s="1568"/>
      <c r="L729" s="416">
        <v>37.549999999999997</v>
      </c>
      <c r="M729" s="416">
        <v>39</v>
      </c>
      <c r="N729" s="416">
        <v>58.58</v>
      </c>
      <c r="O729" s="416"/>
      <c r="P729" s="416"/>
      <c r="Q729" s="416"/>
      <c r="R729" s="416" t="s">
        <v>4365</v>
      </c>
      <c r="S729" s="416">
        <v>63.4</v>
      </c>
      <c r="T729" s="102" t="s">
        <v>23</v>
      </c>
      <c r="U729" s="416" t="s">
        <v>4320</v>
      </c>
      <c r="V729" s="928"/>
      <c r="CM729" s="342"/>
      <c r="CN729" s="342"/>
      <c r="CO729" s="342"/>
      <c r="CP729" s="342"/>
      <c r="CQ729" s="342"/>
      <c r="CR729" s="342"/>
      <c r="CS729" s="342"/>
      <c r="CT729" s="342"/>
      <c r="CU729" s="342"/>
      <c r="CV729" s="342"/>
      <c r="CW729" s="342"/>
      <c r="CX729" s="342"/>
      <c r="CY729" s="342"/>
    </row>
    <row r="730" spans="2:103" s="343" customFormat="1" ht="27" customHeight="1" x14ac:dyDescent="0.25">
      <c r="B730" s="1081">
        <v>44918</v>
      </c>
      <c r="C730" s="103">
        <v>0.875</v>
      </c>
      <c r="D730" s="410">
        <v>52</v>
      </c>
      <c r="E730" s="415">
        <v>10.1</v>
      </c>
      <c r="F730" s="415">
        <v>14.7</v>
      </c>
      <c r="G730" s="1566" t="s">
        <v>3340</v>
      </c>
      <c r="H730" s="1567"/>
      <c r="I730" s="1567"/>
      <c r="J730" s="1567"/>
      <c r="K730" s="1568"/>
      <c r="L730" s="416">
        <v>35.14</v>
      </c>
      <c r="M730" s="416">
        <v>38</v>
      </c>
      <c r="N730" s="416">
        <v>59.49</v>
      </c>
      <c r="O730" s="416"/>
      <c r="P730" s="416"/>
      <c r="Q730" s="416"/>
      <c r="R730" s="416" t="s">
        <v>4418</v>
      </c>
      <c r="S730" s="416">
        <v>57.1</v>
      </c>
      <c r="T730" s="102" t="s">
        <v>23</v>
      </c>
      <c r="U730" s="416" t="s">
        <v>4320</v>
      </c>
      <c r="V730" s="928"/>
      <c r="CM730" s="342"/>
      <c r="CN730" s="342"/>
      <c r="CO730" s="342"/>
      <c r="CP730" s="342"/>
      <c r="CQ730" s="342"/>
      <c r="CR730" s="342"/>
      <c r="CS730" s="342"/>
      <c r="CT730" s="342"/>
      <c r="CU730" s="342"/>
      <c r="CV730" s="342"/>
      <c r="CW730" s="342"/>
      <c r="CX730" s="342"/>
      <c r="CY730" s="342"/>
    </row>
    <row r="731" spans="2:103" s="343" customFormat="1" ht="27" customHeight="1" x14ac:dyDescent="0.25">
      <c r="B731" s="1082">
        <v>44919</v>
      </c>
      <c r="C731" s="103">
        <v>0.875</v>
      </c>
      <c r="D731" s="410">
        <v>52</v>
      </c>
      <c r="E731" s="415">
        <v>10</v>
      </c>
      <c r="F731" s="415">
        <v>14.7</v>
      </c>
      <c r="G731" s="1566" t="s">
        <v>3340</v>
      </c>
      <c r="H731" s="1567"/>
      <c r="I731" s="1567"/>
      <c r="J731" s="1567"/>
      <c r="K731" s="1568"/>
      <c r="L731" s="416">
        <v>36.29</v>
      </c>
      <c r="M731" s="416">
        <v>38</v>
      </c>
      <c r="N731" s="416">
        <v>59.46</v>
      </c>
      <c r="O731" s="416"/>
      <c r="P731" s="416"/>
      <c r="Q731" s="416"/>
      <c r="R731" s="416" t="s">
        <v>4418</v>
      </c>
      <c r="S731" s="416">
        <v>57.1</v>
      </c>
      <c r="T731" s="102" t="s">
        <v>23</v>
      </c>
      <c r="U731" s="416" t="s">
        <v>4320</v>
      </c>
      <c r="V731" s="928"/>
      <c r="CM731" s="342"/>
      <c r="CN731" s="342"/>
      <c r="CO731" s="342"/>
      <c r="CP731" s="342"/>
      <c r="CQ731" s="342"/>
      <c r="CR731" s="342"/>
      <c r="CS731" s="342"/>
      <c r="CT731" s="342"/>
      <c r="CU731" s="342"/>
      <c r="CV731" s="342"/>
      <c r="CW731" s="342"/>
      <c r="CX731" s="342"/>
      <c r="CY731" s="342"/>
    </row>
    <row r="732" spans="2:103" s="343" customFormat="1" ht="27" customHeight="1" x14ac:dyDescent="0.25">
      <c r="B732" s="1083">
        <v>44920</v>
      </c>
      <c r="C732" s="103">
        <v>0.875</v>
      </c>
      <c r="D732" s="410">
        <v>52</v>
      </c>
      <c r="E732" s="415">
        <v>10.199999999999999</v>
      </c>
      <c r="F732" s="415">
        <v>14.7</v>
      </c>
      <c r="G732" s="1566" t="s">
        <v>3340</v>
      </c>
      <c r="H732" s="1567"/>
      <c r="I732" s="1567"/>
      <c r="J732" s="1567"/>
      <c r="K732" s="1568"/>
      <c r="L732" s="416">
        <v>34.61</v>
      </c>
      <c r="M732" s="416">
        <v>37</v>
      </c>
      <c r="N732" s="416">
        <v>58.46</v>
      </c>
      <c r="O732" s="416"/>
      <c r="P732" s="416"/>
      <c r="Q732" s="416"/>
      <c r="R732" s="416" t="s">
        <v>2590</v>
      </c>
      <c r="S732" s="416">
        <v>57.1</v>
      </c>
      <c r="T732" s="102" t="s">
        <v>23</v>
      </c>
      <c r="U732" s="416" t="s">
        <v>4320</v>
      </c>
      <c r="V732" s="928"/>
      <c r="CM732" s="342"/>
      <c r="CN732" s="342"/>
      <c r="CO732" s="342"/>
      <c r="CP732" s="342"/>
      <c r="CQ732" s="342"/>
      <c r="CR732" s="342"/>
      <c r="CS732" s="342"/>
      <c r="CT732" s="342"/>
      <c r="CU732" s="342"/>
      <c r="CV732" s="342"/>
      <c r="CW732" s="342"/>
      <c r="CX732" s="342"/>
      <c r="CY732" s="342"/>
    </row>
    <row r="733" spans="2:103" s="343" customFormat="1" ht="27" customHeight="1" x14ac:dyDescent="0.25">
      <c r="B733" s="1084">
        <v>44921</v>
      </c>
      <c r="C733" s="103">
        <v>0.91666666666666663</v>
      </c>
      <c r="D733" s="410">
        <v>52</v>
      </c>
      <c r="E733" s="415">
        <v>9.6999999999999993</v>
      </c>
      <c r="F733" s="415">
        <v>14.5</v>
      </c>
      <c r="G733" s="1566" t="s">
        <v>3340</v>
      </c>
      <c r="H733" s="1567"/>
      <c r="I733" s="1567"/>
      <c r="J733" s="1567"/>
      <c r="K733" s="1568"/>
      <c r="L733" s="416">
        <v>36.29</v>
      </c>
      <c r="M733" s="416">
        <v>38</v>
      </c>
      <c r="N733" s="416">
        <v>57.24</v>
      </c>
      <c r="O733" s="416"/>
      <c r="P733" s="416"/>
      <c r="Q733" s="416"/>
      <c r="R733" s="416" t="s">
        <v>4357</v>
      </c>
      <c r="S733" s="416">
        <v>56.4</v>
      </c>
      <c r="T733" s="102" t="s">
        <v>23</v>
      </c>
      <c r="U733" s="416" t="s">
        <v>4320</v>
      </c>
      <c r="V733" s="928"/>
      <c r="CM733" s="342"/>
      <c r="CN733" s="342"/>
      <c r="CO733" s="342"/>
      <c r="CP733" s="342"/>
      <c r="CQ733" s="342"/>
      <c r="CR733" s="342"/>
      <c r="CS733" s="342"/>
      <c r="CT733" s="342"/>
      <c r="CU733" s="342"/>
      <c r="CV733" s="342"/>
      <c r="CW733" s="342"/>
      <c r="CX733" s="342"/>
      <c r="CY733" s="342"/>
    </row>
    <row r="734" spans="2:103" s="343" customFormat="1" ht="27" customHeight="1" x14ac:dyDescent="0.25">
      <c r="B734" s="1085">
        <v>44922</v>
      </c>
      <c r="C734" s="103">
        <v>0.91666666666666663</v>
      </c>
      <c r="D734" s="410">
        <v>52</v>
      </c>
      <c r="E734" s="415">
        <v>10.199999999999999</v>
      </c>
      <c r="F734" s="415">
        <v>14.8</v>
      </c>
      <c r="G734" s="1566" t="s">
        <v>3340</v>
      </c>
      <c r="H734" s="1567"/>
      <c r="I734" s="1567"/>
      <c r="J734" s="1567"/>
      <c r="K734" s="1568"/>
      <c r="L734" s="416">
        <v>36.4</v>
      </c>
      <c r="M734" s="416">
        <v>38</v>
      </c>
      <c r="N734" s="416">
        <v>60.7</v>
      </c>
      <c r="O734" s="416"/>
      <c r="P734" s="416"/>
      <c r="Q734" s="416"/>
      <c r="R734" s="416" t="s">
        <v>2590</v>
      </c>
      <c r="S734" s="416">
        <v>57.5</v>
      </c>
      <c r="T734" s="102" t="s">
        <v>23</v>
      </c>
      <c r="U734" s="416" t="s">
        <v>4320</v>
      </c>
      <c r="V734" s="928"/>
      <c r="CM734" s="342"/>
      <c r="CN734" s="342"/>
      <c r="CO734" s="342"/>
      <c r="CP734" s="342"/>
      <c r="CQ734" s="342"/>
      <c r="CR734" s="342"/>
      <c r="CS734" s="342"/>
      <c r="CT734" s="342"/>
      <c r="CU734" s="342"/>
      <c r="CV734" s="342"/>
      <c r="CW734" s="342"/>
      <c r="CX734" s="342"/>
      <c r="CY734" s="342"/>
    </row>
    <row r="735" spans="2:103" s="343" customFormat="1" ht="27" customHeight="1" x14ac:dyDescent="0.25">
      <c r="B735" s="1087">
        <v>44923</v>
      </c>
      <c r="C735" s="103">
        <v>0.91666666666666663</v>
      </c>
      <c r="D735" s="410">
        <v>52</v>
      </c>
      <c r="E735" s="415">
        <v>9</v>
      </c>
      <c r="F735" s="415">
        <v>13.9</v>
      </c>
      <c r="G735" s="1566" t="s">
        <v>3340</v>
      </c>
      <c r="H735" s="1567"/>
      <c r="I735" s="1567"/>
      <c r="J735" s="1567"/>
      <c r="K735" s="1568"/>
      <c r="L735" s="416">
        <v>40.9</v>
      </c>
      <c r="M735" s="416">
        <v>39</v>
      </c>
      <c r="N735" s="416">
        <v>54.37</v>
      </c>
      <c r="O735" s="416"/>
      <c r="P735" s="416"/>
      <c r="Q735" s="416"/>
      <c r="R735" s="416" t="s">
        <v>3875</v>
      </c>
      <c r="S735" s="416">
        <v>54</v>
      </c>
      <c r="T735" s="102" t="s">
        <v>23</v>
      </c>
      <c r="U735" s="416" t="s">
        <v>4320</v>
      </c>
      <c r="V735" s="928" t="s">
        <v>415</v>
      </c>
      <c r="CM735" s="342"/>
      <c r="CN735" s="342"/>
      <c r="CO735" s="342"/>
      <c r="CP735" s="342"/>
      <c r="CQ735" s="342"/>
      <c r="CR735" s="342"/>
      <c r="CS735" s="342"/>
      <c r="CT735" s="342"/>
      <c r="CU735" s="342"/>
      <c r="CV735" s="342"/>
      <c r="CW735" s="342"/>
      <c r="CX735" s="342"/>
      <c r="CY735" s="342"/>
    </row>
    <row r="736" spans="2:103" s="343" customFormat="1" ht="27" customHeight="1" x14ac:dyDescent="0.25">
      <c r="B736" s="1093">
        <v>44924</v>
      </c>
      <c r="C736" s="103">
        <v>0.91666666666666663</v>
      </c>
      <c r="D736" s="410">
        <v>52</v>
      </c>
      <c r="E736" s="415">
        <v>9.4</v>
      </c>
      <c r="F736" s="415">
        <v>14.2</v>
      </c>
      <c r="G736" s="1566" t="s">
        <v>3340</v>
      </c>
      <c r="H736" s="1567"/>
      <c r="I736" s="1567"/>
      <c r="J736" s="1567"/>
      <c r="K736" s="1568"/>
      <c r="L736" s="416">
        <v>39.770000000000003</v>
      </c>
      <c r="M736" s="416">
        <v>38</v>
      </c>
      <c r="N736" s="416">
        <v>58.08</v>
      </c>
      <c r="O736" s="416"/>
      <c r="P736" s="416"/>
      <c r="Q736" s="416"/>
      <c r="R736" s="416" t="s">
        <v>2811</v>
      </c>
      <c r="S736" s="416">
        <v>55.2</v>
      </c>
      <c r="T736" s="102" t="s">
        <v>23</v>
      </c>
      <c r="U736" s="416" t="s">
        <v>4320</v>
      </c>
      <c r="V736" s="928"/>
      <c r="CM736" s="342"/>
      <c r="CN736" s="342"/>
      <c r="CO736" s="342"/>
      <c r="CP736" s="342"/>
      <c r="CQ736" s="342"/>
      <c r="CR736" s="342"/>
      <c r="CS736" s="342"/>
      <c r="CT736" s="342"/>
      <c r="CU736" s="342"/>
      <c r="CV736" s="342"/>
      <c r="CW736" s="342"/>
      <c r="CX736" s="342"/>
      <c r="CY736" s="342"/>
    </row>
    <row r="737" spans="1:103" s="343" customFormat="1" ht="27" customHeight="1" x14ac:dyDescent="0.25">
      <c r="B737" s="1097">
        <v>44925</v>
      </c>
      <c r="C737" s="103">
        <v>0.91666666666666663</v>
      </c>
      <c r="D737" s="410">
        <v>52</v>
      </c>
      <c r="E737" s="415">
        <v>10.4</v>
      </c>
      <c r="F737" s="415">
        <v>14.8</v>
      </c>
      <c r="G737" s="1566" t="s">
        <v>3340</v>
      </c>
      <c r="H737" s="1567"/>
      <c r="I737" s="1567"/>
      <c r="J737" s="1567"/>
      <c r="K737" s="1568"/>
      <c r="L737" s="416">
        <v>36.590000000000003</v>
      </c>
      <c r="M737" s="416">
        <v>37</v>
      </c>
      <c r="N737" s="416">
        <v>59.88</v>
      </c>
      <c r="O737" s="416"/>
      <c r="P737" s="416"/>
      <c r="Q737" s="416"/>
      <c r="R737" s="416" t="s">
        <v>3095</v>
      </c>
      <c r="S737" s="416">
        <v>63.2</v>
      </c>
      <c r="T737" s="102" t="s">
        <v>23</v>
      </c>
      <c r="U737" s="416" t="s">
        <v>4320</v>
      </c>
      <c r="V737" s="928"/>
      <c r="CM737" s="342"/>
      <c r="CN737" s="342"/>
      <c r="CO737" s="342"/>
      <c r="CP737" s="342"/>
      <c r="CQ737" s="342"/>
      <c r="CR737" s="342"/>
      <c r="CS737" s="342"/>
      <c r="CT737" s="342"/>
      <c r="CU737" s="342"/>
      <c r="CV737" s="342"/>
      <c r="CW737" s="342"/>
      <c r="CX737" s="342"/>
      <c r="CY737" s="342"/>
    </row>
    <row r="738" spans="1:103" s="343" customFormat="1" ht="27" customHeight="1" x14ac:dyDescent="0.25">
      <c r="B738" s="1098">
        <v>44926</v>
      </c>
      <c r="C738" s="103">
        <v>0</v>
      </c>
      <c r="D738" s="410">
        <v>52</v>
      </c>
      <c r="E738" s="415">
        <v>9.9</v>
      </c>
      <c r="F738" s="415">
        <v>14.5</v>
      </c>
      <c r="G738" s="1566" t="s">
        <v>3340</v>
      </c>
      <c r="H738" s="1567"/>
      <c r="I738" s="1567"/>
      <c r="J738" s="1567"/>
      <c r="K738" s="1568"/>
      <c r="L738" s="416">
        <v>37.020000000000003</v>
      </c>
      <c r="M738" s="416">
        <v>37</v>
      </c>
      <c r="N738" s="416">
        <v>59.42</v>
      </c>
      <c r="O738" s="416"/>
      <c r="P738" s="416"/>
      <c r="Q738" s="416"/>
      <c r="R738" s="416" t="s">
        <v>3758</v>
      </c>
      <c r="S738" s="416">
        <v>56.4</v>
      </c>
      <c r="T738" s="102" t="s">
        <v>23</v>
      </c>
      <c r="U738" s="416" t="s">
        <v>4320</v>
      </c>
      <c r="V738" s="928"/>
      <c r="CM738" s="342"/>
      <c r="CN738" s="342"/>
      <c r="CO738" s="342"/>
      <c r="CP738" s="342"/>
      <c r="CQ738" s="342"/>
      <c r="CR738" s="342"/>
      <c r="CS738" s="342"/>
      <c r="CT738" s="342"/>
      <c r="CU738" s="342"/>
      <c r="CV738" s="342"/>
      <c r="CW738" s="342"/>
      <c r="CX738" s="342"/>
      <c r="CY738" s="342"/>
    </row>
    <row r="739" spans="1:103" s="343" customFormat="1" ht="27" customHeight="1" x14ac:dyDescent="0.25">
      <c r="B739" s="1101">
        <v>44927</v>
      </c>
      <c r="C739" s="103">
        <v>0.875</v>
      </c>
      <c r="D739" s="410">
        <v>52</v>
      </c>
      <c r="E739" s="415">
        <v>10.8</v>
      </c>
      <c r="F739" s="415">
        <v>15.3</v>
      </c>
      <c r="G739" s="1566" t="s">
        <v>3340</v>
      </c>
      <c r="H739" s="1567"/>
      <c r="I739" s="1567"/>
      <c r="J739" s="1567"/>
      <c r="K739" s="1568"/>
      <c r="L739" s="416">
        <v>36.57</v>
      </c>
      <c r="M739" s="416">
        <v>37</v>
      </c>
      <c r="N739" s="416">
        <v>60.41</v>
      </c>
      <c r="O739" s="416"/>
      <c r="P739" s="416"/>
      <c r="Q739" s="416"/>
      <c r="R739" s="416" t="s">
        <v>4668</v>
      </c>
      <c r="S739" s="416">
        <v>59.5</v>
      </c>
      <c r="T739" s="102" t="s">
        <v>23</v>
      </c>
      <c r="U739" s="416" t="s">
        <v>4320</v>
      </c>
      <c r="V739" s="928"/>
      <c r="CM739" s="342"/>
      <c r="CN739" s="342"/>
      <c r="CO739" s="342"/>
      <c r="CP739" s="342"/>
      <c r="CQ739" s="342"/>
      <c r="CR739" s="342"/>
      <c r="CS739" s="342"/>
      <c r="CT739" s="342"/>
      <c r="CU739" s="342"/>
      <c r="CV739" s="342"/>
      <c r="CW739" s="342"/>
      <c r="CX739" s="342"/>
      <c r="CY739" s="342"/>
    </row>
    <row r="740" spans="1:103" s="343" customFormat="1" ht="27" customHeight="1" x14ac:dyDescent="0.25">
      <c r="B740" s="1104">
        <v>44928</v>
      </c>
      <c r="C740" s="103">
        <v>0.875</v>
      </c>
      <c r="D740" s="410">
        <v>52</v>
      </c>
      <c r="E740" s="415">
        <v>11.2</v>
      </c>
      <c r="F740" s="415">
        <v>15.6</v>
      </c>
      <c r="G740" s="1566" t="s">
        <v>3340</v>
      </c>
      <c r="H740" s="1567"/>
      <c r="I740" s="1567"/>
      <c r="J740" s="1567"/>
      <c r="K740" s="1568"/>
      <c r="L740" s="416">
        <v>36.08</v>
      </c>
      <c r="M740" s="416">
        <v>37</v>
      </c>
      <c r="N740" s="416">
        <v>62.44</v>
      </c>
      <c r="O740" s="416"/>
      <c r="P740" s="416"/>
      <c r="Q740" s="416"/>
      <c r="R740" s="416" t="s">
        <v>4680</v>
      </c>
      <c r="S740" s="416">
        <v>60.7</v>
      </c>
      <c r="T740" s="102" t="s">
        <v>23</v>
      </c>
      <c r="U740" s="416" t="s">
        <v>4320</v>
      </c>
      <c r="V740" s="928"/>
      <c r="CM740" s="342"/>
      <c r="CN740" s="342"/>
      <c r="CO740" s="342"/>
      <c r="CP740" s="342"/>
      <c r="CQ740" s="342"/>
      <c r="CR740" s="342"/>
      <c r="CS740" s="342"/>
      <c r="CT740" s="342"/>
      <c r="CU740" s="342"/>
      <c r="CV740" s="342"/>
      <c r="CW740" s="342"/>
      <c r="CX740" s="342"/>
      <c r="CY740" s="342"/>
    </row>
    <row r="741" spans="1:103" s="343" customFormat="1" ht="27" customHeight="1" x14ac:dyDescent="0.25">
      <c r="B741" s="1105">
        <v>44929</v>
      </c>
      <c r="C741" s="103">
        <v>0.91666666666666663</v>
      </c>
      <c r="D741" s="410">
        <v>52</v>
      </c>
      <c r="E741" s="415">
        <v>9.6999999999999993</v>
      </c>
      <c r="F741" s="415">
        <v>14.4</v>
      </c>
      <c r="G741" s="1566" t="s">
        <v>3340</v>
      </c>
      <c r="H741" s="1567"/>
      <c r="I741" s="1567"/>
      <c r="J741" s="1567"/>
      <c r="K741" s="1568"/>
      <c r="L741" s="416">
        <v>37.42</v>
      </c>
      <c r="M741" s="416">
        <v>37</v>
      </c>
      <c r="N741" s="416">
        <v>55.52</v>
      </c>
      <c r="O741" s="416"/>
      <c r="P741" s="416"/>
      <c r="Q741" s="416"/>
      <c r="R741" s="416" t="s">
        <v>4150</v>
      </c>
      <c r="S741" s="416">
        <v>56</v>
      </c>
      <c r="T741" s="102" t="s">
        <v>23</v>
      </c>
      <c r="U741" s="416" t="s">
        <v>4320</v>
      </c>
      <c r="V741" s="928"/>
      <c r="CM741" s="342"/>
      <c r="CN741" s="342"/>
      <c r="CO741" s="342"/>
      <c r="CP741" s="342"/>
      <c r="CQ741" s="342"/>
      <c r="CR741" s="342"/>
      <c r="CS741" s="342"/>
      <c r="CT741" s="342"/>
      <c r="CU741" s="342"/>
      <c r="CV741" s="342"/>
      <c r="CW741" s="342"/>
      <c r="CX741" s="342"/>
      <c r="CY741" s="342"/>
    </row>
    <row r="742" spans="1:103" s="343" customFormat="1" ht="27" customHeight="1" x14ac:dyDescent="0.25">
      <c r="B742" s="1106">
        <v>44930</v>
      </c>
      <c r="C742" s="103">
        <v>0.91666666666666663</v>
      </c>
      <c r="D742" s="410">
        <v>52</v>
      </c>
      <c r="E742" s="415">
        <v>9.6</v>
      </c>
      <c r="F742" s="415">
        <v>14.3</v>
      </c>
      <c r="G742" s="1566" t="s">
        <v>3340</v>
      </c>
      <c r="H742" s="1567"/>
      <c r="I742" s="1567"/>
      <c r="J742" s="1567"/>
      <c r="K742" s="1568"/>
      <c r="L742" s="416">
        <v>38.42</v>
      </c>
      <c r="M742" s="416">
        <v>37</v>
      </c>
      <c r="N742" s="416">
        <v>59.46</v>
      </c>
      <c r="O742" s="416"/>
      <c r="P742" s="416"/>
      <c r="Q742" s="416"/>
      <c r="R742" s="416" t="s">
        <v>2964</v>
      </c>
      <c r="S742" s="416">
        <v>55.6</v>
      </c>
      <c r="T742" s="102" t="s">
        <v>23</v>
      </c>
      <c r="U742" s="416" t="s">
        <v>4320</v>
      </c>
      <c r="V742" s="928"/>
      <c r="CM742" s="342"/>
      <c r="CN742" s="342"/>
      <c r="CO742" s="342"/>
      <c r="CP742" s="342"/>
      <c r="CQ742" s="342"/>
      <c r="CR742" s="342"/>
      <c r="CS742" s="342"/>
      <c r="CT742" s="342"/>
      <c r="CU742" s="342"/>
      <c r="CV742" s="342"/>
      <c r="CW742" s="342"/>
      <c r="CX742" s="342"/>
      <c r="CY742" s="342"/>
    </row>
    <row r="743" spans="1:103" s="343" customFormat="1" ht="27" customHeight="1" x14ac:dyDescent="0.25">
      <c r="B743" s="1107">
        <v>44931</v>
      </c>
      <c r="C743" s="103">
        <v>0.91666666666666663</v>
      </c>
      <c r="D743" s="410">
        <v>52</v>
      </c>
      <c r="E743" s="415">
        <v>11.8</v>
      </c>
      <c r="F743" s="415">
        <v>16.100000000000001</v>
      </c>
      <c r="G743" s="1566" t="s">
        <v>3340</v>
      </c>
      <c r="H743" s="1567"/>
      <c r="I743" s="1567"/>
      <c r="J743" s="1567"/>
      <c r="K743" s="1568"/>
      <c r="L743" s="416">
        <v>37.799999999999997</v>
      </c>
      <c r="M743" s="416">
        <v>37</v>
      </c>
      <c r="N743" s="416">
        <v>59.88</v>
      </c>
      <c r="O743" s="416"/>
      <c r="P743" s="416"/>
      <c r="Q743" s="416"/>
      <c r="R743" s="416" t="s">
        <v>3089</v>
      </c>
      <c r="S743" s="416">
        <v>62.6</v>
      </c>
      <c r="T743" s="102" t="s">
        <v>23</v>
      </c>
      <c r="U743" s="416" t="s">
        <v>4320</v>
      </c>
      <c r="V743" s="928"/>
      <c r="CM743" s="342"/>
      <c r="CN743" s="342"/>
      <c r="CO743" s="342"/>
      <c r="CP743" s="342"/>
      <c r="CQ743" s="342"/>
      <c r="CR743" s="342"/>
      <c r="CS743" s="342"/>
      <c r="CT743" s="342"/>
      <c r="CU743" s="342"/>
      <c r="CV743" s="342"/>
      <c r="CW743" s="342"/>
      <c r="CX743" s="342"/>
      <c r="CY743" s="342"/>
    </row>
    <row r="744" spans="1:103" s="343" customFormat="1" ht="27" customHeight="1" x14ac:dyDescent="0.25">
      <c r="A744" s="343">
        <v>0</v>
      </c>
      <c r="B744" s="1109">
        <v>44932</v>
      </c>
      <c r="C744" s="103">
        <v>0.91666666666666663</v>
      </c>
      <c r="D744" s="410">
        <v>52</v>
      </c>
      <c r="E744" s="415">
        <v>9.6</v>
      </c>
      <c r="F744" s="415">
        <v>14.3</v>
      </c>
      <c r="G744" s="1566" t="s">
        <v>3340</v>
      </c>
      <c r="H744" s="1567"/>
      <c r="I744" s="1567"/>
      <c r="J744" s="1567"/>
      <c r="K744" s="1568"/>
      <c r="L744" s="416">
        <v>38.54</v>
      </c>
      <c r="M744" s="416">
        <v>37</v>
      </c>
      <c r="N744" s="416">
        <v>56.47</v>
      </c>
      <c r="O744" s="416"/>
      <c r="P744" s="416"/>
      <c r="Q744" s="416"/>
      <c r="R744" s="416" t="s">
        <v>2964</v>
      </c>
      <c r="S744" s="416">
        <v>55.6</v>
      </c>
      <c r="T744" s="102" t="s">
        <v>23</v>
      </c>
      <c r="U744" s="416" t="s">
        <v>4703</v>
      </c>
      <c r="V744" s="928"/>
      <c r="CM744" s="342"/>
      <c r="CN744" s="342"/>
      <c r="CO744" s="342"/>
      <c r="CP744" s="342"/>
      <c r="CQ744" s="342"/>
      <c r="CR744" s="342"/>
      <c r="CS744" s="342"/>
      <c r="CT744" s="342"/>
      <c r="CU744" s="342"/>
      <c r="CV744" s="342"/>
      <c r="CW744" s="342"/>
      <c r="CX744" s="342"/>
      <c r="CY744" s="342"/>
    </row>
    <row r="745" spans="1:103" s="343" customFormat="1" ht="27" customHeight="1" x14ac:dyDescent="0.25">
      <c r="A745" s="343">
        <v>0</v>
      </c>
      <c r="B745" s="1112">
        <v>44933</v>
      </c>
      <c r="C745" s="103">
        <v>0.91666666666666663</v>
      </c>
      <c r="D745" s="410">
        <v>52</v>
      </c>
      <c r="E745" s="415">
        <v>10.3</v>
      </c>
      <c r="F745" s="415">
        <v>14.8</v>
      </c>
      <c r="G745" s="1566" t="s">
        <v>3340</v>
      </c>
      <c r="H745" s="1567"/>
      <c r="I745" s="1567"/>
      <c r="J745" s="1567"/>
      <c r="K745" s="1568"/>
      <c r="L745" s="416">
        <v>39.06</v>
      </c>
      <c r="M745" s="416">
        <v>38</v>
      </c>
      <c r="N745" s="416">
        <v>53.23</v>
      </c>
      <c r="O745" s="416"/>
      <c r="P745" s="416"/>
      <c r="Q745" s="416"/>
      <c r="R745" s="416" t="s">
        <v>2866</v>
      </c>
      <c r="S745" s="416">
        <v>57.5</v>
      </c>
      <c r="T745" s="102" t="s">
        <v>23</v>
      </c>
      <c r="U745" s="416" t="s">
        <v>4703</v>
      </c>
      <c r="V745" s="928"/>
      <c r="CM745" s="342"/>
      <c r="CN745" s="342"/>
      <c r="CO745" s="342"/>
      <c r="CP745" s="342"/>
      <c r="CQ745" s="342"/>
      <c r="CR745" s="342"/>
      <c r="CS745" s="342"/>
      <c r="CT745" s="342"/>
      <c r="CU745" s="342"/>
      <c r="CV745" s="342"/>
      <c r="CW745" s="342"/>
      <c r="CX745" s="342"/>
      <c r="CY745" s="342"/>
    </row>
    <row r="746" spans="1:103" s="343" customFormat="1" ht="27" customHeight="1" x14ac:dyDescent="0.25">
      <c r="A746" s="343">
        <v>0</v>
      </c>
      <c r="B746" s="1113">
        <v>44934</v>
      </c>
      <c r="C746" s="103">
        <v>0.875</v>
      </c>
      <c r="D746" s="410">
        <v>52</v>
      </c>
      <c r="E746" s="415">
        <v>12.4</v>
      </c>
      <c r="F746" s="415">
        <v>16.600000000000001</v>
      </c>
      <c r="G746" s="1566" t="s">
        <v>3340</v>
      </c>
      <c r="H746" s="1567"/>
      <c r="I746" s="1567"/>
      <c r="J746" s="1567"/>
      <c r="K746" s="1568"/>
      <c r="L746" s="416">
        <v>39.729999999999997</v>
      </c>
      <c r="M746" s="416">
        <v>38</v>
      </c>
      <c r="N746" s="416">
        <v>53.38</v>
      </c>
      <c r="O746" s="416"/>
      <c r="P746" s="416"/>
      <c r="Q746" s="416"/>
      <c r="R746" s="416" t="s">
        <v>4719</v>
      </c>
      <c r="S746" s="416">
        <v>64.5</v>
      </c>
      <c r="T746" s="102" t="s">
        <v>23</v>
      </c>
      <c r="U746" s="416" t="s">
        <v>4703</v>
      </c>
      <c r="V746" s="928"/>
      <c r="CM746" s="342"/>
      <c r="CN746" s="342"/>
      <c r="CO746" s="342"/>
      <c r="CP746" s="342"/>
      <c r="CQ746" s="342"/>
      <c r="CR746" s="342"/>
      <c r="CS746" s="342"/>
      <c r="CT746" s="342"/>
      <c r="CU746" s="342"/>
      <c r="CV746" s="342"/>
      <c r="CW746" s="342"/>
      <c r="CX746" s="342"/>
      <c r="CY746" s="342"/>
    </row>
    <row r="747" spans="1:103" s="343" customFormat="1" ht="27" customHeight="1" x14ac:dyDescent="0.25">
      <c r="A747" s="343">
        <v>0</v>
      </c>
      <c r="B747" s="1114">
        <v>44935</v>
      </c>
      <c r="C747" s="103">
        <v>0.91666666666666663</v>
      </c>
      <c r="D747" s="410">
        <v>52</v>
      </c>
      <c r="E747" s="415">
        <v>12.3</v>
      </c>
      <c r="F747" s="415">
        <v>16.5</v>
      </c>
      <c r="G747" s="1566" t="s">
        <v>3340</v>
      </c>
      <c r="H747" s="1567"/>
      <c r="I747" s="1567"/>
      <c r="J747" s="1567"/>
      <c r="K747" s="1568"/>
      <c r="L747" s="416">
        <v>34.82</v>
      </c>
      <c r="M747" s="416">
        <v>37</v>
      </c>
      <c r="N747" s="416">
        <v>59.07</v>
      </c>
      <c r="O747" s="416"/>
      <c r="P747" s="416"/>
      <c r="Q747" s="416"/>
      <c r="R747" s="416" t="s">
        <v>4724</v>
      </c>
      <c r="S747" s="416">
        <v>64.2</v>
      </c>
      <c r="T747" s="102" t="s">
        <v>23</v>
      </c>
      <c r="U747" s="416" t="s">
        <v>4703</v>
      </c>
      <c r="V747" s="928"/>
      <c r="CM747" s="342"/>
      <c r="CN747" s="342"/>
      <c r="CO747" s="342"/>
      <c r="CP747" s="342"/>
      <c r="CQ747" s="342"/>
      <c r="CR747" s="342"/>
      <c r="CS747" s="342"/>
      <c r="CT747" s="342"/>
      <c r="CU747" s="342"/>
      <c r="CV747" s="342"/>
      <c r="CW747" s="342"/>
      <c r="CX747" s="342"/>
      <c r="CY747" s="342"/>
    </row>
    <row r="748" spans="1:103" s="343" customFormat="1" ht="27" customHeight="1" x14ac:dyDescent="0.25">
      <c r="A748" s="343">
        <v>0</v>
      </c>
      <c r="B748" s="1115">
        <v>44936</v>
      </c>
      <c r="C748" s="103">
        <v>0.91666666666666663</v>
      </c>
      <c r="D748" s="410">
        <v>52</v>
      </c>
      <c r="E748" s="415">
        <v>12.9</v>
      </c>
      <c r="F748" s="415">
        <v>17</v>
      </c>
      <c r="G748" s="1566" t="s">
        <v>3340</v>
      </c>
      <c r="H748" s="1567"/>
      <c r="I748" s="1567"/>
      <c r="J748" s="1567"/>
      <c r="K748" s="1568"/>
      <c r="L748" s="416" t="s">
        <v>4731</v>
      </c>
      <c r="M748" s="416">
        <v>35</v>
      </c>
      <c r="N748" s="416">
        <v>56.25</v>
      </c>
      <c r="O748" s="416"/>
      <c r="P748" s="416"/>
      <c r="Q748" s="416"/>
      <c r="R748" s="416" t="s">
        <v>3503</v>
      </c>
      <c r="S748" s="416">
        <v>64.2</v>
      </c>
      <c r="T748" s="102" t="s">
        <v>23</v>
      </c>
      <c r="U748" s="416" t="s">
        <v>4703</v>
      </c>
      <c r="V748" s="928"/>
      <c r="CM748" s="342"/>
      <c r="CN748" s="342"/>
      <c r="CO748" s="342"/>
      <c r="CP748" s="342"/>
      <c r="CQ748" s="342"/>
      <c r="CR748" s="342"/>
      <c r="CS748" s="342"/>
      <c r="CT748" s="342"/>
      <c r="CU748" s="342"/>
      <c r="CV748" s="342"/>
      <c r="CW748" s="342"/>
      <c r="CX748" s="342"/>
      <c r="CY748" s="342"/>
    </row>
    <row r="749" spans="1:103" s="343" customFormat="1" ht="27" customHeight="1" x14ac:dyDescent="0.25">
      <c r="A749" s="343">
        <v>0</v>
      </c>
      <c r="B749" s="1116">
        <v>44937</v>
      </c>
      <c r="C749" s="103">
        <v>0.91666666666666663</v>
      </c>
      <c r="D749" s="410">
        <v>52</v>
      </c>
      <c r="E749" s="415">
        <v>9.6</v>
      </c>
      <c r="F749" s="415">
        <v>14.3</v>
      </c>
      <c r="G749" s="1566" t="s">
        <v>3340</v>
      </c>
      <c r="H749" s="1567"/>
      <c r="I749" s="1567"/>
      <c r="J749" s="1567"/>
      <c r="K749" s="1568"/>
      <c r="L749" s="416">
        <v>38.03</v>
      </c>
      <c r="M749" s="416">
        <v>37</v>
      </c>
      <c r="N749" s="416">
        <v>55.55</v>
      </c>
      <c r="O749" s="416"/>
      <c r="P749" s="416"/>
      <c r="Q749" s="416"/>
      <c r="R749" s="416" t="s">
        <v>2964</v>
      </c>
      <c r="S749" s="416">
        <v>55.6</v>
      </c>
      <c r="T749" s="102" t="s">
        <v>23</v>
      </c>
      <c r="U749" s="416" t="s">
        <v>4736</v>
      </c>
      <c r="V749" s="928"/>
      <c r="CM749" s="342"/>
      <c r="CN749" s="342"/>
      <c r="CO749" s="342"/>
      <c r="CP749" s="342"/>
      <c r="CQ749" s="342"/>
      <c r="CR749" s="342"/>
      <c r="CS749" s="342"/>
      <c r="CT749" s="342"/>
      <c r="CU749" s="342"/>
      <c r="CV749" s="342"/>
      <c r="CW749" s="342"/>
      <c r="CX749" s="342"/>
      <c r="CY749" s="342"/>
    </row>
    <row r="750" spans="1:103" s="343" customFormat="1" ht="27" customHeight="1" x14ac:dyDescent="0.25">
      <c r="A750" s="343">
        <v>0</v>
      </c>
      <c r="B750" s="1118">
        <v>44938</v>
      </c>
      <c r="C750" s="103">
        <v>0.91666666666666663</v>
      </c>
      <c r="D750" s="410">
        <v>52</v>
      </c>
      <c r="E750" s="415">
        <v>9.6</v>
      </c>
      <c r="F750" s="415">
        <v>14.4</v>
      </c>
      <c r="G750" s="1566" t="s">
        <v>3340</v>
      </c>
      <c r="H750" s="1567"/>
      <c r="I750" s="1567"/>
      <c r="J750" s="1567"/>
      <c r="K750" s="1568"/>
      <c r="L750" s="416">
        <v>37.44</v>
      </c>
      <c r="M750" s="416">
        <v>38</v>
      </c>
      <c r="N750" s="416">
        <v>58.05</v>
      </c>
      <c r="O750" s="416"/>
      <c r="P750" s="416"/>
      <c r="Q750" s="416"/>
      <c r="R750" s="416" t="s">
        <v>3456</v>
      </c>
      <c r="S750" s="416">
        <v>56</v>
      </c>
      <c r="T750" s="102" t="s">
        <v>23</v>
      </c>
      <c r="U750" s="416" t="s">
        <v>4736</v>
      </c>
      <c r="V750" s="928"/>
      <c r="CM750" s="342"/>
      <c r="CN750" s="342"/>
      <c r="CO750" s="342"/>
      <c r="CP750" s="342"/>
      <c r="CQ750" s="342"/>
      <c r="CR750" s="342"/>
      <c r="CS750" s="342"/>
      <c r="CT750" s="342"/>
      <c r="CU750" s="342"/>
      <c r="CV750" s="342"/>
      <c r="CW750" s="342"/>
      <c r="CX750" s="342"/>
      <c r="CY750" s="342"/>
    </row>
    <row r="751" spans="1:103" s="343" customFormat="1" ht="27" customHeight="1" x14ac:dyDescent="0.25">
      <c r="A751" s="343">
        <v>0</v>
      </c>
      <c r="B751" s="1119">
        <v>44939</v>
      </c>
      <c r="C751" s="103">
        <v>0.91666666666666663</v>
      </c>
      <c r="D751" s="410">
        <v>52</v>
      </c>
      <c r="E751" s="415">
        <v>9.6</v>
      </c>
      <c r="F751" s="415">
        <v>14.3</v>
      </c>
      <c r="G751" s="1566" t="s">
        <v>3340</v>
      </c>
      <c r="H751" s="1567"/>
      <c r="I751" s="1567"/>
      <c r="J751" s="1567"/>
      <c r="K751" s="1568"/>
      <c r="L751" s="416">
        <v>38.42</v>
      </c>
      <c r="M751" s="416">
        <v>38</v>
      </c>
      <c r="N751" s="416">
        <v>54.41</v>
      </c>
      <c r="O751" s="416"/>
      <c r="P751" s="416"/>
      <c r="Q751" s="416"/>
      <c r="R751" s="416" t="s">
        <v>4757</v>
      </c>
      <c r="S751" s="416">
        <v>56</v>
      </c>
      <c r="T751" s="102" t="s">
        <v>23</v>
      </c>
      <c r="U751" s="416" t="s">
        <v>4736</v>
      </c>
      <c r="V751" s="928"/>
      <c r="CM751" s="342"/>
      <c r="CN751" s="342"/>
      <c r="CO751" s="342"/>
      <c r="CP751" s="342"/>
      <c r="CQ751" s="342"/>
      <c r="CR751" s="342"/>
      <c r="CS751" s="342"/>
      <c r="CT751" s="342"/>
      <c r="CU751" s="342"/>
      <c r="CV751" s="342"/>
      <c r="CW751" s="342"/>
      <c r="CX751" s="342"/>
      <c r="CY751" s="342"/>
    </row>
    <row r="752" spans="1:103" s="343" customFormat="1" ht="27" customHeight="1" x14ac:dyDescent="0.25">
      <c r="A752" s="343">
        <v>0</v>
      </c>
      <c r="B752" s="1120">
        <v>44940</v>
      </c>
      <c r="C752" s="103">
        <v>0.91666666666666663</v>
      </c>
      <c r="D752" s="410">
        <v>52</v>
      </c>
      <c r="E752" s="415">
        <v>11.1</v>
      </c>
      <c r="F752" s="415">
        <v>15.5</v>
      </c>
      <c r="G752" s="1566" t="s">
        <v>3340</v>
      </c>
      <c r="H752" s="1567"/>
      <c r="I752" s="1567"/>
      <c r="J752" s="1567"/>
      <c r="K752" s="1568"/>
      <c r="L752" s="416">
        <v>35.270000000000003</v>
      </c>
      <c r="M752" s="416">
        <v>38</v>
      </c>
      <c r="N752" s="416">
        <v>59.49</v>
      </c>
      <c r="O752" s="416"/>
      <c r="P752" s="416"/>
      <c r="Q752" s="416"/>
      <c r="R752" s="416" t="s">
        <v>4763</v>
      </c>
      <c r="S752" s="416">
        <v>60.5</v>
      </c>
      <c r="T752" s="102" t="s">
        <v>23</v>
      </c>
      <c r="U752" s="416" t="s">
        <v>4736</v>
      </c>
      <c r="V752" s="928"/>
      <c r="CM752" s="342"/>
      <c r="CN752" s="342"/>
      <c r="CO752" s="342"/>
      <c r="CP752" s="342"/>
      <c r="CQ752" s="342"/>
      <c r="CR752" s="342"/>
      <c r="CS752" s="342"/>
      <c r="CT752" s="342"/>
      <c r="CU752" s="342"/>
      <c r="CV752" s="342"/>
      <c r="CW752" s="342"/>
      <c r="CX752" s="342"/>
      <c r="CY752" s="342"/>
    </row>
    <row r="753" spans="1:103" s="343" customFormat="1" ht="27" customHeight="1" x14ac:dyDescent="0.25">
      <c r="A753" s="343">
        <v>0</v>
      </c>
      <c r="B753" s="1122">
        <v>44941</v>
      </c>
      <c r="C753" s="103">
        <v>0.91666666666666663</v>
      </c>
      <c r="D753" s="410">
        <v>52</v>
      </c>
      <c r="E753" s="415">
        <v>11.7</v>
      </c>
      <c r="F753" s="415">
        <v>16</v>
      </c>
      <c r="G753" s="1566" t="s">
        <v>3340</v>
      </c>
      <c r="H753" s="1567"/>
      <c r="I753" s="1567"/>
      <c r="J753" s="1567"/>
      <c r="K753" s="1568"/>
      <c r="L753" s="416">
        <v>35.46</v>
      </c>
      <c r="M753" s="416">
        <v>38</v>
      </c>
      <c r="N753" s="416">
        <v>56.82</v>
      </c>
      <c r="O753" s="416"/>
      <c r="P753" s="416"/>
      <c r="Q753" s="416"/>
      <c r="R753" s="416" t="s">
        <v>4771</v>
      </c>
      <c r="S753" s="416">
        <v>62.2</v>
      </c>
      <c r="T753" s="102" t="s">
        <v>23</v>
      </c>
      <c r="U753" s="416" t="s">
        <v>4736</v>
      </c>
      <c r="V753" s="928"/>
      <c r="CM753" s="342"/>
      <c r="CN753" s="342"/>
      <c r="CO753" s="342"/>
      <c r="CP753" s="342"/>
      <c r="CQ753" s="342"/>
      <c r="CR753" s="342"/>
      <c r="CS753" s="342"/>
      <c r="CT753" s="342"/>
      <c r="CU753" s="342"/>
      <c r="CV753" s="342"/>
      <c r="CW753" s="342"/>
      <c r="CX753" s="342"/>
      <c r="CY753" s="342"/>
    </row>
    <row r="754" spans="1:103" s="343" customFormat="1" ht="27" customHeight="1" x14ac:dyDescent="0.25">
      <c r="A754" s="343">
        <v>0</v>
      </c>
      <c r="B754" s="1124">
        <v>44942</v>
      </c>
      <c r="C754" s="103">
        <v>0.91666666666666663</v>
      </c>
      <c r="D754" s="410">
        <v>52</v>
      </c>
      <c r="E754" s="415">
        <v>9.6</v>
      </c>
      <c r="F754" s="415">
        <v>14.3</v>
      </c>
      <c r="G754" s="1566" t="s">
        <v>3340</v>
      </c>
      <c r="H754" s="1567"/>
      <c r="I754" s="1567"/>
      <c r="J754" s="1567"/>
      <c r="K754" s="1568"/>
      <c r="L754" s="416">
        <v>37.130000000000003</v>
      </c>
      <c r="M754" s="416">
        <v>38</v>
      </c>
      <c r="N754" s="416">
        <v>56.47</v>
      </c>
      <c r="O754" s="416"/>
      <c r="P754" s="416"/>
      <c r="Q754" s="416"/>
      <c r="R754" s="416" t="s">
        <v>4783</v>
      </c>
      <c r="S754" s="416">
        <v>55.6</v>
      </c>
      <c r="T754" s="102" t="s">
        <v>23</v>
      </c>
      <c r="U754" s="416" t="s">
        <v>4736</v>
      </c>
      <c r="V754" s="928"/>
      <c r="CM754" s="342"/>
      <c r="CN754" s="342"/>
      <c r="CO754" s="342"/>
      <c r="CP754" s="342"/>
      <c r="CQ754" s="342"/>
      <c r="CR754" s="342"/>
      <c r="CS754" s="342"/>
      <c r="CT754" s="342"/>
      <c r="CU754" s="342"/>
      <c r="CV754" s="342"/>
      <c r="CW754" s="342"/>
      <c r="CX754" s="342"/>
      <c r="CY754" s="342"/>
    </row>
    <row r="755" spans="1:103" s="343" customFormat="1" ht="27" customHeight="1" x14ac:dyDescent="0.25">
      <c r="A755" s="343">
        <v>0</v>
      </c>
      <c r="B755" s="1126">
        <v>44943</v>
      </c>
      <c r="C755" s="103">
        <v>0.91666666666666663</v>
      </c>
      <c r="D755" s="410">
        <v>52</v>
      </c>
      <c r="E755" s="415">
        <v>10.3</v>
      </c>
      <c r="F755" s="415">
        <v>14.8</v>
      </c>
      <c r="G755" s="1566" t="s">
        <v>3340</v>
      </c>
      <c r="H755" s="1567"/>
      <c r="I755" s="1567"/>
      <c r="J755" s="1567"/>
      <c r="K755" s="1568"/>
      <c r="L755" s="416">
        <v>36.840000000000003</v>
      </c>
      <c r="M755" s="416">
        <v>38</v>
      </c>
      <c r="N755" s="416">
        <v>61.45</v>
      </c>
      <c r="O755" s="416"/>
      <c r="P755" s="416"/>
      <c r="Q755" s="416"/>
      <c r="R755" s="416" t="s">
        <v>4788</v>
      </c>
      <c r="S755" s="416">
        <v>57.5</v>
      </c>
      <c r="T755" s="102" t="s">
        <v>23</v>
      </c>
      <c r="U755" s="416" t="s">
        <v>4736</v>
      </c>
      <c r="V755" s="928"/>
      <c r="CM755" s="342"/>
      <c r="CN755" s="342"/>
      <c r="CO755" s="342"/>
      <c r="CP755" s="342"/>
      <c r="CQ755" s="342"/>
      <c r="CR755" s="342"/>
      <c r="CS755" s="342"/>
      <c r="CT755" s="342"/>
      <c r="CU755" s="342"/>
      <c r="CV755" s="342"/>
      <c r="CW755" s="342"/>
      <c r="CX755" s="342"/>
      <c r="CY755" s="342"/>
    </row>
    <row r="756" spans="1:103" s="343" customFormat="1" ht="27" customHeight="1" x14ac:dyDescent="0.25">
      <c r="A756" s="343">
        <v>0</v>
      </c>
      <c r="B756" s="1127">
        <v>44944</v>
      </c>
      <c r="C756" s="103">
        <v>0.91666666666666663</v>
      </c>
      <c r="D756" s="410">
        <v>52</v>
      </c>
      <c r="E756" s="415">
        <v>9.6999999999999993</v>
      </c>
      <c r="F756" s="415">
        <v>14.3</v>
      </c>
      <c r="G756" s="1566" t="s">
        <v>3340</v>
      </c>
      <c r="H756" s="1567"/>
      <c r="I756" s="1567"/>
      <c r="J756" s="1567"/>
      <c r="K756" s="1568"/>
      <c r="L756" s="416">
        <v>37.479999999999997</v>
      </c>
      <c r="M756" s="416">
        <v>38</v>
      </c>
      <c r="N756" s="416">
        <v>57.35</v>
      </c>
      <c r="O756" s="416"/>
      <c r="P756" s="416"/>
      <c r="Q756" s="416"/>
      <c r="R756" s="416" t="s">
        <v>4796</v>
      </c>
      <c r="S756" s="416">
        <v>55.6</v>
      </c>
      <c r="T756" s="102" t="s">
        <v>23</v>
      </c>
      <c r="U756" s="416" t="s">
        <v>4736</v>
      </c>
      <c r="V756" s="928"/>
      <c r="CM756" s="342"/>
      <c r="CN756" s="342"/>
      <c r="CO756" s="342"/>
      <c r="CP756" s="342"/>
      <c r="CQ756" s="342"/>
      <c r="CR756" s="342"/>
      <c r="CS756" s="342"/>
      <c r="CT756" s="342"/>
      <c r="CU756" s="342"/>
      <c r="CV756" s="342"/>
      <c r="CW756" s="342"/>
      <c r="CX756" s="342"/>
      <c r="CY756" s="342"/>
    </row>
    <row r="757" spans="1:103" s="343" customFormat="1" ht="27" customHeight="1" x14ac:dyDescent="0.25">
      <c r="A757" s="343">
        <v>0</v>
      </c>
      <c r="B757" s="1128">
        <v>44945</v>
      </c>
      <c r="C757" s="103">
        <v>0.91666666666666663</v>
      </c>
      <c r="D757" s="410">
        <v>52</v>
      </c>
      <c r="E757" s="415">
        <v>9.6</v>
      </c>
      <c r="F757" s="415">
        <v>14.3</v>
      </c>
      <c r="G757" s="1566" t="s">
        <v>3340</v>
      </c>
      <c r="H757" s="1567"/>
      <c r="I757" s="1567"/>
      <c r="J757" s="1567"/>
      <c r="K757" s="1568"/>
      <c r="L757" s="416">
        <v>38.54</v>
      </c>
      <c r="M757" s="416">
        <v>38</v>
      </c>
      <c r="N757" s="416">
        <v>56.74</v>
      </c>
      <c r="O757" s="416"/>
      <c r="P757" s="416"/>
      <c r="Q757" s="416"/>
      <c r="R757" s="416" t="s">
        <v>4804</v>
      </c>
      <c r="S757" s="416">
        <v>55.6</v>
      </c>
      <c r="T757" s="102" t="s">
        <v>23</v>
      </c>
      <c r="U757" s="416" t="s">
        <v>4736</v>
      </c>
      <c r="V757" s="928"/>
      <c r="CM757" s="342"/>
      <c r="CN757" s="342"/>
      <c r="CO757" s="342"/>
      <c r="CP757" s="342"/>
      <c r="CQ757" s="342"/>
      <c r="CR757" s="342"/>
      <c r="CS757" s="342"/>
      <c r="CT757" s="342"/>
      <c r="CU757" s="342"/>
      <c r="CV757" s="342"/>
      <c r="CW757" s="342"/>
      <c r="CX757" s="342"/>
      <c r="CY757" s="342"/>
    </row>
    <row r="758" spans="1:103" s="343" customFormat="1" ht="27" customHeight="1" x14ac:dyDescent="0.25">
      <c r="A758" s="343">
        <v>0</v>
      </c>
      <c r="B758" s="1129">
        <v>44946</v>
      </c>
      <c r="C758" s="103">
        <v>0.91666666666666663</v>
      </c>
      <c r="D758" s="410">
        <v>52</v>
      </c>
      <c r="E758" s="415">
        <v>9.9</v>
      </c>
      <c r="F758" s="415">
        <v>14.5</v>
      </c>
      <c r="G758" s="1566" t="s">
        <v>3340</v>
      </c>
      <c r="H758" s="1567"/>
      <c r="I758" s="1567"/>
      <c r="J758" s="1567"/>
      <c r="K758" s="1568"/>
      <c r="L758" s="416">
        <v>38.119999999999997</v>
      </c>
      <c r="M758" s="416">
        <v>38</v>
      </c>
      <c r="N758" s="416">
        <v>57.27</v>
      </c>
      <c r="O758" s="416"/>
      <c r="P758" s="416"/>
      <c r="Q758" s="416"/>
      <c r="R758" s="416" t="s">
        <v>4811</v>
      </c>
      <c r="S758" s="416">
        <v>56.4</v>
      </c>
      <c r="T758" s="102" t="s">
        <v>23</v>
      </c>
      <c r="U758" s="416" t="s">
        <v>4736</v>
      </c>
      <c r="V758" s="928"/>
      <c r="CM758" s="342"/>
      <c r="CN758" s="342"/>
      <c r="CO758" s="342"/>
      <c r="CP758" s="342"/>
      <c r="CQ758" s="342"/>
      <c r="CR758" s="342"/>
      <c r="CS758" s="342"/>
      <c r="CT758" s="342"/>
      <c r="CU758" s="342"/>
      <c r="CV758" s="342"/>
      <c r="CW758" s="342"/>
      <c r="CX758" s="342"/>
      <c r="CY758" s="342"/>
    </row>
    <row r="759" spans="1:103" s="343" customFormat="1" ht="27" customHeight="1" x14ac:dyDescent="0.25">
      <c r="A759" s="343">
        <v>0</v>
      </c>
      <c r="B759" s="1130">
        <v>44947</v>
      </c>
      <c r="C759" s="103">
        <v>0.91666666666666663</v>
      </c>
      <c r="D759" s="410">
        <v>52</v>
      </c>
      <c r="E759" s="415">
        <v>9.3000000000000007</v>
      </c>
      <c r="F759" s="415">
        <v>14.1</v>
      </c>
      <c r="G759" s="1566" t="s">
        <v>3340</v>
      </c>
      <c r="H759" s="1567"/>
      <c r="I759" s="1567"/>
      <c r="J759" s="1567"/>
      <c r="K759" s="1568"/>
      <c r="L759" s="416">
        <v>40.71</v>
      </c>
      <c r="M759" s="416">
        <v>38</v>
      </c>
      <c r="N759" s="416">
        <v>54.18</v>
      </c>
      <c r="O759" s="416"/>
      <c r="P759" s="416"/>
      <c r="Q759" s="416"/>
      <c r="R759" s="416" t="s">
        <v>4814</v>
      </c>
      <c r="S759" s="416">
        <v>54.8</v>
      </c>
      <c r="T759" s="102" t="s">
        <v>23</v>
      </c>
      <c r="U759" s="416" t="s">
        <v>4736</v>
      </c>
      <c r="V759" s="928"/>
      <c r="CM759" s="342"/>
      <c r="CN759" s="342"/>
      <c r="CO759" s="342"/>
      <c r="CP759" s="342"/>
      <c r="CQ759" s="342"/>
      <c r="CR759" s="342"/>
      <c r="CS759" s="342"/>
      <c r="CT759" s="342"/>
      <c r="CU759" s="342"/>
      <c r="CV759" s="342"/>
      <c r="CW759" s="342"/>
      <c r="CX759" s="342"/>
      <c r="CY759" s="342"/>
    </row>
    <row r="760" spans="1:103" s="343" customFormat="1" ht="27" customHeight="1" x14ac:dyDescent="0.25">
      <c r="A760" s="343">
        <v>0</v>
      </c>
      <c r="B760" s="1132">
        <v>44948</v>
      </c>
      <c r="C760" s="103">
        <v>0.91666666666666663</v>
      </c>
      <c r="D760" s="410">
        <v>52</v>
      </c>
      <c r="E760" s="415">
        <v>11.3</v>
      </c>
      <c r="F760" s="415">
        <v>15.7</v>
      </c>
      <c r="G760" s="1566" t="s">
        <v>3340</v>
      </c>
      <c r="H760" s="1567"/>
      <c r="I760" s="1567"/>
      <c r="J760" s="1567"/>
      <c r="K760" s="1568"/>
      <c r="L760" s="416">
        <v>37.619999999999997</v>
      </c>
      <c r="M760" s="416">
        <v>38</v>
      </c>
      <c r="N760" s="416">
        <v>56.09</v>
      </c>
      <c r="O760" s="416"/>
      <c r="P760" s="416"/>
      <c r="Q760" s="416"/>
      <c r="R760" s="416" t="s">
        <v>4821</v>
      </c>
      <c r="S760" s="416">
        <v>61</v>
      </c>
      <c r="T760" s="102" t="s">
        <v>23</v>
      </c>
      <c r="U760" s="416" t="s">
        <v>4736</v>
      </c>
      <c r="V760" s="928"/>
      <c r="CM760" s="342"/>
      <c r="CN760" s="342"/>
      <c r="CO760" s="342"/>
      <c r="CP760" s="342"/>
      <c r="CQ760" s="342"/>
      <c r="CR760" s="342"/>
      <c r="CS760" s="342"/>
      <c r="CT760" s="342"/>
      <c r="CU760" s="342"/>
      <c r="CV760" s="342"/>
      <c r="CW760" s="342"/>
      <c r="CX760" s="342"/>
      <c r="CY760" s="342"/>
    </row>
    <row r="761" spans="1:103" s="343" customFormat="1" ht="27" customHeight="1" x14ac:dyDescent="0.25">
      <c r="A761" s="343">
        <v>0</v>
      </c>
      <c r="B761" s="1133">
        <v>44949</v>
      </c>
      <c r="C761" s="103">
        <v>0.91666666666666663</v>
      </c>
      <c r="D761" s="410">
        <v>52</v>
      </c>
      <c r="E761" s="415">
        <v>9.9</v>
      </c>
      <c r="F761" s="415">
        <v>14.6</v>
      </c>
      <c r="G761" s="1566" t="s">
        <v>3340</v>
      </c>
      <c r="H761" s="1567"/>
      <c r="I761" s="1567"/>
      <c r="J761" s="1567"/>
      <c r="K761" s="1568"/>
      <c r="L761" s="416">
        <v>37.270000000000003</v>
      </c>
      <c r="M761" s="416">
        <v>38</v>
      </c>
      <c r="N761" s="416">
        <v>57.27</v>
      </c>
      <c r="O761" s="416"/>
      <c r="P761" s="416"/>
      <c r="Q761" s="416"/>
      <c r="R761" s="416" t="s">
        <v>4830</v>
      </c>
      <c r="S761" s="416">
        <v>56.8</v>
      </c>
      <c r="T761" s="102" t="s">
        <v>23</v>
      </c>
      <c r="U761" s="416" t="s">
        <v>4736</v>
      </c>
      <c r="V761" s="928"/>
      <c r="CM761" s="342"/>
      <c r="CN761" s="342"/>
      <c r="CO761" s="342"/>
      <c r="CP761" s="342"/>
      <c r="CQ761" s="342"/>
      <c r="CR761" s="342"/>
      <c r="CS761" s="342"/>
      <c r="CT761" s="342"/>
      <c r="CU761" s="342"/>
      <c r="CV761" s="342"/>
      <c r="CW761" s="342"/>
      <c r="CX761" s="342"/>
      <c r="CY761" s="342"/>
    </row>
    <row r="762" spans="1:103" s="343" customFormat="1" ht="27" customHeight="1" x14ac:dyDescent="0.25">
      <c r="A762" s="343">
        <v>0</v>
      </c>
      <c r="B762" s="1135">
        <v>44950</v>
      </c>
      <c r="C762" s="103">
        <v>0.91666666666666663</v>
      </c>
      <c r="D762" s="410">
        <v>52</v>
      </c>
      <c r="E762" s="415">
        <v>10.199999999999999</v>
      </c>
      <c r="F762" s="415">
        <v>14.8</v>
      </c>
      <c r="G762" s="1566" t="s">
        <v>3340</v>
      </c>
      <c r="H762" s="1567"/>
      <c r="I762" s="1567"/>
      <c r="J762" s="1567"/>
      <c r="K762" s="1568"/>
      <c r="L762" s="416">
        <v>35.49</v>
      </c>
      <c r="M762" s="416">
        <v>38</v>
      </c>
      <c r="N762" s="416">
        <v>60.79</v>
      </c>
      <c r="O762" s="416"/>
      <c r="P762" s="416"/>
      <c r="Q762" s="416"/>
      <c r="R762" s="416" t="s">
        <v>4788</v>
      </c>
      <c r="S762" s="416">
        <v>57.5</v>
      </c>
      <c r="T762" s="102" t="s">
        <v>23</v>
      </c>
      <c r="U762" s="416" t="s">
        <v>4736</v>
      </c>
      <c r="V762" s="928"/>
      <c r="CM762" s="342"/>
      <c r="CN762" s="342"/>
      <c r="CO762" s="342"/>
      <c r="CP762" s="342"/>
      <c r="CQ762" s="342"/>
      <c r="CR762" s="342"/>
      <c r="CS762" s="342"/>
      <c r="CT762" s="342"/>
      <c r="CU762" s="342"/>
      <c r="CV762" s="342"/>
      <c r="CW762" s="342"/>
      <c r="CX762" s="342"/>
      <c r="CY762" s="342"/>
    </row>
    <row r="763" spans="1:103" s="343" customFormat="1" ht="27" customHeight="1" x14ac:dyDescent="0.25">
      <c r="A763" s="343">
        <v>0</v>
      </c>
      <c r="B763" s="1136">
        <v>44951</v>
      </c>
      <c r="C763" s="103">
        <v>0.91666666666666663</v>
      </c>
      <c r="D763" s="410">
        <v>52</v>
      </c>
      <c r="E763" s="415">
        <v>12.3</v>
      </c>
      <c r="F763" s="415">
        <v>16.649999999999999</v>
      </c>
      <c r="G763" s="1566" t="s">
        <v>3340</v>
      </c>
      <c r="H763" s="1567"/>
      <c r="I763" s="1567"/>
      <c r="J763" s="1567"/>
      <c r="K763" s="1568"/>
      <c r="L763" s="416">
        <v>37.25</v>
      </c>
      <c r="M763" s="416">
        <v>38</v>
      </c>
      <c r="N763" s="416">
        <v>58.46</v>
      </c>
      <c r="O763" s="416"/>
      <c r="P763" s="416"/>
      <c r="Q763" s="416"/>
      <c r="R763" s="416" t="s">
        <v>4838</v>
      </c>
      <c r="S763" s="416">
        <v>64.2</v>
      </c>
      <c r="T763" s="102" t="s">
        <v>23</v>
      </c>
      <c r="U763" s="416" t="s">
        <v>4736</v>
      </c>
      <c r="V763" s="928"/>
      <c r="CM763" s="342"/>
      <c r="CN763" s="342"/>
      <c r="CO763" s="342"/>
      <c r="CP763" s="342"/>
      <c r="CQ763" s="342"/>
      <c r="CR763" s="342"/>
      <c r="CS763" s="342"/>
      <c r="CT763" s="342"/>
      <c r="CU763" s="342"/>
      <c r="CV763" s="342"/>
      <c r="CW763" s="342"/>
      <c r="CX763" s="342"/>
      <c r="CY763" s="342"/>
    </row>
    <row r="764" spans="1:103" s="343" customFormat="1" ht="27" customHeight="1" x14ac:dyDescent="0.25">
      <c r="A764" s="343">
        <v>0</v>
      </c>
      <c r="B764" s="1137">
        <v>44952</v>
      </c>
      <c r="C764" s="103">
        <v>0.91666666666666663</v>
      </c>
      <c r="D764" s="410">
        <v>52</v>
      </c>
      <c r="E764" s="415">
        <v>10</v>
      </c>
      <c r="F764" s="415">
        <v>14.6</v>
      </c>
      <c r="G764" s="1566" t="s">
        <v>3340</v>
      </c>
      <c r="H764" s="1567"/>
      <c r="I764" s="1567"/>
      <c r="J764" s="1567"/>
      <c r="K764" s="1568"/>
      <c r="L764" s="416">
        <v>36.56</v>
      </c>
      <c r="M764" s="416">
        <v>38</v>
      </c>
      <c r="N764" s="416">
        <v>58.88</v>
      </c>
      <c r="O764" s="416"/>
      <c r="P764" s="416"/>
      <c r="Q764" s="416"/>
      <c r="R764" s="416" t="s">
        <v>4846</v>
      </c>
      <c r="S764" s="416">
        <v>56.8</v>
      </c>
      <c r="T764" s="102" t="s">
        <v>23</v>
      </c>
      <c r="U764" s="416" t="s">
        <v>4736</v>
      </c>
      <c r="V764" s="928"/>
      <c r="CM764" s="342"/>
      <c r="CN764" s="342"/>
      <c r="CO764" s="342"/>
      <c r="CP764" s="342"/>
      <c r="CQ764" s="342"/>
      <c r="CR764" s="342"/>
      <c r="CS764" s="342"/>
      <c r="CT764" s="342"/>
      <c r="CU764" s="342"/>
      <c r="CV764" s="342"/>
      <c r="CW764" s="342"/>
      <c r="CX764" s="342"/>
      <c r="CY764" s="342"/>
    </row>
    <row r="765" spans="1:103" s="343" customFormat="1" ht="27" customHeight="1" x14ac:dyDescent="0.25">
      <c r="A765" s="343">
        <v>0</v>
      </c>
      <c r="B765" s="1138">
        <v>44953</v>
      </c>
      <c r="C765" s="103">
        <v>0.91666666666666663</v>
      </c>
      <c r="D765" s="410">
        <v>52</v>
      </c>
      <c r="E765" s="415">
        <v>10.1</v>
      </c>
      <c r="F765" s="415">
        <v>14.7</v>
      </c>
      <c r="G765" s="1566" t="s">
        <v>3340</v>
      </c>
      <c r="H765" s="1567"/>
      <c r="I765" s="1567"/>
      <c r="J765" s="1567"/>
      <c r="K765" s="1568"/>
      <c r="L765" s="416">
        <v>36.200000000000003</v>
      </c>
      <c r="M765" s="416">
        <v>38</v>
      </c>
      <c r="N765" s="416">
        <v>57.51</v>
      </c>
      <c r="O765" s="416"/>
      <c r="P765" s="416"/>
      <c r="Q765" s="416"/>
      <c r="R765" s="416" t="s">
        <v>4850</v>
      </c>
      <c r="S765" s="416">
        <v>57.1</v>
      </c>
      <c r="T765" s="102" t="s">
        <v>23</v>
      </c>
      <c r="U765" s="416" t="s">
        <v>4736</v>
      </c>
      <c r="V765" s="928"/>
      <c r="CM765" s="342"/>
      <c r="CN765" s="342"/>
      <c r="CO765" s="342"/>
      <c r="CP765" s="342"/>
      <c r="CQ765" s="342"/>
      <c r="CR765" s="342"/>
      <c r="CS765" s="342"/>
      <c r="CT765" s="342"/>
      <c r="CU765" s="342"/>
      <c r="CV765" s="342"/>
      <c r="CW765" s="342"/>
      <c r="CX765" s="342"/>
      <c r="CY765" s="342"/>
    </row>
    <row r="766" spans="1:103" s="343" customFormat="1" ht="27" customHeight="1" x14ac:dyDescent="0.25">
      <c r="A766" s="343">
        <v>0</v>
      </c>
      <c r="B766" s="1140">
        <v>44954</v>
      </c>
      <c r="C766" s="103">
        <v>0.91666666666666663</v>
      </c>
      <c r="D766" s="410">
        <v>52</v>
      </c>
      <c r="E766" s="415">
        <v>9.5</v>
      </c>
      <c r="F766" s="415">
        <v>14.3</v>
      </c>
      <c r="G766" s="1566" t="s">
        <v>3340</v>
      </c>
      <c r="H766" s="1567"/>
      <c r="I766" s="1567"/>
      <c r="J766" s="1567"/>
      <c r="K766" s="1568"/>
      <c r="L766" s="416">
        <v>39.090000000000003</v>
      </c>
      <c r="M766" s="416">
        <v>39</v>
      </c>
      <c r="N766" s="416">
        <v>53.34</v>
      </c>
      <c r="O766" s="416"/>
      <c r="P766" s="416"/>
      <c r="Q766" s="416"/>
      <c r="R766" s="416" t="s">
        <v>4853</v>
      </c>
      <c r="S766" s="416">
        <v>55.6</v>
      </c>
      <c r="T766" s="102" t="s">
        <v>23</v>
      </c>
      <c r="U766" s="416" t="s">
        <v>4736</v>
      </c>
      <c r="V766" s="928"/>
      <c r="CM766" s="342"/>
      <c r="CN766" s="342"/>
      <c r="CO766" s="342"/>
      <c r="CP766" s="342"/>
      <c r="CQ766" s="342"/>
      <c r="CR766" s="342"/>
      <c r="CS766" s="342"/>
      <c r="CT766" s="342"/>
      <c r="CU766" s="342"/>
      <c r="CV766" s="342"/>
      <c r="CW766" s="342"/>
      <c r="CX766" s="342"/>
      <c r="CY766" s="342"/>
    </row>
    <row r="767" spans="1:103" s="343" customFormat="1" ht="27" customHeight="1" x14ac:dyDescent="0.25">
      <c r="A767" s="343">
        <v>0</v>
      </c>
      <c r="B767" s="1141">
        <v>44955</v>
      </c>
      <c r="C767" s="103">
        <v>0.91666666666666663</v>
      </c>
      <c r="D767" s="410">
        <v>52</v>
      </c>
      <c r="E767" s="415">
        <v>10.4</v>
      </c>
      <c r="F767" s="415">
        <v>14.9</v>
      </c>
      <c r="G767" s="1566" t="s">
        <v>3340</v>
      </c>
      <c r="H767" s="1567"/>
      <c r="I767" s="1567"/>
      <c r="J767" s="1567"/>
      <c r="K767" s="1568"/>
      <c r="L767" s="416">
        <v>34.270000000000003</v>
      </c>
      <c r="M767" s="416">
        <v>39</v>
      </c>
      <c r="N767" s="416">
        <v>59.61</v>
      </c>
      <c r="O767" s="416"/>
      <c r="P767" s="416"/>
      <c r="Q767" s="416"/>
      <c r="R767" s="416" t="s">
        <v>4861</v>
      </c>
      <c r="S767" s="416">
        <v>57.9</v>
      </c>
      <c r="T767" s="102" t="s">
        <v>23</v>
      </c>
      <c r="U767" s="416" t="s">
        <v>4736</v>
      </c>
      <c r="V767" s="928"/>
      <c r="CM767" s="342"/>
      <c r="CN767" s="342"/>
      <c r="CO767" s="342"/>
      <c r="CP767" s="342"/>
      <c r="CQ767" s="342"/>
      <c r="CR767" s="342"/>
      <c r="CS767" s="342"/>
      <c r="CT767" s="342"/>
      <c r="CU767" s="342"/>
      <c r="CV767" s="342"/>
      <c r="CW767" s="342"/>
      <c r="CX767" s="342"/>
      <c r="CY767" s="342"/>
    </row>
    <row r="768" spans="1:103" s="343" customFormat="1" ht="27" customHeight="1" x14ac:dyDescent="0.25">
      <c r="A768" s="343">
        <v>0</v>
      </c>
      <c r="B768" s="1143">
        <v>44956</v>
      </c>
      <c r="C768" s="103">
        <v>0.91666666666666663</v>
      </c>
      <c r="D768" s="410">
        <v>52</v>
      </c>
      <c r="E768" s="415">
        <v>10.6</v>
      </c>
      <c r="F768" s="415">
        <v>15</v>
      </c>
      <c r="G768" s="1566" t="s">
        <v>3340</v>
      </c>
      <c r="H768" s="1567"/>
      <c r="I768" s="1567"/>
      <c r="J768" s="1567"/>
      <c r="K768" s="1568"/>
      <c r="L768" s="416">
        <v>36.03</v>
      </c>
      <c r="M768" s="416">
        <v>39</v>
      </c>
      <c r="N768" s="416">
        <v>59.66</v>
      </c>
      <c r="O768" s="416"/>
      <c r="P768" s="416"/>
      <c r="Q768" s="416"/>
      <c r="R768" s="416" t="s">
        <v>4871</v>
      </c>
      <c r="S768" s="416">
        <v>58.3</v>
      </c>
      <c r="T768" s="102" t="s">
        <v>23</v>
      </c>
      <c r="U768" s="416" t="s">
        <v>4736</v>
      </c>
      <c r="V768" s="928"/>
      <c r="CM768" s="342"/>
      <c r="CN768" s="342"/>
      <c r="CO768" s="342"/>
      <c r="CP768" s="342"/>
      <c r="CQ768" s="342"/>
      <c r="CR768" s="342"/>
      <c r="CS768" s="342"/>
      <c r="CT768" s="342"/>
      <c r="CU768" s="342"/>
      <c r="CV768" s="342"/>
      <c r="CW768" s="342"/>
      <c r="CX768" s="342"/>
      <c r="CY768" s="342"/>
    </row>
    <row r="769" spans="1:103" s="343" customFormat="1" ht="27" customHeight="1" x14ac:dyDescent="0.25">
      <c r="A769" s="343">
        <v>0</v>
      </c>
      <c r="B769" s="1144">
        <v>44957</v>
      </c>
      <c r="C769" s="103">
        <v>0.91666666666666663</v>
      </c>
      <c r="D769" s="410">
        <v>52</v>
      </c>
      <c r="E769" s="415">
        <v>10</v>
      </c>
      <c r="F769" s="415">
        <v>14.7</v>
      </c>
      <c r="G769" s="1566" t="s">
        <v>3340</v>
      </c>
      <c r="H769" s="1567"/>
      <c r="I769" s="1567"/>
      <c r="J769" s="1567"/>
      <c r="K769" s="1568"/>
      <c r="L769" s="416">
        <v>36.049999999999997</v>
      </c>
      <c r="M769" s="416">
        <v>39</v>
      </c>
      <c r="N769" s="416">
        <v>58.92</v>
      </c>
      <c r="O769" s="416"/>
      <c r="P769" s="416"/>
      <c r="Q769" s="416"/>
      <c r="R769" s="416" t="s">
        <v>4850</v>
      </c>
      <c r="S769" s="416">
        <v>57.1</v>
      </c>
      <c r="T769" s="102" t="s">
        <v>23</v>
      </c>
      <c r="U769" s="416" t="s">
        <v>4736</v>
      </c>
      <c r="V769" s="928"/>
      <c r="CM769" s="342"/>
      <c r="CN769" s="342"/>
      <c r="CO769" s="342"/>
      <c r="CP769" s="342"/>
      <c r="CQ769" s="342"/>
      <c r="CR769" s="342"/>
      <c r="CS769" s="342"/>
      <c r="CT769" s="342"/>
      <c r="CU769" s="342"/>
      <c r="CV769" s="342"/>
      <c r="CW769" s="342"/>
      <c r="CX769" s="342"/>
      <c r="CY769" s="342"/>
    </row>
    <row r="770" spans="1:103" s="343" customFormat="1" ht="27" customHeight="1" x14ac:dyDescent="0.25">
      <c r="A770" s="343">
        <v>0</v>
      </c>
      <c r="B770" s="1147">
        <v>44958</v>
      </c>
      <c r="C770" s="103">
        <v>0.91666666666666663</v>
      </c>
      <c r="D770" s="410">
        <v>52</v>
      </c>
      <c r="E770" s="415">
        <v>10</v>
      </c>
      <c r="F770" s="415">
        <v>14.7</v>
      </c>
      <c r="G770" s="1566" t="s">
        <v>3340</v>
      </c>
      <c r="H770" s="1567"/>
      <c r="I770" s="1567"/>
      <c r="J770" s="1567"/>
      <c r="K770" s="1568"/>
      <c r="L770" s="416">
        <v>34.659999999999997</v>
      </c>
      <c r="M770" s="416">
        <v>39</v>
      </c>
      <c r="N770" s="416">
        <v>58.54</v>
      </c>
      <c r="O770" s="416"/>
      <c r="P770" s="416"/>
      <c r="Q770" s="416"/>
      <c r="R770" s="416" t="s">
        <v>4880</v>
      </c>
      <c r="S770" s="416">
        <v>57.1</v>
      </c>
      <c r="T770" s="102" t="s">
        <v>23</v>
      </c>
      <c r="U770" s="416" t="s">
        <v>4736</v>
      </c>
      <c r="V770" s="928"/>
      <c r="CM770" s="342"/>
      <c r="CN770" s="342"/>
      <c r="CO770" s="342"/>
      <c r="CP770" s="342"/>
      <c r="CQ770" s="342"/>
      <c r="CR770" s="342"/>
      <c r="CS770" s="342"/>
      <c r="CT770" s="342"/>
      <c r="CU770" s="342"/>
      <c r="CV770" s="342"/>
      <c r="CW770" s="342"/>
      <c r="CX770" s="342"/>
      <c r="CY770" s="342"/>
    </row>
    <row r="771" spans="1:103" s="343" customFormat="1" ht="27" customHeight="1" x14ac:dyDescent="0.25">
      <c r="A771" s="343">
        <v>0</v>
      </c>
      <c r="B771" s="1149">
        <v>44959</v>
      </c>
      <c r="C771" s="103">
        <v>0.91666666666666663</v>
      </c>
      <c r="D771" s="410">
        <v>52</v>
      </c>
      <c r="E771" s="415">
        <v>9.5</v>
      </c>
      <c r="F771" s="415">
        <v>14.2</v>
      </c>
      <c r="G771" s="1566" t="s">
        <v>3340</v>
      </c>
      <c r="H771" s="1567"/>
      <c r="I771" s="1567"/>
      <c r="J771" s="1567"/>
      <c r="K771" s="1568"/>
      <c r="L771" s="416">
        <v>36.79</v>
      </c>
      <c r="M771" s="416">
        <v>38</v>
      </c>
      <c r="N771" s="416">
        <v>57.35</v>
      </c>
      <c r="O771" s="416"/>
      <c r="P771" s="416"/>
      <c r="Q771" s="416"/>
      <c r="R771" s="416" t="s">
        <v>4887</v>
      </c>
      <c r="S771" s="416">
        <v>55.2</v>
      </c>
      <c r="T771" s="102" t="s">
        <v>23</v>
      </c>
      <c r="U771" s="416" t="s">
        <v>4736</v>
      </c>
      <c r="V771" s="928"/>
      <c r="CM771" s="342"/>
      <c r="CN771" s="342"/>
      <c r="CO771" s="342"/>
      <c r="CP771" s="342"/>
      <c r="CQ771" s="342"/>
      <c r="CR771" s="342"/>
      <c r="CS771" s="342"/>
      <c r="CT771" s="342"/>
      <c r="CU771" s="342"/>
      <c r="CV771" s="342"/>
      <c r="CW771" s="342"/>
      <c r="CX771" s="342"/>
      <c r="CY771" s="342"/>
    </row>
    <row r="772" spans="1:103" s="343" customFormat="1" ht="27" customHeight="1" x14ac:dyDescent="0.25">
      <c r="A772" s="343">
        <v>0</v>
      </c>
      <c r="B772" s="1150">
        <v>44960</v>
      </c>
      <c r="C772" s="103">
        <v>0.91666666666666663</v>
      </c>
      <c r="D772" s="410">
        <v>52</v>
      </c>
      <c r="E772" s="415">
        <v>10</v>
      </c>
      <c r="F772" s="415">
        <v>14.7</v>
      </c>
      <c r="G772" s="1566" t="s">
        <v>3340</v>
      </c>
      <c r="H772" s="1567"/>
      <c r="I772" s="1567"/>
      <c r="J772" s="1567"/>
      <c r="K772" s="1568"/>
      <c r="L772" s="416">
        <v>37.479999999999997</v>
      </c>
      <c r="M772" s="416">
        <v>38</v>
      </c>
      <c r="N772" s="416">
        <v>59.23</v>
      </c>
      <c r="O772" s="416"/>
      <c r="P772" s="416"/>
      <c r="Q772" s="416"/>
      <c r="R772" s="416" t="s">
        <v>4123</v>
      </c>
      <c r="S772" s="416">
        <v>57.1</v>
      </c>
      <c r="T772" s="102" t="s">
        <v>23</v>
      </c>
      <c r="U772" s="416" t="s">
        <v>4736</v>
      </c>
      <c r="V772" s="928"/>
      <c r="CM772" s="342"/>
      <c r="CN772" s="342"/>
      <c r="CO772" s="342"/>
      <c r="CP772" s="342"/>
      <c r="CQ772" s="342"/>
      <c r="CR772" s="342"/>
      <c r="CS772" s="342"/>
      <c r="CT772" s="342"/>
      <c r="CU772" s="342"/>
      <c r="CV772" s="342"/>
      <c r="CW772" s="342"/>
      <c r="CX772" s="342"/>
      <c r="CY772" s="342"/>
    </row>
    <row r="773" spans="1:103" s="343" customFormat="1" ht="27" customHeight="1" x14ac:dyDescent="0.25">
      <c r="A773" s="343">
        <v>0</v>
      </c>
      <c r="B773" s="1152">
        <v>44961</v>
      </c>
      <c r="C773" s="103">
        <v>0.91666666666666663</v>
      </c>
      <c r="D773" s="410">
        <v>52</v>
      </c>
      <c r="E773" s="415">
        <v>9.6</v>
      </c>
      <c r="F773" s="415">
        <v>14.3</v>
      </c>
      <c r="G773" s="1566" t="s">
        <v>3340</v>
      </c>
      <c r="H773" s="1567"/>
      <c r="I773" s="1567"/>
      <c r="J773" s="1567"/>
      <c r="K773" s="1568"/>
      <c r="L773" s="416">
        <v>36.79</v>
      </c>
      <c r="M773" s="416">
        <v>38</v>
      </c>
      <c r="N773" s="416">
        <v>58.46</v>
      </c>
      <c r="O773" s="416"/>
      <c r="P773" s="416"/>
      <c r="Q773" s="416"/>
      <c r="R773" s="416" t="s">
        <v>2964</v>
      </c>
      <c r="S773" s="416">
        <v>55.6</v>
      </c>
      <c r="T773" s="102" t="s">
        <v>23</v>
      </c>
      <c r="U773" s="416" t="s">
        <v>4736</v>
      </c>
      <c r="V773" s="928"/>
      <c r="CM773" s="342"/>
      <c r="CN773" s="342"/>
      <c r="CO773" s="342"/>
      <c r="CP773" s="342"/>
      <c r="CQ773" s="342"/>
      <c r="CR773" s="342"/>
      <c r="CS773" s="342"/>
      <c r="CT773" s="342"/>
      <c r="CU773" s="342"/>
      <c r="CV773" s="342"/>
      <c r="CW773" s="342"/>
      <c r="CX773" s="342"/>
      <c r="CY773" s="342"/>
    </row>
    <row r="774" spans="1:103" s="343" customFormat="1" ht="27" customHeight="1" x14ac:dyDescent="0.25">
      <c r="A774" s="343">
        <v>0</v>
      </c>
      <c r="B774" s="1153">
        <v>44962</v>
      </c>
      <c r="C774" s="103">
        <v>0.91666666666666663</v>
      </c>
      <c r="D774" s="410">
        <v>52</v>
      </c>
      <c r="E774" s="415">
        <v>9.5</v>
      </c>
      <c r="F774" s="415">
        <v>14.3</v>
      </c>
      <c r="G774" s="1566" t="s">
        <v>3340</v>
      </c>
      <c r="H774" s="1567"/>
      <c r="I774" s="1567"/>
      <c r="J774" s="1567"/>
      <c r="K774" s="1568"/>
      <c r="L774" s="416">
        <v>37.94</v>
      </c>
      <c r="M774" s="416">
        <v>38</v>
      </c>
      <c r="N774" s="416">
        <v>53.15</v>
      </c>
      <c r="O774" s="416"/>
      <c r="P774" s="416"/>
      <c r="Q774" s="416"/>
      <c r="R774" s="416" t="s">
        <v>4025</v>
      </c>
      <c r="S774" s="416">
        <v>55.6</v>
      </c>
      <c r="T774" s="102" t="s">
        <v>23</v>
      </c>
      <c r="U774" s="416" t="s">
        <v>4736</v>
      </c>
      <c r="V774" s="928"/>
      <c r="CM774" s="342"/>
      <c r="CN774" s="342"/>
      <c r="CO774" s="342"/>
      <c r="CP774" s="342"/>
      <c r="CQ774" s="342"/>
      <c r="CR774" s="342"/>
      <c r="CS774" s="342"/>
      <c r="CT774" s="342"/>
      <c r="CU774" s="342"/>
      <c r="CV774" s="342"/>
      <c r="CW774" s="342"/>
      <c r="CX774" s="342"/>
      <c r="CY774" s="342"/>
    </row>
    <row r="775" spans="1:103" s="343" customFormat="1" ht="27" customHeight="1" x14ac:dyDescent="0.25">
      <c r="A775" s="343">
        <v>0</v>
      </c>
      <c r="B775" s="1155">
        <v>44963</v>
      </c>
      <c r="C775" s="103">
        <v>0.91666666666666663</v>
      </c>
      <c r="D775" s="410">
        <v>52</v>
      </c>
      <c r="E775" s="415">
        <v>12</v>
      </c>
      <c r="F775" s="415">
        <v>16.2</v>
      </c>
      <c r="G775" s="1566" t="s">
        <v>3340</v>
      </c>
      <c r="H775" s="1567"/>
      <c r="I775" s="1567"/>
      <c r="J775" s="1567"/>
      <c r="K775" s="1568"/>
      <c r="L775" s="416">
        <v>35.6</v>
      </c>
      <c r="M775" s="416">
        <v>38</v>
      </c>
      <c r="N775" s="416">
        <v>59.88</v>
      </c>
      <c r="O775" s="416"/>
      <c r="P775" s="416"/>
      <c r="Q775" s="416"/>
      <c r="R775" s="416" t="s">
        <v>2342</v>
      </c>
      <c r="S775" s="416">
        <v>63</v>
      </c>
      <c r="T775" s="102" t="s">
        <v>23</v>
      </c>
      <c r="U775" s="416" t="s">
        <v>4736</v>
      </c>
      <c r="V775" s="928"/>
      <c r="CM775" s="342"/>
      <c r="CN775" s="342"/>
      <c r="CO775" s="342"/>
      <c r="CP775" s="342"/>
      <c r="CQ775" s="342"/>
      <c r="CR775" s="342"/>
      <c r="CS775" s="342"/>
      <c r="CT775" s="342"/>
      <c r="CU775" s="342"/>
      <c r="CV775" s="342"/>
      <c r="CW775" s="342"/>
      <c r="CX775" s="342"/>
      <c r="CY775" s="342"/>
    </row>
    <row r="776" spans="1:103" s="343" customFormat="1" ht="27" customHeight="1" x14ac:dyDescent="0.25">
      <c r="A776" s="343">
        <v>0</v>
      </c>
      <c r="B776" s="1156">
        <v>44964</v>
      </c>
      <c r="C776" s="103">
        <v>0.91666666666666663</v>
      </c>
      <c r="D776" s="410">
        <v>52</v>
      </c>
      <c r="E776" s="415">
        <v>11.9</v>
      </c>
      <c r="F776" s="415">
        <v>16.2</v>
      </c>
      <c r="G776" s="1566" t="s">
        <v>3340</v>
      </c>
      <c r="H776" s="1567"/>
      <c r="I776" s="1567"/>
      <c r="J776" s="1567"/>
      <c r="K776" s="1568"/>
      <c r="L776" s="416">
        <v>36.130000000000003</v>
      </c>
      <c r="M776" s="416">
        <v>38</v>
      </c>
      <c r="N776" s="416">
        <v>58.19</v>
      </c>
      <c r="O776" s="416"/>
      <c r="P776" s="416"/>
      <c r="Q776" s="416"/>
      <c r="R776" s="416" t="s">
        <v>4538</v>
      </c>
      <c r="S776" s="416">
        <v>63</v>
      </c>
      <c r="T776" s="102" t="s">
        <v>23</v>
      </c>
      <c r="U776" s="416" t="s">
        <v>4736</v>
      </c>
      <c r="V776" s="928"/>
      <c r="CM776" s="342"/>
      <c r="CN776" s="342"/>
      <c r="CO776" s="342"/>
      <c r="CP776" s="342"/>
      <c r="CQ776" s="342"/>
      <c r="CR776" s="342"/>
      <c r="CS776" s="342"/>
      <c r="CT776" s="342"/>
      <c r="CU776" s="342"/>
      <c r="CV776" s="342"/>
      <c r="CW776" s="342"/>
      <c r="CX776" s="342"/>
      <c r="CY776" s="342"/>
    </row>
    <row r="777" spans="1:103" s="343" customFormat="1" ht="27" customHeight="1" x14ac:dyDescent="0.25">
      <c r="A777" s="343">
        <v>0</v>
      </c>
      <c r="B777" s="1158">
        <v>44965</v>
      </c>
      <c r="C777" s="103">
        <v>0.91666666666666663</v>
      </c>
      <c r="D777" s="410">
        <v>52</v>
      </c>
      <c r="E777" s="415">
        <v>9.4</v>
      </c>
      <c r="F777" s="415">
        <v>14.1</v>
      </c>
      <c r="G777" s="1566" t="s">
        <v>3340</v>
      </c>
      <c r="H777" s="1567"/>
      <c r="I777" s="1567"/>
      <c r="J777" s="1567"/>
      <c r="K777" s="1568"/>
      <c r="L777" s="416">
        <v>39.36</v>
      </c>
      <c r="M777" s="416">
        <v>38</v>
      </c>
      <c r="N777" s="416">
        <v>53.8</v>
      </c>
      <c r="O777" s="416"/>
      <c r="P777" s="416"/>
      <c r="Q777" s="416"/>
      <c r="R777" s="416" t="s">
        <v>4928</v>
      </c>
      <c r="S777" s="416">
        <v>54.8</v>
      </c>
      <c r="T777" s="102" t="s">
        <v>23</v>
      </c>
      <c r="U777" s="416" t="s">
        <v>4736</v>
      </c>
      <c r="V777" s="928"/>
      <c r="CM777" s="342"/>
      <c r="CN777" s="342"/>
      <c r="CO777" s="342"/>
      <c r="CP777" s="342"/>
      <c r="CQ777" s="342"/>
      <c r="CR777" s="342"/>
      <c r="CS777" s="342"/>
      <c r="CT777" s="342"/>
      <c r="CU777" s="342"/>
      <c r="CV777" s="342"/>
      <c r="CW777" s="342"/>
      <c r="CX777" s="342"/>
      <c r="CY777" s="342"/>
    </row>
    <row r="778" spans="1:103" s="343" customFormat="1" ht="27" customHeight="1" x14ac:dyDescent="0.25">
      <c r="A778" s="343">
        <v>0</v>
      </c>
      <c r="B778" s="1159">
        <v>44966</v>
      </c>
      <c r="C778" s="103">
        <v>0.9375</v>
      </c>
      <c r="D778" s="410">
        <v>52</v>
      </c>
      <c r="E778" s="415">
        <v>9.8000000000000007</v>
      </c>
      <c r="F778" s="415">
        <v>14.4</v>
      </c>
      <c r="G778" s="1566" t="s">
        <v>3340</v>
      </c>
      <c r="H778" s="1567"/>
      <c r="I778" s="1567"/>
      <c r="J778" s="1567"/>
      <c r="K778" s="1568"/>
      <c r="L778" s="416">
        <v>38.1</v>
      </c>
      <c r="M778" s="416">
        <v>40</v>
      </c>
      <c r="N778" s="416">
        <v>55.6</v>
      </c>
      <c r="O778" s="416"/>
      <c r="P778" s="416"/>
      <c r="Q778" s="416"/>
      <c r="R778" s="416" t="s">
        <v>4357</v>
      </c>
      <c r="S778" s="416">
        <v>56</v>
      </c>
      <c r="T778" s="102" t="s">
        <v>23</v>
      </c>
      <c r="U778" s="416" t="s">
        <v>236</v>
      </c>
      <c r="V778" s="928"/>
      <c r="CM778" s="342"/>
      <c r="CN778" s="342"/>
      <c r="CO778" s="342"/>
      <c r="CP778" s="342"/>
      <c r="CQ778" s="342"/>
      <c r="CR778" s="342"/>
      <c r="CS778" s="342"/>
      <c r="CT778" s="342"/>
      <c r="CU778" s="342"/>
      <c r="CV778" s="342"/>
      <c r="CW778" s="342"/>
      <c r="CX778" s="342"/>
      <c r="CY778" s="342"/>
    </row>
    <row r="779" spans="1:103" s="343" customFormat="1" ht="27" customHeight="1" x14ac:dyDescent="0.25">
      <c r="A779" s="343">
        <v>0</v>
      </c>
      <c r="B779" s="1161">
        <v>44967</v>
      </c>
      <c r="C779" s="103">
        <v>0.91666666666666663</v>
      </c>
      <c r="D779" s="410">
        <v>52</v>
      </c>
      <c r="E779" s="415">
        <v>9.1999999999999993</v>
      </c>
      <c r="F779" s="415">
        <v>14.1</v>
      </c>
      <c r="G779" s="1566" t="s">
        <v>3340</v>
      </c>
      <c r="H779" s="1567"/>
      <c r="I779" s="1567"/>
      <c r="J779" s="1567"/>
      <c r="K779" s="1568"/>
      <c r="L779" s="416">
        <v>39.1</v>
      </c>
      <c r="M779" s="416">
        <v>42</v>
      </c>
      <c r="N779" s="416">
        <v>53.95</v>
      </c>
      <c r="O779" s="416"/>
      <c r="P779" s="416"/>
      <c r="Q779" s="416"/>
      <c r="R779" s="416" t="s">
        <v>4179</v>
      </c>
      <c r="S779" s="416">
        <v>54.8</v>
      </c>
      <c r="T779" s="102" t="s">
        <v>23</v>
      </c>
      <c r="U779" s="416" t="s">
        <v>236</v>
      </c>
      <c r="V779" s="928"/>
      <c r="CM779" s="342"/>
      <c r="CN779" s="342"/>
      <c r="CO779" s="342"/>
      <c r="CP779" s="342"/>
      <c r="CQ779" s="342"/>
      <c r="CR779" s="342"/>
      <c r="CS779" s="342"/>
      <c r="CT779" s="342"/>
      <c r="CU779" s="342"/>
      <c r="CV779" s="342"/>
      <c r="CW779" s="342"/>
      <c r="CX779" s="342"/>
      <c r="CY779" s="342"/>
    </row>
    <row r="780" spans="1:103" s="343" customFormat="1" ht="27" customHeight="1" x14ac:dyDescent="0.25">
      <c r="A780" s="343">
        <v>0</v>
      </c>
      <c r="B780" s="1162">
        <v>44968</v>
      </c>
      <c r="C780" s="103">
        <v>0.89583333333333337</v>
      </c>
      <c r="D780" s="410">
        <v>52</v>
      </c>
      <c r="E780" s="415">
        <v>9.8000000000000007</v>
      </c>
      <c r="F780" s="415">
        <v>14.5</v>
      </c>
      <c r="G780" s="1566" t="s">
        <v>3340</v>
      </c>
      <c r="H780" s="1567"/>
      <c r="I780" s="1567"/>
      <c r="J780" s="1567"/>
      <c r="K780" s="1568"/>
      <c r="L780" s="416">
        <v>35.409999999999997</v>
      </c>
      <c r="M780" s="416">
        <v>38</v>
      </c>
      <c r="N780" s="416">
        <v>58.8</v>
      </c>
      <c r="O780" s="416"/>
      <c r="P780" s="416"/>
      <c r="Q780" s="416"/>
      <c r="R780" s="416" t="s">
        <v>3758</v>
      </c>
      <c r="S780" s="416">
        <v>56.4</v>
      </c>
      <c r="T780" s="102" t="s">
        <v>23</v>
      </c>
      <c r="U780" s="416" t="s">
        <v>236</v>
      </c>
      <c r="V780" s="928"/>
      <c r="CM780" s="342"/>
      <c r="CN780" s="342"/>
      <c r="CO780" s="342"/>
      <c r="CP780" s="342"/>
      <c r="CQ780" s="342"/>
      <c r="CR780" s="342"/>
      <c r="CS780" s="342"/>
      <c r="CT780" s="342"/>
      <c r="CU780" s="342"/>
      <c r="CV780" s="342"/>
      <c r="CW780" s="342"/>
      <c r="CX780" s="342"/>
      <c r="CY780" s="342"/>
    </row>
    <row r="781" spans="1:103" s="343" customFormat="1" ht="27" customHeight="1" x14ac:dyDescent="0.25">
      <c r="A781" s="343">
        <v>0</v>
      </c>
      <c r="B781" s="1163">
        <v>44969</v>
      </c>
      <c r="C781" s="103">
        <v>0.9375</v>
      </c>
      <c r="D781" s="410">
        <v>52</v>
      </c>
      <c r="E781" s="415">
        <v>9.6</v>
      </c>
      <c r="F781" s="415">
        <v>14.3</v>
      </c>
      <c r="G781" s="1566" t="s">
        <v>3340</v>
      </c>
      <c r="H781" s="1567"/>
      <c r="I781" s="1567"/>
      <c r="J781" s="1567"/>
      <c r="K781" s="1568"/>
      <c r="L781" s="416">
        <v>38.19</v>
      </c>
      <c r="M781" s="416">
        <v>40</v>
      </c>
      <c r="N781" s="416">
        <v>55.02</v>
      </c>
      <c r="O781" s="416"/>
      <c r="P781" s="416"/>
      <c r="Q781" s="416"/>
      <c r="R781" s="416" t="s">
        <v>4025</v>
      </c>
      <c r="S781" s="416">
        <v>55.6</v>
      </c>
      <c r="T781" s="102" t="s">
        <v>23</v>
      </c>
      <c r="U781" s="416" t="s">
        <v>236</v>
      </c>
      <c r="V781" s="928"/>
      <c r="CM781" s="342"/>
      <c r="CN781" s="342"/>
      <c r="CO781" s="342"/>
      <c r="CP781" s="342"/>
      <c r="CQ781" s="342"/>
      <c r="CR781" s="342"/>
      <c r="CS781" s="342"/>
      <c r="CT781" s="342"/>
      <c r="CU781" s="342"/>
      <c r="CV781" s="342"/>
      <c r="CW781" s="342"/>
      <c r="CX781" s="342"/>
      <c r="CY781" s="342"/>
    </row>
    <row r="782" spans="1:103" s="343" customFormat="1" ht="27" customHeight="1" x14ac:dyDescent="0.25">
      <c r="A782" s="343">
        <v>0</v>
      </c>
      <c r="B782" s="1164">
        <v>44970</v>
      </c>
      <c r="C782" s="103">
        <v>0.8125</v>
      </c>
      <c r="D782" s="410">
        <v>52</v>
      </c>
      <c r="E782" s="415">
        <v>10.199999999999999</v>
      </c>
      <c r="F782" s="415">
        <v>14.8</v>
      </c>
      <c r="G782" s="1566" t="s">
        <v>3340</v>
      </c>
      <c r="H782" s="1567"/>
      <c r="I782" s="1567"/>
      <c r="J782" s="1567"/>
      <c r="K782" s="1568"/>
      <c r="L782" s="416">
        <v>36.14</v>
      </c>
      <c r="M782" s="416">
        <v>39</v>
      </c>
      <c r="N782" s="416">
        <v>58.85</v>
      </c>
      <c r="O782" s="416"/>
      <c r="P782" s="416"/>
      <c r="Q782" s="416"/>
      <c r="R782" s="416" t="s">
        <v>3704</v>
      </c>
      <c r="S782" s="416">
        <v>57.5</v>
      </c>
      <c r="T782" s="102" t="s">
        <v>23</v>
      </c>
      <c r="U782" s="416" t="s">
        <v>236</v>
      </c>
      <c r="V782" s="928"/>
      <c r="CM782" s="342"/>
      <c r="CN782" s="342"/>
      <c r="CO782" s="342"/>
      <c r="CP782" s="342"/>
      <c r="CQ782" s="342"/>
      <c r="CR782" s="342"/>
      <c r="CS782" s="342"/>
      <c r="CT782" s="342"/>
      <c r="CU782" s="342"/>
      <c r="CV782" s="342"/>
      <c r="CW782" s="342"/>
      <c r="CX782" s="342"/>
      <c r="CY782" s="342"/>
    </row>
    <row r="783" spans="1:103" s="343" customFormat="1" ht="27" customHeight="1" x14ac:dyDescent="0.25">
      <c r="A783" s="343">
        <v>0</v>
      </c>
      <c r="B783" s="1165">
        <v>44971</v>
      </c>
      <c r="C783" s="103">
        <v>0.89583333333333337</v>
      </c>
      <c r="D783" s="410">
        <v>52</v>
      </c>
      <c r="E783" s="415">
        <v>10</v>
      </c>
      <c r="F783" s="415">
        <v>14.7</v>
      </c>
      <c r="G783" s="1566" t="s">
        <v>3340</v>
      </c>
      <c r="H783" s="1567"/>
      <c r="I783" s="1567"/>
      <c r="J783" s="1567"/>
      <c r="K783" s="1568"/>
      <c r="L783" s="416">
        <v>36.01</v>
      </c>
      <c r="M783" s="416">
        <v>39</v>
      </c>
      <c r="N783" s="416">
        <v>59.35</v>
      </c>
      <c r="O783" s="416"/>
      <c r="P783" s="416"/>
      <c r="Q783" s="416"/>
      <c r="R783" s="416" t="s">
        <v>4418</v>
      </c>
      <c r="S783" s="416">
        <v>57.1</v>
      </c>
      <c r="T783" s="102" t="s">
        <v>23</v>
      </c>
      <c r="U783" s="416" t="s">
        <v>236</v>
      </c>
      <c r="V783" s="928"/>
      <c r="CM783" s="342"/>
      <c r="CN783" s="342"/>
      <c r="CO783" s="342"/>
      <c r="CP783" s="342"/>
      <c r="CQ783" s="342"/>
      <c r="CR783" s="342"/>
      <c r="CS783" s="342"/>
      <c r="CT783" s="342"/>
      <c r="CU783" s="342"/>
      <c r="CV783" s="342"/>
      <c r="CW783" s="342"/>
      <c r="CX783" s="342"/>
      <c r="CY783" s="342"/>
    </row>
    <row r="784" spans="1:103" s="343" customFormat="1" ht="27" customHeight="1" x14ac:dyDescent="0.25">
      <c r="A784" s="343">
        <v>0</v>
      </c>
      <c r="B784" s="1166">
        <v>44972</v>
      </c>
      <c r="C784" s="103">
        <v>0.9375</v>
      </c>
      <c r="D784" s="410">
        <v>52</v>
      </c>
      <c r="E784" s="415">
        <v>10</v>
      </c>
      <c r="F784" s="415">
        <v>14.6</v>
      </c>
      <c r="G784" s="1566" t="s">
        <v>3340</v>
      </c>
      <c r="H784" s="1567"/>
      <c r="I784" s="1567"/>
      <c r="J784" s="1567"/>
      <c r="K784" s="1568"/>
      <c r="L784" s="416">
        <v>36.24</v>
      </c>
      <c r="M784" s="416">
        <v>39</v>
      </c>
      <c r="N784" s="416">
        <v>60.57</v>
      </c>
      <c r="O784" s="416"/>
      <c r="P784" s="416"/>
      <c r="Q784" s="416"/>
      <c r="R784" s="416" t="s">
        <v>4098</v>
      </c>
      <c r="S784" s="416">
        <v>56.8</v>
      </c>
      <c r="T784" s="102" t="s">
        <v>23</v>
      </c>
      <c r="U784" s="416" t="s">
        <v>236</v>
      </c>
      <c r="V784" s="928"/>
      <c r="CM784" s="342"/>
      <c r="CN784" s="342"/>
      <c r="CO784" s="342"/>
      <c r="CP784" s="342"/>
      <c r="CQ784" s="342"/>
      <c r="CR784" s="342"/>
      <c r="CS784" s="342"/>
      <c r="CT784" s="342"/>
      <c r="CU784" s="342"/>
      <c r="CV784" s="342"/>
      <c r="CW784" s="342"/>
      <c r="CX784" s="342"/>
      <c r="CY784" s="342"/>
    </row>
    <row r="785" spans="1:103" s="343" customFormat="1" ht="27" customHeight="1" x14ac:dyDescent="0.25">
      <c r="A785" s="343">
        <v>0</v>
      </c>
      <c r="B785" s="1167">
        <v>44973</v>
      </c>
      <c r="C785" s="103">
        <v>0.91666666666666663</v>
      </c>
      <c r="D785" s="410">
        <v>52</v>
      </c>
      <c r="E785" s="415">
        <v>9.9</v>
      </c>
      <c r="F785" s="415">
        <v>14.5</v>
      </c>
      <c r="G785" s="1566" t="s">
        <v>3340</v>
      </c>
      <c r="H785" s="1567"/>
      <c r="I785" s="1567"/>
      <c r="J785" s="1567"/>
      <c r="K785" s="1568"/>
      <c r="L785" s="416">
        <v>35.57</v>
      </c>
      <c r="M785" s="416">
        <v>38</v>
      </c>
      <c r="N785" s="416">
        <v>57.74</v>
      </c>
      <c r="O785" s="416"/>
      <c r="P785" s="416"/>
      <c r="Q785" s="416"/>
      <c r="R785" s="416" t="s">
        <v>3758</v>
      </c>
      <c r="S785" s="416">
        <v>56.4</v>
      </c>
      <c r="T785" s="102" t="s">
        <v>23</v>
      </c>
      <c r="U785" s="416" t="s">
        <v>236</v>
      </c>
      <c r="V785" s="928"/>
      <c r="CM785" s="342"/>
      <c r="CN785" s="342"/>
      <c r="CO785" s="342"/>
      <c r="CP785" s="342"/>
      <c r="CQ785" s="342"/>
      <c r="CR785" s="342"/>
      <c r="CS785" s="342"/>
      <c r="CT785" s="342"/>
      <c r="CU785" s="342"/>
      <c r="CV785" s="342"/>
      <c r="CW785" s="342"/>
      <c r="CX785" s="342"/>
      <c r="CY785" s="342"/>
    </row>
    <row r="786" spans="1:103" s="343" customFormat="1" ht="27" customHeight="1" x14ac:dyDescent="0.25">
      <c r="A786" s="343">
        <v>0</v>
      </c>
      <c r="B786" s="1168">
        <v>44974</v>
      </c>
      <c r="C786" s="103">
        <v>0.8125</v>
      </c>
      <c r="D786" s="410">
        <v>52</v>
      </c>
      <c r="E786" s="415">
        <v>11.7</v>
      </c>
      <c r="F786" s="415">
        <v>16</v>
      </c>
      <c r="G786" s="1566" t="s">
        <v>3340</v>
      </c>
      <c r="H786" s="1567"/>
      <c r="I786" s="1567"/>
      <c r="J786" s="1567"/>
      <c r="K786" s="1568"/>
      <c r="L786" s="416">
        <v>30.78</v>
      </c>
      <c r="M786" s="416">
        <v>34</v>
      </c>
      <c r="N786" s="416">
        <v>63.5</v>
      </c>
      <c r="O786" s="416"/>
      <c r="P786" s="416"/>
      <c r="Q786" s="416"/>
      <c r="R786" s="416" t="s">
        <v>751</v>
      </c>
      <c r="S786" s="416">
        <v>62.2</v>
      </c>
      <c r="T786" s="102" t="s">
        <v>23</v>
      </c>
      <c r="U786" s="416" t="s">
        <v>236</v>
      </c>
      <c r="V786" s="928"/>
      <c r="CM786" s="342"/>
      <c r="CN786" s="342"/>
      <c r="CO786" s="342"/>
      <c r="CP786" s="342"/>
      <c r="CQ786" s="342"/>
      <c r="CR786" s="342"/>
      <c r="CS786" s="342"/>
      <c r="CT786" s="342"/>
      <c r="CU786" s="342"/>
      <c r="CV786" s="342"/>
      <c r="CW786" s="342"/>
      <c r="CX786" s="342"/>
      <c r="CY786" s="342"/>
    </row>
    <row r="787" spans="1:103" s="343" customFormat="1" ht="27" customHeight="1" x14ac:dyDescent="0.25">
      <c r="A787" s="343">
        <v>0</v>
      </c>
      <c r="B787" s="1169">
        <v>44975</v>
      </c>
      <c r="C787" s="103">
        <v>0.79166666666666663</v>
      </c>
      <c r="D787" s="410">
        <v>52</v>
      </c>
      <c r="E787" s="415">
        <v>9.3000000000000007</v>
      </c>
      <c r="F787" s="415">
        <v>14.1</v>
      </c>
      <c r="G787" s="1566" t="s">
        <v>3340</v>
      </c>
      <c r="H787" s="1567"/>
      <c r="I787" s="1567"/>
      <c r="J787" s="1567"/>
      <c r="K787" s="1568"/>
      <c r="L787" s="416">
        <v>38.31</v>
      </c>
      <c r="M787" s="416">
        <v>41</v>
      </c>
      <c r="N787" s="416">
        <v>56.17</v>
      </c>
      <c r="O787" s="416"/>
      <c r="P787" s="416"/>
      <c r="Q787" s="416"/>
      <c r="R787" s="416" t="s">
        <v>4989</v>
      </c>
      <c r="S787" s="416">
        <v>54.8</v>
      </c>
      <c r="T787" s="102" t="s">
        <v>23</v>
      </c>
      <c r="U787" s="416" t="s">
        <v>236</v>
      </c>
      <c r="V787" s="928"/>
      <c r="CM787" s="342"/>
      <c r="CN787" s="342"/>
      <c r="CO787" s="342"/>
      <c r="CP787" s="342"/>
      <c r="CQ787" s="342"/>
      <c r="CR787" s="342"/>
      <c r="CS787" s="342"/>
      <c r="CT787" s="342"/>
      <c r="CU787" s="342"/>
      <c r="CV787" s="342"/>
      <c r="CW787" s="342"/>
      <c r="CX787" s="342"/>
      <c r="CY787" s="342"/>
    </row>
    <row r="788" spans="1:103" s="343" customFormat="1" ht="27" customHeight="1" x14ac:dyDescent="0.25">
      <c r="A788" s="343">
        <v>0</v>
      </c>
      <c r="B788" s="1170">
        <v>44976</v>
      </c>
      <c r="C788" s="103">
        <v>0.89583333333333337</v>
      </c>
      <c r="D788" s="410">
        <v>53</v>
      </c>
      <c r="E788" s="415">
        <v>9.8000000000000007</v>
      </c>
      <c r="F788" s="415">
        <v>14.5</v>
      </c>
      <c r="G788" s="1566" t="s">
        <v>3340</v>
      </c>
      <c r="H788" s="1567"/>
      <c r="I788" s="1567"/>
      <c r="J788" s="1567"/>
      <c r="K788" s="1568"/>
      <c r="L788" s="416">
        <v>39.659999999999997</v>
      </c>
      <c r="M788" s="416">
        <v>43</v>
      </c>
      <c r="N788" s="416">
        <v>53.16</v>
      </c>
      <c r="O788" s="416"/>
      <c r="P788" s="416"/>
      <c r="Q788" s="416"/>
      <c r="R788" s="416" t="s">
        <v>3758</v>
      </c>
      <c r="S788" s="416">
        <v>56.4</v>
      </c>
      <c r="T788" s="102" t="s">
        <v>23</v>
      </c>
      <c r="U788" s="416" t="s">
        <v>236</v>
      </c>
      <c r="V788" s="928" t="s">
        <v>5006</v>
      </c>
      <c r="CM788" s="342"/>
      <c r="CN788" s="342"/>
      <c r="CO788" s="342"/>
      <c r="CP788" s="342"/>
      <c r="CQ788" s="342"/>
      <c r="CR788" s="342"/>
      <c r="CS788" s="342"/>
      <c r="CT788" s="342"/>
      <c r="CU788" s="342"/>
      <c r="CV788" s="342"/>
      <c r="CW788" s="342"/>
      <c r="CX788" s="342"/>
      <c r="CY788" s="342"/>
    </row>
    <row r="789" spans="1:103" s="343" customFormat="1" ht="27" customHeight="1" x14ac:dyDescent="0.25">
      <c r="A789" s="343">
        <v>0</v>
      </c>
      <c r="B789" s="1174">
        <v>44977</v>
      </c>
      <c r="C789" s="103">
        <v>0.91666666666666663</v>
      </c>
      <c r="D789" s="410">
        <v>52</v>
      </c>
      <c r="E789" s="415">
        <v>9</v>
      </c>
      <c r="F789" s="415">
        <v>13.8</v>
      </c>
      <c r="G789" s="1566" t="s">
        <v>3340</v>
      </c>
      <c r="H789" s="1567"/>
      <c r="I789" s="1567"/>
      <c r="J789" s="1567"/>
      <c r="K789" s="1568"/>
      <c r="L789" s="416">
        <v>40.21</v>
      </c>
      <c r="M789" s="416">
        <v>43</v>
      </c>
      <c r="N789" s="416">
        <v>50.28</v>
      </c>
      <c r="O789" s="416"/>
      <c r="P789" s="416"/>
      <c r="Q789" s="416"/>
      <c r="R789" s="416" t="s">
        <v>1901</v>
      </c>
      <c r="S789" s="416">
        <v>54</v>
      </c>
      <c r="T789" s="102" t="s">
        <v>23</v>
      </c>
      <c r="U789" s="416" t="s">
        <v>236</v>
      </c>
      <c r="V789" s="928" t="s">
        <v>5012</v>
      </c>
      <c r="CM789" s="342"/>
      <c r="CN789" s="342"/>
      <c r="CO789" s="342"/>
      <c r="CP789" s="342"/>
      <c r="CQ789" s="342"/>
      <c r="CR789" s="342"/>
      <c r="CS789" s="342"/>
      <c r="CT789" s="342"/>
      <c r="CU789" s="342"/>
      <c r="CV789" s="342"/>
      <c r="CW789" s="342"/>
      <c r="CX789" s="342"/>
      <c r="CY789" s="342"/>
    </row>
    <row r="790" spans="1:103" s="343" customFormat="1" ht="27" customHeight="1" x14ac:dyDescent="0.25">
      <c r="A790" s="343">
        <v>0</v>
      </c>
      <c r="B790" s="1175">
        <v>44978</v>
      </c>
      <c r="C790" s="103">
        <v>0.85416666666666663</v>
      </c>
      <c r="D790" s="410">
        <v>52</v>
      </c>
      <c r="E790" s="415">
        <v>11.9</v>
      </c>
      <c r="F790" s="415">
        <v>16.2</v>
      </c>
      <c r="G790" s="1566" t="s">
        <v>3340</v>
      </c>
      <c r="H790" s="1567"/>
      <c r="I790" s="1567"/>
      <c r="J790" s="1567"/>
      <c r="K790" s="1568"/>
      <c r="L790" s="416">
        <v>37.200000000000003</v>
      </c>
      <c r="M790" s="416">
        <v>41</v>
      </c>
      <c r="N790" s="416">
        <v>51.34</v>
      </c>
      <c r="O790" s="416"/>
      <c r="P790" s="416"/>
      <c r="Q790" s="416"/>
      <c r="R790" s="416" t="s">
        <v>4011</v>
      </c>
      <c r="S790" s="416">
        <v>63</v>
      </c>
      <c r="T790" s="102" t="s">
        <v>23</v>
      </c>
      <c r="U790" s="416" t="s">
        <v>236</v>
      </c>
      <c r="V790" s="928"/>
      <c r="CM790" s="342"/>
      <c r="CN790" s="342"/>
      <c r="CO790" s="342"/>
      <c r="CP790" s="342"/>
      <c r="CQ790" s="342"/>
      <c r="CR790" s="342"/>
      <c r="CS790" s="342"/>
      <c r="CT790" s="342"/>
      <c r="CU790" s="342"/>
      <c r="CV790" s="342"/>
      <c r="CW790" s="342"/>
      <c r="CX790" s="342"/>
      <c r="CY790" s="342"/>
    </row>
    <row r="791" spans="1:103" s="343" customFormat="1" ht="24" customHeight="1" x14ac:dyDescent="0.25">
      <c r="A791" s="343">
        <v>0</v>
      </c>
      <c r="B791" s="1176">
        <v>44979</v>
      </c>
      <c r="C791" s="103">
        <v>0.89583333333333337</v>
      </c>
      <c r="D791" s="410">
        <v>52</v>
      </c>
      <c r="E791" s="415">
        <v>9.8000000000000007</v>
      </c>
      <c r="F791" s="415">
        <v>14.5</v>
      </c>
      <c r="G791" s="1566" t="s">
        <v>3340</v>
      </c>
      <c r="H791" s="1567"/>
      <c r="I791" s="1567"/>
      <c r="J791" s="1567"/>
      <c r="K791" s="1568"/>
      <c r="L791" s="416">
        <v>37.94</v>
      </c>
      <c r="M791" s="416">
        <v>41</v>
      </c>
      <c r="N791" s="416">
        <v>57.66</v>
      </c>
      <c r="O791" s="416"/>
      <c r="P791" s="416"/>
      <c r="Q791" s="416"/>
      <c r="R791" s="416" t="s">
        <v>4209</v>
      </c>
      <c r="S791" s="416">
        <v>56.4</v>
      </c>
      <c r="T791" s="102" t="s">
        <v>23</v>
      </c>
      <c r="U791" s="416" t="s">
        <v>236</v>
      </c>
      <c r="V791" s="928"/>
      <c r="CM791" s="342"/>
      <c r="CN791" s="342"/>
      <c r="CO791" s="342"/>
      <c r="CP791" s="342"/>
      <c r="CQ791" s="342"/>
      <c r="CR791" s="342"/>
      <c r="CS791" s="342"/>
      <c r="CT791" s="342"/>
      <c r="CU791" s="342"/>
      <c r="CV791" s="342"/>
      <c r="CW791" s="342"/>
      <c r="CX791" s="342"/>
      <c r="CY791" s="342"/>
    </row>
    <row r="792" spans="1:103" s="343" customFormat="1" ht="24" customHeight="1" x14ac:dyDescent="0.25">
      <c r="A792" s="343">
        <v>0</v>
      </c>
      <c r="B792" s="1177">
        <v>44980</v>
      </c>
      <c r="C792" s="103">
        <v>0.75</v>
      </c>
      <c r="D792" s="410">
        <v>52</v>
      </c>
      <c r="E792" s="415">
        <v>9.1999999999999993</v>
      </c>
      <c r="F792" s="415">
        <v>14.1</v>
      </c>
      <c r="G792" s="1566" t="s">
        <v>3340</v>
      </c>
      <c r="H792" s="1567"/>
      <c r="I792" s="1567"/>
      <c r="J792" s="1567"/>
      <c r="K792" s="1568"/>
      <c r="L792" s="416">
        <v>39.29</v>
      </c>
      <c r="M792" s="416">
        <v>42.5</v>
      </c>
      <c r="N792" s="416">
        <v>54.87</v>
      </c>
      <c r="O792" s="416"/>
      <c r="P792" s="416"/>
      <c r="Q792" s="416"/>
      <c r="R792" s="416" t="s">
        <v>5038</v>
      </c>
      <c r="S792" s="416">
        <v>54.8</v>
      </c>
      <c r="T792" s="102" t="s">
        <v>23</v>
      </c>
      <c r="U792" s="416" t="s">
        <v>236</v>
      </c>
      <c r="V792" s="928"/>
      <c r="CM792" s="342"/>
      <c r="CN792" s="342"/>
      <c r="CO792" s="342"/>
      <c r="CP792" s="342"/>
      <c r="CQ792" s="342"/>
      <c r="CR792" s="342"/>
      <c r="CS792" s="342"/>
      <c r="CT792" s="342"/>
      <c r="CU792" s="342"/>
      <c r="CV792" s="342"/>
      <c r="CW792" s="342"/>
      <c r="CX792" s="342"/>
      <c r="CY792" s="342"/>
    </row>
    <row r="793" spans="1:103" s="343" customFormat="1" ht="24" customHeight="1" x14ac:dyDescent="0.25">
      <c r="A793" s="343">
        <v>0</v>
      </c>
      <c r="B793" s="1178">
        <v>44981</v>
      </c>
      <c r="C793" s="103">
        <v>0.6875</v>
      </c>
      <c r="D793" s="410">
        <v>52</v>
      </c>
      <c r="E793" s="415">
        <v>12.6</v>
      </c>
      <c r="F793" s="415">
        <v>16.7</v>
      </c>
      <c r="G793" s="1566" t="s">
        <v>3340</v>
      </c>
      <c r="H793" s="1567"/>
      <c r="I793" s="1567"/>
      <c r="J793" s="1567"/>
      <c r="K793" s="1568"/>
      <c r="L793" s="416">
        <v>37.5</v>
      </c>
      <c r="M793" s="416">
        <v>42.5</v>
      </c>
      <c r="N793" s="416">
        <v>59.35</v>
      </c>
      <c r="O793" s="416"/>
      <c r="P793" s="416"/>
      <c r="Q793" s="416"/>
      <c r="R793" s="416" t="s">
        <v>705</v>
      </c>
      <c r="S793" s="416">
        <v>64.900000000000006</v>
      </c>
      <c r="T793" s="102" t="s">
        <v>23</v>
      </c>
      <c r="U793" s="416" t="s">
        <v>236</v>
      </c>
      <c r="V793" s="928"/>
      <c r="CM793" s="342"/>
      <c r="CN793" s="342"/>
      <c r="CO793" s="342"/>
      <c r="CP793" s="342"/>
      <c r="CQ793" s="342"/>
      <c r="CR793" s="342"/>
      <c r="CS793" s="342"/>
      <c r="CT793" s="342"/>
      <c r="CU793" s="342"/>
      <c r="CV793" s="342"/>
      <c r="CW793" s="342"/>
      <c r="CX793" s="342"/>
      <c r="CY793" s="342"/>
    </row>
    <row r="794" spans="1:103" s="343" customFormat="1" ht="24" customHeight="1" x14ac:dyDescent="0.25">
      <c r="A794" s="343">
        <v>0</v>
      </c>
      <c r="B794" s="1179">
        <v>44982</v>
      </c>
      <c r="C794" s="103">
        <v>0.6875</v>
      </c>
      <c r="D794" s="410">
        <v>52</v>
      </c>
      <c r="E794" s="415">
        <v>9.3000000000000007</v>
      </c>
      <c r="F794" s="415">
        <v>14.1</v>
      </c>
      <c r="G794" s="1566" t="s">
        <v>3340</v>
      </c>
      <c r="H794" s="1567"/>
      <c r="I794" s="1567"/>
      <c r="J794" s="1567"/>
      <c r="K794" s="1568"/>
      <c r="L794" s="416">
        <v>38.590000000000003</v>
      </c>
      <c r="M794" s="416">
        <v>42</v>
      </c>
      <c r="N794" s="416">
        <v>54.22</v>
      </c>
      <c r="O794" s="416"/>
      <c r="P794" s="416"/>
      <c r="Q794" s="416"/>
      <c r="R794" s="416" t="s">
        <v>5046</v>
      </c>
      <c r="S794" s="416">
        <v>54.8</v>
      </c>
      <c r="T794" s="102" t="s">
        <v>23</v>
      </c>
      <c r="U794" s="416" t="s">
        <v>236</v>
      </c>
      <c r="V794" s="928"/>
      <c r="CM794" s="342"/>
      <c r="CN794" s="342"/>
      <c r="CO794" s="342"/>
      <c r="CP794" s="342"/>
      <c r="CQ794" s="342"/>
      <c r="CR794" s="342"/>
      <c r="CS794" s="342"/>
      <c r="CT794" s="342"/>
      <c r="CU794" s="342"/>
      <c r="CV794" s="342"/>
      <c r="CW794" s="342"/>
      <c r="CX794" s="342"/>
      <c r="CY794" s="342"/>
    </row>
    <row r="795" spans="1:103" s="343" customFormat="1" ht="24" customHeight="1" x14ac:dyDescent="0.25">
      <c r="A795" s="343">
        <v>0</v>
      </c>
      <c r="B795" s="1180">
        <v>44983</v>
      </c>
      <c r="C795" s="103">
        <v>0.70833333333333337</v>
      </c>
      <c r="D795" s="410">
        <v>52</v>
      </c>
      <c r="E795" s="415">
        <v>9.6</v>
      </c>
      <c r="F795" s="415">
        <v>14.3</v>
      </c>
      <c r="G795" s="1566" t="s">
        <v>3340</v>
      </c>
      <c r="H795" s="1567"/>
      <c r="I795" s="1567"/>
      <c r="J795" s="1567"/>
      <c r="K795" s="1568"/>
      <c r="L795" s="416">
        <v>39.36</v>
      </c>
      <c r="M795" s="416">
        <v>43</v>
      </c>
      <c r="N795" s="416">
        <v>56.32</v>
      </c>
      <c r="O795" s="416"/>
      <c r="P795" s="416"/>
      <c r="Q795" s="416"/>
      <c r="R795" s="416" t="s">
        <v>4025</v>
      </c>
      <c r="S795" s="416">
        <v>55.6</v>
      </c>
      <c r="T795" s="102" t="s">
        <v>23</v>
      </c>
      <c r="U795" s="416" t="s">
        <v>236</v>
      </c>
      <c r="V795" s="928"/>
      <c r="CM795" s="342"/>
      <c r="CN795" s="342"/>
      <c r="CO795" s="342"/>
      <c r="CP795" s="342"/>
      <c r="CQ795" s="342"/>
      <c r="CR795" s="342"/>
      <c r="CS795" s="342"/>
      <c r="CT795" s="342"/>
      <c r="CU795" s="342"/>
      <c r="CV795" s="342"/>
      <c r="CW795" s="342"/>
      <c r="CX795" s="342"/>
      <c r="CY795" s="342"/>
    </row>
    <row r="796" spans="1:103" s="343" customFormat="1" ht="24" customHeight="1" x14ac:dyDescent="0.25">
      <c r="A796" s="343">
        <v>0</v>
      </c>
      <c r="B796" s="1181">
        <v>44984</v>
      </c>
      <c r="C796" s="103">
        <v>0.72916666666666663</v>
      </c>
      <c r="D796" s="410">
        <v>52</v>
      </c>
      <c r="E796" s="415">
        <v>9.6999999999999993</v>
      </c>
      <c r="F796" s="415">
        <v>14.4</v>
      </c>
      <c r="G796" s="1566" t="s">
        <v>3340</v>
      </c>
      <c r="H796" s="1567"/>
      <c r="I796" s="1567"/>
      <c r="J796" s="1567"/>
      <c r="K796" s="1568"/>
      <c r="L796" s="416">
        <v>37.69</v>
      </c>
      <c r="M796" s="416">
        <v>41</v>
      </c>
      <c r="N796" s="416">
        <v>59.49</v>
      </c>
      <c r="O796" s="416"/>
      <c r="P796" s="416"/>
      <c r="Q796" s="416"/>
      <c r="R796" s="416" t="s">
        <v>4150</v>
      </c>
      <c r="S796" s="416">
        <v>56</v>
      </c>
      <c r="T796" s="102" t="s">
        <v>23</v>
      </c>
      <c r="U796" s="416" t="s">
        <v>236</v>
      </c>
      <c r="V796" s="928"/>
      <c r="CM796" s="342"/>
      <c r="CN796" s="342"/>
      <c r="CO796" s="342"/>
      <c r="CP796" s="342"/>
      <c r="CQ796" s="342"/>
      <c r="CR796" s="342"/>
      <c r="CS796" s="342"/>
      <c r="CT796" s="342"/>
      <c r="CU796" s="342"/>
      <c r="CV796" s="342"/>
      <c r="CW796" s="342"/>
      <c r="CX796" s="342"/>
      <c r="CY796" s="342"/>
    </row>
    <row r="797" spans="1:103" s="343" customFormat="1" ht="27.75" customHeight="1" x14ac:dyDescent="0.25">
      <c r="A797" s="343">
        <v>0</v>
      </c>
      <c r="B797" s="1182">
        <v>44985</v>
      </c>
      <c r="C797" s="103">
        <v>0.75</v>
      </c>
      <c r="D797" s="410">
        <v>52</v>
      </c>
      <c r="E797" s="415">
        <v>8.6999999999999993</v>
      </c>
      <c r="F797" s="415">
        <v>13.8</v>
      </c>
      <c r="G797" s="1566" t="s">
        <v>3340</v>
      </c>
      <c r="H797" s="1567"/>
      <c r="I797" s="1567"/>
      <c r="J797" s="1567"/>
      <c r="K797" s="1568"/>
      <c r="L797" s="416">
        <v>41.21</v>
      </c>
      <c r="M797" s="416">
        <v>43</v>
      </c>
      <c r="N797" s="416">
        <v>48.67</v>
      </c>
      <c r="O797" s="416"/>
      <c r="P797" s="416"/>
      <c r="Q797" s="416"/>
      <c r="R797" s="416" t="s">
        <v>5058</v>
      </c>
      <c r="S797" s="416">
        <v>54</v>
      </c>
      <c r="T797" s="102" t="s">
        <v>23</v>
      </c>
      <c r="U797" s="416" t="s">
        <v>236</v>
      </c>
      <c r="V797" s="928" t="s">
        <v>5059</v>
      </c>
      <c r="CM797" s="342"/>
      <c r="CN797" s="342"/>
      <c r="CO797" s="342"/>
      <c r="CP797" s="342"/>
      <c r="CQ797" s="342"/>
      <c r="CR797" s="342"/>
      <c r="CS797" s="342"/>
      <c r="CT797" s="342"/>
      <c r="CU797" s="342"/>
      <c r="CV797" s="342"/>
      <c r="CW797" s="342"/>
      <c r="CX797" s="342"/>
      <c r="CY797" s="342"/>
    </row>
    <row r="798" spans="1:103" s="343" customFormat="1" ht="27.75" customHeight="1" x14ac:dyDescent="0.25">
      <c r="A798" s="343">
        <v>0</v>
      </c>
      <c r="B798" s="1197">
        <v>44986</v>
      </c>
      <c r="C798" s="103">
        <v>0.72916666666666663</v>
      </c>
      <c r="D798" s="410">
        <v>53</v>
      </c>
      <c r="E798" s="415">
        <v>12.6</v>
      </c>
      <c r="F798" s="415">
        <v>16.8</v>
      </c>
      <c r="G798" s="1566" t="s">
        <v>3340</v>
      </c>
      <c r="H798" s="1567"/>
      <c r="I798" s="1567"/>
      <c r="J798" s="1567"/>
      <c r="K798" s="1568"/>
      <c r="L798" s="416">
        <v>37.590000000000003</v>
      </c>
      <c r="M798" s="416">
        <v>40</v>
      </c>
      <c r="N798" s="416">
        <v>61.33</v>
      </c>
      <c r="O798" s="416"/>
      <c r="P798" s="416"/>
      <c r="Q798" s="416"/>
      <c r="R798" s="416" t="s">
        <v>2764</v>
      </c>
      <c r="S798" s="416">
        <v>58.3</v>
      </c>
      <c r="T798" s="102" t="s">
        <v>23</v>
      </c>
      <c r="U798" s="416" t="s">
        <v>236</v>
      </c>
      <c r="V798" s="928"/>
      <c r="CM798" s="342"/>
      <c r="CN798" s="342"/>
      <c r="CO798" s="342"/>
      <c r="CP798" s="342"/>
      <c r="CQ798" s="342"/>
      <c r="CR798" s="342"/>
      <c r="CS798" s="342"/>
      <c r="CT798" s="342"/>
      <c r="CU798" s="342"/>
      <c r="CV798" s="342"/>
      <c r="CW798" s="342"/>
      <c r="CX798" s="342"/>
      <c r="CY798" s="342"/>
    </row>
    <row r="799" spans="1:103" s="343" customFormat="1" ht="27.75" customHeight="1" x14ac:dyDescent="0.25">
      <c r="A799" s="343">
        <v>0</v>
      </c>
      <c r="B799" s="1201">
        <v>44987</v>
      </c>
      <c r="C799" s="103">
        <v>0.79166666666666663</v>
      </c>
      <c r="D799" s="410">
        <v>52</v>
      </c>
      <c r="E799" s="415">
        <v>9.6</v>
      </c>
      <c r="F799" s="415">
        <v>14.4</v>
      </c>
      <c r="G799" s="1566" t="s">
        <v>3340</v>
      </c>
      <c r="H799" s="1567"/>
      <c r="I799" s="1567"/>
      <c r="J799" s="1567"/>
      <c r="K799" s="1568"/>
      <c r="L799" s="416">
        <v>38.299999999999997</v>
      </c>
      <c r="M799" s="416">
        <v>41</v>
      </c>
      <c r="N799" s="416">
        <v>59.65</v>
      </c>
      <c r="O799" s="416"/>
      <c r="P799" s="416"/>
      <c r="Q799" s="416"/>
      <c r="R799" s="416" t="s">
        <v>4150</v>
      </c>
      <c r="S799" s="416">
        <v>56</v>
      </c>
      <c r="T799" s="102" t="s">
        <v>23</v>
      </c>
      <c r="U799" s="416" t="s">
        <v>236</v>
      </c>
      <c r="V799" s="928"/>
      <c r="CM799" s="342"/>
      <c r="CN799" s="342"/>
      <c r="CO799" s="342"/>
      <c r="CP799" s="342"/>
      <c r="CQ799" s="342"/>
      <c r="CR799" s="342"/>
      <c r="CS799" s="342"/>
      <c r="CT799" s="342"/>
      <c r="CU799" s="342"/>
      <c r="CV799" s="342"/>
      <c r="CW799" s="342"/>
      <c r="CX799" s="342"/>
      <c r="CY799" s="342"/>
    </row>
    <row r="800" spans="1:103" s="343" customFormat="1" ht="27.75" customHeight="1" x14ac:dyDescent="0.25">
      <c r="A800" s="343">
        <v>0</v>
      </c>
      <c r="B800" s="1202">
        <v>44988</v>
      </c>
      <c r="C800" s="103">
        <v>0.875</v>
      </c>
      <c r="D800" s="410">
        <v>52</v>
      </c>
      <c r="E800" s="415">
        <v>9.8000000000000007</v>
      </c>
      <c r="F800" s="415">
        <v>14.5</v>
      </c>
      <c r="G800" s="1566" t="s">
        <v>3340</v>
      </c>
      <c r="H800" s="1567"/>
      <c r="I800" s="1567"/>
      <c r="J800" s="1567"/>
      <c r="K800" s="1568"/>
      <c r="L800" s="416">
        <v>34.68</v>
      </c>
      <c r="M800" s="416">
        <v>38</v>
      </c>
      <c r="N800" s="416">
        <v>55.29</v>
      </c>
      <c r="O800" s="416"/>
      <c r="P800" s="416"/>
      <c r="Q800" s="416"/>
      <c r="R800" s="416" t="s">
        <v>4356</v>
      </c>
      <c r="S800" s="416">
        <v>56.4</v>
      </c>
      <c r="T800" s="102" t="s">
        <v>23</v>
      </c>
      <c r="U800" s="416" t="s">
        <v>236</v>
      </c>
      <c r="V800" s="928"/>
      <c r="CM800" s="342"/>
      <c r="CN800" s="342"/>
      <c r="CO800" s="342"/>
      <c r="CP800" s="342"/>
      <c r="CQ800" s="342"/>
      <c r="CR800" s="342"/>
      <c r="CS800" s="342"/>
      <c r="CT800" s="342"/>
      <c r="CU800" s="342"/>
      <c r="CV800" s="342"/>
      <c r="CW800" s="342"/>
      <c r="CX800" s="342"/>
      <c r="CY800" s="342"/>
    </row>
    <row r="801" spans="1:103" s="343" customFormat="1" ht="27.75" customHeight="1" x14ac:dyDescent="0.25">
      <c r="A801" s="343">
        <v>0</v>
      </c>
      <c r="B801" s="1203">
        <v>44989</v>
      </c>
      <c r="C801" s="103">
        <v>0.75</v>
      </c>
      <c r="D801" s="410">
        <v>52</v>
      </c>
      <c r="E801" s="415">
        <v>9.5</v>
      </c>
      <c r="F801" s="415">
        <v>14.3</v>
      </c>
      <c r="G801" s="1566" t="s">
        <v>3340</v>
      </c>
      <c r="H801" s="1567"/>
      <c r="I801" s="1567"/>
      <c r="J801" s="1567"/>
      <c r="K801" s="1568"/>
      <c r="L801" s="416">
        <v>38.72</v>
      </c>
      <c r="M801" s="416">
        <v>41</v>
      </c>
      <c r="N801" s="416">
        <v>53.3</v>
      </c>
      <c r="O801" s="416"/>
      <c r="P801" s="416"/>
      <c r="Q801" s="416"/>
      <c r="R801" s="416" t="s">
        <v>4000</v>
      </c>
      <c r="S801" s="416">
        <v>55.6</v>
      </c>
      <c r="T801" s="102" t="s">
        <v>23</v>
      </c>
      <c r="U801" s="416" t="s">
        <v>236</v>
      </c>
      <c r="V801" s="928"/>
      <c r="CM801" s="342"/>
      <c r="CN801" s="342"/>
      <c r="CO801" s="342"/>
      <c r="CP801" s="342"/>
      <c r="CQ801" s="342"/>
      <c r="CR801" s="342"/>
      <c r="CS801" s="342"/>
      <c r="CT801" s="342"/>
      <c r="CU801" s="342"/>
      <c r="CV801" s="342"/>
      <c r="CW801" s="342"/>
      <c r="CX801" s="342"/>
      <c r="CY801" s="342"/>
    </row>
    <row r="802" spans="1:103" s="343" customFormat="1" ht="27.75" customHeight="1" x14ac:dyDescent="0.25">
      <c r="A802" s="343">
        <v>0</v>
      </c>
      <c r="B802" s="1204">
        <v>44990</v>
      </c>
      <c r="C802" s="103">
        <v>0.89583333333333337</v>
      </c>
      <c r="D802" s="410">
        <v>52</v>
      </c>
      <c r="E802" s="415">
        <v>9.8000000000000007</v>
      </c>
      <c r="F802" s="415">
        <v>14.5</v>
      </c>
      <c r="G802" s="1566" t="s">
        <v>3340</v>
      </c>
      <c r="H802" s="1567"/>
      <c r="I802" s="1567"/>
      <c r="J802" s="1567"/>
      <c r="K802" s="1568"/>
      <c r="L802" s="416">
        <v>37.909999999999997</v>
      </c>
      <c r="M802" s="416">
        <v>41</v>
      </c>
      <c r="N802" s="416">
        <v>58.58</v>
      </c>
      <c r="O802" s="416"/>
      <c r="P802" s="416"/>
      <c r="Q802" s="416"/>
      <c r="R802" s="416" t="s">
        <v>3758</v>
      </c>
      <c r="S802" s="416">
        <v>56.4</v>
      </c>
      <c r="T802" s="102" t="s">
        <v>23</v>
      </c>
      <c r="U802" s="416" t="s">
        <v>236</v>
      </c>
      <c r="V802" s="928"/>
      <c r="CM802" s="342"/>
      <c r="CN802" s="342"/>
      <c r="CO802" s="342"/>
      <c r="CP802" s="342"/>
      <c r="CQ802" s="342"/>
      <c r="CR802" s="342"/>
      <c r="CS802" s="342"/>
      <c r="CT802" s="342"/>
      <c r="CU802" s="342"/>
      <c r="CV802" s="342"/>
      <c r="CW802" s="342"/>
      <c r="CX802" s="342"/>
      <c r="CY802" s="342"/>
    </row>
    <row r="803" spans="1:103" s="343" customFormat="1" ht="27.75" customHeight="1" x14ac:dyDescent="0.25">
      <c r="A803" s="343">
        <v>0</v>
      </c>
      <c r="B803" s="1206">
        <v>44991</v>
      </c>
      <c r="C803" s="103">
        <v>0.91666666666666663</v>
      </c>
      <c r="D803" s="410">
        <v>52</v>
      </c>
      <c r="E803" s="415">
        <v>9.4</v>
      </c>
      <c r="F803" s="415">
        <v>14.2</v>
      </c>
      <c r="G803" s="1566" t="s">
        <v>3340</v>
      </c>
      <c r="H803" s="1567"/>
      <c r="I803" s="1567"/>
      <c r="J803" s="1567"/>
      <c r="K803" s="1568"/>
      <c r="L803" s="416">
        <v>37.590000000000003</v>
      </c>
      <c r="M803" s="416">
        <v>41</v>
      </c>
      <c r="N803" s="416">
        <v>54.87</v>
      </c>
      <c r="O803" s="416"/>
      <c r="P803" s="416"/>
      <c r="Q803" s="416"/>
      <c r="R803" s="416" t="s">
        <v>4087</v>
      </c>
      <c r="S803" s="416">
        <v>55.2</v>
      </c>
      <c r="T803" s="102" t="s">
        <v>23</v>
      </c>
      <c r="U803" s="416" t="s">
        <v>236</v>
      </c>
      <c r="V803" s="928"/>
      <c r="CM803" s="342"/>
      <c r="CN803" s="342"/>
      <c r="CO803" s="342"/>
      <c r="CP803" s="342"/>
      <c r="CQ803" s="342"/>
      <c r="CR803" s="342"/>
      <c r="CS803" s="342"/>
      <c r="CT803" s="342"/>
      <c r="CU803" s="342"/>
      <c r="CV803" s="342"/>
      <c r="CW803" s="342"/>
      <c r="CX803" s="342"/>
      <c r="CY803" s="342"/>
    </row>
    <row r="804" spans="1:103" s="343" customFormat="1" ht="29.25" customHeight="1" x14ac:dyDescent="0.25">
      <c r="A804" s="343">
        <v>0</v>
      </c>
      <c r="B804" s="1207">
        <v>44992</v>
      </c>
      <c r="C804" s="103">
        <v>0.75</v>
      </c>
      <c r="D804" s="410">
        <v>52</v>
      </c>
      <c r="E804" s="415">
        <v>10</v>
      </c>
      <c r="F804" s="415">
        <v>14.7</v>
      </c>
      <c r="G804" s="1566" t="s">
        <v>3340</v>
      </c>
      <c r="H804" s="1567"/>
      <c r="I804" s="1567"/>
      <c r="J804" s="1567"/>
      <c r="K804" s="1568"/>
      <c r="L804" s="416">
        <v>36.15</v>
      </c>
      <c r="M804" s="416">
        <v>40</v>
      </c>
      <c r="N804" s="416">
        <v>57.3</v>
      </c>
      <c r="O804" s="416"/>
      <c r="P804" s="416"/>
      <c r="Q804" s="416"/>
      <c r="R804" s="416" t="s">
        <v>4418</v>
      </c>
      <c r="S804" s="416">
        <v>55.2</v>
      </c>
      <c r="T804" s="102" t="s">
        <v>23</v>
      </c>
      <c r="U804" s="416" t="s">
        <v>236</v>
      </c>
      <c r="V804" s="928"/>
      <c r="CM804" s="342"/>
      <c r="CN804" s="342"/>
      <c r="CO804" s="342"/>
      <c r="CP804" s="342"/>
      <c r="CQ804" s="342"/>
      <c r="CR804" s="342"/>
      <c r="CS804" s="342"/>
      <c r="CT804" s="342"/>
      <c r="CU804" s="342"/>
      <c r="CV804" s="342"/>
      <c r="CW804" s="342"/>
      <c r="CX804" s="342"/>
      <c r="CY804" s="342"/>
    </row>
    <row r="805" spans="1:103" s="343" customFormat="1" ht="29.25" customHeight="1" x14ac:dyDescent="0.25">
      <c r="A805" s="343">
        <v>0</v>
      </c>
      <c r="B805" s="1207">
        <v>44993</v>
      </c>
      <c r="C805" s="103">
        <v>0.83333333333333337</v>
      </c>
      <c r="D805" s="410">
        <v>52</v>
      </c>
      <c r="E805" s="415">
        <v>9.5</v>
      </c>
      <c r="F805" s="415">
        <v>14.2</v>
      </c>
      <c r="G805" s="1566" t="s">
        <v>3340</v>
      </c>
      <c r="H805" s="1567"/>
      <c r="I805" s="1567"/>
      <c r="J805" s="1567"/>
      <c r="K805" s="1568"/>
      <c r="L805" s="416">
        <v>38</v>
      </c>
      <c r="M805" s="416">
        <v>41</v>
      </c>
      <c r="N805" s="416">
        <v>54.4</v>
      </c>
      <c r="O805" s="416"/>
      <c r="P805" s="416"/>
      <c r="Q805" s="416"/>
      <c r="R805" s="416" t="s">
        <v>4144</v>
      </c>
      <c r="S805" s="416">
        <v>55.2</v>
      </c>
      <c r="T805" s="102" t="s">
        <v>23</v>
      </c>
      <c r="U805" s="416" t="s">
        <v>236</v>
      </c>
      <c r="V805" s="928"/>
      <c r="CM805" s="342"/>
      <c r="CN805" s="342"/>
      <c r="CO805" s="342"/>
      <c r="CP805" s="342"/>
      <c r="CQ805" s="342"/>
      <c r="CR805" s="342"/>
      <c r="CS805" s="342"/>
      <c r="CT805" s="342"/>
      <c r="CU805" s="342"/>
      <c r="CV805" s="342"/>
      <c r="CW805" s="342"/>
      <c r="CX805" s="342"/>
      <c r="CY805" s="342"/>
    </row>
    <row r="806" spans="1:103" s="343" customFormat="1" ht="29.25" customHeight="1" x14ac:dyDescent="0.25">
      <c r="A806" s="343">
        <v>0</v>
      </c>
      <c r="B806" s="1208">
        <v>44994</v>
      </c>
      <c r="C806" s="103">
        <v>0.95833333333333337</v>
      </c>
      <c r="D806" s="410">
        <v>52</v>
      </c>
      <c r="E806" s="415">
        <v>9.6999999999999993</v>
      </c>
      <c r="F806" s="415">
        <v>14.4</v>
      </c>
      <c r="G806" s="1566" t="s">
        <v>3340</v>
      </c>
      <c r="H806" s="1567"/>
      <c r="I806" s="1567"/>
      <c r="J806" s="1567"/>
      <c r="K806" s="1568"/>
      <c r="L806" s="416">
        <v>38.700000000000003</v>
      </c>
      <c r="M806" s="416">
        <v>41</v>
      </c>
      <c r="N806" s="416">
        <v>57.13</v>
      </c>
      <c r="O806" s="416"/>
      <c r="P806" s="416"/>
      <c r="Q806" s="416"/>
      <c r="R806" s="416" t="s">
        <v>4357</v>
      </c>
      <c r="S806" s="416">
        <v>56</v>
      </c>
      <c r="T806" s="102" t="s">
        <v>23</v>
      </c>
      <c r="U806" s="416" t="s">
        <v>236</v>
      </c>
      <c r="V806" s="928"/>
      <c r="CM806" s="342"/>
      <c r="CN806" s="342"/>
      <c r="CO806" s="342"/>
      <c r="CP806" s="342"/>
      <c r="CQ806" s="342"/>
      <c r="CR806" s="342"/>
      <c r="CS806" s="342"/>
      <c r="CT806" s="342"/>
      <c r="CU806" s="342"/>
      <c r="CV806" s="342"/>
      <c r="CW806" s="342"/>
      <c r="CX806" s="342"/>
      <c r="CY806" s="342"/>
    </row>
    <row r="807" spans="1:103" s="343" customFormat="1" ht="29.25" customHeight="1" x14ac:dyDescent="0.25">
      <c r="A807" s="343">
        <v>0</v>
      </c>
      <c r="B807" s="1209">
        <v>44995</v>
      </c>
      <c r="C807" s="103">
        <v>0.79166666666666663</v>
      </c>
      <c r="D807" s="410">
        <v>52</v>
      </c>
      <c r="E807" s="415">
        <v>9.1999999999999993</v>
      </c>
      <c r="F807" s="415">
        <v>14.1</v>
      </c>
      <c r="G807" s="1566" t="s">
        <v>3340</v>
      </c>
      <c r="H807" s="1567"/>
      <c r="I807" s="1567"/>
      <c r="J807" s="1567"/>
      <c r="K807" s="1568"/>
      <c r="L807" s="416">
        <v>38.5</v>
      </c>
      <c r="M807" s="416">
        <v>41</v>
      </c>
      <c r="N807" s="416">
        <v>54.5</v>
      </c>
      <c r="O807" s="416"/>
      <c r="P807" s="416"/>
      <c r="Q807" s="416"/>
      <c r="R807" s="416" t="s">
        <v>3957</v>
      </c>
      <c r="S807" s="416">
        <v>54.8</v>
      </c>
      <c r="T807" s="102" t="s">
        <v>23</v>
      </c>
      <c r="U807" s="416" t="s">
        <v>236</v>
      </c>
      <c r="V807" s="928"/>
      <c r="CM807" s="342"/>
      <c r="CN807" s="342"/>
      <c r="CO807" s="342"/>
      <c r="CP807" s="342"/>
      <c r="CQ807" s="342"/>
      <c r="CR807" s="342"/>
      <c r="CS807" s="342"/>
      <c r="CT807" s="342"/>
      <c r="CU807" s="342"/>
      <c r="CV807" s="342"/>
      <c r="CW807" s="342"/>
      <c r="CX807" s="342"/>
      <c r="CY807" s="342"/>
    </row>
    <row r="808" spans="1:103" s="343" customFormat="1" ht="29.25" customHeight="1" x14ac:dyDescent="0.25">
      <c r="A808" s="343">
        <v>0</v>
      </c>
      <c r="B808" s="1210">
        <v>44996</v>
      </c>
      <c r="C808" s="103">
        <v>0.75</v>
      </c>
      <c r="D808" s="410">
        <v>53</v>
      </c>
      <c r="E808" s="415">
        <v>11.9</v>
      </c>
      <c r="F808" s="415">
        <v>16.2</v>
      </c>
      <c r="G808" s="1566" t="s">
        <v>3340</v>
      </c>
      <c r="H808" s="1567"/>
      <c r="I808" s="1567"/>
      <c r="J808" s="1567"/>
      <c r="K808" s="1568"/>
      <c r="L808" s="416">
        <v>37.090000000000003</v>
      </c>
      <c r="M808" s="416">
        <v>41</v>
      </c>
      <c r="N808" s="416">
        <v>62.78</v>
      </c>
      <c r="O808" s="416"/>
      <c r="P808" s="416"/>
      <c r="Q808" s="416"/>
      <c r="R808" s="416" t="s">
        <v>721</v>
      </c>
      <c r="S808" s="416">
        <v>63</v>
      </c>
      <c r="T808" s="102" t="s">
        <v>23</v>
      </c>
      <c r="U808" s="416" t="s">
        <v>236</v>
      </c>
      <c r="V808" s="928"/>
      <c r="CM808" s="342"/>
      <c r="CN808" s="342"/>
      <c r="CO808" s="342"/>
      <c r="CP808" s="342"/>
      <c r="CQ808" s="342"/>
      <c r="CR808" s="342"/>
      <c r="CS808" s="342"/>
      <c r="CT808" s="342"/>
      <c r="CU808" s="342"/>
      <c r="CV808" s="342"/>
      <c r="CW808" s="342"/>
      <c r="CX808" s="342"/>
      <c r="CY808" s="342"/>
    </row>
    <row r="809" spans="1:103" s="343" customFormat="1" ht="29.25" customHeight="1" x14ac:dyDescent="0.25">
      <c r="A809" s="343">
        <v>0</v>
      </c>
      <c r="B809" s="1211">
        <v>44997</v>
      </c>
      <c r="C809" s="103">
        <v>0.75</v>
      </c>
      <c r="D809" s="410">
        <v>52</v>
      </c>
      <c r="E809" s="415">
        <v>9.6</v>
      </c>
      <c r="F809" s="415">
        <v>14.4</v>
      </c>
      <c r="G809" s="1566" t="s">
        <v>3340</v>
      </c>
      <c r="H809" s="1567"/>
      <c r="I809" s="1567"/>
      <c r="J809" s="1567"/>
      <c r="K809" s="1568"/>
      <c r="L809" s="416">
        <v>37.32</v>
      </c>
      <c r="M809" s="416">
        <v>41</v>
      </c>
      <c r="N809" s="416">
        <v>55.74</v>
      </c>
      <c r="O809" s="416"/>
      <c r="P809" s="416"/>
      <c r="Q809" s="416"/>
      <c r="R809" s="416" t="s">
        <v>4150</v>
      </c>
      <c r="S809" s="416">
        <v>56</v>
      </c>
      <c r="T809" s="102" t="s">
        <v>23</v>
      </c>
      <c r="U809" s="416" t="s">
        <v>236</v>
      </c>
      <c r="V809" s="928"/>
      <c r="CM809" s="342"/>
      <c r="CN809" s="342"/>
      <c r="CO809" s="342"/>
      <c r="CP809" s="342"/>
      <c r="CQ809" s="342"/>
      <c r="CR809" s="342"/>
      <c r="CS809" s="342"/>
      <c r="CT809" s="342"/>
      <c r="CU809" s="342"/>
      <c r="CV809" s="342"/>
      <c r="CW809" s="342"/>
      <c r="CX809" s="342"/>
      <c r="CY809" s="342"/>
    </row>
    <row r="810" spans="1:103" s="343" customFormat="1" ht="29.25" customHeight="1" x14ac:dyDescent="0.25">
      <c r="A810" s="343">
        <v>0</v>
      </c>
      <c r="B810" s="1212">
        <v>44998</v>
      </c>
      <c r="C810" s="103">
        <v>0.79166666666666663</v>
      </c>
      <c r="D810" s="410">
        <v>52</v>
      </c>
      <c r="E810" s="415">
        <v>11.8</v>
      </c>
      <c r="F810" s="415">
        <v>16</v>
      </c>
      <c r="G810" s="1566" t="s">
        <v>3340</v>
      </c>
      <c r="H810" s="1567"/>
      <c r="I810" s="1567"/>
      <c r="J810" s="1567"/>
      <c r="K810" s="1568"/>
      <c r="L810" s="416">
        <v>37.369999999999997</v>
      </c>
      <c r="M810" s="416">
        <v>41</v>
      </c>
      <c r="N810" s="416">
        <v>58.88</v>
      </c>
      <c r="O810" s="416"/>
      <c r="P810" s="416"/>
      <c r="Q810" s="416"/>
      <c r="R810" s="416" t="s">
        <v>751</v>
      </c>
      <c r="S810" s="416">
        <v>62.2</v>
      </c>
      <c r="T810" s="102" t="s">
        <v>23</v>
      </c>
      <c r="U810" s="416" t="s">
        <v>236</v>
      </c>
      <c r="V810" s="928"/>
      <c r="CM810" s="342"/>
      <c r="CN810" s="342"/>
      <c r="CO810" s="342"/>
      <c r="CP810" s="342"/>
      <c r="CQ810" s="342"/>
      <c r="CR810" s="342"/>
      <c r="CS810" s="342"/>
      <c r="CT810" s="342"/>
      <c r="CU810" s="342"/>
      <c r="CV810" s="342"/>
      <c r="CW810" s="342"/>
      <c r="CX810" s="342"/>
      <c r="CY810" s="342"/>
    </row>
    <row r="811" spans="1:103" s="343" customFormat="1" ht="29.25" customHeight="1" x14ac:dyDescent="0.25">
      <c r="A811" s="343">
        <v>0</v>
      </c>
      <c r="B811" s="1213">
        <v>44999</v>
      </c>
      <c r="C811" s="103">
        <v>0.70833333333333337</v>
      </c>
      <c r="D811" s="410">
        <v>52</v>
      </c>
      <c r="E811" s="415">
        <v>9.1999999999999993</v>
      </c>
      <c r="F811" s="415">
        <v>14</v>
      </c>
      <c r="G811" s="1566" t="s">
        <v>3340</v>
      </c>
      <c r="H811" s="1567"/>
      <c r="I811" s="1567"/>
      <c r="J811" s="1567"/>
      <c r="K811" s="1568"/>
      <c r="L811" s="416">
        <v>38.35</v>
      </c>
      <c r="M811" s="416">
        <v>42.5</v>
      </c>
      <c r="N811" s="416">
        <v>50.78</v>
      </c>
      <c r="O811" s="416"/>
      <c r="P811" s="416"/>
      <c r="Q811" s="416"/>
      <c r="R811" s="416" t="s">
        <v>1278</v>
      </c>
      <c r="S811" s="416">
        <v>54.4</v>
      </c>
      <c r="T811" s="102" t="s">
        <v>23</v>
      </c>
      <c r="U811" s="416" t="s">
        <v>236</v>
      </c>
      <c r="V811" s="928"/>
      <c r="CM811" s="342"/>
      <c r="CN811" s="342"/>
      <c r="CO811" s="342"/>
      <c r="CP811" s="342"/>
      <c r="CQ811" s="342"/>
      <c r="CR811" s="342"/>
      <c r="CS811" s="342"/>
      <c r="CT811" s="342"/>
      <c r="CU811" s="342"/>
      <c r="CV811" s="342"/>
      <c r="CW811" s="342"/>
      <c r="CX811" s="342"/>
      <c r="CY811" s="342"/>
    </row>
    <row r="812" spans="1:103" s="343" customFormat="1" ht="29.25" customHeight="1" x14ac:dyDescent="0.25">
      <c r="A812" s="343">
        <v>0</v>
      </c>
      <c r="B812" s="1214">
        <v>45000</v>
      </c>
      <c r="C812" s="103">
        <v>0.75</v>
      </c>
      <c r="D812" s="410">
        <v>52.5</v>
      </c>
      <c r="E812" s="415">
        <v>9.8000000000000007</v>
      </c>
      <c r="F812" s="415">
        <v>14.2</v>
      </c>
      <c r="G812" s="1566" t="s">
        <v>3340</v>
      </c>
      <c r="H812" s="1567"/>
      <c r="I812" s="1567"/>
      <c r="J812" s="1567"/>
      <c r="K812" s="1568"/>
      <c r="L812" s="416">
        <v>40.200000000000003</v>
      </c>
      <c r="M812" s="416">
        <v>44</v>
      </c>
      <c r="N812" s="416">
        <v>55.6</v>
      </c>
      <c r="O812" s="416"/>
      <c r="P812" s="416"/>
      <c r="Q812" s="416"/>
      <c r="R812" s="416" t="s">
        <v>1278</v>
      </c>
      <c r="S812" s="416">
        <v>53.8</v>
      </c>
      <c r="T812" s="102" t="s">
        <v>23</v>
      </c>
      <c r="U812" s="416" t="s">
        <v>236</v>
      </c>
      <c r="V812" s="928"/>
      <c r="CM812" s="342"/>
      <c r="CN812" s="342"/>
      <c r="CO812" s="342"/>
      <c r="CP812" s="342"/>
      <c r="CQ812" s="342"/>
      <c r="CR812" s="342"/>
      <c r="CS812" s="342"/>
      <c r="CT812" s="342"/>
      <c r="CU812" s="342"/>
      <c r="CV812" s="342"/>
      <c r="CW812" s="342"/>
      <c r="CX812" s="342"/>
      <c r="CY812" s="342"/>
    </row>
    <row r="813" spans="1:103" s="343" customFormat="1" ht="29.25" customHeight="1" x14ac:dyDescent="0.25">
      <c r="A813" s="343">
        <v>0</v>
      </c>
      <c r="B813" s="1215">
        <v>45001</v>
      </c>
      <c r="C813" s="103">
        <v>0.875</v>
      </c>
      <c r="D813" s="410">
        <v>52.5</v>
      </c>
      <c r="E813" s="415">
        <v>12.2</v>
      </c>
      <c r="F813" s="415">
        <v>16.399999999999999</v>
      </c>
      <c r="G813" s="1566" t="s">
        <v>3340</v>
      </c>
      <c r="H813" s="1567"/>
      <c r="I813" s="1567"/>
      <c r="J813" s="1567"/>
      <c r="K813" s="1568"/>
      <c r="L813" s="416">
        <v>37.159999999999997</v>
      </c>
      <c r="M813" s="416">
        <v>41</v>
      </c>
      <c r="N813" s="416">
        <v>60.45</v>
      </c>
      <c r="O813" s="416"/>
      <c r="P813" s="416"/>
      <c r="Q813" s="416"/>
      <c r="R813" s="416" t="s">
        <v>5146</v>
      </c>
      <c r="S813" s="416">
        <v>63.8</v>
      </c>
      <c r="T813" s="102" t="s">
        <v>23</v>
      </c>
      <c r="U813" s="416" t="s">
        <v>236</v>
      </c>
      <c r="V813" s="928"/>
      <c r="CM813" s="342"/>
      <c r="CN813" s="342"/>
      <c r="CO813" s="342"/>
      <c r="CP813" s="342"/>
      <c r="CQ813" s="342"/>
      <c r="CR813" s="342"/>
      <c r="CS813" s="342"/>
      <c r="CT813" s="342"/>
      <c r="CU813" s="342"/>
      <c r="CV813" s="342"/>
      <c r="CW813" s="342"/>
      <c r="CX813" s="342"/>
      <c r="CY813" s="342"/>
    </row>
    <row r="814" spans="1:103" s="343" customFormat="1" ht="29.25" customHeight="1" x14ac:dyDescent="0.25">
      <c r="A814" s="343">
        <v>0</v>
      </c>
      <c r="B814" s="1216">
        <v>45002</v>
      </c>
      <c r="C814" s="103">
        <v>0.83333333333333337</v>
      </c>
      <c r="D814" s="410">
        <v>52.5</v>
      </c>
      <c r="E814" s="415">
        <v>11.3</v>
      </c>
      <c r="F814" s="415">
        <v>15.3</v>
      </c>
      <c r="G814" s="1566" t="s">
        <v>3340</v>
      </c>
      <c r="H814" s="1567"/>
      <c r="I814" s="1567"/>
      <c r="J814" s="1567"/>
      <c r="K814" s="1568"/>
      <c r="L814" s="416">
        <v>37.65</v>
      </c>
      <c r="M814" s="416">
        <v>41</v>
      </c>
      <c r="N814" s="416">
        <v>58.76</v>
      </c>
      <c r="O814" s="416"/>
      <c r="P814" s="416"/>
      <c r="Q814" s="416"/>
      <c r="R814" s="416" t="s">
        <v>5153</v>
      </c>
      <c r="S814" s="416">
        <v>62.1</v>
      </c>
      <c r="T814" s="102" t="s">
        <v>23</v>
      </c>
      <c r="U814" s="416" t="s">
        <v>236</v>
      </c>
      <c r="V814" s="928"/>
      <c r="CM814" s="342"/>
      <c r="CN814" s="342"/>
      <c r="CO814" s="342"/>
      <c r="CP814" s="342"/>
      <c r="CQ814" s="342"/>
      <c r="CR814" s="342"/>
      <c r="CS814" s="342"/>
      <c r="CT814" s="342"/>
      <c r="CU814" s="342"/>
      <c r="CV814" s="342"/>
      <c r="CW814" s="342"/>
      <c r="CX814" s="342"/>
      <c r="CY814" s="342"/>
    </row>
    <row r="815" spans="1:103" s="343" customFormat="1" ht="29.25" customHeight="1" x14ac:dyDescent="0.25">
      <c r="A815" s="343">
        <v>0</v>
      </c>
      <c r="B815" s="1216">
        <v>45003</v>
      </c>
      <c r="C815" s="103">
        <v>0.75</v>
      </c>
      <c r="D815" s="410">
        <v>52.5</v>
      </c>
      <c r="E815" s="415">
        <v>10.6</v>
      </c>
      <c r="F815" s="415">
        <v>15.1</v>
      </c>
      <c r="G815" s="1566" t="s">
        <v>3340</v>
      </c>
      <c r="H815" s="1567"/>
      <c r="I815" s="1567"/>
      <c r="J815" s="1567"/>
      <c r="K815" s="1568"/>
      <c r="L815" s="416">
        <v>35.299999999999997</v>
      </c>
      <c r="M815" s="416">
        <v>39</v>
      </c>
      <c r="N815" s="416">
        <v>61.07</v>
      </c>
      <c r="O815" s="416"/>
      <c r="P815" s="416"/>
      <c r="Q815" s="416"/>
      <c r="R815" s="416" t="s">
        <v>4491</v>
      </c>
      <c r="S815" s="416">
        <v>58.7</v>
      </c>
      <c r="T815" s="102" t="s">
        <v>23</v>
      </c>
      <c r="U815" s="416" t="s">
        <v>236</v>
      </c>
      <c r="V815" s="928"/>
      <c r="CM815" s="342"/>
      <c r="CN815" s="342"/>
      <c r="CO815" s="342"/>
      <c r="CP815" s="342"/>
      <c r="CQ815" s="342"/>
      <c r="CR815" s="342"/>
      <c r="CS815" s="342"/>
      <c r="CT815" s="342"/>
      <c r="CU815" s="342"/>
      <c r="CV815" s="342"/>
      <c r="CW815" s="342"/>
      <c r="CX815" s="342"/>
      <c r="CY815" s="342"/>
    </row>
    <row r="816" spans="1:103" s="343" customFormat="1" ht="29.25" customHeight="1" x14ac:dyDescent="0.25">
      <c r="A816" s="343">
        <v>0</v>
      </c>
      <c r="B816" s="1217">
        <v>45004</v>
      </c>
      <c r="C816" s="103">
        <v>0.8125</v>
      </c>
      <c r="D816" s="410">
        <v>52.5</v>
      </c>
      <c r="E816" s="415">
        <v>11.7</v>
      </c>
      <c r="F816" s="415">
        <v>16</v>
      </c>
      <c r="G816" s="1566" t="s">
        <v>3340</v>
      </c>
      <c r="H816" s="1567"/>
      <c r="I816" s="1567"/>
      <c r="J816" s="1567"/>
      <c r="K816" s="1568"/>
      <c r="L816" s="416">
        <v>32.92</v>
      </c>
      <c r="M816" s="416">
        <v>38</v>
      </c>
      <c r="N816" s="416">
        <v>64.77</v>
      </c>
      <c r="O816" s="416"/>
      <c r="P816" s="416"/>
      <c r="Q816" s="416"/>
      <c r="R816" s="416" t="s">
        <v>4230</v>
      </c>
      <c r="S816" s="416">
        <v>62.2</v>
      </c>
      <c r="T816" s="102" t="s">
        <v>23</v>
      </c>
      <c r="U816" s="416" t="s">
        <v>236</v>
      </c>
      <c r="V816" s="928"/>
      <c r="CM816" s="342"/>
      <c r="CN816" s="342"/>
      <c r="CO816" s="342"/>
      <c r="CP816" s="342"/>
      <c r="CQ816" s="342"/>
      <c r="CR816" s="342"/>
      <c r="CS816" s="342"/>
      <c r="CT816" s="342"/>
      <c r="CU816" s="342"/>
      <c r="CV816" s="342"/>
      <c r="CW816" s="342"/>
      <c r="CX816" s="342"/>
      <c r="CY816" s="342"/>
    </row>
    <row r="817" spans="1:103" s="343" customFormat="1" ht="29.25" customHeight="1" x14ac:dyDescent="0.25">
      <c r="A817" s="343">
        <v>0</v>
      </c>
      <c r="B817" s="1218">
        <v>45005</v>
      </c>
      <c r="C817" s="103">
        <v>0.8125</v>
      </c>
      <c r="D817" s="410">
        <v>52</v>
      </c>
      <c r="E817" s="415">
        <v>9.6999999999999993</v>
      </c>
      <c r="F817" s="415">
        <v>14.5</v>
      </c>
      <c r="G817" s="1566" t="s">
        <v>3340</v>
      </c>
      <c r="H817" s="1567"/>
      <c r="I817" s="1567"/>
      <c r="J817" s="1567"/>
      <c r="K817" s="1568"/>
      <c r="L817" s="416">
        <v>36</v>
      </c>
      <c r="M817" s="416">
        <v>39</v>
      </c>
      <c r="N817" s="416">
        <v>56.89</v>
      </c>
      <c r="O817" s="416"/>
      <c r="P817" s="416"/>
      <c r="Q817" s="416"/>
      <c r="R817" s="416" t="s">
        <v>4209</v>
      </c>
      <c r="S817" s="416">
        <v>56.4</v>
      </c>
      <c r="T817" s="102" t="s">
        <v>23</v>
      </c>
      <c r="U817" s="416" t="s">
        <v>236</v>
      </c>
      <c r="V817" s="928"/>
      <c r="CM817" s="342"/>
      <c r="CN817" s="342"/>
      <c r="CO817" s="342"/>
      <c r="CP817" s="342"/>
      <c r="CQ817" s="342"/>
      <c r="CR817" s="342"/>
      <c r="CS817" s="342"/>
      <c r="CT817" s="342"/>
      <c r="CU817" s="342"/>
      <c r="CV817" s="342"/>
      <c r="CW817" s="342"/>
      <c r="CX817" s="342"/>
      <c r="CY817" s="342"/>
    </row>
    <row r="818" spans="1:103" s="343" customFormat="1" ht="36.75" customHeight="1" x14ac:dyDescent="0.25">
      <c r="A818" s="343">
        <v>0</v>
      </c>
      <c r="B818" s="1219">
        <v>45006</v>
      </c>
      <c r="C818" s="103">
        <v>0.95833333333333337</v>
      </c>
      <c r="D818" s="410">
        <v>53</v>
      </c>
      <c r="E818" s="415">
        <v>9.8000000000000007</v>
      </c>
      <c r="F818" s="415">
        <v>14.5</v>
      </c>
      <c r="G818" s="1566" t="s">
        <v>3340</v>
      </c>
      <c r="H818" s="1567"/>
      <c r="I818" s="1567"/>
      <c r="J818" s="1567"/>
      <c r="K818" s="1568"/>
      <c r="L818" s="416">
        <v>40.24</v>
      </c>
      <c r="M818" s="416">
        <v>43.5</v>
      </c>
      <c r="N818" s="416">
        <v>49.81</v>
      </c>
      <c r="O818" s="416"/>
      <c r="P818" s="416"/>
      <c r="Q818" s="416"/>
      <c r="R818" s="416" t="s">
        <v>3758</v>
      </c>
      <c r="S818" s="416">
        <v>56.4</v>
      </c>
      <c r="T818" s="102" t="s">
        <v>23</v>
      </c>
      <c r="U818" s="416" t="s">
        <v>236</v>
      </c>
      <c r="V818" s="928" t="s">
        <v>5181</v>
      </c>
      <c r="CM818" s="342"/>
      <c r="CN818" s="342"/>
      <c r="CO818" s="342"/>
      <c r="CP818" s="342"/>
      <c r="CQ818" s="342"/>
      <c r="CR818" s="342"/>
      <c r="CS818" s="342"/>
      <c r="CT818" s="342"/>
      <c r="CU818" s="342"/>
      <c r="CV818" s="342"/>
      <c r="CW818" s="342"/>
      <c r="CX818" s="342"/>
      <c r="CY818" s="342"/>
    </row>
    <row r="819" spans="1:103" s="343" customFormat="1" ht="34.5" customHeight="1" x14ac:dyDescent="0.25">
      <c r="A819" s="343">
        <v>0</v>
      </c>
      <c r="B819" s="1220">
        <v>45007</v>
      </c>
      <c r="C819" s="103">
        <v>0.95833333333333337</v>
      </c>
      <c r="D819" s="410">
        <v>52</v>
      </c>
      <c r="E819" s="415">
        <v>9.6999999999999993</v>
      </c>
      <c r="F819" s="415">
        <v>14.5</v>
      </c>
      <c r="G819" s="1566" t="s">
        <v>3340</v>
      </c>
      <c r="H819" s="1567"/>
      <c r="I819" s="1567"/>
      <c r="J819" s="1567"/>
      <c r="K819" s="1568"/>
      <c r="L819" s="416">
        <v>33.1</v>
      </c>
      <c r="M819" s="416">
        <v>38</v>
      </c>
      <c r="N819" s="416">
        <v>61.02</v>
      </c>
      <c r="O819" s="416"/>
      <c r="P819" s="416"/>
      <c r="Q819" s="416"/>
      <c r="R819" s="416" t="s">
        <v>5186</v>
      </c>
      <c r="S819" s="416">
        <v>61</v>
      </c>
      <c r="T819" s="102" t="s">
        <v>23</v>
      </c>
      <c r="U819" s="416" t="s">
        <v>4320</v>
      </c>
      <c r="V819" s="928"/>
      <c r="CM819" s="342"/>
      <c r="CN819" s="342"/>
      <c r="CO819" s="342"/>
      <c r="CP819" s="342"/>
      <c r="CQ819" s="342"/>
      <c r="CR819" s="342"/>
      <c r="CS819" s="342"/>
      <c r="CT819" s="342"/>
      <c r="CU819" s="342"/>
      <c r="CV819" s="342"/>
      <c r="CW819" s="342"/>
      <c r="CX819" s="342"/>
      <c r="CY819" s="342"/>
    </row>
    <row r="820" spans="1:103" s="343" customFormat="1" ht="34.5" customHeight="1" x14ac:dyDescent="0.25">
      <c r="A820" s="343">
        <v>0</v>
      </c>
      <c r="B820" s="1220">
        <v>45008</v>
      </c>
      <c r="C820" s="103">
        <v>0.95833333333333337</v>
      </c>
      <c r="D820" s="410">
        <v>52</v>
      </c>
      <c r="E820" s="415">
        <v>9.6</v>
      </c>
      <c r="F820" s="415">
        <v>14.4</v>
      </c>
      <c r="G820" s="1566" t="s">
        <v>3340</v>
      </c>
      <c r="H820" s="1567"/>
      <c r="I820" s="1567"/>
      <c r="J820" s="1567"/>
      <c r="K820" s="1568"/>
      <c r="L820" s="416">
        <v>36.15</v>
      </c>
      <c r="M820" s="416">
        <v>39</v>
      </c>
      <c r="N820" s="416">
        <v>59.46</v>
      </c>
      <c r="O820" s="416"/>
      <c r="P820" s="416"/>
      <c r="Q820" s="416"/>
      <c r="R820" s="416" t="s">
        <v>3456</v>
      </c>
      <c r="S820" s="416">
        <v>56</v>
      </c>
      <c r="T820" s="102" t="s">
        <v>23</v>
      </c>
      <c r="U820" s="416" t="s">
        <v>4320</v>
      </c>
      <c r="V820" s="928"/>
      <c r="CM820" s="342"/>
      <c r="CN820" s="342"/>
      <c r="CO820" s="342"/>
      <c r="CP820" s="342"/>
      <c r="CQ820" s="342"/>
      <c r="CR820" s="342"/>
      <c r="CS820" s="342"/>
      <c r="CT820" s="342"/>
      <c r="CU820" s="342"/>
      <c r="CV820" s="342"/>
      <c r="CW820" s="342"/>
      <c r="CX820" s="342"/>
      <c r="CY820" s="342"/>
    </row>
    <row r="821" spans="1:103" s="343" customFormat="1" ht="34.5" customHeight="1" x14ac:dyDescent="0.25">
      <c r="A821" s="343">
        <v>0</v>
      </c>
      <c r="B821" s="1221">
        <v>45009</v>
      </c>
      <c r="C821" s="103">
        <v>0.875</v>
      </c>
      <c r="D821" s="410">
        <v>52</v>
      </c>
      <c r="E821" s="415">
        <v>9.8000000000000007</v>
      </c>
      <c r="F821" s="415">
        <v>14.4</v>
      </c>
      <c r="G821" s="1566" t="s">
        <v>3340</v>
      </c>
      <c r="H821" s="1567"/>
      <c r="I821" s="1567"/>
      <c r="J821" s="1567"/>
      <c r="K821" s="1568"/>
      <c r="L821" s="416">
        <v>36.93</v>
      </c>
      <c r="M821" s="416">
        <v>39</v>
      </c>
      <c r="N821" s="416">
        <v>55.97</v>
      </c>
      <c r="O821" s="416"/>
      <c r="P821" s="416"/>
      <c r="Q821" s="416"/>
      <c r="R821" s="416" t="s">
        <v>4150</v>
      </c>
      <c r="S821" s="416">
        <v>56</v>
      </c>
      <c r="T821" s="102" t="s">
        <v>23</v>
      </c>
      <c r="U821" s="416" t="s">
        <v>4320</v>
      </c>
      <c r="V821" s="928"/>
      <c r="CM821" s="342"/>
      <c r="CN821" s="342"/>
      <c r="CO821" s="342"/>
      <c r="CP821" s="342"/>
      <c r="CQ821" s="342"/>
      <c r="CR821" s="342"/>
      <c r="CS821" s="342"/>
      <c r="CT821" s="342"/>
      <c r="CU821" s="342"/>
      <c r="CV821" s="342"/>
      <c r="CW821" s="342"/>
      <c r="CX821" s="342"/>
      <c r="CY821" s="342"/>
    </row>
    <row r="822" spans="1:103" s="343" customFormat="1" ht="34.5" customHeight="1" x14ac:dyDescent="0.25">
      <c r="A822" s="343">
        <v>0</v>
      </c>
      <c r="B822" s="1223">
        <v>45010</v>
      </c>
      <c r="C822" s="103">
        <v>0.875</v>
      </c>
      <c r="D822" s="410">
        <v>52</v>
      </c>
      <c r="E822" s="415">
        <v>9.8000000000000007</v>
      </c>
      <c r="F822" s="415">
        <v>14.4</v>
      </c>
      <c r="G822" s="1566" t="s">
        <v>3340</v>
      </c>
      <c r="H822" s="1567"/>
      <c r="I822" s="1567"/>
      <c r="J822" s="1567"/>
      <c r="K822" s="1568"/>
      <c r="L822" s="416">
        <v>38.840000000000003</v>
      </c>
      <c r="M822" s="416">
        <v>39</v>
      </c>
      <c r="N822" s="416">
        <v>48.25</v>
      </c>
      <c r="O822" s="416"/>
      <c r="P822" s="416"/>
      <c r="Q822" s="416"/>
      <c r="R822" s="416" t="s">
        <v>4150</v>
      </c>
      <c r="S822" s="416">
        <v>56</v>
      </c>
      <c r="T822" s="102" t="s">
        <v>23</v>
      </c>
      <c r="U822" s="416" t="s">
        <v>4320</v>
      </c>
      <c r="V822" s="928"/>
      <c r="CM822" s="342"/>
      <c r="CN822" s="342"/>
      <c r="CO822" s="342"/>
      <c r="CP822" s="342"/>
      <c r="CQ822" s="342"/>
      <c r="CR822" s="342"/>
      <c r="CS822" s="342"/>
      <c r="CT822" s="342"/>
      <c r="CU822" s="342"/>
      <c r="CV822" s="342"/>
      <c r="CW822" s="342"/>
      <c r="CX822" s="342"/>
      <c r="CY822" s="342"/>
    </row>
    <row r="823" spans="1:103" s="343" customFormat="1" ht="34.5" customHeight="1" x14ac:dyDescent="0.25">
      <c r="A823" s="343">
        <v>0</v>
      </c>
      <c r="B823" s="1223">
        <v>45011</v>
      </c>
      <c r="C823" s="103">
        <v>0.97916666666666663</v>
      </c>
      <c r="D823" s="410">
        <v>52</v>
      </c>
      <c r="E823" s="415">
        <v>11.4</v>
      </c>
      <c r="F823" s="415">
        <v>15.7</v>
      </c>
      <c r="G823" s="1566" t="s">
        <v>3340</v>
      </c>
      <c r="H823" s="1567"/>
      <c r="I823" s="1567"/>
      <c r="J823" s="1567"/>
      <c r="K823" s="1568"/>
      <c r="L823" s="416">
        <v>38.28</v>
      </c>
      <c r="M823" s="416">
        <v>39</v>
      </c>
      <c r="N823" s="416">
        <v>55.52</v>
      </c>
      <c r="O823" s="416"/>
      <c r="P823" s="416"/>
      <c r="Q823" s="416"/>
      <c r="R823" s="416" t="s">
        <v>5207</v>
      </c>
      <c r="S823" s="416">
        <v>61</v>
      </c>
      <c r="T823" s="102" t="s">
        <v>23</v>
      </c>
      <c r="U823" s="416" t="s">
        <v>4320</v>
      </c>
      <c r="V823" s="928"/>
      <c r="CM823" s="342"/>
      <c r="CN823" s="342"/>
      <c r="CO823" s="342"/>
      <c r="CP823" s="342"/>
      <c r="CQ823" s="342"/>
      <c r="CR823" s="342"/>
      <c r="CS823" s="342"/>
      <c r="CT823" s="342"/>
      <c r="CU823" s="342"/>
      <c r="CV823" s="342"/>
      <c r="CW823" s="342"/>
      <c r="CX823" s="342"/>
      <c r="CY823" s="342"/>
    </row>
    <row r="824" spans="1:103" s="343" customFormat="1" ht="34.5" customHeight="1" x14ac:dyDescent="0.25">
      <c r="A824" s="343">
        <v>0</v>
      </c>
      <c r="B824" s="1224">
        <v>45012</v>
      </c>
      <c r="C824" s="103">
        <v>0.97916666666666663</v>
      </c>
      <c r="D824" s="410">
        <v>52</v>
      </c>
      <c r="E824" s="415">
        <v>10.1</v>
      </c>
      <c r="F824" s="415">
        <v>14.8</v>
      </c>
      <c r="G824" s="1566" t="s">
        <v>3340</v>
      </c>
      <c r="H824" s="1567"/>
      <c r="I824" s="1567"/>
      <c r="J824" s="1567"/>
      <c r="K824" s="1568"/>
      <c r="L824" s="416">
        <v>37</v>
      </c>
      <c r="M824" s="416">
        <v>38</v>
      </c>
      <c r="N824" s="416">
        <v>58.27</v>
      </c>
      <c r="O824" s="416"/>
      <c r="P824" s="416"/>
      <c r="Q824" s="416"/>
      <c r="R824" s="416" t="s">
        <v>4418</v>
      </c>
      <c r="S824" s="416">
        <v>57.5</v>
      </c>
      <c r="T824" s="102" t="s">
        <v>23</v>
      </c>
      <c r="U824" s="416" t="s">
        <v>4320</v>
      </c>
      <c r="V824" s="928"/>
      <c r="CM824" s="342"/>
      <c r="CN824" s="342"/>
      <c r="CO824" s="342"/>
      <c r="CP824" s="342"/>
      <c r="CQ824" s="342"/>
      <c r="CR824" s="342"/>
      <c r="CS824" s="342"/>
      <c r="CT824" s="342"/>
      <c r="CU824" s="342"/>
      <c r="CV824" s="342"/>
      <c r="CW824" s="342"/>
      <c r="CX824" s="342"/>
      <c r="CY824" s="342"/>
    </row>
    <row r="825" spans="1:103" s="343" customFormat="1" ht="34.5" customHeight="1" x14ac:dyDescent="0.25">
      <c r="A825" s="343">
        <v>0</v>
      </c>
      <c r="B825" s="1226">
        <v>45013</v>
      </c>
      <c r="C825" s="103">
        <v>0.91666666666666663</v>
      </c>
      <c r="D825" s="410">
        <v>52</v>
      </c>
      <c r="E825" s="415">
        <v>10.1</v>
      </c>
      <c r="F825" s="415">
        <v>14.8</v>
      </c>
      <c r="G825" s="1566" t="s">
        <v>3340</v>
      </c>
      <c r="H825" s="1567"/>
      <c r="I825" s="1567"/>
      <c r="J825" s="1567"/>
      <c r="K825" s="1568"/>
      <c r="L825" s="416">
        <v>37</v>
      </c>
      <c r="M825" s="416">
        <v>38</v>
      </c>
      <c r="N825" s="416">
        <v>58.27</v>
      </c>
      <c r="O825" s="416"/>
      <c r="P825" s="416"/>
      <c r="Q825" s="416"/>
      <c r="R825" s="416" t="s">
        <v>4418</v>
      </c>
      <c r="S825" s="416">
        <v>57.5</v>
      </c>
      <c r="T825" s="102" t="s">
        <v>23</v>
      </c>
      <c r="U825" s="416" t="s">
        <v>4320</v>
      </c>
      <c r="V825" s="928" t="s">
        <v>415</v>
      </c>
      <c r="CM825" s="342"/>
      <c r="CN825" s="342"/>
      <c r="CO825" s="342"/>
      <c r="CP825" s="342"/>
      <c r="CQ825" s="342"/>
      <c r="CR825" s="342"/>
      <c r="CS825" s="342"/>
      <c r="CT825" s="342"/>
      <c r="CU825" s="342"/>
      <c r="CV825" s="342"/>
      <c r="CW825" s="342"/>
      <c r="CX825" s="342"/>
      <c r="CY825" s="342"/>
    </row>
    <row r="826" spans="1:103" s="343" customFormat="1" ht="34.5" customHeight="1" x14ac:dyDescent="0.25">
      <c r="A826" s="343">
        <v>0</v>
      </c>
      <c r="B826" s="1228">
        <v>45014</v>
      </c>
      <c r="C826" s="103">
        <v>0.91666666666666663</v>
      </c>
      <c r="D826" s="410">
        <v>52</v>
      </c>
      <c r="E826" s="415">
        <v>11.9</v>
      </c>
      <c r="F826" s="415">
        <v>16.2</v>
      </c>
      <c r="G826" s="1566" t="s">
        <v>3340</v>
      </c>
      <c r="H826" s="1567"/>
      <c r="I826" s="1567"/>
      <c r="J826" s="1567"/>
      <c r="K826" s="1568"/>
      <c r="L826" s="416">
        <v>35.97</v>
      </c>
      <c r="M826" s="416">
        <v>37</v>
      </c>
      <c r="N826" s="416">
        <v>59.23</v>
      </c>
      <c r="O826" s="416"/>
      <c r="P826" s="416"/>
      <c r="Q826" s="416"/>
      <c r="R826" s="416" t="s">
        <v>4011</v>
      </c>
      <c r="S826" s="416">
        <v>63</v>
      </c>
      <c r="T826" s="102" t="s">
        <v>23</v>
      </c>
      <c r="U826" s="416" t="s">
        <v>4320</v>
      </c>
      <c r="V826" s="928"/>
      <c r="CM826" s="342"/>
      <c r="CN826" s="342"/>
      <c r="CO826" s="342"/>
      <c r="CP826" s="342"/>
      <c r="CQ826" s="342"/>
      <c r="CR826" s="342"/>
      <c r="CS826" s="342"/>
      <c r="CT826" s="342"/>
      <c r="CU826" s="342"/>
      <c r="CV826" s="342"/>
      <c r="CW826" s="342"/>
      <c r="CX826" s="342"/>
      <c r="CY826" s="342"/>
    </row>
    <row r="827" spans="1:103" s="343" customFormat="1" ht="34.5" customHeight="1" x14ac:dyDescent="0.25">
      <c r="A827" s="343">
        <v>0</v>
      </c>
      <c r="B827" s="1231">
        <v>45015</v>
      </c>
      <c r="C827" s="103">
        <v>0.91666666666666663</v>
      </c>
      <c r="D827" s="410">
        <v>52</v>
      </c>
      <c r="E827" s="415">
        <v>9.3000000000000007</v>
      </c>
      <c r="F827" s="415">
        <v>14.1</v>
      </c>
      <c r="G827" s="1566" t="s">
        <v>3340</v>
      </c>
      <c r="H827" s="1567"/>
      <c r="I827" s="1567"/>
      <c r="J827" s="1567"/>
      <c r="K827" s="1568"/>
      <c r="L827" s="416">
        <v>38.08</v>
      </c>
      <c r="M827" s="416">
        <v>38</v>
      </c>
      <c r="N827" s="416">
        <v>52.11</v>
      </c>
      <c r="O827" s="416"/>
      <c r="P827" s="416"/>
      <c r="Q827" s="416"/>
      <c r="R827" s="416" t="s">
        <v>4989</v>
      </c>
      <c r="S827" s="416">
        <v>54.8</v>
      </c>
      <c r="T827" s="102" t="s">
        <v>23</v>
      </c>
      <c r="U827" s="416" t="s">
        <v>4320</v>
      </c>
      <c r="V827" s="928"/>
      <c r="CM827" s="342"/>
      <c r="CN827" s="342"/>
      <c r="CO827" s="342"/>
      <c r="CP827" s="342"/>
      <c r="CQ827" s="342"/>
      <c r="CR827" s="342"/>
      <c r="CS827" s="342"/>
      <c r="CT827" s="342"/>
      <c r="CU827" s="342"/>
      <c r="CV827" s="342"/>
      <c r="CW827" s="342"/>
      <c r="CX827" s="342"/>
      <c r="CY827" s="342"/>
    </row>
    <row r="828" spans="1:103" s="343" customFormat="1" ht="34.5" customHeight="1" x14ac:dyDescent="0.25">
      <c r="A828" s="343">
        <v>0</v>
      </c>
      <c r="B828" s="1233">
        <v>45016</v>
      </c>
      <c r="C828" s="103">
        <v>0.91666666666666663</v>
      </c>
      <c r="D828" s="410">
        <v>52</v>
      </c>
      <c r="E828" s="415">
        <v>9.4</v>
      </c>
      <c r="F828" s="415">
        <v>14.2</v>
      </c>
      <c r="G828" s="1566" t="s">
        <v>3340</v>
      </c>
      <c r="H828" s="1567"/>
      <c r="I828" s="1567"/>
      <c r="J828" s="1567"/>
      <c r="K828" s="1568"/>
      <c r="L828" s="416">
        <v>38.31</v>
      </c>
      <c r="M828" s="416">
        <v>38</v>
      </c>
      <c r="N828" s="416">
        <v>57.74</v>
      </c>
      <c r="O828" s="416"/>
      <c r="P828" s="416"/>
      <c r="Q828" s="416"/>
      <c r="R828" s="416" t="s">
        <v>4087</v>
      </c>
      <c r="S828" s="416">
        <v>55.2</v>
      </c>
      <c r="T828" s="102" t="s">
        <v>23</v>
      </c>
      <c r="U828" s="416" t="s">
        <v>4320</v>
      </c>
      <c r="V828" s="928"/>
      <c r="CM828" s="342"/>
      <c r="CN828" s="342"/>
      <c r="CO828" s="342"/>
      <c r="CP828" s="342"/>
      <c r="CQ828" s="342"/>
      <c r="CR828" s="342"/>
      <c r="CS828" s="342"/>
      <c r="CT828" s="342"/>
      <c r="CU828" s="342"/>
      <c r="CV828" s="342"/>
      <c r="CW828" s="342"/>
      <c r="CX828" s="342"/>
      <c r="CY828" s="342"/>
    </row>
    <row r="829" spans="1:103" s="343" customFormat="1" ht="34.5" customHeight="1" x14ac:dyDescent="0.25">
      <c r="A829" s="343">
        <v>0</v>
      </c>
      <c r="B829" s="1236">
        <v>45017</v>
      </c>
      <c r="C829" s="103">
        <v>0.95833333333333337</v>
      </c>
      <c r="D829" s="410">
        <v>52</v>
      </c>
      <c r="E829" s="415">
        <v>9.6</v>
      </c>
      <c r="F829" s="415">
        <v>14.3</v>
      </c>
      <c r="G829" s="1566" t="s">
        <v>3340</v>
      </c>
      <c r="H829" s="1567"/>
      <c r="I829" s="1567"/>
      <c r="J829" s="1567"/>
      <c r="K829" s="1568"/>
      <c r="L829" s="416">
        <v>38.33</v>
      </c>
      <c r="M829" s="416">
        <v>38</v>
      </c>
      <c r="N829" s="416">
        <v>58.69</v>
      </c>
      <c r="O829" s="416"/>
      <c r="P829" s="416"/>
      <c r="Q829" s="416"/>
      <c r="R829" s="416" t="s">
        <v>4025</v>
      </c>
      <c r="S829" s="416">
        <v>55.6</v>
      </c>
      <c r="T829" s="102" t="s">
        <v>23</v>
      </c>
      <c r="U829" s="416" t="s">
        <v>4320</v>
      </c>
      <c r="V829" s="928"/>
      <c r="CM829" s="342"/>
      <c r="CN829" s="342"/>
      <c r="CO829" s="342"/>
      <c r="CP829" s="342"/>
      <c r="CQ829" s="342"/>
      <c r="CR829" s="342"/>
      <c r="CS829" s="342"/>
      <c r="CT829" s="342"/>
      <c r="CU829" s="342"/>
      <c r="CV829" s="342"/>
      <c r="CW829" s="342"/>
      <c r="CX829" s="342"/>
      <c r="CY829" s="342"/>
    </row>
    <row r="830" spans="1:103" s="343" customFormat="1" ht="34.5" customHeight="1" x14ac:dyDescent="0.25">
      <c r="A830" s="343">
        <v>0</v>
      </c>
      <c r="B830" s="1238">
        <v>45018</v>
      </c>
      <c r="C830" s="103">
        <v>0.91666666666666663</v>
      </c>
      <c r="D830" s="410">
        <v>52</v>
      </c>
      <c r="E830" s="415">
        <v>10.7</v>
      </c>
      <c r="F830" s="415">
        <v>14.7</v>
      </c>
      <c r="G830" s="1566" t="s">
        <v>3340</v>
      </c>
      <c r="H830" s="1567"/>
      <c r="I830" s="1567"/>
      <c r="J830" s="1567"/>
      <c r="K830" s="1568"/>
      <c r="L830" s="416">
        <v>37.39</v>
      </c>
      <c r="M830" s="416">
        <v>38</v>
      </c>
      <c r="N830" s="416">
        <v>47.41</v>
      </c>
      <c r="O830" s="416"/>
      <c r="P830" s="416"/>
      <c r="Q830" s="416"/>
      <c r="R830" s="416" t="s">
        <v>4356</v>
      </c>
      <c r="S830" s="416">
        <v>56.4</v>
      </c>
      <c r="T830" s="102" t="s">
        <v>23</v>
      </c>
      <c r="U830" s="416" t="s">
        <v>4320</v>
      </c>
      <c r="V830" s="928"/>
      <c r="CM830" s="342"/>
      <c r="CN830" s="342"/>
      <c r="CO830" s="342"/>
      <c r="CP830" s="342"/>
      <c r="CQ830" s="342"/>
      <c r="CR830" s="342"/>
      <c r="CS830" s="342"/>
      <c r="CT830" s="342"/>
      <c r="CU830" s="342"/>
      <c r="CV830" s="342"/>
      <c r="CW830" s="342"/>
      <c r="CX830" s="342"/>
      <c r="CY830" s="342"/>
    </row>
    <row r="831" spans="1:103" s="343" customFormat="1" ht="34.5" customHeight="1" x14ac:dyDescent="0.25">
      <c r="A831" s="343">
        <v>0</v>
      </c>
      <c r="B831" s="1240">
        <v>45019</v>
      </c>
      <c r="C831" s="103">
        <v>0.91666666666666663</v>
      </c>
      <c r="D831" s="410">
        <v>52</v>
      </c>
      <c r="E831" s="415">
        <v>10</v>
      </c>
      <c r="F831" s="415">
        <v>14.6</v>
      </c>
      <c r="G831" s="1566" t="s">
        <v>3340</v>
      </c>
      <c r="H831" s="1567"/>
      <c r="I831" s="1567"/>
      <c r="J831" s="1567"/>
      <c r="K831" s="1568"/>
      <c r="L831" s="416">
        <v>37.71</v>
      </c>
      <c r="M831" s="416">
        <v>38</v>
      </c>
      <c r="N831" s="416">
        <v>58.69</v>
      </c>
      <c r="O831" s="416"/>
      <c r="P831" s="416"/>
      <c r="Q831" s="416"/>
      <c r="R831" s="416" t="s">
        <v>4123</v>
      </c>
      <c r="S831" s="416">
        <v>56.8</v>
      </c>
      <c r="T831" s="102" t="s">
        <v>23</v>
      </c>
      <c r="U831" s="416" t="s">
        <v>4320</v>
      </c>
      <c r="V831" s="928"/>
      <c r="CM831" s="342"/>
      <c r="CN831" s="342"/>
      <c r="CO831" s="342"/>
      <c r="CP831" s="342"/>
      <c r="CQ831" s="342"/>
      <c r="CR831" s="342"/>
      <c r="CS831" s="342"/>
      <c r="CT831" s="342"/>
      <c r="CU831" s="342"/>
      <c r="CV831" s="342"/>
      <c r="CW831" s="342"/>
      <c r="CX831" s="342"/>
      <c r="CY831" s="342"/>
    </row>
    <row r="832" spans="1:103" s="343" customFormat="1" ht="34.5" customHeight="1" x14ac:dyDescent="0.25">
      <c r="A832" s="343">
        <v>0</v>
      </c>
      <c r="B832" s="1241">
        <v>45020</v>
      </c>
      <c r="C832" s="103">
        <v>0.95833333333333337</v>
      </c>
      <c r="D832" s="410">
        <v>52</v>
      </c>
      <c r="E832" s="415">
        <v>9.4</v>
      </c>
      <c r="F832" s="415">
        <v>14.2</v>
      </c>
      <c r="G832" s="1566" t="s">
        <v>3340</v>
      </c>
      <c r="H832" s="1567"/>
      <c r="I832" s="1567"/>
      <c r="J832" s="1567"/>
      <c r="K832" s="1568"/>
      <c r="L832" s="416">
        <v>38.83</v>
      </c>
      <c r="M832" s="416">
        <v>38</v>
      </c>
      <c r="N832" s="416">
        <v>57.46</v>
      </c>
      <c r="O832" s="416"/>
      <c r="P832" s="416"/>
      <c r="Q832" s="416"/>
      <c r="R832" s="416" t="s">
        <v>4144</v>
      </c>
      <c r="S832" s="416">
        <v>55.2</v>
      </c>
      <c r="T832" s="102" t="s">
        <v>23</v>
      </c>
      <c r="U832" s="416" t="s">
        <v>4320</v>
      </c>
      <c r="V832" s="928"/>
      <c r="CM832" s="342"/>
      <c r="CN832" s="342"/>
      <c r="CO832" s="342"/>
      <c r="CP832" s="342"/>
      <c r="CQ832" s="342"/>
      <c r="CR832" s="342"/>
      <c r="CS832" s="342"/>
      <c r="CT832" s="342"/>
      <c r="CU832" s="342"/>
      <c r="CV832" s="342"/>
      <c r="CW832" s="342"/>
      <c r="CX832" s="342"/>
      <c r="CY832" s="342"/>
    </row>
    <row r="833" spans="1:103" s="343" customFormat="1" ht="34.5" customHeight="1" x14ac:dyDescent="0.25">
      <c r="A833" s="343">
        <v>0</v>
      </c>
      <c r="B833" s="1242">
        <v>45021</v>
      </c>
      <c r="C833" s="103">
        <v>0.95833333333333337</v>
      </c>
      <c r="D833" s="410">
        <v>53</v>
      </c>
      <c r="E833" s="415">
        <v>9.5</v>
      </c>
      <c r="F833" s="415">
        <v>14.3</v>
      </c>
      <c r="G833" s="1566" t="s">
        <v>3340</v>
      </c>
      <c r="H833" s="1567"/>
      <c r="I833" s="1567"/>
      <c r="J833" s="1567"/>
      <c r="K833" s="1568"/>
      <c r="L833" s="416">
        <v>42.14</v>
      </c>
      <c r="M833" s="416">
        <v>38</v>
      </c>
      <c r="N833" s="416">
        <v>53.6</v>
      </c>
      <c r="O833" s="416"/>
      <c r="P833" s="416"/>
      <c r="Q833" s="416"/>
      <c r="R833" s="416" t="s">
        <v>4025</v>
      </c>
      <c r="S833" s="416">
        <v>55.6</v>
      </c>
      <c r="T833" s="102" t="s">
        <v>23</v>
      </c>
      <c r="U833" s="416" t="s">
        <v>4320</v>
      </c>
      <c r="V833" s="928" t="s">
        <v>5059</v>
      </c>
      <c r="CM833" s="342"/>
      <c r="CN833" s="342"/>
      <c r="CO833" s="342"/>
      <c r="CP833" s="342"/>
      <c r="CQ833" s="342"/>
      <c r="CR833" s="342"/>
      <c r="CS833" s="342"/>
      <c r="CT833" s="342"/>
      <c r="CU833" s="342"/>
      <c r="CV833" s="342"/>
      <c r="CW833" s="342"/>
      <c r="CX833" s="342"/>
      <c r="CY833" s="342"/>
    </row>
    <row r="834" spans="1:103" s="343" customFormat="1" ht="34.5" customHeight="1" x14ac:dyDescent="0.25">
      <c r="A834" s="343">
        <v>0</v>
      </c>
      <c r="B834" s="1243">
        <v>45022</v>
      </c>
      <c r="C834" s="103">
        <v>0.91666666666666663</v>
      </c>
      <c r="D834" s="410">
        <v>52</v>
      </c>
      <c r="E834" s="415">
        <v>9.4</v>
      </c>
      <c r="F834" s="415">
        <v>14.2</v>
      </c>
      <c r="G834" s="1566" t="s">
        <v>3340</v>
      </c>
      <c r="H834" s="1567"/>
      <c r="I834" s="1567"/>
      <c r="J834" s="1567"/>
      <c r="K834" s="1568"/>
      <c r="L834" s="416">
        <v>38.97</v>
      </c>
      <c r="M834" s="416">
        <v>38</v>
      </c>
      <c r="N834" s="416">
        <v>54.64</v>
      </c>
      <c r="O834" s="416"/>
      <c r="P834" s="416"/>
      <c r="Q834" s="416"/>
      <c r="R834" s="416" t="s">
        <v>2811</v>
      </c>
      <c r="S834" s="416">
        <v>55.2</v>
      </c>
      <c r="T834" s="102" t="s">
        <v>23</v>
      </c>
      <c r="U834" s="416" t="s">
        <v>4320</v>
      </c>
      <c r="V834" s="928" t="s">
        <v>5304</v>
      </c>
      <c r="CM834" s="342"/>
      <c r="CN834" s="342"/>
      <c r="CO834" s="342"/>
      <c r="CP834" s="342"/>
      <c r="CQ834" s="342"/>
      <c r="CR834" s="342"/>
      <c r="CS834" s="342"/>
      <c r="CT834" s="342"/>
      <c r="CU834" s="342"/>
      <c r="CV834" s="342"/>
      <c r="CW834" s="342"/>
      <c r="CX834" s="342"/>
      <c r="CY834" s="342"/>
    </row>
    <row r="835" spans="1:103" s="343" customFormat="1" ht="34.5" customHeight="1" x14ac:dyDescent="0.25">
      <c r="A835" s="343">
        <v>0</v>
      </c>
      <c r="B835" s="1245">
        <v>45023</v>
      </c>
      <c r="C835" s="103">
        <v>0.95833333333333337</v>
      </c>
      <c r="D835" s="1246">
        <v>53</v>
      </c>
      <c r="E835" s="1247">
        <v>10.4</v>
      </c>
      <c r="F835" s="1247">
        <v>15</v>
      </c>
      <c r="G835" s="1565" t="s">
        <v>3340</v>
      </c>
      <c r="H835" s="1565"/>
      <c r="I835" s="1565"/>
      <c r="J835" s="1565"/>
      <c r="K835" s="1565"/>
      <c r="L835" s="101">
        <v>37.67</v>
      </c>
      <c r="M835" s="101">
        <v>40</v>
      </c>
      <c r="N835" s="101">
        <v>61</v>
      </c>
      <c r="O835" s="101"/>
      <c r="P835" s="101"/>
      <c r="Q835" s="101"/>
      <c r="R835" s="101" t="s">
        <v>3215</v>
      </c>
      <c r="S835" s="101">
        <v>58.3</v>
      </c>
      <c r="T835" s="102" t="s">
        <v>23</v>
      </c>
      <c r="U835" s="101" t="s">
        <v>4320</v>
      </c>
      <c r="V835" s="928" t="s">
        <v>5314</v>
      </c>
      <c r="CM835" s="342"/>
      <c r="CN835" s="342"/>
      <c r="CO835" s="342"/>
      <c r="CP835" s="342"/>
      <c r="CQ835" s="342"/>
      <c r="CR835" s="342"/>
      <c r="CS835" s="342"/>
      <c r="CT835" s="342"/>
      <c r="CU835" s="342"/>
      <c r="CV835" s="342"/>
      <c r="CW835" s="342"/>
      <c r="CX835" s="342"/>
      <c r="CY835" s="342"/>
    </row>
    <row r="836" spans="1:103" s="343" customFormat="1" ht="34.5" customHeight="1" x14ac:dyDescent="0.25">
      <c r="A836" s="343">
        <v>0</v>
      </c>
      <c r="B836" s="1245">
        <v>45024</v>
      </c>
      <c r="C836" s="103">
        <v>0.91666666666666663</v>
      </c>
      <c r="D836" s="1246">
        <v>53</v>
      </c>
      <c r="E836" s="1247">
        <v>10.8</v>
      </c>
      <c r="F836" s="1247">
        <v>15.3</v>
      </c>
      <c r="G836" s="1565" t="s">
        <v>3340</v>
      </c>
      <c r="H836" s="1565"/>
      <c r="I836" s="1565"/>
      <c r="J836" s="1565"/>
      <c r="K836" s="1565"/>
      <c r="L836" s="1248">
        <v>33.72</v>
      </c>
      <c r="M836" s="1248">
        <v>38</v>
      </c>
      <c r="N836" s="1248">
        <v>63.52</v>
      </c>
      <c r="O836" s="1248"/>
      <c r="P836" s="1248"/>
      <c r="Q836" s="1248"/>
      <c r="R836" s="1248" t="s">
        <v>5323</v>
      </c>
      <c r="S836" s="1248">
        <v>59.5</v>
      </c>
      <c r="T836" s="102" t="s">
        <v>23</v>
      </c>
      <c r="U836" s="1248" t="s">
        <v>4320</v>
      </c>
      <c r="V836" s="928" t="s">
        <v>5324</v>
      </c>
      <c r="CM836" s="342"/>
      <c r="CN836" s="342"/>
      <c r="CO836" s="342"/>
      <c r="CP836" s="342"/>
      <c r="CQ836" s="342"/>
      <c r="CR836" s="342"/>
      <c r="CS836" s="342"/>
      <c r="CT836" s="342"/>
      <c r="CU836" s="342"/>
      <c r="CV836" s="342"/>
      <c r="CW836" s="342"/>
      <c r="CX836" s="342"/>
      <c r="CY836" s="342"/>
    </row>
    <row r="837" spans="1:103" s="343" customFormat="1" ht="34.5" customHeight="1" x14ac:dyDescent="0.25">
      <c r="A837" s="343">
        <v>0</v>
      </c>
      <c r="B837" s="1245">
        <v>45025</v>
      </c>
      <c r="C837" s="103">
        <v>0.91666666666666663</v>
      </c>
      <c r="D837" s="1246">
        <v>53</v>
      </c>
      <c r="E837" s="1247">
        <v>12</v>
      </c>
      <c r="F837" s="1247">
        <v>16.2</v>
      </c>
      <c r="G837" s="1565" t="s">
        <v>3340</v>
      </c>
      <c r="H837" s="1565"/>
      <c r="I837" s="1565"/>
      <c r="J837" s="1565"/>
      <c r="K837" s="1565"/>
      <c r="L837" s="1250">
        <v>37.840000000000003</v>
      </c>
      <c r="M837" s="1250">
        <v>40</v>
      </c>
      <c r="N837" s="1250">
        <v>60.79</v>
      </c>
      <c r="O837" s="1250"/>
      <c r="P837" s="1250"/>
      <c r="Q837" s="1250"/>
      <c r="R837" s="1250" t="s">
        <v>4011</v>
      </c>
      <c r="S837" s="1250">
        <v>63</v>
      </c>
      <c r="T837" s="102" t="s">
        <v>23</v>
      </c>
      <c r="U837" s="1250" t="s">
        <v>4320</v>
      </c>
      <c r="V837" s="928"/>
      <c r="CM837" s="342"/>
      <c r="CN837" s="342"/>
      <c r="CO837" s="342"/>
      <c r="CP837" s="342"/>
      <c r="CQ837" s="342"/>
      <c r="CR837" s="342"/>
      <c r="CS837" s="342"/>
      <c r="CT837" s="342"/>
      <c r="CU837" s="342"/>
      <c r="CV837" s="342"/>
      <c r="CW837" s="342"/>
      <c r="CX837" s="342"/>
      <c r="CY837" s="342"/>
    </row>
    <row r="838" spans="1:103" s="343" customFormat="1" ht="34.5" customHeight="1" x14ac:dyDescent="0.25">
      <c r="A838" s="343">
        <v>0</v>
      </c>
      <c r="B838" s="1245">
        <v>45026</v>
      </c>
      <c r="C838" s="103">
        <v>0.79166666666666663</v>
      </c>
      <c r="D838" s="1246">
        <v>53.5</v>
      </c>
      <c r="E838" s="1247">
        <v>9.9</v>
      </c>
      <c r="F838" s="1247">
        <v>14.7</v>
      </c>
      <c r="G838" s="1565" t="s">
        <v>3340</v>
      </c>
      <c r="H838" s="1565"/>
      <c r="I838" s="1565"/>
      <c r="J838" s="1565"/>
      <c r="K838" s="1565"/>
      <c r="L838" s="1252">
        <v>36.770000000000003</v>
      </c>
      <c r="M838" s="1252">
        <v>39</v>
      </c>
      <c r="N838" s="1252">
        <v>60.26</v>
      </c>
      <c r="O838" s="1252"/>
      <c r="P838" s="1252"/>
      <c r="Q838" s="1252"/>
      <c r="R838" s="1252" t="s">
        <v>4123</v>
      </c>
      <c r="S838" s="1252">
        <v>57.1</v>
      </c>
      <c r="T838" s="102" t="s">
        <v>23</v>
      </c>
      <c r="U838" s="1252" t="s">
        <v>4320</v>
      </c>
      <c r="V838" s="928" t="s">
        <v>5348</v>
      </c>
      <c r="CM838" s="342"/>
      <c r="CN838" s="342"/>
      <c r="CO838" s="342"/>
      <c r="CP838" s="342"/>
      <c r="CQ838" s="342"/>
      <c r="CR838" s="342"/>
      <c r="CS838" s="342"/>
      <c r="CT838" s="342"/>
      <c r="CU838" s="342"/>
      <c r="CV838" s="342"/>
      <c r="CW838" s="342"/>
      <c r="CX838" s="342"/>
      <c r="CY838" s="342"/>
    </row>
    <row r="839" spans="1:103" s="343" customFormat="1" ht="34.5" customHeight="1" x14ac:dyDescent="0.25">
      <c r="A839" s="343">
        <v>0</v>
      </c>
      <c r="B839" s="1245">
        <v>45027</v>
      </c>
      <c r="C839" s="103">
        <v>0.91666666666666663</v>
      </c>
      <c r="D839" s="1246">
        <v>54</v>
      </c>
      <c r="E839" s="1247">
        <v>11.9</v>
      </c>
      <c r="F839" s="1247">
        <v>16.3</v>
      </c>
      <c r="G839" s="1565" t="s">
        <v>3340</v>
      </c>
      <c r="H839" s="1565"/>
      <c r="I839" s="1565"/>
      <c r="J839" s="1565"/>
      <c r="K839" s="1565"/>
      <c r="L839" s="1253">
        <v>37.130000000000003</v>
      </c>
      <c r="M839" s="1253">
        <v>39</v>
      </c>
      <c r="N839" s="1253">
        <v>64.510000000000005</v>
      </c>
      <c r="O839" s="1253"/>
      <c r="P839" s="1253"/>
      <c r="Q839" s="1253"/>
      <c r="R839" s="1253" t="s">
        <v>5353</v>
      </c>
      <c r="S839" s="1253">
        <v>63.4</v>
      </c>
      <c r="T839" s="102" t="s">
        <v>23</v>
      </c>
      <c r="U839" s="1253" t="s">
        <v>4320</v>
      </c>
      <c r="V839" s="928" t="s">
        <v>5354</v>
      </c>
      <c r="CM839" s="342"/>
      <c r="CN839" s="342"/>
      <c r="CO839" s="342"/>
      <c r="CP839" s="342"/>
      <c r="CQ839" s="342"/>
      <c r="CR839" s="342"/>
      <c r="CS839" s="342"/>
      <c r="CT839" s="342"/>
      <c r="CU839" s="342"/>
      <c r="CV839" s="342"/>
      <c r="CW839" s="342"/>
      <c r="CX839" s="342"/>
      <c r="CY839" s="342"/>
    </row>
    <row r="840" spans="1:103" s="343" customFormat="1" ht="34.5" customHeight="1" x14ac:dyDescent="0.25">
      <c r="A840" s="343">
        <v>0</v>
      </c>
      <c r="B840" s="1245">
        <v>45028</v>
      </c>
      <c r="C840" s="103">
        <v>0.875</v>
      </c>
      <c r="D840" s="1246">
        <v>53.5</v>
      </c>
      <c r="E840" s="1247">
        <v>12.9</v>
      </c>
      <c r="F840" s="1247">
        <v>17.100000000000001</v>
      </c>
      <c r="G840" s="1565" t="s">
        <v>3340</v>
      </c>
      <c r="H840" s="1565"/>
      <c r="I840" s="1565"/>
      <c r="J840" s="1565"/>
      <c r="K840" s="1565"/>
      <c r="L840" s="1254">
        <v>36.75</v>
      </c>
      <c r="M840" s="1254">
        <v>39</v>
      </c>
      <c r="N840" s="1254">
        <v>60.45</v>
      </c>
      <c r="O840" s="1254"/>
      <c r="P840" s="1254"/>
      <c r="Q840" s="1254"/>
      <c r="R840" s="1254" t="s">
        <v>5356</v>
      </c>
      <c r="S840" s="1254">
        <v>66.5</v>
      </c>
      <c r="T840" s="102" t="s">
        <v>23</v>
      </c>
      <c r="U840" s="1254" t="s">
        <v>4320</v>
      </c>
      <c r="V840" s="928" t="s">
        <v>5503</v>
      </c>
      <c r="CM840" s="342"/>
      <c r="CN840" s="342"/>
      <c r="CO840" s="342"/>
      <c r="CP840" s="342"/>
      <c r="CQ840" s="342"/>
      <c r="CR840" s="342"/>
      <c r="CS840" s="342"/>
      <c r="CT840" s="342"/>
      <c r="CU840" s="342"/>
      <c r="CV840" s="342"/>
      <c r="CW840" s="342"/>
      <c r="CX840" s="342"/>
      <c r="CY840" s="342"/>
    </row>
    <row r="841" spans="1:103" s="343" customFormat="1" ht="34.5" customHeight="1" x14ac:dyDescent="0.25">
      <c r="A841" s="343">
        <v>0</v>
      </c>
      <c r="B841" s="1245">
        <v>45029</v>
      </c>
      <c r="C841" s="103">
        <v>0.91666666666666663</v>
      </c>
      <c r="D841" s="1246">
        <v>53.5</v>
      </c>
      <c r="E841" s="1247">
        <v>10.3</v>
      </c>
      <c r="F841" s="1247">
        <v>15</v>
      </c>
      <c r="G841" s="1565" t="s">
        <v>3340</v>
      </c>
      <c r="H841" s="1565"/>
      <c r="I841" s="1565"/>
      <c r="J841" s="1565"/>
      <c r="K841" s="1565"/>
      <c r="L841" s="1256">
        <v>37.799999999999997</v>
      </c>
      <c r="M841" s="1256">
        <v>39</v>
      </c>
      <c r="N841" s="1256">
        <v>59.46</v>
      </c>
      <c r="O841" s="1256"/>
      <c r="P841" s="1256"/>
      <c r="Q841" s="1256"/>
      <c r="R841" s="1256" t="s">
        <v>3215</v>
      </c>
      <c r="S841" s="1256">
        <v>58.3</v>
      </c>
      <c r="T841" s="102" t="s">
        <v>23</v>
      </c>
      <c r="U841" s="1256" t="s">
        <v>4320</v>
      </c>
      <c r="V841" s="928"/>
      <c r="CM841" s="342"/>
      <c r="CN841" s="342"/>
      <c r="CO841" s="342"/>
      <c r="CP841" s="342"/>
      <c r="CQ841" s="342"/>
      <c r="CR841" s="342"/>
      <c r="CS841" s="342"/>
      <c r="CT841" s="342"/>
      <c r="CU841" s="342"/>
      <c r="CV841" s="342"/>
      <c r="CW841" s="342"/>
      <c r="CX841" s="342"/>
      <c r="CY841" s="342"/>
    </row>
    <row r="842" spans="1:103" s="343" customFormat="1" ht="34.5" customHeight="1" x14ac:dyDescent="0.25">
      <c r="A842" s="343">
        <v>0</v>
      </c>
      <c r="B842" s="1245">
        <v>45030</v>
      </c>
      <c r="C842" s="103">
        <v>0.875</v>
      </c>
      <c r="D842" s="1246">
        <v>53.5</v>
      </c>
      <c r="E842" s="1247">
        <v>9.9</v>
      </c>
      <c r="F842" s="1247">
        <v>14.6</v>
      </c>
      <c r="G842" s="1565" t="s">
        <v>3340</v>
      </c>
      <c r="H842" s="1565"/>
      <c r="I842" s="1565"/>
      <c r="J842" s="1565"/>
      <c r="K842" s="1565"/>
      <c r="L842" s="1257">
        <v>38.54</v>
      </c>
      <c r="M842" s="1257">
        <v>40</v>
      </c>
      <c r="N842" s="1257">
        <v>56.71</v>
      </c>
      <c r="O842" s="1257"/>
      <c r="P842" s="1257"/>
      <c r="Q842" s="1257"/>
      <c r="R842" s="1257" t="s">
        <v>5372</v>
      </c>
      <c r="S842" s="1257">
        <v>56.8</v>
      </c>
      <c r="T842" s="102" t="s">
        <v>23</v>
      </c>
      <c r="U842" s="1257" t="s">
        <v>4320</v>
      </c>
      <c r="V842" s="928"/>
      <c r="CM842" s="342"/>
      <c r="CN842" s="342"/>
      <c r="CO842" s="342"/>
      <c r="CP842" s="342"/>
      <c r="CQ842" s="342"/>
      <c r="CR842" s="342"/>
      <c r="CS842" s="342"/>
      <c r="CT842" s="342"/>
      <c r="CU842" s="342"/>
      <c r="CV842" s="342"/>
      <c r="CW842" s="342"/>
      <c r="CX842" s="342"/>
      <c r="CY842" s="342"/>
    </row>
    <row r="843" spans="1:103" s="343" customFormat="1" ht="34.5" customHeight="1" x14ac:dyDescent="0.25">
      <c r="A843" s="343">
        <v>0</v>
      </c>
      <c r="B843" s="1245">
        <v>45031</v>
      </c>
      <c r="C843" s="103">
        <v>0.91666666666666663</v>
      </c>
      <c r="D843" s="1246">
        <v>54</v>
      </c>
      <c r="E843" s="1247">
        <v>11.4</v>
      </c>
      <c r="F843" s="1247">
        <v>15.8</v>
      </c>
      <c r="G843" s="1565" t="s">
        <v>3340</v>
      </c>
      <c r="H843" s="1565"/>
      <c r="I843" s="1565"/>
      <c r="J843" s="1565"/>
      <c r="K843" s="1565"/>
      <c r="L843" s="1258">
        <v>34.729999999999997</v>
      </c>
      <c r="M843" s="1258">
        <v>40</v>
      </c>
      <c r="N843" s="1258">
        <v>62.98</v>
      </c>
      <c r="O843" s="1258"/>
      <c r="P843" s="1258"/>
      <c r="Q843" s="1258"/>
      <c r="R843" s="1258" t="s">
        <v>2255</v>
      </c>
      <c r="S843" s="1258">
        <v>61.4</v>
      </c>
      <c r="T843" s="102" t="s">
        <v>23</v>
      </c>
      <c r="U843" s="1258" t="s">
        <v>4320</v>
      </c>
      <c r="V843" s="928" t="s">
        <v>5396</v>
      </c>
      <c r="CM843" s="342"/>
      <c r="CN843" s="342"/>
      <c r="CO843" s="342"/>
      <c r="CP843" s="342"/>
      <c r="CQ843" s="342"/>
      <c r="CR843" s="342"/>
      <c r="CS843" s="342"/>
      <c r="CT843" s="342"/>
      <c r="CU843" s="342"/>
      <c r="CV843" s="342"/>
      <c r="CW843" s="342"/>
      <c r="CX843" s="342"/>
      <c r="CY843" s="342"/>
    </row>
    <row r="844" spans="1:103" s="343" customFormat="1" ht="34.5" customHeight="1" x14ac:dyDescent="0.25">
      <c r="A844" s="343">
        <v>0</v>
      </c>
      <c r="B844" s="1245">
        <v>45032</v>
      </c>
      <c r="C844" s="103">
        <v>0.95833333333333337</v>
      </c>
      <c r="D844" s="1246">
        <v>54</v>
      </c>
      <c r="E844" s="1247">
        <v>11.5</v>
      </c>
      <c r="F844" s="1247">
        <v>15.9</v>
      </c>
      <c r="G844" s="1565" t="s">
        <v>3340</v>
      </c>
      <c r="H844" s="1565"/>
      <c r="I844" s="1565"/>
      <c r="J844" s="1565"/>
      <c r="K844" s="1565"/>
      <c r="L844" s="1260">
        <v>36.42</v>
      </c>
      <c r="M844" s="1260">
        <v>42</v>
      </c>
      <c r="N844" s="1260">
        <v>63.7</v>
      </c>
      <c r="O844" s="1260"/>
      <c r="P844" s="1260"/>
      <c r="Q844" s="1260"/>
      <c r="R844" s="1260" t="s">
        <v>5391</v>
      </c>
      <c r="S844" s="1260">
        <v>61.8</v>
      </c>
      <c r="T844" s="102" t="s">
        <v>23</v>
      </c>
      <c r="U844" s="1260" t="s">
        <v>4320</v>
      </c>
      <c r="V844" s="928" t="s">
        <v>5396</v>
      </c>
      <c r="CM844" s="342"/>
      <c r="CN844" s="342"/>
      <c r="CO844" s="342"/>
      <c r="CP844" s="342"/>
      <c r="CQ844" s="342"/>
      <c r="CR844" s="342"/>
      <c r="CS844" s="342"/>
      <c r="CT844" s="342"/>
      <c r="CU844" s="342"/>
      <c r="CV844" s="342"/>
      <c r="CW844" s="342"/>
      <c r="CX844" s="342"/>
      <c r="CY844" s="342"/>
    </row>
    <row r="845" spans="1:103" s="343" customFormat="1" ht="34.5" customHeight="1" x14ac:dyDescent="0.25">
      <c r="A845" s="343">
        <v>0</v>
      </c>
      <c r="B845" s="1245">
        <v>45033</v>
      </c>
      <c r="C845" s="103">
        <v>0.95833333333333337</v>
      </c>
      <c r="D845" s="1246">
        <v>54</v>
      </c>
      <c r="E845" s="1247">
        <v>10.5</v>
      </c>
      <c r="F845" s="1247">
        <v>15.1</v>
      </c>
      <c r="G845" s="1565" t="s">
        <v>3340</v>
      </c>
      <c r="H845" s="1565"/>
      <c r="I845" s="1565"/>
      <c r="J845" s="1565"/>
      <c r="K845" s="1565"/>
      <c r="L845" s="1261">
        <v>36.31</v>
      </c>
      <c r="M845" s="1261">
        <v>42</v>
      </c>
      <c r="N845" s="1261">
        <v>61.91</v>
      </c>
      <c r="O845" s="1261"/>
      <c r="P845" s="1261"/>
      <c r="Q845" s="1261"/>
      <c r="R845" s="1261" t="s">
        <v>5398</v>
      </c>
      <c r="S845" s="1261">
        <v>58.7</v>
      </c>
      <c r="T845" s="102" t="s">
        <v>23</v>
      </c>
      <c r="U845" s="1261" t="s">
        <v>4320</v>
      </c>
      <c r="V845" s="928" t="s">
        <v>5396</v>
      </c>
      <c r="CM845" s="342"/>
      <c r="CN845" s="342"/>
      <c r="CO845" s="342"/>
      <c r="CP845" s="342"/>
      <c r="CQ845" s="342"/>
      <c r="CR845" s="342"/>
      <c r="CS845" s="342"/>
      <c r="CT845" s="342"/>
      <c r="CU845" s="342"/>
      <c r="CV845" s="342"/>
      <c r="CW845" s="342"/>
      <c r="CX845" s="342"/>
      <c r="CY845" s="342"/>
    </row>
    <row r="846" spans="1:103" s="343" customFormat="1" ht="34.5" customHeight="1" x14ac:dyDescent="0.25">
      <c r="A846" s="343">
        <v>0</v>
      </c>
      <c r="B846" s="1245">
        <v>45034</v>
      </c>
      <c r="C846" s="103">
        <v>0.95833333333333337</v>
      </c>
      <c r="D846" s="1246">
        <v>54</v>
      </c>
      <c r="E846" s="1247">
        <v>12</v>
      </c>
      <c r="F846" s="1247">
        <v>16.3</v>
      </c>
      <c r="G846" s="1565" t="s">
        <v>3340</v>
      </c>
      <c r="H846" s="1565"/>
      <c r="I846" s="1565"/>
      <c r="J846" s="1565"/>
      <c r="K846" s="1565"/>
      <c r="L846" s="1262">
        <v>36.35</v>
      </c>
      <c r="M846" s="1262">
        <v>42</v>
      </c>
      <c r="N846" s="1262">
        <v>63.4</v>
      </c>
      <c r="O846" s="1262"/>
      <c r="P846" s="1262"/>
      <c r="Q846" s="1262"/>
      <c r="R846" s="1262" t="s">
        <v>5414</v>
      </c>
      <c r="S846" s="1262">
        <v>63.4</v>
      </c>
      <c r="T846" s="102" t="s">
        <v>23</v>
      </c>
      <c r="U846" s="1262" t="s">
        <v>4320</v>
      </c>
      <c r="V846" s="928" t="s">
        <v>5396</v>
      </c>
      <c r="CM846" s="342"/>
      <c r="CN846" s="342"/>
      <c r="CO846" s="342"/>
      <c r="CP846" s="342"/>
      <c r="CQ846" s="342"/>
      <c r="CR846" s="342"/>
      <c r="CS846" s="342"/>
      <c r="CT846" s="342"/>
      <c r="CU846" s="342"/>
      <c r="CV846" s="342"/>
      <c r="CW846" s="342"/>
      <c r="CX846" s="342"/>
      <c r="CY846" s="342"/>
    </row>
    <row r="847" spans="1:103" s="343" customFormat="1" ht="34.5" customHeight="1" x14ac:dyDescent="0.25">
      <c r="A847" s="343">
        <v>0</v>
      </c>
      <c r="B847" s="1245">
        <v>45035</v>
      </c>
      <c r="C847" s="103">
        <v>0</v>
      </c>
      <c r="D847" s="1246">
        <v>54</v>
      </c>
      <c r="E847" s="1247">
        <v>10.8</v>
      </c>
      <c r="F847" s="1247">
        <v>15.4</v>
      </c>
      <c r="G847" s="1565" t="s">
        <v>3340</v>
      </c>
      <c r="H847" s="1565"/>
      <c r="I847" s="1565"/>
      <c r="J847" s="1565"/>
      <c r="K847" s="1565"/>
      <c r="L847" s="1263">
        <v>36.54</v>
      </c>
      <c r="M847" s="1263">
        <v>42</v>
      </c>
      <c r="N847" s="1263">
        <v>62.59</v>
      </c>
      <c r="O847" s="1263"/>
      <c r="P847" s="1263"/>
      <c r="Q847" s="1263"/>
      <c r="R847" s="1263" t="s">
        <v>5424</v>
      </c>
      <c r="S847" s="1263">
        <v>59.9</v>
      </c>
      <c r="T847" s="102" t="s">
        <v>23</v>
      </c>
      <c r="U847" s="1263" t="s">
        <v>4320</v>
      </c>
      <c r="V847" s="928" t="s">
        <v>5396</v>
      </c>
      <c r="CM847" s="342"/>
      <c r="CN847" s="342"/>
      <c r="CO847" s="342"/>
      <c r="CP847" s="342"/>
      <c r="CQ847" s="342"/>
      <c r="CR847" s="342"/>
      <c r="CS847" s="342"/>
      <c r="CT847" s="342"/>
      <c r="CU847" s="342"/>
      <c r="CV847" s="342"/>
      <c r="CW847" s="342"/>
      <c r="CX847" s="342"/>
      <c r="CY847" s="342"/>
    </row>
    <row r="848" spans="1:103" s="343" customFormat="1" ht="34.5" customHeight="1" x14ac:dyDescent="0.25">
      <c r="A848" s="343">
        <v>0</v>
      </c>
      <c r="B848" s="1245">
        <v>45036</v>
      </c>
      <c r="C848" s="103">
        <v>0</v>
      </c>
      <c r="D848" s="1246">
        <v>54</v>
      </c>
      <c r="E848" s="1247">
        <v>10.7</v>
      </c>
      <c r="F848" s="1247">
        <v>15.3</v>
      </c>
      <c r="G848" s="1565" t="s">
        <v>3340</v>
      </c>
      <c r="H848" s="1565"/>
      <c r="I848" s="1565"/>
      <c r="J848" s="1565"/>
      <c r="K848" s="1565"/>
      <c r="L848" s="1264">
        <v>36.520000000000003</v>
      </c>
      <c r="M848" s="1264">
        <v>42</v>
      </c>
      <c r="N848" s="1264">
        <v>61.45</v>
      </c>
      <c r="O848" s="1264"/>
      <c r="P848" s="1264"/>
      <c r="Q848" s="1264"/>
      <c r="R848" s="1264" t="s">
        <v>5425</v>
      </c>
      <c r="S848" s="1264">
        <v>59.5</v>
      </c>
      <c r="T848" s="102" t="s">
        <v>23</v>
      </c>
      <c r="U848" s="1264" t="s">
        <v>4320</v>
      </c>
      <c r="V848" s="928" t="s">
        <v>5444</v>
      </c>
      <c r="CM848" s="342"/>
      <c r="CN848" s="342"/>
      <c r="CO848" s="342"/>
      <c r="CP848" s="342"/>
      <c r="CQ848" s="342"/>
      <c r="CR848" s="342"/>
      <c r="CS848" s="342"/>
      <c r="CT848" s="342"/>
      <c r="CU848" s="342"/>
      <c r="CV848" s="342"/>
      <c r="CW848" s="342"/>
      <c r="CX848" s="342"/>
      <c r="CY848" s="342"/>
    </row>
    <row r="849" spans="1:103" s="343" customFormat="1" ht="34.5" customHeight="1" x14ac:dyDescent="0.25">
      <c r="A849" s="343">
        <v>0</v>
      </c>
      <c r="B849" s="1245">
        <v>45037</v>
      </c>
      <c r="C849" s="103">
        <v>0.91666666666666663</v>
      </c>
      <c r="D849" s="1246">
        <v>54</v>
      </c>
      <c r="E849" s="1247">
        <v>10.4</v>
      </c>
      <c r="F849" s="1247">
        <v>15</v>
      </c>
      <c r="G849" s="1565" t="s">
        <v>3340</v>
      </c>
      <c r="H849" s="1565"/>
      <c r="I849" s="1565"/>
      <c r="J849" s="1565"/>
      <c r="K849" s="1565"/>
      <c r="L849" s="1265">
        <v>35.71</v>
      </c>
      <c r="M849" s="1265">
        <v>41</v>
      </c>
      <c r="N849" s="1265">
        <v>55.63</v>
      </c>
      <c r="O849" s="1265"/>
      <c r="P849" s="1265"/>
      <c r="Q849" s="1265"/>
      <c r="R849" s="1265" t="s">
        <v>3594</v>
      </c>
      <c r="S849" s="1265">
        <v>58.3</v>
      </c>
      <c r="T849" s="102" t="s">
        <v>23</v>
      </c>
      <c r="U849" s="1265" t="s">
        <v>4320</v>
      </c>
      <c r="V849" s="928"/>
      <c r="CM849" s="342"/>
      <c r="CN849" s="342"/>
      <c r="CO849" s="342"/>
      <c r="CP849" s="342"/>
      <c r="CQ849" s="342"/>
      <c r="CR849" s="342"/>
      <c r="CS849" s="342"/>
      <c r="CT849" s="342"/>
      <c r="CU849" s="342"/>
      <c r="CV849" s="342"/>
      <c r="CW849" s="342"/>
      <c r="CX849" s="342"/>
      <c r="CY849" s="342"/>
    </row>
    <row r="850" spans="1:103" s="343" customFormat="1" ht="34.5" customHeight="1" x14ac:dyDescent="0.25">
      <c r="A850" s="343">
        <v>0</v>
      </c>
      <c r="B850" s="1245">
        <v>45038</v>
      </c>
      <c r="C850" s="103">
        <v>0.91666666666666663</v>
      </c>
      <c r="D850" s="1246">
        <v>54</v>
      </c>
      <c r="E850" s="1247">
        <v>12.9</v>
      </c>
      <c r="F850" s="1247">
        <v>17.2</v>
      </c>
      <c r="G850" s="1565" t="s">
        <v>3340</v>
      </c>
      <c r="H850" s="1565"/>
      <c r="I850" s="1565"/>
      <c r="J850" s="1565"/>
      <c r="K850" s="1565"/>
      <c r="L850" s="1266">
        <v>38.6</v>
      </c>
      <c r="M850" s="1266">
        <v>42</v>
      </c>
      <c r="N850" s="1266">
        <v>57.32</v>
      </c>
      <c r="O850" s="1266"/>
      <c r="P850" s="1266"/>
      <c r="Q850" s="1266"/>
      <c r="R850" s="1266" t="s">
        <v>5443</v>
      </c>
      <c r="S850" s="1266">
        <v>66.900000000000006</v>
      </c>
      <c r="T850" s="102" t="s">
        <v>23</v>
      </c>
      <c r="U850" s="1266" t="s">
        <v>4320</v>
      </c>
      <c r="V850" s="928" t="s">
        <v>415</v>
      </c>
      <c r="CM850" s="342"/>
      <c r="CN850" s="342"/>
      <c r="CO850" s="342"/>
      <c r="CP850" s="342"/>
      <c r="CQ850" s="342"/>
      <c r="CR850" s="342"/>
      <c r="CS850" s="342"/>
      <c r="CT850" s="342"/>
      <c r="CU850" s="342"/>
      <c r="CV850" s="342"/>
      <c r="CW850" s="342"/>
      <c r="CX850" s="342"/>
      <c r="CY850" s="342"/>
    </row>
    <row r="851" spans="1:103" s="343" customFormat="1" ht="34.5" customHeight="1" x14ac:dyDescent="0.25">
      <c r="A851" s="343">
        <v>0</v>
      </c>
      <c r="B851" s="1245">
        <v>45039</v>
      </c>
      <c r="C851" s="103">
        <v>0.91666666666666663</v>
      </c>
      <c r="D851" s="1246">
        <v>55</v>
      </c>
      <c r="E851" s="1247">
        <v>6.8</v>
      </c>
      <c r="F851" s="1247">
        <v>12.7</v>
      </c>
      <c r="G851" s="1565" t="s">
        <v>3340</v>
      </c>
      <c r="H851" s="1565"/>
      <c r="I851" s="1565"/>
      <c r="J851" s="1565"/>
      <c r="K851" s="1565"/>
      <c r="L851" s="1267">
        <v>42.23</v>
      </c>
      <c r="M851" s="1267">
        <v>40</v>
      </c>
      <c r="N851" s="1267">
        <v>44.92</v>
      </c>
      <c r="O851" s="1267"/>
      <c r="P851" s="1267"/>
      <c r="Q851" s="1267"/>
      <c r="R851" s="1267" t="s">
        <v>5448</v>
      </c>
      <c r="S851" s="1267">
        <v>49.4</v>
      </c>
      <c r="T851" s="102" t="s">
        <v>23</v>
      </c>
      <c r="U851" s="1267" t="s">
        <v>4320</v>
      </c>
      <c r="V851" s="928" t="s">
        <v>5453</v>
      </c>
      <c r="CM851" s="342"/>
      <c r="CN851" s="342"/>
      <c r="CO851" s="342"/>
      <c r="CP851" s="342"/>
      <c r="CQ851" s="342"/>
      <c r="CR851" s="342"/>
      <c r="CS851" s="342"/>
      <c r="CT851" s="342"/>
      <c r="CU851" s="342"/>
      <c r="CV851" s="342"/>
      <c r="CW851" s="342"/>
      <c r="CX851" s="342"/>
      <c r="CY851" s="342"/>
    </row>
    <row r="852" spans="1:103" s="343" customFormat="1" ht="34.5" customHeight="1" x14ac:dyDescent="0.25">
      <c r="A852" s="343">
        <v>0</v>
      </c>
      <c r="B852" s="1245">
        <v>45040</v>
      </c>
      <c r="C852" s="103">
        <v>0.95833333333333337</v>
      </c>
      <c r="D852" s="1246">
        <v>55</v>
      </c>
      <c r="E852" s="1247">
        <v>12.8</v>
      </c>
      <c r="F852" s="1247">
        <v>17.100000000000001</v>
      </c>
      <c r="G852" s="1565" t="s">
        <v>3340</v>
      </c>
      <c r="H852" s="1565"/>
      <c r="I852" s="1565"/>
      <c r="J852" s="1565"/>
      <c r="K852" s="1565"/>
      <c r="L852" s="1268">
        <v>39.520000000000003</v>
      </c>
      <c r="M852" s="1268">
        <v>40</v>
      </c>
      <c r="N852" s="1268">
        <v>60.15</v>
      </c>
      <c r="O852" s="1268"/>
      <c r="P852" s="1268"/>
      <c r="Q852" s="1268"/>
      <c r="R852" s="1268" t="s">
        <v>5443</v>
      </c>
      <c r="S852" s="1268">
        <v>66.5</v>
      </c>
      <c r="T852" s="102" t="s">
        <v>23</v>
      </c>
      <c r="U852" s="1268" t="s">
        <v>4320</v>
      </c>
      <c r="V852" s="928" t="s">
        <v>5474</v>
      </c>
      <c r="CM852" s="342"/>
      <c r="CN852" s="342"/>
      <c r="CO852" s="342"/>
      <c r="CP852" s="342"/>
      <c r="CQ852" s="342"/>
      <c r="CR852" s="342"/>
      <c r="CS852" s="342"/>
      <c r="CT852" s="342"/>
      <c r="CU852" s="342"/>
      <c r="CV852" s="342"/>
      <c r="CW852" s="342"/>
      <c r="CX852" s="342"/>
      <c r="CY852" s="342"/>
    </row>
    <row r="853" spans="1:103" s="343" customFormat="1" ht="34.5" customHeight="1" x14ac:dyDescent="0.25">
      <c r="A853" s="343">
        <v>0</v>
      </c>
      <c r="B853" s="1245">
        <v>45041</v>
      </c>
      <c r="C853" s="103">
        <v>0.91666666666666663</v>
      </c>
      <c r="D853" s="1246">
        <v>56</v>
      </c>
      <c r="E853" s="1247">
        <v>12.8</v>
      </c>
      <c r="F853" s="1247">
        <v>17.100000000000001</v>
      </c>
      <c r="G853" s="1565" t="s">
        <v>3340</v>
      </c>
      <c r="H853" s="1565"/>
      <c r="I853" s="1565"/>
      <c r="J853" s="1565"/>
      <c r="K853" s="1565"/>
      <c r="L853" s="1271">
        <v>40.369999999999997</v>
      </c>
      <c r="M853" s="1271">
        <v>40</v>
      </c>
      <c r="N853" s="1271">
        <v>64.930000000000007</v>
      </c>
      <c r="O853" s="1271"/>
      <c r="P853" s="1271"/>
      <c r="Q853" s="1271"/>
      <c r="R853" s="1271" t="s">
        <v>5501</v>
      </c>
      <c r="S853" s="1271">
        <v>66.5</v>
      </c>
      <c r="T853" s="102" t="s">
        <v>23</v>
      </c>
      <c r="U853" s="1271" t="s">
        <v>4320</v>
      </c>
      <c r="V853" s="928" t="s">
        <v>5502</v>
      </c>
      <c r="CM853" s="342"/>
      <c r="CN853" s="342"/>
      <c r="CO853" s="342"/>
      <c r="CP853" s="342"/>
      <c r="CQ853" s="342"/>
      <c r="CR853" s="342"/>
      <c r="CS853" s="342"/>
      <c r="CT853" s="342"/>
      <c r="CU853" s="342"/>
      <c r="CV853" s="342"/>
      <c r="CW853" s="342"/>
      <c r="CX853" s="342"/>
      <c r="CY853" s="342"/>
    </row>
    <row r="854" spans="1:103" s="343" customFormat="1" ht="57.75" customHeight="1" x14ac:dyDescent="0.25">
      <c r="A854" s="343">
        <v>0</v>
      </c>
      <c r="B854" s="1245">
        <v>45042</v>
      </c>
      <c r="C854" s="103">
        <v>0.91666666666666663</v>
      </c>
      <c r="D854" s="1246">
        <v>56.5</v>
      </c>
      <c r="E854" s="1247">
        <v>13.4</v>
      </c>
      <c r="F854" s="1247">
        <v>17.600000000000001</v>
      </c>
      <c r="G854" s="1565" t="s">
        <v>3340</v>
      </c>
      <c r="H854" s="1565"/>
      <c r="I854" s="1565"/>
      <c r="J854" s="1565"/>
      <c r="K854" s="1565"/>
      <c r="L854" s="1273">
        <v>40.67</v>
      </c>
      <c r="M854" s="1273">
        <v>40</v>
      </c>
      <c r="N854" s="1273">
        <v>65.040000000000006</v>
      </c>
      <c r="O854" s="1273"/>
      <c r="P854" s="1273"/>
      <c r="Q854" s="1273"/>
      <c r="R854" s="1273" t="s">
        <v>2310</v>
      </c>
      <c r="S854" s="1273">
        <v>68.400000000000006</v>
      </c>
      <c r="T854" s="102" t="s">
        <v>23</v>
      </c>
      <c r="U854" s="1273" t="s">
        <v>4320</v>
      </c>
      <c r="V854" s="928" t="s">
        <v>5515</v>
      </c>
      <c r="CM854" s="342"/>
      <c r="CN854" s="342"/>
      <c r="CO854" s="342"/>
      <c r="CP854" s="342"/>
      <c r="CQ854" s="342"/>
      <c r="CR854" s="342"/>
      <c r="CS854" s="342"/>
      <c r="CT854" s="342"/>
      <c r="CU854" s="342"/>
      <c r="CV854" s="342"/>
      <c r="CW854" s="342"/>
      <c r="CX854" s="342"/>
      <c r="CY854" s="342"/>
    </row>
    <row r="855" spans="1:103" s="343" customFormat="1" ht="36" customHeight="1" x14ac:dyDescent="0.25">
      <c r="A855" s="343">
        <v>0</v>
      </c>
      <c r="B855" s="1245">
        <v>45043</v>
      </c>
      <c r="C855" s="103">
        <v>0.95833333333333337</v>
      </c>
      <c r="D855" s="1246">
        <v>56.5</v>
      </c>
      <c r="E855" s="1247">
        <v>12.5</v>
      </c>
      <c r="F855" s="1247">
        <v>16.899999999999999</v>
      </c>
      <c r="G855" s="1565" t="s">
        <v>3340</v>
      </c>
      <c r="H855" s="1565"/>
      <c r="I855" s="1565"/>
      <c r="J855" s="1565"/>
      <c r="K855" s="1565"/>
      <c r="L855" s="1274">
        <v>41.13</v>
      </c>
      <c r="M855" s="1274">
        <v>41</v>
      </c>
      <c r="N855" s="1274">
        <v>62.79</v>
      </c>
      <c r="O855" s="1274"/>
      <c r="P855" s="1274"/>
      <c r="Q855" s="1274"/>
      <c r="R855" s="1274" t="s">
        <v>3467</v>
      </c>
      <c r="S855" s="1274">
        <v>65.7</v>
      </c>
      <c r="T855" s="102" t="s">
        <v>23</v>
      </c>
      <c r="U855" s="1274" t="s">
        <v>4320</v>
      </c>
      <c r="V855" s="928"/>
      <c r="CM855" s="342"/>
      <c r="CN855" s="342"/>
      <c r="CO855" s="342"/>
      <c r="CP855" s="342"/>
      <c r="CQ855" s="342"/>
      <c r="CR855" s="342"/>
      <c r="CS855" s="342"/>
      <c r="CT855" s="342"/>
      <c r="CU855" s="342"/>
      <c r="CV855" s="342"/>
      <c r="CW855" s="342"/>
      <c r="CX855" s="342"/>
      <c r="CY855" s="342"/>
    </row>
    <row r="856" spans="1:103" s="343" customFormat="1" ht="36" customHeight="1" x14ac:dyDescent="0.25">
      <c r="A856" s="343">
        <v>0</v>
      </c>
      <c r="B856" s="1245">
        <v>45044</v>
      </c>
      <c r="C856" s="103">
        <v>0.95833333333333337</v>
      </c>
      <c r="D856" s="1246">
        <v>56.5</v>
      </c>
      <c r="E856" s="1247">
        <v>11.3</v>
      </c>
      <c r="F856" s="1247">
        <v>15.8</v>
      </c>
      <c r="G856" s="1565" t="s">
        <v>3340</v>
      </c>
      <c r="H856" s="1565"/>
      <c r="I856" s="1565"/>
      <c r="J856" s="1565"/>
      <c r="K856" s="1565"/>
      <c r="L856" s="1275">
        <v>41.36</v>
      </c>
      <c r="M856" s="1275">
        <v>41</v>
      </c>
      <c r="N856" s="1275">
        <v>62.67</v>
      </c>
      <c r="O856" s="1275"/>
      <c r="P856" s="1275"/>
      <c r="Q856" s="1275"/>
      <c r="R856" s="1275" t="s">
        <v>5531</v>
      </c>
      <c r="S856" s="1275">
        <v>61.4</v>
      </c>
      <c r="T856" s="102" t="s">
        <v>23</v>
      </c>
      <c r="U856" s="1275" t="s">
        <v>4320</v>
      </c>
      <c r="V856" s="928" t="s">
        <v>5532</v>
      </c>
      <c r="CM856" s="342"/>
      <c r="CN856" s="342"/>
      <c r="CO856" s="342"/>
      <c r="CP856" s="342"/>
      <c r="CQ856" s="342"/>
      <c r="CR856" s="342"/>
      <c r="CS856" s="342"/>
      <c r="CT856" s="342"/>
      <c r="CU856" s="342"/>
      <c r="CV856" s="342"/>
      <c r="CW856" s="342"/>
      <c r="CX856" s="342"/>
      <c r="CY856" s="342"/>
    </row>
    <row r="857" spans="1:103" s="343" customFormat="1" ht="36" customHeight="1" x14ac:dyDescent="0.25">
      <c r="A857" s="343">
        <v>0</v>
      </c>
      <c r="B857" s="1245">
        <v>45045</v>
      </c>
      <c r="C857" s="103">
        <v>0.91666666666666663</v>
      </c>
      <c r="D857" s="1246">
        <v>56.5</v>
      </c>
      <c r="E857" s="1247">
        <v>13.7</v>
      </c>
      <c r="F857" s="1247">
        <v>18</v>
      </c>
      <c r="G857" s="1565" t="s">
        <v>3340</v>
      </c>
      <c r="H857" s="1565"/>
      <c r="I857" s="1565"/>
      <c r="J857" s="1565"/>
      <c r="K857" s="1565"/>
      <c r="L857" s="1276">
        <v>42.69</v>
      </c>
      <c r="M857" s="1276">
        <v>42</v>
      </c>
      <c r="N857" s="1276">
        <v>60.57</v>
      </c>
      <c r="O857" s="1276"/>
      <c r="P857" s="1276"/>
      <c r="Q857" s="1276"/>
      <c r="R857" s="1276" t="s">
        <v>5538</v>
      </c>
      <c r="S857" s="1276">
        <v>70</v>
      </c>
      <c r="T857" s="102" t="s">
        <v>23</v>
      </c>
      <c r="U857" s="1276" t="s">
        <v>4320</v>
      </c>
      <c r="V857" s="928" t="s">
        <v>5532</v>
      </c>
      <c r="CM857" s="342"/>
      <c r="CN857" s="342"/>
      <c r="CO857" s="342"/>
      <c r="CP857" s="342"/>
      <c r="CQ857" s="342"/>
      <c r="CR857" s="342"/>
      <c r="CS857" s="342"/>
      <c r="CT857" s="342"/>
      <c r="CU857" s="342"/>
      <c r="CV857" s="342"/>
      <c r="CW857" s="342"/>
      <c r="CX857" s="342"/>
      <c r="CY857" s="342"/>
    </row>
    <row r="858" spans="1:103" s="343" customFormat="1" ht="36" customHeight="1" x14ac:dyDescent="0.25">
      <c r="A858" s="343">
        <v>0</v>
      </c>
      <c r="B858" s="1245">
        <v>45046</v>
      </c>
      <c r="C858" s="103">
        <v>0.91666666666666663</v>
      </c>
      <c r="D858" s="1246">
        <v>56.5</v>
      </c>
      <c r="E858" s="1247">
        <v>13.1</v>
      </c>
      <c r="F858" s="1247">
        <v>17.399999999999999</v>
      </c>
      <c r="G858" s="1565" t="s">
        <v>3340</v>
      </c>
      <c r="H858" s="1565"/>
      <c r="I858" s="1565"/>
      <c r="J858" s="1565"/>
      <c r="K858" s="1565"/>
      <c r="L858" s="1277">
        <v>38.24</v>
      </c>
      <c r="M858" s="1277">
        <v>41</v>
      </c>
      <c r="N858" s="1277">
        <v>66.680000000000007</v>
      </c>
      <c r="O858" s="1277"/>
      <c r="P858" s="1277"/>
      <c r="Q858" s="1277"/>
      <c r="R858" s="1277" t="s">
        <v>5543</v>
      </c>
      <c r="S858" s="1277">
        <v>67.7</v>
      </c>
      <c r="T858" s="102" t="s">
        <v>23</v>
      </c>
      <c r="U858" s="1277" t="s">
        <v>4320</v>
      </c>
      <c r="V858" s="928" t="s">
        <v>415</v>
      </c>
      <c r="CM858" s="342"/>
      <c r="CN858" s="342"/>
      <c r="CO858" s="342"/>
      <c r="CP858" s="342"/>
      <c r="CQ858" s="342"/>
      <c r="CR858" s="342"/>
      <c r="CS858" s="342"/>
      <c r="CT858" s="342"/>
      <c r="CU858" s="342"/>
      <c r="CV858" s="342"/>
      <c r="CW858" s="342"/>
      <c r="CX858" s="342"/>
      <c r="CY858" s="342"/>
    </row>
    <row r="859" spans="1:103" s="343" customFormat="1" ht="36" customHeight="1" x14ac:dyDescent="0.25">
      <c r="A859" s="343">
        <v>0</v>
      </c>
      <c r="B859" s="1245">
        <v>45047</v>
      </c>
      <c r="C859" s="103">
        <v>0.89583333333333337</v>
      </c>
      <c r="D859" s="1246">
        <v>56.5</v>
      </c>
      <c r="E859" s="1247">
        <v>11.6</v>
      </c>
      <c r="F859" s="1247">
        <v>16.100000000000001</v>
      </c>
      <c r="G859" s="1565" t="s">
        <v>3340</v>
      </c>
      <c r="H859" s="1565"/>
      <c r="I859" s="1565"/>
      <c r="J859" s="1565"/>
      <c r="K859" s="1565"/>
      <c r="L859" s="1283">
        <v>38.14</v>
      </c>
      <c r="M859" s="1283">
        <v>41</v>
      </c>
      <c r="N859" s="1283">
        <v>64.28</v>
      </c>
      <c r="O859" s="1283"/>
      <c r="P859" s="1283"/>
      <c r="Q859" s="1283"/>
      <c r="R859" s="1283" t="s">
        <v>2342</v>
      </c>
      <c r="S859" s="1283">
        <v>62.6</v>
      </c>
      <c r="T859" s="102" t="s">
        <v>23</v>
      </c>
      <c r="U859" s="1283" t="s">
        <v>4320</v>
      </c>
      <c r="V859" s="928" t="s">
        <v>415</v>
      </c>
      <c r="CM859" s="342"/>
      <c r="CN859" s="342"/>
      <c r="CO859" s="342"/>
      <c r="CP859" s="342"/>
      <c r="CQ859" s="342"/>
      <c r="CR859" s="342"/>
      <c r="CS859" s="342"/>
      <c r="CT859" s="342"/>
      <c r="CU859" s="342"/>
      <c r="CV859" s="342"/>
      <c r="CW859" s="342"/>
      <c r="CX859" s="342"/>
      <c r="CY859" s="342"/>
    </row>
    <row r="860" spans="1:103" s="343" customFormat="1" ht="36" customHeight="1" x14ac:dyDescent="0.25">
      <c r="A860" s="343">
        <v>0</v>
      </c>
      <c r="B860" s="1245">
        <v>45048</v>
      </c>
      <c r="C860" s="103">
        <v>0.89583333333333337</v>
      </c>
      <c r="D860" s="1246">
        <v>56.5</v>
      </c>
      <c r="E860" s="1247">
        <v>11.4</v>
      </c>
      <c r="F860" s="1247">
        <v>15.9</v>
      </c>
      <c r="G860" s="1565" t="s">
        <v>3340</v>
      </c>
      <c r="H860" s="1565"/>
      <c r="I860" s="1565"/>
      <c r="J860" s="1565"/>
      <c r="K860" s="1565"/>
      <c r="L860" s="1284">
        <v>39.700000000000003</v>
      </c>
      <c r="M860" s="1284">
        <v>41</v>
      </c>
      <c r="N860" s="1284">
        <v>62.48</v>
      </c>
      <c r="O860" s="1284"/>
      <c r="P860" s="1284"/>
      <c r="Q860" s="1284"/>
      <c r="R860" s="1284" t="s">
        <v>4529</v>
      </c>
      <c r="S860" s="1284">
        <v>61.8</v>
      </c>
      <c r="T860" s="102" t="s">
        <v>23</v>
      </c>
      <c r="U860" s="1284" t="s">
        <v>4320</v>
      </c>
      <c r="V860" s="928" t="s">
        <v>415</v>
      </c>
      <c r="CM860" s="342"/>
      <c r="CN860" s="342"/>
      <c r="CO860" s="342"/>
      <c r="CP860" s="342"/>
      <c r="CQ860" s="342"/>
      <c r="CR860" s="342"/>
      <c r="CS860" s="342"/>
      <c r="CT860" s="342"/>
      <c r="CU860" s="342"/>
      <c r="CV860" s="342"/>
      <c r="CW860" s="342"/>
      <c r="CX860" s="342"/>
      <c r="CY860" s="342"/>
    </row>
    <row r="861" spans="1:103" s="343" customFormat="1" ht="36" customHeight="1" x14ac:dyDescent="0.25">
      <c r="A861" s="343">
        <v>0</v>
      </c>
      <c r="B861" s="1245">
        <v>45049</v>
      </c>
      <c r="C861" s="103">
        <v>0.91666666666666663</v>
      </c>
      <c r="D861" s="1246">
        <v>56.5</v>
      </c>
      <c r="E861" s="1247">
        <v>14.2</v>
      </c>
      <c r="F861" s="1247">
        <v>18.399999999999999</v>
      </c>
      <c r="G861" s="1565" t="s">
        <v>3340</v>
      </c>
      <c r="H861" s="1565"/>
      <c r="I861" s="1565"/>
      <c r="J861" s="1565"/>
      <c r="K861" s="1565"/>
      <c r="L861" s="1285">
        <v>40.049999999999997</v>
      </c>
      <c r="M861" s="1285">
        <v>41</v>
      </c>
      <c r="N861" s="1285">
        <v>62.56</v>
      </c>
      <c r="O861" s="1285"/>
      <c r="P861" s="1285"/>
      <c r="Q861" s="1285"/>
      <c r="R861" s="1285" t="s">
        <v>5565</v>
      </c>
      <c r="S861" s="1285">
        <v>71.5</v>
      </c>
      <c r="T861" s="102" t="s">
        <v>23</v>
      </c>
      <c r="U861" s="1285" t="s">
        <v>4320</v>
      </c>
      <c r="V861" s="928" t="s">
        <v>415</v>
      </c>
      <c r="CM861" s="342"/>
      <c r="CN861" s="342"/>
      <c r="CO861" s="342"/>
      <c r="CP861" s="342"/>
      <c r="CQ861" s="342"/>
      <c r="CR861" s="342"/>
      <c r="CS861" s="342"/>
      <c r="CT861" s="342"/>
      <c r="CU861" s="342"/>
      <c r="CV861" s="342"/>
      <c r="CW861" s="342"/>
      <c r="CX861" s="342"/>
      <c r="CY861" s="342"/>
    </row>
    <row r="862" spans="1:103" s="343" customFormat="1" ht="36" customHeight="1" x14ac:dyDescent="0.25">
      <c r="A862" s="343">
        <v>0</v>
      </c>
      <c r="B862" s="1245">
        <v>45050</v>
      </c>
      <c r="C862" s="103">
        <v>0.95833333333333337</v>
      </c>
      <c r="D862" s="1246">
        <v>56.5</v>
      </c>
      <c r="E862" s="1247">
        <v>11.4</v>
      </c>
      <c r="F862" s="1247">
        <v>15.9</v>
      </c>
      <c r="G862" s="1565" t="s">
        <v>3340</v>
      </c>
      <c r="H862" s="1565"/>
      <c r="I862" s="1565"/>
      <c r="J862" s="1565"/>
      <c r="K862" s="1565"/>
      <c r="L862" s="1287">
        <v>39.409999999999997</v>
      </c>
      <c r="M862" s="1287">
        <v>40</v>
      </c>
      <c r="N862" s="1287">
        <v>62.79</v>
      </c>
      <c r="O862" s="1287"/>
      <c r="P862" s="1287"/>
      <c r="Q862" s="1287"/>
      <c r="R862" s="1287" t="s">
        <v>5186</v>
      </c>
      <c r="S862" s="1287">
        <v>61.8</v>
      </c>
      <c r="T862" s="102" t="s">
        <v>23</v>
      </c>
      <c r="U862" s="1287" t="s">
        <v>4320</v>
      </c>
      <c r="V862" s="928" t="s">
        <v>415</v>
      </c>
      <c r="CM862" s="342"/>
      <c r="CN862" s="342"/>
      <c r="CO862" s="342"/>
      <c r="CP862" s="342"/>
      <c r="CQ862" s="342"/>
      <c r="CR862" s="342"/>
      <c r="CS862" s="342"/>
      <c r="CT862" s="342"/>
      <c r="CU862" s="342"/>
      <c r="CV862" s="342"/>
      <c r="CW862" s="342"/>
      <c r="CX862" s="342"/>
      <c r="CY862" s="342"/>
    </row>
    <row r="863" spans="1:103" s="343" customFormat="1" ht="36" customHeight="1" x14ac:dyDescent="0.25">
      <c r="A863" s="343">
        <v>0</v>
      </c>
      <c r="B863" s="1245">
        <v>45051</v>
      </c>
      <c r="C863" s="103">
        <v>0.95833333333333337</v>
      </c>
      <c r="D863" s="1505" t="s">
        <v>5575</v>
      </c>
      <c r="E863" s="1506"/>
      <c r="F863" s="1506"/>
      <c r="G863" s="1506"/>
      <c r="H863" s="1506"/>
      <c r="I863" s="1506"/>
      <c r="J863" s="1506"/>
      <c r="K863" s="1506"/>
      <c r="L863" s="1506"/>
      <c r="M863" s="1506"/>
      <c r="N863" s="1506"/>
      <c r="O863" s="1506"/>
      <c r="P863" s="1506"/>
      <c r="Q863" s="1506"/>
      <c r="R863" s="1506"/>
      <c r="S863" s="1507"/>
      <c r="T863" s="102" t="s">
        <v>23</v>
      </c>
      <c r="U863" s="1289" t="s">
        <v>4320</v>
      </c>
      <c r="V863" s="928" t="s">
        <v>415</v>
      </c>
      <c r="CM863" s="342"/>
      <c r="CN863" s="342"/>
      <c r="CO863" s="342"/>
      <c r="CP863" s="342"/>
      <c r="CQ863" s="342"/>
      <c r="CR863" s="342"/>
      <c r="CS863" s="342"/>
      <c r="CT863" s="342"/>
      <c r="CU863" s="342"/>
      <c r="CV863" s="342"/>
      <c r="CW863" s="342"/>
      <c r="CX863" s="342"/>
      <c r="CY863" s="342"/>
    </row>
    <row r="864" spans="1:103" s="343" customFormat="1" ht="36" customHeight="1" x14ac:dyDescent="0.25">
      <c r="A864" s="343">
        <v>0</v>
      </c>
      <c r="B864" s="1245">
        <v>45052</v>
      </c>
      <c r="C864" s="103">
        <v>0.95833333333333337</v>
      </c>
      <c r="D864" s="1505" t="s">
        <v>5575</v>
      </c>
      <c r="E864" s="1506"/>
      <c r="F864" s="1506"/>
      <c r="G864" s="1506"/>
      <c r="H864" s="1506"/>
      <c r="I864" s="1506"/>
      <c r="J864" s="1506"/>
      <c r="K864" s="1506"/>
      <c r="L864" s="1506"/>
      <c r="M864" s="1506"/>
      <c r="N864" s="1506"/>
      <c r="O864" s="1506"/>
      <c r="P864" s="1506"/>
      <c r="Q864" s="1506"/>
      <c r="R864" s="1506"/>
      <c r="S864" s="1507"/>
      <c r="T864" s="102" t="s">
        <v>23</v>
      </c>
      <c r="U864" s="1290" t="s">
        <v>4320</v>
      </c>
      <c r="V864" s="928" t="s">
        <v>415</v>
      </c>
      <c r="CM864" s="342"/>
      <c r="CN864" s="342"/>
      <c r="CO864" s="342"/>
      <c r="CP864" s="342"/>
      <c r="CQ864" s="342"/>
      <c r="CR864" s="342"/>
      <c r="CS864" s="342"/>
      <c r="CT864" s="342"/>
      <c r="CU864" s="342"/>
      <c r="CV864" s="342"/>
      <c r="CW864" s="342"/>
      <c r="CX864" s="342"/>
      <c r="CY864" s="342"/>
    </row>
    <row r="865" spans="1:103" s="343" customFormat="1" ht="36" customHeight="1" x14ac:dyDescent="0.25">
      <c r="A865" s="343">
        <v>0</v>
      </c>
      <c r="B865" s="1245">
        <v>45053</v>
      </c>
      <c r="C865" s="103">
        <v>0</v>
      </c>
      <c r="D865" s="1246">
        <v>52.5</v>
      </c>
      <c r="E865" s="1247">
        <v>10.199999999999999</v>
      </c>
      <c r="F865" s="1247">
        <v>14.8</v>
      </c>
      <c r="G865" s="1565" t="s">
        <v>3340</v>
      </c>
      <c r="H865" s="1565"/>
      <c r="I865" s="1565"/>
      <c r="J865" s="1565"/>
      <c r="K865" s="1565"/>
      <c r="L865" s="1291">
        <v>31.86</v>
      </c>
      <c r="M865" s="1291">
        <v>38</v>
      </c>
      <c r="N865" s="1291">
        <v>60.57</v>
      </c>
      <c r="O865" s="1291"/>
      <c r="P865" s="1291"/>
      <c r="Q865" s="1291"/>
      <c r="R865" s="1291" t="s">
        <v>2866</v>
      </c>
      <c r="S865" s="1291">
        <v>57.5</v>
      </c>
      <c r="T865" s="102" t="s">
        <v>23</v>
      </c>
      <c r="U865" s="1291" t="s">
        <v>4320</v>
      </c>
      <c r="V865" s="928" t="s">
        <v>5590</v>
      </c>
      <c r="CM865" s="342"/>
      <c r="CN865" s="342"/>
      <c r="CO865" s="342"/>
      <c r="CP865" s="342"/>
      <c r="CQ865" s="342"/>
      <c r="CR865" s="342"/>
      <c r="CS865" s="342"/>
      <c r="CT865" s="342"/>
      <c r="CU865" s="342"/>
      <c r="CV865" s="342"/>
      <c r="CW865" s="342"/>
      <c r="CX865" s="342"/>
      <c r="CY865" s="342"/>
    </row>
    <row r="866" spans="1:103" s="343" customFormat="1" ht="36" customHeight="1" x14ac:dyDescent="0.25">
      <c r="A866" s="343">
        <v>0</v>
      </c>
      <c r="B866" s="1245">
        <v>45054</v>
      </c>
      <c r="C866" s="103">
        <v>0.95833333333333337</v>
      </c>
      <c r="D866" s="1246">
        <v>53.5</v>
      </c>
      <c r="E866" s="1247">
        <v>9.9</v>
      </c>
      <c r="F866" s="1247">
        <v>14.6</v>
      </c>
      <c r="G866" s="1565" t="s">
        <v>3340</v>
      </c>
      <c r="H866" s="1565"/>
      <c r="I866" s="1565"/>
      <c r="J866" s="1565"/>
      <c r="K866" s="1565"/>
      <c r="L866" s="1292">
        <v>35.57</v>
      </c>
      <c r="M866" s="1292">
        <v>39</v>
      </c>
      <c r="N866" s="1292">
        <v>60.3</v>
      </c>
      <c r="O866" s="1292"/>
      <c r="P866" s="1292"/>
      <c r="Q866" s="1292"/>
      <c r="R866" s="1292" t="s">
        <v>4098</v>
      </c>
      <c r="S866" s="1292">
        <v>56.8</v>
      </c>
      <c r="T866" s="102" t="s">
        <v>23</v>
      </c>
      <c r="U866" s="1292" t="s">
        <v>4320</v>
      </c>
      <c r="V866" s="928" t="s">
        <v>5598</v>
      </c>
      <c r="CM866" s="342"/>
      <c r="CN866" s="342"/>
      <c r="CO866" s="342"/>
      <c r="CP866" s="342"/>
      <c r="CQ866" s="342"/>
      <c r="CR866" s="342"/>
      <c r="CS866" s="342"/>
      <c r="CT866" s="342"/>
      <c r="CU866" s="342"/>
      <c r="CV866" s="342"/>
      <c r="CW866" s="342"/>
      <c r="CX866" s="342"/>
      <c r="CY866" s="342"/>
    </row>
    <row r="867" spans="1:103" s="343" customFormat="1" ht="36" customHeight="1" x14ac:dyDescent="0.25">
      <c r="A867" s="343">
        <v>0</v>
      </c>
      <c r="B867" s="1245">
        <v>45055</v>
      </c>
      <c r="C867" s="103">
        <v>0.91666666666666663</v>
      </c>
      <c r="D867" s="1246">
        <v>54.5</v>
      </c>
      <c r="E867" s="1247">
        <v>12.3</v>
      </c>
      <c r="F867" s="1247">
        <v>16.600000000000001</v>
      </c>
      <c r="G867" s="1565" t="s">
        <v>3340</v>
      </c>
      <c r="H867" s="1565"/>
      <c r="I867" s="1565"/>
      <c r="J867" s="1565"/>
      <c r="K867" s="1565"/>
      <c r="L867" s="1293">
        <v>34.020000000000003</v>
      </c>
      <c r="M867" s="1293">
        <v>39</v>
      </c>
      <c r="N867" s="1293">
        <v>63.36</v>
      </c>
      <c r="O867" s="1293"/>
      <c r="P867" s="1293"/>
      <c r="Q867" s="1293"/>
      <c r="R867" s="1293" t="s">
        <v>3114</v>
      </c>
      <c r="S867" s="1293">
        <v>64.5</v>
      </c>
      <c r="T867" s="102" t="s">
        <v>23</v>
      </c>
      <c r="U867" s="1293" t="s">
        <v>4320</v>
      </c>
      <c r="V867" s="928" t="s">
        <v>5604</v>
      </c>
      <c r="CM867" s="342"/>
      <c r="CN867" s="342"/>
      <c r="CO867" s="342"/>
      <c r="CP867" s="342"/>
      <c r="CQ867" s="342"/>
      <c r="CR867" s="342"/>
      <c r="CS867" s="342"/>
      <c r="CT867" s="342"/>
      <c r="CU867" s="342"/>
      <c r="CV867" s="342"/>
      <c r="CW867" s="342"/>
      <c r="CX867" s="342"/>
      <c r="CY867" s="342"/>
    </row>
    <row r="868" spans="1:103" s="343" customFormat="1" ht="36" customHeight="1" x14ac:dyDescent="0.25">
      <c r="A868" s="343">
        <v>0</v>
      </c>
      <c r="B868" s="1245">
        <v>45056</v>
      </c>
      <c r="C868" s="103">
        <v>0.97916666666666663</v>
      </c>
      <c r="D868" s="1246">
        <v>55.5</v>
      </c>
      <c r="E868" s="1247">
        <v>11.4</v>
      </c>
      <c r="F868" s="1247">
        <v>15.9</v>
      </c>
      <c r="G868" s="1565" t="s">
        <v>3340</v>
      </c>
      <c r="H868" s="1565"/>
      <c r="I868" s="1565"/>
      <c r="J868" s="1565"/>
      <c r="K868" s="1565"/>
      <c r="L868" s="1295">
        <v>37.479999999999997</v>
      </c>
      <c r="M868" s="1295">
        <v>40</v>
      </c>
      <c r="N868" s="1295">
        <v>60.76</v>
      </c>
      <c r="O868" s="1295"/>
      <c r="P868" s="1295"/>
      <c r="Q868" s="1295"/>
      <c r="R868" s="1295" t="s">
        <v>4230</v>
      </c>
      <c r="S868" s="1295">
        <v>61.8</v>
      </c>
      <c r="T868" s="102" t="s">
        <v>23</v>
      </c>
      <c r="U868" s="1295" t="s">
        <v>4320</v>
      </c>
      <c r="V868" s="928" t="s">
        <v>5609</v>
      </c>
      <c r="CM868" s="342"/>
      <c r="CN868" s="342"/>
      <c r="CO868" s="342"/>
      <c r="CP868" s="342"/>
      <c r="CQ868" s="342"/>
      <c r="CR868" s="342"/>
      <c r="CS868" s="342"/>
      <c r="CT868" s="342"/>
      <c r="CU868" s="342"/>
      <c r="CV868" s="342"/>
      <c r="CW868" s="342"/>
      <c r="CX868" s="342"/>
      <c r="CY868" s="342"/>
    </row>
    <row r="869" spans="1:103" s="343" customFormat="1" ht="36" customHeight="1" x14ac:dyDescent="0.25">
      <c r="A869" s="343">
        <v>0</v>
      </c>
      <c r="B869" s="1245">
        <v>45057</v>
      </c>
      <c r="C869" s="103">
        <v>0.91666666666666663</v>
      </c>
      <c r="D869" s="1246">
        <v>55.5</v>
      </c>
      <c r="E869" s="1247">
        <v>12.7</v>
      </c>
      <c r="F869" s="1247">
        <v>17.100000000000001</v>
      </c>
      <c r="G869" s="1565" t="s">
        <v>3340</v>
      </c>
      <c r="H869" s="1565"/>
      <c r="I869" s="1565"/>
      <c r="J869" s="1565"/>
      <c r="K869" s="1565"/>
      <c r="L869" s="1296">
        <v>35.67</v>
      </c>
      <c r="M869" s="1296">
        <v>40</v>
      </c>
      <c r="N869" s="1296">
        <v>66.540000000000006</v>
      </c>
      <c r="O869" s="1296"/>
      <c r="P869" s="1296"/>
      <c r="Q869" s="1296"/>
      <c r="R869" s="1296" t="s">
        <v>5501</v>
      </c>
      <c r="S869" s="1296">
        <v>66.5</v>
      </c>
      <c r="T869" s="102" t="s">
        <v>23</v>
      </c>
      <c r="U869" s="1296" t="s">
        <v>4320</v>
      </c>
      <c r="V869" s="928" t="s">
        <v>5615</v>
      </c>
      <c r="CM869" s="342"/>
      <c r="CN869" s="342"/>
      <c r="CO869" s="342"/>
      <c r="CP869" s="342"/>
      <c r="CQ869" s="342"/>
      <c r="CR869" s="342"/>
      <c r="CS869" s="342"/>
      <c r="CT869" s="342"/>
      <c r="CU869" s="342"/>
      <c r="CV869" s="342"/>
      <c r="CW869" s="342"/>
      <c r="CX869" s="342"/>
      <c r="CY869" s="342"/>
    </row>
    <row r="870" spans="1:103" s="343" customFormat="1" ht="36" customHeight="1" x14ac:dyDescent="0.25">
      <c r="A870" s="343">
        <v>0</v>
      </c>
      <c r="B870" s="1245">
        <v>45058</v>
      </c>
      <c r="C870" s="103">
        <v>0.97916666666666663</v>
      </c>
      <c r="D870" s="1246">
        <v>55.5</v>
      </c>
      <c r="E870" s="1247">
        <v>10.4</v>
      </c>
      <c r="F870" s="1247">
        <v>15.1</v>
      </c>
      <c r="G870" s="1565" t="s">
        <v>3340</v>
      </c>
      <c r="H870" s="1565"/>
      <c r="I870" s="1565"/>
      <c r="J870" s="1565"/>
      <c r="K870" s="1565"/>
      <c r="L870" s="1298">
        <v>37.5</v>
      </c>
      <c r="M870" s="1298">
        <v>40</v>
      </c>
      <c r="N870" s="1298">
        <v>62.56</v>
      </c>
      <c r="O870" s="1298"/>
      <c r="P870" s="1298"/>
      <c r="Q870" s="1298"/>
      <c r="R870" s="1298" t="s">
        <v>5624</v>
      </c>
      <c r="S870" s="1298">
        <v>58.7</v>
      </c>
      <c r="T870" s="102" t="s">
        <v>23</v>
      </c>
      <c r="U870" s="1298" t="s">
        <v>236</v>
      </c>
      <c r="V870" s="928"/>
      <c r="CM870" s="342"/>
      <c r="CN870" s="342"/>
      <c r="CO870" s="342"/>
      <c r="CP870" s="342"/>
      <c r="CQ870" s="342"/>
      <c r="CR870" s="342"/>
      <c r="CS870" s="342"/>
      <c r="CT870" s="342"/>
      <c r="CU870" s="342"/>
      <c r="CV870" s="342"/>
      <c r="CW870" s="342"/>
      <c r="CX870" s="342"/>
      <c r="CY870" s="342"/>
    </row>
    <row r="871" spans="1:103" s="343" customFormat="1" ht="36" customHeight="1" x14ac:dyDescent="0.25">
      <c r="A871" s="343">
        <v>0</v>
      </c>
      <c r="B871" s="1245">
        <v>45059</v>
      </c>
      <c r="C871" s="103">
        <v>0.75</v>
      </c>
      <c r="D871" s="1246">
        <v>55.5</v>
      </c>
      <c r="E871" s="1247">
        <v>11.5</v>
      </c>
      <c r="F871" s="1247">
        <v>16</v>
      </c>
      <c r="G871" s="1565" t="s">
        <v>3340</v>
      </c>
      <c r="H871" s="1565"/>
      <c r="I871" s="1565"/>
      <c r="J871" s="1565"/>
      <c r="K871" s="1565"/>
      <c r="L871" s="1299">
        <v>37.32</v>
      </c>
      <c r="M871" s="1299">
        <v>40.5</v>
      </c>
      <c r="N871" s="1299">
        <v>62.98</v>
      </c>
      <c r="O871" s="1299"/>
      <c r="P871" s="1299"/>
      <c r="Q871" s="1299"/>
      <c r="R871" s="1299" t="s">
        <v>4230</v>
      </c>
      <c r="S871" s="1299">
        <v>62.2</v>
      </c>
      <c r="T871" s="102" t="s">
        <v>23</v>
      </c>
      <c r="U871" s="1299" t="s">
        <v>236</v>
      </c>
      <c r="V871" s="928"/>
      <c r="CM871" s="342"/>
      <c r="CN871" s="342"/>
      <c r="CO871" s="342"/>
      <c r="CP871" s="342"/>
      <c r="CQ871" s="342"/>
      <c r="CR871" s="342"/>
      <c r="CS871" s="342"/>
      <c r="CT871" s="342"/>
      <c r="CU871" s="342"/>
      <c r="CV871" s="342"/>
      <c r="CW871" s="342"/>
      <c r="CX871" s="342"/>
      <c r="CY871" s="342"/>
    </row>
    <row r="872" spans="1:103" s="343" customFormat="1" ht="36" customHeight="1" x14ac:dyDescent="0.25">
      <c r="A872" s="343">
        <v>0</v>
      </c>
      <c r="B872" s="1245">
        <v>45060</v>
      </c>
      <c r="C872" s="103">
        <v>0.77083333333333337</v>
      </c>
      <c r="D872" s="1246">
        <v>55.5</v>
      </c>
      <c r="E872" s="1247">
        <v>11.5</v>
      </c>
      <c r="F872" s="1247">
        <v>16</v>
      </c>
      <c r="G872" s="1565" t="s">
        <v>3340</v>
      </c>
      <c r="H872" s="1565"/>
      <c r="I872" s="1565"/>
      <c r="J872" s="1565"/>
      <c r="K872" s="1565"/>
      <c r="L872" s="1302">
        <v>36.369999999999997</v>
      </c>
      <c r="M872" s="1302">
        <v>40</v>
      </c>
      <c r="N872" s="1302">
        <v>62.59</v>
      </c>
      <c r="O872" s="1302"/>
      <c r="P872" s="1302"/>
      <c r="Q872" s="1302"/>
      <c r="R872" s="1302" t="s">
        <v>5631</v>
      </c>
      <c r="S872" s="1302">
        <v>64.5</v>
      </c>
      <c r="T872" s="102" t="s">
        <v>23</v>
      </c>
      <c r="U872" s="1302" t="s">
        <v>236</v>
      </c>
      <c r="V872" s="928"/>
      <c r="CM872" s="342"/>
      <c r="CN872" s="342"/>
      <c r="CO872" s="342"/>
      <c r="CP872" s="342"/>
      <c r="CQ872" s="342"/>
      <c r="CR872" s="342"/>
      <c r="CS872" s="342"/>
      <c r="CT872" s="342"/>
      <c r="CU872" s="342"/>
      <c r="CV872" s="342"/>
      <c r="CW872" s="342"/>
      <c r="CX872" s="342"/>
      <c r="CY872" s="342"/>
    </row>
    <row r="873" spans="1:103" s="343" customFormat="1" ht="36" customHeight="1" x14ac:dyDescent="0.25">
      <c r="A873" s="343">
        <v>0</v>
      </c>
      <c r="B873" s="1245">
        <v>45061</v>
      </c>
      <c r="C873" s="103">
        <v>0.72916666666666663</v>
      </c>
      <c r="D873" s="1246">
        <v>55.5</v>
      </c>
      <c r="E873" s="1247">
        <v>11.3</v>
      </c>
      <c r="F873" s="1247">
        <v>15.8</v>
      </c>
      <c r="G873" s="1565" t="s">
        <v>3340</v>
      </c>
      <c r="H873" s="1565"/>
      <c r="I873" s="1565"/>
      <c r="J873" s="1565"/>
      <c r="K873" s="1565"/>
      <c r="L873" s="1303">
        <v>36.4</v>
      </c>
      <c r="M873" s="1303">
        <v>40</v>
      </c>
      <c r="N873" s="1303">
        <v>62.02</v>
      </c>
      <c r="O873" s="1303"/>
      <c r="P873" s="1303"/>
      <c r="Q873" s="1303"/>
      <c r="R873" s="1303" t="s">
        <v>3368</v>
      </c>
      <c r="S873" s="1303">
        <v>61.4</v>
      </c>
      <c r="T873" s="102" t="s">
        <v>23</v>
      </c>
      <c r="U873" s="1303" t="s">
        <v>236</v>
      </c>
      <c r="V873" s="928"/>
      <c r="CM873" s="342"/>
      <c r="CN873" s="342"/>
      <c r="CO873" s="342"/>
      <c r="CP873" s="342"/>
      <c r="CQ873" s="342"/>
      <c r="CR873" s="342"/>
      <c r="CS873" s="342"/>
      <c r="CT873" s="342"/>
      <c r="CU873" s="342"/>
      <c r="CV873" s="342"/>
      <c r="CW873" s="342"/>
      <c r="CX873" s="342"/>
      <c r="CY873" s="342"/>
    </row>
    <row r="874" spans="1:103" s="343" customFormat="1" ht="36" customHeight="1" x14ac:dyDescent="0.25">
      <c r="A874" s="343">
        <v>0</v>
      </c>
      <c r="B874" s="1245">
        <v>45062</v>
      </c>
      <c r="C874" s="103">
        <v>0.77083333333333337</v>
      </c>
      <c r="D874" s="1246">
        <v>55.5</v>
      </c>
      <c r="E874" s="1247">
        <v>12.3</v>
      </c>
      <c r="F874" s="1247">
        <v>16.600000000000001</v>
      </c>
      <c r="G874" s="1565" t="s">
        <v>3340</v>
      </c>
      <c r="H874" s="1565"/>
      <c r="I874" s="1565"/>
      <c r="J874" s="1565"/>
      <c r="K874" s="1565"/>
      <c r="L874" s="1304">
        <v>37.479999999999997</v>
      </c>
      <c r="M874" s="1304">
        <v>40.5</v>
      </c>
      <c r="N874" s="1304">
        <v>61.45</v>
      </c>
      <c r="O874" s="1304"/>
      <c r="P874" s="1304"/>
      <c r="Q874" s="1304"/>
      <c r="R874" s="1304" t="s">
        <v>3114</v>
      </c>
      <c r="S874" s="1304">
        <v>64.5</v>
      </c>
      <c r="T874" s="102" t="s">
        <v>23</v>
      </c>
      <c r="U874" s="1304" t="s">
        <v>236</v>
      </c>
      <c r="V874" s="928"/>
      <c r="CM874" s="342"/>
      <c r="CN874" s="342"/>
      <c r="CO874" s="342"/>
      <c r="CP874" s="342"/>
      <c r="CQ874" s="342"/>
      <c r="CR874" s="342"/>
      <c r="CS874" s="342"/>
      <c r="CT874" s="342"/>
      <c r="CU874" s="342"/>
      <c r="CV874" s="342"/>
      <c r="CW874" s="342"/>
      <c r="CX874" s="342"/>
      <c r="CY874" s="342"/>
    </row>
    <row r="875" spans="1:103" s="343" customFormat="1" ht="36" customHeight="1" x14ac:dyDescent="0.25">
      <c r="A875" s="343">
        <v>0</v>
      </c>
      <c r="B875" s="1245">
        <v>45063</v>
      </c>
      <c r="C875" s="103">
        <v>0.75</v>
      </c>
      <c r="D875" s="1246">
        <v>55.5</v>
      </c>
      <c r="E875" s="1247">
        <v>13.2</v>
      </c>
      <c r="F875" s="1247">
        <v>17.399999999999999</v>
      </c>
      <c r="G875" s="1565" t="s">
        <v>3340</v>
      </c>
      <c r="H875" s="1565"/>
      <c r="I875" s="1565"/>
      <c r="J875" s="1565"/>
      <c r="K875" s="1565"/>
      <c r="L875" s="1305">
        <v>37.020000000000003</v>
      </c>
      <c r="M875" s="1305">
        <v>40.5</v>
      </c>
      <c r="N875" s="1305">
        <v>61.87</v>
      </c>
      <c r="O875" s="1305"/>
      <c r="P875" s="1305"/>
      <c r="Q875" s="1305"/>
      <c r="R875" s="1305" t="s">
        <v>5543</v>
      </c>
      <c r="S875" s="1305">
        <v>67.7</v>
      </c>
      <c r="T875" s="102" t="s">
        <v>23</v>
      </c>
      <c r="U875" s="1305" t="s">
        <v>236</v>
      </c>
      <c r="V875" s="928"/>
      <c r="CM875" s="342"/>
      <c r="CN875" s="342"/>
      <c r="CO875" s="342"/>
      <c r="CP875" s="342"/>
      <c r="CQ875" s="342"/>
      <c r="CR875" s="342"/>
      <c r="CS875" s="342"/>
      <c r="CT875" s="342"/>
      <c r="CU875" s="342"/>
      <c r="CV875" s="342"/>
      <c r="CW875" s="342"/>
      <c r="CX875" s="342"/>
      <c r="CY875" s="342"/>
    </row>
    <row r="876" spans="1:103" s="343" customFormat="1" ht="36" customHeight="1" x14ac:dyDescent="0.25">
      <c r="A876" s="343">
        <v>0</v>
      </c>
      <c r="B876" s="1245">
        <v>45064</v>
      </c>
      <c r="C876" s="103">
        <v>0.75</v>
      </c>
      <c r="D876" s="1246">
        <v>55.5</v>
      </c>
      <c r="E876" s="1247">
        <v>13</v>
      </c>
      <c r="F876" s="1247">
        <v>17.2</v>
      </c>
      <c r="G876" s="1565" t="s">
        <v>3340</v>
      </c>
      <c r="H876" s="1565"/>
      <c r="I876" s="1565"/>
      <c r="J876" s="1565"/>
      <c r="K876" s="1565"/>
      <c r="L876" s="1307">
        <v>35.9</v>
      </c>
      <c r="M876" s="1307">
        <v>40</v>
      </c>
      <c r="N876" s="1307">
        <v>61.33</v>
      </c>
      <c r="O876" s="1307"/>
      <c r="P876" s="1307"/>
      <c r="Q876" s="1307"/>
      <c r="R876" s="1307" t="s">
        <v>3296</v>
      </c>
      <c r="S876" s="1307">
        <v>66.900000000000006</v>
      </c>
      <c r="T876" s="102" t="s">
        <v>23</v>
      </c>
      <c r="U876" s="1307" t="s">
        <v>236</v>
      </c>
      <c r="V876" s="928"/>
      <c r="CM876" s="342"/>
      <c r="CN876" s="342"/>
      <c r="CO876" s="342"/>
      <c r="CP876" s="342"/>
      <c r="CQ876" s="342"/>
      <c r="CR876" s="342"/>
      <c r="CS876" s="342"/>
      <c r="CT876" s="342"/>
      <c r="CU876" s="342"/>
      <c r="CV876" s="342"/>
      <c r="CW876" s="342"/>
      <c r="CX876" s="342"/>
      <c r="CY876" s="342"/>
    </row>
    <row r="877" spans="1:103" s="343" customFormat="1" ht="36" customHeight="1" x14ac:dyDescent="0.25">
      <c r="A877" s="343">
        <v>0</v>
      </c>
      <c r="B877" s="1245">
        <v>45065</v>
      </c>
      <c r="C877" s="103">
        <v>0.70833333333333337</v>
      </c>
      <c r="D877" s="1246">
        <v>55.5</v>
      </c>
      <c r="E877" s="1247">
        <v>10.7</v>
      </c>
      <c r="F877" s="1247">
        <v>15.3</v>
      </c>
      <c r="G877" s="1565" t="s">
        <v>3340</v>
      </c>
      <c r="H877" s="1565"/>
      <c r="I877" s="1565"/>
      <c r="J877" s="1565"/>
      <c r="K877" s="1565"/>
      <c r="L877" s="1309">
        <v>36.1</v>
      </c>
      <c r="M877" s="1309">
        <v>39.5</v>
      </c>
      <c r="N877" s="1309">
        <v>58.1</v>
      </c>
      <c r="O877" s="1309"/>
      <c r="P877" s="1309"/>
      <c r="Q877" s="1309"/>
      <c r="R877" s="1309" t="s">
        <v>5654</v>
      </c>
      <c r="S877" s="1309">
        <v>59.5</v>
      </c>
      <c r="T877" s="102" t="s">
        <v>23</v>
      </c>
      <c r="U877" s="1309" t="s">
        <v>236</v>
      </c>
      <c r="V877" s="928"/>
      <c r="CM877" s="342"/>
      <c r="CN877" s="342"/>
      <c r="CO877" s="342"/>
      <c r="CP877" s="342"/>
      <c r="CQ877" s="342"/>
      <c r="CR877" s="342"/>
      <c r="CS877" s="342"/>
      <c r="CT877" s="342"/>
      <c r="CU877" s="342"/>
      <c r="CV877" s="342"/>
      <c r="CW877" s="342"/>
      <c r="CX877" s="342"/>
      <c r="CY877" s="342"/>
    </row>
    <row r="878" spans="1:103" s="343" customFormat="1" ht="36" customHeight="1" x14ac:dyDescent="0.25">
      <c r="A878" s="343">
        <v>0</v>
      </c>
      <c r="B878" s="1245">
        <v>45066</v>
      </c>
      <c r="C878" s="103">
        <v>0.79166666666666663</v>
      </c>
      <c r="D878" s="1246">
        <v>57</v>
      </c>
      <c r="E878" s="1247">
        <v>7</v>
      </c>
      <c r="F878" s="1247">
        <v>12.9</v>
      </c>
      <c r="G878" s="1565" t="s">
        <v>3340</v>
      </c>
      <c r="H878" s="1565"/>
      <c r="I878" s="1565"/>
      <c r="J878" s="1565"/>
      <c r="K878" s="1565"/>
      <c r="L878" s="1310">
        <v>38.86</v>
      </c>
      <c r="M878" s="1310">
        <v>40</v>
      </c>
      <c r="N878" s="1310">
        <v>48.33</v>
      </c>
      <c r="O878" s="1310"/>
      <c r="P878" s="1310"/>
      <c r="Q878" s="1310"/>
      <c r="R878" s="1310" t="s">
        <v>1082</v>
      </c>
      <c r="S878" s="1310">
        <v>50.1</v>
      </c>
      <c r="T878" s="102" t="s">
        <v>23</v>
      </c>
      <c r="U878" s="1310" t="s">
        <v>236</v>
      </c>
      <c r="V878" s="928" t="s">
        <v>5664</v>
      </c>
      <c r="CM878" s="342"/>
      <c r="CN878" s="342"/>
      <c r="CO878" s="342"/>
      <c r="CP878" s="342"/>
      <c r="CQ878" s="342"/>
      <c r="CR878" s="342"/>
      <c r="CS878" s="342"/>
      <c r="CT878" s="342"/>
      <c r="CU878" s="342"/>
      <c r="CV878" s="342"/>
      <c r="CW878" s="342"/>
      <c r="CX878" s="342"/>
      <c r="CY878" s="342"/>
    </row>
    <row r="879" spans="1:103" s="343" customFormat="1" ht="36" customHeight="1" x14ac:dyDescent="0.25">
      <c r="A879" s="343">
        <v>0</v>
      </c>
      <c r="B879" s="1245">
        <v>45067</v>
      </c>
      <c r="C879" s="103">
        <v>0.75</v>
      </c>
      <c r="D879" s="1246">
        <v>55.5</v>
      </c>
      <c r="E879" s="1247">
        <v>11.2</v>
      </c>
      <c r="F879" s="1247">
        <v>15.7</v>
      </c>
      <c r="G879" s="1565" t="s">
        <v>3340</v>
      </c>
      <c r="H879" s="1565"/>
      <c r="I879" s="1565"/>
      <c r="J879" s="1565"/>
      <c r="K879" s="1565"/>
      <c r="L879" s="1311">
        <v>37.74</v>
      </c>
      <c r="M879" s="1311">
        <v>40</v>
      </c>
      <c r="N879" s="1311">
        <v>60.83</v>
      </c>
      <c r="O879" s="1311"/>
      <c r="P879" s="1311"/>
      <c r="Q879" s="1311"/>
      <c r="R879" s="1311" t="s">
        <v>5207</v>
      </c>
      <c r="S879" s="1311">
        <v>61</v>
      </c>
      <c r="T879" s="102" t="s">
        <v>23</v>
      </c>
      <c r="U879" s="1311" t="s">
        <v>236</v>
      </c>
      <c r="V879" s="928" t="s">
        <v>5665</v>
      </c>
      <c r="CM879" s="342"/>
      <c r="CN879" s="342"/>
      <c r="CO879" s="342"/>
      <c r="CP879" s="342"/>
      <c r="CQ879" s="342"/>
      <c r="CR879" s="342"/>
      <c r="CS879" s="342"/>
      <c r="CT879" s="342"/>
      <c r="CU879" s="342"/>
      <c r="CV879" s="342"/>
      <c r="CW879" s="342"/>
      <c r="CX879" s="342"/>
      <c r="CY879" s="342"/>
    </row>
    <row r="880" spans="1:103" s="343" customFormat="1" ht="36" customHeight="1" x14ac:dyDescent="0.25">
      <c r="A880" s="343">
        <v>0</v>
      </c>
      <c r="B880" s="1245">
        <v>45068</v>
      </c>
      <c r="C880" s="103">
        <v>0.75</v>
      </c>
      <c r="D880" s="1246">
        <v>55.5</v>
      </c>
      <c r="E880" s="1247">
        <v>13.7</v>
      </c>
      <c r="F880" s="1247">
        <v>18</v>
      </c>
      <c r="G880" s="1565" t="s">
        <v>3340</v>
      </c>
      <c r="H880" s="1565"/>
      <c r="I880" s="1565"/>
      <c r="J880" s="1565"/>
      <c r="K880" s="1565"/>
      <c r="L880" s="1313">
        <v>41.29</v>
      </c>
      <c r="M880" s="1313">
        <v>44.5</v>
      </c>
      <c r="N880" s="1313">
        <v>56.93</v>
      </c>
      <c r="O880" s="1313"/>
      <c r="P880" s="1313"/>
      <c r="Q880" s="1313"/>
      <c r="R880" s="1313" t="s">
        <v>5670</v>
      </c>
      <c r="S880" s="1313">
        <v>70</v>
      </c>
      <c r="T880" s="102" t="s">
        <v>23</v>
      </c>
      <c r="U880" s="1313" t="s">
        <v>236</v>
      </c>
      <c r="V880" s="928" t="s">
        <v>5672</v>
      </c>
      <c r="CM880" s="342"/>
      <c r="CN880" s="342"/>
      <c r="CO880" s="342"/>
      <c r="CP880" s="342"/>
      <c r="CQ880" s="342"/>
      <c r="CR880" s="342"/>
      <c r="CS880" s="342"/>
      <c r="CT880" s="342"/>
      <c r="CU880" s="342"/>
      <c r="CV880" s="342"/>
      <c r="CW880" s="342"/>
      <c r="CX880" s="342"/>
      <c r="CY880" s="342"/>
    </row>
    <row r="881" spans="1:103" s="343" customFormat="1" ht="36" customHeight="1" x14ac:dyDescent="0.25">
      <c r="A881" s="343">
        <v>0</v>
      </c>
      <c r="B881" s="1245">
        <v>45069</v>
      </c>
      <c r="C881" s="103">
        <v>0.70833333333333337</v>
      </c>
      <c r="D881" s="1246">
        <v>55.5</v>
      </c>
      <c r="E881" s="1247">
        <v>11.1</v>
      </c>
      <c r="F881" s="1247">
        <v>15.6</v>
      </c>
      <c r="G881" s="1565" t="s">
        <v>3340</v>
      </c>
      <c r="H881" s="1565"/>
      <c r="I881" s="1565"/>
      <c r="J881" s="1565"/>
      <c r="K881" s="1565"/>
      <c r="L881" s="1314">
        <v>40.5</v>
      </c>
      <c r="M881" s="1314">
        <v>44.5</v>
      </c>
      <c r="N881" s="1314">
        <v>60.68</v>
      </c>
      <c r="O881" s="1314"/>
      <c r="P881" s="1314"/>
      <c r="Q881" s="1314"/>
      <c r="R881" s="1314" t="s">
        <v>5674</v>
      </c>
      <c r="S881" s="1314">
        <v>60.7</v>
      </c>
      <c r="T881" s="102" t="s">
        <v>23</v>
      </c>
      <c r="U881" s="1314" t="s">
        <v>236</v>
      </c>
      <c r="V881" s="928"/>
      <c r="CM881" s="342"/>
      <c r="CN881" s="342"/>
      <c r="CO881" s="342"/>
      <c r="CP881" s="342"/>
      <c r="CQ881" s="342"/>
      <c r="CR881" s="342"/>
      <c r="CS881" s="342"/>
      <c r="CT881" s="342"/>
      <c r="CU881" s="342"/>
      <c r="CV881" s="342"/>
      <c r="CW881" s="342"/>
      <c r="CX881" s="342"/>
      <c r="CY881" s="342"/>
    </row>
    <row r="882" spans="1:103" s="343" customFormat="1" ht="36" customHeight="1" x14ac:dyDescent="0.25">
      <c r="A882" s="343">
        <v>0</v>
      </c>
      <c r="B882" s="1245">
        <v>45070</v>
      </c>
      <c r="C882" s="103">
        <v>0.75</v>
      </c>
      <c r="D882" s="1246">
        <v>52</v>
      </c>
      <c r="E882" s="1247">
        <v>11.3</v>
      </c>
      <c r="F882" s="1247">
        <v>15.6</v>
      </c>
      <c r="G882" s="1565" t="s">
        <v>3340</v>
      </c>
      <c r="H882" s="1565"/>
      <c r="I882" s="1565"/>
      <c r="J882" s="1565"/>
      <c r="K882" s="1565"/>
      <c r="L882" s="1316">
        <v>29.68</v>
      </c>
      <c r="M882" s="1316">
        <v>33.5</v>
      </c>
      <c r="N882" s="1316">
        <v>55.1</v>
      </c>
      <c r="O882" s="1316"/>
      <c r="P882" s="1316"/>
      <c r="Q882" s="1316"/>
      <c r="R882" s="1316" t="s">
        <v>5680</v>
      </c>
      <c r="S882" s="1316">
        <v>60.7</v>
      </c>
      <c r="T882" s="102" t="s">
        <v>23</v>
      </c>
      <c r="U882" s="1316" t="s">
        <v>236</v>
      </c>
      <c r="V882" s="928" t="s">
        <v>5686</v>
      </c>
      <c r="CM882" s="342"/>
      <c r="CN882" s="342"/>
      <c r="CO882" s="342"/>
      <c r="CP882" s="342"/>
      <c r="CQ882" s="342"/>
      <c r="CR882" s="342"/>
      <c r="CS882" s="342"/>
      <c r="CT882" s="342"/>
      <c r="CU882" s="342"/>
      <c r="CV882" s="342"/>
      <c r="CW882" s="342"/>
      <c r="CX882" s="342"/>
      <c r="CY882" s="342"/>
    </row>
    <row r="883" spans="1:103" s="343" customFormat="1" ht="36" customHeight="1" x14ac:dyDescent="0.25">
      <c r="A883" s="343">
        <v>0</v>
      </c>
      <c r="B883" s="1245">
        <v>45071</v>
      </c>
      <c r="C883" s="103">
        <v>0.77083333333333337</v>
      </c>
      <c r="D883" s="1246">
        <v>52</v>
      </c>
      <c r="E883" s="1247">
        <v>10.8</v>
      </c>
      <c r="F883" s="1247">
        <v>14.6</v>
      </c>
      <c r="G883" s="1565" t="s">
        <v>3340</v>
      </c>
      <c r="H883" s="1565"/>
      <c r="I883" s="1565"/>
      <c r="J883" s="1565"/>
      <c r="K883" s="1565"/>
      <c r="L883" s="1318">
        <v>29.52</v>
      </c>
      <c r="M883" s="1318">
        <v>33.5</v>
      </c>
      <c r="N883" s="1318">
        <v>60.87</v>
      </c>
      <c r="O883" s="1318"/>
      <c r="P883" s="1318"/>
      <c r="Q883" s="1318"/>
      <c r="R883" s="1318" t="s">
        <v>4098</v>
      </c>
      <c r="S883" s="1318">
        <v>56.8</v>
      </c>
      <c r="T883" s="102" t="s">
        <v>23</v>
      </c>
      <c r="U883" s="1318" t="s">
        <v>236</v>
      </c>
      <c r="V883" s="928"/>
      <c r="CM883" s="342"/>
      <c r="CN883" s="342"/>
      <c r="CO883" s="342"/>
      <c r="CP883" s="342"/>
      <c r="CQ883" s="342"/>
      <c r="CR883" s="342"/>
      <c r="CS883" s="342"/>
      <c r="CT883" s="342"/>
      <c r="CU883" s="342"/>
      <c r="CV883" s="342"/>
      <c r="CW883" s="342"/>
      <c r="CX883" s="342"/>
      <c r="CY883" s="342"/>
    </row>
    <row r="884" spans="1:103" s="343" customFormat="1" ht="36" customHeight="1" x14ac:dyDescent="0.25">
      <c r="A884" s="343">
        <v>0</v>
      </c>
      <c r="B884" s="1245">
        <v>45072</v>
      </c>
      <c r="C884" s="103">
        <v>0.75</v>
      </c>
      <c r="D884" s="1246">
        <v>52</v>
      </c>
      <c r="E884" s="1247">
        <v>11.3</v>
      </c>
      <c r="F884" s="1247">
        <v>15.6</v>
      </c>
      <c r="G884" s="1565" t="s">
        <v>3340</v>
      </c>
      <c r="H884" s="1565"/>
      <c r="I884" s="1565"/>
      <c r="J884" s="1565"/>
      <c r="K884" s="1565"/>
      <c r="L884" s="1319">
        <v>28.44</v>
      </c>
      <c r="M884" s="1319">
        <v>33.5</v>
      </c>
      <c r="N884" s="1319">
        <v>62.17</v>
      </c>
      <c r="O884" s="1319"/>
      <c r="P884" s="1319"/>
      <c r="Q884" s="1319"/>
      <c r="R884" s="1319" t="s">
        <v>5680</v>
      </c>
      <c r="S884" s="1319">
        <v>56.8</v>
      </c>
      <c r="T884" s="102" t="s">
        <v>23</v>
      </c>
      <c r="U884" s="1319" t="s">
        <v>236</v>
      </c>
      <c r="V884" s="928"/>
      <c r="CM884" s="342"/>
      <c r="CN884" s="342"/>
      <c r="CO884" s="342"/>
      <c r="CP884" s="342"/>
      <c r="CQ884" s="342"/>
      <c r="CR884" s="342"/>
      <c r="CS884" s="342"/>
      <c r="CT884" s="342"/>
      <c r="CU884" s="342"/>
      <c r="CV884" s="342"/>
      <c r="CW884" s="342"/>
      <c r="CX884" s="342"/>
      <c r="CY884" s="342"/>
    </row>
    <row r="885" spans="1:103" s="343" customFormat="1" ht="36" customHeight="1" x14ac:dyDescent="0.25">
      <c r="A885" s="343">
        <v>0</v>
      </c>
      <c r="B885" s="1245">
        <v>45073</v>
      </c>
      <c r="C885" s="103">
        <v>0.75</v>
      </c>
      <c r="D885" s="1246">
        <v>55</v>
      </c>
      <c r="E885" s="1247">
        <v>10.1</v>
      </c>
      <c r="F885" s="1247">
        <v>14.8</v>
      </c>
      <c r="G885" s="1565" t="s">
        <v>3340</v>
      </c>
      <c r="H885" s="1565"/>
      <c r="I885" s="1565"/>
      <c r="J885" s="1565"/>
      <c r="K885" s="1565"/>
      <c r="L885" s="1320">
        <v>39.270000000000003</v>
      </c>
      <c r="M885" s="1320">
        <v>42</v>
      </c>
      <c r="N885" s="1320">
        <v>52.42</v>
      </c>
      <c r="O885" s="1320"/>
      <c r="P885" s="1320"/>
      <c r="Q885" s="1320"/>
      <c r="R885" s="1320" t="s">
        <v>3704</v>
      </c>
      <c r="S885" s="1320">
        <v>57.5</v>
      </c>
      <c r="T885" s="102" t="s">
        <v>23</v>
      </c>
      <c r="U885" s="1320" t="s">
        <v>236</v>
      </c>
      <c r="V885" s="928" t="s">
        <v>5715</v>
      </c>
      <c r="CM885" s="342"/>
      <c r="CN885" s="342"/>
      <c r="CO885" s="342"/>
      <c r="CP885" s="342"/>
      <c r="CQ885" s="342"/>
      <c r="CR885" s="342"/>
      <c r="CS885" s="342"/>
      <c r="CT885" s="342"/>
      <c r="CU885" s="342"/>
      <c r="CV885" s="342"/>
      <c r="CW885" s="342"/>
      <c r="CX885" s="342"/>
      <c r="CY885" s="342"/>
    </row>
    <row r="886" spans="1:103" s="343" customFormat="1" ht="36" customHeight="1" x14ac:dyDescent="0.25">
      <c r="A886" s="343">
        <v>0</v>
      </c>
      <c r="B886" s="1245">
        <v>45074</v>
      </c>
      <c r="C886" s="103">
        <v>0.72916666666666663</v>
      </c>
      <c r="D886" s="1246">
        <v>55</v>
      </c>
      <c r="E886" s="1247">
        <v>10.1</v>
      </c>
      <c r="F886" s="1247">
        <v>14.8</v>
      </c>
      <c r="G886" s="1565" t="s">
        <v>3340</v>
      </c>
      <c r="H886" s="1565"/>
      <c r="I886" s="1565"/>
      <c r="J886" s="1565"/>
      <c r="K886" s="1565"/>
      <c r="L886" s="1322">
        <v>39.020000000000003</v>
      </c>
      <c r="M886" s="1322">
        <v>43</v>
      </c>
      <c r="N886" s="1322">
        <v>60.15</v>
      </c>
      <c r="O886" s="1322"/>
      <c r="P886" s="1322"/>
      <c r="Q886" s="1322"/>
      <c r="R886" s="1322" t="s">
        <v>5701</v>
      </c>
      <c r="S886" s="1322">
        <v>66.099999999999994</v>
      </c>
      <c r="T886" s="102" t="s">
        <v>23</v>
      </c>
      <c r="U886" s="1322" t="s">
        <v>236</v>
      </c>
      <c r="V886" s="928"/>
      <c r="CM886" s="342"/>
      <c r="CN886" s="342"/>
      <c r="CO886" s="342"/>
      <c r="CP886" s="342"/>
      <c r="CQ886" s="342"/>
      <c r="CR886" s="342"/>
      <c r="CS886" s="342"/>
      <c r="CT886" s="342"/>
      <c r="CU886" s="342"/>
      <c r="CV886" s="342"/>
      <c r="CW886" s="342"/>
      <c r="CX886" s="342"/>
      <c r="CY886" s="342"/>
    </row>
    <row r="887" spans="1:103" s="343" customFormat="1" ht="36" customHeight="1" x14ac:dyDescent="0.25">
      <c r="A887" s="343">
        <v>0</v>
      </c>
      <c r="B887" s="1245">
        <v>45075</v>
      </c>
      <c r="C887" s="103">
        <v>0.72916666666666663</v>
      </c>
      <c r="D887" s="1246">
        <v>55</v>
      </c>
      <c r="E887" s="1247">
        <v>10.7</v>
      </c>
      <c r="F887" s="1247">
        <v>15.2</v>
      </c>
      <c r="G887" s="1565" t="s">
        <v>3340</v>
      </c>
      <c r="H887" s="1565"/>
      <c r="I887" s="1565"/>
      <c r="J887" s="1565"/>
      <c r="K887" s="1565"/>
      <c r="L887" s="1323">
        <v>38.6</v>
      </c>
      <c r="M887" s="1323">
        <v>42</v>
      </c>
      <c r="N887" s="1323">
        <v>57.16</v>
      </c>
      <c r="O887" s="1323"/>
      <c r="P887" s="1323"/>
      <c r="Q887" s="1323"/>
      <c r="R887" s="1323" t="s">
        <v>5710</v>
      </c>
      <c r="S887" s="1323">
        <v>59.1</v>
      </c>
      <c r="T887" s="102" t="s">
        <v>23</v>
      </c>
      <c r="U887" s="1323" t="s">
        <v>236</v>
      </c>
      <c r="V887" s="928"/>
      <c r="CM887" s="342"/>
      <c r="CN887" s="342"/>
      <c r="CO887" s="342"/>
      <c r="CP887" s="342"/>
      <c r="CQ887" s="342"/>
      <c r="CR887" s="342"/>
      <c r="CS887" s="342"/>
      <c r="CT887" s="342"/>
      <c r="CU887" s="342"/>
      <c r="CV887" s="342"/>
      <c r="CW887" s="342"/>
      <c r="CX887" s="342"/>
      <c r="CY887" s="342"/>
    </row>
    <row r="888" spans="1:103" s="343" customFormat="1" ht="36" customHeight="1" x14ac:dyDescent="0.25">
      <c r="A888" s="343">
        <v>0</v>
      </c>
      <c r="B888" s="1245">
        <v>45076</v>
      </c>
      <c r="C888" s="103">
        <v>0.70833333333333337</v>
      </c>
      <c r="D888" s="1246">
        <v>55</v>
      </c>
      <c r="E888" s="1247">
        <v>10.1</v>
      </c>
      <c r="F888" s="1247">
        <v>14.7</v>
      </c>
      <c r="G888" s="1565" t="s">
        <v>3340</v>
      </c>
      <c r="H888" s="1565"/>
      <c r="I888" s="1565"/>
      <c r="J888" s="1565"/>
      <c r="K888" s="1565"/>
      <c r="L888" s="1325">
        <v>39.450000000000003</v>
      </c>
      <c r="M888" s="1325">
        <v>43</v>
      </c>
      <c r="N888" s="1325">
        <v>51.24</v>
      </c>
      <c r="O888" s="1325"/>
      <c r="P888" s="1325"/>
      <c r="Q888" s="1325"/>
      <c r="R888" s="1325" t="s">
        <v>2583</v>
      </c>
      <c r="S888" s="1325">
        <v>57.1</v>
      </c>
      <c r="T888" s="102" t="s">
        <v>23</v>
      </c>
      <c r="U888" s="1325" t="s">
        <v>236</v>
      </c>
      <c r="V888" s="928"/>
      <c r="CM888" s="342"/>
      <c r="CN888" s="342"/>
      <c r="CO888" s="342"/>
      <c r="CP888" s="342"/>
      <c r="CQ888" s="342"/>
      <c r="CR888" s="342"/>
      <c r="CS888" s="342"/>
      <c r="CT888" s="342"/>
      <c r="CU888" s="342"/>
      <c r="CV888" s="342"/>
      <c r="CW888" s="342"/>
      <c r="CX888" s="342"/>
      <c r="CY888" s="342"/>
    </row>
    <row r="889" spans="1:103" s="343" customFormat="1" ht="36" customHeight="1" x14ac:dyDescent="0.25">
      <c r="A889" s="343">
        <v>0</v>
      </c>
      <c r="B889" s="1245">
        <v>45077</v>
      </c>
      <c r="C889" s="103">
        <v>0.85416666666666663</v>
      </c>
      <c r="D889" s="1246">
        <v>55</v>
      </c>
      <c r="E889" s="1247">
        <v>12.1</v>
      </c>
      <c r="F889" s="1247">
        <v>16.5</v>
      </c>
      <c r="G889" s="1565" t="s">
        <v>3340</v>
      </c>
      <c r="H889" s="1565"/>
      <c r="I889" s="1565"/>
      <c r="J889" s="1565"/>
      <c r="K889" s="1565"/>
      <c r="L889" s="1326">
        <v>38.380000000000003</v>
      </c>
      <c r="M889" s="1326">
        <v>42</v>
      </c>
      <c r="N889" s="1326">
        <v>57.27</v>
      </c>
      <c r="O889" s="1326"/>
      <c r="P889" s="1326"/>
      <c r="Q889" s="1326"/>
      <c r="R889" s="1326" t="s">
        <v>4724</v>
      </c>
      <c r="S889" s="1326">
        <v>64.2</v>
      </c>
      <c r="T889" s="102" t="s">
        <v>23</v>
      </c>
      <c r="U889" s="1326" t="s">
        <v>236</v>
      </c>
      <c r="V889" s="928"/>
      <c r="CM889" s="342"/>
      <c r="CN889" s="342"/>
      <c r="CO889" s="342"/>
      <c r="CP889" s="342"/>
      <c r="CQ889" s="342"/>
      <c r="CR889" s="342"/>
      <c r="CS889" s="342"/>
      <c r="CT889" s="342"/>
      <c r="CU889" s="342"/>
      <c r="CV889" s="342"/>
      <c r="CW889" s="342"/>
      <c r="CX889" s="342"/>
      <c r="CY889" s="342"/>
    </row>
    <row r="890" spans="1:103" s="343" customFormat="1" ht="36" customHeight="1" x14ac:dyDescent="0.25">
      <c r="A890" s="343">
        <v>0</v>
      </c>
      <c r="B890" s="1245">
        <v>45078</v>
      </c>
      <c r="C890" s="103">
        <v>0.77083333333333337</v>
      </c>
      <c r="D890" s="1246">
        <v>55</v>
      </c>
      <c r="E890" s="1247">
        <v>12.2</v>
      </c>
      <c r="F890" s="1247">
        <v>16.5</v>
      </c>
      <c r="G890" s="1565" t="s">
        <v>3340</v>
      </c>
      <c r="H890" s="1565"/>
      <c r="I890" s="1565"/>
      <c r="J890" s="1565"/>
      <c r="K890" s="1565"/>
      <c r="L890" s="1330">
        <v>36.909999999999997</v>
      </c>
      <c r="M890" s="1330">
        <v>40.5</v>
      </c>
      <c r="N890" s="1330">
        <v>60.34</v>
      </c>
      <c r="O890" s="1330"/>
      <c r="P890" s="1330"/>
      <c r="Q890" s="1330"/>
      <c r="R890" s="1330" t="s">
        <v>4161</v>
      </c>
      <c r="S890" s="1330">
        <v>64.2</v>
      </c>
      <c r="T890" s="102" t="s">
        <v>23</v>
      </c>
      <c r="U890" s="1330" t="s">
        <v>236</v>
      </c>
      <c r="V890" s="928"/>
      <c r="CM890" s="342"/>
      <c r="CN890" s="342"/>
      <c r="CO890" s="342"/>
      <c r="CP890" s="342"/>
      <c r="CQ890" s="342"/>
      <c r="CR890" s="342"/>
      <c r="CS890" s="342"/>
      <c r="CT890" s="342"/>
      <c r="CU890" s="342"/>
      <c r="CV890" s="342"/>
      <c r="CW890" s="342"/>
      <c r="CX890" s="342"/>
      <c r="CY890" s="342"/>
    </row>
    <row r="891" spans="1:103" s="343" customFormat="1" ht="36" customHeight="1" x14ac:dyDescent="0.25">
      <c r="A891" s="343">
        <v>0</v>
      </c>
      <c r="B891" s="1245">
        <v>45079</v>
      </c>
      <c r="C891" s="103">
        <v>0.75</v>
      </c>
      <c r="D891" s="1246">
        <v>55</v>
      </c>
      <c r="E891" s="1247">
        <v>10.6</v>
      </c>
      <c r="F891" s="1247">
        <v>15.3</v>
      </c>
      <c r="G891" s="1565" t="s">
        <v>3340</v>
      </c>
      <c r="H891" s="1565"/>
      <c r="I891" s="1565"/>
      <c r="J891" s="1565"/>
      <c r="K891" s="1565"/>
      <c r="L891" s="1332">
        <v>38.950000000000003</v>
      </c>
      <c r="M891" s="1332">
        <v>42.5</v>
      </c>
      <c r="N891" s="1332">
        <v>57.24</v>
      </c>
      <c r="O891" s="1332"/>
      <c r="P891" s="1332"/>
      <c r="Q891" s="1332"/>
      <c r="R891" s="1332" t="s">
        <v>4668</v>
      </c>
      <c r="S891" s="1332">
        <v>59.5</v>
      </c>
      <c r="T891" s="102" t="s">
        <v>23</v>
      </c>
      <c r="U891" s="1332" t="s">
        <v>236</v>
      </c>
      <c r="V891" s="928"/>
      <c r="CM891" s="342"/>
      <c r="CN891" s="342"/>
      <c r="CO891" s="342"/>
      <c r="CP891" s="342"/>
      <c r="CQ891" s="342"/>
      <c r="CR891" s="342"/>
      <c r="CS891" s="342"/>
      <c r="CT891" s="342"/>
      <c r="CU891" s="342"/>
      <c r="CV891" s="342"/>
      <c r="CW891" s="342"/>
      <c r="CX891" s="342"/>
      <c r="CY891" s="342"/>
    </row>
    <row r="892" spans="1:103" s="343" customFormat="1" ht="34.5" customHeight="1" x14ac:dyDescent="0.25">
      <c r="A892" s="343">
        <v>0</v>
      </c>
      <c r="B892" s="1245">
        <v>45080</v>
      </c>
      <c r="C892" s="103">
        <v>0.70833333333333337</v>
      </c>
      <c r="D892" s="1246">
        <v>55</v>
      </c>
      <c r="E892" s="1247">
        <v>13.6</v>
      </c>
      <c r="F892" s="1247">
        <v>17.8</v>
      </c>
      <c r="G892" s="1565" t="s">
        <v>3340</v>
      </c>
      <c r="H892" s="1565"/>
      <c r="I892" s="1565"/>
      <c r="J892" s="1565"/>
      <c r="K892" s="1565"/>
      <c r="L892" s="1334">
        <v>35.69</v>
      </c>
      <c r="M892" s="1334">
        <v>42</v>
      </c>
      <c r="N892" s="1334">
        <v>56.93</v>
      </c>
      <c r="O892" s="1334"/>
      <c r="P892" s="1334"/>
      <c r="Q892" s="1334"/>
      <c r="R892" s="1334" t="s">
        <v>5743</v>
      </c>
      <c r="S892" s="1334">
        <v>69.2</v>
      </c>
      <c r="T892" s="102" t="s">
        <v>23</v>
      </c>
      <c r="U892" s="1334" t="s">
        <v>236</v>
      </c>
      <c r="V892" s="928" t="s">
        <v>5748</v>
      </c>
      <c r="CM892" s="342"/>
      <c r="CN892" s="342"/>
      <c r="CO892" s="342"/>
      <c r="CP892" s="342"/>
      <c r="CQ892" s="342"/>
      <c r="CR892" s="342"/>
      <c r="CS892" s="342"/>
      <c r="CT892" s="342"/>
      <c r="CU892" s="342"/>
      <c r="CV892" s="342"/>
      <c r="CW892" s="342"/>
      <c r="CX892" s="342"/>
      <c r="CY892" s="342"/>
    </row>
    <row r="893" spans="1:103" s="343" customFormat="1" ht="34.5" customHeight="1" x14ac:dyDescent="0.25">
      <c r="A893" s="343">
        <v>0</v>
      </c>
      <c r="B893" s="1245">
        <v>45081</v>
      </c>
      <c r="C893" s="103">
        <v>0.77083333333333337</v>
      </c>
      <c r="D893" s="1246">
        <v>56</v>
      </c>
      <c r="E893" s="1247">
        <v>11.1</v>
      </c>
      <c r="F893" s="1247">
        <v>15.7</v>
      </c>
      <c r="G893" s="1565" t="s">
        <v>3340</v>
      </c>
      <c r="H893" s="1565"/>
      <c r="I893" s="1565"/>
      <c r="J893" s="1565"/>
      <c r="K893" s="1565"/>
      <c r="L893" s="1336">
        <v>38.51</v>
      </c>
      <c r="M893" s="1336">
        <v>42.5</v>
      </c>
      <c r="N893" s="1336">
        <v>61.07</v>
      </c>
      <c r="O893" s="1336"/>
      <c r="P893" s="1336"/>
      <c r="Q893" s="1336"/>
      <c r="R893" s="1336" t="s">
        <v>4002</v>
      </c>
      <c r="S893" s="1336">
        <v>61</v>
      </c>
      <c r="T893" s="102" t="s">
        <v>23</v>
      </c>
      <c r="U893" s="1336" t="s">
        <v>236</v>
      </c>
      <c r="V893" s="928" t="s">
        <v>5750</v>
      </c>
      <c r="CM893" s="342"/>
      <c r="CN893" s="342"/>
      <c r="CO893" s="342"/>
      <c r="CP893" s="342"/>
      <c r="CQ893" s="342"/>
      <c r="CR893" s="342"/>
      <c r="CS893" s="342"/>
      <c r="CT893" s="342"/>
      <c r="CU893" s="342"/>
      <c r="CV893" s="342"/>
      <c r="CW893" s="342"/>
      <c r="CX893" s="342"/>
      <c r="CY893" s="342"/>
    </row>
    <row r="894" spans="1:103" s="343" customFormat="1" ht="34.5" customHeight="1" x14ac:dyDescent="0.25">
      <c r="A894" s="343">
        <v>0</v>
      </c>
      <c r="B894" s="1245">
        <v>45082</v>
      </c>
      <c r="C894" s="103">
        <v>0.95833333333333337</v>
      </c>
      <c r="D894" s="1246">
        <v>55.5</v>
      </c>
      <c r="E894" s="1247">
        <v>12.9</v>
      </c>
      <c r="F894" s="1247">
        <v>17</v>
      </c>
      <c r="G894" s="1565" t="s">
        <v>3340</v>
      </c>
      <c r="H894" s="1565"/>
      <c r="I894" s="1565"/>
      <c r="J894" s="1565"/>
      <c r="K894" s="1565"/>
      <c r="L894" s="1337">
        <v>37.369999999999997</v>
      </c>
      <c r="M894" s="1337">
        <v>41</v>
      </c>
      <c r="N894" s="1337">
        <v>64.010000000000005</v>
      </c>
      <c r="O894" s="1337"/>
      <c r="P894" s="1337"/>
      <c r="Q894" s="1337"/>
      <c r="R894" s="1337" t="s">
        <v>5501</v>
      </c>
      <c r="S894" s="1337">
        <v>66.099999999999994</v>
      </c>
      <c r="T894" s="102" t="s">
        <v>23</v>
      </c>
      <c r="U894" s="1337" t="s">
        <v>236</v>
      </c>
      <c r="V894" s="928" t="s">
        <v>5755</v>
      </c>
      <c r="CM894" s="342"/>
      <c r="CN894" s="342"/>
      <c r="CO894" s="342"/>
      <c r="CP894" s="342"/>
      <c r="CQ894" s="342"/>
      <c r="CR894" s="342"/>
      <c r="CS894" s="342"/>
      <c r="CT894" s="342"/>
      <c r="CU894" s="342"/>
      <c r="CV894" s="342"/>
      <c r="CW894" s="342"/>
      <c r="CX894" s="342"/>
      <c r="CY894" s="342"/>
    </row>
    <row r="895" spans="1:103" s="343" customFormat="1" ht="34.5" customHeight="1" x14ac:dyDescent="0.25">
      <c r="A895" s="343">
        <v>0</v>
      </c>
      <c r="B895" s="1245">
        <v>45083</v>
      </c>
      <c r="C895" s="103">
        <v>0.70833333333333337</v>
      </c>
      <c r="D895" s="1246">
        <v>55.5</v>
      </c>
      <c r="E895" s="1247">
        <v>10</v>
      </c>
      <c r="F895" s="1247">
        <v>14.7</v>
      </c>
      <c r="G895" s="1565" t="s">
        <v>3340</v>
      </c>
      <c r="H895" s="1565"/>
      <c r="I895" s="1565"/>
      <c r="J895" s="1565"/>
      <c r="K895" s="1565"/>
      <c r="L895" s="1339">
        <v>39.36</v>
      </c>
      <c r="M895" s="1339">
        <v>42.5</v>
      </c>
      <c r="N895" s="1339">
        <v>55.74</v>
      </c>
      <c r="O895" s="1339"/>
      <c r="P895" s="1339"/>
      <c r="Q895" s="1339"/>
      <c r="R895" s="1339" t="s">
        <v>4418</v>
      </c>
      <c r="S895" s="1339">
        <v>57.1</v>
      </c>
      <c r="T895" s="102" t="s">
        <v>23</v>
      </c>
      <c r="U895" s="1339" t="s">
        <v>236</v>
      </c>
      <c r="V895" s="928"/>
      <c r="CM895" s="342"/>
      <c r="CN895" s="342"/>
      <c r="CO895" s="342"/>
      <c r="CP895" s="342"/>
      <c r="CQ895" s="342"/>
      <c r="CR895" s="342"/>
      <c r="CS895" s="342"/>
      <c r="CT895" s="342"/>
      <c r="CU895" s="342"/>
      <c r="CV895" s="342"/>
      <c r="CW895" s="342"/>
      <c r="CX895" s="342"/>
      <c r="CY895" s="342"/>
    </row>
    <row r="896" spans="1:103" s="343" customFormat="1" ht="34.5" customHeight="1" x14ac:dyDescent="0.25">
      <c r="A896" s="343">
        <v>0</v>
      </c>
      <c r="B896" s="1245">
        <v>45084</v>
      </c>
      <c r="C896" s="103">
        <v>0.72916666666666663</v>
      </c>
      <c r="D896" s="1246">
        <v>55.5</v>
      </c>
      <c r="E896" s="1247">
        <v>10.5</v>
      </c>
      <c r="F896" s="1247">
        <v>15.2</v>
      </c>
      <c r="G896" s="1565" t="s">
        <v>3340</v>
      </c>
      <c r="H896" s="1565"/>
      <c r="I896" s="1565"/>
      <c r="J896" s="1565"/>
      <c r="K896" s="1565"/>
      <c r="L896" s="1341">
        <v>37.590000000000003</v>
      </c>
      <c r="M896" s="1341">
        <v>41</v>
      </c>
      <c r="N896" s="1341">
        <v>60.57</v>
      </c>
      <c r="O896" s="1341"/>
      <c r="P896" s="1341"/>
      <c r="Q896" s="1341"/>
      <c r="R896" s="1341" t="s">
        <v>4491</v>
      </c>
      <c r="S896" s="1341">
        <v>59.1</v>
      </c>
      <c r="T896" s="102" t="s">
        <v>23</v>
      </c>
      <c r="U896" s="1341" t="s">
        <v>236</v>
      </c>
      <c r="V896" s="928"/>
      <c r="CM896" s="342"/>
      <c r="CN896" s="342"/>
      <c r="CO896" s="342"/>
      <c r="CP896" s="342"/>
      <c r="CQ896" s="342"/>
      <c r="CR896" s="342"/>
      <c r="CS896" s="342"/>
      <c r="CT896" s="342"/>
      <c r="CU896" s="342"/>
      <c r="CV896" s="342"/>
      <c r="CW896" s="342"/>
      <c r="CX896" s="342"/>
      <c r="CY896" s="342"/>
    </row>
    <row r="897" spans="1:103" s="343" customFormat="1" ht="34.5" customHeight="1" x14ac:dyDescent="0.25">
      <c r="A897" s="343">
        <v>0</v>
      </c>
      <c r="B897" s="1245">
        <v>45085</v>
      </c>
      <c r="C897" s="103">
        <v>0.91666666666666663</v>
      </c>
      <c r="D897" s="1246">
        <v>55</v>
      </c>
      <c r="E897" s="1247">
        <v>13</v>
      </c>
      <c r="F897" s="1247">
        <v>17.2</v>
      </c>
      <c r="G897" s="1565" t="s">
        <v>3340</v>
      </c>
      <c r="H897" s="1565"/>
      <c r="I897" s="1565"/>
      <c r="J897" s="1565"/>
      <c r="K897" s="1565"/>
      <c r="L897" s="1343">
        <v>35.340000000000003</v>
      </c>
      <c r="M897" s="1343">
        <v>39</v>
      </c>
      <c r="N897" s="1343">
        <v>62.37</v>
      </c>
      <c r="O897" s="1343"/>
      <c r="P897" s="1343"/>
      <c r="Q897" s="1343"/>
      <c r="R897" s="1343" t="s">
        <v>5780</v>
      </c>
      <c r="S897" s="1343">
        <v>66.900000000000006</v>
      </c>
      <c r="T897" s="102" t="s">
        <v>23</v>
      </c>
      <c r="U897" s="1343" t="s">
        <v>236</v>
      </c>
      <c r="V897" s="928"/>
      <c r="CM897" s="342"/>
      <c r="CN897" s="342"/>
      <c r="CO897" s="342"/>
      <c r="CP897" s="342"/>
      <c r="CQ897" s="342"/>
      <c r="CR897" s="342"/>
      <c r="CS897" s="342"/>
      <c r="CT897" s="342"/>
      <c r="CU897" s="342"/>
      <c r="CV897" s="342"/>
      <c r="CW897" s="342"/>
      <c r="CX897" s="342"/>
      <c r="CY897" s="342"/>
    </row>
    <row r="898" spans="1:103" s="343" customFormat="1" ht="34.5" customHeight="1" x14ac:dyDescent="0.25">
      <c r="A898" s="343">
        <v>0</v>
      </c>
      <c r="B898" s="1245">
        <v>45086</v>
      </c>
      <c r="C898" s="103">
        <v>0.79166666666666663</v>
      </c>
      <c r="D898" s="1246">
        <v>55</v>
      </c>
      <c r="E898" s="1247">
        <v>10.1</v>
      </c>
      <c r="F898" s="1247">
        <v>14.9</v>
      </c>
      <c r="G898" s="1565" t="s">
        <v>3340</v>
      </c>
      <c r="H898" s="1565"/>
      <c r="I898" s="1565"/>
      <c r="J898" s="1565"/>
      <c r="K898" s="1565"/>
      <c r="L898" s="1344">
        <v>37.96</v>
      </c>
      <c r="M898" s="1344">
        <v>40.5</v>
      </c>
      <c r="N898" s="1344">
        <v>57.05</v>
      </c>
      <c r="O898" s="1344"/>
      <c r="P898" s="1344"/>
      <c r="Q898" s="1344"/>
      <c r="R898" s="1344" t="s">
        <v>3818</v>
      </c>
      <c r="S898" s="1344">
        <v>57.9</v>
      </c>
      <c r="T898" s="102" t="s">
        <v>23</v>
      </c>
      <c r="U898" s="1344" t="s">
        <v>236</v>
      </c>
      <c r="V898" s="928"/>
      <c r="CM898" s="342"/>
      <c r="CN898" s="342"/>
      <c r="CO898" s="342"/>
      <c r="CP898" s="342"/>
      <c r="CQ898" s="342"/>
      <c r="CR898" s="342"/>
      <c r="CS898" s="342"/>
      <c r="CT898" s="342"/>
      <c r="CU898" s="342"/>
      <c r="CV898" s="342"/>
      <c r="CW898" s="342"/>
      <c r="CX898" s="342"/>
      <c r="CY898" s="342"/>
    </row>
    <row r="899" spans="1:103" s="343" customFormat="1" ht="34.5" customHeight="1" x14ac:dyDescent="0.25">
      <c r="A899" s="343">
        <v>0</v>
      </c>
      <c r="B899" s="1245">
        <v>45087</v>
      </c>
      <c r="C899" s="103">
        <v>0.79166666666666663</v>
      </c>
      <c r="D899" s="1246">
        <v>55</v>
      </c>
      <c r="E899" s="1247">
        <v>10.8</v>
      </c>
      <c r="F899" s="1247">
        <v>15.5</v>
      </c>
      <c r="G899" s="1565" t="s">
        <v>3340</v>
      </c>
      <c r="H899" s="1565"/>
      <c r="I899" s="1565"/>
      <c r="J899" s="1565"/>
      <c r="K899" s="1565"/>
      <c r="L899" s="1346">
        <v>34.659999999999997</v>
      </c>
      <c r="M899" s="1346">
        <v>40</v>
      </c>
      <c r="N899" s="1346">
        <v>62.33</v>
      </c>
      <c r="O899" s="1346"/>
      <c r="P899" s="1346"/>
      <c r="Q899" s="1346"/>
      <c r="R899" s="1346" t="s">
        <v>1080</v>
      </c>
      <c r="S899" s="1346">
        <v>60.3</v>
      </c>
      <c r="T899" s="102" t="s">
        <v>23</v>
      </c>
      <c r="U899" s="1346" t="s">
        <v>236</v>
      </c>
      <c r="V899" s="928"/>
      <c r="CM899" s="342"/>
      <c r="CN899" s="342"/>
      <c r="CO899" s="342"/>
      <c r="CP899" s="342"/>
      <c r="CQ899" s="342"/>
      <c r="CR899" s="342"/>
      <c r="CS899" s="342"/>
      <c r="CT899" s="342"/>
      <c r="CU899" s="342"/>
      <c r="CV899" s="342"/>
      <c r="CW899" s="342"/>
      <c r="CX899" s="342"/>
      <c r="CY899" s="342"/>
    </row>
    <row r="900" spans="1:103" s="343" customFormat="1" ht="34.5" customHeight="1" x14ac:dyDescent="0.25">
      <c r="A900" s="343">
        <v>0</v>
      </c>
      <c r="B900" s="1245">
        <v>45088</v>
      </c>
      <c r="C900" s="103">
        <v>0.77083333333333337</v>
      </c>
      <c r="D900" s="1246">
        <v>55</v>
      </c>
      <c r="E900" s="1247">
        <v>13.2</v>
      </c>
      <c r="F900" s="1247">
        <v>17.3</v>
      </c>
      <c r="G900" s="1565" t="s">
        <v>3340</v>
      </c>
      <c r="H900" s="1565"/>
      <c r="I900" s="1565"/>
      <c r="J900" s="1565"/>
      <c r="K900" s="1565"/>
      <c r="L900" s="1348">
        <v>37.5</v>
      </c>
      <c r="M900" s="1348">
        <v>41.5</v>
      </c>
      <c r="N900" s="1348">
        <v>57.04</v>
      </c>
      <c r="O900" s="1348"/>
      <c r="P900" s="1348"/>
      <c r="Q900" s="1348"/>
      <c r="R900" s="1348" t="s">
        <v>2880</v>
      </c>
      <c r="S900" s="1348">
        <v>67.3</v>
      </c>
      <c r="T900" s="102" t="s">
        <v>23</v>
      </c>
      <c r="U900" s="1348" t="s">
        <v>236</v>
      </c>
      <c r="V900" s="928"/>
      <c r="CM900" s="342"/>
      <c r="CN900" s="342"/>
      <c r="CO900" s="342"/>
      <c r="CP900" s="342"/>
      <c r="CQ900" s="342"/>
      <c r="CR900" s="342"/>
      <c r="CS900" s="342"/>
      <c r="CT900" s="342"/>
      <c r="CU900" s="342"/>
      <c r="CV900" s="342"/>
      <c r="CW900" s="342"/>
      <c r="CX900" s="342"/>
      <c r="CY900" s="342"/>
    </row>
    <row r="901" spans="1:103" s="343" customFormat="1" ht="34.5" customHeight="1" x14ac:dyDescent="0.25">
      <c r="A901" s="343">
        <v>0</v>
      </c>
      <c r="B901" s="1245">
        <v>45089</v>
      </c>
      <c r="C901" s="103">
        <v>0.77083333333333337</v>
      </c>
      <c r="D901" s="1246">
        <v>55</v>
      </c>
      <c r="E901" s="1247">
        <v>12.6</v>
      </c>
      <c r="F901" s="1247">
        <v>16.899999999999999</v>
      </c>
      <c r="G901" s="1565" t="s">
        <v>3340</v>
      </c>
      <c r="H901" s="1565"/>
      <c r="I901" s="1565"/>
      <c r="J901" s="1565"/>
      <c r="K901" s="1565"/>
      <c r="L901" s="1349">
        <v>35.39</v>
      </c>
      <c r="M901" s="1349">
        <v>41</v>
      </c>
      <c r="N901" s="1349">
        <v>62.09</v>
      </c>
      <c r="O901" s="1349"/>
      <c r="P901" s="1349"/>
      <c r="Q901" s="1349"/>
      <c r="R901" s="1349" t="s">
        <v>5798</v>
      </c>
      <c r="S901" s="1349">
        <v>65.7</v>
      </c>
      <c r="T901" s="102" t="s">
        <v>23</v>
      </c>
      <c r="U901" s="1349" t="s">
        <v>236</v>
      </c>
      <c r="V901" s="928"/>
      <c r="CM901" s="342"/>
      <c r="CN901" s="342"/>
      <c r="CO901" s="342"/>
      <c r="CP901" s="342"/>
      <c r="CQ901" s="342"/>
      <c r="CR901" s="342"/>
      <c r="CS901" s="342"/>
      <c r="CT901" s="342"/>
      <c r="CU901" s="342"/>
      <c r="CV901" s="342"/>
      <c r="CW901" s="342"/>
      <c r="CX901" s="342"/>
      <c r="CY901" s="342"/>
    </row>
    <row r="902" spans="1:103" s="343" customFormat="1" ht="34.5" customHeight="1" x14ac:dyDescent="0.25">
      <c r="A902" s="343">
        <v>0</v>
      </c>
      <c r="B902" s="1245">
        <v>45090</v>
      </c>
      <c r="C902" s="103">
        <v>0.8125</v>
      </c>
      <c r="D902" s="1246">
        <v>55</v>
      </c>
      <c r="E902" s="1247">
        <v>10.8</v>
      </c>
      <c r="F902" s="1247">
        <v>15.4</v>
      </c>
      <c r="G902" s="1565" t="s">
        <v>3340</v>
      </c>
      <c r="H902" s="1565"/>
      <c r="I902" s="1565"/>
      <c r="J902" s="1565"/>
      <c r="K902" s="1565"/>
      <c r="L902" s="1351">
        <v>36.43</v>
      </c>
      <c r="M902" s="1351">
        <v>41</v>
      </c>
      <c r="N902" s="1351">
        <v>61.38</v>
      </c>
      <c r="O902" s="1351"/>
      <c r="P902" s="1351"/>
      <c r="Q902" s="1351"/>
      <c r="R902" s="1351" t="s">
        <v>5802</v>
      </c>
      <c r="S902" s="1351">
        <v>59.9</v>
      </c>
      <c r="T902" s="102" t="s">
        <v>23</v>
      </c>
      <c r="U902" s="1351" t="s">
        <v>236</v>
      </c>
      <c r="V902" s="928"/>
      <c r="CM902" s="342"/>
      <c r="CN902" s="342"/>
      <c r="CO902" s="342"/>
      <c r="CP902" s="342"/>
      <c r="CQ902" s="342"/>
      <c r="CR902" s="342"/>
      <c r="CS902" s="342"/>
      <c r="CT902" s="342"/>
      <c r="CU902" s="342"/>
      <c r="CV902" s="342"/>
      <c r="CW902" s="342"/>
      <c r="CX902" s="342"/>
      <c r="CY902" s="342"/>
    </row>
    <row r="903" spans="1:103" s="343" customFormat="1" ht="34.5" customHeight="1" x14ac:dyDescent="0.25">
      <c r="A903" s="343">
        <v>0</v>
      </c>
      <c r="B903" s="1245">
        <v>45091</v>
      </c>
      <c r="C903" s="103">
        <v>0.79166666666666663</v>
      </c>
      <c r="D903" s="1246">
        <v>51</v>
      </c>
      <c r="E903" s="1247">
        <v>10.9</v>
      </c>
      <c r="F903" s="1247">
        <v>15.2</v>
      </c>
      <c r="G903" s="1565" t="s">
        <v>3340</v>
      </c>
      <c r="H903" s="1565"/>
      <c r="I903" s="1565"/>
      <c r="J903" s="1565"/>
      <c r="K903" s="1565"/>
      <c r="L903" s="1352">
        <v>24.79</v>
      </c>
      <c r="M903" s="1352">
        <v>30</v>
      </c>
      <c r="N903" s="1352">
        <v>64.36</v>
      </c>
      <c r="O903" s="1352"/>
      <c r="P903" s="1352"/>
      <c r="Q903" s="1352"/>
      <c r="R903" s="1352" t="s">
        <v>5814</v>
      </c>
      <c r="S903" s="1352">
        <v>59.1</v>
      </c>
      <c r="T903" s="102" t="s">
        <v>23</v>
      </c>
      <c r="U903" s="1352" t="s">
        <v>236</v>
      </c>
      <c r="V903" s="928" t="s">
        <v>5817</v>
      </c>
      <c r="CM903" s="342"/>
      <c r="CN903" s="342"/>
      <c r="CO903" s="342"/>
      <c r="CP903" s="342"/>
      <c r="CQ903" s="342"/>
      <c r="CR903" s="342"/>
      <c r="CS903" s="342"/>
      <c r="CT903" s="342"/>
      <c r="CU903" s="342"/>
      <c r="CV903" s="342"/>
      <c r="CW903" s="342"/>
      <c r="CX903" s="342"/>
      <c r="CY903" s="342"/>
    </row>
    <row r="904" spans="1:103" s="343" customFormat="1" ht="34.5" customHeight="1" x14ac:dyDescent="0.25">
      <c r="A904" s="343">
        <v>0</v>
      </c>
      <c r="B904" s="1245">
        <v>45092</v>
      </c>
      <c r="C904" s="103">
        <v>0.77083333333333337</v>
      </c>
      <c r="D904" s="1246">
        <v>51</v>
      </c>
      <c r="E904" s="1247">
        <v>10.9</v>
      </c>
      <c r="F904" s="1247">
        <v>15.2</v>
      </c>
      <c r="G904" s="1565" t="s">
        <v>3340</v>
      </c>
      <c r="H904" s="1565"/>
      <c r="I904" s="1565"/>
      <c r="J904" s="1565"/>
      <c r="K904" s="1565"/>
      <c r="L904" s="1354">
        <v>21.1</v>
      </c>
      <c r="M904" s="1354">
        <v>28</v>
      </c>
      <c r="N904" s="1354">
        <v>64.12</v>
      </c>
      <c r="O904" s="1354"/>
      <c r="P904" s="1354"/>
      <c r="Q904" s="1354"/>
      <c r="R904" s="1354" t="s">
        <v>5710</v>
      </c>
      <c r="S904" s="1354">
        <v>59.1</v>
      </c>
      <c r="T904" s="102" t="s">
        <v>23</v>
      </c>
      <c r="U904" s="1354" t="s">
        <v>236</v>
      </c>
      <c r="V904" s="928"/>
      <c r="CM904" s="342"/>
      <c r="CN904" s="342"/>
      <c r="CO904" s="342"/>
      <c r="CP904" s="342"/>
      <c r="CQ904" s="342"/>
      <c r="CR904" s="342"/>
      <c r="CS904" s="342"/>
      <c r="CT904" s="342"/>
      <c r="CU904" s="342"/>
      <c r="CV904" s="342"/>
      <c r="CW904" s="342"/>
      <c r="CX904" s="342"/>
      <c r="CY904" s="342"/>
    </row>
    <row r="905" spans="1:103" s="343" customFormat="1" ht="34.5" customHeight="1" x14ac:dyDescent="0.25">
      <c r="A905" s="343">
        <v>0</v>
      </c>
      <c r="B905" s="1245">
        <v>45093</v>
      </c>
      <c r="C905" s="103">
        <v>0.75</v>
      </c>
      <c r="D905" s="1246">
        <v>51</v>
      </c>
      <c r="E905" s="1247">
        <v>9</v>
      </c>
      <c r="F905" s="1247">
        <v>13.8</v>
      </c>
      <c r="G905" s="1565" t="s">
        <v>3340</v>
      </c>
      <c r="H905" s="1565"/>
      <c r="I905" s="1565"/>
      <c r="J905" s="1565"/>
      <c r="K905" s="1565"/>
      <c r="L905" s="1355">
        <v>25.13</v>
      </c>
      <c r="M905" s="1355">
        <v>29</v>
      </c>
      <c r="N905" s="1355">
        <v>61.6</v>
      </c>
      <c r="O905" s="1355"/>
      <c r="P905" s="1355"/>
      <c r="Q905" s="1355"/>
      <c r="R905" s="1355" t="s">
        <v>1901</v>
      </c>
      <c r="S905" s="1355">
        <v>53.6</v>
      </c>
      <c r="T905" s="102" t="s">
        <v>23</v>
      </c>
      <c r="U905" s="1355" t="s">
        <v>236</v>
      </c>
      <c r="V905" s="928"/>
      <c r="CM905" s="342"/>
      <c r="CN905" s="342"/>
      <c r="CO905" s="342"/>
      <c r="CP905" s="342"/>
      <c r="CQ905" s="342"/>
      <c r="CR905" s="342"/>
      <c r="CS905" s="342"/>
      <c r="CT905" s="342"/>
      <c r="CU905" s="342"/>
      <c r="CV905" s="342"/>
      <c r="CW905" s="342"/>
      <c r="CX905" s="342"/>
      <c r="CY905" s="342"/>
    </row>
    <row r="906" spans="1:103" s="343" customFormat="1" ht="34.5" customHeight="1" x14ac:dyDescent="0.25">
      <c r="A906" s="343">
        <v>0</v>
      </c>
      <c r="B906" s="1245">
        <v>45094</v>
      </c>
      <c r="C906" s="103">
        <v>0.79166666666666663</v>
      </c>
      <c r="D906" s="1246">
        <v>51</v>
      </c>
      <c r="E906" s="1247">
        <v>10.8</v>
      </c>
      <c r="F906" s="1247">
        <v>15.1</v>
      </c>
      <c r="G906" s="1565" t="s">
        <v>3340</v>
      </c>
      <c r="H906" s="1565"/>
      <c r="I906" s="1565"/>
      <c r="J906" s="1565"/>
      <c r="K906" s="1565"/>
      <c r="L906" s="1356">
        <v>26.56</v>
      </c>
      <c r="M906" s="1356">
        <v>30.5</v>
      </c>
      <c r="N906" s="1356">
        <v>60.26</v>
      </c>
      <c r="O906" s="1356"/>
      <c r="P906" s="1356"/>
      <c r="Q906" s="1356"/>
      <c r="R906" s="1356" t="s">
        <v>4491</v>
      </c>
      <c r="S906" s="1356">
        <v>58.7</v>
      </c>
      <c r="T906" s="102" t="s">
        <v>23</v>
      </c>
      <c r="U906" s="1356" t="s">
        <v>236</v>
      </c>
      <c r="V906" s="928"/>
      <c r="CM906" s="342"/>
      <c r="CN906" s="342"/>
      <c r="CO906" s="342"/>
      <c r="CP906" s="342"/>
      <c r="CQ906" s="342"/>
      <c r="CR906" s="342"/>
      <c r="CS906" s="342"/>
      <c r="CT906" s="342"/>
      <c r="CU906" s="342"/>
      <c r="CV906" s="342"/>
      <c r="CW906" s="342"/>
      <c r="CX906" s="342"/>
      <c r="CY906" s="342"/>
    </row>
    <row r="907" spans="1:103" s="343" customFormat="1" ht="34.5" customHeight="1" x14ac:dyDescent="0.25">
      <c r="A907" s="343">
        <v>0</v>
      </c>
      <c r="B907" s="1245">
        <v>45095</v>
      </c>
      <c r="C907" s="103">
        <v>0.75</v>
      </c>
      <c r="D907" s="1246">
        <v>51</v>
      </c>
      <c r="E907" s="1247">
        <v>9.6999999999999993</v>
      </c>
      <c r="F907" s="1247">
        <v>14.4</v>
      </c>
      <c r="G907" s="1565" t="s">
        <v>3340</v>
      </c>
      <c r="H907" s="1565"/>
      <c r="I907" s="1565"/>
      <c r="J907" s="1565"/>
      <c r="K907" s="1565"/>
      <c r="L907" s="1358">
        <v>25.2</v>
      </c>
      <c r="M907" s="1358">
        <v>30.5</v>
      </c>
      <c r="N907" s="1358">
        <v>59.23</v>
      </c>
      <c r="O907" s="1358"/>
      <c r="P907" s="1358"/>
      <c r="Q907" s="1358"/>
      <c r="R907" s="1358" t="s">
        <v>3456</v>
      </c>
      <c r="S907" s="1358">
        <v>56</v>
      </c>
      <c r="T907" s="102" t="s">
        <v>23</v>
      </c>
      <c r="U907" s="1358" t="s">
        <v>236</v>
      </c>
      <c r="V907" s="928"/>
      <c r="CM907" s="342"/>
      <c r="CN907" s="342"/>
      <c r="CO907" s="342"/>
      <c r="CP907" s="342"/>
      <c r="CQ907" s="342"/>
      <c r="CR907" s="342"/>
      <c r="CS907" s="342"/>
      <c r="CT907" s="342"/>
      <c r="CU907" s="342"/>
      <c r="CV907" s="342"/>
      <c r="CW907" s="342"/>
      <c r="CX907" s="342"/>
      <c r="CY907" s="342"/>
    </row>
    <row r="908" spans="1:103" s="343" customFormat="1" ht="34.5" customHeight="1" x14ac:dyDescent="0.25">
      <c r="A908" s="343">
        <v>0</v>
      </c>
      <c r="B908" s="1245">
        <v>45096</v>
      </c>
      <c r="C908" s="103">
        <v>0.75</v>
      </c>
      <c r="D908" s="1246">
        <v>51</v>
      </c>
      <c r="E908" s="1247">
        <v>11</v>
      </c>
      <c r="F908" s="1247">
        <v>15.4</v>
      </c>
      <c r="G908" s="1565" t="s">
        <v>3340</v>
      </c>
      <c r="H908" s="1565"/>
      <c r="I908" s="1565"/>
      <c r="J908" s="1565"/>
      <c r="K908" s="1565"/>
      <c r="L908" s="1360">
        <v>24.72</v>
      </c>
      <c r="M908" s="1360">
        <v>28</v>
      </c>
      <c r="N908" s="1360">
        <v>62.9</v>
      </c>
      <c r="O908" s="1360"/>
      <c r="P908" s="1360"/>
      <c r="Q908" s="1360"/>
      <c r="R908" s="1360" t="s">
        <v>5836</v>
      </c>
      <c r="S908" s="1360">
        <v>59.9</v>
      </c>
      <c r="T908" s="102" t="s">
        <v>23</v>
      </c>
      <c r="U908" s="1360" t="s">
        <v>236</v>
      </c>
      <c r="V908" s="928"/>
      <c r="CM908" s="342"/>
      <c r="CN908" s="342"/>
      <c r="CO908" s="342"/>
      <c r="CP908" s="342"/>
      <c r="CQ908" s="342"/>
      <c r="CR908" s="342"/>
      <c r="CS908" s="342"/>
      <c r="CT908" s="342"/>
      <c r="CU908" s="342"/>
      <c r="CV908" s="342"/>
      <c r="CW908" s="342"/>
      <c r="CX908" s="342"/>
      <c r="CY908" s="342"/>
    </row>
    <row r="909" spans="1:103" s="343" customFormat="1" ht="34.5" customHeight="1" x14ac:dyDescent="0.25">
      <c r="A909" s="343">
        <v>0</v>
      </c>
      <c r="B909" s="1245">
        <v>45097</v>
      </c>
      <c r="C909" s="103">
        <v>0.70833333333333337</v>
      </c>
      <c r="D909" s="1246">
        <v>54</v>
      </c>
      <c r="E909" s="1247">
        <v>9.9</v>
      </c>
      <c r="F909" s="1247">
        <v>14.7</v>
      </c>
      <c r="G909" s="1565" t="s">
        <v>3340</v>
      </c>
      <c r="H909" s="1565"/>
      <c r="I909" s="1565"/>
      <c r="J909" s="1565"/>
      <c r="K909" s="1565"/>
      <c r="L909" s="1361">
        <v>31.54</v>
      </c>
      <c r="M909" s="1361">
        <v>35</v>
      </c>
      <c r="N909" s="1361">
        <v>54.94</v>
      </c>
      <c r="O909" s="1361"/>
      <c r="P909" s="1361"/>
      <c r="Q909" s="1361"/>
      <c r="R909" s="1361" t="s">
        <v>5840</v>
      </c>
      <c r="S909" s="1361">
        <v>57.1</v>
      </c>
      <c r="T909" s="102" t="s">
        <v>23</v>
      </c>
      <c r="U909" s="1361" t="s">
        <v>236</v>
      </c>
      <c r="V909" s="928" t="s">
        <v>5841</v>
      </c>
      <c r="CM909" s="342"/>
      <c r="CN909" s="342"/>
      <c r="CO909" s="342"/>
      <c r="CP909" s="342"/>
      <c r="CQ909" s="342"/>
      <c r="CR909" s="342"/>
      <c r="CS909" s="342"/>
      <c r="CT909" s="342"/>
      <c r="CU909" s="342"/>
      <c r="CV909" s="342"/>
      <c r="CW909" s="342"/>
      <c r="CX909" s="342"/>
      <c r="CY909" s="342"/>
    </row>
    <row r="910" spans="1:103" s="343" customFormat="1" ht="34.5" customHeight="1" x14ac:dyDescent="0.25">
      <c r="A910" s="343">
        <v>0</v>
      </c>
      <c r="B910" s="1245">
        <v>45098</v>
      </c>
      <c r="C910" s="103">
        <v>0.72916666666666663</v>
      </c>
      <c r="D910" s="1246">
        <v>54</v>
      </c>
      <c r="E910" s="1247">
        <v>12.4</v>
      </c>
      <c r="F910" s="1247">
        <v>16.7</v>
      </c>
      <c r="G910" s="1565" t="s">
        <v>3340</v>
      </c>
      <c r="H910" s="1565"/>
      <c r="I910" s="1565"/>
      <c r="J910" s="1565"/>
      <c r="K910" s="1565"/>
      <c r="L910" s="1363">
        <v>31.12</v>
      </c>
      <c r="M910" s="1363">
        <v>35</v>
      </c>
      <c r="N910" s="1363">
        <v>61.6</v>
      </c>
      <c r="O910" s="1363"/>
      <c r="P910" s="1363"/>
      <c r="Q910" s="1363"/>
      <c r="R910" s="1363" t="s">
        <v>705</v>
      </c>
      <c r="S910" s="1363">
        <v>64.900000000000006</v>
      </c>
      <c r="T910" s="102" t="s">
        <v>23</v>
      </c>
      <c r="U910" s="1363" t="s">
        <v>236</v>
      </c>
      <c r="V910" s="928"/>
      <c r="CM910" s="342"/>
      <c r="CN910" s="342"/>
      <c r="CO910" s="342"/>
      <c r="CP910" s="342"/>
      <c r="CQ910" s="342"/>
      <c r="CR910" s="342"/>
      <c r="CS910" s="342"/>
      <c r="CT910" s="342"/>
      <c r="CU910" s="342"/>
      <c r="CV910" s="342"/>
      <c r="CW910" s="342"/>
      <c r="CX910" s="342"/>
      <c r="CY910" s="342"/>
    </row>
    <row r="911" spans="1:103" s="343" customFormat="1" ht="34.5" customHeight="1" x14ac:dyDescent="0.25">
      <c r="A911" s="343">
        <v>0</v>
      </c>
      <c r="B911" s="1245">
        <v>45099</v>
      </c>
      <c r="C911" s="103">
        <v>0.95833333333333337</v>
      </c>
      <c r="D911" s="1246">
        <v>55.5</v>
      </c>
      <c r="E911" s="1247">
        <v>12.5</v>
      </c>
      <c r="F911" s="1247">
        <v>16.7</v>
      </c>
      <c r="G911" s="1565" t="s">
        <v>3340</v>
      </c>
      <c r="H911" s="1565"/>
      <c r="I911" s="1565"/>
      <c r="J911" s="1565"/>
      <c r="K911" s="1565"/>
      <c r="L911" s="1365">
        <v>35.14</v>
      </c>
      <c r="M911" s="1365">
        <v>39.5</v>
      </c>
      <c r="N911" s="1365">
        <v>63.21</v>
      </c>
      <c r="O911" s="1365"/>
      <c r="P911" s="1365"/>
      <c r="Q911" s="1365"/>
      <c r="R911" s="1365" t="s">
        <v>5852</v>
      </c>
      <c r="S911" s="1365">
        <v>64.900000000000006</v>
      </c>
      <c r="T911" s="102" t="s">
        <v>23</v>
      </c>
      <c r="U911" s="1365" t="s">
        <v>236</v>
      </c>
      <c r="V911" s="928" t="s">
        <v>5853</v>
      </c>
      <c r="CM911" s="342"/>
      <c r="CN911" s="342"/>
      <c r="CO911" s="342"/>
      <c r="CP911" s="342"/>
      <c r="CQ911" s="342"/>
      <c r="CR911" s="342"/>
      <c r="CS911" s="342"/>
      <c r="CT911" s="342"/>
      <c r="CU911" s="342"/>
      <c r="CV911" s="342"/>
      <c r="CW911" s="342"/>
      <c r="CX911" s="342"/>
      <c r="CY911" s="342"/>
    </row>
    <row r="912" spans="1:103" s="343" customFormat="1" ht="34.5" customHeight="1" x14ac:dyDescent="0.25">
      <c r="A912" s="343">
        <v>0</v>
      </c>
      <c r="B912" s="1245">
        <v>45100</v>
      </c>
      <c r="C912" s="103">
        <v>0.70833333333333337</v>
      </c>
      <c r="D912" s="1246">
        <v>55</v>
      </c>
      <c r="E912" s="1247">
        <v>12.7</v>
      </c>
      <c r="F912" s="1247">
        <v>17</v>
      </c>
      <c r="G912" s="1565" t="s">
        <v>3340</v>
      </c>
      <c r="H912" s="1565"/>
      <c r="I912" s="1565"/>
      <c r="J912" s="1565"/>
      <c r="K912" s="1565"/>
      <c r="L912" s="1366">
        <v>31.35</v>
      </c>
      <c r="M912" s="1366">
        <v>35</v>
      </c>
      <c r="N912" s="1366">
        <v>65.5</v>
      </c>
      <c r="O912" s="1366"/>
      <c r="P912" s="1366"/>
      <c r="Q912" s="1366"/>
      <c r="R912" s="1366" t="s">
        <v>2120</v>
      </c>
      <c r="S912" s="1366">
        <v>66.099999999999994</v>
      </c>
      <c r="T912" s="102" t="s">
        <v>23</v>
      </c>
      <c r="U912" s="1366" t="s">
        <v>236</v>
      </c>
      <c r="V912" s="928"/>
      <c r="CM912" s="342"/>
      <c r="CN912" s="342"/>
      <c r="CO912" s="342"/>
      <c r="CP912" s="342"/>
      <c r="CQ912" s="342"/>
      <c r="CR912" s="342"/>
      <c r="CS912" s="342"/>
      <c r="CT912" s="342"/>
      <c r="CU912" s="342"/>
      <c r="CV912" s="342"/>
      <c r="CW912" s="342"/>
      <c r="CX912" s="342"/>
      <c r="CY912" s="342"/>
    </row>
    <row r="913" spans="1:103" s="343" customFormat="1" ht="34.5" customHeight="1" x14ac:dyDescent="0.25">
      <c r="A913" s="343">
        <v>0</v>
      </c>
      <c r="B913" s="1245">
        <v>45101</v>
      </c>
      <c r="C913" s="103">
        <v>0.8125</v>
      </c>
      <c r="D913" s="1246">
        <v>55</v>
      </c>
      <c r="E913" s="1247">
        <v>12.2</v>
      </c>
      <c r="F913" s="1247">
        <v>16.600000000000001</v>
      </c>
      <c r="G913" s="1565" t="s">
        <v>3340</v>
      </c>
      <c r="H913" s="1565"/>
      <c r="I913" s="1565"/>
      <c r="J913" s="1565"/>
      <c r="K913" s="1565"/>
      <c r="L913" s="1368">
        <v>31.08</v>
      </c>
      <c r="M913" s="1368">
        <v>35</v>
      </c>
      <c r="N913" s="1368">
        <v>65.36</v>
      </c>
      <c r="O913" s="1368"/>
      <c r="P913" s="1368"/>
      <c r="Q913" s="1368"/>
      <c r="R913" s="1368" t="s">
        <v>5863</v>
      </c>
      <c r="S913" s="1368">
        <v>64.5</v>
      </c>
      <c r="T913" s="102" t="s">
        <v>23</v>
      </c>
      <c r="U913" s="1368" t="s">
        <v>236</v>
      </c>
      <c r="V913" s="928"/>
      <c r="CM913" s="342"/>
      <c r="CN913" s="342"/>
      <c r="CO913" s="342"/>
      <c r="CP913" s="342"/>
      <c r="CQ913" s="342"/>
      <c r="CR913" s="342"/>
      <c r="CS913" s="342"/>
      <c r="CT913" s="342"/>
      <c r="CU913" s="342"/>
      <c r="CV913" s="342"/>
      <c r="CW913" s="342"/>
      <c r="CX913" s="342"/>
      <c r="CY913" s="342"/>
    </row>
    <row r="914" spans="1:103" s="343" customFormat="1" ht="34.5" customHeight="1" x14ac:dyDescent="0.25">
      <c r="A914" s="343">
        <v>0</v>
      </c>
      <c r="B914" s="1245">
        <v>45102</v>
      </c>
      <c r="C914" s="103">
        <v>0.79166666666666663</v>
      </c>
      <c r="D914" s="1246">
        <v>55</v>
      </c>
      <c r="E914" s="1247">
        <v>12.2</v>
      </c>
      <c r="F914" s="1247">
        <v>16.600000000000001</v>
      </c>
      <c r="G914" s="1565" t="s">
        <v>3340</v>
      </c>
      <c r="H914" s="1565"/>
      <c r="I914" s="1565"/>
      <c r="J914" s="1565"/>
      <c r="K914" s="1565"/>
      <c r="L914" s="1369">
        <v>27.82</v>
      </c>
      <c r="M914" s="1369">
        <v>31</v>
      </c>
      <c r="N914" s="1369">
        <v>65.040000000000006</v>
      </c>
      <c r="O914" s="1369"/>
      <c r="P914" s="1369"/>
      <c r="Q914" s="1369"/>
      <c r="R914" s="1369" t="s">
        <v>5868</v>
      </c>
      <c r="S914" s="1369">
        <v>64.5</v>
      </c>
      <c r="T914" s="102" t="s">
        <v>23</v>
      </c>
      <c r="U914" s="1369" t="s">
        <v>236</v>
      </c>
      <c r="V914" s="928"/>
      <c r="CM914" s="342"/>
      <c r="CN914" s="342"/>
      <c r="CO914" s="342"/>
      <c r="CP914" s="342"/>
      <c r="CQ914" s="342"/>
      <c r="CR914" s="342"/>
      <c r="CS914" s="342"/>
      <c r="CT914" s="342"/>
      <c r="CU914" s="342"/>
      <c r="CV914" s="342"/>
      <c r="CW914" s="342"/>
      <c r="CX914" s="342"/>
      <c r="CY914" s="342"/>
    </row>
    <row r="915" spans="1:103" s="343" customFormat="1" ht="34.5" customHeight="1" x14ac:dyDescent="0.25">
      <c r="A915" s="343">
        <v>0</v>
      </c>
      <c r="B915" s="1245">
        <v>45103</v>
      </c>
      <c r="C915" s="103">
        <v>0.79166666666666663</v>
      </c>
      <c r="D915" s="1246">
        <v>55</v>
      </c>
      <c r="E915" s="1247">
        <v>11</v>
      </c>
      <c r="F915" s="1247">
        <v>15.5</v>
      </c>
      <c r="G915" s="1565" t="s">
        <v>3340</v>
      </c>
      <c r="H915" s="1565"/>
      <c r="I915" s="1565"/>
      <c r="J915" s="1565"/>
      <c r="K915" s="1565"/>
      <c r="L915" s="1371">
        <v>30.27</v>
      </c>
      <c r="M915" s="1371">
        <v>35</v>
      </c>
      <c r="N915" s="1371">
        <v>63.97</v>
      </c>
      <c r="O915" s="1371"/>
      <c r="P915" s="1371"/>
      <c r="Q915" s="1371"/>
      <c r="R915" s="1371" t="s">
        <v>1816</v>
      </c>
      <c r="S915" s="1371">
        <v>60.3</v>
      </c>
      <c r="T915" s="102" t="s">
        <v>23</v>
      </c>
      <c r="U915" s="1371" t="s">
        <v>236</v>
      </c>
      <c r="V915" s="928"/>
      <c r="CM915" s="342"/>
      <c r="CN915" s="342"/>
      <c r="CO915" s="342"/>
      <c r="CP915" s="342"/>
      <c r="CQ915" s="342"/>
      <c r="CR915" s="342"/>
      <c r="CS915" s="342"/>
      <c r="CT915" s="342"/>
      <c r="CU915" s="342"/>
      <c r="CV915" s="342"/>
      <c r="CW915" s="342"/>
      <c r="CX915" s="342"/>
      <c r="CY915" s="342"/>
    </row>
    <row r="916" spans="1:103" s="343" customFormat="1" ht="34.5" customHeight="1" x14ac:dyDescent="0.25">
      <c r="A916" s="343">
        <v>0</v>
      </c>
      <c r="B916" s="1245">
        <v>45104</v>
      </c>
      <c r="C916" s="103">
        <v>0.75</v>
      </c>
      <c r="D916" s="1246">
        <v>55</v>
      </c>
      <c r="E916" s="1247">
        <v>10.4</v>
      </c>
      <c r="F916" s="1247">
        <v>15.1</v>
      </c>
      <c r="G916" s="1565" t="s">
        <v>3340</v>
      </c>
      <c r="H916" s="1565"/>
      <c r="I916" s="1565"/>
      <c r="J916" s="1565"/>
      <c r="K916" s="1565"/>
      <c r="L916" s="1373">
        <v>33.799999999999997</v>
      </c>
      <c r="M916" s="1373">
        <v>37.5</v>
      </c>
      <c r="N916" s="1373">
        <v>60.26</v>
      </c>
      <c r="O916" s="1373"/>
      <c r="P916" s="1373"/>
      <c r="Q916" s="1373"/>
      <c r="R916" s="1373" t="s">
        <v>4550</v>
      </c>
      <c r="S916" s="1373">
        <v>58.7</v>
      </c>
      <c r="T916" s="102" t="s">
        <v>23</v>
      </c>
      <c r="U916" s="1373" t="s">
        <v>236</v>
      </c>
      <c r="V916" s="928"/>
      <c r="CM916" s="342"/>
      <c r="CN916" s="342"/>
      <c r="CO916" s="342"/>
      <c r="CP916" s="342"/>
      <c r="CQ916" s="342"/>
      <c r="CR916" s="342"/>
      <c r="CS916" s="342"/>
      <c r="CT916" s="342"/>
      <c r="CU916" s="342"/>
      <c r="CV916" s="342"/>
      <c r="CW916" s="342"/>
      <c r="CX916" s="342"/>
      <c r="CY916" s="342"/>
    </row>
    <row r="917" spans="1:103" s="343" customFormat="1" ht="34.5" customHeight="1" x14ac:dyDescent="0.25">
      <c r="A917" s="343">
        <v>0</v>
      </c>
      <c r="B917" s="1245">
        <v>45105</v>
      </c>
      <c r="C917" s="103">
        <v>0.75</v>
      </c>
      <c r="D917" s="1246">
        <v>55</v>
      </c>
      <c r="E917" s="1247">
        <v>11.1</v>
      </c>
      <c r="F917" s="1247">
        <v>15.6</v>
      </c>
      <c r="G917" s="1565" t="s">
        <v>3340</v>
      </c>
      <c r="H917" s="1565"/>
      <c r="I917" s="1565"/>
      <c r="J917" s="1565"/>
      <c r="K917" s="1565"/>
      <c r="L917" s="1374">
        <v>32.04</v>
      </c>
      <c r="M917" s="1374">
        <v>35</v>
      </c>
      <c r="N917" s="1374">
        <v>61.45</v>
      </c>
      <c r="O917" s="1374"/>
      <c r="P917" s="1374"/>
      <c r="Q917" s="1374"/>
      <c r="R917" s="1374" t="s">
        <v>5680</v>
      </c>
      <c r="S917" s="1374">
        <v>60.7</v>
      </c>
      <c r="T917" s="102" t="s">
        <v>23</v>
      </c>
      <c r="U917" s="1374" t="s">
        <v>236</v>
      </c>
      <c r="V917" s="928"/>
      <c r="CM917" s="342"/>
      <c r="CN917" s="342"/>
      <c r="CO917" s="342"/>
      <c r="CP917" s="342"/>
      <c r="CQ917" s="342"/>
      <c r="CR917" s="342"/>
      <c r="CS917" s="342"/>
      <c r="CT917" s="342"/>
      <c r="CU917" s="342"/>
      <c r="CV917" s="342"/>
      <c r="CW917" s="342"/>
      <c r="CX917" s="342"/>
      <c r="CY917" s="342"/>
    </row>
    <row r="918" spans="1:103" s="343" customFormat="1" ht="34.5" customHeight="1" x14ac:dyDescent="0.25">
      <c r="A918" s="343">
        <v>0</v>
      </c>
      <c r="B918" s="1245">
        <v>45106</v>
      </c>
      <c r="C918" s="103">
        <v>0.875</v>
      </c>
      <c r="D918" s="1246">
        <v>55</v>
      </c>
      <c r="E918" s="1247">
        <v>12.7</v>
      </c>
      <c r="F918" s="1247">
        <v>16.899999999999999</v>
      </c>
      <c r="G918" s="1565" t="s">
        <v>3340</v>
      </c>
      <c r="H918" s="1565"/>
      <c r="I918" s="1565"/>
      <c r="J918" s="1565"/>
      <c r="K918" s="1565"/>
      <c r="L918" s="1375">
        <v>26.05</v>
      </c>
      <c r="M918" s="1375">
        <v>35</v>
      </c>
      <c r="N918" s="1375">
        <v>63.78</v>
      </c>
      <c r="O918" s="1375"/>
      <c r="P918" s="1375"/>
      <c r="Q918" s="1375"/>
      <c r="R918" s="1375" t="s">
        <v>2168</v>
      </c>
      <c r="S918" s="1375">
        <v>65.7</v>
      </c>
      <c r="T918" s="102" t="s">
        <v>23</v>
      </c>
      <c r="U918" s="1375" t="s">
        <v>4320</v>
      </c>
      <c r="V918" s="928"/>
      <c r="CM918" s="342"/>
      <c r="CN918" s="342"/>
      <c r="CO918" s="342"/>
      <c r="CP918" s="342"/>
      <c r="CQ918" s="342"/>
      <c r="CR918" s="342"/>
      <c r="CS918" s="342"/>
      <c r="CT918" s="342"/>
      <c r="CU918" s="342"/>
      <c r="CV918" s="342"/>
      <c r="CW918" s="342"/>
      <c r="CX918" s="342"/>
      <c r="CY918" s="342"/>
    </row>
    <row r="919" spans="1:103" s="343" customFormat="1" ht="34.5" customHeight="1" x14ac:dyDescent="0.25">
      <c r="A919" s="343">
        <v>0</v>
      </c>
      <c r="B919" s="1245">
        <v>45107</v>
      </c>
      <c r="C919" s="103">
        <v>0.79166666666666663</v>
      </c>
      <c r="D919" s="1246">
        <v>57</v>
      </c>
      <c r="E919" s="1247">
        <v>11.9</v>
      </c>
      <c r="F919" s="1247">
        <v>16.399999999999999</v>
      </c>
      <c r="G919" s="1565" t="s">
        <v>3340</v>
      </c>
      <c r="H919" s="1565"/>
      <c r="I919" s="1565"/>
      <c r="J919" s="1565"/>
      <c r="K919" s="1565"/>
      <c r="L919" s="1377">
        <v>35.6</v>
      </c>
      <c r="M919" s="1377">
        <v>35</v>
      </c>
      <c r="N919" s="1377">
        <v>53.3</v>
      </c>
      <c r="O919" s="1377"/>
      <c r="P919" s="1377"/>
      <c r="Q919" s="1377"/>
      <c r="R919" s="1377" t="s">
        <v>749</v>
      </c>
      <c r="S919" s="1377">
        <v>63.8</v>
      </c>
      <c r="T919" s="102" t="s">
        <v>23</v>
      </c>
      <c r="U919" s="1377" t="s">
        <v>4320</v>
      </c>
      <c r="V919" s="928" t="s">
        <v>5891</v>
      </c>
      <c r="CM919" s="342"/>
      <c r="CN919" s="342"/>
      <c r="CO919" s="342"/>
      <c r="CP919" s="342"/>
      <c r="CQ919" s="342"/>
      <c r="CR919" s="342"/>
      <c r="CS919" s="342"/>
      <c r="CT919" s="342"/>
      <c r="CU919" s="342"/>
      <c r="CV919" s="342"/>
      <c r="CW919" s="342"/>
      <c r="CX919" s="342"/>
      <c r="CY919" s="342"/>
    </row>
    <row r="920" spans="1:103" s="343" customFormat="1" ht="34.5" customHeight="1" x14ac:dyDescent="0.25">
      <c r="A920" s="343">
        <v>0</v>
      </c>
      <c r="B920" s="1245">
        <v>45108</v>
      </c>
      <c r="C920" s="103">
        <v>0.875</v>
      </c>
      <c r="D920" s="1246">
        <v>57</v>
      </c>
      <c r="E920" s="1247">
        <v>12.6</v>
      </c>
      <c r="F920" s="1247">
        <v>17</v>
      </c>
      <c r="G920" s="1565" t="s">
        <v>3340</v>
      </c>
      <c r="H920" s="1565"/>
      <c r="I920" s="1565"/>
      <c r="J920" s="1565"/>
      <c r="K920" s="1565"/>
      <c r="L920" s="1381">
        <v>36.159999999999997</v>
      </c>
      <c r="M920" s="1381">
        <v>36</v>
      </c>
      <c r="N920" s="1381">
        <v>63.63</v>
      </c>
      <c r="O920" s="1381"/>
      <c r="P920" s="1381"/>
      <c r="Q920" s="1381"/>
      <c r="R920" s="1381" t="s">
        <v>5701</v>
      </c>
      <c r="S920" s="1381">
        <v>66.099999999999994</v>
      </c>
      <c r="T920" s="102" t="s">
        <v>23</v>
      </c>
      <c r="U920" s="1381" t="s">
        <v>4320</v>
      </c>
      <c r="V920" s="928"/>
      <c r="CM920" s="342"/>
      <c r="CN920" s="342"/>
      <c r="CO920" s="342"/>
      <c r="CP920" s="342"/>
      <c r="CQ920" s="342"/>
      <c r="CR920" s="342"/>
      <c r="CS920" s="342"/>
      <c r="CT920" s="342"/>
      <c r="CU920" s="342"/>
      <c r="CV920" s="342"/>
      <c r="CW920" s="342"/>
      <c r="CX920" s="342"/>
      <c r="CY920" s="342"/>
    </row>
    <row r="921" spans="1:103" s="343" customFormat="1" ht="34.5" customHeight="1" x14ac:dyDescent="0.25">
      <c r="A921" s="343">
        <v>0</v>
      </c>
      <c r="B921" s="1245">
        <v>45109</v>
      </c>
      <c r="C921" s="103">
        <v>0.875</v>
      </c>
      <c r="D921" s="1246">
        <v>57</v>
      </c>
      <c r="E921" s="1247">
        <v>12.3</v>
      </c>
      <c r="F921" s="1247">
        <v>16.7</v>
      </c>
      <c r="G921" s="1565" t="s">
        <v>3340</v>
      </c>
      <c r="H921" s="1565"/>
      <c r="I921" s="1565"/>
      <c r="J921" s="1565"/>
      <c r="K921" s="1565"/>
      <c r="L921" s="1383">
        <v>35.46</v>
      </c>
      <c r="M921" s="1383">
        <v>36</v>
      </c>
      <c r="N921" s="1383">
        <v>62.93</v>
      </c>
      <c r="O921" s="1383"/>
      <c r="P921" s="1383"/>
      <c r="Q921" s="1383"/>
      <c r="R921" s="1383" t="s">
        <v>1433</v>
      </c>
      <c r="S921" s="1383">
        <v>64.900000000000006</v>
      </c>
      <c r="T921" s="102" t="s">
        <v>23</v>
      </c>
      <c r="U921" s="1383" t="s">
        <v>4320</v>
      </c>
      <c r="V921" s="928"/>
      <c r="CM921" s="342"/>
      <c r="CN921" s="342"/>
      <c r="CO921" s="342"/>
      <c r="CP921" s="342"/>
      <c r="CQ921" s="342"/>
      <c r="CR921" s="342"/>
      <c r="CS921" s="342"/>
      <c r="CT921" s="342"/>
      <c r="CU921" s="342"/>
      <c r="CV921" s="342"/>
      <c r="CW921" s="342"/>
      <c r="CX921" s="342"/>
      <c r="CY921" s="342"/>
    </row>
    <row r="922" spans="1:103" s="343" customFormat="1" ht="34.5" customHeight="1" x14ac:dyDescent="0.25">
      <c r="A922" s="343">
        <v>0</v>
      </c>
      <c r="B922" s="1245">
        <v>45110</v>
      </c>
      <c r="C922" s="103">
        <v>0.875</v>
      </c>
      <c r="D922" s="1246">
        <v>57</v>
      </c>
      <c r="E922" s="1247">
        <v>13.3</v>
      </c>
      <c r="F922" s="1247">
        <v>17.600000000000001</v>
      </c>
      <c r="G922" s="1565" t="s">
        <v>3340</v>
      </c>
      <c r="H922" s="1565"/>
      <c r="I922" s="1565"/>
      <c r="J922" s="1565"/>
      <c r="K922" s="1565"/>
      <c r="L922" s="1384">
        <v>35.049999999999997</v>
      </c>
      <c r="M922" s="1384">
        <v>36</v>
      </c>
      <c r="N922" s="1384">
        <v>64.430000000000007</v>
      </c>
      <c r="O922" s="1384"/>
      <c r="P922" s="1384"/>
      <c r="Q922" s="1384"/>
      <c r="R922" s="1384" t="s">
        <v>2002</v>
      </c>
      <c r="S922" s="1384">
        <v>68.400000000000006</v>
      </c>
      <c r="T922" s="102" t="s">
        <v>23</v>
      </c>
      <c r="U922" s="1384" t="s">
        <v>4320</v>
      </c>
      <c r="V922" s="928"/>
      <c r="CM922" s="342"/>
      <c r="CN922" s="342"/>
      <c r="CO922" s="342"/>
      <c r="CP922" s="342"/>
      <c r="CQ922" s="342"/>
      <c r="CR922" s="342"/>
      <c r="CS922" s="342"/>
      <c r="CT922" s="342"/>
      <c r="CU922" s="342"/>
      <c r="CV922" s="342"/>
      <c r="CW922" s="342"/>
      <c r="CX922" s="342"/>
      <c r="CY922" s="342"/>
    </row>
    <row r="923" spans="1:103" s="343" customFormat="1" ht="34.5" customHeight="1" x14ac:dyDescent="0.25">
      <c r="A923" s="343">
        <v>0</v>
      </c>
      <c r="B923" s="1245">
        <v>45111</v>
      </c>
      <c r="C923" s="103">
        <v>0.875</v>
      </c>
      <c r="D923" s="1246">
        <v>57</v>
      </c>
      <c r="E923" s="1247">
        <v>13.5</v>
      </c>
      <c r="F923" s="1247">
        <v>17.7</v>
      </c>
      <c r="G923" s="1565" t="s">
        <v>3340</v>
      </c>
      <c r="H923" s="1565"/>
      <c r="I923" s="1565"/>
      <c r="J923" s="1565"/>
      <c r="K923" s="1565"/>
      <c r="L923" s="1385">
        <v>33.24</v>
      </c>
      <c r="M923" s="1385">
        <v>36</v>
      </c>
      <c r="N923" s="1385">
        <v>65.150000000000006</v>
      </c>
      <c r="O923" s="1385"/>
      <c r="P923" s="1385"/>
      <c r="Q923" s="1385"/>
      <c r="R923" s="1385" t="s">
        <v>5923</v>
      </c>
      <c r="S923" s="1385">
        <v>68.8</v>
      </c>
      <c r="T923" s="102" t="s">
        <v>23</v>
      </c>
      <c r="U923" s="1385" t="s">
        <v>4320</v>
      </c>
      <c r="V923" s="928"/>
      <c r="CM923" s="342"/>
      <c r="CN923" s="342"/>
      <c r="CO923" s="342"/>
      <c r="CP923" s="342"/>
      <c r="CQ923" s="342"/>
      <c r="CR923" s="342"/>
      <c r="CS923" s="342"/>
      <c r="CT923" s="342"/>
      <c r="CU923" s="342"/>
      <c r="CV923" s="342"/>
      <c r="CW923" s="342"/>
      <c r="CX923" s="342"/>
      <c r="CY923" s="342"/>
    </row>
    <row r="924" spans="1:103" s="343" customFormat="1" ht="34.5" customHeight="1" x14ac:dyDescent="0.25">
      <c r="A924" s="343">
        <v>0</v>
      </c>
      <c r="B924" s="1245">
        <v>45112</v>
      </c>
      <c r="C924" s="103">
        <v>0.875</v>
      </c>
      <c r="D924" s="1246">
        <v>57</v>
      </c>
      <c r="E924" s="1247">
        <v>13</v>
      </c>
      <c r="F924" s="1247">
        <v>17.3</v>
      </c>
      <c r="G924" s="1565" t="s">
        <v>3340</v>
      </c>
      <c r="H924" s="1565"/>
      <c r="I924" s="1565"/>
      <c r="J924" s="1565"/>
      <c r="K924" s="1565"/>
      <c r="L924" s="1386">
        <v>36.81</v>
      </c>
      <c r="M924" s="1386">
        <v>36</v>
      </c>
      <c r="N924" s="1386">
        <v>62.37</v>
      </c>
      <c r="O924" s="1386"/>
      <c r="P924" s="1386"/>
      <c r="Q924" s="1386"/>
      <c r="R924" s="1386" t="s">
        <v>2880</v>
      </c>
      <c r="S924" s="1386">
        <v>67.3</v>
      </c>
      <c r="T924" s="102" t="s">
        <v>23</v>
      </c>
      <c r="U924" s="1386" t="s">
        <v>4320</v>
      </c>
      <c r="V924" s="928"/>
      <c r="CM924" s="342"/>
      <c r="CN924" s="342"/>
      <c r="CO924" s="342"/>
      <c r="CP924" s="342"/>
      <c r="CQ924" s="342"/>
      <c r="CR924" s="342"/>
      <c r="CS924" s="342"/>
      <c r="CT924" s="342"/>
      <c r="CU924" s="342"/>
      <c r="CV924" s="342"/>
      <c r="CW924" s="342"/>
      <c r="CX924" s="342"/>
      <c r="CY924" s="342"/>
    </row>
    <row r="925" spans="1:103" s="343" customFormat="1" ht="34.5" customHeight="1" x14ac:dyDescent="0.25">
      <c r="A925" s="343">
        <v>0</v>
      </c>
      <c r="B925" s="1245">
        <v>45113</v>
      </c>
      <c r="C925" s="103">
        <v>0.95833333333333337</v>
      </c>
      <c r="D925" s="1246">
        <v>57</v>
      </c>
      <c r="E925" s="1247">
        <v>13.9</v>
      </c>
      <c r="F925" s="1247">
        <v>18.2</v>
      </c>
      <c r="G925" s="1565" t="s">
        <v>3340</v>
      </c>
      <c r="H925" s="1565"/>
      <c r="I925" s="1565"/>
      <c r="J925" s="1565"/>
      <c r="K925" s="1565"/>
      <c r="L925" s="1387">
        <v>35.090000000000003</v>
      </c>
      <c r="M925" s="1387">
        <v>36</v>
      </c>
      <c r="N925" s="1387">
        <v>64.7</v>
      </c>
      <c r="O925" s="1387"/>
      <c r="P925" s="1387"/>
      <c r="Q925" s="1387"/>
      <c r="R925" s="1387" t="s">
        <v>5931</v>
      </c>
      <c r="S925" s="1387">
        <v>70.8</v>
      </c>
      <c r="T925" s="102" t="s">
        <v>23</v>
      </c>
      <c r="U925" s="1387" t="s">
        <v>4320</v>
      </c>
      <c r="V925" s="928"/>
      <c r="CM925" s="342"/>
      <c r="CN925" s="342"/>
      <c r="CO925" s="342"/>
      <c r="CP925" s="342"/>
      <c r="CQ925" s="342"/>
      <c r="CR925" s="342"/>
      <c r="CS925" s="342"/>
      <c r="CT925" s="342"/>
      <c r="CU925" s="342"/>
      <c r="CV925" s="342"/>
      <c r="CW925" s="342"/>
      <c r="CX925" s="342"/>
      <c r="CY925" s="342"/>
    </row>
    <row r="926" spans="1:103" s="343" customFormat="1" ht="34.5" customHeight="1" x14ac:dyDescent="0.25">
      <c r="A926" s="343">
        <v>0</v>
      </c>
      <c r="B926" s="1245">
        <v>45114</v>
      </c>
      <c r="C926" s="103">
        <v>0.75</v>
      </c>
      <c r="D926" s="1246">
        <v>57</v>
      </c>
      <c r="E926" s="1247">
        <v>13.1</v>
      </c>
      <c r="F926" s="1247">
        <v>17.399999999999999</v>
      </c>
      <c r="G926" s="1565" t="s">
        <v>3340</v>
      </c>
      <c r="H926" s="1565"/>
      <c r="I926" s="1565"/>
      <c r="J926" s="1565"/>
      <c r="K926" s="1565"/>
      <c r="L926" s="1388">
        <v>36.42</v>
      </c>
      <c r="M926" s="1388">
        <v>35</v>
      </c>
      <c r="N926" s="1388">
        <v>62.37</v>
      </c>
      <c r="O926" s="1388"/>
      <c r="P926" s="1388"/>
      <c r="Q926" s="1388"/>
      <c r="R926" s="1388" t="s">
        <v>5934</v>
      </c>
      <c r="S926" s="1388">
        <v>67.7</v>
      </c>
      <c r="T926" s="102" t="s">
        <v>23</v>
      </c>
      <c r="U926" s="1388" t="s">
        <v>4320</v>
      </c>
      <c r="V926" s="928"/>
      <c r="CM926" s="342"/>
      <c r="CN926" s="342"/>
      <c r="CO926" s="342"/>
      <c r="CP926" s="342"/>
      <c r="CQ926" s="342"/>
      <c r="CR926" s="342"/>
      <c r="CS926" s="342"/>
      <c r="CT926" s="342"/>
      <c r="CU926" s="342"/>
      <c r="CV926" s="342"/>
      <c r="CW926" s="342"/>
      <c r="CX926" s="342"/>
      <c r="CY926" s="342"/>
    </row>
    <row r="927" spans="1:103" s="343" customFormat="1" ht="34.5" customHeight="1" x14ac:dyDescent="0.25">
      <c r="A927" s="343">
        <v>0</v>
      </c>
      <c r="B927" s="1245">
        <v>45115</v>
      </c>
      <c r="C927" s="103">
        <v>0.85416666666666663</v>
      </c>
      <c r="D927" s="1246">
        <v>57</v>
      </c>
      <c r="E927" s="1247">
        <v>12.9</v>
      </c>
      <c r="F927" s="1247">
        <v>17.2</v>
      </c>
      <c r="G927" s="1565" t="s">
        <v>3340</v>
      </c>
      <c r="H927" s="1565"/>
      <c r="I927" s="1565"/>
      <c r="J927" s="1565"/>
      <c r="K927" s="1565"/>
      <c r="L927" s="1389">
        <v>34.090000000000003</v>
      </c>
      <c r="M927" s="1389">
        <v>36</v>
      </c>
      <c r="N927" s="1389">
        <v>67.069999999999993</v>
      </c>
      <c r="O927" s="1389"/>
      <c r="P927" s="1389"/>
      <c r="Q927" s="1389"/>
      <c r="R927" s="1389" t="s">
        <v>2543</v>
      </c>
      <c r="S927" s="1389">
        <v>66.900000000000006</v>
      </c>
      <c r="T927" s="102" t="s">
        <v>23</v>
      </c>
      <c r="U927" s="1389" t="s">
        <v>4320</v>
      </c>
      <c r="V927" s="928"/>
      <c r="CM927" s="342"/>
      <c r="CN927" s="342"/>
      <c r="CO927" s="342"/>
      <c r="CP927" s="342"/>
      <c r="CQ927" s="342"/>
      <c r="CR927" s="342"/>
      <c r="CS927" s="342"/>
      <c r="CT927" s="342"/>
      <c r="CU927" s="342"/>
      <c r="CV927" s="342"/>
      <c r="CW927" s="342"/>
      <c r="CX927" s="342"/>
      <c r="CY927" s="342"/>
    </row>
    <row r="928" spans="1:103" s="343" customFormat="1" ht="34.5" customHeight="1" x14ac:dyDescent="0.25">
      <c r="A928" s="343">
        <v>0</v>
      </c>
      <c r="B928" s="1245">
        <v>45116</v>
      </c>
      <c r="C928" s="103">
        <v>0.85416666666666663</v>
      </c>
      <c r="D928" s="1246">
        <v>57</v>
      </c>
      <c r="E928" s="1247">
        <v>12.9</v>
      </c>
      <c r="F928" s="1247">
        <v>17.3</v>
      </c>
      <c r="G928" s="1565" t="s">
        <v>3340</v>
      </c>
      <c r="H928" s="1565"/>
      <c r="I928" s="1565"/>
      <c r="J928" s="1565"/>
      <c r="K928" s="1565"/>
      <c r="L928" s="1390">
        <v>32.340000000000003</v>
      </c>
      <c r="M928" s="1390">
        <v>36</v>
      </c>
      <c r="N928" s="1390">
        <v>66.89</v>
      </c>
      <c r="O928" s="1390"/>
      <c r="P928" s="1390"/>
      <c r="Q928" s="1390"/>
      <c r="R928" s="1390" t="s">
        <v>3296</v>
      </c>
      <c r="S928" s="1390">
        <v>67.7</v>
      </c>
      <c r="T928" s="102" t="s">
        <v>23</v>
      </c>
      <c r="U928" s="1390" t="s">
        <v>4320</v>
      </c>
      <c r="V928" s="928"/>
      <c r="CM928" s="342"/>
      <c r="CN928" s="342"/>
      <c r="CO928" s="342"/>
      <c r="CP928" s="342"/>
      <c r="CQ928" s="342"/>
      <c r="CR928" s="342"/>
      <c r="CS928" s="342"/>
      <c r="CT928" s="342"/>
      <c r="CU928" s="342"/>
      <c r="CV928" s="342"/>
      <c r="CW928" s="342"/>
      <c r="CX928" s="342"/>
      <c r="CY928" s="342"/>
    </row>
    <row r="929" spans="1:103" s="343" customFormat="1" ht="34.5" customHeight="1" x14ac:dyDescent="0.25">
      <c r="A929" s="343">
        <v>0</v>
      </c>
      <c r="B929" s="1245">
        <v>45117</v>
      </c>
      <c r="C929" s="103">
        <v>0.72916666666666663</v>
      </c>
      <c r="D929" s="1246">
        <v>57</v>
      </c>
      <c r="E929" s="1247">
        <v>12.3</v>
      </c>
      <c r="F929" s="1247">
        <v>16.7</v>
      </c>
      <c r="G929" s="1565" t="s">
        <v>3340</v>
      </c>
      <c r="H929" s="1565"/>
      <c r="I929" s="1565"/>
      <c r="J929" s="1565"/>
      <c r="K929" s="1565"/>
      <c r="L929" s="1391">
        <v>33.799999999999997</v>
      </c>
      <c r="M929" s="1391">
        <v>36</v>
      </c>
      <c r="N929" s="1391">
        <v>66</v>
      </c>
      <c r="O929" s="1391"/>
      <c r="P929" s="1391"/>
      <c r="Q929" s="1391"/>
      <c r="R929" s="1391" t="s">
        <v>5958</v>
      </c>
      <c r="S929" s="1391">
        <v>64.900000000000006</v>
      </c>
      <c r="T929" s="102" t="s">
        <v>23</v>
      </c>
      <c r="U929" s="1391" t="s">
        <v>4320</v>
      </c>
      <c r="V929" s="928"/>
      <c r="CM929" s="342"/>
      <c r="CN929" s="342"/>
      <c r="CO929" s="342"/>
      <c r="CP929" s="342"/>
      <c r="CQ929" s="342"/>
      <c r="CR929" s="342"/>
      <c r="CS929" s="342"/>
      <c r="CT929" s="342"/>
      <c r="CU929" s="342"/>
      <c r="CV929" s="342"/>
      <c r="CW929" s="342"/>
      <c r="CX929" s="342"/>
      <c r="CY929" s="342"/>
    </row>
    <row r="930" spans="1:103" s="343" customFormat="1" ht="34.5" customHeight="1" x14ac:dyDescent="0.25">
      <c r="A930" s="343">
        <v>0</v>
      </c>
      <c r="B930" s="1245">
        <v>45118</v>
      </c>
      <c r="C930" s="103">
        <v>0.875</v>
      </c>
      <c r="D930" s="1246">
        <v>57</v>
      </c>
      <c r="E930" s="1247">
        <v>13</v>
      </c>
      <c r="F930" s="1247">
        <v>17.2</v>
      </c>
      <c r="G930" s="1565" t="s">
        <v>3340</v>
      </c>
      <c r="H930" s="1565"/>
      <c r="I930" s="1565"/>
      <c r="J930" s="1565"/>
      <c r="K930" s="1565"/>
      <c r="L930" s="1392">
        <v>33.4</v>
      </c>
      <c r="M930" s="1392">
        <v>36</v>
      </c>
      <c r="N930" s="1392">
        <v>65.77</v>
      </c>
      <c r="O930" s="1392"/>
      <c r="P930" s="1392"/>
      <c r="Q930" s="1392"/>
      <c r="R930" s="1392" t="s">
        <v>5965</v>
      </c>
      <c r="S930" s="1392">
        <v>66.900000000000006</v>
      </c>
      <c r="T930" s="102" t="s">
        <v>23</v>
      </c>
      <c r="U930" s="1392" t="s">
        <v>4320</v>
      </c>
      <c r="V930" s="928"/>
      <c r="CM930" s="342"/>
      <c r="CN930" s="342"/>
      <c r="CO930" s="342"/>
      <c r="CP930" s="342"/>
      <c r="CQ930" s="342"/>
      <c r="CR930" s="342"/>
      <c r="CS930" s="342"/>
      <c r="CT930" s="342"/>
      <c r="CU930" s="342"/>
      <c r="CV930" s="342"/>
      <c r="CW930" s="342"/>
      <c r="CX930" s="342"/>
      <c r="CY930" s="342"/>
    </row>
    <row r="931" spans="1:103" s="343" customFormat="1" ht="34.5" customHeight="1" x14ac:dyDescent="0.25">
      <c r="A931" s="343">
        <v>0</v>
      </c>
      <c r="B931" s="1245">
        <v>45119</v>
      </c>
      <c r="C931" s="103">
        <v>0.83333333333333337</v>
      </c>
      <c r="D931" s="1246">
        <v>57</v>
      </c>
      <c r="E931" s="1247">
        <v>12.2</v>
      </c>
      <c r="F931" s="1247">
        <v>16.600000000000001</v>
      </c>
      <c r="G931" s="1565" t="s">
        <v>3340</v>
      </c>
      <c r="H931" s="1565"/>
      <c r="I931" s="1565"/>
      <c r="J931" s="1565"/>
      <c r="K931" s="1565"/>
      <c r="L931" s="1397">
        <v>33.880000000000003</v>
      </c>
      <c r="M931" s="1397">
        <v>36</v>
      </c>
      <c r="N931" s="1397">
        <v>64.510000000000005</v>
      </c>
      <c r="O931" s="1397"/>
      <c r="P931" s="1397"/>
      <c r="Q931" s="1397"/>
      <c r="R931" s="1397" t="s">
        <v>5852</v>
      </c>
      <c r="S931" s="1397">
        <v>64.5</v>
      </c>
      <c r="T931" s="102" t="s">
        <v>23</v>
      </c>
      <c r="U931" s="1397" t="s">
        <v>4320</v>
      </c>
      <c r="V931" s="928"/>
      <c r="CM931" s="342"/>
      <c r="CN931" s="342"/>
      <c r="CO931" s="342"/>
      <c r="CP931" s="342"/>
      <c r="CQ931" s="342"/>
      <c r="CR931" s="342"/>
      <c r="CS931" s="342"/>
      <c r="CT931" s="342"/>
      <c r="CU931" s="342"/>
      <c r="CV931" s="342"/>
      <c r="CW931" s="342"/>
      <c r="CX931" s="342"/>
      <c r="CY931" s="342"/>
    </row>
    <row r="932" spans="1:103" s="343" customFormat="1" ht="34.5" customHeight="1" x14ac:dyDescent="0.25">
      <c r="A932" s="343">
        <v>0</v>
      </c>
      <c r="B932" s="1245">
        <v>45120</v>
      </c>
      <c r="C932" s="103">
        <v>0.75</v>
      </c>
      <c r="D932" s="1246">
        <v>57</v>
      </c>
      <c r="E932" s="1247">
        <v>13.8</v>
      </c>
      <c r="F932" s="1247">
        <v>18</v>
      </c>
      <c r="G932" s="1565" t="s">
        <v>3340</v>
      </c>
      <c r="H932" s="1565"/>
      <c r="I932" s="1565"/>
      <c r="J932" s="1565"/>
      <c r="K932" s="1565"/>
      <c r="L932" s="1398">
        <v>28.39</v>
      </c>
      <c r="M932" s="1398">
        <v>38</v>
      </c>
      <c r="N932" s="1398">
        <v>68.260000000000005</v>
      </c>
      <c r="O932" s="1398"/>
      <c r="P932" s="1398"/>
      <c r="Q932" s="1398"/>
      <c r="R932" s="1398" t="s">
        <v>5973</v>
      </c>
      <c r="S932" s="1398">
        <v>70</v>
      </c>
      <c r="T932" s="102" t="s">
        <v>23</v>
      </c>
      <c r="U932" s="1398" t="s">
        <v>4320</v>
      </c>
      <c r="V932" s="928"/>
      <c r="CM932" s="342"/>
      <c r="CN932" s="342"/>
      <c r="CO932" s="342"/>
      <c r="CP932" s="342"/>
      <c r="CQ932" s="342"/>
      <c r="CR932" s="342"/>
      <c r="CS932" s="342"/>
      <c r="CT932" s="342"/>
      <c r="CU932" s="342"/>
      <c r="CV932" s="342"/>
      <c r="CW932" s="342"/>
      <c r="CX932" s="342"/>
      <c r="CY932" s="342"/>
    </row>
    <row r="933" spans="1:103" s="343" customFormat="1" ht="34.5" customHeight="1" x14ac:dyDescent="0.25">
      <c r="A933" s="343">
        <v>0</v>
      </c>
      <c r="B933" s="1245">
        <v>45121</v>
      </c>
      <c r="C933" s="103">
        <v>0</v>
      </c>
      <c r="D933" s="1246">
        <v>57</v>
      </c>
      <c r="E933" s="1247">
        <v>10.9</v>
      </c>
      <c r="F933" s="1247">
        <v>15.9</v>
      </c>
      <c r="G933" s="1565" t="s">
        <v>3340</v>
      </c>
      <c r="H933" s="1565"/>
      <c r="I933" s="1565"/>
      <c r="J933" s="1565"/>
      <c r="K933" s="1565"/>
      <c r="L933" s="1399">
        <v>33.020000000000003</v>
      </c>
      <c r="M933" s="1399">
        <v>38</v>
      </c>
      <c r="N933" s="1399">
        <v>62.59</v>
      </c>
      <c r="O933" s="1399"/>
      <c r="P933" s="1399"/>
      <c r="Q933" s="1399"/>
      <c r="R933" s="1399" t="s">
        <v>4680</v>
      </c>
      <c r="S933" s="1399">
        <v>60.3</v>
      </c>
      <c r="T933" s="102" t="s">
        <v>23</v>
      </c>
      <c r="U933" s="1399" t="s">
        <v>4320</v>
      </c>
      <c r="V933" s="928" t="s">
        <v>5978</v>
      </c>
      <c r="CM933" s="342"/>
      <c r="CN933" s="342"/>
      <c r="CO933" s="342"/>
      <c r="CP933" s="342"/>
      <c r="CQ933" s="342"/>
      <c r="CR933" s="342"/>
      <c r="CS933" s="342"/>
      <c r="CT933" s="342"/>
      <c r="CU933" s="342"/>
      <c r="CV933" s="342"/>
      <c r="CW933" s="342"/>
      <c r="CX933" s="342"/>
      <c r="CY933" s="342"/>
    </row>
    <row r="934" spans="1:103" s="343" customFormat="1" ht="34.5" customHeight="1" x14ac:dyDescent="0.25">
      <c r="A934" s="343">
        <v>0</v>
      </c>
      <c r="B934" s="1245">
        <v>45122</v>
      </c>
      <c r="C934" s="103">
        <v>4.1666666666666664E-2</v>
      </c>
      <c r="D934" s="1246">
        <v>57</v>
      </c>
      <c r="E934" s="1247">
        <v>12.5</v>
      </c>
      <c r="F934" s="1247">
        <v>17</v>
      </c>
      <c r="G934" s="1565" t="s">
        <v>3340</v>
      </c>
      <c r="H934" s="1565"/>
      <c r="I934" s="1565"/>
      <c r="J934" s="1565"/>
      <c r="K934" s="1565"/>
      <c r="L934" s="1400">
        <v>35.97</v>
      </c>
      <c r="M934" s="1400">
        <v>38</v>
      </c>
      <c r="N934" s="1400">
        <v>55.1</v>
      </c>
      <c r="O934" s="1400"/>
      <c r="P934" s="1400"/>
      <c r="Q934" s="1400"/>
      <c r="R934" s="1400" t="s">
        <v>2168</v>
      </c>
      <c r="S934" s="1400">
        <v>66.099999999999994</v>
      </c>
      <c r="T934" s="102" t="s">
        <v>23</v>
      </c>
      <c r="U934" s="1400" t="s">
        <v>4320</v>
      </c>
      <c r="V934" s="928" t="s">
        <v>5986</v>
      </c>
      <c r="CM934" s="342"/>
      <c r="CN934" s="342"/>
      <c r="CO934" s="342"/>
      <c r="CP934" s="342"/>
      <c r="CQ934" s="342"/>
      <c r="CR934" s="342"/>
      <c r="CS934" s="342"/>
      <c r="CT934" s="342"/>
      <c r="CU934" s="342"/>
      <c r="CV934" s="342"/>
      <c r="CW934" s="342"/>
      <c r="CX934" s="342"/>
      <c r="CY934" s="342"/>
    </row>
    <row r="935" spans="1:103" s="343" customFormat="1" ht="34.5" customHeight="1" x14ac:dyDescent="0.25">
      <c r="A935" s="343">
        <v>0</v>
      </c>
      <c r="B935" s="1245">
        <v>45123</v>
      </c>
      <c r="C935" s="103">
        <v>0.875</v>
      </c>
      <c r="D935" s="1246">
        <v>57</v>
      </c>
      <c r="E935" s="1247">
        <v>12.1</v>
      </c>
      <c r="F935" s="1247">
        <v>16.5</v>
      </c>
      <c r="G935" s="1565" t="s">
        <v>3340</v>
      </c>
      <c r="H935" s="1565"/>
      <c r="I935" s="1565"/>
      <c r="J935" s="1565"/>
      <c r="K935" s="1565"/>
      <c r="L935" s="1401">
        <v>33.76</v>
      </c>
      <c r="M935" s="1401">
        <v>38</v>
      </c>
      <c r="N935" s="1401">
        <v>61.45</v>
      </c>
      <c r="O935" s="1401"/>
      <c r="P935" s="1401"/>
      <c r="Q935" s="1401"/>
      <c r="R935" s="1401" t="s">
        <v>4161</v>
      </c>
      <c r="S935" s="1401">
        <v>57</v>
      </c>
      <c r="T935" s="102" t="s">
        <v>23</v>
      </c>
      <c r="U935" s="1401" t="s">
        <v>4320</v>
      </c>
      <c r="V935" s="928"/>
      <c r="CM935" s="342"/>
      <c r="CN935" s="342"/>
      <c r="CO935" s="342"/>
      <c r="CP935" s="342"/>
      <c r="CQ935" s="342"/>
      <c r="CR935" s="342"/>
      <c r="CS935" s="342"/>
      <c r="CT935" s="342"/>
      <c r="CU935" s="342"/>
      <c r="CV935" s="342"/>
      <c r="CW935" s="342"/>
      <c r="CX935" s="342"/>
      <c r="CY935" s="342"/>
    </row>
    <row r="936" spans="1:103" s="343" customFormat="1" ht="34.5" customHeight="1" x14ac:dyDescent="0.25">
      <c r="A936" s="343">
        <v>0</v>
      </c>
      <c r="B936" s="1245">
        <v>45124</v>
      </c>
      <c r="C936" s="103">
        <v>0.875</v>
      </c>
      <c r="D936" s="1246">
        <v>57</v>
      </c>
      <c r="E936" s="1247">
        <v>12</v>
      </c>
      <c r="F936" s="1247">
        <v>16.399999999999999</v>
      </c>
      <c r="G936" s="1565" t="s">
        <v>3340</v>
      </c>
      <c r="H936" s="1565"/>
      <c r="I936" s="1565"/>
      <c r="J936" s="1565"/>
      <c r="K936" s="1565"/>
      <c r="L936" s="1402">
        <v>34.89</v>
      </c>
      <c r="M936" s="1402">
        <v>38</v>
      </c>
      <c r="N936" s="1402">
        <v>61.38</v>
      </c>
      <c r="O936" s="1402"/>
      <c r="P936" s="1402"/>
      <c r="Q936" s="1402"/>
      <c r="R936" s="1402" t="s">
        <v>6007</v>
      </c>
      <c r="S936" s="1402">
        <v>63.8</v>
      </c>
      <c r="T936" s="102" t="s">
        <v>23</v>
      </c>
      <c r="U936" s="1402" t="s">
        <v>4320</v>
      </c>
      <c r="V936" s="928"/>
      <c r="CM936" s="342"/>
      <c r="CN936" s="342"/>
      <c r="CO936" s="342"/>
      <c r="CP936" s="342"/>
      <c r="CQ936" s="342"/>
      <c r="CR936" s="342"/>
      <c r="CS936" s="342"/>
      <c r="CT936" s="342"/>
      <c r="CU936" s="342"/>
      <c r="CV936" s="342"/>
      <c r="CW936" s="342"/>
      <c r="CX936" s="342"/>
      <c r="CY936" s="342"/>
    </row>
    <row r="937" spans="1:103" s="343" customFormat="1" ht="34.5" customHeight="1" x14ac:dyDescent="0.25">
      <c r="A937" s="343">
        <v>0</v>
      </c>
      <c r="B937" s="1245">
        <v>45125</v>
      </c>
      <c r="C937" s="103">
        <v>0.875</v>
      </c>
      <c r="D937" s="1246">
        <v>57</v>
      </c>
      <c r="E937" s="1247">
        <v>13.6</v>
      </c>
      <c r="F937" s="1247">
        <v>17.899999999999999</v>
      </c>
      <c r="G937" s="1565" t="s">
        <v>3340</v>
      </c>
      <c r="H937" s="1565"/>
      <c r="I937" s="1565"/>
      <c r="J937" s="1565"/>
      <c r="K937" s="1565"/>
      <c r="L937" s="1405">
        <v>34.590000000000003</v>
      </c>
      <c r="M937" s="1405">
        <v>38</v>
      </c>
      <c r="N937" s="1405">
        <v>63.21</v>
      </c>
      <c r="O937" s="1405"/>
      <c r="P937" s="1405"/>
      <c r="Q937" s="1405"/>
      <c r="R937" s="1405" t="s">
        <v>5589</v>
      </c>
      <c r="S937" s="1405">
        <v>69.599999999999994</v>
      </c>
      <c r="T937" s="102" t="s">
        <v>23</v>
      </c>
      <c r="U937" s="1405" t="s">
        <v>4320</v>
      </c>
      <c r="V937" s="928"/>
      <c r="CM937" s="342"/>
      <c r="CN937" s="342"/>
      <c r="CO937" s="342"/>
      <c r="CP937" s="342"/>
      <c r="CQ937" s="342"/>
      <c r="CR937" s="342"/>
      <c r="CS937" s="342"/>
      <c r="CT937" s="342"/>
      <c r="CU937" s="342"/>
      <c r="CV937" s="342"/>
      <c r="CW937" s="342"/>
      <c r="CX937" s="342"/>
      <c r="CY937" s="342"/>
    </row>
    <row r="938" spans="1:103" s="343" customFormat="1" ht="34.5" customHeight="1" x14ac:dyDescent="0.25">
      <c r="A938" s="343">
        <v>0</v>
      </c>
      <c r="B938" s="1245">
        <v>45126</v>
      </c>
      <c r="C938" s="103">
        <v>0.95833333333333337</v>
      </c>
      <c r="D938" s="1246">
        <v>57</v>
      </c>
      <c r="E938" s="1247">
        <v>12.6</v>
      </c>
      <c r="F938" s="1247">
        <v>16.899999999999999</v>
      </c>
      <c r="G938" s="1565" t="s">
        <v>3340</v>
      </c>
      <c r="H938" s="1565"/>
      <c r="I938" s="1565"/>
      <c r="J938" s="1565"/>
      <c r="K938" s="1565"/>
      <c r="L938" s="1406">
        <v>36.1</v>
      </c>
      <c r="M938" s="1406">
        <v>38</v>
      </c>
      <c r="N938" s="1406">
        <v>60.45</v>
      </c>
      <c r="O938" s="1406"/>
      <c r="P938" s="1406"/>
      <c r="Q938" s="1406"/>
      <c r="R938" s="1406" t="s">
        <v>2168</v>
      </c>
      <c r="S938" s="1406">
        <v>65.7</v>
      </c>
      <c r="T938" s="102" t="s">
        <v>23</v>
      </c>
      <c r="U938" s="1406" t="s">
        <v>4320</v>
      </c>
      <c r="V938" s="928"/>
      <c r="CM938" s="342"/>
      <c r="CN938" s="342"/>
      <c r="CO938" s="342"/>
      <c r="CP938" s="342"/>
      <c r="CQ938" s="342"/>
      <c r="CR938" s="342"/>
      <c r="CS938" s="342"/>
      <c r="CT938" s="342"/>
      <c r="CU938" s="342"/>
      <c r="CV938" s="342"/>
      <c r="CW938" s="342"/>
      <c r="CX938" s="342"/>
      <c r="CY938" s="342"/>
    </row>
    <row r="939" spans="1:103" s="343" customFormat="1" ht="34.5" customHeight="1" x14ac:dyDescent="0.25">
      <c r="A939" s="343">
        <v>0</v>
      </c>
      <c r="B939" s="1245">
        <v>45127</v>
      </c>
      <c r="C939" s="103">
        <v>0.75</v>
      </c>
      <c r="D939" s="1246">
        <v>57</v>
      </c>
      <c r="E939" s="1247">
        <v>12</v>
      </c>
      <c r="F939" s="1247">
        <v>16.5</v>
      </c>
      <c r="G939" s="1565" t="s">
        <v>3340</v>
      </c>
      <c r="H939" s="1565"/>
      <c r="I939" s="1565"/>
      <c r="J939" s="1565"/>
      <c r="K939" s="1565"/>
      <c r="L939" s="1407">
        <v>34.61</v>
      </c>
      <c r="M939" s="1407">
        <v>38</v>
      </c>
      <c r="N939" s="1407">
        <v>64.31</v>
      </c>
      <c r="O939" s="1407"/>
      <c r="P939" s="1407"/>
      <c r="Q939" s="1407"/>
      <c r="R939" s="1407" t="s">
        <v>4161</v>
      </c>
      <c r="S939" s="1407">
        <v>64.2</v>
      </c>
      <c r="T939" s="102" t="s">
        <v>23</v>
      </c>
      <c r="U939" s="1407" t="s">
        <v>4320</v>
      </c>
      <c r="V939" s="928"/>
      <c r="CM939" s="342"/>
      <c r="CN939" s="342"/>
      <c r="CO939" s="342"/>
      <c r="CP939" s="342"/>
      <c r="CQ939" s="342"/>
      <c r="CR939" s="342"/>
      <c r="CS939" s="342"/>
      <c r="CT939" s="342"/>
      <c r="CU939" s="342"/>
      <c r="CV939" s="342"/>
      <c r="CW939" s="342"/>
      <c r="CX939" s="342"/>
      <c r="CY939" s="342"/>
    </row>
    <row r="940" spans="1:103" s="343" customFormat="1" ht="34.5" customHeight="1" x14ac:dyDescent="0.25">
      <c r="A940" s="343">
        <v>0</v>
      </c>
      <c r="B940" s="1245">
        <v>45128</v>
      </c>
      <c r="C940" s="103">
        <v>0.83333333333333337</v>
      </c>
      <c r="D940" s="1246">
        <v>57</v>
      </c>
      <c r="E940" s="1247">
        <v>11.6</v>
      </c>
      <c r="F940" s="1247">
        <v>16.100000000000001</v>
      </c>
      <c r="G940" s="1565" t="s">
        <v>3340</v>
      </c>
      <c r="H940" s="1565"/>
      <c r="I940" s="1565"/>
      <c r="J940" s="1565"/>
      <c r="K940" s="1565"/>
      <c r="L940" s="1408">
        <v>35.51</v>
      </c>
      <c r="M940" s="1408">
        <v>38</v>
      </c>
      <c r="N940" s="1408">
        <v>60.19</v>
      </c>
      <c r="O940" s="1408"/>
      <c r="P940" s="1408"/>
      <c r="Q940" s="1408"/>
      <c r="R940" s="1408" t="s">
        <v>3089</v>
      </c>
      <c r="S940" s="1408">
        <v>62.6</v>
      </c>
      <c r="T940" s="102" t="s">
        <v>23</v>
      </c>
      <c r="U940" s="1408" t="s">
        <v>4320</v>
      </c>
      <c r="V940" s="928"/>
      <c r="CM940" s="342"/>
      <c r="CN940" s="342"/>
      <c r="CO940" s="342"/>
      <c r="CP940" s="342"/>
      <c r="CQ940" s="342"/>
      <c r="CR940" s="342"/>
      <c r="CS940" s="342"/>
      <c r="CT940" s="342"/>
      <c r="CU940" s="342"/>
      <c r="CV940" s="342"/>
      <c r="CW940" s="342"/>
      <c r="CX940" s="342"/>
      <c r="CY940" s="342"/>
    </row>
    <row r="941" spans="1:103" s="343" customFormat="1" ht="34.5" customHeight="1" x14ac:dyDescent="0.25">
      <c r="A941" s="343">
        <v>0</v>
      </c>
      <c r="B941" s="1245">
        <v>45129</v>
      </c>
      <c r="C941" s="103">
        <v>0.91666666666666663</v>
      </c>
      <c r="D941" s="1246">
        <v>57</v>
      </c>
      <c r="E941" s="1247">
        <v>13.8</v>
      </c>
      <c r="F941" s="1247">
        <v>18</v>
      </c>
      <c r="G941" s="1565" t="s">
        <v>3340</v>
      </c>
      <c r="H941" s="1565"/>
      <c r="I941" s="1565"/>
      <c r="J941" s="1565"/>
      <c r="K941" s="1565"/>
      <c r="L941" s="1409">
        <v>34.200000000000003</v>
      </c>
      <c r="M941" s="1409">
        <v>39</v>
      </c>
      <c r="N941" s="1409">
        <v>62.63</v>
      </c>
      <c r="O941" s="1409"/>
      <c r="P941" s="1409"/>
      <c r="Q941" s="1409"/>
      <c r="R941" s="1409" t="s">
        <v>5973</v>
      </c>
      <c r="S941" s="1409">
        <v>70</v>
      </c>
      <c r="T941" s="102" t="s">
        <v>23</v>
      </c>
      <c r="U941" s="1409" t="s">
        <v>4320</v>
      </c>
      <c r="V941" s="928"/>
      <c r="CM941" s="342"/>
      <c r="CN941" s="342"/>
      <c r="CO941" s="342"/>
      <c r="CP941" s="342"/>
      <c r="CQ941" s="342"/>
      <c r="CR941" s="342"/>
      <c r="CS941" s="342"/>
      <c r="CT941" s="342"/>
      <c r="CU941" s="342"/>
      <c r="CV941" s="342"/>
      <c r="CW941" s="342"/>
      <c r="CX941" s="342"/>
      <c r="CY941" s="342"/>
    </row>
    <row r="942" spans="1:103" s="343" customFormat="1" ht="34.5" customHeight="1" x14ac:dyDescent="0.25">
      <c r="A942" s="343">
        <v>0</v>
      </c>
      <c r="B942" s="1245">
        <v>45130</v>
      </c>
      <c r="C942" s="103">
        <v>0.91666666666666663</v>
      </c>
      <c r="D942" s="1246">
        <v>57</v>
      </c>
      <c r="E942" s="1247">
        <v>11.9</v>
      </c>
      <c r="F942" s="1247">
        <v>16.399999999999999</v>
      </c>
      <c r="G942" s="1565" t="s">
        <v>3340</v>
      </c>
      <c r="H942" s="1565"/>
      <c r="I942" s="1565"/>
      <c r="J942" s="1565"/>
      <c r="K942" s="1565"/>
      <c r="L942" s="1411">
        <v>36.03</v>
      </c>
      <c r="M942" s="1411">
        <v>39</v>
      </c>
      <c r="N942" s="1411">
        <v>63.17</v>
      </c>
      <c r="O942" s="1411"/>
      <c r="P942" s="1411"/>
      <c r="Q942" s="1411"/>
      <c r="R942" s="1411" t="s">
        <v>1654</v>
      </c>
      <c r="S942" s="1411">
        <v>63.8</v>
      </c>
      <c r="T942" s="102" t="s">
        <v>23</v>
      </c>
      <c r="U942" s="1411" t="s">
        <v>4320</v>
      </c>
      <c r="V942" s="928"/>
      <c r="CM942" s="342"/>
      <c r="CN942" s="342"/>
      <c r="CO942" s="342"/>
      <c r="CP942" s="342"/>
      <c r="CQ942" s="342"/>
      <c r="CR942" s="342"/>
      <c r="CS942" s="342"/>
      <c r="CT942" s="342"/>
      <c r="CU942" s="342"/>
      <c r="CV942" s="342"/>
      <c r="CW942" s="342"/>
      <c r="CX942" s="342"/>
      <c r="CY942" s="342"/>
    </row>
    <row r="943" spans="1:103" s="343" customFormat="1" ht="34.5" customHeight="1" x14ac:dyDescent="0.25">
      <c r="A943" s="343">
        <v>0</v>
      </c>
      <c r="B943" s="1245">
        <v>45131</v>
      </c>
      <c r="C943" s="103">
        <v>0.91666666666666663</v>
      </c>
      <c r="D943" s="1246">
        <v>57</v>
      </c>
      <c r="E943" s="1247">
        <v>11.9</v>
      </c>
      <c r="F943" s="1247">
        <v>16.399999999999999</v>
      </c>
      <c r="G943" s="1565" t="s">
        <v>3340</v>
      </c>
      <c r="H943" s="1565"/>
      <c r="I943" s="1565"/>
      <c r="J943" s="1565"/>
      <c r="K943" s="1565"/>
      <c r="L943" s="1413">
        <v>33.799999999999997</v>
      </c>
      <c r="M943" s="1413">
        <v>39</v>
      </c>
      <c r="N943" s="1413">
        <v>61.49</v>
      </c>
      <c r="O943" s="1413"/>
      <c r="P943" s="1413"/>
      <c r="Q943" s="1413"/>
      <c r="R943" s="1413" t="s">
        <v>4724</v>
      </c>
      <c r="S943" s="1413">
        <v>63.8</v>
      </c>
      <c r="T943" s="102" t="s">
        <v>23</v>
      </c>
      <c r="U943" s="1413" t="s">
        <v>4320</v>
      </c>
      <c r="V943" s="928"/>
      <c r="CM943" s="342"/>
      <c r="CN943" s="342"/>
      <c r="CO943" s="342"/>
      <c r="CP943" s="342"/>
      <c r="CQ943" s="342"/>
      <c r="CR943" s="342"/>
      <c r="CS943" s="342"/>
      <c r="CT943" s="342"/>
      <c r="CU943" s="342"/>
      <c r="CV943" s="342"/>
      <c r="CW943" s="342"/>
      <c r="CX943" s="342"/>
      <c r="CY943" s="342"/>
    </row>
    <row r="944" spans="1:103" s="343" customFormat="1" ht="34.5" customHeight="1" x14ac:dyDescent="0.25">
      <c r="A944" s="343">
        <v>0</v>
      </c>
      <c r="B944" s="1245">
        <v>45132</v>
      </c>
      <c r="C944" s="103">
        <v>0.91666666666666663</v>
      </c>
      <c r="D944" s="1246">
        <v>57</v>
      </c>
      <c r="E944" s="1247">
        <v>11.7</v>
      </c>
      <c r="F944" s="1247">
        <v>16.3</v>
      </c>
      <c r="G944" s="1565" t="s">
        <v>3340</v>
      </c>
      <c r="H944" s="1565"/>
      <c r="I944" s="1565"/>
      <c r="J944" s="1565"/>
      <c r="K944" s="1565"/>
      <c r="L944" s="1414">
        <v>34.79</v>
      </c>
      <c r="M944" s="1414">
        <v>39</v>
      </c>
      <c r="N944" s="1414">
        <v>60.65</v>
      </c>
      <c r="O944" s="1414"/>
      <c r="P944" s="1414"/>
      <c r="Q944" s="1414"/>
      <c r="R944" s="1414" t="s">
        <v>842</v>
      </c>
      <c r="S944" s="1414">
        <v>63.4</v>
      </c>
      <c r="T944" s="102" t="s">
        <v>23</v>
      </c>
      <c r="U944" s="1414" t="s">
        <v>4320</v>
      </c>
      <c r="V944" s="928"/>
      <c r="CM944" s="342"/>
      <c r="CN944" s="342"/>
      <c r="CO944" s="342"/>
      <c r="CP944" s="342"/>
      <c r="CQ944" s="342"/>
      <c r="CR944" s="342"/>
      <c r="CS944" s="342"/>
      <c r="CT944" s="342"/>
      <c r="CU944" s="342"/>
      <c r="CV944" s="342"/>
      <c r="CW944" s="342"/>
      <c r="CX944" s="342"/>
      <c r="CY944" s="342"/>
    </row>
    <row r="945" spans="1:103" s="343" customFormat="1" ht="34.5" customHeight="1" x14ac:dyDescent="0.25">
      <c r="A945" s="343">
        <v>0</v>
      </c>
      <c r="B945" s="1245">
        <v>45133</v>
      </c>
      <c r="C945" s="103">
        <v>0.95833333333333337</v>
      </c>
      <c r="D945" s="1246">
        <v>57</v>
      </c>
      <c r="E945" s="1247">
        <v>12.1</v>
      </c>
      <c r="F945" s="1247">
        <v>16.5</v>
      </c>
      <c r="G945" s="1565" t="s">
        <v>3340</v>
      </c>
      <c r="H945" s="1565"/>
      <c r="I945" s="1565"/>
      <c r="J945" s="1565"/>
      <c r="K945" s="1565"/>
      <c r="L945" s="1415">
        <v>34.68</v>
      </c>
      <c r="M945" s="1415">
        <v>40</v>
      </c>
      <c r="N945" s="1415">
        <v>62.98</v>
      </c>
      <c r="O945" s="1415"/>
      <c r="P945" s="1415"/>
      <c r="Q945" s="1415"/>
      <c r="R945" s="1415" t="s">
        <v>4161</v>
      </c>
      <c r="S945" s="1415">
        <v>64.2</v>
      </c>
      <c r="T945" s="102" t="s">
        <v>23</v>
      </c>
      <c r="U945" s="1415" t="s">
        <v>4320</v>
      </c>
      <c r="V945" s="928"/>
      <c r="CM945" s="342"/>
      <c r="CN945" s="342"/>
      <c r="CO945" s="342"/>
      <c r="CP945" s="342"/>
      <c r="CQ945" s="342"/>
      <c r="CR945" s="342"/>
      <c r="CS945" s="342"/>
      <c r="CT945" s="342"/>
      <c r="CU945" s="342"/>
      <c r="CV945" s="342"/>
      <c r="CW945" s="342"/>
      <c r="CX945" s="342"/>
      <c r="CY945" s="342"/>
    </row>
    <row r="946" spans="1:103" s="343" customFormat="1" ht="34.5" customHeight="1" x14ac:dyDescent="0.25">
      <c r="A946" s="343">
        <v>0</v>
      </c>
      <c r="B946" s="1245">
        <v>45134</v>
      </c>
      <c r="C946" s="103">
        <v>0.875</v>
      </c>
      <c r="D946" s="1246">
        <v>57</v>
      </c>
      <c r="E946" s="1247">
        <v>12.1</v>
      </c>
      <c r="F946" s="1247">
        <v>16.399999999999999</v>
      </c>
      <c r="G946" s="1565" t="s">
        <v>3340</v>
      </c>
      <c r="H946" s="1565"/>
      <c r="I946" s="1565"/>
      <c r="J946" s="1565"/>
      <c r="K946" s="1565"/>
      <c r="L946" s="1416">
        <v>35.090000000000003</v>
      </c>
      <c r="M946" s="1416">
        <v>40</v>
      </c>
      <c r="N946" s="1416">
        <v>61.49</v>
      </c>
      <c r="O946" s="1416"/>
      <c r="P946" s="1416"/>
      <c r="Q946" s="1416"/>
      <c r="R946" s="1416" t="s">
        <v>4724</v>
      </c>
      <c r="S946" s="1416">
        <v>63.8</v>
      </c>
      <c r="T946" s="102" t="s">
        <v>23</v>
      </c>
      <c r="U946" s="1416" t="s">
        <v>4320</v>
      </c>
      <c r="V946" s="928"/>
      <c r="CM946" s="342"/>
      <c r="CN946" s="342"/>
      <c r="CO946" s="342"/>
      <c r="CP946" s="342"/>
      <c r="CQ946" s="342"/>
      <c r="CR946" s="342"/>
      <c r="CS946" s="342"/>
      <c r="CT946" s="342"/>
      <c r="CU946" s="342"/>
      <c r="CV946" s="342"/>
      <c r="CW946" s="342"/>
      <c r="CX946" s="342"/>
      <c r="CY946" s="342"/>
    </row>
  </sheetData>
  <mergeCells count="406">
    <mergeCell ref="G946:K946"/>
    <mergeCell ref="G944:K944"/>
    <mergeCell ref="G943:K943"/>
    <mergeCell ref="G941:K941"/>
    <mergeCell ref="G939:K939"/>
    <mergeCell ref="G915:K915"/>
    <mergeCell ref="G914:K914"/>
    <mergeCell ref="G913:K913"/>
    <mergeCell ref="G912:K912"/>
    <mergeCell ref="G911:K911"/>
    <mergeCell ref="G925:K925"/>
    <mergeCell ref="G924:K924"/>
    <mergeCell ref="G937:K937"/>
    <mergeCell ref="G935:K935"/>
    <mergeCell ref="G933:K933"/>
    <mergeCell ref="G932:K932"/>
    <mergeCell ref="G930:K930"/>
    <mergeCell ref="G929:K929"/>
    <mergeCell ref="G922:K922"/>
    <mergeCell ref="G921:K921"/>
    <mergeCell ref="G931:K931"/>
    <mergeCell ref="G936:K936"/>
    <mergeCell ref="G934:K934"/>
    <mergeCell ref="G918:K918"/>
    <mergeCell ref="G917:K917"/>
    <mergeCell ref="G916:K916"/>
    <mergeCell ref="G928:K928"/>
    <mergeCell ref="G927:K927"/>
    <mergeCell ref="G926:K926"/>
    <mergeCell ref="G923:K923"/>
    <mergeCell ref="G920:K920"/>
    <mergeCell ref="G919:K919"/>
    <mergeCell ref="G899:K899"/>
    <mergeCell ref="G898:K898"/>
    <mergeCell ref="G894:K894"/>
    <mergeCell ref="G897:K897"/>
    <mergeCell ref="G896:K896"/>
    <mergeCell ref="G895:K895"/>
    <mergeCell ref="G893:K893"/>
    <mergeCell ref="G910:K910"/>
    <mergeCell ref="G909:K909"/>
    <mergeCell ref="G908:K908"/>
    <mergeCell ref="G904:K904"/>
    <mergeCell ref="G902:K902"/>
    <mergeCell ref="G901:K901"/>
    <mergeCell ref="G900:K900"/>
    <mergeCell ref="G907:K907"/>
    <mergeCell ref="G903:K903"/>
    <mergeCell ref="G905:K905"/>
    <mergeCell ref="G906:K906"/>
    <mergeCell ref="G870:K870"/>
    <mergeCell ref="G881:K881"/>
    <mergeCell ref="G892:K892"/>
    <mergeCell ref="G891:K891"/>
    <mergeCell ref="G890:K890"/>
    <mergeCell ref="G888:K888"/>
    <mergeCell ref="G887:K887"/>
    <mergeCell ref="G886:K886"/>
    <mergeCell ref="G885:K885"/>
    <mergeCell ref="G883:K883"/>
    <mergeCell ref="G876:K876"/>
    <mergeCell ref="G884:K884"/>
    <mergeCell ref="G889:K889"/>
    <mergeCell ref="G874:K874"/>
    <mergeCell ref="G873:K873"/>
    <mergeCell ref="G882:K882"/>
    <mergeCell ref="G880:K880"/>
    <mergeCell ref="G879:K879"/>
    <mergeCell ref="G878:K878"/>
    <mergeCell ref="G877:K877"/>
    <mergeCell ref="G875:K875"/>
    <mergeCell ref="G872:K872"/>
    <mergeCell ref="G871:K871"/>
    <mergeCell ref="G843:K843"/>
    <mergeCell ref="G868:K868"/>
    <mergeCell ref="G866:K866"/>
    <mergeCell ref="G865:K865"/>
    <mergeCell ref="G862:K862"/>
    <mergeCell ref="G860:K860"/>
    <mergeCell ref="G858:K858"/>
    <mergeCell ref="G857:K857"/>
    <mergeCell ref="G856:K856"/>
    <mergeCell ref="G850:K850"/>
    <mergeCell ref="G855:K855"/>
    <mergeCell ref="G854:K854"/>
    <mergeCell ref="G853:K853"/>
    <mergeCell ref="G852:K852"/>
    <mergeCell ref="G851:K851"/>
    <mergeCell ref="D864:S864"/>
    <mergeCell ref="D863:S863"/>
    <mergeCell ref="G845:K845"/>
    <mergeCell ref="G861:K861"/>
    <mergeCell ref="G844:K844"/>
    <mergeCell ref="G859:K859"/>
    <mergeCell ref="G867:K867"/>
    <mergeCell ref="G840:K840"/>
    <mergeCell ref="G839:K839"/>
    <mergeCell ref="G849:K849"/>
    <mergeCell ref="G848:K848"/>
    <mergeCell ref="G847:K847"/>
    <mergeCell ref="G846:K846"/>
    <mergeCell ref="G836:K836"/>
    <mergeCell ref="G812:K812"/>
    <mergeCell ref="G842:K842"/>
    <mergeCell ref="G838:K838"/>
    <mergeCell ref="G837:K837"/>
    <mergeCell ref="G819:K819"/>
    <mergeCell ref="G820:K820"/>
    <mergeCell ref="G821:K821"/>
    <mergeCell ref="G831:K831"/>
    <mergeCell ref="G832:K832"/>
    <mergeCell ref="G833:K833"/>
    <mergeCell ref="G834:K834"/>
    <mergeCell ref="G835:K835"/>
    <mergeCell ref="G822:K822"/>
    <mergeCell ref="G823:K823"/>
    <mergeCell ref="G824:K824"/>
    <mergeCell ref="G825:K825"/>
    <mergeCell ref="G826:K826"/>
    <mergeCell ref="G827:K827"/>
    <mergeCell ref="G828:K828"/>
    <mergeCell ref="G829:K829"/>
    <mergeCell ref="G830:K830"/>
    <mergeCell ref="G841:K841"/>
    <mergeCell ref="G789:K789"/>
    <mergeCell ref="G809:K809"/>
    <mergeCell ref="G811:K811"/>
    <mergeCell ref="G810:K810"/>
    <mergeCell ref="G814:K814"/>
    <mergeCell ref="G815:K815"/>
    <mergeCell ref="G816:K816"/>
    <mergeCell ref="G817:K817"/>
    <mergeCell ref="G818:K818"/>
    <mergeCell ref="G794:K794"/>
    <mergeCell ref="G801:K801"/>
    <mergeCell ref="G802:K802"/>
    <mergeCell ref="G803:K803"/>
    <mergeCell ref="G797:K797"/>
    <mergeCell ref="G798:K798"/>
    <mergeCell ref="G807:K807"/>
    <mergeCell ref="G804:K804"/>
    <mergeCell ref="G805:K805"/>
    <mergeCell ref="G800:K800"/>
    <mergeCell ref="G799:K799"/>
    <mergeCell ref="G813:K813"/>
    <mergeCell ref="G790:K790"/>
    <mergeCell ref="G792:K792"/>
    <mergeCell ref="G793:K793"/>
    <mergeCell ref="G788:K788"/>
    <mergeCell ref="G808:K808"/>
    <mergeCell ref="G806:K806"/>
    <mergeCell ref="G795:K795"/>
    <mergeCell ref="G796:K796"/>
    <mergeCell ref="G791:K791"/>
    <mergeCell ref="G705:K705"/>
    <mergeCell ref="G748:K748"/>
    <mergeCell ref="G749:K749"/>
    <mergeCell ref="G750:K750"/>
    <mergeCell ref="G751:K751"/>
    <mergeCell ref="G752:K752"/>
    <mergeCell ref="G753:K753"/>
    <mergeCell ref="G756:K756"/>
    <mergeCell ref="G728:K728"/>
    <mergeCell ref="G745:K745"/>
    <mergeCell ref="G746:K746"/>
    <mergeCell ref="G747:K747"/>
    <mergeCell ref="G736:K736"/>
    <mergeCell ref="G735:K735"/>
    <mergeCell ref="G737:K737"/>
    <mergeCell ref="G706:K706"/>
    <mergeCell ref="G707:K707"/>
    <mergeCell ref="G708:K708"/>
    <mergeCell ref="G709:K709"/>
    <mergeCell ref="G710:K710"/>
    <mergeCell ref="G719:K719"/>
    <mergeCell ref="G739:K739"/>
    <mergeCell ref="G740:K740"/>
    <mergeCell ref="G741:K741"/>
    <mergeCell ref="G711:K711"/>
    <mergeCell ref="G712:K712"/>
    <mergeCell ref="G713:K713"/>
    <mergeCell ref="G714:K714"/>
    <mergeCell ref="G715:K715"/>
    <mergeCell ref="G716:K716"/>
    <mergeCell ref="G717:K717"/>
    <mergeCell ref="G718:K718"/>
    <mergeCell ref="G723:K723"/>
    <mergeCell ref="G720:K720"/>
    <mergeCell ref="G721:K721"/>
    <mergeCell ref="G722:K722"/>
    <mergeCell ref="G724:K724"/>
    <mergeCell ref="G725:K725"/>
    <mergeCell ref="G726:K726"/>
    <mergeCell ref="G727:K727"/>
    <mergeCell ref="G759:K759"/>
    <mergeCell ref="G757:K757"/>
    <mergeCell ref="G758:K758"/>
    <mergeCell ref="G755:K755"/>
    <mergeCell ref="G761:K761"/>
    <mergeCell ref="G742:K742"/>
    <mergeCell ref="G743:K743"/>
    <mergeCell ref="G744:K744"/>
    <mergeCell ref="G738:K738"/>
    <mergeCell ref="G729:K729"/>
    <mergeCell ref="G730:K730"/>
    <mergeCell ref="G731:K731"/>
    <mergeCell ref="G733:K733"/>
    <mergeCell ref="G732:K732"/>
    <mergeCell ref="G734:K734"/>
    <mergeCell ref="G768:K768"/>
    <mergeCell ref="G769:K769"/>
    <mergeCell ref="G771:K771"/>
    <mergeCell ref="G773:K773"/>
    <mergeCell ref="G760:K760"/>
    <mergeCell ref="G754:K754"/>
    <mergeCell ref="G781:K781"/>
    <mergeCell ref="G782:K782"/>
    <mergeCell ref="G783:K783"/>
    <mergeCell ref="G687:K687"/>
    <mergeCell ref="G688:K688"/>
    <mergeCell ref="G689:K689"/>
    <mergeCell ref="G669:K669"/>
    <mergeCell ref="G647:K647"/>
    <mergeCell ref="G787:K787"/>
    <mergeCell ref="G763:K763"/>
    <mergeCell ref="G762:K762"/>
    <mergeCell ref="G764:K764"/>
    <mergeCell ref="G770:K770"/>
    <mergeCell ref="G772:K772"/>
    <mergeCell ref="G779:K779"/>
    <mergeCell ref="G780:K780"/>
    <mergeCell ref="G766:K766"/>
    <mergeCell ref="G778:K778"/>
    <mergeCell ref="G774:K774"/>
    <mergeCell ref="G784:K784"/>
    <mergeCell ref="G785:K785"/>
    <mergeCell ref="G786:K786"/>
    <mergeCell ref="G775:K775"/>
    <mergeCell ref="G776:K776"/>
    <mergeCell ref="G777:K777"/>
    <mergeCell ref="G765:K765"/>
    <mergeCell ref="G767:K767"/>
    <mergeCell ref="B1:V3"/>
    <mergeCell ref="M4:N4"/>
    <mergeCell ref="I5:Q5"/>
    <mergeCell ref="M6:N6"/>
    <mergeCell ref="C375:S378"/>
    <mergeCell ref="U12:U13"/>
    <mergeCell ref="B14:B15"/>
    <mergeCell ref="B12:B13"/>
    <mergeCell ref="O12:O13"/>
    <mergeCell ref="P12:P13"/>
    <mergeCell ref="Q12:Q13"/>
    <mergeCell ref="T12:T13"/>
    <mergeCell ref="D10:E10"/>
    <mergeCell ref="I10:I11"/>
    <mergeCell ref="J10:L11"/>
    <mergeCell ref="M10:N10"/>
    <mergeCell ref="D11:E11"/>
    <mergeCell ref="R6:S6"/>
    <mergeCell ref="P10:Q10"/>
    <mergeCell ref="D9:E9"/>
    <mergeCell ref="R4:S4"/>
    <mergeCell ref="D8:E8"/>
    <mergeCell ref="I8:I9"/>
    <mergeCell ref="J8:L9"/>
    <mergeCell ref="G571:K571"/>
    <mergeCell ref="G574:K574"/>
    <mergeCell ref="G573:K573"/>
    <mergeCell ref="M8:N8"/>
    <mergeCell ref="M9:N9"/>
    <mergeCell ref="G572:K572"/>
    <mergeCell ref="G567:K567"/>
    <mergeCell ref="G568:K568"/>
    <mergeCell ref="G569:K569"/>
    <mergeCell ref="G570:K570"/>
    <mergeCell ref="G582:K582"/>
    <mergeCell ref="G584:K584"/>
    <mergeCell ref="G585:K585"/>
    <mergeCell ref="G593:K593"/>
    <mergeCell ref="G590:K590"/>
    <mergeCell ref="G577:K577"/>
    <mergeCell ref="G583:K583"/>
    <mergeCell ref="G580:K580"/>
    <mergeCell ref="G586:K586"/>
    <mergeCell ref="G587:K587"/>
    <mergeCell ref="G592:K592"/>
    <mergeCell ref="G579:K579"/>
    <mergeCell ref="G576:K576"/>
    <mergeCell ref="G578:K578"/>
    <mergeCell ref="G591:K591"/>
    <mergeCell ref="G575:K575"/>
    <mergeCell ref="G629:K629"/>
    <mergeCell ref="G628:K628"/>
    <mergeCell ref="G620:K620"/>
    <mergeCell ref="G621:K621"/>
    <mergeCell ref="G622:K622"/>
    <mergeCell ref="G581:K581"/>
    <mergeCell ref="G618:K618"/>
    <mergeCell ref="G619:K619"/>
    <mergeCell ref="G609:K609"/>
    <mergeCell ref="G610:K610"/>
    <mergeCell ref="G611:K611"/>
    <mergeCell ref="G614:K614"/>
    <mergeCell ref="G588:K588"/>
    <mergeCell ref="G589:K589"/>
    <mergeCell ref="G616:K616"/>
    <mergeCell ref="G608:K608"/>
    <mergeCell ref="G602:K602"/>
    <mergeCell ref="G597:K597"/>
    <mergeCell ref="G598:K598"/>
    <mergeCell ref="G596:K596"/>
    <mergeCell ref="G640:K640"/>
    <mergeCell ref="G641:K641"/>
    <mergeCell ref="G642:K642"/>
    <mergeCell ref="G650:K650"/>
    <mergeCell ref="G666:K666"/>
    <mergeCell ref="G625:K625"/>
    <mergeCell ref="G653:K653"/>
    <mergeCell ref="G639:K639"/>
    <mergeCell ref="G648:K648"/>
    <mergeCell ref="G649:K649"/>
    <mergeCell ref="G646:K646"/>
    <mergeCell ref="G652:K652"/>
    <mergeCell ref="G627:K627"/>
    <mergeCell ref="G630:K630"/>
    <mergeCell ref="G632:K632"/>
    <mergeCell ref="G636:K636"/>
    <mergeCell ref="G637:K637"/>
    <mergeCell ref="G633:K633"/>
    <mergeCell ref="G634:K634"/>
    <mergeCell ref="G635:K635"/>
    <mergeCell ref="G638:K638"/>
    <mergeCell ref="G643:K643"/>
    <mergeCell ref="G698:K698"/>
    <mergeCell ref="G693:K693"/>
    <mergeCell ref="G595:K595"/>
    <mergeCell ref="G603:K603"/>
    <mergeCell ref="G599:K599"/>
    <mergeCell ref="G600:K600"/>
    <mergeCell ref="G601:K601"/>
    <mergeCell ref="G594:K594"/>
    <mergeCell ref="G604:K604"/>
    <mergeCell ref="G615:K615"/>
    <mergeCell ref="G617:K617"/>
    <mergeCell ref="G605:K605"/>
    <mergeCell ref="G606:K606"/>
    <mergeCell ref="G613:K613"/>
    <mergeCell ref="G607:K607"/>
    <mergeCell ref="G612:K612"/>
    <mergeCell ref="G623:K623"/>
    <mergeCell ref="G651:K651"/>
    <mergeCell ref="G644:K644"/>
    <mergeCell ref="G645:K645"/>
    <mergeCell ref="G667:K667"/>
    <mergeCell ref="G668:K668"/>
    <mergeCell ref="G624:K624"/>
    <mergeCell ref="G631:K631"/>
    <mergeCell ref="G690:K690"/>
    <mergeCell ref="G691:K691"/>
    <mergeCell ref="G692:K692"/>
    <mergeCell ref="G626:K626"/>
    <mergeCell ref="G703:K703"/>
    <mergeCell ref="G704:K704"/>
    <mergeCell ref="G700:K700"/>
    <mergeCell ref="G701:K701"/>
    <mergeCell ref="G654:K654"/>
    <mergeCell ref="G655:K655"/>
    <mergeCell ref="G656:K656"/>
    <mergeCell ref="G673:K673"/>
    <mergeCell ref="G696:K696"/>
    <mergeCell ref="G697:K697"/>
    <mergeCell ref="G702:K702"/>
    <mergeCell ref="G662:K662"/>
    <mergeCell ref="G660:K660"/>
    <mergeCell ref="G659:K659"/>
    <mergeCell ref="G699:K699"/>
    <mergeCell ref="G682:K682"/>
    <mergeCell ref="G683:K683"/>
    <mergeCell ref="G684:K684"/>
    <mergeCell ref="G685:K685"/>
    <mergeCell ref="G686:K686"/>
    <mergeCell ref="G945:K945"/>
    <mergeCell ref="G942:K942"/>
    <mergeCell ref="G940:K940"/>
    <mergeCell ref="G938:K938"/>
    <mergeCell ref="G670:K670"/>
    <mergeCell ref="G671:K671"/>
    <mergeCell ref="G672:K672"/>
    <mergeCell ref="G681:K681"/>
    <mergeCell ref="G657:K657"/>
    <mergeCell ref="G658:K658"/>
    <mergeCell ref="G680:K680"/>
    <mergeCell ref="G674:K674"/>
    <mergeCell ref="G675:K675"/>
    <mergeCell ref="G679:K679"/>
    <mergeCell ref="G661:K661"/>
    <mergeCell ref="G664:K664"/>
    <mergeCell ref="G665:K665"/>
    <mergeCell ref="G663:K663"/>
    <mergeCell ref="G678:K678"/>
    <mergeCell ref="G869:K869"/>
    <mergeCell ref="G694:K694"/>
    <mergeCell ref="G695:K695"/>
    <mergeCell ref="G676:K676"/>
    <mergeCell ref="G677:K677"/>
  </mergeCells>
  <phoneticPr fontId="12" type="noConversion"/>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L216"/>
  <sheetViews>
    <sheetView zoomScale="82" zoomScaleNormal="82" workbookViewId="0">
      <pane ySplit="6" topLeftCell="A195" activePane="bottomLeft" state="frozen"/>
      <selection pane="bottomLeft" activeCell="G202" sqref="G202"/>
    </sheetView>
  </sheetViews>
  <sheetFormatPr defaultColWidth="8.7109375" defaultRowHeight="15" x14ac:dyDescent="0.25"/>
  <cols>
    <col min="1" max="1" width="12" style="18" customWidth="1"/>
    <col min="2" max="2" width="18.5703125" style="18" customWidth="1"/>
    <col min="3" max="3" width="16.28515625" style="18" bestFit="1" customWidth="1"/>
    <col min="4" max="4" width="15.85546875" style="18" bestFit="1" customWidth="1"/>
    <col min="5" max="5" width="14.85546875" style="18" customWidth="1"/>
    <col min="6" max="6" width="14.5703125" style="18" customWidth="1"/>
    <col min="7" max="7" width="15.42578125" style="18" customWidth="1"/>
    <col min="8" max="11" width="8.7109375" style="52"/>
    <col min="12" max="12" width="59" style="52" customWidth="1"/>
    <col min="13" max="16384" width="8.7109375" style="18"/>
  </cols>
  <sheetData>
    <row r="1" spans="1:12" x14ac:dyDescent="0.25">
      <c r="A1" s="1604"/>
      <c r="B1" s="1604"/>
      <c r="C1" s="1604"/>
      <c r="D1" s="1604"/>
      <c r="E1" s="1604"/>
      <c r="F1" s="1604"/>
      <c r="G1" s="1604"/>
      <c r="H1" s="1604"/>
      <c r="I1" s="1604"/>
      <c r="J1" s="1604"/>
      <c r="K1" s="1604"/>
      <c r="L1" s="1604"/>
    </row>
    <row r="2" spans="1:12" x14ac:dyDescent="0.25">
      <c r="A2" s="1604"/>
      <c r="B2" s="1604"/>
      <c r="C2" s="1604"/>
      <c r="D2" s="1604"/>
      <c r="E2" s="1604"/>
      <c r="F2" s="1604"/>
      <c r="G2" s="1604"/>
      <c r="H2" s="1604"/>
      <c r="I2" s="1604"/>
      <c r="J2" s="1604"/>
      <c r="K2" s="1604"/>
      <c r="L2" s="1604"/>
    </row>
    <row r="3" spans="1:12" x14ac:dyDescent="0.25">
      <c r="A3" s="1604"/>
      <c r="B3" s="1604"/>
      <c r="C3" s="1604"/>
      <c r="D3" s="1604"/>
      <c r="E3" s="1604"/>
      <c r="F3" s="1604"/>
      <c r="G3" s="1604"/>
      <c r="H3" s="1604"/>
      <c r="I3" s="1604"/>
      <c r="J3" s="1604"/>
      <c r="K3" s="1604"/>
      <c r="L3" s="1604"/>
    </row>
    <row r="4" spans="1:12" x14ac:dyDescent="0.25">
      <c r="A4" s="1605"/>
      <c r="B4" s="1605"/>
      <c r="C4" s="1605"/>
      <c r="D4" s="1605"/>
      <c r="E4" s="1605"/>
      <c r="F4" s="1605"/>
      <c r="G4" s="1605"/>
      <c r="H4" s="1605"/>
      <c r="I4" s="1605"/>
      <c r="J4" s="1605"/>
      <c r="K4" s="1605"/>
      <c r="L4" s="1605"/>
    </row>
    <row r="5" spans="1:12" ht="32.1" customHeight="1" x14ac:dyDescent="0.25">
      <c r="A5" s="1618" t="s">
        <v>317</v>
      </c>
      <c r="B5" s="1618"/>
      <c r="C5" s="1618"/>
      <c r="D5" s="1618"/>
      <c r="E5" s="1618"/>
      <c r="F5" s="1618"/>
      <c r="G5" s="1618"/>
      <c r="H5" s="1618"/>
      <c r="I5" s="1618"/>
      <c r="J5" s="1618"/>
      <c r="K5" s="1618"/>
      <c r="L5" s="1618"/>
    </row>
    <row r="6" spans="1:12" s="52" customFormat="1" ht="53.1" customHeight="1" x14ac:dyDescent="0.25">
      <c r="A6" s="250" t="s">
        <v>66</v>
      </c>
      <c r="B6" s="250" t="s">
        <v>67</v>
      </c>
      <c r="C6" s="250" t="s">
        <v>257</v>
      </c>
      <c r="D6" s="250" t="s">
        <v>69</v>
      </c>
      <c r="E6" s="250" t="s">
        <v>257</v>
      </c>
      <c r="F6" s="250" t="s">
        <v>70</v>
      </c>
      <c r="G6" s="250" t="s">
        <v>71</v>
      </c>
      <c r="H6" s="1619" t="s">
        <v>72</v>
      </c>
      <c r="I6" s="1619"/>
      <c r="J6" s="1619"/>
      <c r="K6" s="1619"/>
      <c r="L6" s="1619"/>
    </row>
    <row r="7" spans="1:12" ht="42" customHeight="1" x14ac:dyDescent="0.25">
      <c r="A7" s="53">
        <v>1</v>
      </c>
      <c r="B7" s="54">
        <v>44288</v>
      </c>
      <c r="C7" s="55" t="s">
        <v>320</v>
      </c>
      <c r="D7" s="54">
        <v>44288</v>
      </c>
      <c r="E7" s="55" t="s">
        <v>321</v>
      </c>
      <c r="F7" s="53"/>
      <c r="G7" s="53">
        <v>2.63</v>
      </c>
      <c r="H7" s="1608" t="s">
        <v>319</v>
      </c>
      <c r="I7" s="1609"/>
      <c r="J7" s="1609"/>
      <c r="K7" s="1609"/>
      <c r="L7" s="1610"/>
    </row>
    <row r="8" spans="1:12" ht="42" customHeight="1" x14ac:dyDescent="0.25">
      <c r="A8" s="53">
        <v>2</v>
      </c>
      <c r="B8" s="54">
        <v>44288</v>
      </c>
      <c r="C8" s="55" t="s">
        <v>321</v>
      </c>
      <c r="D8" s="54">
        <v>44288</v>
      </c>
      <c r="E8" s="55" t="s">
        <v>322</v>
      </c>
      <c r="F8" s="53"/>
      <c r="G8" s="53" t="s">
        <v>323</v>
      </c>
      <c r="H8" s="1611"/>
      <c r="I8" s="1612"/>
      <c r="J8" s="1612"/>
      <c r="K8" s="1612"/>
      <c r="L8" s="1613"/>
    </row>
    <row r="9" spans="1:12" ht="58.9" customHeight="1" x14ac:dyDescent="0.25">
      <c r="A9" s="53">
        <v>3</v>
      </c>
      <c r="B9" s="54">
        <v>44293</v>
      </c>
      <c r="C9" s="55" t="s">
        <v>343</v>
      </c>
      <c r="D9" s="54">
        <v>44293</v>
      </c>
      <c r="E9" s="55" t="s">
        <v>342</v>
      </c>
      <c r="F9" s="53"/>
      <c r="G9" s="61">
        <v>3.92</v>
      </c>
      <c r="H9" s="1617" t="s">
        <v>344</v>
      </c>
      <c r="I9" s="1617"/>
      <c r="J9" s="1617"/>
      <c r="K9" s="1617"/>
      <c r="L9" s="1617"/>
    </row>
    <row r="10" spans="1:12" ht="69" customHeight="1" x14ac:dyDescent="0.25">
      <c r="A10" s="53">
        <v>4</v>
      </c>
      <c r="B10" s="54">
        <v>44306</v>
      </c>
      <c r="C10" s="55" t="s">
        <v>401</v>
      </c>
      <c r="D10" s="54">
        <v>44307</v>
      </c>
      <c r="E10" s="55" t="s">
        <v>402</v>
      </c>
      <c r="F10" s="53"/>
      <c r="G10" s="61">
        <v>2.25</v>
      </c>
      <c r="H10" s="1617" t="s">
        <v>403</v>
      </c>
      <c r="I10" s="1617"/>
      <c r="J10" s="1617"/>
      <c r="K10" s="1617"/>
      <c r="L10" s="1617"/>
    </row>
    <row r="11" spans="1:12" ht="40.9" customHeight="1" x14ac:dyDescent="0.25">
      <c r="A11" s="53">
        <v>5</v>
      </c>
      <c r="B11" s="54">
        <v>44310</v>
      </c>
      <c r="C11" s="55" t="s">
        <v>417</v>
      </c>
      <c r="D11" s="54">
        <v>44310</v>
      </c>
      <c r="E11" s="55" t="s">
        <v>418</v>
      </c>
      <c r="F11" s="53"/>
      <c r="G11" s="61">
        <v>2.11</v>
      </c>
      <c r="H11" s="1617" t="s">
        <v>419</v>
      </c>
      <c r="I11" s="1617"/>
      <c r="J11" s="1617"/>
      <c r="K11" s="1617"/>
      <c r="L11" s="1617"/>
    </row>
    <row r="12" spans="1:12" ht="54" customHeight="1" x14ac:dyDescent="0.25">
      <c r="A12" s="53">
        <v>6</v>
      </c>
      <c r="B12" s="54">
        <v>44311</v>
      </c>
      <c r="C12" s="55" t="s">
        <v>423</v>
      </c>
      <c r="D12" s="54">
        <v>44311</v>
      </c>
      <c r="E12" s="55" t="s">
        <v>424</v>
      </c>
      <c r="F12" s="53"/>
      <c r="G12" s="61">
        <v>2.06</v>
      </c>
      <c r="H12" s="1617" t="s">
        <v>425</v>
      </c>
      <c r="I12" s="1617"/>
      <c r="J12" s="1617"/>
      <c r="K12" s="1617"/>
      <c r="L12" s="1617"/>
    </row>
    <row r="13" spans="1:12" ht="90" customHeight="1" x14ac:dyDescent="0.25">
      <c r="A13" s="53">
        <v>7</v>
      </c>
      <c r="B13" s="54">
        <v>44312</v>
      </c>
      <c r="C13" s="55" t="s">
        <v>431</v>
      </c>
      <c r="D13" s="54">
        <v>44312</v>
      </c>
      <c r="E13" s="55" t="s">
        <v>432</v>
      </c>
      <c r="F13" s="53"/>
      <c r="G13" s="61" t="s">
        <v>433</v>
      </c>
      <c r="H13" s="1617" t="s">
        <v>426</v>
      </c>
      <c r="I13" s="1617"/>
      <c r="J13" s="1617"/>
      <c r="K13" s="1617"/>
      <c r="L13" s="1617"/>
    </row>
    <row r="14" spans="1:12" ht="48.6" customHeight="1" x14ac:dyDescent="0.25">
      <c r="A14" s="53">
        <v>8</v>
      </c>
      <c r="B14" s="54">
        <v>44313</v>
      </c>
      <c r="C14" s="55" t="s">
        <v>436</v>
      </c>
      <c r="D14" s="54">
        <v>44313</v>
      </c>
      <c r="E14" s="55" t="s">
        <v>437</v>
      </c>
      <c r="F14" s="53"/>
      <c r="G14" s="61" t="s">
        <v>438</v>
      </c>
      <c r="H14" s="1617" t="s">
        <v>439</v>
      </c>
      <c r="I14" s="1617"/>
      <c r="J14" s="1617"/>
      <c r="K14" s="1617"/>
      <c r="L14" s="1617"/>
    </row>
    <row r="15" spans="1:12" ht="79.900000000000006" customHeight="1" x14ac:dyDescent="0.25">
      <c r="A15" s="53">
        <v>9</v>
      </c>
      <c r="B15" s="54">
        <v>44314</v>
      </c>
      <c r="C15" s="55" t="s">
        <v>448</v>
      </c>
      <c r="D15" s="54">
        <v>44314</v>
      </c>
      <c r="E15" s="55" t="s">
        <v>449</v>
      </c>
      <c r="F15" s="53"/>
      <c r="G15" s="61">
        <v>3.16</v>
      </c>
      <c r="H15" s="1608" t="s">
        <v>447</v>
      </c>
      <c r="I15" s="1609"/>
      <c r="J15" s="1609"/>
      <c r="K15" s="1609"/>
      <c r="L15" s="1610"/>
    </row>
    <row r="16" spans="1:12" ht="79.900000000000006" customHeight="1" x14ac:dyDescent="0.25">
      <c r="A16" s="53">
        <v>10</v>
      </c>
      <c r="B16" s="54">
        <v>44314</v>
      </c>
      <c r="C16" s="54" t="s">
        <v>454</v>
      </c>
      <c r="D16" s="54"/>
      <c r="E16" s="55"/>
      <c r="F16" s="53"/>
      <c r="G16" s="61">
        <v>21</v>
      </c>
      <c r="H16" s="1611"/>
      <c r="I16" s="1612"/>
      <c r="J16" s="1612"/>
      <c r="K16" s="1612"/>
      <c r="L16" s="1613"/>
    </row>
    <row r="17" spans="1:12" ht="65.25" customHeight="1" x14ac:dyDescent="0.25">
      <c r="A17" s="53">
        <v>11</v>
      </c>
      <c r="B17" s="54"/>
      <c r="C17" s="53"/>
      <c r="D17" s="54">
        <v>44315</v>
      </c>
      <c r="E17" s="55" t="s">
        <v>453</v>
      </c>
      <c r="F17" s="53"/>
      <c r="G17" s="61">
        <v>7.4</v>
      </c>
      <c r="H17" s="1601" t="s">
        <v>455</v>
      </c>
      <c r="I17" s="1602"/>
      <c r="J17" s="1602"/>
      <c r="K17" s="1602"/>
      <c r="L17" s="1603"/>
    </row>
    <row r="18" spans="1:12" ht="79.900000000000006" customHeight="1" x14ac:dyDescent="0.25">
      <c r="A18" s="53">
        <v>12</v>
      </c>
      <c r="B18" s="54">
        <v>44316</v>
      </c>
      <c r="C18" s="55" t="s">
        <v>469</v>
      </c>
      <c r="D18" s="54">
        <v>44316</v>
      </c>
      <c r="E18" s="55" t="s">
        <v>470</v>
      </c>
      <c r="F18" s="53"/>
      <c r="G18" s="53">
        <v>1.85</v>
      </c>
      <c r="H18" s="1617" t="s">
        <v>464</v>
      </c>
      <c r="I18" s="1617"/>
      <c r="J18" s="1617"/>
      <c r="K18" s="1617"/>
      <c r="L18" s="1617"/>
    </row>
    <row r="19" spans="1:12" ht="79.900000000000006" customHeight="1" x14ac:dyDescent="0.25">
      <c r="A19" s="53">
        <v>13</v>
      </c>
      <c r="B19" s="54">
        <v>44318</v>
      </c>
      <c r="C19" s="55" t="s">
        <v>474</v>
      </c>
      <c r="D19" s="54">
        <v>44318</v>
      </c>
      <c r="E19" s="53" t="s">
        <v>475</v>
      </c>
      <c r="F19" s="53"/>
      <c r="G19" s="53">
        <v>4</v>
      </c>
      <c r="H19" s="1617" t="s">
        <v>476</v>
      </c>
      <c r="I19" s="1617"/>
      <c r="J19" s="1617"/>
      <c r="K19" s="1617"/>
      <c r="L19" s="1617"/>
    </row>
    <row r="20" spans="1:12" ht="79.900000000000006" customHeight="1" x14ac:dyDescent="0.25">
      <c r="A20" s="53">
        <v>14</v>
      </c>
      <c r="B20" s="30">
        <v>44318</v>
      </c>
      <c r="C20" s="55" t="s">
        <v>484</v>
      </c>
      <c r="D20" s="54">
        <v>44318</v>
      </c>
      <c r="E20" s="55" t="s">
        <v>483</v>
      </c>
      <c r="F20" s="53"/>
      <c r="G20" s="53">
        <v>3.8</v>
      </c>
      <c r="H20" s="1617" t="s">
        <v>485</v>
      </c>
      <c r="I20" s="1617"/>
      <c r="J20" s="1617"/>
      <c r="K20" s="1617"/>
      <c r="L20" s="1617"/>
    </row>
    <row r="21" spans="1:12" ht="79.900000000000006" customHeight="1" x14ac:dyDescent="0.25">
      <c r="A21" s="53">
        <v>15</v>
      </c>
      <c r="B21" s="30">
        <v>44322</v>
      </c>
      <c r="C21" s="55" t="s">
        <v>499</v>
      </c>
      <c r="D21" s="30">
        <v>44322</v>
      </c>
      <c r="E21" s="53" t="s">
        <v>500</v>
      </c>
      <c r="F21" s="53"/>
      <c r="G21" s="53">
        <v>3.3</v>
      </c>
      <c r="H21" s="1617" t="s">
        <v>501</v>
      </c>
      <c r="I21" s="1617"/>
      <c r="J21" s="1617"/>
      <c r="K21" s="1617"/>
      <c r="L21" s="1617"/>
    </row>
    <row r="22" spans="1:12" ht="79.900000000000006" customHeight="1" x14ac:dyDescent="0.25">
      <c r="A22" s="53">
        <v>16</v>
      </c>
      <c r="B22" s="30">
        <v>44325</v>
      </c>
      <c r="C22" s="53" t="s">
        <v>517</v>
      </c>
      <c r="D22" s="30"/>
      <c r="E22" s="55"/>
      <c r="F22" s="53">
        <v>2.08</v>
      </c>
      <c r="G22" s="53">
        <v>21.92</v>
      </c>
      <c r="H22" s="1617" t="s">
        <v>518</v>
      </c>
      <c r="I22" s="1617"/>
      <c r="J22" s="1617"/>
      <c r="K22" s="1617"/>
      <c r="L22" s="1617"/>
    </row>
    <row r="23" spans="1:12" ht="79.900000000000006" customHeight="1" x14ac:dyDescent="0.25">
      <c r="A23" s="53">
        <v>17</v>
      </c>
      <c r="B23" s="53"/>
      <c r="C23" s="53"/>
      <c r="D23" s="54">
        <v>44348</v>
      </c>
      <c r="E23" s="53" t="s">
        <v>586</v>
      </c>
      <c r="F23" s="53">
        <v>19.45</v>
      </c>
      <c r="G23" s="53">
        <v>4.55</v>
      </c>
      <c r="H23" s="1617" t="s">
        <v>587</v>
      </c>
      <c r="I23" s="1617"/>
      <c r="J23" s="1617"/>
      <c r="K23" s="1617"/>
      <c r="L23" s="1617"/>
    </row>
    <row r="24" spans="1:12" ht="79.900000000000006" customHeight="1" x14ac:dyDescent="0.25">
      <c r="A24" s="53">
        <v>18</v>
      </c>
      <c r="B24" s="54">
        <v>44356</v>
      </c>
      <c r="C24" s="53" t="s">
        <v>616</v>
      </c>
      <c r="D24" s="53"/>
      <c r="E24" s="53"/>
      <c r="F24" s="53"/>
      <c r="G24" s="53"/>
      <c r="H24" s="1617" t="s">
        <v>614</v>
      </c>
      <c r="I24" s="1617"/>
      <c r="J24" s="1617"/>
      <c r="K24" s="1617"/>
      <c r="L24" s="1617"/>
    </row>
    <row r="25" spans="1:12" ht="79.900000000000006" customHeight="1" x14ac:dyDescent="0.25">
      <c r="A25" s="53">
        <v>19</v>
      </c>
      <c r="B25" s="53"/>
      <c r="C25" s="53"/>
      <c r="D25" s="54">
        <v>44380</v>
      </c>
      <c r="E25" s="53" t="s">
        <v>710</v>
      </c>
      <c r="F25" s="53"/>
      <c r="G25" s="53" t="s">
        <v>711</v>
      </c>
      <c r="H25" s="1617" t="s">
        <v>709</v>
      </c>
      <c r="I25" s="1617"/>
      <c r="J25" s="1617"/>
      <c r="K25" s="1617"/>
      <c r="L25" s="1617"/>
    </row>
    <row r="26" spans="1:12" ht="79.900000000000006" customHeight="1" x14ac:dyDescent="0.25">
      <c r="A26" s="53">
        <v>20</v>
      </c>
      <c r="B26" s="54">
        <v>44386</v>
      </c>
      <c r="C26" s="53" t="s">
        <v>738</v>
      </c>
      <c r="D26" s="53"/>
      <c r="E26" s="53"/>
      <c r="F26" s="53" t="s">
        <v>740</v>
      </c>
      <c r="G26" s="53">
        <v>22.86</v>
      </c>
      <c r="H26" s="1617" t="s">
        <v>739</v>
      </c>
      <c r="I26" s="1617"/>
      <c r="J26" s="1617"/>
      <c r="K26" s="1617"/>
      <c r="L26" s="1617"/>
    </row>
    <row r="27" spans="1:12" ht="79.900000000000006" customHeight="1" x14ac:dyDescent="0.25">
      <c r="A27" s="53">
        <v>21</v>
      </c>
      <c r="B27" s="53"/>
      <c r="C27" s="53"/>
      <c r="D27" s="54">
        <v>44386</v>
      </c>
      <c r="E27" s="53" t="s">
        <v>660</v>
      </c>
      <c r="F27" s="53"/>
      <c r="G27" s="53" t="s">
        <v>747</v>
      </c>
      <c r="H27" s="1617" t="s">
        <v>746</v>
      </c>
      <c r="I27" s="1617"/>
      <c r="J27" s="1617"/>
      <c r="K27" s="1617"/>
      <c r="L27" s="1617"/>
    </row>
    <row r="28" spans="1:12" ht="79.900000000000006" customHeight="1" x14ac:dyDescent="0.25">
      <c r="A28" s="53">
        <v>22</v>
      </c>
      <c r="B28" s="54">
        <v>44393</v>
      </c>
      <c r="C28" s="53" t="s">
        <v>770</v>
      </c>
      <c r="D28" s="53"/>
      <c r="E28" s="53"/>
      <c r="F28" s="53"/>
      <c r="G28" s="53" t="s">
        <v>771</v>
      </c>
      <c r="H28" s="1608" t="s">
        <v>818</v>
      </c>
      <c r="I28" s="1609"/>
      <c r="J28" s="1609"/>
      <c r="K28" s="1609"/>
      <c r="L28" s="1610"/>
    </row>
    <row r="29" spans="1:12" ht="79.900000000000006" customHeight="1" x14ac:dyDescent="0.25">
      <c r="A29" s="53">
        <v>23</v>
      </c>
      <c r="B29" s="53"/>
      <c r="C29" s="53"/>
      <c r="D29" s="54">
        <v>44401</v>
      </c>
      <c r="E29" s="53" t="s">
        <v>817</v>
      </c>
      <c r="F29" s="53">
        <v>17.670000000000002</v>
      </c>
      <c r="G29" s="53" t="s">
        <v>819</v>
      </c>
      <c r="H29" s="1611"/>
      <c r="I29" s="1612"/>
      <c r="J29" s="1612"/>
      <c r="K29" s="1612"/>
      <c r="L29" s="1613"/>
    </row>
    <row r="30" spans="1:12" ht="79.900000000000006" customHeight="1" x14ac:dyDescent="0.25">
      <c r="A30" s="53">
        <v>24</v>
      </c>
      <c r="B30" s="54">
        <v>44405</v>
      </c>
      <c r="C30" s="53" t="s">
        <v>820</v>
      </c>
      <c r="D30" s="54">
        <v>44405</v>
      </c>
      <c r="E30" s="53" t="s">
        <v>821</v>
      </c>
      <c r="F30" s="53"/>
      <c r="G30" s="53">
        <v>1.07</v>
      </c>
      <c r="H30" s="1608" t="s">
        <v>823</v>
      </c>
      <c r="I30" s="1609"/>
      <c r="J30" s="1609"/>
      <c r="K30" s="1609"/>
      <c r="L30" s="1610"/>
    </row>
    <row r="31" spans="1:12" ht="79.900000000000006" customHeight="1" x14ac:dyDescent="0.25">
      <c r="A31" s="53">
        <v>25</v>
      </c>
      <c r="B31" s="54">
        <v>44405</v>
      </c>
      <c r="C31" s="53" t="s">
        <v>822</v>
      </c>
      <c r="D31" s="53"/>
      <c r="E31" s="53"/>
      <c r="F31" s="53"/>
      <c r="G31" s="53" t="s">
        <v>824</v>
      </c>
      <c r="H31" s="1611"/>
      <c r="I31" s="1612"/>
      <c r="J31" s="1612"/>
      <c r="K31" s="1612"/>
      <c r="L31" s="1613"/>
    </row>
    <row r="32" spans="1:12" ht="79.900000000000006" customHeight="1" x14ac:dyDescent="0.25">
      <c r="A32" s="53">
        <v>26</v>
      </c>
      <c r="C32" s="53"/>
      <c r="D32" s="54">
        <v>44410</v>
      </c>
      <c r="E32" s="53" t="s">
        <v>845</v>
      </c>
      <c r="F32" s="53"/>
      <c r="G32" s="53" t="s">
        <v>850</v>
      </c>
      <c r="H32" s="1617" t="s">
        <v>851</v>
      </c>
      <c r="I32" s="1617"/>
      <c r="J32" s="1617"/>
      <c r="K32" s="1617"/>
      <c r="L32" s="1617"/>
    </row>
    <row r="33" spans="1:12" ht="79.900000000000006" customHeight="1" x14ac:dyDescent="0.25">
      <c r="A33" s="53">
        <v>27</v>
      </c>
      <c r="B33" s="54">
        <v>44413</v>
      </c>
      <c r="C33" s="53" t="s">
        <v>868</v>
      </c>
      <c r="D33" s="53"/>
      <c r="E33" s="53"/>
      <c r="F33" s="53" t="s">
        <v>869</v>
      </c>
      <c r="G33" s="53" t="s">
        <v>907</v>
      </c>
      <c r="H33" s="1608" t="s">
        <v>905</v>
      </c>
      <c r="I33" s="1609"/>
      <c r="J33" s="1609"/>
      <c r="K33" s="1609"/>
      <c r="L33" s="1610"/>
    </row>
    <row r="34" spans="1:12" ht="79.900000000000006" customHeight="1" x14ac:dyDescent="0.25">
      <c r="A34" s="53">
        <v>28</v>
      </c>
      <c r="B34" s="53"/>
      <c r="C34" s="53"/>
      <c r="D34" s="54">
        <v>44417</v>
      </c>
      <c r="E34" s="53" t="s">
        <v>906</v>
      </c>
      <c r="F34" s="53"/>
      <c r="G34" s="53" t="s">
        <v>908</v>
      </c>
      <c r="H34" s="1611"/>
      <c r="I34" s="1612"/>
      <c r="J34" s="1612"/>
      <c r="K34" s="1612"/>
      <c r="L34" s="1613"/>
    </row>
    <row r="35" spans="1:12" ht="79.900000000000006" customHeight="1" x14ac:dyDescent="0.25">
      <c r="A35" s="53">
        <v>29</v>
      </c>
      <c r="B35" s="54">
        <v>44419</v>
      </c>
      <c r="C35" s="53" t="s">
        <v>923</v>
      </c>
      <c r="D35" s="53" t="s">
        <v>946</v>
      </c>
      <c r="E35" s="55">
        <v>0.46527777777777773</v>
      </c>
      <c r="F35" s="53"/>
      <c r="G35" s="53"/>
      <c r="H35" s="1617" t="s">
        <v>1284</v>
      </c>
      <c r="I35" s="1617"/>
      <c r="J35" s="1617"/>
      <c r="K35" s="1617"/>
      <c r="L35" s="1617"/>
    </row>
    <row r="36" spans="1:12" ht="79.900000000000006" customHeight="1" x14ac:dyDescent="0.25">
      <c r="A36" s="53">
        <v>30</v>
      </c>
      <c r="B36" s="30">
        <v>44423</v>
      </c>
      <c r="C36" s="55">
        <v>0.875</v>
      </c>
      <c r="D36" s="53"/>
      <c r="E36" s="53"/>
      <c r="F36" s="53"/>
      <c r="G36" s="53"/>
      <c r="H36" s="1617" t="s">
        <v>955</v>
      </c>
      <c r="I36" s="1617"/>
      <c r="J36" s="1617"/>
      <c r="K36" s="1617"/>
      <c r="L36" s="1617"/>
    </row>
    <row r="37" spans="1:12" ht="79.900000000000006" customHeight="1" x14ac:dyDescent="0.25">
      <c r="A37" s="53">
        <v>31</v>
      </c>
      <c r="B37" s="53"/>
      <c r="C37" s="53"/>
      <c r="D37" s="25">
        <v>44430</v>
      </c>
      <c r="E37" s="53" t="s">
        <v>930</v>
      </c>
      <c r="F37" s="53"/>
      <c r="G37" s="53"/>
      <c r="H37" s="1617" t="s">
        <v>1034</v>
      </c>
      <c r="I37" s="1617"/>
      <c r="J37" s="1617"/>
      <c r="K37" s="1617"/>
      <c r="L37" s="1617"/>
    </row>
    <row r="38" spans="1:12" ht="47.25" customHeight="1" x14ac:dyDescent="0.25">
      <c r="A38" s="53">
        <v>32</v>
      </c>
      <c r="B38" s="25">
        <v>44433</v>
      </c>
      <c r="C38" s="55">
        <v>0.625</v>
      </c>
      <c r="D38" s="53"/>
      <c r="E38" s="53"/>
      <c r="F38" s="53"/>
      <c r="G38" s="53"/>
      <c r="H38" s="1617" t="s">
        <v>1035</v>
      </c>
      <c r="I38" s="1617"/>
      <c r="J38" s="1617"/>
      <c r="K38" s="1617"/>
      <c r="L38" s="1617"/>
    </row>
    <row r="39" spans="1:12" x14ac:dyDescent="0.25">
      <c r="A39" s="53">
        <v>32</v>
      </c>
      <c r="B39" s="25"/>
      <c r="C39" s="55"/>
      <c r="D39" s="25">
        <v>44439</v>
      </c>
      <c r="E39" s="55">
        <v>0.49305555555555558</v>
      </c>
      <c r="F39" s="53"/>
      <c r="G39" s="53"/>
      <c r="H39" s="1617" t="s">
        <v>1070</v>
      </c>
      <c r="I39" s="1617"/>
      <c r="J39" s="1617"/>
      <c r="K39" s="1617"/>
      <c r="L39" s="1617"/>
    </row>
    <row r="40" spans="1:12" ht="36.75" customHeight="1" x14ac:dyDescent="0.25">
      <c r="A40" s="53">
        <v>33</v>
      </c>
      <c r="B40" s="25">
        <v>44441</v>
      </c>
      <c r="C40" s="55">
        <v>0.94791666666666663</v>
      </c>
      <c r="D40" s="25">
        <v>44447</v>
      </c>
      <c r="E40" s="55">
        <v>0.43402777777777773</v>
      </c>
      <c r="F40" s="53"/>
      <c r="G40" s="53"/>
      <c r="H40" s="1620" t="s">
        <v>1087</v>
      </c>
      <c r="I40" s="1621"/>
      <c r="J40" s="1621"/>
      <c r="K40" s="1621"/>
      <c r="L40" s="1622"/>
    </row>
    <row r="41" spans="1:12" ht="32.25" customHeight="1" x14ac:dyDescent="0.25">
      <c r="A41" s="53">
        <v>34</v>
      </c>
      <c r="B41" s="25">
        <v>44450</v>
      </c>
      <c r="C41" s="55">
        <v>0.76736111111111116</v>
      </c>
      <c r="D41" s="25">
        <v>44452</v>
      </c>
      <c r="E41" s="55">
        <v>0.32291666666666669</v>
      </c>
      <c r="F41" s="53"/>
      <c r="G41" s="53"/>
      <c r="H41" s="1601" t="s">
        <v>1165</v>
      </c>
      <c r="I41" s="1602"/>
      <c r="J41" s="1602"/>
      <c r="K41" s="1602"/>
      <c r="L41" s="1603"/>
    </row>
    <row r="42" spans="1:12" ht="60" customHeight="1" x14ac:dyDescent="0.25">
      <c r="A42" s="53">
        <v>35</v>
      </c>
      <c r="B42" s="25">
        <v>44454</v>
      </c>
      <c r="C42" s="55">
        <v>4.1666666666666664E-2</v>
      </c>
      <c r="D42" s="25">
        <v>44455</v>
      </c>
      <c r="E42" s="55">
        <v>0.47916666666666669</v>
      </c>
      <c r="F42" s="53"/>
      <c r="G42" s="53"/>
      <c r="H42" s="1601" t="s">
        <v>1195</v>
      </c>
      <c r="I42" s="1602"/>
      <c r="J42" s="1602"/>
      <c r="K42" s="1602"/>
      <c r="L42" s="1603"/>
    </row>
    <row r="43" spans="1:12" ht="36" customHeight="1" x14ac:dyDescent="0.25">
      <c r="A43" s="53">
        <v>36</v>
      </c>
      <c r="B43" s="25">
        <v>44457</v>
      </c>
      <c r="C43" s="55">
        <v>0.79166666666666663</v>
      </c>
      <c r="D43" s="25">
        <v>44461</v>
      </c>
      <c r="E43" s="55">
        <v>0.875</v>
      </c>
      <c r="F43" s="53"/>
      <c r="G43" s="53"/>
      <c r="H43" s="1601" t="s">
        <v>1235</v>
      </c>
      <c r="I43" s="1602"/>
      <c r="J43" s="1602"/>
      <c r="K43" s="1602"/>
      <c r="L43" s="1603"/>
    </row>
    <row r="44" spans="1:12" ht="47.25" customHeight="1" x14ac:dyDescent="0.25">
      <c r="A44" s="53">
        <v>37</v>
      </c>
      <c r="B44" s="25">
        <v>44463</v>
      </c>
      <c r="C44" s="55">
        <v>3.472222222222222E-3</v>
      </c>
      <c r="D44" s="25">
        <v>44467</v>
      </c>
      <c r="E44" s="55">
        <v>0.72916666666666663</v>
      </c>
      <c r="F44" s="53"/>
      <c r="G44" s="53"/>
      <c r="H44" s="1601" t="s">
        <v>1271</v>
      </c>
      <c r="I44" s="1602"/>
      <c r="J44" s="1602"/>
      <c r="K44" s="1602"/>
      <c r="L44" s="1603"/>
    </row>
    <row r="45" spans="1:12" x14ac:dyDescent="0.25">
      <c r="A45" s="53">
        <v>38</v>
      </c>
      <c r="B45" s="25">
        <v>44469</v>
      </c>
      <c r="C45" s="55">
        <v>0.74652777777777779</v>
      </c>
      <c r="D45" s="25">
        <v>44469</v>
      </c>
      <c r="E45" s="53"/>
      <c r="F45" s="53"/>
      <c r="G45" s="53"/>
      <c r="H45" s="1601" t="s">
        <v>1274</v>
      </c>
      <c r="I45" s="1602"/>
      <c r="J45" s="1602"/>
      <c r="K45" s="1602"/>
      <c r="L45" s="1603"/>
    </row>
    <row r="46" spans="1:12" ht="39" customHeight="1" x14ac:dyDescent="0.25">
      <c r="A46" s="53">
        <v>39</v>
      </c>
      <c r="B46" s="25">
        <v>44474</v>
      </c>
      <c r="C46" s="55">
        <v>0.59027777777777779</v>
      </c>
      <c r="D46" s="25">
        <v>44477</v>
      </c>
      <c r="E46" s="55">
        <v>0.56597222222222221</v>
      </c>
      <c r="F46" s="53"/>
      <c r="G46" s="53"/>
      <c r="H46" s="1601" t="s">
        <v>1364</v>
      </c>
      <c r="I46" s="1602"/>
      <c r="J46" s="1602"/>
      <c r="K46" s="1602"/>
      <c r="L46" s="1603"/>
    </row>
    <row r="47" spans="1:12" ht="36.75" customHeight="1" x14ac:dyDescent="0.25">
      <c r="A47" s="53">
        <v>40</v>
      </c>
      <c r="B47" s="25">
        <v>44478</v>
      </c>
      <c r="C47" s="55">
        <v>2.0833333333333332E-2</v>
      </c>
      <c r="D47" s="25">
        <v>44483</v>
      </c>
      <c r="E47" s="55">
        <v>0.5</v>
      </c>
      <c r="F47" s="53"/>
      <c r="G47" s="53"/>
      <c r="H47" s="1601" t="s">
        <v>1365</v>
      </c>
      <c r="I47" s="1602"/>
      <c r="J47" s="1602"/>
      <c r="K47" s="1602"/>
      <c r="L47" s="1603"/>
    </row>
    <row r="48" spans="1:12" ht="31.5" customHeight="1" x14ac:dyDescent="0.25">
      <c r="A48" s="53">
        <v>41</v>
      </c>
      <c r="B48" s="25">
        <v>44485</v>
      </c>
      <c r="C48" s="55">
        <v>0.58680555555555558</v>
      </c>
      <c r="D48" s="25">
        <v>44489</v>
      </c>
      <c r="E48" s="55">
        <v>0.5</v>
      </c>
      <c r="F48" s="53"/>
      <c r="G48" s="53"/>
      <c r="H48" s="1601" t="s">
        <v>1423</v>
      </c>
      <c r="I48" s="1602"/>
      <c r="J48" s="1602"/>
      <c r="K48" s="1602"/>
      <c r="L48" s="1603"/>
    </row>
    <row r="49" spans="1:12" ht="35.25" customHeight="1" x14ac:dyDescent="0.25">
      <c r="A49" s="53">
        <v>42</v>
      </c>
      <c r="B49" s="25">
        <v>44491</v>
      </c>
      <c r="C49" s="55">
        <v>0.3576388888888889</v>
      </c>
      <c r="D49" s="25">
        <v>44495</v>
      </c>
      <c r="E49" s="55" t="s">
        <v>1440</v>
      </c>
      <c r="F49" s="53"/>
      <c r="G49" s="53"/>
      <c r="H49" s="1601" t="s">
        <v>1439</v>
      </c>
      <c r="I49" s="1602"/>
      <c r="J49" s="1602"/>
      <c r="K49" s="1602"/>
      <c r="L49" s="1603"/>
    </row>
    <row r="50" spans="1:12" ht="73.5" customHeight="1" x14ac:dyDescent="0.25">
      <c r="A50" s="53">
        <v>43</v>
      </c>
      <c r="B50" s="25">
        <v>44499</v>
      </c>
      <c r="C50" s="55">
        <v>0.21180555555555555</v>
      </c>
      <c r="D50" s="25">
        <v>44505</v>
      </c>
      <c r="E50" s="55" t="s">
        <v>1522</v>
      </c>
      <c r="F50" s="53"/>
      <c r="G50" s="53"/>
      <c r="H50" s="1601" t="s">
        <v>1523</v>
      </c>
      <c r="I50" s="1602"/>
      <c r="J50" s="1602"/>
      <c r="K50" s="1602"/>
      <c r="L50" s="1603"/>
    </row>
    <row r="51" spans="1:12" ht="55.5" customHeight="1" x14ac:dyDescent="0.25">
      <c r="A51" s="53">
        <v>44</v>
      </c>
      <c r="B51" s="25">
        <v>44510</v>
      </c>
      <c r="C51" s="55" t="s">
        <v>1552</v>
      </c>
      <c r="D51" s="25">
        <v>44517</v>
      </c>
      <c r="E51" s="55" t="s">
        <v>1591</v>
      </c>
      <c r="F51" s="53"/>
      <c r="G51" s="53"/>
      <c r="H51" s="1601" t="s">
        <v>1592</v>
      </c>
      <c r="I51" s="1602"/>
      <c r="J51" s="1602"/>
      <c r="K51" s="1602"/>
      <c r="L51" s="1603"/>
    </row>
    <row r="52" spans="1:12" ht="55.5" customHeight="1" x14ac:dyDescent="0.25">
      <c r="A52" s="53">
        <v>45</v>
      </c>
      <c r="B52" s="25">
        <v>44522</v>
      </c>
      <c r="C52" s="55" t="s">
        <v>1627</v>
      </c>
      <c r="D52" s="25">
        <v>44547</v>
      </c>
      <c r="E52" s="55" t="s">
        <v>1729</v>
      </c>
      <c r="F52" s="53"/>
      <c r="G52" s="53">
        <v>11.55</v>
      </c>
      <c r="H52" s="1601" t="s">
        <v>1730</v>
      </c>
      <c r="I52" s="1602"/>
      <c r="J52" s="1602"/>
      <c r="K52" s="1602"/>
      <c r="L52" s="1603"/>
    </row>
    <row r="53" spans="1:12" ht="85.5" customHeight="1" x14ac:dyDescent="0.25">
      <c r="A53" s="53">
        <v>46</v>
      </c>
      <c r="B53" s="25">
        <v>44551</v>
      </c>
      <c r="C53" s="55" t="s">
        <v>1754</v>
      </c>
      <c r="D53" s="25">
        <v>44551</v>
      </c>
      <c r="E53" s="55" t="s">
        <v>1755</v>
      </c>
      <c r="F53" s="53"/>
      <c r="G53" s="53">
        <v>4.1500000000000004</v>
      </c>
      <c r="H53" s="1601" t="s">
        <v>1756</v>
      </c>
      <c r="I53" s="1602"/>
      <c r="J53" s="1602"/>
      <c r="K53" s="1602"/>
      <c r="L53" s="1603"/>
    </row>
    <row r="54" spans="1:12" ht="54.75" customHeight="1" x14ac:dyDescent="0.25">
      <c r="A54" s="53">
        <v>47</v>
      </c>
      <c r="B54" s="25">
        <v>44555</v>
      </c>
      <c r="C54" s="55" t="s">
        <v>1783</v>
      </c>
      <c r="D54" s="25">
        <v>44559</v>
      </c>
      <c r="E54" s="55" t="s">
        <v>1798</v>
      </c>
      <c r="F54" s="53"/>
      <c r="G54" s="53" t="s">
        <v>1800</v>
      </c>
      <c r="H54" s="1601" t="s">
        <v>1799</v>
      </c>
      <c r="I54" s="1602"/>
      <c r="J54" s="1602"/>
      <c r="K54" s="1602"/>
      <c r="L54" s="1603"/>
    </row>
    <row r="55" spans="1:12" ht="54.75" customHeight="1" x14ac:dyDescent="0.25">
      <c r="A55" s="53">
        <v>48</v>
      </c>
      <c r="B55" s="25">
        <v>44563</v>
      </c>
      <c r="C55" s="55" t="s">
        <v>1833</v>
      </c>
      <c r="D55" s="25">
        <v>44563</v>
      </c>
      <c r="E55" s="55" t="s">
        <v>1834</v>
      </c>
      <c r="F55" s="53"/>
      <c r="G55" s="53" t="s">
        <v>1836</v>
      </c>
      <c r="H55" s="1601" t="s">
        <v>1835</v>
      </c>
      <c r="I55" s="1602"/>
      <c r="J55" s="1602"/>
      <c r="K55" s="1602"/>
      <c r="L55" s="1603"/>
    </row>
    <row r="56" spans="1:12" ht="54.75" customHeight="1" x14ac:dyDescent="0.25">
      <c r="A56" s="53">
        <v>49</v>
      </c>
      <c r="B56" s="25">
        <v>44563</v>
      </c>
      <c r="C56" s="55" t="s">
        <v>1837</v>
      </c>
      <c r="D56" s="25">
        <v>44564</v>
      </c>
      <c r="E56" s="55" t="s">
        <v>1838</v>
      </c>
      <c r="F56" s="53"/>
      <c r="G56" s="53" t="s">
        <v>1840</v>
      </c>
      <c r="H56" s="1601" t="s">
        <v>1839</v>
      </c>
      <c r="I56" s="1602"/>
      <c r="J56" s="1602"/>
      <c r="K56" s="1602"/>
      <c r="L56" s="1603"/>
    </row>
    <row r="57" spans="1:12" ht="54.75" customHeight="1" x14ac:dyDescent="0.25">
      <c r="A57" s="53">
        <v>50</v>
      </c>
      <c r="B57" s="25">
        <v>44569</v>
      </c>
      <c r="C57" s="55" t="s">
        <v>1864</v>
      </c>
      <c r="D57" s="25">
        <v>44569</v>
      </c>
      <c r="E57" s="55" t="s">
        <v>1865</v>
      </c>
      <c r="F57" s="53"/>
      <c r="G57" s="53">
        <v>4.9000000000000004</v>
      </c>
      <c r="H57" s="1601" t="s">
        <v>1866</v>
      </c>
      <c r="I57" s="1602"/>
      <c r="J57" s="1602"/>
      <c r="K57" s="1602"/>
      <c r="L57" s="1603"/>
    </row>
    <row r="58" spans="1:12" ht="54.75" customHeight="1" x14ac:dyDescent="0.25">
      <c r="A58" s="53">
        <v>51</v>
      </c>
      <c r="B58" s="25">
        <v>44572</v>
      </c>
      <c r="C58" s="55" t="s">
        <v>1892</v>
      </c>
      <c r="D58" s="25">
        <v>44574</v>
      </c>
      <c r="E58" s="55" t="s">
        <v>1934</v>
      </c>
      <c r="F58" s="53"/>
      <c r="G58" s="53" t="s">
        <v>1893</v>
      </c>
      <c r="H58" s="1601" t="s">
        <v>1916</v>
      </c>
      <c r="I58" s="1602"/>
      <c r="J58" s="1602"/>
      <c r="K58" s="1602"/>
      <c r="L58" s="1603"/>
    </row>
    <row r="59" spans="1:12" ht="74.25" customHeight="1" x14ac:dyDescent="0.25">
      <c r="A59" s="53">
        <v>52</v>
      </c>
      <c r="B59" s="25">
        <v>44576</v>
      </c>
      <c r="C59" s="55" t="s">
        <v>1935</v>
      </c>
      <c r="D59" s="25">
        <v>44577</v>
      </c>
      <c r="E59" s="55" t="s">
        <v>1948</v>
      </c>
      <c r="F59" s="53"/>
      <c r="G59" s="53" t="s">
        <v>1949</v>
      </c>
      <c r="H59" s="1601" t="s">
        <v>1950</v>
      </c>
      <c r="I59" s="1602"/>
      <c r="J59" s="1602"/>
      <c r="K59" s="1602"/>
      <c r="L59" s="1603"/>
    </row>
    <row r="60" spans="1:12" ht="54.75" customHeight="1" x14ac:dyDescent="0.25">
      <c r="A60" s="53">
        <v>53</v>
      </c>
      <c r="B60" s="25">
        <v>44580</v>
      </c>
      <c r="C60" s="55" t="s">
        <v>1981</v>
      </c>
      <c r="D60" s="25">
        <v>44580</v>
      </c>
      <c r="E60" s="55" t="s">
        <v>1982</v>
      </c>
      <c r="F60" s="53"/>
      <c r="G60" s="53" t="s">
        <v>1984</v>
      </c>
      <c r="H60" s="1601" t="s">
        <v>1983</v>
      </c>
      <c r="I60" s="1602"/>
      <c r="J60" s="1602"/>
      <c r="K60" s="1602"/>
      <c r="L60" s="1603"/>
    </row>
    <row r="61" spans="1:12" ht="82.5" customHeight="1" x14ac:dyDescent="0.25">
      <c r="A61" s="53">
        <v>54</v>
      </c>
      <c r="B61" s="25">
        <v>44582</v>
      </c>
      <c r="C61" s="55" t="s">
        <v>1981</v>
      </c>
      <c r="D61" s="25">
        <v>44585</v>
      </c>
      <c r="E61" s="55" t="s">
        <v>2024</v>
      </c>
      <c r="F61" s="53"/>
      <c r="G61" s="53">
        <v>8.52</v>
      </c>
      <c r="H61" s="1601" t="s">
        <v>2025</v>
      </c>
      <c r="I61" s="1602"/>
      <c r="J61" s="1602"/>
      <c r="K61" s="1602"/>
      <c r="L61" s="1603"/>
    </row>
    <row r="62" spans="1:12" ht="82.5" customHeight="1" x14ac:dyDescent="0.25">
      <c r="A62" s="53">
        <v>55</v>
      </c>
      <c r="B62" s="25">
        <v>44586</v>
      </c>
      <c r="C62" s="55" t="s">
        <v>2035</v>
      </c>
      <c r="D62" s="25">
        <v>44586</v>
      </c>
      <c r="E62" s="55" t="s">
        <v>2036</v>
      </c>
      <c r="F62" s="53"/>
      <c r="G62" s="53" t="s">
        <v>2037</v>
      </c>
      <c r="H62" s="1601" t="s">
        <v>2034</v>
      </c>
      <c r="I62" s="1602"/>
      <c r="J62" s="1602"/>
      <c r="K62" s="1602"/>
      <c r="L62" s="1603"/>
    </row>
    <row r="63" spans="1:12" ht="54.75" customHeight="1" x14ac:dyDescent="0.25">
      <c r="A63" s="53">
        <v>55</v>
      </c>
      <c r="B63" s="25">
        <v>44590</v>
      </c>
      <c r="C63" s="55">
        <v>0.4375</v>
      </c>
      <c r="D63" s="25"/>
      <c r="E63" s="55"/>
      <c r="F63" s="53"/>
      <c r="G63" s="55"/>
      <c r="H63" s="1601" t="s">
        <v>2069</v>
      </c>
      <c r="I63" s="1602"/>
      <c r="J63" s="1602"/>
      <c r="K63" s="1602"/>
      <c r="L63" s="1603"/>
    </row>
    <row r="64" spans="1:12" ht="54.75" customHeight="1" x14ac:dyDescent="0.25">
      <c r="A64" s="53">
        <v>56</v>
      </c>
      <c r="B64" s="25">
        <v>44594</v>
      </c>
      <c r="C64" s="55">
        <v>0.20486111111111113</v>
      </c>
      <c r="D64" s="25">
        <v>44598</v>
      </c>
      <c r="E64" s="55">
        <v>0.44097222222222227</v>
      </c>
      <c r="F64" s="53"/>
      <c r="G64" s="55"/>
      <c r="H64" s="1601" t="s">
        <v>2104</v>
      </c>
      <c r="I64" s="1602"/>
      <c r="J64" s="1602"/>
      <c r="K64" s="1602"/>
      <c r="L64" s="1603"/>
    </row>
    <row r="65" spans="1:12" ht="57.75" customHeight="1" x14ac:dyDescent="0.25">
      <c r="A65" s="53">
        <v>57</v>
      </c>
      <c r="B65" s="25">
        <v>44600</v>
      </c>
      <c r="C65" s="55">
        <v>0.58333333333333337</v>
      </c>
      <c r="D65" s="25">
        <v>44603</v>
      </c>
      <c r="E65" s="55">
        <v>0.48958333333333331</v>
      </c>
      <c r="F65" s="53"/>
      <c r="G65" s="55"/>
      <c r="H65" s="1601" t="s">
        <v>2138</v>
      </c>
      <c r="I65" s="1602"/>
      <c r="J65" s="1602"/>
      <c r="K65" s="1602"/>
      <c r="L65" s="1603"/>
    </row>
    <row r="66" spans="1:12" ht="66" customHeight="1" x14ac:dyDescent="0.25">
      <c r="A66" s="53">
        <v>58</v>
      </c>
      <c r="B66" s="25">
        <v>44604</v>
      </c>
      <c r="C66" s="55">
        <v>0.5854166666666667</v>
      </c>
      <c r="D66" s="25"/>
      <c r="E66" s="55"/>
      <c r="F66" s="53"/>
      <c r="G66" s="55"/>
      <c r="H66" s="1601" t="s">
        <v>2176</v>
      </c>
      <c r="I66" s="1602"/>
      <c r="J66" s="1602"/>
      <c r="K66" s="1602"/>
      <c r="L66" s="1603"/>
    </row>
    <row r="67" spans="1:12" ht="51.75" customHeight="1" x14ac:dyDescent="0.25">
      <c r="A67" s="53">
        <v>59</v>
      </c>
      <c r="B67" s="25">
        <v>44604</v>
      </c>
      <c r="C67" s="55">
        <v>0.77430555555555547</v>
      </c>
      <c r="D67" s="25"/>
      <c r="E67" s="55"/>
      <c r="F67" s="53"/>
      <c r="G67" s="55"/>
      <c r="H67" s="1601" t="s">
        <v>2233</v>
      </c>
      <c r="I67" s="1602"/>
      <c r="J67" s="1602"/>
      <c r="K67" s="1602"/>
      <c r="L67" s="1603"/>
    </row>
    <row r="68" spans="1:12" ht="60.75" customHeight="1" x14ac:dyDescent="0.25">
      <c r="A68" s="53">
        <v>59</v>
      </c>
      <c r="B68" s="25">
        <v>44620</v>
      </c>
      <c r="C68" s="55">
        <v>0.63541666666666663</v>
      </c>
      <c r="D68" s="25">
        <v>44623</v>
      </c>
      <c r="E68" s="55">
        <v>0.64722222222222225</v>
      </c>
      <c r="F68" s="53"/>
      <c r="G68" s="55"/>
      <c r="H68" s="1601" t="s">
        <v>2352</v>
      </c>
      <c r="I68" s="1602"/>
      <c r="J68" s="1602"/>
      <c r="K68" s="1602"/>
      <c r="L68" s="1603"/>
    </row>
    <row r="69" spans="1:12" ht="71.25" customHeight="1" x14ac:dyDescent="0.25">
      <c r="A69" s="53">
        <v>59</v>
      </c>
      <c r="B69" s="25">
        <v>44625</v>
      </c>
      <c r="C69" s="55">
        <v>0.36458333333333331</v>
      </c>
      <c r="D69" s="25">
        <v>44631</v>
      </c>
      <c r="E69" s="55">
        <v>0.72569444444444453</v>
      </c>
      <c r="F69" s="53"/>
      <c r="G69" s="55"/>
      <c r="H69" s="1601" t="s">
        <v>2344</v>
      </c>
      <c r="I69" s="1602"/>
      <c r="J69" s="1602"/>
      <c r="K69" s="1602"/>
      <c r="L69" s="1603"/>
    </row>
    <row r="70" spans="1:12" ht="84.75" customHeight="1" x14ac:dyDescent="0.25">
      <c r="A70" s="53">
        <v>60</v>
      </c>
      <c r="B70" s="25">
        <v>44633</v>
      </c>
      <c r="C70" s="55">
        <v>0.85416666666666663</v>
      </c>
      <c r="D70" s="25">
        <v>44638</v>
      </c>
      <c r="E70" s="55">
        <v>0.50694444444444442</v>
      </c>
      <c r="F70" s="53"/>
      <c r="G70" s="55"/>
      <c r="H70" s="1601" t="s">
        <v>2380</v>
      </c>
      <c r="I70" s="1602"/>
      <c r="J70" s="1602"/>
      <c r="K70" s="1602"/>
      <c r="L70" s="1603"/>
    </row>
    <row r="71" spans="1:12" ht="67.5" customHeight="1" x14ac:dyDescent="0.25">
      <c r="A71" s="53">
        <v>61</v>
      </c>
      <c r="B71" s="25">
        <v>44639</v>
      </c>
      <c r="C71" s="55">
        <v>0.27083333333333331</v>
      </c>
      <c r="D71" s="25">
        <v>44641</v>
      </c>
      <c r="E71" s="55">
        <v>0.36458333333333331</v>
      </c>
      <c r="F71" s="53"/>
      <c r="G71" s="55"/>
      <c r="H71" s="1601" t="s">
        <v>2395</v>
      </c>
      <c r="I71" s="1602"/>
      <c r="J71" s="1602"/>
      <c r="K71" s="1602"/>
      <c r="L71" s="1603"/>
    </row>
    <row r="72" spans="1:12" ht="45" customHeight="1" x14ac:dyDescent="0.25">
      <c r="A72" s="53">
        <v>62</v>
      </c>
      <c r="B72" s="25">
        <v>44656</v>
      </c>
      <c r="C72" s="55" t="s">
        <v>2587</v>
      </c>
      <c r="D72" s="25" t="s">
        <v>2575</v>
      </c>
      <c r="E72" s="55" t="s">
        <v>2576</v>
      </c>
      <c r="F72" s="53"/>
      <c r="G72" s="55"/>
      <c r="H72" s="1601" t="s">
        <v>2588</v>
      </c>
      <c r="I72" s="1602"/>
      <c r="J72" s="1602"/>
      <c r="K72" s="1602"/>
      <c r="L72" s="1603"/>
    </row>
    <row r="73" spans="1:12" ht="49.5" customHeight="1" x14ac:dyDescent="0.25">
      <c r="A73" s="53">
        <v>63</v>
      </c>
      <c r="B73" s="25">
        <v>44663</v>
      </c>
      <c r="C73" s="55" t="s">
        <v>2593</v>
      </c>
      <c r="D73" s="25" t="s">
        <v>2689</v>
      </c>
      <c r="E73" s="55" t="s">
        <v>2536</v>
      </c>
      <c r="F73" s="53"/>
      <c r="G73" s="55" t="s">
        <v>2633</v>
      </c>
      <c r="H73" s="1614" t="s">
        <v>2632</v>
      </c>
      <c r="I73" s="1602"/>
      <c r="J73" s="1602"/>
      <c r="K73" s="1602"/>
      <c r="L73" s="1603"/>
    </row>
    <row r="74" spans="1:12" ht="39.75" customHeight="1" x14ac:dyDescent="0.25">
      <c r="A74" s="53">
        <v>64</v>
      </c>
      <c r="B74" s="25">
        <v>44669</v>
      </c>
      <c r="C74" s="55" t="s">
        <v>2650</v>
      </c>
      <c r="D74" s="25" t="s">
        <v>2691</v>
      </c>
      <c r="E74" s="55" t="s">
        <v>2690</v>
      </c>
      <c r="F74" s="53"/>
      <c r="G74" s="61">
        <v>10.7</v>
      </c>
      <c r="H74" s="1601" t="s">
        <v>2692</v>
      </c>
      <c r="I74" s="1602"/>
      <c r="J74" s="1602"/>
      <c r="K74" s="1602"/>
      <c r="L74" s="1603"/>
    </row>
    <row r="75" spans="1:12" ht="31.5" customHeight="1" x14ac:dyDescent="0.25">
      <c r="A75" s="53">
        <v>65</v>
      </c>
      <c r="B75" s="25">
        <v>44674</v>
      </c>
      <c r="C75" s="55" t="s">
        <v>1528</v>
      </c>
      <c r="D75" s="25" t="s">
        <v>2743</v>
      </c>
      <c r="E75" s="55" t="s">
        <v>2744</v>
      </c>
      <c r="F75" s="53"/>
      <c r="G75" s="55" t="s">
        <v>2746</v>
      </c>
      <c r="H75" s="1601" t="s">
        <v>2745</v>
      </c>
      <c r="I75" s="1602"/>
      <c r="J75" s="1602"/>
      <c r="K75" s="1602"/>
      <c r="L75" s="1603"/>
    </row>
    <row r="76" spans="1:12" ht="27.75" customHeight="1" x14ac:dyDescent="0.25">
      <c r="A76" s="1606">
        <v>66</v>
      </c>
      <c r="B76" s="25">
        <v>44681</v>
      </c>
      <c r="C76" s="55" t="s">
        <v>825</v>
      </c>
      <c r="D76" s="827"/>
      <c r="E76" s="828"/>
      <c r="F76" s="53"/>
      <c r="G76" s="55" t="s">
        <v>2754</v>
      </c>
      <c r="H76" s="1608" t="s">
        <v>2793</v>
      </c>
      <c r="I76" s="1609"/>
      <c r="J76" s="1609"/>
      <c r="K76" s="1609"/>
      <c r="L76" s="1610"/>
    </row>
    <row r="77" spans="1:12" ht="27" customHeight="1" x14ac:dyDescent="0.25">
      <c r="A77" s="1607"/>
      <c r="B77" s="827"/>
      <c r="C77" s="828"/>
      <c r="D77" s="25">
        <v>44686</v>
      </c>
      <c r="E77" s="55" t="s">
        <v>2791</v>
      </c>
      <c r="F77" s="53"/>
      <c r="G77" s="55" t="s">
        <v>2792</v>
      </c>
      <c r="H77" s="1611"/>
      <c r="I77" s="1612"/>
      <c r="J77" s="1612"/>
      <c r="K77" s="1612"/>
      <c r="L77" s="1613"/>
    </row>
    <row r="78" spans="1:12" ht="33.75" customHeight="1" x14ac:dyDescent="0.25">
      <c r="A78" s="1606">
        <v>67</v>
      </c>
      <c r="B78" s="25">
        <v>44688</v>
      </c>
      <c r="C78" s="55" t="s">
        <v>2802</v>
      </c>
      <c r="D78" s="827"/>
      <c r="E78" s="828"/>
      <c r="F78" s="53"/>
      <c r="G78" s="55" t="s">
        <v>2804</v>
      </c>
      <c r="H78" s="1608" t="s">
        <v>2850</v>
      </c>
      <c r="I78" s="1609"/>
      <c r="J78" s="1609"/>
      <c r="K78" s="1609"/>
      <c r="L78" s="1610"/>
    </row>
    <row r="79" spans="1:12" ht="35.25" customHeight="1" x14ac:dyDescent="0.25">
      <c r="A79" s="1607"/>
      <c r="B79" s="827"/>
      <c r="C79" s="828"/>
      <c r="D79" s="25">
        <v>44694</v>
      </c>
      <c r="E79" s="55" t="s">
        <v>660</v>
      </c>
      <c r="F79" s="53"/>
      <c r="G79" s="55" t="s">
        <v>747</v>
      </c>
      <c r="H79" s="1611"/>
      <c r="I79" s="1612"/>
      <c r="J79" s="1612"/>
      <c r="K79" s="1612"/>
      <c r="L79" s="1613"/>
    </row>
    <row r="80" spans="1:12" ht="33" customHeight="1" x14ac:dyDescent="0.25">
      <c r="A80" s="1606">
        <v>68</v>
      </c>
      <c r="B80" s="25">
        <v>44696</v>
      </c>
      <c r="C80" s="55" t="s">
        <v>2870</v>
      </c>
      <c r="D80" s="827"/>
      <c r="E80" s="828"/>
      <c r="F80" s="53"/>
      <c r="G80" s="55" t="s">
        <v>2871</v>
      </c>
      <c r="H80" s="1608" t="s">
        <v>2910</v>
      </c>
      <c r="I80" s="1609"/>
      <c r="J80" s="1609"/>
      <c r="K80" s="1609"/>
      <c r="L80" s="1610"/>
    </row>
    <row r="81" spans="1:12" ht="32.25" customHeight="1" x14ac:dyDescent="0.25">
      <c r="A81" s="1607"/>
      <c r="B81" s="847"/>
      <c r="C81" s="848"/>
      <c r="D81" s="25">
        <v>44702</v>
      </c>
      <c r="E81" s="55" t="s">
        <v>2908</v>
      </c>
      <c r="F81" s="53"/>
      <c r="G81" s="55" t="s">
        <v>2909</v>
      </c>
      <c r="H81" s="1611"/>
      <c r="I81" s="1612"/>
      <c r="J81" s="1612"/>
      <c r="K81" s="1612"/>
      <c r="L81" s="1613"/>
    </row>
    <row r="82" spans="1:12" ht="42.75" customHeight="1" x14ac:dyDescent="0.25">
      <c r="A82" s="1606">
        <v>69</v>
      </c>
      <c r="B82" s="25">
        <v>44705</v>
      </c>
      <c r="C82" s="55" t="s">
        <v>2928</v>
      </c>
      <c r="D82" s="827"/>
      <c r="E82" s="828"/>
      <c r="F82" s="53"/>
      <c r="G82" s="61">
        <v>21.17</v>
      </c>
      <c r="H82" s="1608" t="s">
        <v>2971</v>
      </c>
      <c r="I82" s="1609"/>
      <c r="J82" s="1609"/>
      <c r="K82" s="1609"/>
      <c r="L82" s="1610"/>
    </row>
    <row r="83" spans="1:12" ht="36" customHeight="1" x14ac:dyDescent="0.25">
      <c r="A83" s="1607"/>
      <c r="B83" s="827"/>
      <c r="C83" s="828"/>
      <c r="D83" s="25">
        <v>44711</v>
      </c>
      <c r="E83" s="55" t="s">
        <v>2972</v>
      </c>
      <c r="F83" s="53"/>
      <c r="G83" s="55" t="s">
        <v>2973</v>
      </c>
      <c r="H83" s="1611"/>
      <c r="I83" s="1612"/>
      <c r="J83" s="1612"/>
      <c r="K83" s="1612"/>
      <c r="L83" s="1613"/>
    </row>
    <row r="84" spans="1:12" ht="32.25" customHeight="1" x14ac:dyDescent="0.25">
      <c r="A84" s="1606">
        <v>70</v>
      </c>
      <c r="B84" s="25">
        <v>44713</v>
      </c>
      <c r="C84" s="55" t="s">
        <v>2997</v>
      </c>
      <c r="D84" s="827"/>
      <c r="E84" s="827"/>
      <c r="F84" s="53"/>
      <c r="G84" s="55" t="s">
        <v>2998</v>
      </c>
      <c r="H84" s="1608" t="s">
        <v>3034</v>
      </c>
      <c r="I84" s="1609"/>
      <c r="J84" s="1609"/>
      <c r="K84" s="1609"/>
      <c r="L84" s="1610"/>
    </row>
    <row r="85" spans="1:12" ht="32.25" customHeight="1" x14ac:dyDescent="0.25">
      <c r="A85" s="1607"/>
      <c r="B85" s="827"/>
      <c r="C85" s="827"/>
      <c r="D85" s="25">
        <v>44719</v>
      </c>
      <c r="E85" s="55" t="s">
        <v>3033</v>
      </c>
      <c r="F85" s="53"/>
      <c r="G85" s="55" t="s">
        <v>3035</v>
      </c>
      <c r="H85" s="1611"/>
      <c r="I85" s="1612"/>
      <c r="J85" s="1612"/>
      <c r="K85" s="1612"/>
      <c r="L85" s="1613"/>
    </row>
    <row r="86" spans="1:12" ht="49.5" customHeight="1" x14ac:dyDescent="0.25">
      <c r="A86" s="1606">
        <v>71</v>
      </c>
      <c r="B86" s="25">
        <v>44721</v>
      </c>
      <c r="C86" s="55" t="s">
        <v>3053</v>
      </c>
      <c r="D86" s="827"/>
      <c r="E86" s="827"/>
      <c r="F86" s="53"/>
      <c r="G86" s="55" t="s">
        <v>3054</v>
      </c>
      <c r="H86" s="1608" t="s">
        <v>3085</v>
      </c>
      <c r="I86" s="1609"/>
      <c r="J86" s="1609"/>
      <c r="K86" s="1609"/>
      <c r="L86" s="1610"/>
    </row>
    <row r="87" spans="1:12" ht="34.5" customHeight="1" x14ac:dyDescent="0.25">
      <c r="A87" s="1607"/>
      <c r="B87" s="827"/>
      <c r="C87" s="827"/>
      <c r="D87" s="25">
        <v>44725</v>
      </c>
      <c r="E87" s="55" t="s">
        <v>3086</v>
      </c>
      <c r="F87" s="53"/>
      <c r="G87" s="55" t="s">
        <v>3087</v>
      </c>
      <c r="H87" s="1611"/>
      <c r="I87" s="1612"/>
      <c r="J87" s="1612"/>
      <c r="K87" s="1612"/>
      <c r="L87" s="1613"/>
    </row>
    <row r="88" spans="1:12" ht="66" customHeight="1" x14ac:dyDescent="0.25">
      <c r="A88" s="1606">
        <v>72</v>
      </c>
      <c r="B88" s="25">
        <v>44728</v>
      </c>
      <c r="C88" s="55">
        <v>0.125</v>
      </c>
      <c r="D88" s="827"/>
      <c r="E88" s="827"/>
      <c r="F88" s="53"/>
      <c r="G88" s="55" t="s">
        <v>1836</v>
      </c>
      <c r="H88" s="1608" t="s">
        <v>3136</v>
      </c>
      <c r="I88" s="1609"/>
      <c r="J88" s="1609"/>
      <c r="K88" s="1609"/>
      <c r="L88" s="1610"/>
    </row>
    <row r="89" spans="1:12" ht="93.75" customHeight="1" x14ac:dyDescent="0.25">
      <c r="A89" s="1607"/>
      <c r="B89" s="827"/>
      <c r="C89" s="827"/>
      <c r="D89" s="25">
        <v>44732</v>
      </c>
      <c r="E89" s="55">
        <v>0.97222222222222221</v>
      </c>
      <c r="F89" s="53"/>
      <c r="G89" s="55" t="s">
        <v>3137</v>
      </c>
      <c r="H89" s="1611"/>
      <c r="I89" s="1612"/>
      <c r="J89" s="1612"/>
      <c r="K89" s="1612"/>
      <c r="L89" s="1613"/>
    </row>
    <row r="90" spans="1:12" ht="56.25" customHeight="1" x14ac:dyDescent="0.25">
      <c r="A90" s="1606">
        <v>73</v>
      </c>
      <c r="B90" s="25">
        <v>44734</v>
      </c>
      <c r="C90" s="55" t="s">
        <v>3152</v>
      </c>
      <c r="D90" s="827"/>
      <c r="E90" s="827"/>
      <c r="F90" s="53"/>
      <c r="G90" s="55" t="s">
        <v>3153</v>
      </c>
      <c r="H90" s="1608" t="s">
        <v>3179</v>
      </c>
      <c r="I90" s="1609"/>
      <c r="J90" s="1609"/>
      <c r="K90" s="1609"/>
      <c r="L90" s="1610"/>
    </row>
    <row r="91" spans="1:12" ht="39" customHeight="1" x14ac:dyDescent="0.25">
      <c r="A91" s="1607"/>
      <c r="B91" s="827"/>
      <c r="C91" s="827"/>
      <c r="D91" s="25">
        <v>44737</v>
      </c>
      <c r="E91" s="55" t="s">
        <v>3229</v>
      </c>
      <c r="F91" s="53"/>
      <c r="G91" s="55" t="s">
        <v>1567</v>
      </c>
      <c r="H91" s="1611"/>
      <c r="I91" s="1612"/>
      <c r="J91" s="1612"/>
      <c r="K91" s="1612"/>
      <c r="L91" s="1613"/>
    </row>
    <row r="92" spans="1:12" ht="39" customHeight="1" x14ac:dyDescent="0.25">
      <c r="A92" s="1606">
        <v>74</v>
      </c>
      <c r="B92" s="25">
        <v>44739</v>
      </c>
      <c r="C92" s="55" t="s">
        <v>3280</v>
      </c>
      <c r="D92" s="827"/>
      <c r="E92" s="827"/>
      <c r="F92" s="53"/>
      <c r="G92" s="55" t="s">
        <v>3284</v>
      </c>
      <c r="H92" s="1608" t="s">
        <v>3282</v>
      </c>
      <c r="I92" s="1609"/>
      <c r="J92" s="1609"/>
      <c r="K92" s="1609"/>
      <c r="L92" s="1610"/>
    </row>
    <row r="93" spans="1:12" ht="39" customHeight="1" x14ac:dyDescent="0.25">
      <c r="A93" s="1607"/>
      <c r="B93" s="827"/>
      <c r="C93" s="827"/>
      <c r="D93" s="25">
        <v>44741</v>
      </c>
      <c r="E93" s="55" t="s">
        <v>3283</v>
      </c>
      <c r="F93" s="53"/>
      <c r="G93" s="55" t="s">
        <v>3285</v>
      </c>
      <c r="H93" s="1611"/>
      <c r="I93" s="1612"/>
      <c r="J93" s="1612"/>
      <c r="K93" s="1612"/>
      <c r="L93" s="1613"/>
    </row>
    <row r="94" spans="1:12" ht="41.25" customHeight="1" x14ac:dyDescent="0.25">
      <c r="A94" s="1606">
        <v>75</v>
      </c>
      <c r="B94" s="25">
        <v>44743</v>
      </c>
      <c r="C94" s="55" t="s">
        <v>3227</v>
      </c>
      <c r="D94" s="827"/>
      <c r="E94" s="827"/>
      <c r="F94" s="53"/>
      <c r="G94" s="55" t="s">
        <v>3228</v>
      </c>
      <c r="H94" s="1608" t="s">
        <v>3239</v>
      </c>
      <c r="I94" s="1609"/>
      <c r="J94" s="1609"/>
      <c r="K94" s="1609"/>
      <c r="L94" s="1610"/>
    </row>
    <row r="95" spans="1:12" ht="30" customHeight="1" x14ac:dyDescent="0.25">
      <c r="A95" s="1607"/>
      <c r="B95" s="827"/>
      <c r="C95" s="827"/>
      <c r="D95" s="25">
        <v>44745</v>
      </c>
      <c r="E95" s="55" t="s">
        <v>3240</v>
      </c>
      <c r="F95" s="53"/>
      <c r="G95" s="55" t="s">
        <v>3241</v>
      </c>
      <c r="H95" s="1611"/>
      <c r="I95" s="1612"/>
      <c r="J95" s="1612"/>
      <c r="K95" s="1612"/>
      <c r="L95" s="1613"/>
    </row>
    <row r="96" spans="1:12" ht="36.75" customHeight="1" x14ac:dyDescent="0.25">
      <c r="A96" s="1606">
        <v>76</v>
      </c>
      <c r="B96" s="25">
        <v>44747</v>
      </c>
      <c r="C96" s="55" t="s">
        <v>3255</v>
      </c>
      <c r="D96" s="827"/>
      <c r="E96" s="827"/>
      <c r="F96" s="53"/>
      <c r="G96" s="55" t="s">
        <v>3256</v>
      </c>
      <c r="H96" s="1608" t="s">
        <v>3275</v>
      </c>
      <c r="I96" s="1609"/>
      <c r="J96" s="1609"/>
      <c r="K96" s="1609"/>
      <c r="L96" s="1610"/>
    </row>
    <row r="97" spans="1:12" ht="45" customHeight="1" x14ac:dyDescent="0.25">
      <c r="A97" s="1607"/>
      <c r="B97" s="827"/>
      <c r="C97" s="827"/>
      <c r="D97" s="25">
        <v>44749</v>
      </c>
      <c r="E97" s="55" t="s">
        <v>3277</v>
      </c>
      <c r="F97" s="53"/>
      <c r="G97" s="55" t="s">
        <v>3276</v>
      </c>
      <c r="H97" s="1611"/>
      <c r="I97" s="1612"/>
      <c r="J97" s="1612"/>
      <c r="K97" s="1612"/>
      <c r="L97" s="1613"/>
    </row>
    <row r="98" spans="1:12" ht="37.5" customHeight="1" x14ac:dyDescent="0.25">
      <c r="A98" s="1606">
        <v>77</v>
      </c>
      <c r="B98" s="25">
        <v>44750</v>
      </c>
      <c r="C98" s="55" t="s">
        <v>3117</v>
      </c>
      <c r="D98" s="827"/>
      <c r="E98" s="827"/>
      <c r="F98" s="53"/>
      <c r="G98" s="55" t="s">
        <v>3298</v>
      </c>
      <c r="H98" s="1608" t="s">
        <v>3320</v>
      </c>
      <c r="I98" s="1609"/>
      <c r="J98" s="1609"/>
      <c r="K98" s="1609"/>
      <c r="L98" s="1610"/>
    </row>
    <row r="99" spans="1:12" ht="32.25" customHeight="1" x14ac:dyDescent="0.25">
      <c r="A99" s="1607"/>
      <c r="B99" s="827"/>
      <c r="C99" s="827"/>
      <c r="D99" s="25">
        <v>44753</v>
      </c>
      <c r="E99" s="55" t="s">
        <v>3321</v>
      </c>
      <c r="F99" s="53"/>
      <c r="G99" s="55" t="s">
        <v>3322</v>
      </c>
      <c r="H99" s="1611"/>
      <c r="I99" s="1612"/>
      <c r="J99" s="1612"/>
      <c r="K99" s="1612"/>
      <c r="L99" s="1613"/>
    </row>
    <row r="100" spans="1:12" ht="37.5" customHeight="1" x14ac:dyDescent="0.25">
      <c r="A100" s="1606">
        <v>78</v>
      </c>
      <c r="B100" s="25">
        <v>44753</v>
      </c>
      <c r="C100" s="55" t="s">
        <v>3083</v>
      </c>
      <c r="D100" s="827"/>
      <c r="E100" s="827"/>
      <c r="F100" s="53"/>
      <c r="G100" s="55" t="s">
        <v>3327</v>
      </c>
      <c r="H100" s="1608" t="s">
        <v>3362</v>
      </c>
      <c r="I100" s="1609"/>
      <c r="J100" s="1609"/>
      <c r="K100" s="1609"/>
      <c r="L100" s="1610"/>
    </row>
    <row r="101" spans="1:12" ht="31.5" customHeight="1" x14ac:dyDescent="0.25">
      <c r="A101" s="1607"/>
      <c r="B101" s="827"/>
      <c r="C101" s="827"/>
      <c r="D101" s="25">
        <v>44759</v>
      </c>
      <c r="E101" s="55" t="s">
        <v>3363</v>
      </c>
      <c r="F101" s="53"/>
      <c r="G101" s="55" t="s">
        <v>3364</v>
      </c>
      <c r="H101" s="1611"/>
      <c r="I101" s="1612"/>
      <c r="J101" s="1612"/>
      <c r="K101" s="1612"/>
      <c r="L101" s="1613"/>
    </row>
    <row r="102" spans="1:12" ht="48.75" customHeight="1" x14ac:dyDescent="0.25">
      <c r="A102" s="1606">
        <v>79</v>
      </c>
      <c r="B102" s="25">
        <v>44761</v>
      </c>
      <c r="C102" s="55">
        <v>0.58333333333333337</v>
      </c>
      <c r="D102" s="827"/>
      <c r="E102" s="827"/>
      <c r="F102" s="887"/>
      <c r="G102" s="55" t="s">
        <v>3374</v>
      </c>
      <c r="H102" s="1608" t="s">
        <v>3391</v>
      </c>
      <c r="I102" s="1609"/>
      <c r="J102" s="1609"/>
      <c r="K102" s="1609"/>
      <c r="L102" s="1610"/>
    </row>
    <row r="103" spans="1:12" ht="35.25" customHeight="1" x14ac:dyDescent="0.25">
      <c r="A103" s="1607"/>
      <c r="B103" s="827"/>
      <c r="C103" s="827"/>
      <c r="D103" s="25">
        <v>44765</v>
      </c>
      <c r="E103" s="55" t="s">
        <v>3392</v>
      </c>
      <c r="F103" s="890"/>
      <c r="G103" s="55" t="s">
        <v>1567</v>
      </c>
      <c r="H103" s="1611"/>
      <c r="I103" s="1612"/>
      <c r="J103" s="1612"/>
      <c r="K103" s="1612"/>
      <c r="L103" s="1613"/>
    </row>
    <row r="104" spans="1:12" ht="40.5" customHeight="1" x14ac:dyDescent="0.25">
      <c r="A104" s="1606">
        <v>80</v>
      </c>
      <c r="B104" s="25">
        <v>44767</v>
      </c>
      <c r="C104" s="55" t="s">
        <v>3410</v>
      </c>
      <c r="D104" s="827"/>
      <c r="E104" s="827"/>
      <c r="F104" s="891"/>
      <c r="G104" s="55" t="s">
        <v>3411</v>
      </c>
      <c r="H104" s="1608" t="s">
        <v>3436</v>
      </c>
      <c r="I104" s="1609"/>
      <c r="J104" s="1609"/>
      <c r="K104" s="1609"/>
      <c r="L104" s="1610"/>
    </row>
    <row r="105" spans="1:12" x14ac:dyDescent="0.25">
      <c r="A105" s="1607"/>
      <c r="B105" s="827"/>
      <c r="C105" s="827"/>
      <c r="D105" s="25">
        <v>44770</v>
      </c>
      <c r="E105" s="55" t="s">
        <v>3437</v>
      </c>
      <c r="F105" s="894"/>
      <c r="G105" s="55" t="s">
        <v>3438</v>
      </c>
      <c r="H105" s="1611"/>
      <c r="I105" s="1612"/>
      <c r="J105" s="1612"/>
      <c r="K105" s="1612"/>
      <c r="L105" s="1613"/>
    </row>
    <row r="106" spans="1:12" ht="63" customHeight="1" x14ac:dyDescent="0.25">
      <c r="A106" s="1606">
        <v>81</v>
      </c>
      <c r="B106" s="25">
        <v>44773</v>
      </c>
      <c r="C106" s="55" t="s">
        <v>3460</v>
      </c>
      <c r="D106" s="827"/>
      <c r="E106" s="827"/>
      <c r="F106" s="897"/>
      <c r="G106" s="55" t="s">
        <v>3461</v>
      </c>
      <c r="H106" s="1608" t="s">
        <v>3535</v>
      </c>
      <c r="I106" s="1609"/>
      <c r="J106" s="1609"/>
      <c r="K106" s="1609"/>
      <c r="L106" s="1610"/>
    </row>
    <row r="107" spans="1:12" ht="30.75" customHeight="1" x14ac:dyDescent="0.25">
      <c r="A107" s="1607"/>
      <c r="B107" s="827"/>
      <c r="C107" s="827"/>
      <c r="D107" s="25">
        <v>44778</v>
      </c>
      <c r="E107" s="55" t="s">
        <v>3510</v>
      </c>
      <c r="F107" s="903"/>
      <c r="G107" s="55" t="s">
        <v>2520</v>
      </c>
      <c r="H107" s="1611"/>
      <c r="I107" s="1612"/>
      <c r="J107" s="1612"/>
      <c r="K107" s="1612"/>
      <c r="L107" s="1613"/>
    </row>
    <row r="108" spans="1:12" ht="45" customHeight="1" x14ac:dyDescent="0.25">
      <c r="A108" s="1606">
        <v>82</v>
      </c>
      <c r="B108" s="25">
        <v>44780</v>
      </c>
      <c r="C108" s="55" t="s">
        <v>3523</v>
      </c>
      <c r="D108" s="827"/>
      <c r="E108" s="827"/>
      <c r="F108" s="904"/>
      <c r="G108" s="55" t="s">
        <v>3524</v>
      </c>
      <c r="H108" s="1608" t="s">
        <v>3559</v>
      </c>
      <c r="I108" s="1609"/>
      <c r="J108" s="1609"/>
      <c r="K108" s="1609"/>
      <c r="L108" s="1610"/>
    </row>
    <row r="109" spans="1:12" ht="45" customHeight="1" x14ac:dyDescent="0.25">
      <c r="A109" s="1607"/>
      <c r="B109" s="827"/>
      <c r="C109" s="827"/>
      <c r="D109" s="25">
        <v>44784</v>
      </c>
      <c r="E109" s="55" t="s">
        <v>3558</v>
      </c>
      <c r="F109" s="53"/>
      <c r="G109" s="55" t="s">
        <v>3560</v>
      </c>
      <c r="H109" s="1611"/>
      <c r="I109" s="1612"/>
      <c r="J109" s="1612"/>
      <c r="K109" s="1612"/>
      <c r="L109" s="1613"/>
    </row>
    <row r="110" spans="1:12" ht="34.5" customHeight="1" x14ac:dyDescent="0.25">
      <c r="A110" s="1606">
        <v>83</v>
      </c>
      <c r="B110" s="25">
        <v>44786</v>
      </c>
      <c r="C110" s="55" t="s">
        <v>3573</v>
      </c>
      <c r="D110" s="847"/>
      <c r="E110" s="848"/>
      <c r="F110" s="53"/>
      <c r="G110" s="55" t="s">
        <v>3574</v>
      </c>
      <c r="H110" s="1608" t="s">
        <v>3604</v>
      </c>
      <c r="I110" s="1609"/>
      <c r="J110" s="1609"/>
      <c r="K110" s="1609"/>
      <c r="L110" s="1610"/>
    </row>
    <row r="111" spans="1:12" ht="27" customHeight="1" x14ac:dyDescent="0.25">
      <c r="A111" s="1607"/>
      <c r="B111" s="847"/>
      <c r="C111" s="848"/>
      <c r="D111" s="25">
        <v>44791</v>
      </c>
      <c r="E111" s="55" t="s">
        <v>3605</v>
      </c>
      <c r="F111" s="53"/>
      <c r="G111" s="55" t="s">
        <v>3606</v>
      </c>
      <c r="H111" s="1611"/>
      <c r="I111" s="1612"/>
      <c r="J111" s="1612"/>
      <c r="K111" s="1612"/>
      <c r="L111" s="1613"/>
    </row>
    <row r="112" spans="1:12" ht="40.5" customHeight="1" x14ac:dyDescent="0.25">
      <c r="A112" s="1606">
        <v>84</v>
      </c>
      <c r="B112" s="25">
        <v>44795</v>
      </c>
      <c r="C112" s="55" t="s">
        <v>3632</v>
      </c>
      <c r="D112" s="847"/>
      <c r="E112" s="848"/>
      <c r="F112" s="53"/>
      <c r="G112" s="55" t="s">
        <v>3639</v>
      </c>
      <c r="H112" s="1608" t="s">
        <v>3906</v>
      </c>
      <c r="I112" s="1609"/>
      <c r="J112" s="1609"/>
      <c r="K112" s="1609"/>
      <c r="L112" s="1610"/>
    </row>
    <row r="113" spans="1:12" ht="40.5" customHeight="1" x14ac:dyDescent="0.25">
      <c r="A113" s="1607"/>
      <c r="B113" s="847"/>
      <c r="C113" s="848"/>
      <c r="D113" s="25">
        <v>44802</v>
      </c>
      <c r="E113" s="55" t="s">
        <v>3676</v>
      </c>
      <c r="F113" s="53"/>
      <c r="G113" s="55" t="s">
        <v>3677</v>
      </c>
      <c r="H113" s="1611"/>
      <c r="I113" s="1612"/>
      <c r="J113" s="1612"/>
      <c r="K113" s="1612"/>
      <c r="L113" s="1613"/>
    </row>
    <row r="114" spans="1:12" ht="40.5" customHeight="1" x14ac:dyDescent="0.25">
      <c r="A114" s="1606">
        <v>85</v>
      </c>
      <c r="B114" s="25">
        <v>44805</v>
      </c>
      <c r="C114" s="55" t="s">
        <v>3712</v>
      </c>
      <c r="D114" s="847"/>
      <c r="E114" s="848"/>
      <c r="F114" s="53"/>
      <c r="G114" s="55" t="s">
        <v>3713</v>
      </c>
      <c r="H114" s="1601" t="s">
        <v>3714</v>
      </c>
      <c r="I114" s="1602"/>
      <c r="J114" s="1602"/>
      <c r="K114" s="1602"/>
      <c r="L114" s="1603"/>
    </row>
    <row r="115" spans="1:12" ht="105.75" customHeight="1" x14ac:dyDescent="0.25">
      <c r="A115" s="1607"/>
      <c r="B115" s="847"/>
      <c r="C115" s="848"/>
      <c r="D115" s="25">
        <v>44815</v>
      </c>
      <c r="E115" s="55" t="s">
        <v>3771</v>
      </c>
      <c r="F115" s="53"/>
      <c r="G115" s="55" t="s">
        <v>3772</v>
      </c>
      <c r="H115" s="1601" t="s">
        <v>3907</v>
      </c>
      <c r="I115" s="1602"/>
      <c r="J115" s="1602"/>
      <c r="K115" s="1602"/>
      <c r="L115" s="1603"/>
    </row>
    <row r="116" spans="1:12" ht="81.75" customHeight="1" x14ac:dyDescent="0.25">
      <c r="A116" s="1606">
        <v>86</v>
      </c>
      <c r="B116" s="25">
        <v>44820</v>
      </c>
      <c r="C116" s="55" t="s">
        <v>3822</v>
      </c>
      <c r="D116" s="847"/>
      <c r="E116" s="848"/>
      <c r="F116" s="53"/>
      <c r="G116" s="55" t="s">
        <v>3823</v>
      </c>
      <c r="H116" s="1601" t="s">
        <v>3835</v>
      </c>
      <c r="I116" s="1602"/>
      <c r="J116" s="1602"/>
      <c r="K116" s="1602"/>
      <c r="L116" s="1603"/>
    </row>
    <row r="117" spans="1:12" ht="55.5" customHeight="1" x14ac:dyDescent="0.25">
      <c r="A117" s="1607"/>
      <c r="B117" s="847"/>
      <c r="C117" s="848"/>
      <c r="D117" s="25">
        <v>44823</v>
      </c>
      <c r="E117" s="55" t="s">
        <v>3844</v>
      </c>
      <c r="F117" s="53"/>
      <c r="G117" s="55" t="s">
        <v>3845</v>
      </c>
      <c r="H117" s="1601" t="s">
        <v>3910</v>
      </c>
      <c r="I117" s="1602"/>
      <c r="J117" s="1602"/>
      <c r="K117" s="1602"/>
      <c r="L117" s="1603"/>
    </row>
    <row r="118" spans="1:12" ht="56.25" customHeight="1" x14ac:dyDescent="0.25">
      <c r="A118" s="1606">
        <v>87</v>
      </c>
      <c r="B118" s="25">
        <v>44825</v>
      </c>
      <c r="C118" s="55" t="s">
        <v>3862</v>
      </c>
      <c r="D118" s="847"/>
      <c r="E118" s="848"/>
      <c r="F118" s="53"/>
      <c r="G118" s="55" t="s">
        <v>3863</v>
      </c>
      <c r="H118" s="1601" t="s">
        <v>3896</v>
      </c>
      <c r="I118" s="1602"/>
      <c r="J118" s="1602"/>
      <c r="K118" s="1602"/>
      <c r="L118" s="1603"/>
    </row>
    <row r="119" spans="1:12" ht="51" customHeight="1" x14ac:dyDescent="0.25">
      <c r="A119" s="1607"/>
      <c r="B119" s="847"/>
      <c r="C119" s="848"/>
      <c r="D119" s="25">
        <v>44829</v>
      </c>
      <c r="E119" s="55" t="s">
        <v>3895</v>
      </c>
      <c r="F119" s="53"/>
      <c r="G119" s="55" t="s">
        <v>3897</v>
      </c>
      <c r="H119" s="1601" t="s">
        <v>3908</v>
      </c>
      <c r="I119" s="1602"/>
      <c r="J119" s="1602"/>
      <c r="K119" s="1602"/>
      <c r="L119" s="1603"/>
    </row>
    <row r="120" spans="1:12" ht="47.25" customHeight="1" x14ac:dyDescent="0.25">
      <c r="A120" s="1606">
        <v>88</v>
      </c>
      <c r="B120" s="25">
        <v>44831</v>
      </c>
      <c r="C120" s="55" t="s">
        <v>3915</v>
      </c>
      <c r="D120" s="847"/>
      <c r="E120" s="848"/>
      <c r="F120" s="53"/>
      <c r="G120" s="55" t="s">
        <v>3916</v>
      </c>
      <c r="H120" s="1608" t="s">
        <v>3984</v>
      </c>
      <c r="I120" s="1609"/>
      <c r="J120" s="1609"/>
      <c r="K120" s="1609"/>
      <c r="L120" s="1610"/>
    </row>
    <row r="121" spans="1:12" ht="38.25" customHeight="1" x14ac:dyDescent="0.25">
      <c r="A121" s="1607"/>
      <c r="B121" s="847"/>
      <c r="C121" s="848"/>
      <c r="D121" s="25">
        <v>44839</v>
      </c>
      <c r="E121" s="55" t="s">
        <v>3983</v>
      </c>
      <c r="F121" s="53"/>
      <c r="G121" s="55" t="s">
        <v>3985</v>
      </c>
      <c r="H121" s="1611"/>
      <c r="I121" s="1612"/>
      <c r="J121" s="1612"/>
      <c r="K121" s="1612"/>
      <c r="L121" s="1613"/>
    </row>
    <row r="122" spans="1:12" ht="51" customHeight="1" x14ac:dyDescent="0.25">
      <c r="A122" s="1606">
        <v>89</v>
      </c>
      <c r="B122" s="25">
        <v>44840</v>
      </c>
      <c r="C122" s="55" t="s">
        <v>3994</v>
      </c>
      <c r="D122" s="847"/>
      <c r="E122" s="848"/>
      <c r="F122" s="53"/>
      <c r="G122" s="55" t="s">
        <v>3995</v>
      </c>
      <c r="H122" s="1608" t="s">
        <v>4030</v>
      </c>
      <c r="I122" s="1609"/>
      <c r="J122" s="1609"/>
      <c r="K122" s="1609"/>
      <c r="L122" s="1610"/>
    </row>
    <row r="123" spans="1:12" ht="40.5" customHeight="1" x14ac:dyDescent="0.25">
      <c r="A123" s="1607"/>
      <c r="B123" s="847"/>
      <c r="C123" s="848"/>
      <c r="D123" s="25">
        <v>44845</v>
      </c>
      <c r="E123" s="55" t="s">
        <v>4031</v>
      </c>
      <c r="F123" s="53"/>
      <c r="G123" s="55" t="s">
        <v>3118</v>
      </c>
      <c r="H123" s="1611"/>
      <c r="I123" s="1612"/>
      <c r="J123" s="1612"/>
      <c r="K123" s="1612"/>
      <c r="L123" s="1613"/>
    </row>
    <row r="124" spans="1:12" ht="53.25" customHeight="1" x14ac:dyDescent="0.25">
      <c r="A124" s="1606">
        <v>90</v>
      </c>
      <c r="B124" s="25">
        <v>44847</v>
      </c>
      <c r="C124" s="55" t="s">
        <v>4038</v>
      </c>
      <c r="D124" s="847"/>
      <c r="E124" s="848"/>
      <c r="F124" s="53"/>
      <c r="G124" s="55" t="s">
        <v>4040</v>
      </c>
      <c r="H124" s="1608" t="s">
        <v>4090</v>
      </c>
      <c r="I124" s="1609"/>
      <c r="J124" s="1609"/>
      <c r="K124" s="1609"/>
      <c r="L124" s="1610"/>
    </row>
    <row r="125" spans="1:12" ht="53.25" customHeight="1" x14ac:dyDescent="0.25">
      <c r="A125" s="1607"/>
      <c r="B125" s="847"/>
      <c r="C125" s="848"/>
      <c r="D125" s="25">
        <v>44853</v>
      </c>
      <c r="E125" s="55" t="s">
        <v>2607</v>
      </c>
      <c r="F125" s="53"/>
      <c r="G125" s="55" t="s">
        <v>4091</v>
      </c>
      <c r="H125" s="1611"/>
      <c r="I125" s="1612"/>
      <c r="J125" s="1612"/>
      <c r="K125" s="1612"/>
      <c r="L125" s="1613"/>
    </row>
    <row r="126" spans="1:12" ht="45.75" customHeight="1" x14ac:dyDescent="0.25">
      <c r="A126" s="1606">
        <v>91</v>
      </c>
      <c r="B126" s="25">
        <v>44854</v>
      </c>
      <c r="C126" s="55" t="s">
        <v>4100</v>
      </c>
      <c r="D126" s="847"/>
      <c r="E126" s="848"/>
      <c r="F126" s="53"/>
      <c r="G126" s="55" t="s">
        <v>4101</v>
      </c>
      <c r="H126" s="1608" t="s">
        <v>4129</v>
      </c>
      <c r="I126" s="1609"/>
      <c r="J126" s="1609"/>
      <c r="K126" s="1609"/>
      <c r="L126" s="1610"/>
    </row>
    <row r="127" spans="1:12" ht="34.5" customHeight="1" x14ac:dyDescent="0.25">
      <c r="A127" s="1607"/>
      <c r="B127" s="847"/>
      <c r="C127" s="848"/>
      <c r="D127" s="25">
        <v>44859</v>
      </c>
      <c r="E127" s="55" t="s">
        <v>4128</v>
      </c>
      <c r="F127" s="53"/>
      <c r="G127" s="55" t="s">
        <v>4130</v>
      </c>
      <c r="H127" s="1611"/>
      <c r="I127" s="1612"/>
      <c r="J127" s="1612"/>
      <c r="K127" s="1612"/>
      <c r="L127" s="1613"/>
    </row>
    <row r="128" spans="1:12" ht="59.25" customHeight="1" x14ac:dyDescent="0.25">
      <c r="A128" s="1606">
        <v>92</v>
      </c>
      <c r="B128" s="25">
        <v>44862</v>
      </c>
      <c r="C128" s="55" t="s">
        <v>4152</v>
      </c>
      <c r="D128" s="847"/>
      <c r="E128" s="848"/>
      <c r="F128" s="53"/>
      <c r="G128" s="55" t="s">
        <v>4154</v>
      </c>
      <c r="H128" s="1601" t="s">
        <v>4153</v>
      </c>
      <c r="I128" s="1602"/>
      <c r="J128" s="1602"/>
      <c r="K128" s="1602"/>
      <c r="L128" s="1603"/>
    </row>
    <row r="129" spans="1:12" ht="36" customHeight="1" x14ac:dyDescent="0.25">
      <c r="A129" s="1607"/>
      <c r="B129" s="847"/>
      <c r="C129" s="848"/>
      <c r="D129" s="25">
        <v>44869</v>
      </c>
      <c r="E129" s="55" t="s">
        <v>4211</v>
      </c>
      <c r="F129" s="53"/>
      <c r="G129" s="55" t="s">
        <v>4212</v>
      </c>
      <c r="H129" s="1601" t="s">
        <v>4213</v>
      </c>
      <c r="I129" s="1602"/>
      <c r="J129" s="1602"/>
      <c r="K129" s="1602"/>
      <c r="L129" s="1603"/>
    </row>
    <row r="130" spans="1:12" ht="63.75" customHeight="1" x14ac:dyDescent="0.25">
      <c r="A130" s="1030">
        <v>93</v>
      </c>
      <c r="B130" s="25">
        <v>44871</v>
      </c>
      <c r="C130" s="55" t="s">
        <v>4221</v>
      </c>
      <c r="D130" s="847"/>
      <c r="E130" s="847"/>
      <c r="F130" s="53"/>
      <c r="G130" s="55" t="s">
        <v>4223</v>
      </c>
      <c r="H130" s="1601" t="s">
        <v>4222</v>
      </c>
      <c r="I130" s="1602"/>
      <c r="J130" s="1602"/>
      <c r="K130" s="1602"/>
      <c r="L130" s="1603"/>
    </row>
    <row r="131" spans="1:12" ht="34.5" customHeight="1" x14ac:dyDescent="0.25">
      <c r="A131" s="1031"/>
      <c r="B131" s="847"/>
      <c r="C131" s="847"/>
      <c r="D131" s="25">
        <v>44875</v>
      </c>
      <c r="E131" s="55" t="s">
        <v>4259</v>
      </c>
      <c r="F131" s="53"/>
      <c r="G131" s="55" t="s">
        <v>4260</v>
      </c>
      <c r="H131" s="1608" t="s">
        <v>4261</v>
      </c>
      <c r="I131" s="1609"/>
      <c r="J131" s="1609"/>
      <c r="K131" s="1609"/>
      <c r="L131" s="1610"/>
    </row>
    <row r="132" spans="1:12" ht="48.75" customHeight="1" x14ac:dyDescent="0.25">
      <c r="A132" s="1606">
        <v>94</v>
      </c>
      <c r="B132" s="25">
        <v>44875</v>
      </c>
      <c r="C132" s="55" t="s">
        <v>2934</v>
      </c>
      <c r="D132" s="25"/>
      <c r="E132" s="55"/>
      <c r="F132" s="53"/>
      <c r="G132" s="55" t="s">
        <v>4262</v>
      </c>
      <c r="H132" s="1611"/>
      <c r="I132" s="1612"/>
      <c r="J132" s="1612"/>
      <c r="K132" s="1612"/>
      <c r="L132" s="1613"/>
    </row>
    <row r="133" spans="1:12" ht="61.5" customHeight="1" x14ac:dyDescent="0.25">
      <c r="A133" s="1607"/>
      <c r="B133" s="847"/>
      <c r="C133" s="848"/>
      <c r="D133" s="25">
        <v>44877</v>
      </c>
      <c r="E133" s="55" t="s">
        <v>4263</v>
      </c>
      <c r="F133" s="53"/>
      <c r="G133" s="55" t="s">
        <v>861</v>
      </c>
      <c r="H133" s="1608" t="s">
        <v>4281</v>
      </c>
      <c r="I133" s="1609"/>
      <c r="J133" s="1609"/>
      <c r="K133" s="1609"/>
      <c r="L133" s="1610"/>
    </row>
    <row r="134" spans="1:12" ht="39.75" customHeight="1" x14ac:dyDescent="0.25">
      <c r="A134" s="1606">
        <v>95</v>
      </c>
      <c r="B134" s="25">
        <v>44877</v>
      </c>
      <c r="C134" s="55" t="s">
        <v>4225</v>
      </c>
      <c r="D134" s="847"/>
      <c r="E134" s="848"/>
      <c r="F134" s="53"/>
      <c r="G134" s="55" t="s">
        <v>4264</v>
      </c>
      <c r="H134" s="1611"/>
      <c r="I134" s="1612"/>
      <c r="J134" s="1612"/>
      <c r="K134" s="1612"/>
      <c r="L134" s="1613"/>
    </row>
    <row r="135" spans="1:12" ht="33" customHeight="1" x14ac:dyDescent="0.25">
      <c r="A135" s="1607"/>
      <c r="B135" s="847"/>
      <c r="C135" s="848"/>
      <c r="D135" s="25">
        <v>44878</v>
      </c>
      <c r="E135" s="55" t="s">
        <v>4265</v>
      </c>
      <c r="F135" s="53"/>
      <c r="G135" s="55" t="s">
        <v>4266</v>
      </c>
      <c r="H135" s="1601" t="s">
        <v>4267</v>
      </c>
      <c r="I135" s="1602"/>
      <c r="J135" s="1602"/>
      <c r="K135" s="1602"/>
      <c r="L135" s="1603"/>
    </row>
    <row r="136" spans="1:12" ht="40.5" customHeight="1" x14ac:dyDescent="0.25">
      <c r="A136" s="1606">
        <v>96</v>
      </c>
      <c r="B136" s="25">
        <v>44880</v>
      </c>
      <c r="C136" s="55" t="s">
        <v>4293</v>
      </c>
      <c r="D136" s="827"/>
      <c r="E136" s="828"/>
      <c r="F136" s="53"/>
      <c r="G136" s="55" t="s">
        <v>4294</v>
      </c>
      <c r="H136" s="1601" t="s">
        <v>4295</v>
      </c>
      <c r="I136" s="1602"/>
      <c r="J136" s="1602"/>
      <c r="K136" s="1602"/>
      <c r="L136" s="1603"/>
    </row>
    <row r="137" spans="1:12" ht="32.25" customHeight="1" x14ac:dyDescent="0.25">
      <c r="A137" s="1607"/>
      <c r="B137" s="827"/>
      <c r="C137" s="828"/>
      <c r="D137" s="25">
        <v>44885</v>
      </c>
      <c r="E137" s="55" t="s">
        <v>2912</v>
      </c>
      <c r="F137" s="53"/>
      <c r="G137" s="55" t="s">
        <v>4324</v>
      </c>
      <c r="H137" s="1601" t="s">
        <v>4325</v>
      </c>
      <c r="I137" s="1602"/>
      <c r="J137" s="1602"/>
      <c r="K137" s="1602"/>
      <c r="L137" s="1603"/>
    </row>
    <row r="138" spans="1:12" ht="28.5" customHeight="1" x14ac:dyDescent="0.25">
      <c r="A138" s="1606">
        <v>97</v>
      </c>
      <c r="B138" s="25">
        <v>44887</v>
      </c>
      <c r="C138" s="55" t="s">
        <v>4344</v>
      </c>
      <c r="D138" s="847"/>
      <c r="E138" s="848"/>
      <c r="F138" s="53"/>
      <c r="G138" s="55" t="s">
        <v>4383</v>
      </c>
      <c r="H138" s="1601" t="s">
        <v>4345</v>
      </c>
      <c r="I138" s="1602"/>
      <c r="J138" s="1602"/>
      <c r="K138" s="1602"/>
      <c r="L138" s="1603"/>
    </row>
    <row r="139" spans="1:12" ht="30" customHeight="1" x14ac:dyDescent="0.25">
      <c r="A139" s="1607"/>
      <c r="B139" s="847"/>
      <c r="C139" s="848"/>
      <c r="D139" s="25">
        <v>44893</v>
      </c>
      <c r="E139" s="55" t="s">
        <v>4382</v>
      </c>
      <c r="F139" s="53"/>
      <c r="G139" s="55" t="s">
        <v>4384</v>
      </c>
      <c r="H139" s="1601" t="s">
        <v>4381</v>
      </c>
      <c r="I139" s="1602"/>
      <c r="J139" s="1602"/>
      <c r="K139" s="1602"/>
      <c r="L139" s="1603"/>
    </row>
    <row r="140" spans="1:12" ht="43.5" customHeight="1" x14ac:dyDescent="0.25">
      <c r="A140" s="1606">
        <v>98</v>
      </c>
      <c r="B140" s="25">
        <v>44894</v>
      </c>
      <c r="C140" s="55" t="s">
        <v>4395</v>
      </c>
      <c r="D140" s="847"/>
      <c r="E140" s="848"/>
      <c r="F140" s="53"/>
      <c r="G140" s="55" t="s">
        <v>4396</v>
      </c>
      <c r="H140" s="1608" t="s">
        <v>4475</v>
      </c>
      <c r="I140" s="1609"/>
      <c r="J140" s="1609"/>
      <c r="K140" s="1609"/>
      <c r="L140" s="1610"/>
    </row>
    <row r="141" spans="1:12" x14ac:dyDescent="0.25">
      <c r="A141" s="1607"/>
      <c r="B141" s="847"/>
      <c r="C141" s="848"/>
      <c r="D141" s="25">
        <v>44904</v>
      </c>
      <c r="E141" s="55" t="s">
        <v>4476</v>
      </c>
      <c r="F141" s="53"/>
      <c r="G141" s="55" t="s">
        <v>4477</v>
      </c>
      <c r="H141" s="1611"/>
      <c r="I141" s="1612"/>
      <c r="J141" s="1612"/>
      <c r="K141" s="1612"/>
      <c r="L141" s="1613"/>
    </row>
    <row r="142" spans="1:12" ht="24" customHeight="1" x14ac:dyDescent="0.25">
      <c r="A142" s="1606">
        <v>99</v>
      </c>
      <c r="B142" s="25">
        <v>44906</v>
      </c>
      <c r="C142" s="55" t="s">
        <v>4502</v>
      </c>
      <c r="D142" s="848"/>
      <c r="E142" s="848"/>
      <c r="F142" s="53"/>
      <c r="G142" s="55" t="s">
        <v>4503</v>
      </c>
      <c r="H142" s="1608" t="s">
        <v>4532</v>
      </c>
      <c r="I142" s="1609"/>
      <c r="J142" s="1609"/>
      <c r="K142" s="1609"/>
      <c r="L142" s="1610"/>
    </row>
    <row r="143" spans="1:12" ht="24" customHeight="1" x14ac:dyDescent="0.25">
      <c r="A143" s="1607"/>
      <c r="B143" s="848"/>
      <c r="C143" s="848"/>
      <c r="D143" s="25">
        <v>44911</v>
      </c>
      <c r="E143" s="55" t="s">
        <v>825</v>
      </c>
      <c r="F143" s="53"/>
      <c r="G143" s="55" t="s">
        <v>4531</v>
      </c>
      <c r="H143" s="1611"/>
      <c r="I143" s="1612"/>
      <c r="J143" s="1612"/>
      <c r="K143" s="1612"/>
      <c r="L143" s="1613"/>
    </row>
    <row r="144" spans="1:12" ht="30" customHeight="1" x14ac:dyDescent="0.25">
      <c r="A144" s="1615">
        <v>100</v>
      </c>
      <c r="B144" s="25">
        <v>44913</v>
      </c>
      <c r="C144" s="55" t="s">
        <v>4553</v>
      </c>
      <c r="D144" s="848"/>
      <c r="E144" s="848"/>
      <c r="F144" s="53"/>
      <c r="G144" s="55" t="s">
        <v>4554</v>
      </c>
      <c r="H144" s="1608" t="s">
        <v>4614</v>
      </c>
      <c r="I144" s="1609"/>
      <c r="J144" s="1609"/>
      <c r="K144" s="1609"/>
      <c r="L144" s="1610"/>
    </row>
    <row r="145" spans="1:12" x14ac:dyDescent="0.25">
      <c r="A145" s="1616"/>
      <c r="B145" s="848"/>
      <c r="C145" s="848"/>
      <c r="D145" s="25">
        <v>44922</v>
      </c>
      <c r="E145" s="55" t="s">
        <v>3887</v>
      </c>
      <c r="F145" s="53"/>
      <c r="G145" s="55" t="s">
        <v>3756</v>
      </c>
      <c r="H145" s="1611"/>
      <c r="I145" s="1612"/>
      <c r="J145" s="1612"/>
      <c r="K145" s="1612"/>
      <c r="L145" s="1613"/>
    </row>
    <row r="146" spans="1:12" ht="47.25" customHeight="1" x14ac:dyDescent="0.25">
      <c r="A146" s="1606">
        <v>101</v>
      </c>
      <c r="B146" s="25">
        <v>44924</v>
      </c>
      <c r="C146" s="55" t="s">
        <v>4640</v>
      </c>
      <c r="D146" s="848"/>
      <c r="E146" s="848"/>
      <c r="F146" s="53"/>
      <c r="G146" s="55" t="s">
        <v>4641</v>
      </c>
      <c r="H146" s="1608" t="s">
        <v>4689</v>
      </c>
      <c r="I146" s="1609"/>
      <c r="J146" s="1609"/>
      <c r="K146" s="1609"/>
      <c r="L146" s="1610"/>
    </row>
    <row r="147" spans="1:12" ht="19.5" customHeight="1" x14ac:dyDescent="0.25">
      <c r="A147" s="1607"/>
      <c r="B147" s="848"/>
      <c r="C147" s="848"/>
      <c r="D147" s="1111">
        <v>44931</v>
      </c>
      <c r="E147" s="1110" t="s">
        <v>4690</v>
      </c>
      <c r="F147" s="53"/>
      <c r="G147" s="55" t="s">
        <v>4691</v>
      </c>
      <c r="H147" s="1611"/>
      <c r="I147" s="1612"/>
      <c r="J147" s="1612"/>
      <c r="K147" s="1612"/>
      <c r="L147" s="1613"/>
    </row>
    <row r="148" spans="1:12" ht="36.75" customHeight="1" x14ac:dyDescent="0.25">
      <c r="A148" s="1606">
        <v>102</v>
      </c>
      <c r="B148" s="25">
        <v>44933</v>
      </c>
      <c r="C148" s="55" t="s">
        <v>4711</v>
      </c>
      <c r="D148" s="848"/>
      <c r="E148" s="848"/>
      <c r="F148" s="1094"/>
      <c r="G148" s="55" t="s">
        <v>4712</v>
      </c>
      <c r="H148" s="1608" t="s">
        <v>4750</v>
      </c>
      <c r="I148" s="1609"/>
      <c r="J148" s="1609"/>
      <c r="K148" s="1609"/>
      <c r="L148" s="1610"/>
    </row>
    <row r="149" spans="1:12" ht="19.5" customHeight="1" x14ac:dyDescent="0.25">
      <c r="A149" s="1607"/>
      <c r="B149" s="848"/>
      <c r="C149" s="848"/>
      <c r="D149" s="25">
        <v>44938</v>
      </c>
      <c r="E149" s="55" t="s">
        <v>4748</v>
      </c>
      <c r="F149" s="1094"/>
      <c r="G149" s="55" t="s">
        <v>4749</v>
      </c>
      <c r="H149" s="1611"/>
      <c r="I149" s="1612"/>
      <c r="J149" s="1612"/>
      <c r="K149" s="1612"/>
      <c r="L149" s="1613"/>
    </row>
    <row r="150" spans="1:12" ht="19.5" customHeight="1" x14ac:dyDescent="0.25">
      <c r="A150" s="1606">
        <v>103</v>
      </c>
      <c r="B150" s="25">
        <v>44940</v>
      </c>
      <c r="C150" s="55" t="s">
        <v>3764</v>
      </c>
      <c r="D150" s="848"/>
      <c r="E150" s="848"/>
      <c r="F150" s="1121"/>
      <c r="G150" s="55" t="s">
        <v>4765</v>
      </c>
      <c r="H150" s="1608" t="s">
        <v>4816</v>
      </c>
      <c r="I150" s="1609"/>
      <c r="J150" s="1609"/>
      <c r="K150" s="1609"/>
      <c r="L150" s="1610"/>
    </row>
    <row r="151" spans="1:12" ht="19.5" customHeight="1" x14ac:dyDescent="0.25">
      <c r="A151" s="1607"/>
      <c r="B151" s="848"/>
      <c r="C151" s="848"/>
      <c r="D151" s="25">
        <v>44947</v>
      </c>
      <c r="E151" s="55" t="s">
        <v>4815</v>
      </c>
      <c r="F151" s="1121"/>
      <c r="G151" s="55">
        <v>14.75</v>
      </c>
      <c r="H151" s="1611"/>
      <c r="I151" s="1612"/>
      <c r="J151" s="1612"/>
      <c r="K151" s="1612"/>
      <c r="L151" s="1613"/>
    </row>
    <row r="152" spans="1:12" ht="19.5" customHeight="1" x14ac:dyDescent="0.25">
      <c r="A152" s="1606">
        <v>104</v>
      </c>
      <c r="B152" s="25">
        <v>44949</v>
      </c>
      <c r="C152" s="55" t="s">
        <v>4831</v>
      </c>
      <c r="D152" s="848"/>
      <c r="E152" s="848"/>
      <c r="F152" s="1134"/>
      <c r="G152" s="55" t="s">
        <v>4884</v>
      </c>
      <c r="H152" s="1608" t="s">
        <v>4881</v>
      </c>
      <c r="I152" s="1609"/>
      <c r="J152" s="1609"/>
      <c r="K152" s="1609"/>
      <c r="L152" s="1610"/>
    </row>
    <row r="153" spans="1:12" ht="19.5" customHeight="1" x14ac:dyDescent="0.25">
      <c r="A153" s="1607"/>
      <c r="B153" s="848"/>
      <c r="C153" s="848"/>
      <c r="D153" s="25">
        <v>44958</v>
      </c>
      <c r="E153" s="55" t="s">
        <v>4882</v>
      </c>
      <c r="F153" s="1134"/>
      <c r="G153" s="55" t="s">
        <v>4883</v>
      </c>
      <c r="H153" s="1611"/>
      <c r="I153" s="1612"/>
      <c r="J153" s="1612"/>
      <c r="K153" s="1612"/>
      <c r="L153" s="1613"/>
    </row>
    <row r="154" spans="1:12" ht="19.5" customHeight="1" x14ac:dyDescent="0.25">
      <c r="A154" s="1606">
        <v>105</v>
      </c>
      <c r="B154" s="25">
        <v>44960</v>
      </c>
      <c r="C154" s="55" t="s">
        <v>4894</v>
      </c>
      <c r="D154" s="848"/>
      <c r="E154" s="848"/>
      <c r="F154" s="1151"/>
      <c r="G154" s="55" t="s">
        <v>4895</v>
      </c>
      <c r="H154" s="1608" t="s">
        <v>4941</v>
      </c>
      <c r="I154" s="1609"/>
      <c r="J154" s="1609"/>
      <c r="K154" s="1609"/>
      <c r="L154" s="1610"/>
    </row>
    <row r="155" spans="1:12" ht="29.25" customHeight="1" x14ac:dyDescent="0.25">
      <c r="A155" s="1607"/>
      <c r="B155" s="848"/>
      <c r="C155" s="848"/>
      <c r="D155" s="25">
        <v>44966</v>
      </c>
      <c r="E155" s="55" t="s">
        <v>4939</v>
      </c>
      <c r="F155" s="1151"/>
      <c r="G155" s="55" t="s">
        <v>4940</v>
      </c>
      <c r="H155" s="1611"/>
      <c r="I155" s="1612"/>
      <c r="J155" s="1612"/>
      <c r="K155" s="1612"/>
      <c r="L155" s="1613"/>
    </row>
    <row r="156" spans="1:12" ht="27.75" customHeight="1" x14ac:dyDescent="0.25">
      <c r="A156" s="1606">
        <v>106</v>
      </c>
      <c r="B156" s="25">
        <v>44968</v>
      </c>
      <c r="C156" s="55" t="s">
        <v>4953</v>
      </c>
      <c r="D156" s="848"/>
      <c r="E156" s="848"/>
      <c r="F156" s="1094"/>
      <c r="G156" s="55" t="s">
        <v>4955</v>
      </c>
      <c r="H156" s="1608" t="s">
        <v>5013</v>
      </c>
      <c r="I156" s="1609"/>
      <c r="J156" s="1609"/>
      <c r="K156" s="1609"/>
      <c r="L156" s="1610"/>
    </row>
    <row r="157" spans="1:12" ht="32.25" customHeight="1" x14ac:dyDescent="0.25">
      <c r="A157" s="1607"/>
      <c r="B157" s="848"/>
      <c r="C157" s="848"/>
      <c r="D157" s="25">
        <v>44977</v>
      </c>
      <c r="E157" s="55" t="s">
        <v>1677</v>
      </c>
      <c r="F157" s="1094"/>
      <c r="G157" s="55" t="s">
        <v>3411</v>
      </c>
      <c r="H157" s="1611"/>
      <c r="I157" s="1612"/>
      <c r="J157" s="1612"/>
      <c r="K157" s="1612"/>
      <c r="L157" s="1613"/>
    </row>
    <row r="158" spans="1:12" ht="28.5" customHeight="1" x14ac:dyDescent="0.25">
      <c r="A158" s="1606">
        <v>107</v>
      </c>
      <c r="B158" s="25">
        <v>44979</v>
      </c>
      <c r="C158" s="55" t="s">
        <v>5032</v>
      </c>
      <c r="D158" s="848"/>
      <c r="E158" s="848"/>
      <c r="F158" s="1094"/>
      <c r="G158" s="55" t="s">
        <v>5033</v>
      </c>
      <c r="H158" s="1608" t="s">
        <v>5062</v>
      </c>
      <c r="I158" s="1609"/>
      <c r="J158" s="1609"/>
      <c r="K158" s="1609"/>
      <c r="L158" s="1610"/>
    </row>
    <row r="159" spans="1:12" ht="32.25" customHeight="1" x14ac:dyDescent="0.25">
      <c r="A159" s="1607"/>
      <c r="B159" s="848"/>
      <c r="C159" s="848"/>
      <c r="D159" s="25">
        <v>44985</v>
      </c>
      <c r="E159" s="55" t="s">
        <v>3968</v>
      </c>
      <c r="F159" s="1094"/>
      <c r="G159" s="55" t="s">
        <v>5061</v>
      </c>
      <c r="H159" s="1611"/>
      <c r="I159" s="1612"/>
      <c r="J159" s="1612"/>
      <c r="K159" s="1612"/>
      <c r="L159" s="1613"/>
    </row>
    <row r="160" spans="1:12" ht="33" customHeight="1" x14ac:dyDescent="0.25">
      <c r="A160" s="1606">
        <v>108</v>
      </c>
      <c r="B160" s="25">
        <v>44985</v>
      </c>
      <c r="C160" s="55" t="s">
        <v>5060</v>
      </c>
      <c r="D160" s="848"/>
      <c r="E160" s="848"/>
      <c r="F160" s="1094"/>
      <c r="G160" s="55" t="s">
        <v>3493</v>
      </c>
      <c r="H160" s="1601"/>
      <c r="I160" s="1602"/>
      <c r="J160" s="1602"/>
      <c r="K160" s="1602"/>
      <c r="L160" s="1603"/>
    </row>
    <row r="161" spans="1:12" ht="31.5" customHeight="1" x14ac:dyDescent="0.25">
      <c r="A161" s="1607"/>
      <c r="B161" s="848"/>
      <c r="C161" s="848"/>
      <c r="D161" s="25">
        <v>44987</v>
      </c>
      <c r="E161" s="55" t="s">
        <v>5076</v>
      </c>
      <c r="F161" s="1094"/>
      <c r="G161" s="55" t="s">
        <v>5077</v>
      </c>
      <c r="H161" s="1601" t="s">
        <v>5078</v>
      </c>
      <c r="I161" s="1602"/>
      <c r="J161" s="1602"/>
      <c r="K161" s="1602"/>
      <c r="L161" s="1603"/>
    </row>
    <row r="162" spans="1:12" ht="51.75" customHeight="1" x14ac:dyDescent="0.25">
      <c r="A162" s="1606">
        <v>109</v>
      </c>
      <c r="B162" s="25">
        <v>44989</v>
      </c>
      <c r="C162" s="55" t="s">
        <v>5094</v>
      </c>
      <c r="D162" s="848"/>
      <c r="E162" s="848"/>
      <c r="F162" s="1094"/>
      <c r="G162" s="55" t="s">
        <v>5096</v>
      </c>
      <c r="H162" s="1601" t="s">
        <v>5095</v>
      </c>
      <c r="I162" s="1602"/>
      <c r="J162" s="1602"/>
      <c r="K162" s="1602"/>
      <c r="L162" s="1603"/>
    </row>
    <row r="163" spans="1:12" ht="34.5" customHeight="1" x14ac:dyDescent="0.25">
      <c r="A163" s="1607"/>
      <c r="B163" s="848"/>
      <c r="C163" s="848"/>
      <c r="D163" s="25">
        <v>44994</v>
      </c>
      <c r="E163" s="55" t="s">
        <v>5119</v>
      </c>
      <c r="F163" s="1205"/>
      <c r="G163" s="55" t="s">
        <v>5121</v>
      </c>
      <c r="H163" s="1601" t="s">
        <v>5120</v>
      </c>
      <c r="I163" s="1602"/>
      <c r="J163" s="1602"/>
      <c r="K163" s="1602"/>
      <c r="L163" s="1603"/>
    </row>
    <row r="164" spans="1:12" ht="69.75" customHeight="1" x14ac:dyDescent="0.25">
      <c r="A164" s="1606">
        <v>110</v>
      </c>
      <c r="B164" s="25">
        <v>44996</v>
      </c>
      <c r="C164" s="55" t="s">
        <v>2721</v>
      </c>
      <c r="D164" s="848"/>
      <c r="E164" s="848"/>
      <c r="F164" s="1205"/>
      <c r="G164" s="55" t="s">
        <v>5127</v>
      </c>
      <c r="H164" s="1601" t="s">
        <v>5128</v>
      </c>
      <c r="I164" s="1602"/>
      <c r="J164" s="1602"/>
      <c r="K164" s="1602"/>
      <c r="L164" s="1603"/>
    </row>
    <row r="165" spans="1:12" ht="45" customHeight="1" x14ac:dyDescent="0.25">
      <c r="A165" s="1607"/>
      <c r="B165" s="848"/>
      <c r="C165" s="848"/>
      <c r="D165" s="25">
        <v>45003</v>
      </c>
      <c r="E165" s="55" t="s">
        <v>5154</v>
      </c>
      <c r="F165" s="1205"/>
      <c r="G165" s="55" t="s">
        <v>5155</v>
      </c>
      <c r="H165" s="1601" t="s">
        <v>5156</v>
      </c>
      <c r="I165" s="1602"/>
      <c r="J165" s="1602"/>
      <c r="K165" s="1602"/>
      <c r="L165" s="1603"/>
    </row>
    <row r="166" spans="1:12" ht="69.75" customHeight="1" x14ac:dyDescent="0.25">
      <c r="A166" s="1229">
        <v>111</v>
      </c>
      <c r="B166" s="25">
        <v>45005</v>
      </c>
      <c r="C166" s="55" t="s">
        <v>5169</v>
      </c>
      <c r="D166" s="848"/>
      <c r="E166" s="848"/>
      <c r="F166" s="1205"/>
      <c r="G166" s="55" t="s">
        <v>5171</v>
      </c>
      <c r="H166" s="1601" t="s">
        <v>5170</v>
      </c>
      <c r="I166" s="1602"/>
      <c r="J166" s="1602"/>
      <c r="K166" s="1602"/>
      <c r="L166" s="1603"/>
    </row>
    <row r="167" spans="1:12" ht="69.75" customHeight="1" x14ac:dyDescent="0.25">
      <c r="A167" s="1230"/>
      <c r="B167" s="848"/>
      <c r="C167" s="848"/>
      <c r="D167" s="25">
        <v>45013</v>
      </c>
      <c r="E167" s="55" t="s">
        <v>5232</v>
      </c>
      <c r="F167" s="1205"/>
      <c r="G167" s="55" t="s">
        <v>5233</v>
      </c>
      <c r="H167" s="1601" t="s">
        <v>5231</v>
      </c>
      <c r="I167" s="1602"/>
      <c r="J167" s="1602"/>
      <c r="K167" s="1602"/>
      <c r="L167" s="1603"/>
    </row>
    <row r="168" spans="1:12" ht="69.75" customHeight="1" x14ac:dyDescent="0.25">
      <c r="A168" s="1229">
        <v>112</v>
      </c>
      <c r="B168" s="25">
        <v>45015</v>
      </c>
      <c r="C168" s="55" t="s">
        <v>5244</v>
      </c>
      <c r="D168" s="848"/>
      <c r="E168" s="848"/>
      <c r="F168" s="1232"/>
      <c r="G168" s="55" t="s">
        <v>5245</v>
      </c>
      <c r="H168" s="1601" t="s">
        <v>5243</v>
      </c>
      <c r="I168" s="1602"/>
      <c r="J168" s="1602"/>
      <c r="K168" s="1602"/>
      <c r="L168" s="1603"/>
    </row>
    <row r="169" spans="1:12" ht="41.25" customHeight="1" x14ac:dyDescent="0.25">
      <c r="A169" s="1230"/>
      <c r="B169" s="848"/>
      <c r="C169" s="848"/>
      <c r="D169" s="25">
        <v>45020</v>
      </c>
      <c r="E169" s="55" t="s">
        <v>5289</v>
      </c>
      <c r="F169" s="1232"/>
      <c r="G169" s="55" t="s">
        <v>5288</v>
      </c>
      <c r="H169" s="1601" t="s">
        <v>5287</v>
      </c>
      <c r="I169" s="1602"/>
      <c r="J169" s="1602"/>
      <c r="K169" s="1602"/>
      <c r="L169" s="1603"/>
    </row>
    <row r="170" spans="1:12" ht="40.5" customHeight="1" x14ac:dyDescent="0.25">
      <c r="A170" s="1229">
        <v>113</v>
      </c>
      <c r="B170" s="25">
        <v>45022</v>
      </c>
      <c r="C170" s="55" t="s">
        <v>5305</v>
      </c>
      <c r="D170" s="848"/>
      <c r="E170" s="848"/>
      <c r="F170" s="1232"/>
      <c r="G170" s="55" t="s">
        <v>5308</v>
      </c>
      <c r="H170" s="1601" t="s">
        <v>5307</v>
      </c>
      <c r="I170" s="1602"/>
      <c r="J170" s="1602"/>
      <c r="K170" s="1602"/>
      <c r="L170" s="1603"/>
    </row>
    <row r="171" spans="1:12" ht="40.5" customHeight="1" x14ac:dyDescent="0.25">
      <c r="A171" s="1230"/>
      <c r="B171" s="848"/>
      <c r="C171" s="848"/>
      <c r="D171" s="25">
        <v>45026</v>
      </c>
      <c r="E171" s="55" t="s">
        <v>5405</v>
      </c>
      <c r="F171" s="1232"/>
      <c r="G171" s="55" t="s">
        <v>5361</v>
      </c>
      <c r="H171" s="1601" t="s">
        <v>5346</v>
      </c>
      <c r="I171" s="1602"/>
      <c r="J171" s="1602"/>
      <c r="K171" s="1602"/>
      <c r="L171" s="1603"/>
    </row>
    <row r="172" spans="1:12" ht="40.5" customHeight="1" x14ac:dyDescent="0.25">
      <c r="A172" s="1229">
        <v>114</v>
      </c>
      <c r="B172" s="25">
        <v>45029</v>
      </c>
      <c r="C172" s="55" t="s">
        <v>5335</v>
      </c>
      <c r="D172" s="848"/>
      <c r="E172" s="848"/>
      <c r="F172" s="1255"/>
      <c r="G172" s="55" t="s">
        <v>4404</v>
      </c>
      <c r="H172" s="1601" t="s">
        <v>5366</v>
      </c>
      <c r="I172" s="1602"/>
      <c r="J172" s="1602"/>
      <c r="K172" s="1602"/>
      <c r="L172" s="1603"/>
    </row>
    <row r="173" spans="1:12" ht="40.5" customHeight="1" x14ac:dyDescent="0.25">
      <c r="A173" s="1230"/>
      <c r="B173" s="848"/>
      <c r="C173" s="848"/>
      <c r="D173" s="25">
        <v>45031</v>
      </c>
      <c r="E173" s="55" t="s">
        <v>5399</v>
      </c>
      <c r="F173" s="1255"/>
      <c r="G173" s="55" t="s">
        <v>5400</v>
      </c>
      <c r="H173" s="1601" t="s">
        <v>5401</v>
      </c>
      <c r="I173" s="1602"/>
      <c r="J173" s="1602"/>
      <c r="K173" s="1602"/>
      <c r="L173" s="1603"/>
    </row>
    <row r="174" spans="1:12" ht="40.5" customHeight="1" x14ac:dyDescent="0.25">
      <c r="A174" s="1229">
        <v>115</v>
      </c>
      <c r="B174" s="25">
        <v>45033</v>
      </c>
      <c r="C174" s="55" t="s">
        <v>5404</v>
      </c>
      <c r="D174" s="848"/>
      <c r="E174" s="848"/>
      <c r="F174" s="1255"/>
      <c r="G174" s="55" t="s">
        <v>5403</v>
      </c>
      <c r="H174" s="1601" t="s">
        <v>5402</v>
      </c>
      <c r="I174" s="1602"/>
      <c r="J174" s="1602"/>
      <c r="K174" s="1602"/>
      <c r="L174" s="1603"/>
    </row>
    <row r="175" spans="1:12" ht="40.5" customHeight="1" x14ac:dyDescent="0.25">
      <c r="A175" s="1230"/>
      <c r="B175" s="848"/>
      <c r="C175" s="848"/>
      <c r="D175" s="25">
        <v>45039</v>
      </c>
      <c r="E175" s="55" t="s">
        <v>5456</v>
      </c>
      <c r="F175" s="1255"/>
      <c r="G175" s="55" t="s">
        <v>5455</v>
      </c>
      <c r="H175" s="1601" t="s">
        <v>5454</v>
      </c>
      <c r="I175" s="1602"/>
      <c r="J175" s="1602"/>
      <c r="K175" s="1602"/>
      <c r="L175" s="1603"/>
    </row>
    <row r="176" spans="1:12" ht="40.5" customHeight="1" x14ac:dyDescent="0.25">
      <c r="A176" s="1229">
        <v>116</v>
      </c>
      <c r="B176" s="25">
        <v>45040</v>
      </c>
      <c r="C176" s="55" t="s">
        <v>5459</v>
      </c>
      <c r="D176" s="848"/>
      <c r="E176" s="848"/>
      <c r="F176" s="1269"/>
      <c r="G176" s="55" t="s">
        <v>5458</v>
      </c>
      <c r="H176" s="1601" t="s">
        <v>5457</v>
      </c>
      <c r="I176" s="1602"/>
      <c r="J176" s="1602"/>
      <c r="K176" s="1602"/>
      <c r="L176" s="1603"/>
    </row>
    <row r="177" spans="1:12" ht="40.5" customHeight="1" x14ac:dyDescent="0.25">
      <c r="A177" s="1230"/>
      <c r="B177" s="848"/>
      <c r="C177" s="848"/>
      <c r="D177" s="25">
        <v>45044</v>
      </c>
      <c r="E177" s="55" t="s">
        <v>5520</v>
      </c>
      <c r="F177" s="1269"/>
      <c r="G177" s="55" t="s">
        <v>5478</v>
      </c>
      <c r="H177" s="1601" t="s">
        <v>5519</v>
      </c>
      <c r="I177" s="1602"/>
      <c r="J177" s="1602"/>
      <c r="K177" s="1602"/>
      <c r="L177" s="1603"/>
    </row>
    <row r="178" spans="1:12" ht="43.5" customHeight="1" x14ac:dyDescent="0.25">
      <c r="A178" s="1229">
        <v>117</v>
      </c>
      <c r="B178" s="25">
        <v>45049</v>
      </c>
      <c r="C178" s="55" t="s">
        <v>5567</v>
      </c>
      <c r="D178" s="848"/>
      <c r="E178" s="848"/>
      <c r="F178" s="1269"/>
      <c r="G178" s="55" t="s">
        <v>5716</v>
      </c>
      <c r="H178" s="1601" t="s">
        <v>5566</v>
      </c>
      <c r="I178" s="1602"/>
      <c r="J178" s="1602"/>
      <c r="K178" s="1602"/>
      <c r="L178" s="1603"/>
    </row>
    <row r="179" spans="1:12" ht="43.5" customHeight="1" x14ac:dyDescent="0.25">
      <c r="A179" s="1230"/>
      <c r="B179" s="848"/>
      <c r="C179" s="848"/>
      <c r="D179" s="25">
        <v>45053</v>
      </c>
      <c r="E179" s="55" t="s">
        <v>5467</v>
      </c>
      <c r="F179" s="1269"/>
      <c r="G179" s="55" t="s">
        <v>5578</v>
      </c>
      <c r="H179" s="1601" t="s">
        <v>5577</v>
      </c>
      <c r="I179" s="1602"/>
      <c r="J179" s="1602"/>
      <c r="K179" s="1602"/>
      <c r="L179" s="1603"/>
    </row>
    <row r="180" spans="1:12" ht="39" customHeight="1" x14ac:dyDescent="0.25">
      <c r="A180" s="1229">
        <v>118</v>
      </c>
      <c r="B180" s="25">
        <v>45057</v>
      </c>
      <c r="C180" s="55" t="s">
        <v>5618</v>
      </c>
      <c r="D180" s="848"/>
      <c r="E180" s="848"/>
      <c r="F180" s="1269"/>
      <c r="G180" s="55" t="s">
        <v>5616</v>
      </c>
      <c r="H180" s="1601" t="s">
        <v>5617</v>
      </c>
      <c r="I180" s="1602"/>
      <c r="J180" s="1602"/>
      <c r="K180" s="1602"/>
      <c r="L180" s="1603"/>
    </row>
    <row r="181" spans="1:12" ht="39" customHeight="1" x14ac:dyDescent="0.25">
      <c r="A181" s="1230"/>
      <c r="B181" s="848"/>
      <c r="C181" s="848"/>
      <c r="D181" s="25">
        <v>45064</v>
      </c>
      <c r="E181" s="55" t="s">
        <v>1838</v>
      </c>
      <c r="F181" s="1269"/>
      <c r="G181" s="55" t="s">
        <v>4380</v>
      </c>
      <c r="H181" s="1601" t="s">
        <v>5651</v>
      </c>
      <c r="I181" s="1602"/>
      <c r="J181" s="1602"/>
      <c r="K181" s="1602"/>
      <c r="L181" s="1603"/>
    </row>
    <row r="182" spans="1:12" ht="39" customHeight="1" x14ac:dyDescent="0.25">
      <c r="A182" s="1229">
        <v>119</v>
      </c>
      <c r="B182" s="25">
        <v>45065</v>
      </c>
      <c r="C182" s="55" t="s">
        <v>5655</v>
      </c>
      <c r="D182" s="848"/>
      <c r="E182" s="848"/>
      <c r="F182" s="1269"/>
      <c r="G182" s="55" t="s">
        <v>5657</v>
      </c>
      <c r="H182" s="1601" t="s">
        <v>5656</v>
      </c>
      <c r="I182" s="1602"/>
      <c r="J182" s="1602"/>
      <c r="K182" s="1602"/>
      <c r="L182" s="1603"/>
    </row>
    <row r="183" spans="1:12" ht="39" customHeight="1" x14ac:dyDescent="0.25">
      <c r="A183" s="1230"/>
      <c r="B183" s="848"/>
      <c r="C183" s="848"/>
      <c r="D183" s="25">
        <v>45074</v>
      </c>
      <c r="E183" s="55" t="s">
        <v>5702</v>
      </c>
      <c r="F183" s="1269"/>
      <c r="G183" s="55" t="s">
        <v>5704</v>
      </c>
      <c r="H183" s="1601" t="s">
        <v>5703</v>
      </c>
      <c r="I183" s="1602"/>
      <c r="J183" s="1602"/>
      <c r="K183" s="1602"/>
      <c r="L183" s="1603"/>
    </row>
    <row r="184" spans="1:12" ht="39" customHeight="1" x14ac:dyDescent="0.25">
      <c r="A184" s="1229">
        <v>120</v>
      </c>
      <c r="B184" s="25">
        <v>45076</v>
      </c>
      <c r="C184" s="55" t="s">
        <v>5717</v>
      </c>
      <c r="D184" s="848"/>
      <c r="E184" s="848"/>
      <c r="F184" s="1297"/>
      <c r="G184" s="55" t="s">
        <v>5719</v>
      </c>
      <c r="H184" s="1601" t="s">
        <v>5718</v>
      </c>
      <c r="I184" s="1602"/>
      <c r="J184" s="1602"/>
      <c r="K184" s="1602"/>
      <c r="L184" s="1603"/>
    </row>
    <row r="185" spans="1:12" ht="39" customHeight="1" x14ac:dyDescent="0.25">
      <c r="A185" s="1230"/>
      <c r="B185" s="848"/>
      <c r="C185" s="848"/>
      <c r="D185" s="25">
        <v>45082</v>
      </c>
      <c r="E185" s="55" t="s">
        <v>5756</v>
      </c>
      <c r="F185" s="1297"/>
      <c r="G185" s="55" t="s">
        <v>2503</v>
      </c>
      <c r="H185" s="1601" t="s">
        <v>5757</v>
      </c>
      <c r="I185" s="1602"/>
      <c r="J185" s="1602"/>
      <c r="K185" s="1602"/>
      <c r="L185" s="1603"/>
    </row>
    <row r="186" spans="1:12" ht="39" customHeight="1" x14ac:dyDescent="0.25">
      <c r="A186" s="1229">
        <v>121</v>
      </c>
      <c r="B186" s="25">
        <v>45085</v>
      </c>
      <c r="C186" s="55" t="s">
        <v>5776</v>
      </c>
      <c r="D186" s="848"/>
      <c r="E186" s="848"/>
      <c r="F186" s="1297"/>
      <c r="G186" s="55" t="s">
        <v>5778</v>
      </c>
      <c r="H186" s="1601" t="s">
        <v>5777</v>
      </c>
      <c r="I186" s="1602"/>
      <c r="J186" s="1602"/>
      <c r="K186" s="1602"/>
      <c r="L186" s="1603"/>
    </row>
    <row r="187" spans="1:12" ht="39" customHeight="1" x14ac:dyDescent="0.25">
      <c r="A187" s="1230"/>
      <c r="B187" s="848"/>
      <c r="C187" s="848"/>
      <c r="D187" s="25">
        <v>45091</v>
      </c>
      <c r="E187" s="55" t="s">
        <v>5807</v>
      </c>
      <c r="F187" s="1297"/>
      <c r="G187" s="55" t="s">
        <v>5809</v>
      </c>
      <c r="H187" s="1601" t="s">
        <v>5808</v>
      </c>
      <c r="I187" s="1602"/>
      <c r="J187" s="1602"/>
      <c r="K187" s="1602"/>
      <c r="L187" s="1603"/>
    </row>
    <row r="188" spans="1:12" ht="48.75" customHeight="1" x14ac:dyDescent="0.25">
      <c r="A188" s="1229">
        <v>122</v>
      </c>
      <c r="B188" s="25">
        <v>45093</v>
      </c>
      <c r="C188" s="55" t="s">
        <v>5823</v>
      </c>
      <c r="D188" s="848"/>
      <c r="E188" s="848"/>
      <c r="F188" s="1297"/>
      <c r="G188" s="55" t="s">
        <v>5824</v>
      </c>
      <c r="H188" s="1601" t="s">
        <v>5822</v>
      </c>
      <c r="I188" s="1602"/>
      <c r="J188" s="1602"/>
      <c r="K188" s="1602"/>
      <c r="L188" s="1603"/>
    </row>
    <row r="189" spans="1:12" ht="39" customHeight="1" x14ac:dyDescent="0.25">
      <c r="A189" s="1230"/>
      <c r="B189" s="848"/>
      <c r="C189" s="848"/>
      <c r="D189" s="25">
        <v>45099</v>
      </c>
      <c r="E189" s="55" t="s">
        <v>5846</v>
      </c>
      <c r="F189" s="1297"/>
      <c r="G189" s="55" t="s">
        <v>5848</v>
      </c>
      <c r="H189" s="1601" t="s">
        <v>5847</v>
      </c>
      <c r="I189" s="1602"/>
      <c r="J189" s="1602"/>
      <c r="K189" s="1602"/>
      <c r="L189" s="1603"/>
    </row>
    <row r="190" spans="1:12" ht="39" customHeight="1" x14ac:dyDescent="0.25">
      <c r="A190" s="1606">
        <v>123</v>
      </c>
      <c r="B190" s="25">
        <v>45100</v>
      </c>
      <c r="C190" s="55" t="s">
        <v>5858</v>
      </c>
      <c r="D190" s="848"/>
      <c r="E190" s="848"/>
      <c r="F190" s="1367"/>
      <c r="G190" s="55" t="s">
        <v>5893</v>
      </c>
      <c r="H190" s="1601" t="s">
        <v>5892</v>
      </c>
      <c r="I190" s="1602"/>
      <c r="J190" s="1602"/>
      <c r="K190" s="1602"/>
      <c r="L190" s="1603"/>
    </row>
    <row r="191" spans="1:12" ht="39" customHeight="1" x14ac:dyDescent="0.25">
      <c r="A191" s="1607"/>
      <c r="B191" s="848"/>
      <c r="C191" s="848"/>
      <c r="D191" s="25">
        <v>45107</v>
      </c>
      <c r="E191" s="1378" t="s">
        <v>5894</v>
      </c>
      <c r="F191" s="1378"/>
      <c r="G191" s="1378" t="s">
        <v>5896</v>
      </c>
      <c r="H191" s="1601" t="s">
        <v>5895</v>
      </c>
      <c r="I191" s="1602"/>
      <c r="J191" s="1602"/>
      <c r="K191" s="1602"/>
      <c r="L191" s="1603"/>
    </row>
    <row r="192" spans="1:12" ht="29.25" customHeight="1" x14ac:dyDescent="0.25">
      <c r="A192" s="1606">
        <v>124</v>
      </c>
      <c r="B192" s="25">
        <v>45109</v>
      </c>
      <c r="C192" s="1378" t="s">
        <v>5914</v>
      </c>
      <c r="D192" s="848"/>
      <c r="E192" s="848"/>
      <c r="F192" s="1378"/>
      <c r="G192" s="1378" t="s">
        <v>5913</v>
      </c>
      <c r="H192" s="1601" t="s">
        <v>5947</v>
      </c>
      <c r="I192" s="1602"/>
      <c r="J192" s="1602"/>
      <c r="K192" s="1602"/>
      <c r="L192" s="1603"/>
    </row>
    <row r="193" spans="1:12" ht="29.25" customHeight="1" x14ac:dyDescent="0.25">
      <c r="A193" s="1607"/>
      <c r="B193" s="848"/>
      <c r="C193" s="848"/>
      <c r="D193" s="25">
        <v>45116</v>
      </c>
      <c r="E193" s="1378" t="s">
        <v>5950</v>
      </c>
      <c r="F193" s="1378"/>
      <c r="G193" s="1378" t="s">
        <v>5949</v>
      </c>
      <c r="H193" s="1601" t="s">
        <v>5948</v>
      </c>
      <c r="I193" s="1602"/>
      <c r="J193" s="1602"/>
      <c r="K193" s="1602"/>
      <c r="L193" s="1603"/>
    </row>
    <row r="194" spans="1:12" ht="29.25" customHeight="1" x14ac:dyDescent="0.25">
      <c r="A194" s="1606">
        <v>125</v>
      </c>
      <c r="B194" s="25">
        <v>45118</v>
      </c>
      <c r="C194" s="1378" t="s">
        <v>5291</v>
      </c>
      <c r="D194" s="848"/>
      <c r="E194" s="848"/>
      <c r="F194" s="1378"/>
      <c r="G194" s="1378" t="s">
        <v>5961</v>
      </c>
      <c r="H194" s="1601" t="s">
        <v>5960</v>
      </c>
      <c r="I194" s="1602"/>
      <c r="J194" s="1602"/>
      <c r="K194" s="1602"/>
      <c r="L194" s="1603"/>
    </row>
    <row r="195" spans="1:12" ht="29.25" customHeight="1" x14ac:dyDescent="0.25">
      <c r="A195" s="1607"/>
      <c r="B195" s="848"/>
      <c r="C195" s="848"/>
      <c r="D195" s="25">
        <v>45123</v>
      </c>
      <c r="E195" s="1378" t="s">
        <v>5990</v>
      </c>
      <c r="F195" s="1378"/>
      <c r="G195" s="1378" t="s">
        <v>5989</v>
      </c>
      <c r="H195" s="1601" t="s">
        <v>5988</v>
      </c>
      <c r="I195" s="1602"/>
      <c r="J195" s="1602"/>
      <c r="K195" s="1602"/>
      <c r="L195" s="1603"/>
    </row>
    <row r="196" spans="1:12" ht="29.25" customHeight="1" x14ac:dyDescent="0.25">
      <c r="A196" s="1404">
        <v>126</v>
      </c>
      <c r="B196" s="25">
        <v>45124</v>
      </c>
      <c r="C196" s="1403" t="s">
        <v>5291</v>
      </c>
      <c r="D196" s="25">
        <v>45124</v>
      </c>
      <c r="E196" s="1403" t="s">
        <v>5997</v>
      </c>
      <c r="F196" s="1403"/>
      <c r="G196" s="1403" t="s">
        <v>5998</v>
      </c>
      <c r="H196" s="1601" t="s">
        <v>5996</v>
      </c>
      <c r="I196" s="1602"/>
      <c r="J196" s="1602"/>
      <c r="K196" s="1602"/>
      <c r="L196" s="1603"/>
    </row>
    <row r="197" spans="1:12" ht="29.25" customHeight="1" x14ac:dyDescent="0.25">
      <c r="A197" s="1606">
        <v>127</v>
      </c>
      <c r="B197" s="25">
        <v>45125</v>
      </c>
      <c r="C197" s="1378" t="s">
        <v>6015</v>
      </c>
      <c r="D197" s="848"/>
      <c r="E197" s="848"/>
      <c r="F197" s="1378"/>
      <c r="G197" s="1378" t="s">
        <v>6014</v>
      </c>
      <c r="H197" s="1601" t="s">
        <v>6013</v>
      </c>
      <c r="I197" s="1602"/>
      <c r="J197" s="1602"/>
      <c r="K197" s="1602"/>
      <c r="L197" s="1603"/>
    </row>
    <row r="198" spans="1:12" ht="29.25" customHeight="1" x14ac:dyDescent="0.25">
      <c r="A198" s="1607"/>
      <c r="B198" s="848"/>
      <c r="C198" s="848"/>
      <c r="D198" s="25">
        <v>45126</v>
      </c>
      <c r="E198" s="1378" t="s">
        <v>4603</v>
      </c>
      <c r="F198" s="1378"/>
      <c r="G198" s="1378" t="s">
        <v>6023</v>
      </c>
      <c r="H198" s="1601" t="s">
        <v>6022</v>
      </c>
      <c r="I198" s="1602"/>
      <c r="J198" s="1602"/>
      <c r="K198" s="1602"/>
      <c r="L198" s="1603"/>
    </row>
    <row r="199" spans="1:12" ht="29.25" customHeight="1" x14ac:dyDescent="0.25">
      <c r="A199" s="1606">
        <v>128</v>
      </c>
      <c r="B199" s="25">
        <v>45128</v>
      </c>
      <c r="C199" s="1378" t="s">
        <v>4824</v>
      </c>
      <c r="D199" s="848"/>
      <c r="E199" s="848"/>
      <c r="F199" s="1378"/>
      <c r="G199" s="1378" t="s">
        <v>6036</v>
      </c>
      <c r="H199" s="1601" t="s">
        <v>6035</v>
      </c>
      <c r="I199" s="1602"/>
      <c r="J199" s="1602"/>
      <c r="K199" s="1602"/>
      <c r="L199" s="1603"/>
    </row>
    <row r="200" spans="1:12" ht="29.25" customHeight="1" x14ac:dyDescent="0.25">
      <c r="A200" s="1607"/>
      <c r="B200" s="848"/>
      <c r="C200" s="848"/>
      <c r="D200" s="25">
        <v>45130</v>
      </c>
      <c r="E200" s="1378" t="s">
        <v>6058</v>
      </c>
      <c r="F200" s="1378"/>
      <c r="G200" s="1378" t="s">
        <v>6046</v>
      </c>
      <c r="H200" s="1601" t="s">
        <v>6045</v>
      </c>
      <c r="I200" s="1602"/>
      <c r="J200" s="1602"/>
      <c r="K200" s="1602"/>
      <c r="L200" s="1603"/>
    </row>
    <row r="201" spans="1:12" ht="27" customHeight="1" x14ac:dyDescent="0.25">
      <c r="A201" s="1606">
        <v>129</v>
      </c>
      <c r="B201" s="25">
        <v>45132</v>
      </c>
      <c r="C201" s="1410" t="s">
        <v>6057</v>
      </c>
      <c r="D201" s="848"/>
      <c r="E201" s="848"/>
      <c r="F201" s="1410"/>
      <c r="G201" s="1410" t="s">
        <v>6059</v>
      </c>
      <c r="H201" s="1601" t="s">
        <v>6056</v>
      </c>
      <c r="I201" s="1602"/>
      <c r="J201" s="1602"/>
      <c r="K201" s="1602"/>
      <c r="L201" s="1603"/>
    </row>
    <row r="202" spans="1:12" ht="27" customHeight="1" x14ac:dyDescent="0.25">
      <c r="A202" s="1607"/>
      <c r="B202" s="848"/>
      <c r="C202" s="848"/>
      <c r="D202" s="25"/>
      <c r="E202" s="1410"/>
      <c r="F202" s="1410"/>
      <c r="G202" s="1410"/>
      <c r="H202" s="1601"/>
      <c r="I202" s="1602"/>
      <c r="J202" s="1602"/>
      <c r="K202" s="1602"/>
      <c r="L202" s="1603"/>
    </row>
    <row r="203" spans="1:12" ht="27" customHeight="1" x14ac:dyDescent="0.25">
      <c r="A203" s="1606"/>
      <c r="B203" s="25"/>
      <c r="C203" s="1410"/>
      <c r="D203" s="848"/>
      <c r="E203" s="848"/>
      <c r="F203" s="1410"/>
      <c r="G203" s="1410"/>
      <c r="H203" s="1601"/>
      <c r="I203" s="1602"/>
      <c r="J203" s="1602"/>
      <c r="K203" s="1602"/>
      <c r="L203" s="1603"/>
    </row>
    <row r="204" spans="1:12" ht="27" customHeight="1" x14ac:dyDescent="0.25">
      <c r="A204" s="1607"/>
      <c r="B204" s="848"/>
      <c r="C204" s="848"/>
      <c r="D204" s="25"/>
      <c r="E204" s="1410"/>
      <c r="F204" s="1410"/>
      <c r="G204" s="1410"/>
      <c r="H204" s="1601"/>
      <c r="I204" s="1602"/>
      <c r="J204" s="1602"/>
      <c r="K204" s="1602"/>
      <c r="L204" s="1603"/>
    </row>
    <row r="205" spans="1:12" ht="27" customHeight="1" x14ac:dyDescent="0.25">
      <c r="A205" s="1606"/>
      <c r="B205" s="25"/>
      <c r="C205" s="1410"/>
      <c r="D205" s="848"/>
      <c r="E205" s="848"/>
      <c r="F205" s="1410"/>
      <c r="G205" s="1410"/>
      <c r="H205" s="1601"/>
      <c r="I205" s="1602"/>
      <c r="J205" s="1602"/>
      <c r="K205" s="1602"/>
      <c r="L205" s="1603"/>
    </row>
    <row r="206" spans="1:12" ht="27" customHeight="1" x14ac:dyDescent="0.25">
      <c r="A206" s="1607"/>
      <c r="B206" s="848"/>
      <c r="C206" s="848"/>
      <c r="D206" s="25"/>
      <c r="E206" s="1410"/>
      <c r="F206" s="1410"/>
      <c r="G206" s="1410"/>
      <c r="H206" s="1601"/>
      <c r="I206" s="1602"/>
      <c r="J206" s="1602"/>
      <c r="K206" s="1602"/>
      <c r="L206" s="1603"/>
    </row>
    <row r="207" spans="1:12" ht="27" customHeight="1" x14ac:dyDescent="0.25">
      <c r="A207" s="1606"/>
      <c r="B207" s="25"/>
      <c r="C207" s="1410"/>
      <c r="D207" s="848"/>
      <c r="E207" s="848"/>
      <c r="F207" s="1410"/>
      <c r="G207" s="1410"/>
      <c r="H207" s="1601"/>
      <c r="I207" s="1602"/>
      <c r="J207" s="1602"/>
      <c r="K207" s="1602"/>
      <c r="L207" s="1603"/>
    </row>
    <row r="208" spans="1:12" ht="27" customHeight="1" x14ac:dyDescent="0.25">
      <c r="A208" s="1607"/>
      <c r="B208" s="848"/>
      <c r="C208" s="848"/>
      <c r="D208" s="25"/>
      <c r="E208" s="1410"/>
      <c r="F208" s="1410"/>
      <c r="G208" s="1410"/>
      <c r="H208" s="1601"/>
      <c r="I208" s="1602"/>
      <c r="J208" s="1602"/>
      <c r="K208" s="1602"/>
      <c r="L208" s="1603"/>
    </row>
    <row r="209" spans="1:12" ht="27" customHeight="1" x14ac:dyDescent="0.25">
      <c r="A209" s="1606"/>
      <c r="B209" s="25"/>
      <c r="C209" s="1410"/>
      <c r="D209" s="848"/>
      <c r="E209" s="848"/>
      <c r="F209" s="1410"/>
      <c r="G209" s="1410"/>
      <c r="H209" s="1601"/>
      <c r="I209" s="1602"/>
      <c r="J209" s="1602"/>
      <c r="K209" s="1602"/>
      <c r="L209" s="1603"/>
    </row>
    <row r="210" spans="1:12" ht="27" customHeight="1" x14ac:dyDescent="0.25">
      <c r="A210" s="1607"/>
      <c r="B210" s="848"/>
      <c r="C210" s="848"/>
      <c r="D210" s="25"/>
      <c r="E210" s="1410"/>
      <c r="F210" s="1410"/>
      <c r="G210" s="1410"/>
      <c r="H210" s="1601"/>
      <c r="I210" s="1602"/>
      <c r="J210" s="1602"/>
      <c r="K210" s="1602"/>
      <c r="L210" s="1603"/>
    </row>
    <row r="211" spans="1:12" x14ac:dyDescent="0.25">
      <c r="A211" s="1378"/>
      <c r="B211" s="1378"/>
      <c r="C211" s="1378"/>
      <c r="D211" s="1378"/>
      <c r="E211" s="1378"/>
      <c r="F211" s="1378"/>
      <c r="G211" s="1378"/>
      <c r="H211" s="1601"/>
      <c r="I211" s="1602"/>
      <c r="J211" s="1602"/>
      <c r="K211" s="1602"/>
      <c r="L211" s="1603"/>
    </row>
    <row r="212" spans="1:12" x14ac:dyDescent="0.25">
      <c r="A212" s="1378"/>
      <c r="B212" s="1378"/>
      <c r="C212" s="1378"/>
      <c r="D212" s="1378"/>
      <c r="E212" s="1378"/>
      <c r="F212" s="1378"/>
      <c r="G212" s="1378"/>
      <c r="H212" s="1601"/>
      <c r="I212" s="1602"/>
      <c r="J212" s="1602"/>
      <c r="K212" s="1602"/>
      <c r="L212" s="1603"/>
    </row>
    <row r="213" spans="1:12" x14ac:dyDescent="0.25">
      <c r="A213" s="1378"/>
      <c r="B213" s="1378"/>
      <c r="C213" s="1378"/>
      <c r="D213" s="1378"/>
      <c r="E213" s="1378"/>
      <c r="F213" s="1378"/>
      <c r="G213" s="1378"/>
      <c r="H213" s="1601"/>
      <c r="I213" s="1602"/>
      <c r="J213" s="1602"/>
      <c r="K213" s="1602"/>
      <c r="L213" s="1603"/>
    </row>
    <row r="214" spans="1:12" x14ac:dyDescent="0.25">
      <c r="A214" s="1378"/>
      <c r="B214" s="1378"/>
      <c r="C214" s="1378"/>
      <c r="D214" s="1378"/>
      <c r="E214" s="1378"/>
      <c r="F214" s="1378"/>
      <c r="G214" s="1378"/>
      <c r="H214" s="1601"/>
      <c r="I214" s="1602"/>
      <c r="J214" s="1602"/>
      <c r="K214" s="1602"/>
      <c r="L214" s="1603"/>
    </row>
    <row r="215" spans="1:12" x14ac:dyDescent="0.25">
      <c r="A215" s="1378"/>
      <c r="B215" s="1378"/>
      <c r="C215" s="1378"/>
      <c r="D215" s="1378"/>
      <c r="E215" s="1378"/>
      <c r="F215" s="1378"/>
      <c r="G215" s="1378"/>
      <c r="H215" s="1601"/>
      <c r="I215" s="1602"/>
      <c r="J215" s="1602"/>
      <c r="K215" s="1602"/>
      <c r="L215" s="1603"/>
    </row>
    <row r="216" spans="1:12" x14ac:dyDescent="0.25">
      <c r="A216" s="1378"/>
      <c r="B216" s="1378"/>
      <c r="C216" s="1378"/>
      <c r="D216" s="1378"/>
      <c r="E216" s="1378"/>
      <c r="F216" s="1378"/>
      <c r="G216" s="1378"/>
      <c r="H216" s="1601"/>
      <c r="I216" s="1602"/>
      <c r="J216" s="1602"/>
      <c r="K216" s="1602"/>
      <c r="L216" s="1603"/>
    </row>
  </sheetData>
  <mergeCells count="227">
    <mergeCell ref="H214:L214"/>
    <mergeCell ref="H215:L215"/>
    <mergeCell ref="H216:L216"/>
    <mergeCell ref="A192:A193"/>
    <mergeCell ref="A194:A195"/>
    <mergeCell ref="A197:A198"/>
    <mergeCell ref="A199:A200"/>
    <mergeCell ref="H200:L200"/>
    <mergeCell ref="H201:L201"/>
    <mergeCell ref="H202:L202"/>
    <mergeCell ref="H203:L203"/>
    <mergeCell ref="H204:L204"/>
    <mergeCell ref="H205:L205"/>
    <mergeCell ref="H206:L206"/>
    <mergeCell ref="H207:L207"/>
    <mergeCell ref="H208:L208"/>
    <mergeCell ref="A201:A202"/>
    <mergeCell ref="A203:A204"/>
    <mergeCell ref="A205:A206"/>
    <mergeCell ref="A207:A208"/>
    <mergeCell ref="A209:A210"/>
    <mergeCell ref="H209:L209"/>
    <mergeCell ref="H210:L210"/>
    <mergeCell ref="H211:L211"/>
    <mergeCell ref="H212:L212"/>
    <mergeCell ref="H213:L213"/>
    <mergeCell ref="A190:A191"/>
    <mergeCell ref="H191:L191"/>
    <mergeCell ref="H192:L192"/>
    <mergeCell ref="H193:L193"/>
    <mergeCell ref="H194:L194"/>
    <mergeCell ref="H195:L195"/>
    <mergeCell ref="H197:L197"/>
    <mergeCell ref="H198:L198"/>
    <mergeCell ref="H199:L199"/>
    <mergeCell ref="H190:L190"/>
    <mergeCell ref="H196:L196"/>
    <mergeCell ref="A162:A163"/>
    <mergeCell ref="A164:A165"/>
    <mergeCell ref="A146:A147"/>
    <mergeCell ref="H160:L160"/>
    <mergeCell ref="H161:L161"/>
    <mergeCell ref="H162:L162"/>
    <mergeCell ref="H146:L147"/>
    <mergeCell ref="H174:L174"/>
    <mergeCell ref="H175:L175"/>
    <mergeCell ref="H168:L168"/>
    <mergeCell ref="H169:L169"/>
    <mergeCell ref="H170:L170"/>
    <mergeCell ref="H171:L171"/>
    <mergeCell ref="H163:L163"/>
    <mergeCell ref="H164:L164"/>
    <mergeCell ref="H165:L165"/>
    <mergeCell ref="H33:L34"/>
    <mergeCell ref="H42:L42"/>
    <mergeCell ref="H47:L47"/>
    <mergeCell ref="H51:L51"/>
    <mergeCell ref="H50:L50"/>
    <mergeCell ref="H27:L27"/>
    <mergeCell ref="H30:L31"/>
    <mergeCell ref="H37:L37"/>
    <mergeCell ref="H38:L38"/>
    <mergeCell ref="H39:L39"/>
    <mergeCell ref="H35:L35"/>
    <mergeCell ref="H36:L36"/>
    <mergeCell ref="H40:L40"/>
    <mergeCell ref="H44:L44"/>
    <mergeCell ref="H46:L46"/>
    <mergeCell ref="H43:L43"/>
    <mergeCell ref="H48:L48"/>
    <mergeCell ref="H49:L49"/>
    <mergeCell ref="H41:L41"/>
    <mergeCell ref="H45:L45"/>
    <mergeCell ref="H32:L32"/>
    <mergeCell ref="A5:L5"/>
    <mergeCell ref="H6:L6"/>
    <mergeCell ref="H9:L9"/>
    <mergeCell ref="H10:L10"/>
    <mergeCell ref="H11:L11"/>
    <mergeCell ref="H7:L8"/>
    <mergeCell ref="H12:L12"/>
    <mergeCell ref="H13:L13"/>
    <mergeCell ref="H14:L14"/>
    <mergeCell ref="H17:L17"/>
    <mergeCell ref="H15:L16"/>
    <mergeCell ref="H18:L18"/>
    <mergeCell ref="H23:L23"/>
    <mergeCell ref="H19:L19"/>
    <mergeCell ref="H20:L20"/>
    <mergeCell ref="H21:L21"/>
    <mergeCell ref="H22:L22"/>
    <mergeCell ref="H28:L29"/>
    <mergeCell ref="H24:L24"/>
    <mergeCell ref="H25:L25"/>
    <mergeCell ref="H26:L26"/>
    <mergeCell ref="H64:L64"/>
    <mergeCell ref="H63:L63"/>
    <mergeCell ref="H61:L61"/>
    <mergeCell ref="H60:L60"/>
    <mergeCell ref="A138:A139"/>
    <mergeCell ref="H94:L95"/>
    <mergeCell ref="A94:A95"/>
    <mergeCell ref="H106:L107"/>
    <mergeCell ref="H126:L127"/>
    <mergeCell ref="H117:L117"/>
    <mergeCell ref="H118:L118"/>
    <mergeCell ref="H119:L119"/>
    <mergeCell ref="A118:A119"/>
    <mergeCell ref="A122:A123"/>
    <mergeCell ref="H122:L123"/>
    <mergeCell ref="A124:A125"/>
    <mergeCell ref="H124:L125"/>
    <mergeCell ref="A126:A127"/>
    <mergeCell ref="H98:L99"/>
    <mergeCell ref="H100:L101"/>
    <mergeCell ref="A136:A137"/>
    <mergeCell ref="H135:L135"/>
    <mergeCell ref="H136:L136"/>
    <mergeCell ref="H137:L137"/>
    <mergeCell ref="H67:L67"/>
    <mergeCell ref="H70:L70"/>
    <mergeCell ref="H71:L71"/>
    <mergeCell ref="H53:L53"/>
    <mergeCell ref="H52:L52"/>
    <mergeCell ref="A116:A117"/>
    <mergeCell ref="A120:A121"/>
    <mergeCell ref="H120:L121"/>
    <mergeCell ref="H59:L59"/>
    <mergeCell ref="H58:L58"/>
    <mergeCell ref="H62:L62"/>
    <mergeCell ref="A92:A93"/>
    <mergeCell ref="H65:L65"/>
    <mergeCell ref="A80:A81"/>
    <mergeCell ref="H92:L93"/>
    <mergeCell ref="H54:L54"/>
    <mergeCell ref="H74:L74"/>
    <mergeCell ref="H75:L75"/>
    <mergeCell ref="A84:A85"/>
    <mergeCell ref="H55:L55"/>
    <mergeCell ref="H56:L56"/>
    <mergeCell ref="H66:L66"/>
    <mergeCell ref="H80:L81"/>
    <mergeCell ref="H57:L57"/>
    <mergeCell ref="A78:A79"/>
    <mergeCell ref="H78:L79"/>
    <mergeCell ref="A102:A103"/>
    <mergeCell ref="H102:L103"/>
    <mergeCell ref="A98:A99"/>
    <mergeCell ref="H140:L141"/>
    <mergeCell ref="A88:A89"/>
    <mergeCell ref="A86:A87"/>
    <mergeCell ref="H86:L87"/>
    <mergeCell ref="A100:A101"/>
    <mergeCell ref="A96:A97"/>
    <mergeCell ref="H96:L97"/>
    <mergeCell ref="H131:L132"/>
    <mergeCell ref="A90:A91"/>
    <mergeCell ref="H128:L128"/>
    <mergeCell ref="H138:L138"/>
    <mergeCell ref="H139:L139"/>
    <mergeCell ref="H129:L129"/>
    <mergeCell ref="H130:L130"/>
    <mergeCell ref="H133:L134"/>
    <mergeCell ref="A134:A135"/>
    <mergeCell ref="A128:A129"/>
    <mergeCell ref="A140:A141"/>
    <mergeCell ref="A132:A133"/>
    <mergeCell ref="H176:L176"/>
    <mergeCell ref="H177:L177"/>
    <mergeCell ref="A148:A149"/>
    <mergeCell ref="H148:L149"/>
    <mergeCell ref="A150:A151"/>
    <mergeCell ref="H150:L151"/>
    <mergeCell ref="A152:A153"/>
    <mergeCell ref="H152:L153"/>
    <mergeCell ref="H90:L91"/>
    <mergeCell ref="A154:A155"/>
    <mergeCell ref="H154:L155"/>
    <mergeCell ref="A156:A157"/>
    <mergeCell ref="H156:L157"/>
    <mergeCell ref="A142:A143"/>
    <mergeCell ref="H172:L172"/>
    <mergeCell ref="H173:L173"/>
    <mergeCell ref="H166:L166"/>
    <mergeCell ref="H167:L167"/>
    <mergeCell ref="A160:A161"/>
    <mergeCell ref="H144:L145"/>
    <mergeCell ref="A144:A145"/>
    <mergeCell ref="H142:L143"/>
    <mergeCell ref="A158:A159"/>
    <mergeCell ref="H158:L159"/>
    <mergeCell ref="A1:L4"/>
    <mergeCell ref="A104:A105"/>
    <mergeCell ref="H114:L114"/>
    <mergeCell ref="H115:L115"/>
    <mergeCell ref="H116:L116"/>
    <mergeCell ref="H104:L105"/>
    <mergeCell ref="A106:A107"/>
    <mergeCell ref="A108:A109"/>
    <mergeCell ref="H108:L109"/>
    <mergeCell ref="A110:A111"/>
    <mergeCell ref="H110:L111"/>
    <mergeCell ref="A112:A113"/>
    <mergeCell ref="H112:L113"/>
    <mergeCell ref="A114:A115"/>
    <mergeCell ref="H84:L85"/>
    <mergeCell ref="H82:L83"/>
    <mergeCell ref="A76:A77"/>
    <mergeCell ref="H76:L77"/>
    <mergeCell ref="H68:L68"/>
    <mergeCell ref="H72:L72"/>
    <mergeCell ref="H73:L73"/>
    <mergeCell ref="A82:A83"/>
    <mergeCell ref="H69:L69"/>
    <mergeCell ref="H88:L89"/>
    <mergeCell ref="H184:L184"/>
    <mergeCell ref="H185:L185"/>
    <mergeCell ref="H186:L186"/>
    <mergeCell ref="H187:L187"/>
    <mergeCell ref="H188:L188"/>
    <mergeCell ref="H189:L189"/>
    <mergeCell ref="H178:L178"/>
    <mergeCell ref="H179:L179"/>
    <mergeCell ref="H180:L180"/>
    <mergeCell ref="H181:L181"/>
    <mergeCell ref="H182:L182"/>
    <mergeCell ref="H183:L183"/>
  </mergeCells>
  <pageMargins left="0.7" right="0.7" top="0.75" bottom="0.75" header="0.3" footer="0.3"/>
  <pageSetup orientation="portrait" horizontalDpi="360" verticalDpi="360"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L442"/>
  <sheetViews>
    <sheetView zoomScale="78" zoomScaleNormal="78" workbookViewId="0">
      <pane ySplit="6" topLeftCell="A416" activePane="bottomLeft" state="frozen"/>
      <selection pane="bottomLeft" activeCell="D421" sqref="D421"/>
    </sheetView>
  </sheetViews>
  <sheetFormatPr defaultColWidth="8.7109375" defaultRowHeight="15" x14ac:dyDescent="0.25"/>
  <cols>
    <col min="1" max="1" width="12" style="18" customWidth="1"/>
    <col min="2" max="2" width="21.5703125" style="18" customWidth="1"/>
    <col min="3" max="3" width="16.28515625" style="18" bestFit="1" customWidth="1"/>
    <col min="4" max="4" width="20.5703125" style="18" customWidth="1"/>
    <col min="5" max="5" width="14.85546875" style="18" customWidth="1"/>
    <col min="6" max="6" width="14.140625" style="18" customWidth="1"/>
    <col min="7" max="7" width="17.85546875" style="18" customWidth="1"/>
    <col min="8" max="11" width="8.7109375" style="52"/>
    <col min="12" max="12" width="43.140625" style="52" customWidth="1"/>
    <col min="13" max="16384" width="8.7109375" style="18"/>
  </cols>
  <sheetData>
    <row r="1" spans="1:12" x14ac:dyDescent="0.25">
      <c r="A1" s="1626"/>
      <c r="B1" s="1626"/>
      <c r="C1" s="1626"/>
      <c r="D1" s="1626"/>
      <c r="E1" s="1626"/>
      <c r="F1" s="1626"/>
      <c r="G1" s="1626"/>
      <c r="H1" s="1626"/>
      <c r="I1" s="1626"/>
      <c r="J1" s="1626"/>
      <c r="K1" s="1626"/>
      <c r="L1" s="1626"/>
    </row>
    <row r="2" spans="1:12" x14ac:dyDescent="0.25">
      <c r="A2" s="1626"/>
      <c r="B2" s="1626"/>
      <c r="C2" s="1626"/>
      <c r="D2" s="1626"/>
      <c r="E2" s="1626"/>
      <c r="F2" s="1626"/>
      <c r="G2" s="1626"/>
      <c r="H2" s="1626"/>
      <c r="I2" s="1626"/>
      <c r="J2" s="1626"/>
      <c r="K2" s="1626"/>
      <c r="L2" s="1626"/>
    </row>
    <row r="3" spans="1:12" x14ac:dyDescent="0.25">
      <c r="A3" s="1626"/>
      <c r="B3" s="1626"/>
      <c r="C3" s="1626"/>
      <c r="D3" s="1626"/>
      <c r="E3" s="1626"/>
      <c r="F3" s="1626"/>
      <c r="G3" s="1626"/>
      <c r="H3" s="1626"/>
      <c r="I3" s="1626"/>
      <c r="J3" s="1626"/>
      <c r="K3" s="1626"/>
      <c r="L3" s="1626"/>
    </row>
    <row r="4" spans="1:12" ht="42" customHeight="1" x14ac:dyDescent="0.25">
      <c r="A4" s="1627"/>
      <c r="B4" s="1627"/>
      <c r="C4" s="1627"/>
      <c r="D4" s="1627"/>
      <c r="E4" s="1627"/>
      <c r="F4" s="1627"/>
      <c r="G4" s="1627"/>
      <c r="H4" s="1627"/>
      <c r="I4" s="1627"/>
      <c r="J4" s="1627"/>
      <c r="K4" s="1627"/>
      <c r="L4" s="1627"/>
    </row>
    <row r="5" spans="1:12" ht="32.1" customHeight="1" x14ac:dyDescent="0.25">
      <c r="A5" s="1618" t="s">
        <v>247</v>
      </c>
      <c r="B5" s="1618"/>
      <c r="C5" s="1618"/>
      <c r="D5" s="1618"/>
      <c r="E5" s="1618"/>
      <c r="F5" s="1618"/>
      <c r="G5" s="1618"/>
      <c r="H5" s="1618"/>
      <c r="I5" s="1618"/>
      <c r="J5" s="1618"/>
      <c r="K5" s="1618"/>
      <c r="L5" s="1618"/>
    </row>
    <row r="6" spans="1:12" s="52" customFormat="1" ht="53.1" customHeight="1" x14ac:dyDescent="0.25">
      <c r="A6" s="821" t="s">
        <v>66</v>
      </c>
      <c r="B6" s="821" t="s">
        <v>67</v>
      </c>
      <c r="C6" s="821" t="s">
        <v>257</v>
      </c>
      <c r="D6" s="821" t="s">
        <v>69</v>
      </c>
      <c r="E6" s="821" t="s">
        <v>257</v>
      </c>
      <c r="F6" s="821" t="s">
        <v>70</v>
      </c>
      <c r="G6" s="821" t="s">
        <v>71</v>
      </c>
      <c r="H6" s="1635" t="s">
        <v>72</v>
      </c>
      <c r="I6" s="1635"/>
      <c r="J6" s="1635"/>
      <c r="K6" s="1635"/>
      <c r="L6" s="1635"/>
    </row>
    <row r="7" spans="1:12" ht="79.900000000000006" customHeight="1" x14ac:dyDescent="0.25">
      <c r="A7" s="53">
        <v>1</v>
      </c>
      <c r="B7" s="54" t="s">
        <v>142</v>
      </c>
      <c r="C7" s="55" t="s">
        <v>142</v>
      </c>
      <c r="D7" s="54">
        <v>44533</v>
      </c>
      <c r="E7" s="55">
        <v>0.20833333333333334</v>
      </c>
      <c r="F7" s="53"/>
      <c r="G7" s="53"/>
      <c r="H7" s="1617" t="s">
        <v>248</v>
      </c>
      <c r="I7" s="1617"/>
      <c r="J7" s="1617"/>
      <c r="K7" s="1617"/>
      <c r="L7" s="1617"/>
    </row>
    <row r="8" spans="1:12" ht="95.45" customHeight="1" x14ac:dyDescent="0.25">
      <c r="A8" s="53">
        <v>2</v>
      </c>
      <c r="B8" s="54">
        <v>44533</v>
      </c>
      <c r="C8" s="55" t="s">
        <v>267</v>
      </c>
      <c r="D8" s="54">
        <v>44533</v>
      </c>
      <c r="E8" s="55" t="s">
        <v>268</v>
      </c>
      <c r="F8" s="53"/>
      <c r="G8" s="53"/>
      <c r="H8" s="1617" t="s">
        <v>249</v>
      </c>
      <c r="I8" s="1617"/>
      <c r="J8" s="1617"/>
      <c r="K8" s="1617"/>
      <c r="L8" s="1617"/>
    </row>
    <row r="9" spans="1:12" ht="58.9" customHeight="1" x14ac:dyDescent="0.25">
      <c r="A9" s="53">
        <v>3</v>
      </c>
      <c r="B9" s="54">
        <v>44533</v>
      </c>
      <c r="C9" s="55" t="s">
        <v>269</v>
      </c>
      <c r="D9" s="54">
        <v>44533</v>
      </c>
      <c r="E9" s="55">
        <v>0.24652777777777779</v>
      </c>
      <c r="F9" s="53"/>
      <c r="G9" s="61"/>
      <c r="H9" s="1617" t="s">
        <v>250</v>
      </c>
      <c r="I9" s="1617"/>
      <c r="J9" s="1617"/>
      <c r="K9" s="1617"/>
      <c r="L9" s="1617"/>
    </row>
    <row r="10" spans="1:12" ht="48" customHeight="1" x14ac:dyDescent="0.25">
      <c r="A10" s="53">
        <v>4</v>
      </c>
      <c r="B10" s="54" t="s">
        <v>258</v>
      </c>
      <c r="C10" s="55">
        <v>0.40902777777777777</v>
      </c>
      <c r="D10" s="54" t="s">
        <v>258</v>
      </c>
      <c r="E10" s="55">
        <v>0.65902777777777777</v>
      </c>
      <c r="F10" s="53"/>
      <c r="G10" s="61" t="s">
        <v>259</v>
      </c>
      <c r="H10" s="1617" t="s">
        <v>94</v>
      </c>
      <c r="I10" s="1617"/>
      <c r="J10" s="1617"/>
      <c r="K10" s="1617"/>
      <c r="L10" s="1617"/>
    </row>
    <row r="11" spans="1:12" ht="40.9" customHeight="1" x14ac:dyDescent="0.25">
      <c r="A11" s="53">
        <v>5</v>
      </c>
      <c r="B11" s="54">
        <v>44297</v>
      </c>
      <c r="C11" s="55" t="s">
        <v>359</v>
      </c>
      <c r="D11" s="54">
        <v>44297</v>
      </c>
      <c r="E11" s="55" t="s">
        <v>360</v>
      </c>
      <c r="F11" s="53"/>
      <c r="G11" s="61" t="s">
        <v>362</v>
      </c>
      <c r="H11" s="1617" t="s">
        <v>361</v>
      </c>
      <c r="I11" s="1617"/>
      <c r="J11" s="1617"/>
      <c r="K11" s="1617"/>
      <c r="L11" s="1617"/>
    </row>
    <row r="12" spans="1:12" ht="71.25" customHeight="1" x14ac:dyDescent="0.25">
      <c r="A12" s="53">
        <v>6</v>
      </c>
      <c r="B12" s="54">
        <v>44300</v>
      </c>
      <c r="C12" s="55" t="s">
        <v>370</v>
      </c>
      <c r="D12" s="54">
        <v>44300</v>
      </c>
      <c r="E12" s="55" t="s">
        <v>371</v>
      </c>
      <c r="F12" s="53"/>
      <c r="G12" s="61" t="s">
        <v>372</v>
      </c>
      <c r="H12" s="1617" t="s">
        <v>373</v>
      </c>
      <c r="I12" s="1617"/>
      <c r="J12" s="1617"/>
      <c r="K12" s="1617"/>
      <c r="L12" s="1617"/>
    </row>
    <row r="13" spans="1:12" ht="42" customHeight="1" x14ac:dyDescent="0.25">
      <c r="A13" s="53">
        <v>7</v>
      </c>
      <c r="B13" s="54">
        <v>44333</v>
      </c>
      <c r="C13" s="55" t="s">
        <v>538</v>
      </c>
      <c r="D13" s="54">
        <v>44333</v>
      </c>
      <c r="E13" s="55" t="s">
        <v>539</v>
      </c>
      <c r="F13" s="53" t="s">
        <v>541</v>
      </c>
      <c r="G13" s="61" t="s">
        <v>540</v>
      </c>
      <c r="H13" s="1617" t="s">
        <v>537</v>
      </c>
      <c r="I13" s="1617"/>
      <c r="J13" s="1617"/>
      <c r="K13" s="1617"/>
      <c r="L13" s="1617"/>
    </row>
    <row r="14" spans="1:12" ht="48.6" customHeight="1" x14ac:dyDescent="0.25">
      <c r="A14" s="53">
        <v>8</v>
      </c>
      <c r="B14" s="54">
        <v>44358</v>
      </c>
      <c r="C14" s="55" t="s">
        <v>620</v>
      </c>
      <c r="D14" s="54">
        <v>44358</v>
      </c>
      <c r="E14" s="55" t="s">
        <v>629</v>
      </c>
      <c r="F14" s="53" t="s">
        <v>631</v>
      </c>
      <c r="G14" s="61" t="s">
        <v>630</v>
      </c>
      <c r="H14" s="1617" t="s">
        <v>628</v>
      </c>
      <c r="I14" s="1617"/>
      <c r="J14" s="1617"/>
      <c r="K14" s="1617"/>
      <c r="L14" s="1617"/>
    </row>
    <row r="15" spans="1:12" ht="35.25" customHeight="1" x14ac:dyDescent="0.25">
      <c r="A15" s="53">
        <v>9</v>
      </c>
      <c r="B15" s="54">
        <v>44364</v>
      </c>
      <c r="C15" s="55" t="s">
        <v>639</v>
      </c>
      <c r="D15" s="54"/>
      <c r="E15" s="55"/>
      <c r="F15" s="53" t="s">
        <v>641</v>
      </c>
      <c r="G15" s="61" t="s">
        <v>640</v>
      </c>
      <c r="H15" s="1608" t="s">
        <v>655</v>
      </c>
      <c r="I15" s="1609"/>
      <c r="J15" s="1609"/>
      <c r="K15" s="1609"/>
      <c r="L15" s="1610"/>
    </row>
    <row r="16" spans="1:12" ht="35.25" customHeight="1" x14ac:dyDescent="0.25">
      <c r="A16" s="53">
        <v>10</v>
      </c>
      <c r="B16" s="54"/>
      <c r="C16" s="55"/>
      <c r="D16" s="54">
        <v>44366</v>
      </c>
      <c r="E16" s="54" t="s">
        <v>644</v>
      </c>
      <c r="F16" s="1606" t="s">
        <v>658</v>
      </c>
      <c r="G16" s="1632" t="s">
        <v>659</v>
      </c>
      <c r="H16" s="1628"/>
      <c r="I16" s="1629"/>
      <c r="J16" s="1629"/>
      <c r="K16" s="1629"/>
      <c r="L16" s="1630"/>
    </row>
    <row r="17" spans="1:12" ht="35.25" customHeight="1" x14ac:dyDescent="0.25">
      <c r="A17" s="53">
        <v>11</v>
      </c>
      <c r="B17" s="54">
        <v>44366</v>
      </c>
      <c r="C17" s="55" t="s">
        <v>645</v>
      </c>
      <c r="D17" s="54">
        <v>44366</v>
      </c>
      <c r="E17" s="54" t="s">
        <v>646</v>
      </c>
      <c r="F17" s="1631"/>
      <c r="G17" s="1633"/>
      <c r="H17" s="1628"/>
      <c r="I17" s="1629"/>
      <c r="J17" s="1629"/>
      <c r="K17" s="1629"/>
      <c r="L17" s="1630"/>
    </row>
    <row r="18" spans="1:12" ht="35.25" customHeight="1" x14ac:dyDescent="0.25">
      <c r="A18" s="53">
        <v>12</v>
      </c>
      <c r="B18" s="54">
        <v>44366</v>
      </c>
      <c r="C18" s="55" t="s">
        <v>647</v>
      </c>
      <c r="D18" s="54">
        <v>44366</v>
      </c>
      <c r="E18" s="54" t="s">
        <v>648</v>
      </c>
      <c r="F18" s="1631"/>
      <c r="G18" s="1633"/>
      <c r="H18" s="1628"/>
      <c r="I18" s="1629"/>
      <c r="J18" s="1629"/>
      <c r="K18" s="1629"/>
      <c r="L18" s="1630"/>
    </row>
    <row r="19" spans="1:12" ht="35.25" customHeight="1" x14ac:dyDescent="0.25">
      <c r="A19" s="53">
        <v>13</v>
      </c>
      <c r="B19" s="54">
        <v>44366</v>
      </c>
      <c r="C19" s="55" t="s">
        <v>649</v>
      </c>
      <c r="D19" s="54">
        <v>44366</v>
      </c>
      <c r="E19" s="53" t="s">
        <v>656</v>
      </c>
      <c r="F19" s="1631"/>
      <c r="G19" s="1633"/>
      <c r="H19" s="1628"/>
      <c r="I19" s="1629"/>
      <c r="J19" s="1629"/>
      <c r="K19" s="1629"/>
      <c r="L19" s="1630"/>
    </row>
    <row r="20" spans="1:12" ht="35.25" customHeight="1" x14ac:dyDescent="0.25">
      <c r="A20" s="53">
        <v>14</v>
      </c>
      <c r="B20" s="54">
        <v>44366</v>
      </c>
      <c r="C20" s="55" t="s">
        <v>657</v>
      </c>
      <c r="E20" s="55"/>
      <c r="F20" s="1607"/>
      <c r="G20" s="1634"/>
      <c r="H20" s="1628"/>
      <c r="I20" s="1629"/>
      <c r="J20" s="1629"/>
      <c r="K20" s="1629"/>
      <c r="L20" s="1630"/>
    </row>
    <row r="21" spans="1:12" ht="35.25" customHeight="1" x14ac:dyDescent="0.25">
      <c r="A21" s="53">
        <v>15</v>
      </c>
      <c r="B21" s="30"/>
      <c r="C21" s="55"/>
      <c r="D21" s="54">
        <v>44367</v>
      </c>
      <c r="E21" s="53" t="s">
        <v>660</v>
      </c>
      <c r="F21" s="1606" t="s">
        <v>663</v>
      </c>
      <c r="G21" s="1606" t="s">
        <v>664</v>
      </c>
      <c r="H21" s="1628"/>
      <c r="I21" s="1629"/>
      <c r="J21" s="1629"/>
      <c r="K21" s="1629"/>
      <c r="L21" s="1630"/>
    </row>
    <row r="22" spans="1:12" ht="35.25" customHeight="1" x14ac:dyDescent="0.25">
      <c r="A22" s="53">
        <v>16</v>
      </c>
      <c r="B22" s="54">
        <v>44367</v>
      </c>
      <c r="C22" s="53" t="s">
        <v>661</v>
      </c>
      <c r="D22" s="54">
        <v>44367</v>
      </c>
      <c r="E22" s="55" t="s">
        <v>662</v>
      </c>
      <c r="F22" s="1607"/>
      <c r="G22" s="1607"/>
      <c r="H22" s="1611"/>
      <c r="I22" s="1612"/>
      <c r="J22" s="1612"/>
      <c r="K22" s="1612"/>
      <c r="L22" s="1613"/>
    </row>
    <row r="23" spans="1:12" ht="79.900000000000006" customHeight="1" x14ac:dyDescent="0.25">
      <c r="A23" s="53">
        <v>17</v>
      </c>
      <c r="B23" s="54">
        <v>44394</v>
      </c>
      <c r="C23" s="53" t="s">
        <v>775</v>
      </c>
      <c r="D23" s="54">
        <v>44394</v>
      </c>
      <c r="E23" s="53" t="s">
        <v>776</v>
      </c>
      <c r="F23" s="53">
        <v>23.13</v>
      </c>
      <c r="G23" s="53">
        <v>0.87</v>
      </c>
      <c r="H23" s="1617" t="s">
        <v>782</v>
      </c>
      <c r="I23" s="1617"/>
      <c r="J23" s="1617"/>
      <c r="K23" s="1617"/>
      <c r="L23" s="1617"/>
    </row>
    <row r="24" spans="1:12" ht="101.25" customHeight="1" x14ac:dyDescent="0.25">
      <c r="A24" s="53">
        <v>18</v>
      </c>
      <c r="B24" s="54">
        <v>44395</v>
      </c>
      <c r="C24" s="53" t="s">
        <v>780</v>
      </c>
      <c r="D24" s="54">
        <v>44395</v>
      </c>
      <c r="E24" s="53" t="s">
        <v>781</v>
      </c>
      <c r="F24" s="53">
        <v>23.12</v>
      </c>
      <c r="G24" s="53">
        <v>0.88</v>
      </c>
      <c r="H24" s="1617" t="s">
        <v>785</v>
      </c>
      <c r="I24" s="1617"/>
      <c r="J24" s="1617"/>
      <c r="K24" s="1617"/>
      <c r="L24" s="1617"/>
    </row>
    <row r="25" spans="1:12" ht="79.900000000000006" customHeight="1" x14ac:dyDescent="0.25">
      <c r="A25" s="53">
        <v>19</v>
      </c>
      <c r="B25" s="54">
        <v>44398</v>
      </c>
      <c r="C25" s="53" t="s">
        <v>342</v>
      </c>
      <c r="D25" s="54">
        <v>44398</v>
      </c>
      <c r="E25" s="53" t="s">
        <v>825</v>
      </c>
      <c r="F25" s="53"/>
      <c r="G25" s="53" t="s">
        <v>826</v>
      </c>
      <c r="H25" s="1617" t="s">
        <v>827</v>
      </c>
      <c r="I25" s="1617"/>
      <c r="J25" s="1617"/>
      <c r="K25" s="1617"/>
      <c r="L25" s="1617"/>
    </row>
    <row r="26" spans="1:12" ht="79.900000000000006" customHeight="1" x14ac:dyDescent="0.25">
      <c r="A26" s="53">
        <v>20</v>
      </c>
      <c r="B26" s="54">
        <v>44399</v>
      </c>
      <c r="C26" s="53" t="s">
        <v>828</v>
      </c>
      <c r="D26" s="54">
        <v>44399</v>
      </c>
      <c r="E26" s="53" t="s">
        <v>829</v>
      </c>
      <c r="F26" s="53"/>
      <c r="G26" s="53" t="s">
        <v>830</v>
      </c>
      <c r="H26" s="1617" t="s">
        <v>831</v>
      </c>
      <c r="I26" s="1617"/>
      <c r="J26" s="1617"/>
      <c r="K26" s="1617"/>
      <c r="L26" s="1617"/>
    </row>
    <row r="27" spans="1:12" ht="79.900000000000006" customHeight="1" x14ac:dyDescent="0.25">
      <c r="A27" s="53">
        <v>21</v>
      </c>
      <c r="B27" s="54">
        <v>44400</v>
      </c>
      <c r="C27" s="53" t="s">
        <v>832</v>
      </c>
      <c r="D27" s="54">
        <v>44400</v>
      </c>
      <c r="E27" s="53" t="s">
        <v>833</v>
      </c>
      <c r="F27" s="53"/>
      <c r="G27" s="53" t="s">
        <v>834</v>
      </c>
      <c r="H27" s="1617" t="s">
        <v>835</v>
      </c>
      <c r="I27" s="1617"/>
      <c r="J27" s="1617"/>
      <c r="K27" s="1617"/>
      <c r="L27" s="1617"/>
    </row>
    <row r="28" spans="1:12" ht="79.900000000000006" customHeight="1" x14ac:dyDescent="0.25">
      <c r="A28" s="53">
        <v>22</v>
      </c>
      <c r="B28" s="54">
        <v>44412</v>
      </c>
      <c r="C28" s="53" t="s">
        <v>859</v>
      </c>
      <c r="D28" s="54">
        <v>44412</v>
      </c>
      <c r="E28" s="53" t="s">
        <v>860</v>
      </c>
      <c r="F28" s="53"/>
      <c r="G28" s="53" t="s">
        <v>861</v>
      </c>
      <c r="H28" s="1617" t="s">
        <v>862</v>
      </c>
      <c r="I28" s="1617"/>
      <c r="J28" s="1617"/>
      <c r="K28" s="1617"/>
      <c r="L28" s="1617"/>
    </row>
    <row r="29" spans="1:12" ht="79.900000000000006" customHeight="1" x14ac:dyDescent="0.25">
      <c r="A29" s="53">
        <v>23</v>
      </c>
      <c r="B29" s="54">
        <v>44413</v>
      </c>
      <c r="C29" s="53" t="s">
        <v>870</v>
      </c>
      <c r="D29" s="54">
        <v>44413</v>
      </c>
      <c r="E29" s="53" t="s">
        <v>871</v>
      </c>
      <c r="F29" s="53"/>
      <c r="G29" s="53" t="s">
        <v>872</v>
      </c>
      <c r="H29" s="1617" t="s">
        <v>873</v>
      </c>
      <c r="I29" s="1617"/>
      <c r="J29" s="1617"/>
      <c r="K29" s="1617"/>
      <c r="L29" s="1617"/>
    </row>
    <row r="30" spans="1:12" ht="79.900000000000006" customHeight="1" x14ac:dyDescent="0.25">
      <c r="A30" s="53">
        <v>24</v>
      </c>
      <c r="B30" s="54">
        <v>44413</v>
      </c>
      <c r="C30" s="53" t="s">
        <v>889</v>
      </c>
      <c r="D30" s="54">
        <v>44413</v>
      </c>
      <c r="E30" s="53" t="s">
        <v>879</v>
      </c>
      <c r="F30" s="53"/>
      <c r="G30" s="53" t="s">
        <v>890</v>
      </c>
      <c r="H30" s="1617" t="s">
        <v>891</v>
      </c>
      <c r="I30" s="1617"/>
      <c r="J30" s="1617"/>
      <c r="K30" s="1617"/>
      <c r="L30" s="1617"/>
    </row>
    <row r="31" spans="1:12" ht="79.900000000000006" customHeight="1" x14ac:dyDescent="0.25">
      <c r="A31" s="53">
        <v>25</v>
      </c>
      <c r="B31" s="54">
        <v>44415</v>
      </c>
      <c r="C31" s="53" t="s">
        <v>892</v>
      </c>
      <c r="D31" s="54">
        <v>44415</v>
      </c>
      <c r="E31" s="53" t="s">
        <v>893</v>
      </c>
      <c r="F31" s="53"/>
      <c r="G31" s="53" t="s">
        <v>894</v>
      </c>
      <c r="H31" s="1601" t="s">
        <v>895</v>
      </c>
      <c r="I31" s="1602"/>
      <c r="J31" s="1602"/>
      <c r="K31" s="1602"/>
      <c r="L31" s="1603"/>
    </row>
    <row r="32" spans="1:12" ht="79.900000000000006" customHeight="1" x14ac:dyDescent="0.25">
      <c r="A32" s="53">
        <v>26</v>
      </c>
      <c r="B32" s="54">
        <v>44415</v>
      </c>
      <c r="C32" s="53" t="s">
        <v>896</v>
      </c>
      <c r="D32" s="54">
        <v>44415</v>
      </c>
      <c r="E32" s="53" t="s">
        <v>887</v>
      </c>
      <c r="F32" s="53"/>
      <c r="G32" s="53" t="s">
        <v>897</v>
      </c>
      <c r="H32" s="1617" t="s">
        <v>898</v>
      </c>
      <c r="I32" s="1617"/>
      <c r="J32" s="1617"/>
      <c r="K32" s="1617"/>
      <c r="L32" s="1617"/>
    </row>
    <row r="33" spans="1:12" ht="79.900000000000006" customHeight="1" x14ac:dyDescent="0.25">
      <c r="A33" s="1606">
        <v>27</v>
      </c>
      <c r="B33" s="54">
        <v>44416</v>
      </c>
      <c r="C33" s="53" t="s">
        <v>899</v>
      </c>
      <c r="D33" s="54"/>
      <c r="E33" s="53"/>
      <c r="F33" s="53"/>
      <c r="G33" s="53" t="s">
        <v>902</v>
      </c>
      <c r="H33" s="1608" t="s">
        <v>901</v>
      </c>
      <c r="I33" s="1609"/>
      <c r="J33" s="1609"/>
      <c r="K33" s="1609"/>
      <c r="L33" s="1610"/>
    </row>
    <row r="34" spans="1:12" ht="79.900000000000006" customHeight="1" x14ac:dyDescent="0.25">
      <c r="A34" s="1607"/>
      <c r="B34" s="53"/>
      <c r="C34" s="53"/>
      <c r="D34" s="54">
        <v>44417</v>
      </c>
      <c r="E34" s="53" t="s">
        <v>900</v>
      </c>
      <c r="F34" s="53"/>
      <c r="G34" s="53" t="s">
        <v>903</v>
      </c>
      <c r="H34" s="1611"/>
      <c r="I34" s="1612"/>
      <c r="J34" s="1612"/>
      <c r="K34" s="1612"/>
      <c r="L34" s="1613"/>
    </row>
    <row r="35" spans="1:12" ht="79.900000000000006" customHeight="1" x14ac:dyDescent="0.25">
      <c r="A35" s="53">
        <v>28</v>
      </c>
      <c r="B35" s="53" t="s">
        <v>929</v>
      </c>
      <c r="C35" s="53" t="s">
        <v>930</v>
      </c>
      <c r="D35" s="53" t="s">
        <v>929</v>
      </c>
      <c r="E35" s="53" t="s">
        <v>931</v>
      </c>
      <c r="F35" s="53"/>
      <c r="G35" s="53" t="s">
        <v>932</v>
      </c>
      <c r="H35" s="1617" t="s">
        <v>949</v>
      </c>
      <c r="I35" s="1617"/>
      <c r="J35" s="1617"/>
      <c r="K35" s="1617"/>
      <c r="L35" s="1617"/>
    </row>
    <row r="36" spans="1:12" ht="79.900000000000006" customHeight="1" x14ac:dyDescent="0.25">
      <c r="A36" s="53">
        <v>29</v>
      </c>
      <c r="B36" s="30">
        <v>44432</v>
      </c>
      <c r="C36" s="53">
        <v>21.23</v>
      </c>
      <c r="D36" s="30">
        <v>44432</v>
      </c>
      <c r="E36" s="53">
        <v>23.12</v>
      </c>
      <c r="F36" s="53"/>
      <c r="G36" s="53" t="s">
        <v>1018</v>
      </c>
      <c r="H36" s="1617" t="s">
        <v>1016</v>
      </c>
      <c r="I36" s="1617"/>
      <c r="J36" s="1617"/>
      <c r="K36" s="1617"/>
      <c r="L36" s="1617"/>
    </row>
    <row r="37" spans="1:12" ht="79.900000000000006" customHeight="1" x14ac:dyDescent="0.25">
      <c r="A37" s="53">
        <v>30</v>
      </c>
      <c r="B37" s="30">
        <v>44433</v>
      </c>
      <c r="C37" s="55">
        <v>0.15277777777777776</v>
      </c>
      <c r="D37" s="30">
        <v>44433</v>
      </c>
      <c r="E37" s="55">
        <v>0.18055555555555555</v>
      </c>
      <c r="F37" s="53"/>
      <c r="G37" s="53" t="s">
        <v>1037</v>
      </c>
      <c r="H37" s="1617" t="s">
        <v>1036</v>
      </c>
      <c r="I37" s="1617"/>
      <c r="J37" s="1617"/>
      <c r="K37" s="1617"/>
      <c r="L37" s="1617"/>
    </row>
    <row r="38" spans="1:12" ht="79.900000000000006" customHeight="1" x14ac:dyDescent="0.25">
      <c r="A38" s="53">
        <v>31</v>
      </c>
      <c r="B38" s="30">
        <v>44436</v>
      </c>
      <c r="C38" s="55">
        <v>0.13194444444444445</v>
      </c>
      <c r="D38" s="30">
        <v>44436</v>
      </c>
      <c r="E38" s="55">
        <v>0.16666666666666666</v>
      </c>
      <c r="F38" s="53"/>
      <c r="G38" s="53"/>
      <c r="H38" s="1617" t="s">
        <v>1055</v>
      </c>
      <c r="I38" s="1617"/>
      <c r="J38" s="1617"/>
      <c r="K38" s="1617"/>
      <c r="L38" s="1617"/>
    </row>
    <row r="39" spans="1:12" ht="80.25" customHeight="1" x14ac:dyDescent="0.25">
      <c r="A39" s="53">
        <v>32</v>
      </c>
      <c r="B39" s="30">
        <v>44437</v>
      </c>
      <c r="C39" s="53">
        <v>14.45</v>
      </c>
      <c r="D39" s="30">
        <v>44437</v>
      </c>
      <c r="E39" s="53">
        <v>17.45</v>
      </c>
      <c r="F39" s="53"/>
      <c r="G39" s="53" t="s">
        <v>1056</v>
      </c>
      <c r="H39" s="1608" t="s">
        <v>1062</v>
      </c>
      <c r="I39" s="1609"/>
      <c r="J39" s="1609"/>
      <c r="K39" s="1609"/>
      <c r="L39" s="1610"/>
    </row>
    <row r="40" spans="1:12" ht="37.5" customHeight="1" x14ac:dyDescent="0.25">
      <c r="A40" s="53">
        <v>33</v>
      </c>
      <c r="B40" s="30">
        <v>44437</v>
      </c>
      <c r="C40" s="55">
        <v>4.1666666666666664E-2</v>
      </c>
      <c r="D40" s="30">
        <v>44437</v>
      </c>
      <c r="E40" s="55">
        <v>0.20833333333333334</v>
      </c>
      <c r="F40" s="53"/>
      <c r="G40" s="53" t="s">
        <v>1063</v>
      </c>
      <c r="H40" s="1611"/>
      <c r="I40" s="1612"/>
      <c r="J40" s="1612"/>
      <c r="K40" s="1612"/>
      <c r="L40" s="1613"/>
    </row>
    <row r="41" spans="1:12" ht="37.5" customHeight="1" x14ac:dyDescent="0.25">
      <c r="A41" s="53">
        <v>34</v>
      </c>
      <c r="B41" s="30">
        <v>44446</v>
      </c>
      <c r="C41" s="55">
        <v>1.1805555555555555E-2</v>
      </c>
      <c r="D41" s="30">
        <v>44446</v>
      </c>
      <c r="E41" s="55">
        <v>4.8611111111111112E-2</v>
      </c>
      <c r="F41" s="53"/>
      <c r="G41" s="53" t="s">
        <v>1121</v>
      </c>
      <c r="H41" s="1601" t="s">
        <v>1122</v>
      </c>
      <c r="I41" s="1602"/>
      <c r="J41" s="1602"/>
      <c r="K41" s="1602"/>
      <c r="L41" s="1603"/>
    </row>
    <row r="42" spans="1:12" ht="37.5" customHeight="1" x14ac:dyDescent="0.25">
      <c r="A42" s="53">
        <v>35</v>
      </c>
      <c r="B42" s="30">
        <v>44447</v>
      </c>
      <c r="C42" s="55">
        <v>0.49652777777777773</v>
      </c>
      <c r="D42" s="30">
        <v>44447</v>
      </c>
      <c r="E42" s="55">
        <v>0.59166666666666667</v>
      </c>
      <c r="F42" s="53"/>
      <c r="G42" s="53" t="s">
        <v>1133</v>
      </c>
      <c r="H42" s="1608" t="s">
        <v>1135</v>
      </c>
      <c r="I42" s="1609"/>
      <c r="J42" s="1609"/>
      <c r="K42" s="1609"/>
      <c r="L42" s="1610"/>
    </row>
    <row r="43" spans="1:12" ht="37.5" customHeight="1" x14ac:dyDescent="0.25">
      <c r="A43" s="53">
        <v>36</v>
      </c>
      <c r="B43" s="30">
        <v>44447</v>
      </c>
      <c r="C43" s="55">
        <v>9.5833333333333326E-2</v>
      </c>
      <c r="D43" s="30">
        <v>44447</v>
      </c>
      <c r="E43" s="55">
        <v>0.12847222222222224</v>
      </c>
      <c r="F43" s="53"/>
      <c r="G43" s="53" t="s">
        <v>1136</v>
      </c>
      <c r="H43" s="1611"/>
      <c r="I43" s="1612"/>
      <c r="J43" s="1612"/>
      <c r="K43" s="1612"/>
      <c r="L43" s="1613"/>
    </row>
    <row r="44" spans="1:12" ht="44.25" customHeight="1" x14ac:dyDescent="0.25">
      <c r="A44" s="53">
        <v>37</v>
      </c>
      <c r="B44" s="30">
        <v>44448</v>
      </c>
      <c r="C44" s="55">
        <v>0.29166666666666669</v>
      </c>
      <c r="D44" s="30">
        <v>44448</v>
      </c>
      <c r="E44" s="55">
        <v>0.42777777777777781</v>
      </c>
      <c r="F44" s="53"/>
      <c r="G44" s="53" t="s">
        <v>1134</v>
      </c>
      <c r="H44" s="1601" t="s">
        <v>1132</v>
      </c>
      <c r="I44" s="1602"/>
      <c r="J44" s="1602"/>
      <c r="K44" s="1602"/>
      <c r="L44" s="1603"/>
    </row>
    <row r="45" spans="1:12" ht="32.25" customHeight="1" x14ac:dyDescent="0.25">
      <c r="A45" s="53">
        <v>38</v>
      </c>
      <c r="B45" s="30">
        <v>44451</v>
      </c>
      <c r="C45" s="55">
        <v>0.41666666666666669</v>
      </c>
      <c r="D45" s="30">
        <v>44451</v>
      </c>
      <c r="E45" s="55">
        <v>4.1666666666666664E-2</v>
      </c>
      <c r="F45" s="53"/>
      <c r="G45" s="53" t="s">
        <v>1156</v>
      </c>
      <c r="H45" s="1601" t="s">
        <v>1155</v>
      </c>
      <c r="I45" s="1602"/>
      <c r="J45" s="1602"/>
      <c r="K45" s="1602"/>
      <c r="L45" s="1603"/>
    </row>
    <row r="46" spans="1:12" x14ac:dyDescent="0.25">
      <c r="A46" s="53">
        <v>39</v>
      </c>
      <c r="B46" s="30">
        <v>44455</v>
      </c>
      <c r="C46" s="55">
        <v>0.10416666666666667</v>
      </c>
      <c r="D46" s="30">
        <v>44455</v>
      </c>
      <c r="E46" s="55">
        <v>0.20833333333333334</v>
      </c>
      <c r="F46" s="53"/>
      <c r="G46" s="53" t="s">
        <v>1194</v>
      </c>
      <c r="H46" s="1601" t="s">
        <v>1192</v>
      </c>
      <c r="I46" s="1602"/>
      <c r="J46" s="1602"/>
      <c r="K46" s="1602"/>
      <c r="L46" s="1603"/>
    </row>
    <row r="47" spans="1:12" ht="46.5" customHeight="1" x14ac:dyDescent="0.25">
      <c r="A47" s="53">
        <v>40</v>
      </c>
      <c r="B47" s="30">
        <v>44457</v>
      </c>
      <c r="C47" s="55">
        <v>0.1875</v>
      </c>
      <c r="D47" s="30">
        <v>44457</v>
      </c>
      <c r="E47" s="55">
        <v>0.22916666666666666</v>
      </c>
      <c r="F47" s="53"/>
      <c r="G47" s="53" t="s">
        <v>1206</v>
      </c>
      <c r="H47" s="1601" t="s">
        <v>1205</v>
      </c>
      <c r="I47" s="1602"/>
      <c r="J47" s="1602"/>
      <c r="K47" s="1602"/>
      <c r="L47" s="1603"/>
    </row>
    <row r="48" spans="1:12" ht="57.75" customHeight="1" x14ac:dyDescent="0.25">
      <c r="A48" s="53">
        <v>41</v>
      </c>
      <c r="B48" s="30">
        <v>44458</v>
      </c>
      <c r="C48" s="55">
        <v>0.66666666666666663</v>
      </c>
      <c r="D48" s="30">
        <v>44458</v>
      </c>
      <c r="E48" s="55">
        <v>0.75</v>
      </c>
      <c r="F48" s="53"/>
      <c r="G48" s="53" t="s">
        <v>1207</v>
      </c>
      <c r="H48" s="1601" t="s">
        <v>1204</v>
      </c>
      <c r="I48" s="1602"/>
      <c r="J48" s="1602"/>
      <c r="K48" s="1602"/>
      <c r="L48" s="1603"/>
    </row>
    <row r="49" spans="1:12" ht="29.25" customHeight="1" x14ac:dyDescent="0.25">
      <c r="A49" s="53">
        <v>42</v>
      </c>
      <c r="B49" s="30">
        <v>44459</v>
      </c>
      <c r="C49" s="55">
        <v>0.41666666666666669</v>
      </c>
      <c r="D49" s="30">
        <v>44458</v>
      </c>
      <c r="E49" s="55">
        <v>0.58333333333333337</v>
      </c>
      <c r="F49" s="53"/>
      <c r="G49" s="53" t="s">
        <v>1219</v>
      </c>
      <c r="H49" s="1601" t="s">
        <v>1220</v>
      </c>
      <c r="I49" s="1602"/>
      <c r="J49" s="1602"/>
      <c r="K49" s="1602"/>
      <c r="L49" s="1603"/>
    </row>
    <row r="50" spans="1:12" ht="55.5" customHeight="1" x14ac:dyDescent="0.25">
      <c r="A50" s="53">
        <v>43</v>
      </c>
      <c r="B50" s="30">
        <v>44461</v>
      </c>
      <c r="C50" s="55">
        <v>0.74305555555555547</v>
      </c>
      <c r="D50" s="30">
        <v>44461</v>
      </c>
      <c r="E50" s="55">
        <v>0.90625</v>
      </c>
      <c r="F50" s="53"/>
      <c r="G50" s="53">
        <v>3.55</v>
      </c>
      <c r="H50" s="1601" t="s">
        <v>1234</v>
      </c>
      <c r="I50" s="1602"/>
      <c r="J50" s="1602"/>
      <c r="K50" s="1602"/>
      <c r="L50" s="1603"/>
    </row>
    <row r="51" spans="1:12" ht="39" customHeight="1" x14ac:dyDescent="0.25">
      <c r="A51" s="53">
        <v>44</v>
      </c>
      <c r="B51" s="30">
        <v>44462</v>
      </c>
      <c r="C51" s="55">
        <v>0.4236111111111111</v>
      </c>
      <c r="D51" s="30">
        <v>44462</v>
      </c>
      <c r="E51" s="55">
        <v>0.6875</v>
      </c>
      <c r="F51" s="53"/>
      <c r="G51" s="53" t="s">
        <v>1243</v>
      </c>
      <c r="H51" s="1601" t="s">
        <v>1241</v>
      </c>
      <c r="I51" s="1602"/>
      <c r="J51" s="1602"/>
      <c r="K51" s="1602"/>
      <c r="L51" s="1603"/>
    </row>
    <row r="52" spans="1:12" ht="39" customHeight="1" x14ac:dyDescent="0.25">
      <c r="A52" s="53">
        <v>45</v>
      </c>
      <c r="B52" s="30">
        <v>44472</v>
      </c>
      <c r="C52" s="55">
        <v>0.55902777777777779</v>
      </c>
      <c r="D52" s="30">
        <v>44472</v>
      </c>
      <c r="E52" s="55">
        <v>0.6875</v>
      </c>
      <c r="F52" s="53"/>
      <c r="G52" s="53" t="s">
        <v>1299</v>
      </c>
      <c r="H52" s="1601" t="s">
        <v>1298</v>
      </c>
      <c r="I52" s="1602"/>
      <c r="J52" s="1602"/>
      <c r="K52" s="1602"/>
      <c r="L52" s="1603"/>
    </row>
    <row r="53" spans="1:12" ht="34.5" customHeight="1" x14ac:dyDescent="0.25">
      <c r="A53" s="53">
        <v>46</v>
      </c>
      <c r="B53" s="30">
        <v>44475</v>
      </c>
      <c r="C53" s="55">
        <v>0.48958333333333331</v>
      </c>
      <c r="D53" s="30">
        <v>44475</v>
      </c>
      <c r="E53" s="55">
        <v>0.67499999999999993</v>
      </c>
      <c r="F53" s="53"/>
      <c r="G53" s="53"/>
      <c r="H53" s="1601" t="s">
        <v>1321</v>
      </c>
      <c r="I53" s="1602"/>
      <c r="J53" s="1602"/>
      <c r="K53" s="1602"/>
      <c r="L53" s="1603"/>
    </row>
    <row r="54" spans="1:12" ht="33.75" customHeight="1" x14ac:dyDescent="0.25">
      <c r="A54" s="53">
        <v>47</v>
      </c>
      <c r="B54" s="30">
        <v>44477</v>
      </c>
      <c r="C54" s="55">
        <v>0.30208333333333331</v>
      </c>
      <c r="D54" s="30">
        <v>44477</v>
      </c>
      <c r="E54" s="55">
        <v>0.375</v>
      </c>
      <c r="F54" s="53"/>
      <c r="G54" s="53"/>
      <c r="H54" s="1601" t="s">
        <v>1415</v>
      </c>
      <c r="I54" s="1602"/>
      <c r="J54" s="1602"/>
      <c r="K54" s="1602"/>
      <c r="L54" s="1603"/>
    </row>
    <row r="55" spans="1:12" ht="32.25" customHeight="1" x14ac:dyDescent="0.25">
      <c r="A55" s="53">
        <v>48</v>
      </c>
      <c r="B55" s="30">
        <v>44491</v>
      </c>
      <c r="C55" s="55">
        <v>0.26041666666666669</v>
      </c>
      <c r="D55" s="30">
        <v>44491</v>
      </c>
      <c r="E55" s="55">
        <v>0.45833333333333331</v>
      </c>
      <c r="F55" s="53"/>
      <c r="G55" s="53"/>
      <c r="H55" s="1601" t="s">
        <v>1411</v>
      </c>
      <c r="I55" s="1602"/>
      <c r="J55" s="1602"/>
      <c r="K55" s="1602"/>
      <c r="L55" s="1603"/>
    </row>
    <row r="56" spans="1:12" ht="25.5" customHeight="1" x14ac:dyDescent="0.25">
      <c r="A56" s="53">
        <v>49</v>
      </c>
      <c r="B56" s="30">
        <v>44492</v>
      </c>
      <c r="C56" s="55">
        <v>0.91319444444444453</v>
      </c>
      <c r="D56" s="30">
        <v>44492</v>
      </c>
      <c r="E56" s="55">
        <v>0.94097222222222221</v>
      </c>
      <c r="F56" s="53"/>
      <c r="G56" s="53" t="s">
        <v>1037</v>
      </c>
      <c r="H56" s="1601" t="s">
        <v>1416</v>
      </c>
      <c r="I56" s="1602"/>
      <c r="J56" s="1602"/>
      <c r="K56" s="1602"/>
      <c r="L56" s="1603"/>
    </row>
    <row r="57" spans="1:12" ht="39.75" customHeight="1" x14ac:dyDescent="0.25">
      <c r="A57" s="53">
        <v>50</v>
      </c>
      <c r="B57" s="30">
        <v>44494</v>
      </c>
      <c r="C57" s="55">
        <v>0.30555555555555552</v>
      </c>
      <c r="D57" s="30">
        <v>44494</v>
      </c>
      <c r="E57" s="55">
        <v>0.51041666666666663</v>
      </c>
      <c r="F57" s="53"/>
      <c r="G57" s="53" t="s">
        <v>1430</v>
      </c>
      <c r="H57" s="1601" t="s">
        <v>1429</v>
      </c>
      <c r="I57" s="1602"/>
      <c r="J57" s="1602"/>
      <c r="K57" s="1602"/>
      <c r="L57" s="1603"/>
    </row>
    <row r="58" spans="1:12" ht="60" customHeight="1" x14ac:dyDescent="0.25">
      <c r="A58" s="53">
        <v>51</v>
      </c>
      <c r="B58" s="30">
        <v>44494</v>
      </c>
      <c r="C58" s="55">
        <v>0.90277777777777779</v>
      </c>
      <c r="D58" s="30">
        <v>44494</v>
      </c>
      <c r="E58" s="55">
        <v>0.94097222222222221</v>
      </c>
      <c r="F58" s="53"/>
      <c r="G58" s="53" t="s">
        <v>1431</v>
      </c>
      <c r="H58" s="1601" t="s">
        <v>1443</v>
      </c>
      <c r="I58" s="1602"/>
      <c r="J58" s="1602"/>
      <c r="K58" s="1602"/>
      <c r="L58" s="1603"/>
    </row>
    <row r="59" spans="1:12" ht="67.5" customHeight="1" x14ac:dyDescent="0.25">
      <c r="A59" s="53">
        <v>52</v>
      </c>
      <c r="B59" s="54">
        <v>44496</v>
      </c>
      <c r="C59" s="53">
        <v>101</v>
      </c>
      <c r="D59" s="54">
        <v>44496</v>
      </c>
      <c r="E59" s="53" t="s">
        <v>1449</v>
      </c>
      <c r="F59" s="53"/>
      <c r="G59" s="53" t="s">
        <v>1450</v>
      </c>
      <c r="H59" s="1601" t="s">
        <v>1452</v>
      </c>
      <c r="I59" s="1602"/>
      <c r="J59" s="1602"/>
      <c r="K59" s="1602"/>
      <c r="L59" s="1603"/>
    </row>
    <row r="60" spans="1:12" ht="67.5" customHeight="1" x14ac:dyDescent="0.25">
      <c r="A60" s="53">
        <v>53</v>
      </c>
      <c r="B60" s="54">
        <v>44497</v>
      </c>
      <c r="C60" s="53" t="s">
        <v>1457</v>
      </c>
      <c r="D60" s="54">
        <v>44497</v>
      </c>
      <c r="E60" s="53" t="s">
        <v>1458</v>
      </c>
      <c r="F60" s="53"/>
      <c r="G60" s="53" t="s">
        <v>1206</v>
      </c>
      <c r="H60" s="1601" t="s">
        <v>1459</v>
      </c>
      <c r="I60" s="1602"/>
      <c r="J60" s="1602"/>
      <c r="K60" s="1602"/>
      <c r="L60" s="1603"/>
    </row>
    <row r="61" spans="1:12" ht="54.75" customHeight="1" x14ac:dyDescent="0.25">
      <c r="A61" s="53">
        <v>54</v>
      </c>
      <c r="B61" s="54">
        <v>44498</v>
      </c>
      <c r="C61" s="53" t="s">
        <v>1464</v>
      </c>
      <c r="D61" s="54">
        <v>44498</v>
      </c>
      <c r="E61" s="53" t="s">
        <v>1465</v>
      </c>
      <c r="F61" s="53"/>
      <c r="G61" s="53" t="s">
        <v>1467</v>
      </c>
      <c r="H61" s="1601" t="s">
        <v>1468</v>
      </c>
      <c r="I61" s="1602"/>
      <c r="J61" s="1602"/>
      <c r="K61" s="1602"/>
      <c r="L61" s="1603"/>
    </row>
    <row r="62" spans="1:12" ht="72.75" customHeight="1" x14ac:dyDescent="0.25">
      <c r="A62" s="53">
        <v>55</v>
      </c>
      <c r="B62" s="54">
        <v>44499</v>
      </c>
      <c r="C62" s="53" t="s">
        <v>1473</v>
      </c>
      <c r="D62" s="54">
        <v>44499</v>
      </c>
      <c r="E62" s="53" t="s">
        <v>1474</v>
      </c>
      <c r="F62" s="53"/>
      <c r="G62" s="53" t="s">
        <v>1475</v>
      </c>
      <c r="H62" s="1601" t="s">
        <v>1476</v>
      </c>
      <c r="I62" s="1602"/>
      <c r="J62" s="1602"/>
      <c r="K62" s="1602"/>
      <c r="L62" s="1603"/>
    </row>
    <row r="63" spans="1:12" ht="78" customHeight="1" x14ac:dyDescent="0.25">
      <c r="A63" s="53">
        <v>56</v>
      </c>
      <c r="B63" s="54">
        <v>44500</v>
      </c>
      <c r="C63" s="53" t="s">
        <v>1485</v>
      </c>
      <c r="D63" s="54">
        <v>44500</v>
      </c>
      <c r="E63" s="53" t="s">
        <v>1486</v>
      </c>
      <c r="F63" s="53"/>
      <c r="G63" s="53">
        <v>2.0699999999999998</v>
      </c>
      <c r="H63" s="1608" t="s">
        <v>1484</v>
      </c>
      <c r="I63" s="1609"/>
      <c r="J63" s="1609"/>
      <c r="K63" s="1609"/>
      <c r="L63" s="1610"/>
    </row>
    <row r="64" spans="1:12" ht="78" customHeight="1" x14ac:dyDescent="0.25">
      <c r="A64" s="53">
        <v>57</v>
      </c>
      <c r="B64" s="54">
        <v>44500</v>
      </c>
      <c r="C64" s="53" t="s">
        <v>1487</v>
      </c>
      <c r="D64" s="54">
        <v>44500</v>
      </c>
      <c r="E64" s="53" t="s">
        <v>1488</v>
      </c>
      <c r="F64" s="53"/>
      <c r="G64" s="53">
        <v>6.03</v>
      </c>
      <c r="H64" s="1611"/>
      <c r="I64" s="1612"/>
      <c r="J64" s="1612"/>
      <c r="K64" s="1612"/>
      <c r="L64" s="1613"/>
    </row>
    <row r="65" spans="1:12" ht="67.5" customHeight="1" x14ac:dyDescent="0.25">
      <c r="A65" s="53">
        <v>58</v>
      </c>
      <c r="B65" s="54">
        <v>44501</v>
      </c>
      <c r="C65" s="53" t="s">
        <v>1489</v>
      </c>
      <c r="D65" s="54">
        <v>44501</v>
      </c>
      <c r="E65" s="53" t="s">
        <v>1490</v>
      </c>
      <c r="F65" s="53"/>
      <c r="G65" s="53">
        <v>3.1</v>
      </c>
      <c r="H65" s="1601" t="s">
        <v>1496</v>
      </c>
      <c r="I65" s="1602"/>
      <c r="J65" s="1602"/>
      <c r="K65" s="1602"/>
      <c r="L65" s="1603"/>
    </row>
    <row r="66" spans="1:12" ht="67.5" customHeight="1" x14ac:dyDescent="0.25">
      <c r="A66" s="53">
        <v>59</v>
      </c>
      <c r="B66" s="54">
        <v>44505</v>
      </c>
      <c r="C66" s="53" t="s">
        <v>1525</v>
      </c>
      <c r="D66" s="54">
        <v>44505</v>
      </c>
      <c r="E66" s="53" t="s">
        <v>1526</v>
      </c>
      <c r="F66" s="53"/>
      <c r="G66" s="53">
        <v>7.47</v>
      </c>
      <c r="H66" s="1601" t="s">
        <v>1527</v>
      </c>
      <c r="I66" s="1602"/>
      <c r="J66" s="1602"/>
      <c r="K66" s="1602"/>
      <c r="L66" s="1603"/>
    </row>
    <row r="67" spans="1:12" ht="67.5" customHeight="1" x14ac:dyDescent="0.25">
      <c r="A67" s="53">
        <v>60</v>
      </c>
      <c r="B67" s="54">
        <v>44506</v>
      </c>
      <c r="C67" s="53" t="s">
        <v>1528</v>
      </c>
      <c r="D67" s="54">
        <v>44507</v>
      </c>
      <c r="E67" s="53" t="s">
        <v>1537</v>
      </c>
      <c r="F67" s="53"/>
      <c r="G67" s="53" t="s">
        <v>1538</v>
      </c>
      <c r="H67" s="1601" t="s">
        <v>1536</v>
      </c>
      <c r="I67" s="1602"/>
      <c r="J67" s="1602"/>
      <c r="K67" s="1602"/>
      <c r="L67" s="1603"/>
    </row>
    <row r="68" spans="1:12" ht="67.5" customHeight="1" x14ac:dyDescent="0.25">
      <c r="A68" s="53">
        <v>61</v>
      </c>
      <c r="B68" s="54">
        <v>44513</v>
      </c>
      <c r="C68" s="53" t="s">
        <v>1564</v>
      </c>
      <c r="D68" s="54">
        <v>44513</v>
      </c>
      <c r="E68" s="53" t="s">
        <v>1565</v>
      </c>
      <c r="F68" s="53"/>
      <c r="G68" s="53" t="s">
        <v>1567</v>
      </c>
      <c r="H68" s="1601" t="s">
        <v>1566</v>
      </c>
      <c r="I68" s="1602"/>
      <c r="J68" s="1602"/>
      <c r="K68" s="1602"/>
      <c r="L68" s="1603"/>
    </row>
    <row r="69" spans="1:12" ht="67.5" customHeight="1" x14ac:dyDescent="0.25">
      <c r="A69" s="53">
        <v>62</v>
      </c>
      <c r="B69" s="54">
        <v>44518</v>
      </c>
      <c r="C69" s="53" t="s">
        <v>1599</v>
      </c>
      <c r="D69" s="54">
        <v>44518</v>
      </c>
      <c r="E69" s="53" t="s">
        <v>1600</v>
      </c>
      <c r="F69" s="53"/>
      <c r="G69" s="53" t="s">
        <v>747</v>
      </c>
      <c r="H69" s="1601" t="s">
        <v>1602</v>
      </c>
      <c r="I69" s="1602"/>
      <c r="J69" s="1602"/>
      <c r="K69" s="1602"/>
      <c r="L69" s="1603"/>
    </row>
    <row r="70" spans="1:12" ht="67.5" customHeight="1" x14ac:dyDescent="0.25">
      <c r="A70" s="53">
        <v>63</v>
      </c>
      <c r="B70" s="54">
        <v>44520</v>
      </c>
      <c r="C70" s="53" t="s">
        <v>1618</v>
      </c>
      <c r="D70" s="54">
        <v>44521</v>
      </c>
      <c r="E70" s="53" t="s">
        <v>1617</v>
      </c>
      <c r="F70" s="53"/>
      <c r="G70" s="53" t="s">
        <v>1619</v>
      </c>
      <c r="H70" s="1601" t="s">
        <v>1616</v>
      </c>
      <c r="I70" s="1602"/>
      <c r="J70" s="1602"/>
      <c r="K70" s="1602"/>
      <c r="L70" s="1603"/>
    </row>
    <row r="71" spans="1:12" ht="67.5" customHeight="1" x14ac:dyDescent="0.25">
      <c r="A71" s="53">
        <v>64</v>
      </c>
      <c r="B71" s="54">
        <v>44521</v>
      </c>
      <c r="C71" s="53" t="s">
        <v>1620</v>
      </c>
      <c r="D71" s="54">
        <v>44522</v>
      </c>
      <c r="E71" s="53" t="s">
        <v>1628</v>
      </c>
      <c r="F71" s="53"/>
      <c r="G71" s="53" t="s">
        <v>1630</v>
      </c>
      <c r="H71" s="1601" t="s">
        <v>1629</v>
      </c>
      <c r="I71" s="1602"/>
      <c r="J71" s="1602"/>
      <c r="K71" s="1602"/>
      <c r="L71" s="1603"/>
    </row>
    <row r="72" spans="1:12" ht="67.5" customHeight="1" x14ac:dyDescent="0.25">
      <c r="A72" s="53">
        <v>65</v>
      </c>
      <c r="B72" s="54">
        <v>44525</v>
      </c>
      <c r="C72" s="53" t="s">
        <v>1643</v>
      </c>
      <c r="D72" s="54">
        <v>44526</v>
      </c>
      <c r="E72" s="53" t="s">
        <v>1660</v>
      </c>
      <c r="F72" s="53"/>
      <c r="G72" s="53" t="s">
        <v>1647</v>
      </c>
      <c r="H72" s="1601" t="s">
        <v>1646</v>
      </c>
      <c r="I72" s="1602"/>
      <c r="J72" s="1602"/>
      <c r="K72" s="1602"/>
      <c r="L72" s="1603"/>
    </row>
    <row r="73" spans="1:12" ht="67.5" customHeight="1" x14ac:dyDescent="0.25">
      <c r="A73" s="53">
        <v>66</v>
      </c>
      <c r="B73" s="54">
        <v>44530</v>
      </c>
      <c r="C73" s="53" t="s">
        <v>1661</v>
      </c>
      <c r="D73" s="54">
        <v>44530</v>
      </c>
      <c r="E73" s="53" t="s">
        <v>1659</v>
      </c>
      <c r="F73" s="53"/>
      <c r="G73" s="53" t="s">
        <v>1663</v>
      </c>
      <c r="H73" s="1601" t="s">
        <v>1662</v>
      </c>
      <c r="I73" s="1602"/>
      <c r="J73" s="1602"/>
      <c r="K73" s="1602"/>
      <c r="L73" s="1603"/>
    </row>
    <row r="74" spans="1:12" ht="67.5" customHeight="1" x14ac:dyDescent="0.25">
      <c r="A74" s="53">
        <v>67</v>
      </c>
      <c r="B74" s="54">
        <v>44530</v>
      </c>
      <c r="C74" s="53" t="s">
        <v>1676</v>
      </c>
      <c r="D74" s="54">
        <v>44531</v>
      </c>
      <c r="E74" s="53" t="s">
        <v>1677</v>
      </c>
      <c r="F74" s="53"/>
      <c r="G74" s="53" t="s">
        <v>1678</v>
      </c>
      <c r="H74" s="1601" t="s">
        <v>1679</v>
      </c>
      <c r="I74" s="1602"/>
      <c r="J74" s="1602"/>
      <c r="K74" s="1602"/>
      <c r="L74" s="1603"/>
    </row>
    <row r="75" spans="1:12" ht="67.5" customHeight="1" x14ac:dyDescent="0.25">
      <c r="A75" s="53">
        <v>68</v>
      </c>
      <c r="B75" s="54">
        <v>44531</v>
      </c>
      <c r="C75" s="53" t="s">
        <v>1680</v>
      </c>
      <c r="D75" s="54">
        <v>44532</v>
      </c>
      <c r="E75" s="53" t="s">
        <v>1681</v>
      </c>
      <c r="F75" s="53"/>
      <c r="G75" s="53" t="s">
        <v>1682</v>
      </c>
      <c r="H75" s="1601" t="s">
        <v>1684</v>
      </c>
      <c r="I75" s="1602"/>
      <c r="J75" s="1602"/>
      <c r="K75" s="1602"/>
      <c r="L75" s="1603"/>
    </row>
    <row r="76" spans="1:12" ht="67.5" customHeight="1" x14ac:dyDescent="0.25">
      <c r="A76" s="53">
        <v>69</v>
      </c>
      <c r="B76" s="54">
        <v>44533</v>
      </c>
      <c r="C76" s="53" t="s">
        <v>448</v>
      </c>
      <c r="D76" s="54">
        <v>44533</v>
      </c>
      <c r="E76" s="53" t="s">
        <v>1685</v>
      </c>
      <c r="F76" s="53"/>
      <c r="G76" s="53" t="s">
        <v>1687</v>
      </c>
      <c r="H76" s="1601" t="s">
        <v>1686</v>
      </c>
      <c r="I76" s="1602"/>
      <c r="J76" s="1602"/>
      <c r="K76" s="1602"/>
      <c r="L76" s="1603"/>
    </row>
    <row r="77" spans="1:12" ht="67.5" customHeight="1" x14ac:dyDescent="0.25">
      <c r="A77" s="53">
        <v>70</v>
      </c>
      <c r="B77" s="54">
        <v>44533</v>
      </c>
      <c r="C77" s="53" t="s">
        <v>1688</v>
      </c>
      <c r="D77" s="54">
        <v>44533</v>
      </c>
      <c r="E77" s="53" t="s">
        <v>1689</v>
      </c>
      <c r="F77" s="53"/>
      <c r="G77" s="53">
        <v>2.2799999999999998</v>
      </c>
      <c r="H77" s="1601" t="s">
        <v>1690</v>
      </c>
      <c r="I77" s="1602"/>
      <c r="J77" s="1602"/>
      <c r="K77" s="1602"/>
      <c r="L77" s="1603"/>
    </row>
    <row r="78" spans="1:12" ht="67.5" customHeight="1" x14ac:dyDescent="0.25">
      <c r="A78" s="53">
        <v>71</v>
      </c>
      <c r="B78" s="54">
        <v>44533</v>
      </c>
      <c r="C78" s="53" t="s">
        <v>1691</v>
      </c>
      <c r="D78" s="54">
        <v>44535</v>
      </c>
      <c r="E78" s="53" t="s">
        <v>1698</v>
      </c>
      <c r="F78" s="53"/>
      <c r="G78" s="53" t="s">
        <v>1701</v>
      </c>
      <c r="H78" s="1608" t="s">
        <v>1703</v>
      </c>
      <c r="I78" s="1609"/>
      <c r="J78" s="1609"/>
      <c r="K78" s="1609"/>
      <c r="L78" s="1610"/>
    </row>
    <row r="79" spans="1:12" ht="67.5" customHeight="1" x14ac:dyDescent="0.25">
      <c r="A79" s="53">
        <v>72</v>
      </c>
      <c r="B79" s="54">
        <v>44535</v>
      </c>
      <c r="C79" s="53" t="s">
        <v>1700</v>
      </c>
      <c r="D79" s="54">
        <v>44536</v>
      </c>
      <c r="E79" s="53" t="s">
        <v>1699</v>
      </c>
      <c r="F79" s="53"/>
      <c r="G79" s="53" t="s">
        <v>1702</v>
      </c>
      <c r="H79" s="1611"/>
      <c r="I79" s="1612"/>
      <c r="J79" s="1612"/>
      <c r="K79" s="1612"/>
      <c r="L79" s="1613"/>
    </row>
    <row r="80" spans="1:12" ht="67.5" customHeight="1" x14ac:dyDescent="0.25">
      <c r="A80" s="53">
        <v>73</v>
      </c>
      <c r="B80" s="54">
        <v>44538</v>
      </c>
      <c r="C80" s="53" t="s">
        <v>1708</v>
      </c>
      <c r="D80" s="25">
        <v>44547</v>
      </c>
      <c r="E80" s="53" t="s">
        <v>1731</v>
      </c>
      <c r="F80" s="53"/>
      <c r="G80" s="53">
        <v>11.62</v>
      </c>
      <c r="H80" s="1601" t="s">
        <v>1732</v>
      </c>
      <c r="I80" s="1602"/>
      <c r="J80" s="1602"/>
      <c r="K80" s="1602"/>
      <c r="L80" s="1603"/>
    </row>
    <row r="81" spans="1:12" ht="67.5" customHeight="1" x14ac:dyDescent="0.25">
      <c r="A81" s="53">
        <v>74</v>
      </c>
      <c r="B81" s="54">
        <v>44554</v>
      </c>
      <c r="C81" s="53" t="s">
        <v>1774</v>
      </c>
      <c r="D81" s="25">
        <v>44554</v>
      </c>
      <c r="E81" s="53" t="s">
        <v>1775</v>
      </c>
      <c r="F81" s="53"/>
      <c r="G81" s="53">
        <v>2.85</v>
      </c>
      <c r="H81" s="1601" t="s">
        <v>1776</v>
      </c>
      <c r="I81" s="1602"/>
      <c r="J81" s="1602"/>
      <c r="K81" s="1602"/>
      <c r="L81" s="1603"/>
    </row>
    <row r="82" spans="1:12" ht="67.5" customHeight="1" x14ac:dyDescent="0.25">
      <c r="A82" s="53">
        <v>75</v>
      </c>
      <c r="B82" s="54">
        <v>44559</v>
      </c>
      <c r="C82" s="53" t="s">
        <v>1801</v>
      </c>
      <c r="D82" s="54">
        <v>44559</v>
      </c>
      <c r="E82" s="53" t="s">
        <v>1802</v>
      </c>
      <c r="F82" s="53"/>
      <c r="G82" s="53">
        <v>1.6</v>
      </c>
      <c r="H82" s="1601" t="s">
        <v>1888</v>
      </c>
      <c r="I82" s="1602"/>
      <c r="J82" s="1602"/>
      <c r="K82" s="1602"/>
      <c r="L82" s="1603"/>
    </row>
    <row r="83" spans="1:12" ht="67.5" customHeight="1" x14ac:dyDescent="0.25">
      <c r="A83" s="53">
        <v>76</v>
      </c>
      <c r="B83" s="54">
        <v>44559</v>
      </c>
      <c r="C83" s="53" t="s">
        <v>1810</v>
      </c>
      <c r="D83" s="54">
        <v>44560</v>
      </c>
      <c r="E83" s="53" t="s">
        <v>1809</v>
      </c>
      <c r="F83" s="53"/>
      <c r="G83" s="53" t="s">
        <v>1811</v>
      </c>
      <c r="H83" s="1601" t="s">
        <v>1812</v>
      </c>
      <c r="I83" s="1602"/>
      <c r="J83" s="1602"/>
      <c r="K83" s="1602"/>
      <c r="L83" s="1603"/>
    </row>
    <row r="84" spans="1:12" ht="67.5" customHeight="1" x14ac:dyDescent="0.25">
      <c r="A84" s="53">
        <v>77</v>
      </c>
      <c r="B84" s="25">
        <v>44563</v>
      </c>
      <c r="C84" s="53" t="s">
        <v>1833</v>
      </c>
      <c r="D84" s="25">
        <v>44563</v>
      </c>
      <c r="E84" s="53" t="s">
        <v>1841</v>
      </c>
      <c r="F84" s="53"/>
      <c r="G84" s="53">
        <v>2.17</v>
      </c>
      <c r="H84" s="1601" t="s">
        <v>1842</v>
      </c>
      <c r="I84" s="1602"/>
      <c r="J84" s="1602"/>
      <c r="K84" s="1602"/>
      <c r="L84" s="1603"/>
    </row>
    <row r="85" spans="1:12" ht="67.5" customHeight="1" x14ac:dyDescent="0.25">
      <c r="A85" s="53">
        <v>78</v>
      </c>
      <c r="B85" s="25">
        <v>44567</v>
      </c>
      <c r="C85" s="53" t="s">
        <v>1854</v>
      </c>
      <c r="D85" s="25">
        <v>44567</v>
      </c>
      <c r="E85" s="53" t="s">
        <v>1855</v>
      </c>
      <c r="F85" s="53"/>
      <c r="G85" s="53">
        <v>4.7</v>
      </c>
      <c r="H85" s="1601" t="s">
        <v>1856</v>
      </c>
      <c r="I85" s="1602"/>
      <c r="J85" s="1602"/>
      <c r="K85" s="1602"/>
      <c r="L85" s="1603"/>
    </row>
    <row r="86" spans="1:12" ht="67.5" customHeight="1" x14ac:dyDescent="0.25">
      <c r="A86" s="53">
        <v>79</v>
      </c>
      <c r="B86" s="25">
        <v>44570</v>
      </c>
      <c r="C86" s="53" t="s">
        <v>1870</v>
      </c>
      <c r="D86" s="25">
        <v>44570</v>
      </c>
      <c r="E86" s="53" t="s">
        <v>1871</v>
      </c>
      <c r="F86" s="53"/>
      <c r="G86" s="53" t="s">
        <v>1872</v>
      </c>
      <c r="H86" s="1608" t="s">
        <v>1875</v>
      </c>
      <c r="I86" s="1609"/>
      <c r="J86" s="1609"/>
      <c r="K86" s="1609"/>
      <c r="L86" s="1610"/>
    </row>
    <row r="87" spans="1:12" ht="67.5" customHeight="1" x14ac:dyDescent="0.25">
      <c r="A87" s="53">
        <v>80</v>
      </c>
      <c r="B87" s="25">
        <v>44570</v>
      </c>
      <c r="C87" s="53" t="s">
        <v>1873</v>
      </c>
      <c r="D87" s="25">
        <v>44570</v>
      </c>
      <c r="E87" s="53" t="s">
        <v>1874</v>
      </c>
      <c r="F87" s="53"/>
      <c r="G87" s="53">
        <v>2.4500000000000002</v>
      </c>
      <c r="H87" s="1611"/>
      <c r="I87" s="1612"/>
      <c r="J87" s="1612"/>
      <c r="K87" s="1612"/>
      <c r="L87" s="1613"/>
    </row>
    <row r="88" spans="1:12" ht="67.5" customHeight="1" x14ac:dyDescent="0.25">
      <c r="A88" s="53">
        <v>81</v>
      </c>
      <c r="B88" s="25">
        <v>44571</v>
      </c>
      <c r="C88" s="53" t="s">
        <v>267</v>
      </c>
      <c r="D88" s="25">
        <v>44571</v>
      </c>
      <c r="E88" s="53" t="s">
        <v>1884</v>
      </c>
      <c r="F88" s="53"/>
      <c r="G88" s="53" t="s">
        <v>1885</v>
      </c>
      <c r="H88" s="1601" t="s">
        <v>1886</v>
      </c>
      <c r="I88" s="1602"/>
      <c r="J88" s="1602"/>
      <c r="K88" s="1602"/>
      <c r="L88" s="1603"/>
    </row>
    <row r="89" spans="1:12" ht="67.5" customHeight="1" x14ac:dyDescent="0.25">
      <c r="A89" s="53">
        <v>82</v>
      </c>
      <c r="B89" s="25">
        <v>44572</v>
      </c>
      <c r="C89" s="53" t="s">
        <v>1894</v>
      </c>
      <c r="D89" s="25">
        <v>44572</v>
      </c>
      <c r="E89" s="53" t="s">
        <v>1895</v>
      </c>
      <c r="F89" s="53"/>
      <c r="G89" s="53">
        <v>2.0699999999999998</v>
      </c>
      <c r="H89" s="1601" t="s">
        <v>1899</v>
      </c>
      <c r="I89" s="1602"/>
      <c r="J89" s="1602"/>
      <c r="K89" s="1602"/>
      <c r="L89" s="1603"/>
    </row>
    <row r="90" spans="1:12" ht="67.5" customHeight="1" x14ac:dyDescent="0.25">
      <c r="A90" s="53">
        <v>83</v>
      </c>
      <c r="B90" s="25">
        <v>44574</v>
      </c>
      <c r="C90" s="53" t="s">
        <v>1912</v>
      </c>
      <c r="D90" s="25">
        <v>44574</v>
      </c>
      <c r="E90" s="53" t="s">
        <v>1913</v>
      </c>
      <c r="F90" s="53"/>
      <c r="G90" s="53" t="s">
        <v>1915</v>
      </c>
      <c r="H90" s="1601" t="s">
        <v>1914</v>
      </c>
      <c r="I90" s="1602"/>
      <c r="J90" s="1602"/>
      <c r="K90" s="1602"/>
      <c r="L90" s="1603"/>
    </row>
    <row r="91" spans="1:12" ht="67.5" customHeight="1" x14ac:dyDescent="0.25">
      <c r="A91" s="53">
        <v>84</v>
      </c>
      <c r="B91" s="25">
        <v>44575</v>
      </c>
      <c r="C91" s="53" t="s">
        <v>1925</v>
      </c>
      <c r="D91" s="25">
        <v>44575</v>
      </c>
      <c r="E91" s="53" t="s">
        <v>1926</v>
      </c>
      <c r="F91" s="53"/>
      <c r="G91" s="53" t="s">
        <v>1929</v>
      </c>
      <c r="H91" s="1608" t="s">
        <v>1930</v>
      </c>
      <c r="I91" s="1609"/>
      <c r="J91" s="1609"/>
      <c r="K91" s="1609"/>
      <c r="L91" s="1610"/>
    </row>
    <row r="92" spans="1:12" ht="67.5" customHeight="1" x14ac:dyDescent="0.25">
      <c r="A92" s="53">
        <v>85</v>
      </c>
      <c r="B92" s="25">
        <v>44575</v>
      </c>
      <c r="C92" s="53" t="s">
        <v>1927</v>
      </c>
      <c r="D92" s="25">
        <v>44575</v>
      </c>
      <c r="E92" s="53" t="s">
        <v>1928</v>
      </c>
      <c r="F92" s="53"/>
      <c r="G92" s="53">
        <v>5.62</v>
      </c>
      <c r="H92" s="1611"/>
      <c r="I92" s="1612"/>
      <c r="J92" s="1612"/>
      <c r="K92" s="1612"/>
      <c r="L92" s="1613"/>
    </row>
    <row r="93" spans="1:12" ht="120" customHeight="1" x14ac:dyDescent="0.25">
      <c r="A93" s="53">
        <v>86</v>
      </c>
      <c r="B93" s="25">
        <v>44576</v>
      </c>
      <c r="C93" s="53" t="s">
        <v>1937</v>
      </c>
      <c r="D93" s="25">
        <v>44576</v>
      </c>
      <c r="E93" s="53" t="s">
        <v>1938</v>
      </c>
      <c r="F93" s="53"/>
      <c r="G93" s="53" t="s">
        <v>1939</v>
      </c>
      <c r="H93" s="1608" t="s">
        <v>1941</v>
      </c>
      <c r="I93" s="1609"/>
      <c r="J93" s="1609"/>
      <c r="K93" s="1609"/>
      <c r="L93" s="1610"/>
    </row>
    <row r="94" spans="1:12" ht="120" customHeight="1" x14ac:dyDescent="0.25">
      <c r="A94" s="53">
        <v>87</v>
      </c>
      <c r="B94" s="25">
        <v>44576</v>
      </c>
      <c r="C94" s="53" t="s">
        <v>1940</v>
      </c>
      <c r="D94" s="25">
        <v>44577</v>
      </c>
      <c r="E94" s="53" t="s">
        <v>1952</v>
      </c>
      <c r="F94" s="53"/>
      <c r="G94" s="53" t="s">
        <v>1953</v>
      </c>
      <c r="H94" s="1611"/>
      <c r="I94" s="1612"/>
      <c r="J94" s="1612"/>
      <c r="K94" s="1612"/>
      <c r="L94" s="1613"/>
    </row>
    <row r="95" spans="1:12" ht="75.75" customHeight="1" x14ac:dyDescent="0.25">
      <c r="A95" s="53">
        <v>88</v>
      </c>
      <c r="B95" s="25">
        <v>44577</v>
      </c>
      <c r="C95" s="53" t="s">
        <v>1954</v>
      </c>
      <c r="D95" s="25">
        <v>44577</v>
      </c>
      <c r="E95" s="25" t="s">
        <v>1955</v>
      </c>
      <c r="F95" s="53"/>
      <c r="G95" s="53">
        <v>2.65</v>
      </c>
      <c r="H95" s="1608" t="s">
        <v>1958</v>
      </c>
      <c r="I95" s="1609"/>
      <c r="J95" s="1609"/>
      <c r="K95" s="1609"/>
      <c r="L95" s="1610"/>
    </row>
    <row r="96" spans="1:12" ht="75.75" customHeight="1" x14ac:dyDescent="0.25">
      <c r="A96" s="53">
        <v>89</v>
      </c>
      <c r="B96" s="25">
        <v>44577</v>
      </c>
      <c r="C96" s="53">
        <v>2110</v>
      </c>
      <c r="D96" s="25">
        <v>44577</v>
      </c>
      <c r="E96" s="53" t="s">
        <v>1956</v>
      </c>
      <c r="F96" s="53"/>
      <c r="G96" s="53">
        <v>1</v>
      </c>
      <c r="H96" s="1628"/>
      <c r="I96" s="1629"/>
      <c r="J96" s="1629"/>
      <c r="K96" s="1629"/>
      <c r="L96" s="1630"/>
    </row>
    <row r="97" spans="1:12" ht="75.75" customHeight="1" x14ac:dyDescent="0.25">
      <c r="A97" s="53">
        <v>90</v>
      </c>
      <c r="B97" s="25">
        <v>44577</v>
      </c>
      <c r="C97" s="53">
        <v>2244</v>
      </c>
      <c r="D97" s="25">
        <v>44577</v>
      </c>
      <c r="E97" s="53" t="s">
        <v>1957</v>
      </c>
      <c r="F97" s="53"/>
      <c r="G97" s="53">
        <v>0.87</v>
      </c>
      <c r="H97" s="1611"/>
      <c r="I97" s="1612"/>
      <c r="J97" s="1612"/>
      <c r="K97" s="1612"/>
      <c r="L97" s="1613"/>
    </row>
    <row r="98" spans="1:12" ht="75.75" customHeight="1" x14ac:dyDescent="0.25">
      <c r="A98" s="53">
        <v>91</v>
      </c>
      <c r="B98" s="25">
        <v>44578</v>
      </c>
      <c r="C98" s="53" t="s">
        <v>1965</v>
      </c>
      <c r="D98" s="25">
        <v>44578</v>
      </c>
      <c r="E98" s="53" t="s">
        <v>1966</v>
      </c>
      <c r="F98" s="53"/>
      <c r="G98" s="53" t="s">
        <v>1967</v>
      </c>
      <c r="H98" s="1617" t="s">
        <v>1969</v>
      </c>
      <c r="I98" s="1617"/>
      <c r="J98" s="1617"/>
      <c r="K98" s="1617"/>
      <c r="L98" s="1617"/>
    </row>
    <row r="99" spans="1:12" ht="42" customHeight="1" x14ac:dyDescent="0.25">
      <c r="A99" s="53">
        <v>92</v>
      </c>
      <c r="B99" s="25">
        <v>44580</v>
      </c>
      <c r="C99" s="53" t="s">
        <v>1985</v>
      </c>
      <c r="D99" s="25">
        <v>44580</v>
      </c>
      <c r="E99" s="53" t="s">
        <v>1986</v>
      </c>
      <c r="F99" s="53"/>
      <c r="G99" s="53">
        <v>2.5</v>
      </c>
      <c r="H99" s="1608" t="s">
        <v>1987</v>
      </c>
      <c r="I99" s="1609"/>
      <c r="J99" s="1609"/>
      <c r="K99" s="1609"/>
      <c r="L99" s="1610"/>
    </row>
    <row r="100" spans="1:12" ht="42" customHeight="1" x14ac:dyDescent="0.25">
      <c r="A100" s="53">
        <v>93</v>
      </c>
      <c r="B100" s="25">
        <v>44580</v>
      </c>
      <c r="C100" s="53" t="s">
        <v>1988</v>
      </c>
      <c r="D100" s="25">
        <v>44580</v>
      </c>
      <c r="E100" s="53" t="s">
        <v>1565</v>
      </c>
      <c r="F100" s="53"/>
      <c r="G100" s="53">
        <v>2.38</v>
      </c>
      <c r="H100" s="1611"/>
      <c r="I100" s="1612"/>
      <c r="J100" s="1612"/>
      <c r="K100" s="1612"/>
      <c r="L100" s="1613"/>
    </row>
    <row r="101" spans="1:12" ht="75.75" customHeight="1" x14ac:dyDescent="0.25">
      <c r="A101" s="53">
        <v>94</v>
      </c>
      <c r="B101" s="25">
        <v>44587</v>
      </c>
      <c r="C101" s="53" t="s">
        <v>2045</v>
      </c>
      <c r="D101" s="25">
        <v>44587</v>
      </c>
      <c r="E101" s="53" t="s">
        <v>2046</v>
      </c>
      <c r="F101" s="53"/>
      <c r="G101" s="53" t="s">
        <v>2048</v>
      </c>
      <c r="H101" s="1617" t="s">
        <v>2047</v>
      </c>
      <c r="I101" s="1617"/>
      <c r="J101" s="1617"/>
      <c r="K101" s="1617"/>
      <c r="L101" s="1617"/>
    </row>
    <row r="102" spans="1:12" ht="78.75" customHeight="1" x14ac:dyDescent="0.25">
      <c r="A102" s="53">
        <v>95</v>
      </c>
      <c r="B102" s="25">
        <v>44590</v>
      </c>
      <c r="C102" s="53" t="s">
        <v>2066</v>
      </c>
      <c r="D102" s="25">
        <v>44590</v>
      </c>
      <c r="E102" s="53" t="s">
        <v>2067</v>
      </c>
      <c r="F102" s="53"/>
      <c r="G102" s="53" t="s">
        <v>2094</v>
      </c>
      <c r="H102" s="1617" t="s">
        <v>2093</v>
      </c>
      <c r="I102" s="1617"/>
      <c r="J102" s="1617"/>
      <c r="K102" s="1617"/>
      <c r="L102" s="1617"/>
    </row>
    <row r="103" spans="1:12" ht="76.5" customHeight="1" x14ac:dyDescent="0.25">
      <c r="A103" s="53">
        <v>96</v>
      </c>
      <c r="B103" s="25">
        <v>44592</v>
      </c>
      <c r="C103" s="55">
        <v>6.9444444444444434E-2</v>
      </c>
      <c r="D103" s="25">
        <v>44593</v>
      </c>
      <c r="E103" s="55">
        <v>0.25</v>
      </c>
      <c r="F103" s="53"/>
      <c r="G103" s="53" t="s">
        <v>2095</v>
      </c>
      <c r="H103" s="1617" t="s">
        <v>2092</v>
      </c>
      <c r="I103" s="1617"/>
      <c r="J103" s="1617"/>
      <c r="K103" s="1617"/>
      <c r="L103" s="1617"/>
    </row>
    <row r="104" spans="1:12" ht="83.25" customHeight="1" x14ac:dyDescent="0.25">
      <c r="A104" s="53">
        <v>97</v>
      </c>
      <c r="B104" s="25">
        <v>44593</v>
      </c>
      <c r="C104" s="55">
        <v>0.20486111111111113</v>
      </c>
      <c r="D104" s="25">
        <v>44593</v>
      </c>
      <c r="E104" s="55"/>
      <c r="F104" s="53"/>
      <c r="G104" s="53"/>
      <c r="H104" s="1617" t="s">
        <v>2104</v>
      </c>
      <c r="I104" s="1617"/>
      <c r="J104" s="1617"/>
      <c r="K104" s="1617"/>
      <c r="L104" s="1617"/>
    </row>
    <row r="105" spans="1:12" ht="42" customHeight="1" x14ac:dyDescent="0.25">
      <c r="A105" s="53">
        <v>98</v>
      </c>
      <c r="B105" s="25">
        <v>44596</v>
      </c>
      <c r="C105" s="55">
        <v>0.8208333333333333</v>
      </c>
      <c r="D105" s="25">
        <v>44596</v>
      </c>
      <c r="E105" s="55">
        <v>0.9375</v>
      </c>
      <c r="F105" s="53"/>
      <c r="G105" s="53" t="s">
        <v>2124</v>
      </c>
      <c r="H105" s="1617" t="s">
        <v>2123</v>
      </c>
      <c r="I105" s="1617"/>
      <c r="J105" s="1617"/>
      <c r="K105" s="1617"/>
      <c r="L105" s="1617"/>
    </row>
    <row r="106" spans="1:12" ht="59.25" customHeight="1" x14ac:dyDescent="0.25">
      <c r="A106" s="53">
        <v>99</v>
      </c>
      <c r="B106" s="25">
        <v>44600</v>
      </c>
      <c r="C106" s="55">
        <v>0.51388888888888895</v>
      </c>
      <c r="D106" s="25">
        <v>44600</v>
      </c>
      <c r="E106" s="55">
        <v>0.66666666666666663</v>
      </c>
      <c r="F106" s="53"/>
      <c r="G106" s="53" t="s">
        <v>2147</v>
      </c>
      <c r="H106" s="1617" t="s">
        <v>2145</v>
      </c>
      <c r="I106" s="1617"/>
      <c r="J106" s="1617"/>
      <c r="K106" s="1617"/>
      <c r="L106" s="1617"/>
    </row>
    <row r="107" spans="1:12" ht="46.5" customHeight="1" x14ac:dyDescent="0.25">
      <c r="A107" s="53">
        <v>100</v>
      </c>
      <c r="B107" s="25">
        <v>44601</v>
      </c>
      <c r="C107" s="55">
        <v>0.2673611111111111</v>
      </c>
      <c r="D107" s="25">
        <v>44601</v>
      </c>
      <c r="E107" s="55">
        <v>0.3923611111111111</v>
      </c>
      <c r="F107" s="53"/>
      <c r="G107" s="53" t="s">
        <v>2162</v>
      </c>
      <c r="H107" s="1617" t="s">
        <v>2161</v>
      </c>
      <c r="I107" s="1617"/>
      <c r="J107" s="1617"/>
      <c r="K107" s="1617"/>
      <c r="L107" s="1617"/>
    </row>
    <row r="108" spans="1:12" ht="57" customHeight="1" x14ac:dyDescent="0.25">
      <c r="A108" s="53">
        <v>101</v>
      </c>
      <c r="B108" s="25">
        <v>44606</v>
      </c>
      <c r="C108" s="55">
        <v>0.20833333333333334</v>
      </c>
      <c r="D108" s="25">
        <v>44606</v>
      </c>
      <c r="E108" s="55">
        <v>0.40625</v>
      </c>
      <c r="F108" s="53"/>
      <c r="G108" s="53" t="s">
        <v>1619</v>
      </c>
      <c r="H108" s="1617" t="s">
        <v>2183</v>
      </c>
      <c r="I108" s="1617"/>
      <c r="J108" s="1617"/>
      <c r="K108" s="1617"/>
      <c r="L108" s="1617"/>
    </row>
    <row r="109" spans="1:12" ht="66.75" customHeight="1" x14ac:dyDescent="0.25">
      <c r="A109" s="53">
        <v>102</v>
      </c>
      <c r="B109" s="25">
        <v>44607</v>
      </c>
      <c r="C109" s="55">
        <v>0.40625</v>
      </c>
      <c r="D109" s="25">
        <v>44607</v>
      </c>
      <c r="E109" s="55">
        <v>0.45833333333333331</v>
      </c>
      <c r="F109" s="53"/>
      <c r="G109" s="53" t="s">
        <v>2198</v>
      </c>
      <c r="H109" s="1617" t="s">
        <v>2196</v>
      </c>
      <c r="I109" s="1617"/>
      <c r="J109" s="1617"/>
      <c r="K109" s="1617"/>
      <c r="L109" s="1617"/>
    </row>
    <row r="110" spans="1:12" ht="52.5" customHeight="1" x14ac:dyDescent="0.25">
      <c r="A110" s="53">
        <v>103</v>
      </c>
      <c r="B110" s="25">
        <v>44618</v>
      </c>
      <c r="C110" s="55">
        <v>0.58194444444444449</v>
      </c>
      <c r="D110" s="25">
        <v>44618</v>
      </c>
      <c r="E110" s="55">
        <v>0.72777777777777775</v>
      </c>
      <c r="F110" s="53"/>
      <c r="G110" s="713">
        <v>3.3</v>
      </c>
      <c r="H110" s="1617" t="s">
        <v>2266</v>
      </c>
      <c r="I110" s="1617"/>
      <c r="J110" s="1617"/>
      <c r="K110" s="1617"/>
      <c r="L110" s="1617"/>
    </row>
    <row r="111" spans="1:12" ht="69.75" customHeight="1" x14ac:dyDescent="0.25">
      <c r="A111" s="53">
        <v>104</v>
      </c>
      <c r="B111" s="25">
        <v>44627</v>
      </c>
      <c r="C111" s="55">
        <v>0.76041666666666663</v>
      </c>
      <c r="D111" s="25">
        <v>44627</v>
      </c>
      <c r="E111" s="55">
        <v>0.87847222222222221</v>
      </c>
      <c r="F111" s="53"/>
      <c r="G111" s="53">
        <v>5.55</v>
      </c>
      <c r="H111" s="1601" t="s">
        <v>2322</v>
      </c>
      <c r="I111" s="1602"/>
      <c r="J111" s="1602"/>
      <c r="K111" s="1602"/>
      <c r="L111" s="1603"/>
    </row>
    <row r="112" spans="1:12" ht="61.5" customHeight="1" x14ac:dyDescent="0.25">
      <c r="A112" s="53">
        <v>105</v>
      </c>
      <c r="B112" s="25">
        <v>44630</v>
      </c>
      <c r="C112" s="55">
        <v>6.25E-2</v>
      </c>
      <c r="D112" s="25">
        <v>44630</v>
      </c>
      <c r="E112" s="55">
        <v>0.83333333333333337</v>
      </c>
      <c r="F112" s="53"/>
      <c r="G112" s="53" t="s">
        <v>2340</v>
      </c>
      <c r="H112" s="1601" t="s">
        <v>2339</v>
      </c>
      <c r="I112" s="1602"/>
      <c r="J112" s="1602"/>
      <c r="K112" s="1602"/>
      <c r="L112" s="1603"/>
    </row>
    <row r="113" spans="1:12" ht="56.25" customHeight="1" x14ac:dyDescent="0.25">
      <c r="A113" s="53">
        <v>106</v>
      </c>
      <c r="B113" s="25">
        <v>44635</v>
      </c>
      <c r="C113" s="55">
        <v>0.81597222222222221</v>
      </c>
      <c r="D113" s="25">
        <v>44635</v>
      </c>
      <c r="E113" s="55">
        <v>0.97569444444444453</v>
      </c>
      <c r="F113" s="53"/>
      <c r="G113" s="53" t="s">
        <v>2364</v>
      </c>
      <c r="H113" s="1601" t="s">
        <v>2363</v>
      </c>
      <c r="I113" s="1602"/>
      <c r="J113" s="1602"/>
      <c r="K113" s="1602"/>
      <c r="L113" s="1603"/>
    </row>
    <row r="114" spans="1:12" ht="63" customHeight="1" x14ac:dyDescent="0.25">
      <c r="A114" s="53">
        <v>107</v>
      </c>
      <c r="B114" s="25">
        <v>44636</v>
      </c>
      <c r="C114" s="55">
        <v>0.43055555555555558</v>
      </c>
      <c r="D114" s="25">
        <v>44636</v>
      </c>
      <c r="E114" s="55">
        <v>0.70833333333333337</v>
      </c>
      <c r="F114" s="53"/>
      <c r="G114" s="53">
        <v>6.4</v>
      </c>
      <c r="H114" s="1601" t="s">
        <v>2368</v>
      </c>
      <c r="I114" s="1602"/>
      <c r="J114" s="1602"/>
      <c r="K114" s="1602"/>
      <c r="L114" s="1603"/>
    </row>
    <row r="115" spans="1:12" ht="70.5" customHeight="1" x14ac:dyDescent="0.25">
      <c r="A115" s="53">
        <v>108</v>
      </c>
      <c r="B115" s="25">
        <v>44637</v>
      </c>
      <c r="C115" s="55">
        <v>0.28263888888888888</v>
      </c>
      <c r="D115" s="25">
        <v>44637</v>
      </c>
      <c r="E115" s="55">
        <v>0.61805555555555558</v>
      </c>
      <c r="F115" s="53"/>
      <c r="G115" s="53"/>
      <c r="H115" s="1601" t="s">
        <v>2373</v>
      </c>
      <c r="I115" s="1602"/>
      <c r="J115" s="1602"/>
      <c r="K115" s="1602"/>
      <c r="L115" s="1603"/>
    </row>
    <row r="116" spans="1:12" ht="39.75" customHeight="1" x14ac:dyDescent="0.25">
      <c r="A116" s="53">
        <v>109</v>
      </c>
      <c r="B116" s="25">
        <v>44638</v>
      </c>
      <c r="C116" s="55">
        <v>0.25</v>
      </c>
      <c r="D116" s="25">
        <v>44638</v>
      </c>
      <c r="E116" s="55">
        <v>0.50555555555555554</v>
      </c>
      <c r="F116" s="53"/>
      <c r="G116" s="53" t="s">
        <v>2382</v>
      </c>
      <c r="H116" s="1601" t="s">
        <v>2381</v>
      </c>
      <c r="I116" s="1602"/>
      <c r="J116" s="1602"/>
      <c r="K116" s="1602"/>
      <c r="L116" s="1603"/>
    </row>
    <row r="117" spans="1:12" ht="36.75" customHeight="1" x14ac:dyDescent="0.25">
      <c r="A117" s="53">
        <v>110</v>
      </c>
      <c r="B117" s="25">
        <v>44642</v>
      </c>
      <c r="C117" s="55">
        <v>1.7361111111111112E-2</v>
      </c>
      <c r="D117" s="25">
        <v>44643</v>
      </c>
      <c r="E117" s="55">
        <v>0.29166666666666669</v>
      </c>
      <c r="F117" s="53"/>
      <c r="G117" s="53"/>
      <c r="H117" s="1601" t="s">
        <v>2421</v>
      </c>
      <c r="I117" s="1602"/>
      <c r="J117" s="1602"/>
      <c r="K117" s="1602"/>
      <c r="L117" s="1603"/>
    </row>
    <row r="118" spans="1:12" ht="46.5" customHeight="1" x14ac:dyDescent="0.25">
      <c r="A118" s="53">
        <v>111</v>
      </c>
      <c r="B118" s="25">
        <v>44642</v>
      </c>
      <c r="C118" s="55">
        <v>0.37916666666666665</v>
      </c>
      <c r="D118" s="25">
        <v>44644</v>
      </c>
      <c r="E118" s="55">
        <v>0.76944444444444438</v>
      </c>
      <c r="F118" s="53"/>
      <c r="G118" s="53"/>
      <c r="H118" s="1601" t="s">
        <v>2422</v>
      </c>
      <c r="I118" s="1602"/>
      <c r="J118" s="1602"/>
      <c r="K118" s="1602"/>
      <c r="L118" s="1603"/>
    </row>
    <row r="119" spans="1:12" ht="76.5" customHeight="1" x14ac:dyDescent="0.25">
      <c r="A119" s="53">
        <v>112</v>
      </c>
      <c r="B119" s="25">
        <v>44647</v>
      </c>
      <c r="C119" s="55">
        <v>2.5694444444444447E-2</v>
      </c>
      <c r="D119" s="25">
        <v>44647</v>
      </c>
      <c r="E119" s="55">
        <v>0.39097222222222222</v>
      </c>
      <c r="F119" s="53"/>
      <c r="G119" s="53"/>
      <c r="H119" s="1601" t="s">
        <v>2446</v>
      </c>
      <c r="I119" s="1602"/>
      <c r="J119" s="1602"/>
      <c r="K119" s="1602"/>
      <c r="L119" s="1603"/>
    </row>
    <row r="120" spans="1:12" ht="55.5" customHeight="1" x14ac:dyDescent="0.25">
      <c r="A120" s="53">
        <v>113</v>
      </c>
      <c r="B120" s="25">
        <v>44648</v>
      </c>
      <c r="C120" s="55">
        <v>0.55138888888888882</v>
      </c>
      <c r="D120" s="25">
        <v>44648</v>
      </c>
      <c r="E120" s="55">
        <v>0.76111111111111107</v>
      </c>
      <c r="F120" s="53"/>
      <c r="G120" s="53"/>
      <c r="H120" s="1601" t="s">
        <v>2445</v>
      </c>
      <c r="I120" s="1602"/>
      <c r="J120" s="1602"/>
      <c r="K120" s="1602"/>
      <c r="L120" s="1603"/>
    </row>
    <row r="121" spans="1:12" ht="59.25" customHeight="1" x14ac:dyDescent="0.25">
      <c r="A121" s="53">
        <v>114</v>
      </c>
      <c r="B121" s="25">
        <v>44650</v>
      </c>
      <c r="C121" s="55">
        <v>0.12152777777777778</v>
      </c>
      <c r="D121" s="25">
        <v>44650</v>
      </c>
      <c r="E121" s="55">
        <v>0.34652777777777777</v>
      </c>
      <c r="F121" s="53"/>
      <c r="G121" s="53"/>
      <c r="H121" s="1601" t="s">
        <v>2444</v>
      </c>
      <c r="I121" s="1602"/>
      <c r="J121" s="1602"/>
      <c r="K121" s="1602"/>
      <c r="L121" s="1603"/>
    </row>
    <row r="122" spans="1:12" ht="53.25" customHeight="1" x14ac:dyDescent="0.25">
      <c r="A122" s="53">
        <v>115</v>
      </c>
      <c r="B122" s="25">
        <v>44653</v>
      </c>
      <c r="C122" s="53" t="s">
        <v>2460</v>
      </c>
      <c r="D122" s="25">
        <v>44653</v>
      </c>
      <c r="E122" s="53" t="s">
        <v>2461</v>
      </c>
      <c r="F122" s="53"/>
      <c r="G122" s="53" t="s">
        <v>2462</v>
      </c>
      <c r="H122" s="1601" t="s">
        <v>2463</v>
      </c>
      <c r="I122" s="1602"/>
      <c r="J122" s="1602"/>
      <c r="K122" s="1602"/>
      <c r="L122" s="1603"/>
    </row>
    <row r="123" spans="1:12" ht="27" customHeight="1" x14ac:dyDescent="0.25">
      <c r="A123" s="53">
        <v>116</v>
      </c>
      <c r="B123" s="25">
        <v>44654</v>
      </c>
      <c r="C123" s="53" t="s">
        <v>2474</v>
      </c>
      <c r="D123" s="25">
        <v>44654</v>
      </c>
      <c r="E123" s="53" t="s">
        <v>2475</v>
      </c>
      <c r="F123" s="53"/>
      <c r="G123" s="53">
        <v>2.6</v>
      </c>
      <c r="H123" s="1608" t="s">
        <v>2478</v>
      </c>
      <c r="I123" s="1609"/>
      <c r="J123" s="1609"/>
      <c r="K123" s="1609"/>
      <c r="L123" s="1610"/>
    </row>
    <row r="124" spans="1:12" ht="27" customHeight="1" x14ac:dyDescent="0.25">
      <c r="A124" s="53">
        <v>117</v>
      </c>
      <c r="B124" s="25">
        <v>44654</v>
      </c>
      <c r="C124" s="53" t="s">
        <v>2476</v>
      </c>
      <c r="D124" s="25">
        <v>44655</v>
      </c>
      <c r="E124" s="53" t="s">
        <v>2477</v>
      </c>
      <c r="F124" s="53"/>
      <c r="G124" s="53">
        <v>1.42</v>
      </c>
      <c r="H124" s="1611"/>
      <c r="I124" s="1612"/>
      <c r="J124" s="1612"/>
      <c r="K124" s="1612"/>
      <c r="L124" s="1613"/>
    </row>
    <row r="125" spans="1:12" ht="33" customHeight="1" x14ac:dyDescent="0.25">
      <c r="A125" s="53">
        <v>118</v>
      </c>
      <c r="B125" s="25">
        <v>44655</v>
      </c>
      <c r="C125" s="53" t="s">
        <v>2486</v>
      </c>
      <c r="D125" s="25">
        <v>44655</v>
      </c>
      <c r="E125" s="53" t="s">
        <v>2487</v>
      </c>
      <c r="F125" s="53"/>
      <c r="G125" s="53" t="s">
        <v>2489</v>
      </c>
      <c r="H125" s="1601" t="s">
        <v>2488</v>
      </c>
      <c r="I125" s="1602"/>
      <c r="J125" s="1602"/>
      <c r="K125" s="1602"/>
      <c r="L125" s="1603"/>
    </row>
    <row r="126" spans="1:12" ht="51" customHeight="1" x14ac:dyDescent="0.25">
      <c r="A126" s="53">
        <v>119</v>
      </c>
      <c r="B126" s="25">
        <v>44656</v>
      </c>
      <c r="C126" s="53" t="s">
        <v>2501</v>
      </c>
      <c r="D126" s="25">
        <v>44656</v>
      </c>
      <c r="E126" s="53" t="s">
        <v>2498</v>
      </c>
      <c r="F126" s="53"/>
      <c r="G126" s="53" t="s">
        <v>2502</v>
      </c>
      <c r="H126" s="1608" t="s">
        <v>2505</v>
      </c>
      <c r="I126" s="1609"/>
      <c r="J126" s="1609"/>
      <c r="K126" s="1609"/>
      <c r="L126" s="1610"/>
    </row>
    <row r="127" spans="1:12" ht="51" customHeight="1" x14ac:dyDescent="0.25">
      <c r="A127" s="53">
        <v>120</v>
      </c>
      <c r="B127" s="25">
        <v>44656</v>
      </c>
      <c r="C127" s="53" t="s">
        <v>2499</v>
      </c>
      <c r="D127" s="25">
        <v>44656</v>
      </c>
      <c r="E127" s="53" t="s">
        <v>2500</v>
      </c>
      <c r="F127" s="53"/>
      <c r="G127" s="53" t="s">
        <v>2503</v>
      </c>
      <c r="H127" s="1611"/>
      <c r="I127" s="1612"/>
      <c r="J127" s="1612"/>
      <c r="K127" s="1612"/>
      <c r="L127" s="1613"/>
    </row>
    <row r="128" spans="1:12" ht="49.5" customHeight="1" x14ac:dyDescent="0.25">
      <c r="A128" s="53">
        <v>121</v>
      </c>
      <c r="B128" s="25">
        <v>44658</v>
      </c>
      <c r="C128" s="53" t="s">
        <v>2519</v>
      </c>
      <c r="D128" s="25">
        <v>44658</v>
      </c>
      <c r="E128" s="53" t="s">
        <v>2476</v>
      </c>
      <c r="F128" s="53"/>
      <c r="G128" s="53" t="s">
        <v>2520</v>
      </c>
      <c r="H128" s="1601" t="s">
        <v>2521</v>
      </c>
      <c r="I128" s="1602"/>
      <c r="J128" s="1602"/>
      <c r="K128" s="1602"/>
      <c r="L128" s="1603"/>
    </row>
    <row r="129" spans="1:12" ht="33" customHeight="1" x14ac:dyDescent="0.25">
      <c r="A129" s="53">
        <v>122</v>
      </c>
      <c r="B129" s="25">
        <v>44659</v>
      </c>
      <c r="C129" s="53" t="s">
        <v>2474</v>
      </c>
      <c r="D129" s="25">
        <v>44659</v>
      </c>
      <c r="E129" s="53" t="s">
        <v>2534</v>
      </c>
      <c r="F129" s="53"/>
      <c r="G129" s="53" t="s">
        <v>2538</v>
      </c>
      <c r="H129" s="1608" t="s">
        <v>2537</v>
      </c>
      <c r="I129" s="1609"/>
      <c r="J129" s="1609"/>
      <c r="K129" s="1609"/>
      <c r="L129" s="1610"/>
    </row>
    <row r="130" spans="1:12" ht="33" customHeight="1" x14ac:dyDescent="0.25">
      <c r="A130" s="53">
        <v>123</v>
      </c>
      <c r="B130" s="25">
        <v>44659</v>
      </c>
      <c r="C130" s="53" t="s">
        <v>2535</v>
      </c>
      <c r="D130" s="25">
        <v>44659</v>
      </c>
      <c r="E130" s="53" t="s">
        <v>2536</v>
      </c>
      <c r="F130" s="53"/>
      <c r="G130" s="53" t="s">
        <v>2539</v>
      </c>
      <c r="H130" s="1611"/>
      <c r="I130" s="1612"/>
      <c r="J130" s="1612"/>
      <c r="K130" s="1612"/>
      <c r="L130" s="1613"/>
    </row>
    <row r="131" spans="1:12" ht="33" customHeight="1" x14ac:dyDescent="0.25">
      <c r="A131" s="53">
        <v>124</v>
      </c>
      <c r="B131" s="25">
        <v>44660</v>
      </c>
      <c r="C131" s="53" t="s">
        <v>2546</v>
      </c>
      <c r="D131" s="25">
        <v>44660</v>
      </c>
      <c r="E131" s="53" t="s">
        <v>2547</v>
      </c>
      <c r="F131" s="53"/>
      <c r="G131" s="53" t="s">
        <v>2548</v>
      </c>
      <c r="H131" s="1601" t="s">
        <v>2552</v>
      </c>
      <c r="I131" s="1602"/>
      <c r="J131" s="1602"/>
      <c r="K131" s="1602"/>
      <c r="L131" s="1603"/>
    </row>
    <row r="132" spans="1:12" ht="33" customHeight="1" x14ac:dyDescent="0.25">
      <c r="A132" s="53">
        <v>125</v>
      </c>
      <c r="B132" s="25">
        <v>44660</v>
      </c>
      <c r="C132" s="53" t="s">
        <v>2549</v>
      </c>
      <c r="D132" s="25">
        <v>44660</v>
      </c>
      <c r="E132" s="53" t="s">
        <v>661</v>
      </c>
      <c r="F132" s="53"/>
      <c r="G132" s="53">
        <v>2.0299999999999998</v>
      </c>
      <c r="H132" s="1608" t="s">
        <v>2553</v>
      </c>
      <c r="I132" s="1609"/>
      <c r="J132" s="1609"/>
      <c r="K132" s="1609"/>
      <c r="L132" s="1610"/>
    </row>
    <row r="133" spans="1:12" ht="33" customHeight="1" x14ac:dyDescent="0.25">
      <c r="A133" s="53">
        <v>126</v>
      </c>
      <c r="B133" s="25">
        <v>44660</v>
      </c>
      <c r="C133" s="53" t="s">
        <v>2550</v>
      </c>
      <c r="D133" s="25">
        <v>44660</v>
      </c>
      <c r="E133" s="53" t="s">
        <v>2551</v>
      </c>
      <c r="F133" s="53"/>
      <c r="G133" s="53">
        <v>1.1499999999999999</v>
      </c>
      <c r="H133" s="1611"/>
      <c r="I133" s="1612"/>
      <c r="J133" s="1612"/>
      <c r="K133" s="1612"/>
      <c r="L133" s="1613"/>
    </row>
    <row r="134" spans="1:12" ht="33" customHeight="1" x14ac:dyDescent="0.25">
      <c r="A134" s="53">
        <v>127</v>
      </c>
      <c r="B134" s="25">
        <v>44661</v>
      </c>
      <c r="C134" s="53" t="s">
        <v>2562</v>
      </c>
      <c r="D134" s="25">
        <v>44661</v>
      </c>
      <c r="E134" s="53" t="s">
        <v>2563</v>
      </c>
      <c r="F134" s="53"/>
      <c r="G134" s="53" t="s">
        <v>2572</v>
      </c>
      <c r="H134" s="1608" t="s">
        <v>2574</v>
      </c>
      <c r="I134" s="1609"/>
      <c r="J134" s="1609"/>
      <c r="K134" s="1609"/>
      <c r="L134" s="1610"/>
    </row>
    <row r="135" spans="1:12" ht="33" customHeight="1" x14ac:dyDescent="0.25">
      <c r="A135" s="53">
        <v>128</v>
      </c>
      <c r="B135" s="25">
        <v>44661</v>
      </c>
      <c r="C135" s="53" t="s">
        <v>2564</v>
      </c>
      <c r="D135" s="25">
        <v>44662</v>
      </c>
      <c r="E135" s="53" t="s">
        <v>2573</v>
      </c>
      <c r="F135" s="53"/>
      <c r="G135" s="53">
        <v>11.75</v>
      </c>
      <c r="H135" s="1611"/>
      <c r="I135" s="1612"/>
      <c r="J135" s="1612"/>
      <c r="K135" s="1612"/>
      <c r="L135" s="1613"/>
    </row>
    <row r="136" spans="1:12" ht="57" customHeight="1" x14ac:dyDescent="0.25">
      <c r="A136" s="53">
        <v>129</v>
      </c>
      <c r="B136" s="25">
        <v>44663</v>
      </c>
      <c r="C136" s="53" t="s">
        <v>2596</v>
      </c>
      <c r="D136" s="25">
        <v>44664</v>
      </c>
      <c r="E136" s="53" t="s">
        <v>2597</v>
      </c>
      <c r="F136" s="53"/>
      <c r="G136" s="53" t="s">
        <v>2775</v>
      </c>
      <c r="H136" s="1601" t="s">
        <v>2776</v>
      </c>
      <c r="I136" s="1602"/>
      <c r="J136" s="1602"/>
      <c r="K136" s="1602"/>
      <c r="L136" s="1603"/>
    </row>
    <row r="137" spans="1:12" ht="57" customHeight="1" x14ac:dyDescent="0.25">
      <c r="A137" s="53">
        <v>130</v>
      </c>
      <c r="B137" s="25">
        <v>44664</v>
      </c>
      <c r="C137" s="53" t="s">
        <v>2614</v>
      </c>
      <c r="D137" s="25">
        <v>44665</v>
      </c>
      <c r="E137" s="53" t="s">
        <v>2607</v>
      </c>
      <c r="F137" s="53"/>
      <c r="G137" s="53" t="s">
        <v>2778</v>
      </c>
      <c r="H137" s="1608" t="s">
        <v>2777</v>
      </c>
      <c r="I137" s="1609"/>
      <c r="J137" s="1609"/>
      <c r="K137" s="1609"/>
      <c r="L137" s="1610"/>
    </row>
    <row r="138" spans="1:12" ht="39.75" customHeight="1" x14ac:dyDescent="0.25">
      <c r="A138" s="53">
        <v>131</v>
      </c>
      <c r="B138" s="25">
        <v>44665</v>
      </c>
      <c r="C138" s="53" t="s">
        <v>2608</v>
      </c>
      <c r="D138" s="25">
        <v>44665</v>
      </c>
      <c r="E138" s="53" t="s">
        <v>2613</v>
      </c>
      <c r="F138" s="53"/>
      <c r="G138" s="53">
        <v>5.68</v>
      </c>
      <c r="H138" s="1611"/>
      <c r="I138" s="1612"/>
      <c r="J138" s="1612"/>
      <c r="K138" s="1612"/>
      <c r="L138" s="1613"/>
    </row>
    <row r="139" spans="1:12" ht="63" customHeight="1" x14ac:dyDescent="0.25">
      <c r="A139" s="53">
        <v>132</v>
      </c>
      <c r="B139" s="25">
        <v>44666</v>
      </c>
      <c r="C139" s="53" t="s">
        <v>2615</v>
      </c>
      <c r="D139" s="25">
        <v>44666</v>
      </c>
      <c r="E139" s="53" t="s">
        <v>2596</v>
      </c>
      <c r="F139" s="53"/>
      <c r="G139" s="53">
        <v>6.1</v>
      </c>
      <c r="H139" s="1601" t="s">
        <v>2616</v>
      </c>
      <c r="I139" s="1602"/>
      <c r="J139" s="1602"/>
      <c r="K139" s="1602"/>
      <c r="L139" s="1603"/>
    </row>
    <row r="140" spans="1:12" ht="39" customHeight="1" x14ac:dyDescent="0.25">
      <c r="A140" s="53">
        <v>133</v>
      </c>
      <c r="B140" s="25">
        <v>44667</v>
      </c>
      <c r="C140" s="53" t="s">
        <v>2624</v>
      </c>
      <c r="D140" s="25">
        <v>44667</v>
      </c>
      <c r="E140" s="53">
        <v>2341</v>
      </c>
      <c r="F140" s="53"/>
      <c r="G140" s="53">
        <v>10.07</v>
      </c>
      <c r="H140" s="1601" t="s">
        <v>2625</v>
      </c>
      <c r="I140" s="1602"/>
      <c r="J140" s="1602"/>
      <c r="K140" s="1602"/>
      <c r="L140" s="1603"/>
    </row>
    <row r="141" spans="1:12" ht="39" customHeight="1" x14ac:dyDescent="0.25">
      <c r="A141" s="53">
        <v>134</v>
      </c>
      <c r="B141" s="25">
        <v>44669</v>
      </c>
      <c r="C141" s="53" t="s">
        <v>2638</v>
      </c>
      <c r="D141" s="25">
        <v>44669</v>
      </c>
      <c r="E141" s="53" t="s">
        <v>2639</v>
      </c>
      <c r="F141" s="53"/>
      <c r="G141" s="53">
        <v>7.1</v>
      </c>
      <c r="H141" s="1608" t="s">
        <v>2655</v>
      </c>
      <c r="I141" s="1609"/>
      <c r="J141" s="1609"/>
      <c r="K141" s="1609"/>
      <c r="L141" s="1610"/>
    </row>
    <row r="142" spans="1:12" ht="39" customHeight="1" x14ac:dyDescent="0.25">
      <c r="A142" s="53">
        <v>135</v>
      </c>
      <c r="B142" s="25">
        <v>44669</v>
      </c>
      <c r="C142" s="53" t="s">
        <v>2640</v>
      </c>
      <c r="D142" s="25">
        <v>44670</v>
      </c>
      <c r="E142" s="53" t="s">
        <v>2653</v>
      </c>
      <c r="F142" s="53"/>
      <c r="G142" s="53" t="s">
        <v>2654</v>
      </c>
      <c r="H142" s="1611"/>
      <c r="I142" s="1612"/>
      <c r="J142" s="1612"/>
      <c r="K142" s="1612"/>
      <c r="L142" s="1613"/>
    </row>
    <row r="143" spans="1:12" ht="39" customHeight="1" x14ac:dyDescent="0.25">
      <c r="A143" s="53">
        <v>136</v>
      </c>
      <c r="B143" s="25">
        <v>44671</v>
      </c>
      <c r="C143" s="53" t="s">
        <v>2704</v>
      </c>
      <c r="D143" s="25">
        <v>44671</v>
      </c>
      <c r="E143" s="53" t="s">
        <v>2705</v>
      </c>
      <c r="F143" s="53"/>
      <c r="G143" s="53">
        <v>2.6</v>
      </c>
      <c r="H143" s="1601" t="s">
        <v>2706</v>
      </c>
      <c r="I143" s="1602"/>
      <c r="J143" s="1602"/>
      <c r="K143" s="1602"/>
      <c r="L143" s="1603"/>
    </row>
    <row r="144" spans="1:12" ht="39" customHeight="1" x14ac:dyDescent="0.25">
      <c r="A144" s="53">
        <v>137</v>
      </c>
      <c r="B144" s="25">
        <v>44672</v>
      </c>
      <c r="C144" s="53" t="s">
        <v>1912</v>
      </c>
      <c r="D144" s="25">
        <v>44672</v>
      </c>
      <c r="E144" s="53" t="s">
        <v>2708</v>
      </c>
      <c r="F144" s="53"/>
      <c r="G144" s="53" t="s">
        <v>2710</v>
      </c>
      <c r="H144" s="1601" t="s">
        <v>2709</v>
      </c>
      <c r="I144" s="1602"/>
      <c r="J144" s="1602"/>
      <c r="K144" s="1602"/>
      <c r="L144" s="1603"/>
    </row>
    <row r="145" spans="1:12" ht="39" customHeight="1" x14ac:dyDescent="0.25">
      <c r="A145" s="53">
        <v>138</v>
      </c>
      <c r="B145" s="25">
        <v>44672</v>
      </c>
      <c r="C145" s="53" t="s">
        <v>2720</v>
      </c>
      <c r="D145" s="25">
        <v>44673</v>
      </c>
      <c r="E145" s="53" t="s">
        <v>2721</v>
      </c>
      <c r="F145" s="53"/>
      <c r="G145" s="53" t="s">
        <v>2731</v>
      </c>
      <c r="H145" s="1601" t="s">
        <v>2729</v>
      </c>
      <c r="I145" s="1602"/>
      <c r="J145" s="1602"/>
      <c r="K145" s="1602"/>
      <c r="L145" s="1603"/>
    </row>
    <row r="146" spans="1:12" ht="39" customHeight="1" x14ac:dyDescent="0.25">
      <c r="A146" s="53">
        <v>139</v>
      </c>
      <c r="B146" s="25">
        <v>44675</v>
      </c>
      <c r="C146" s="53" t="s">
        <v>2722</v>
      </c>
      <c r="D146" s="25">
        <v>44675</v>
      </c>
      <c r="E146" s="53" t="s">
        <v>2723</v>
      </c>
      <c r="F146" s="53"/>
      <c r="G146" s="53">
        <v>4.2</v>
      </c>
      <c r="H146" s="1601" t="s">
        <v>2730</v>
      </c>
      <c r="I146" s="1602"/>
      <c r="J146" s="1602"/>
      <c r="K146" s="1602"/>
      <c r="L146" s="1603"/>
    </row>
    <row r="147" spans="1:12" ht="39" customHeight="1" x14ac:dyDescent="0.25">
      <c r="A147" s="53">
        <v>140</v>
      </c>
      <c r="B147" s="25">
        <v>44678</v>
      </c>
      <c r="C147" s="53" t="s">
        <v>2732</v>
      </c>
      <c r="D147" s="25">
        <v>44678</v>
      </c>
      <c r="E147" s="53" t="s">
        <v>2733</v>
      </c>
      <c r="F147" s="53"/>
      <c r="G147" s="53" t="s">
        <v>2734</v>
      </c>
      <c r="H147" s="1601" t="s">
        <v>2735</v>
      </c>
      <c r="I147" s="1602"/>
      <c r="J147" s="1602"/>
      <c r="K147" s="1602"/>
      <c r="L147" s="1603"/>
    </row>
    <row r="148" spans="1:12" ht="39" customHeight="1" x14ac:dyDescent="0.25">
      <c r="A148" s="53">
        <v>141</v>
      </c>
      <c r="B148" s="25">
        <v>44680</v>
      </c>
      <c r="C148" s="53" t="s">
        <v>2546</v>
      </c>
      <c r="D148" s="25">
        <v>44680</v>
      </c>
      <c r="E148" s="53" t="s">
        <v>2740</v>
      </c>
      <c r="F148" s="53"/>
      <c r="G148" s="53" t="s">
        <v>2742</v>
      </c>
      <c r="H148" s="1601" t="s">
        <v>2741</v>
      </c>
      <c r="I148" s="1602"/>
      <c r="J148" s="1602"/>
      <c r="K148" s="1602"/>
      <c r="L148" s="1603"/>
    </row>
    <row r="149" spans="1:12" ht="39" customHeight="1" x14ac:dyDescent="0.25">
      <c r="A149" s="53">
        <v>142</v>
      </c>
      <c r="B149" s="25">
        <v>44683</v>
      </c>
      <c r="C149" s="53" t="s">
        <v>2768</v>
      </c>
      <c r="D149" s="25">
        <v>44683</v>
      </c>
      <c r="E149" s="53" t="s">
        <v>2769</v>
      </c>
      <c r="F149" s="53"/>
      <c r="G149" s="53" t="s">
        <v>2770</v>
      </c>
      <c r="H149" s="1601" t="s">
        <v>2983</v>
      </c>
      <c r="I149" s="1602"/>
      <c r="J149" s="1602"/>
      <c r="K149" s="1602"/>
      <c r="L149" s="1603"/>
    </row>
    <row r="150" spans="1:12" ht="39" customHeight="1" x14ac:dyDescent="0.25">
      <c r="A150" s="53">
        <v>143</v>
      </c>
      <c r="B150" s="25">
        <v>44685</v>
      </c>
      <c r="C150" s="53" t="s">
        <v>2788</v>
      </c>
      <c r="D150" s="25">
        <v>44685</v>
      </c>
      <c r="E150" s="53" t="s">
        <v>2789</v>
      </c>
      <c r="F150" s="53"/>
      <c r="G150" s="53">
        <v>6.87</v>
      </c>
      <c r="H150" s="1601" t="s">
        <v>2790</v>
      </c>
      <c r="I150" s="1602"/>
      <c r="J150" s="1602"/>
      <c r="K150" s="1602"/>
      <c r="L150" s="1603"/>
    </row>
    <row r="151" spans="1:12" ht="39" customHeight="1" x14ac:dyDescent="0.25">
      <c r="A151" s="53">
        <v>144</v>
      </c>
      <c r="B151" s="25">
        <v>44687</v>
      </c>
      <c r="C151" s="53" t="s">
        <v>2805</v>
      </c>
      <c r="D151" s="25">
        <v>44688</v>
      </c>
      <c r="E151" s="53" t="s">
        <v>2806</v>
      </c>
      <c r="F151" s="53"/>
      <c r="G151" s="53" t="s">
        <v>2807</v>
      </c>
      <c r="H151" s="1601" t="s">
        <v>2808</v>
      </c>
      <c r="I151" s="1602"/>
      <c r="J151" s="1602"/>
      <c r="K151" s="1602"/>
      <c r="L151" s="1603"/>
    </row>
    <row r="152" spans="1:12" ht="39" customHeight="1" x14ac:dyDescent="0.25">
      <c r="A152" s="53">
        <v>145</v>
      </c>
      <c r="B152" s="25">
        <v>44689</v>
      </c>
      <c r="C152" s="53" t="s">
        <v>1685</v>
      </c>
      <c r="D152" s="25">
        <v>44689</v>
      </c>
      <c r="E152" s="53" t="s">
        <v>2814</v>
      </c>
      <c r="F152" s="53"/>
      <c r="G152" s="53">
        <v>7.5</v>
      </c>
      <c r="H152" s="1601" t="s">
        <v>2815</v>
      </c>
      <c r="I152" s="1602"/>
      <c r="J152" s="1602"/>
      <c r="K152" s="1602"/>
      <c r="L152" s="1603"/>
    </row>
    <row r="153" spans="1:12" ht="39" customHeight="1" x14ac:dyDescent="0.25">
      <c r="A153" s="53">
        <v>146</v>
      </c>
      <c r="B153" s="25">
        <v>44690</v>
      </c>
      <c r="C153" s="53" t="s">
        <v>2825</v>
      </c>
      <c r="D153" s="25">
        <v>44691</v>
      </c>
      <c r="E153" s="53" t="s">
        <v>2826</v>
      </c>
      <c r="F153" s="53"/>
      <c r="G153" s="53">
        <v>3.58</v>
      </c>
      <c r="H153" s="1601" t="s">
        <v>2827</v>
      </c>
      <c r="I153" s="1602"/>
      <c r="J153" s="1602"/>
      <c r="K153" s="1602"/>
      <c r="L153" s="1603"/>
    </row>
    <row r="154" spans="1:12" ht="55.5" customHeight="1" x14ac:dyDescent="0.25">
      <c r="A154" s="53">
        <v>147</v>
      </c>
      <c r="B154" s="25">
        <v>44692</v>
      </c>
      <c r="C154" s="53" t="s">
        <v>2831</v>
      </c>
      <c r="D154" s="25">
        <v>44692</v>
      </c>
      <c r="E154" s="53" t="s">
        <v>277</v>
      </c>
      <c r="F154" s="53"/>
      <c r="G154" s="53" t="s">
        <v>2832</v>
      </c>
      <c r="H154" s="1608" t="s">
        <v>2843</v>
      </c>
      <c r="I154" s="1609"/>
      <c r="J154" s="1609"/>
      <c r="K154" s="1609"/>
      <c r="L154" s="1610"/>
    </row>
    <row r="155" spans="1:12" ht="39" customHeight="1" x14ac:dyDescent="0.25">
      <c r="A155" s="53">
        <v>148</v>
      </c>
      <c r="B155" s="25">
        <v>44692</v>
      </c>
      <c r="C155" s="53" t="s">
        <v>648</v>
      </c>
      <c r="D155" s="25">
        <v>44693</v>
      </c>
      <c r="E155" s="53" t="s">
        <v>2838</v>
      </c>
      <c r="F155" s="53"/>
      <c r="G155" s="53">
        <v>8.08</v>
      </c>
      <c r="H155" s="1611"/>
      <c r="I155" s="1612"/>
      <c r="J155" s="1612"/>
      <c r="K155" s="1612"/>
      <c r="L155" s="1613"/>
    </row>
    <row r="156" spans="1:12" ht="39" customHeight="1" x14ac:dyDescent="0.25">
      <c r="A156" s="53">
        <v>149</v>
      </c>
      <c r="B156" s="25">
        <v>44693</v>
      </c>
      <c r="C156" s="53" t="s">
        <v>2842</v>
      </c>
      <c r="D156" s="25">
        <v>44693</v>
      </c>
      <c r="E156" s="53" t="s">
        <v>2839</v>
      </c>
      <c r="F156" s="53"/>
      <c r="G156" s="53">
        <v>3.75</v>
      </c>
      <c r="H156" s="1608" t="s">
        <v>2845</v>
      </c>
      <c r="I156" s="1609"/>
      <c r="J156" s="1609"/>
      <c r="K156" s="1609"/>
      <c r="L156" s="1610"/>
    </row>
    <row r="157" spans="1:12" ht="39" customHeight="1" x14ac:dyDescent="0.25">
      <c r="A157" s="53">
        <v>150</v>
      </c>
      <c r="B157" s="25">
        <v>44693</v>
      </c>
      <c r="C157" s="53" t="s">
        <v>2840</v>
      </c>
      <c r="D157" s="25">
        <v>44693</v>
      </c>
      <c r="E157" s="53" t="s">
        <v>2841</v>
      </c>
      <c r="F157" s="53"/>
      <c r="G157" s="53">
        <v>5.75</v>
      </c>
      <c r="H157" s="1611"/>
      <c r="I157" s="1612"/>
      <c r="J157" s="1612"/>
      <c r="K157" s="1612"/>
      <c r="L157" s="1613"/>
    </row>
    <row r="158" spans="1:12" ht="39" customHeight="1" x14ac:dyDescent="0.25">
      <c r="A158" s="53">
        <v>151</v>
      </c>
      <c r="B158" s="25">
        <v>44696</v>
      </c>
      <c r="C158" s="53" t="s">
        <v>2862</v>
      </c>
      <c r="D158" s="25">
        <v>44696</v>
      </c>
      <c r="E158" s="53" t="s">
        <v>2863</v>
      </c>
      <c r="F158" s="53"/>
      <c r="G158" s="53" t="s">
        <v>2864</v>
      </c>
      <c r="H158" s="1601" t="s">
        <v>2867</v>
      </c>
      <c r="I158" s="1602"/>
      <c r="J158" s="1602"/>
      <c r="K158" s="1602"/>
      <c r="L158" s="1603"/>
    </row>
    <row r="159" spans="1:12" ht="39" customHeight="1" x14ac:dyDescent="0.25">
      <c r="A159" s="53">
        <v>152</v>
      </c>
      <c r="B159" s="25">
        <v>44696</v>
      </c>
      <c r="C159" s="53" t="s">
        <v>2868</v>
      </c>
      <c r="D159" s="25">
        <v>44696</v>
      </c>
      <c r="E159" s="53" t="s">
        <v>2869</v>
      </c>
      <c r="F159" s="53"/>
      <c r="G159" s="53" t="s">
        <v>1567</v>
      </c>
      <c r="H159" s="1601" t="s">
        <v>2873</v>
      </c>
      <c r="I159" s="1602"/>
      <c r="J159" s="1602"/>
      <c r="K159" s="1602"/>
      <c r="L159" s="1603"/>
    </row>
    <row r="160" spans="1:12" ht="44.25" customHeight="1" x14ac:dyDescent="0.25">
      <c r="A160" s="53">
        <v>153</v>
      </c>
      <c r="B160" s="25">
        <v>44698</v>
      </c>
      <c r="C160" s="53" t="s">
        <v>2881</v>
      </c>
      <c r="D160" s="25">
        <v>44698</v>
      </c>
      <c r="E160" s="53" t="s">
        <v>661</v>
      </c>
      <c r="F160" s="53"/>
      <c r="G160" s="53" t="s">
        <v>2883</v>
      </c>
      <c r="H160" s="1601" t="s">
        <v>2882</v>
      </c>
      <c r="I160" s="1602"/>
      <c r="J160" s="1602"/>
      <c r="K160" s="1602"/>
      <c r="L160" s="1603"/>
    </row>
    <row r="161" spans="1:12" ht="44.25" customHeight="1" x14ac:dyDescent="0.25">
      <c r="A161" s="53">
        <v>154</v>
      </c>
      <c r="B161" s="25">
        <v>44699</v>
      </c>
      <c r="C161" s="53" t="s">
        <v>2894</v>
      </c>
      <c r="D161" s="25">
        <v>44700</v>
      </c>
      <c r="E161" s="53" t="s">
        <v>2895</v>
      </c>
      <c r="F161" s="53"/>
      <c r="G161" s="53" t="s">
        <v>2897</v>
      </c>
      <c r="H161" s="1601" t="s">
        <v>2896</v>
      </c>
      <c r="I161" s="1602"/>
      <c r="J161" s="1602"/>
      <c r="K161" s="1602"/>
      <c r="L161" s="1603"/>
    </row>
    <row r="162" spans="1:12" ht="44.25" customHeight="1" x14ac:dyDescent="0.25">
      <c r="A162" s="53">
        <v>155</v>
      </c>
      <c r="B162" s="25">
        <v>44702</v>
      </c>
      <c r="C162" s="53" t="s">
        <v>2911</v>
      </c>
      <c r="D162" s="25">
        <v>44702</v>
      </c>
      <c r="E162" s="53" t="s">
        <v>2912</v>
      </c>
      <c r="F162" s="53"/>
      <c r="G162" s="53" t="s">
        <v>2914</v>
      </c>
      <c r="H162" s="1601" t="s">
        <v>2913</v>
      </c>
      <c r="I162" s="1602"/>
      <c r="J162" s="1602"/>
      <c r="K162" s="1602"/>
      <c r="L162" s="1603"/>
    </row>
    <row r="163" spans="1:12" ht="44.25" customHeight="1" x14ac:dyDescent="0.25">
      <c r="A163" s="53">
        <v>156</v>
      </c>
      <c r="B163" s="25">
        <v>44703</v>
      </c>
      <c r="C163" s="53" t="s">
        <v>2920</v>
      </c>
      <c r="D163" s="25">
        <v>44704</v>
      </c>
      <c r="E163" s="53" t="s">
        <v>2921</v>
      </c>
      <c r="F163" s="53"/>
      <c r="G163" s="53" t="s">
        <v>2923</v>
      </c>
      <c r="H163" s="1601" t="s">
        <v>2922</v>
      </c>
      <c r="I163" s="1602"/>
      <c r="J163" s="1602"/>
      <c r="K163" s="1602"/>
      <c r="L163" s="1603"/>
    </row>
    <row r="164" spans="1:12" ht="44.25" customHeight="1" x14ac:dyDescent="0.25">
      <c r="A164" s="53">
        <v>157</v>
      </c>
      <c r="B164" s="25">
        <v>44705</v>
      </c>
      <c r="C164" s="53" t="s">
        <v>2934</v>
      </c>
      <c r="D164" s="25">
        <v>44706</v>
      </c>
      <c r="E164" s="53" t="s">
        <v>2935</v>
      </c>
      <c r="F164" s="53"/>
      <c r="G164" s="53" t="s">
        <v>2936</v>
      </c>
      <c r="H164" s="1608" t="s">
        <v>2938</v>
      </c>
      <c r="I164" s="1609"/>
      <c r="J164" s="1609"/>
      <c r="K164" s="1609"/>
      <c r="L164" s="1610"/>
    </row>
    <row r="165" spans="1:12" ht="44.25" customHeight="1" x14ac:dyDescent="0.25">
      <c r="A165" s="53">
        <v>158</v>
      </c>
      <c r="B165" s="25">
        <v>44706</v>
      </c>
      <c r="C165" s="53" t="s">
        <v>2937</v>
      </c>
      <c r="D165" s="25">
        <v>44706</v>
      </c>
      <c r="E165" s="53" t="s">
        <v>879</v>
      </c>
      <c r="F165" s="53"/>
      <c r="G165" s="53">
        <v>6.42</v>
      </c>
      <c r="H165" s="1611"/>
      <c r="I165" s="1612"/>
      <c r="J165" s="1612"/>
      <c r="K165" s="1612"/>
      <c r="L165" s="1613"/>
    </row>
    <row r="166" spans="1:12" ht="44.25" customHeight="1" x14ac:dyDescent="0.25">
      <c r="A166" s="53">
        <v>159</v>
      </c>
      <c r="B166" s="25">
        <v>44707</v>
      </c>
      <c r="C166" s="53" t="s">
        <v>2942</v>
      </c>
      <c r="D166" s="25">
        <v>44707</v>
      </c>
      <c r="E166" s="53" t="s">
        <v>2943</v>
      </c>
      <c r="F166" s="53"/>
      <c r="G166" s="53" t="s">
        <v>2944</v>
      </c>
      <c r="H166" s="1601" t="s">
        <v>2945</v>
      </c>
      <c r="I166" s="1602"/>
      <c r="J166" s="1602"/>
      <c r="K166" s="1602"/>
      <c r="L166" s="1603"/>
    </row>
    <row r="167" spans="1:12" ht="44.25" customHeight="1" x14ac:dyDescent="0.25">
      <c r="A167" s="53">
        <v>160</v>
      </c>
      <c r="B167" s="25">
        <v>44708</v>
      </c>
      <c r="C167" s="53" t="s">
        <v>2952</v>
      </c>
      <c r="D167" s="25">
        <v>44708</v>
      </c>
      <c r="E167" s="53" t="s">
        <v>2953</v>
      </c>
      <c r="F167" s="53"/>
      <c r="G167" s="53">
        <v>3.32</v>
      </c>
      <c r="H167" s="1601" t="s">
        <v>2954</v>
      </c>
      <c r="I167" s="1602"/>
      <c r="J167" s="1602"/>
      <c r="K167" s="1602"/>
      <c r="L167" s="1603"/>
    </row>
    <row r="168" spans="1:12" ht="44.25" customHeight="1" x14ac:dyDescent="0.25">
      <c r="A168" s="53">
        <v>161</v>
      </c>
      <c r="B168" s="25">
        <v>44709</v>
      </c>
      <c r="C168" s="53" t="s">
        <v>2958</v>
      </c>
      <c r="D168" s="25">
        <v>44709</v>
      </c>
      <c r="E168" s="53" t="s">
        <v>2959</v>
      </c>
      <c r="F168" s="53"/>
      <c r="G168" s="53" t="s">
        <v>2961</v>
      </c>
      <c r="H168" s="1601" t="s">
        <v>2960</v>
      </c>
      <c r="I168" s="1602"/>
      <c r="J168" s="1602"/>
      <c r="K168" s="1602"/>
      <c r="L168" s="1603"/>
    </row>
    <row r="169" spans="1:12" ht="44.25" customHeight="1" x14ac:dyDescent="0.25">
      <c r="A169" s="53">
        <v>162</v>
      </c>
      <c r="B169" s="25">
        <v>44711</v>
      </c>
      <c r="C169" s="53" t="s">
        <v>2974</v>
      </c>
      <c r="D169" s="25">
        <v>44711</v>
      </c>
      <c r="E169" s="53" t="s">
        <v>2975</v>
      </c>
      <c r="F169" s="53"/>
      <c r="G169" s="53" t="s">
        <v>2976</v>
      </c>
      <c r="H169" s="1601" t="s">
        <v>2977</v>
      </c>
      <c r="I169" s="1602"/>
      <c r="J169" s="1602"/>
      <c r="K169" s="1602"/>
      <c r="L169" s="1603"/>
    </row>
    <row r="170" spans="1:12" ht="44.25" customHeight="1" x14ac:dyDescent="0.25">
      <c r="A170" s="53">
        <v>163</v>
      </c>
      <c r="B170" s="25">
        <v>44712</v>
      </c>
      <c r="C170" s="53" t="s">
        <v>2985</v>
      </c>
      <c r="D170" s="25">
        <v>44713</v>
      </c>
      <c r="E170" s="53" t="s">
        <v>2986</v>
      </c>
      <c r="F170" s="53"/>
      <c r="G170" s="53">
        <v>8.4</v>
      </c>
      <c r="H170" s="1601" t="s">
        <v>2987</v>
      </c>
      <c r="I170" s="1602"/>
      <c r="J170" s="1602"/>
      <c r="K170" s="1602"/>
      <c r="L170" s="1603"/>
    </row>
    <row r="171" spans="1:12" ht="44.25" customHeight="1" x14ac:dyDescent="0.25">
      <c r="A171" s="53">
        <v>164</v>
      </c>
      <c r="B171" s="25">
        <v>44713</v>
      </c>
      <c r="C171" s="53" t="s">
        <v>2988</v>
      </c>
      <c r="D171" s="25">
        <v>44713</v>
      </c>
      <c r="E171" s="53" t="s">
        <v>2989</v>
      </c>
      <c r="F171" s="53"/>
      <c r="G171" s="53">
        <v>7.57</v>
      </c>
      <c r="H171" s="1601" t="s">
        <v>2990</v>
      </c>
      <c r="I171" s="1602"/>
      <c r="J171" s="1602"/>
      <c r="K171" s="1602"/>
      <c r="L171" s="1603"/>
    </row>
    <row r="172" spans="1:12" ht="60.75" customHeight="1" x14ac:dyDescent="0.25">
      <c r="A172" s="53">
        <v>165</v>
      </c>
      <c r="B172" s="25">
        <v>44714</v>
      </c>
      <c r="C172" s="53" t="s">
        <v>449</v>
      </c>
      <c r="D172" s="25">
        <v>44714</v>
      </c>
      <c r="E172" s="53" t="s">
        <v>3006</v>
      </c>
      <c r="F172" s="53"/>
      <c r="G172" s="53" t="s">
        <v>3007</v>
      </c>
      <c r="H172" s="1601" t="s">
        <v>3008</v>
      </c>
      <c r="I172" s="1602"/>
      <c r="J172" s="1602"/>
      <c r="K172" s="1602"/>
      <c r="L172" s="1603"/>
    </row>
    <row r="173" spans="1:12" ht="60.75" customHeight="1" x14ac:dyDescent="0.25">
      <c r="A173" s="53">
        <v>166</v>
      </c>
      <c r="B173" s="25">
        <v>44716</v>
      </c>
      <c r="C173" s="53" t="s">
        <v>3019</v>
      </c>
      <c r="D173" s="25">
        <v>44716</v>
      </c>
      <c r="E173" s="53" t="s">
        <v>3020</v>
      </c>
      <c r="F173" s="53"/>
      <c r="G173" s="53">
        <v>11.12</v>
      </c>
      <c r="H173" s="1601" t="s">
        <v>3021</v>
      </c>
      <c r="I173" s="1602"/>
      <c r="J173" s="1602"/>
      <c r="K173" s="1602"/>
      <c r="L173" s="1603"/>
    </row>
    <row r="174" spans="1:12" ht="60.75" customHeight="1" x14ac:dyDescent="0.25">
      <c r="A174" s="53">
        <v>167</v>
      </c>
      <c r="B174" s="25">
        <v>44718</v>
      </c>
      <c r="C174" s="53" t="s">
        <v>3028</v>
      </c>
      <c r="D174" s="25">
        <v>44718</v>
      </c>
      <c r="E174" s="53" t="s">
        <v>1940</v>
      </c>
      <c r="F174" s="53"/>
      <c r="G174" s="53">
        <v>15.45</v>
      </c>
      <c r="H174" s="1601" t="s">
        <v>3029</v>
      </c>
      <c r="I174" s="1602"/>
      <c r="J174" s="1602"/>
      <c r="K174" s="1602"/>
      <c r="L174" s="1603"/>
    </row>
    <row r="175" spans="1:12" ht="52.5" customHeight="1" x14ac:dyDescent="0.25">
      <c r="A175" s="53">
        <v>168</v>
      </c>
      <c r="B175" s="25">
        <v>44720</v>
      </c>
      <c r="C175" s="53" t="s">
        <v>3045</v>
      </c>
      <c r="D175" s="25">
        <v>44720</v>
      </c>
      <c r="E175" s="53">
        <v>2250</v>
      </c>
      <c r="F175" s="53"/>
      <c r="G175" s="53" t="s">
        <v>3046</v>
      </c>
      <c r="H175" s="1601" t="s">
        <v>3044</v>
      </c>
      <c r="I175" s="1602"/>
      <c r="J175" s="1602"/>
      <c r="K175" s="1602"/>
      <c r="L175" s="1603"/>
    </row>
    <row r="176" spans="1:12" ht="36" customHeight="1" x14ac:dyDescent="0.25">
      <c r="A176" s="53">
        <v>169</v>
      </c>
      <c r="B176" s="25">
        <v>44723</v>
      </c>
      <c r="C176" s="53" t="s">
        <v>3070</v>
      </c>
      <c r="D176" s="25">
        <v>44723</v>
      </c>
      <c r="E176" s="53" t="s">
        <v>3071</v>
      </c>
      <c r="F176" s="53"/>
      <c r="G176" s="53" t="s">
        <v>3072</v>
      </c>
      <c r="H176" s="1601" t="s">
        <v>3069</v>
      </c>
      <c r="I176" s="1602"/>
      <c r="J176" s="1602"/>
      <c r="K176" s="1602"/>
      <c r="L176" s="1603"/>
    </row>
    <row r="177" spans="1:12" ht="46.5" customHeight="1" x14ac:dyDescent="0.25">
      <c r="A177" s="53">
        <v>170</v>
      </c>
      <c r="B177" s="25">
        <v>44725</v>
      </c>
      <c r="C177" s="53" t="s">
        <v>3083</v>
      </c>
      <c r="D177" s="25">
        <v>44723</v>
      </c>
      <c r="E177" s="53" t="s">
        <v>3084</v>
      </c>
      <c r="F177" s="53"/>
      <c r="G177" s="53" t="s">
        <v>3082</v>
      </c>
      <c r="H177" s="1601" t="s">
        <v>3088</v>
      </c>
      <c r="I177" s="1602"/>
      <c r="J177" s="1602"/>
      <c r="K177" s="1602"/>
      <c r="L177" s="1603"/>
    </row>
    <row r="178" spans="1:12" ht="48.75" customHeight="1" x14ac:dyDescent="0.25">
      <c r="A178" s="53">
        <v>171</v>
      </c>
      <c r="B178" s="25">
        <v>44727</v>
      </c>
      <c r="C178" s="53" t="s">
        <v>3105</v>
      </c>
      <c r="D178" s="25">
        <v>44727</v>
      </c>
      <c r="E178" s="53" t="s">
        <v>3106</v>
      </c>
      <c r="F178" s="53"/>
      <c r="G178" s="53" t="s">
        <v>3107</v>
      </c>
      <c r="H178" s="1601" t="s">
        <v>3104</v>
      </c>
      <c r="I178" s="1602"/>
      <c r="J178" s="1602"/>
      <c r="K178" s="1602"/>
      <c r="L178" s="1603"/>
    </row>
    <row r="179" spans="1:12" ht="55.5" customHeight="1" x14ac:dyDescent="0.25">
      <c r="A179" s="53">
        <v>172</v>
      </c>
      <c r="B179" s="25">
        <v>44729</v>
      </c>
      <c r="C179" s="53" t="s">
        <v>3116</v>
      </c>
      <c r="D179" s="25">
        <v>44729</v>
      </c>
      <c r="E179" s="53" t="s">
        <v>3117</v>
      </c>
      <c r="F179" s="53"/>
      <c r="G179" s="53" t="s">
        <v>3118</v>
      </c>
      <c r="H179" s="1601" t="s">
        <v>3115</v>
      </c>
      <c r="I179" s="1602"/>
      <c r="J179" s="1602"/>
      <c r="K179" s="1602"/>
      <c r="L179" s="1603"/>
    </row>
    <row r="180" spans="1:12" ht="42" customHeight="1" x14ac:dyDescent="0.25">
      <c r="A180" s="53">
        <v>173</v>
      </c>
      <c r="B180" s="25">
        <v>44732</v>
      </c>
      <c r="C180" s="55">
        <v>0.76736111111111116</v>
      </c>
      <c r="D180" s="25">
        <v>44732</v>
      </c>
      <c r="E180" s="53" t="s">
        <v>3130</v>
      </c>
      <c r="F180" s="53"/>
      <c r="G180" s="53" t="s">
        <v>3118</v>
      </c>
      <c r="H180" s="1601" t="s">
        <v>3129</v>
      </c>
      <c r="I180" s="1602"/>
      <c r="J180" s="1602"/>
      <c r="K180" s="1602"/>
      <c r="L180" s="1603"/>
    </row>
    <row r="181" spans="1:12" ht="43.5" customHeight="1" x14ac:dyDescent="0.25">
      <c r="A181" s="53">
        <v>174</v>
      </c>
      <c r="B181" s="25">
        <v>44733</v>
      </c>
      <c r="C181" s="55" t="s">
        <v>3142</v>
      </c>
      <c r="D181" s="25">
        <v>44733</v>
      </c>
      <c r="E181" s="53" t="s">
        <v>3143</v>
      </c>
      <c r="F181" s="53"/>
      <c r="G181" s="53" t="s">
        <v>3144</v>
      </c>
      <c r="H181" s="1601" t="s">
        <v>3141</v>
      </c>
      <c r="I181" s="1602"/>
      <c r="J181" s="1602"/>
      <c r="K181" s="1602"/>
      <c r="L181" s="1603"/>
    </row>
    <row r="182" spans="1:12" ht="45.75" customHeight="1" x14ac:dyDescent="0.25">
      <c r="A182" s="53">
        <v>175</v>
      </c>
      <c r="B182" s="25">
        <v>44734</v>
      </c>
      <c r="C182" s="55" t="s">
        <v>3155</v>
      </c>
      <c r="D182" s="25">
        <v>44734</v>
      </c>
      <c r="E182" s="53" t="s">
        <v>3156</v>
      </c>
      <c r="F182" s="53"/>
      <c r="G182" s="53" t="s">
        <v>3157</v>
      </c>
      <c r="H182" s="1601" t="s">
        <v>3154</v>
      </c>
      <c r="I182" s="1602"/>
      <c r="J182" s="1602"/>
      <c r="K182" s="1602"/>
      <c r="L182" s="1603"/>
    </row>
    <row r="183" spans="1:12" ht="42" customHeight="1" x14ac:dyDescent="0.25">
      <c r="A183" s="53">
        <v>176</v>
      </c>
      <c r="B183" s="25">
        <v>44736</v>
      </c>
      <c r="C183" s="55" t="s">
        <v>3169</v>
      </c>
      <c r="D183" s="25">
        <v>44736</v>
      </c>
      <c r="E183" s="53" t="s">
        <v>3170</v>
      </c>
      <c r="F183" s="53"/>
      <c r="G183" s="53" t="s">
        <v>3171</v>
      </c>
      <c r="H183" s="1601" t="s">
        <v>3168</v>
      </c>
      <c r="I183" s="1602"/>
      <c r="J183" s="1602"/>
      <c r="K183" s="1602"/>
      <c r="L183" s="1603"/>
    </row>
    <row r="184" spans="1:12" ht="38.25" customHeight="1" x14ac:dyDescent="0.25">
      <c r="A184" s="53">
        <v>177</v>
      </c>
      <c r="B184" s="25">
        <v>44738</v>
      </c>
      <c r="C184" s="55" t="s">
        <v>3188</v>
      </c>
      <c r="D184" s="25">
        <v>44738</v>
      </c>
      <c r="E184" s="55" t="s">
        <v>3189</v>
      </c>
      <c r="F184" s="53"/>
      <c r="G184" s="53" t="s">
        <v>3190</v>
      </c>
      <c r="H184" s="1601" t="s">
        <v>3187</v>
      </c>
      <c r="I184" s="1602"/>
      <c r="J184" s="1602"/>
      <c r="K184" s="1602"/>
      <c r="L184" s="1603"/>
    </row>
    <row r="185" spans="1:12" ht="42.75" customHeight="1" x14ac:dyDescent="0.25">
      <c r="A185" s="53">
        <v>178</v>
      </c>
      <c r="B185" s="25">
        <v>44740</v>
      </c>
      <c r="C185" s="55" t="s">
        <v>3203</v>
      </c>
      <c r="D185" s="25">
        <v>44740</v>
      </c>
      <c r="E185" s="55" t="s">
        <v>3204</v>
      </c>
      <c r="F185" s="53"/>
      <c r="G185" s="53" t="s">
        <v>3205</v>
      </c>
      <c r="H185" s="1601" t="s">
        <v>3202</v>
      </c>
      <c r="I185" s="1602"/>
      <c r="J185" s="1602"/>
      <c r="K185" s="1602"/>
      <c r="L185" s="1603"/>
    </row>
    <row r="186" spans="1:12" ht="36.75" customHeight="1" x14ac:dyDescent="0.25">
      <c r="A186" s="53">
        <v>179</v>
      </c>
      <c r="B186" s="25">
        <v>44742</v>
      </c>
      <c r="C186" s="55" t="s">
        <v>3218</v>
      </c>
      <c r="D186" s="25">
        <v>44742</v>
      </c>
      <c r="E186" s="55" t="s">
        <v>3219</v>
      </c>
      <c r="F186" s="53"/>
      <c r="G186" s="53" t="s">
        <v>3220</v>
      </c>
      <c r="H186" s="1601" t="s">
        <v>3221</v>
      </c>
      <c r="I186" s="1602"/>
      <c r="J186" s="1602"/>
      <c r="K186" s="1602"/>
      <c r="L186" s="1603"/>
    </row>
    <row r="187" spans="1:12" ht="51.75" customHeight="1" x14ac:dyDescent="0.25">
      <c r="A187" s="53">
        <v>180</v>
      </c>
      <c r="B187" s="25">
        <v>44743</v>
      </c>
      <c r="C187" s="55" t="s">
        <v>3235</v>
      </c>
      <c r="D187" s="25">
        <v>44744</v>
      </c>
      <c r="E187" s="55" t="s">
        <v>3236</v>
      </c>
      <c r="F187" s="53"/>
      <c r="G187" s="53" t="s">
        <v>3237</v>
      </c>
      <c r="H187" s="1601" t="s">
        <v>3234</v>
      </c>
      <c r="I187" s="1602"/>
      <c r="J187" s="1602"/>
      <c r="K187" s="1602"/>
      <c r="L187" s="1603"/>
    </row>
    <row r="188" spans="1:12" ht="56.25" customHeight="1" x14ac:dyDescent="0.25">
      <c r="A188" s="53">
        <v>181</v>
      </c>
      <c r="B188" s="25">
        <v>44745</v>
      </c>
      <c r="C188" s="55" t="s">
        <v>3246</v>
      </c>
      <c r="D188" s="25">
        <v>44746</v>
      </c>
      <c r="E188" s="55" t="s">
        <v>3247</v>
      </c>
      <c r="F188" s="53"/>
      <c r="G188" s="53" t="s">
        <v>3248</v>
      </c>
      <c r="H188" s="1601" t="s">
        <v>3245</v>
      </c>
      <c r="I188" s="1602"/>
      <c r="J188" s="1602"/>
      <c r="K188" s="1602"/>
      <c r="L188" s="1603"/>
    </row>
    <row r="189" spans="1:12" ht="46.5" customHeight="1" x14ac:dyDescent="0.25">
      <c r="A189" s="53">
        <v>182</v>
      </c>
      <c r="B189" s="25">
        <v>44746</v>
      </c>
      <c r="C189" s="55" t="s">
        <v>3249</v>
      </c>
      <c r="D189" s="25">
        <v>44746</v>
      </c>
      <c r="E189" s="55" t="s">
        <v>3250</v>
      </c>
      <c r="F189" s="53"/>
      <c r="G189" s="53" t="s">
        <v>3251</v>
      </c>
      <c r="H189" s="1608" t="s">
        <v>3257</v>
      </c>
      <c r="I189" s="1609"/>
      <c r="J189" s="1609"/>
      <c r="K189" s="1609"/>
      <c r="L189" s="1610"/>
    </row>
    <row r="190" spans="1:12" ht="46.5" customHeight="1" x14ac:dyDescent="0.25">
      <c r="A190" s="53">
        <v>183</v>
      </c>
      <c r="B190" s="25">
        <v>44746</v>
      </c>
      <c r="C190" s="55" t="s">
        <v>3302</v>
      </c>
      <c r="D190" s="25">
        <v>44747</v>
      </c>
      <c r="E190" s="55" t="s">
        <v>3303</v>
      </c>
      <c r="F190" s="53"/>
      <c r="G190" s="53" t="s">
        <v>3304</v>
      </c>
      <c r="H190" s="1611"/>
      <c r="I190" s="1612"/>
      <c r="J190" s="1612"/>
      <c r="K190" s="1612"/>
      <c r="L190" s="1613"/>
    </row>
    <row r="191" spans="1:12" ht="32.25" customHeight="1" x14ac:dyDescent="0.25">
      <c r="A191" s="53">
        <v>184</v>
      </c>
      <c r="B191" s="25">
        <v>44748</v>
      </c>
      <c r="C191" s="55" t="s">
        <v>3278</v>
      </c>
      <c r="D191" s="25">
        <v>44749</v>
      </c>
      <c r="E191" s="55" t="s">
        <v>3277</v>
      </c>
      <c r="F191" s="53"/>
      <c r="G191" s="53" t="s">
        <v>3279</v>
      </c>
      <c r="H191" s="1617" t="s">
        <v>3274</v>
      </c>
      <c r="I191" s="1617"/>
      <c r="J191" s="1617"/>
      <c r="K191" s="1617"/>
      <c r="L191" s="1617"/>
    </row>
    <row r="192" spans="1:12" ht="42.75" customHeight="1" x14ac:dyDescent="0.25">
      <c r="A192" s="53">
        <v>185</v>
      </c>
      <c r="B192" s="25">
        <v>44751</v>
      </c>
      <c r="C192" s="55" t="s">
        <v>3300</v>
      </c>
      <c r="D192" s="25">
        <v>44751</v>
      </c>
      <c r="E192" s="55" t="s">
        <v>3301</v>
      </c>
      <c r="F192" s="53"/>
      <c r="G192" s="53" t="s">
        <v>3299</v>
      </c>
      <c r="H192" s="1601" t="s">
        <v>3297</v>
      </c>
      <c r="I192" s="1602"/>
      <c r="J192" s="1602"/>
      <c r="K192" s="1602"/>
      <c r="L192" s="1603"/>
    </row>
    <row r="193" spans="1:12" ht="50.25" customHeight="1" x14ac:dyDescent="0.25">
      <c r="A193" s="53">
        <v>186</v>
      </c>
      <c r="B193" s="25">
        <v>44752</v>
      </c>
      <c r="C193" s="55" t="s">
        <v>3235</v>
      </c>
      <c r="D193" s="25">
        <v>44753</v>
      </c>
      <c r="E193" s="55" t="s">
        <v>3319</v>
      </c>
      <c r="F193" s="53"/>
      <c r="G193" s="53" t="s">
        <v>3318</v>
      </c>
      <c r="H193" s="1601" t="s">
        <v>3317</v>
      </c>
      <c r="I193" s="1602"/>
      <c r="J193" s="1602"/>
      <c r="K193" s="1602"/>
      <c r="L193" s="1603"/>
    </row>
    <row r="194" spans="1:12" ht="43.5" customHeight="1" x14ac:dyDescent="0.25">
      <c r="A194" s="53">
        <v>187</v>
      </c>
      <c r="B194" s="25">
        <v>44754</v>
      </c>
      <c r="C194" s="55" t="s">
        <v>3331</v>
      </c>
      <c r="D194" s="25">
        <v>44754</v>
      </c>
      <c r="E194" s="55" t="s">
        <v>3332</v>
      </c>
      <c r="F194" s="53"/>
      <c r="G194" s="53" t="s">
        <v>3333</v>
      </c>
      <c r="H194" s="1601" t="s">
        <v>3330</v>
      </c>
      <c r="I194" s="1602"/>
      <c r="J194" s="1602"/>
      <c r="K194" s="1602"/>
      <c r="L194" s="1603"/>
    </row>
    <row r="195" spans="1:12" ht="43.5" customHeight="1" x14ac:dyDescent="0.25">
      <c r="A195" s="1625">
        <v>188</v>
      </c>
      <c r="B195" s="25">
        <v>44755</v>
      </c>
      <c r="C195" s="55" t="s">
        <v>3337</v>
      </c>
      <c r="D195" s="53"/>
      <c r="E195" s="53"/>
      <c r="F195" s="53"/>
      <c r="G195" s="53" t="s">
        <v>3338</v>
      </c>
      <c r="H195" s="1608" t="s">
        <v>3365</v>
      </c>
      <c r="I195" s="1609"/>
      <c r="J195" s="1609"/>
      <c r="K195" s="1609"/>
      <c r="L195" s="1610"/>
    </row>
    <row r="196" spans="1:12" ht="36.75" customHeight="1" x14ac:dyDescent="0.25">
      <c r="A196" s="1625"/>
      <c r="B196" s="53"/>
      <c r="C196" s="53"/>
      <c r="D196" s="25">
        <v>44759</v>
      </c>
      <c r="E196" s="55" t="s">
        <v>3363</v>
      </c>
      <c r="F196" s="53"/>
      <c r="G196" s="53" t="s">
        <v>3366</v>
      </c>
      <c r="H196" s="1611"/>
      <c r="I196" s="1612"/>
      <c r="J196" s="1612"/>
      <c r="K196" s="1612"/>
      <c r="L196" s="1613"/>
    </row>
    <row r="197" spans="1:12" ht="45" customHeight="1" x14ac:dyDescent="0.25">
      <c r="A197" s="1606">
        <v>189</v>
      </c>
      <c r="B197" s="25">
        <v>44762</v>
      </c>
      <c r="C197" s="55" t="s">
        <v>3377</v>
      </c>
      <c r="D197" s="888"/>
      <c r="E197" s="888"/>
      <c r="F197" s="888"/>
      <c r="G197" s="888" t="s">
        <v>3378</v>
      </c>
      <c r="H197" s="1608" t="s">
        <v>3382</v>
      </c>
      <c r="I197" s="1609"/>
      <c r="J197" s="1609"/>
      <c r="K197" s="1609"/>
      <c r="L197" s="1610"/>
    </row>
    <row r="198" spans="1:12" ht="30.75" customHeight="1" x14ac:dyDescent="0.25">
      <c r="A198" s="1607"/>
      <c r="B198" s="53"/>
      <c r="C198" s="53"/>
      <c r="D198" s="25">
        <v>44760</v>
      </c>
      <c r="E198" s="55" t="s">
        <v>3383</v>
      </c>
      <c r="F198" s="889"/>
      <c r="G198" s="889" t="s">
        <v>1619</v>
      </c>
      <c r="H198" s="1611"/>
      <c r="I198" s="1612"/>
      <c r="J198" s="1612"/>
      <c r="K198" s="1612"/>
      <c r="L198" s="1613"/>
    </row>
    <row r="199" spans="1:12" ht="53.25" customHeight="1" x14ac:dyDescent="0.25">
      <c r="A199" s="890">
        <v>190</v>
      </c>
      <c r="B199" s="25">
        <v>44765</v>
      </c>
      <c r="C199" s="55" t="s">
        <v>3395</v>
      </c>
      <c r="D199" s="25">
        <v>44765</v>
      </c>
      <c r="E199" s="55" t="s">
        <v>3396</v>
      </c>
      <c r="F199" s="53"/>
      <c r="G199" s="53" t="s">
        <v>3070</v>
      </c>
      <c r="H199" s="1601" t="s">
        <v>3394</v>
      </c>
      <c r="I199" s="1602"/>
      <c r="J199" s="1602"/>
      <c r="K199" s="1602"/>
      <c r="L199" s="1603"/>
    </row>
    <row r="200" spans="1:12" ht="28.5" customHeight="1" x14ac:dyDescent="0.25">
      <c r="A200" s="890">
        <v>191</v>
      </c>
      <c r="B200" s="25">
        <v>44766</v>
      </c>
      <c r="C200" s="55" t="s">
        <v>3401</v>
      </c>
      <c r="D200" s="25">
        <v>44766</v>
      </c>
      <c r="E200" s="55" t="s">
        <v>3402</v>
      </c>
      <c r="F200" s="53"/>
      <c r="G200" s="53" t="s">
        <v>3298</v>
      </c>
      <c r="H200" s="1601" t="s">
        <v>3400</v>
      </c>
      <c r="I200" s="1602"/>
      <c r="J200" s="1602"/>
      <c r="K200" s="1602"/>
      <c r="L200" s="1603"/>
    </row>
    <row r="201" spans="1:12" ht="42" customHeight="1" x14ac:dyDescent="0.25">
      <c r="A201" s="890">
        <v>192</v>
      </c>
      <c r="B201" s="25">
        <v>44768</v>
      </c>
      <c r="C201" s="55" t="s">
        <v>2087</v>
      </c>
      <c r="D201" s="25">
        <v>44768</v>
      </c>
      <c r="E201" s="55" t="s">
        <v>3418</v>
      </c>
      <c r="F201" s="892"/>
      <c r="G201" s="892" t="s">
        <v>3426</v>
      </c>
      <c r="H201" s="1601" t="s">
        <v>3417</v>
      </c>
      <c r="I201" s="1602"/>
      <c r="J201" s="1602"/>
      <c r="K201" s="1602"/>
      <c r="L201" s="1603"/>
    </row>
    <row r="202" spans="1:12" ht="43.5" customHeight="1" x14ac:dyDescent="0.25">
      <c r="A202" s="890">
        <v>193</v>
      </c>
      <c r="B202" s="25">
        <v>44769</v>
      </c>
      <c r="C202" s="55" t="s">
        <v>3427</v>
      </c>
      <c r="D202" s="25">
        <v>44769</v>
      </c>
      <c r="E202" s="55" t="s">
        <v>3428</v>
      </c>
      <c r="F202" s="893"/>
      <c r="G202" s="893" t="s">
        <v>2340</v>
      </c>
      <c r="H202" s="1601" t="s">
        <v>3425</v>
      </c>
      <c r="I202" s="1602"/>
      <c r="J202" s="1602"/>
      <c r="K202" s="1602"/>
      <c r="L202" s="1603"/>
    </row>
    <row r="203" spans="1:12" ht="48" customHeight="1" x14ac:dyDescent="0.25">
      <c r="A203" s="894">
        <v>194</v>
      </c>
      <c r="B203" s="25">
        <v>44770</v>
      </c>
      <c r="C203" s="55" t="s">
        <v>3439</v>
      </c>
      <c r="D203" s="25">
        <v>44770</v>
      </c>
      <c r="E203" s="55" t="s">
        <v>3440</v>
      </c>
      <c r="F203" s="894"/>
      <c r="G203" s="894" t="s">
        <v>3441</v>
      </c>
      <c r="H203" s="1601" t="s">
        <v>3529</v>
      </c>
      <c r="I203" s="1602"/>
      <c r="J203" s="1602"/>
      <c r="K203" s="1602"/>
      <c r="L203" s="1603"/>
    </row>
    <row r="204" spans="1:12" ht="49.5" customHeight="1" x14ac:dyDescent="0.25">
      <c r="A204" s="896">
        <v>195</v>
      </c>
      <c r="B204" s="25">
        <v>44772</v>
      </c>
      <c r="C204" s="55" t="s">
        <v>3452</v>
      </c>
      <c r="D204" s="25">
        <v>44772</v>
      </c>
      <c r="E204" s="55" t="s">
        <v>3453</v>
      </c>
      <c r="F204" s="896"/>
      <c r="G204" s="896" t="s">
        <v>3454</v>
      </c>
      <c r="H204" s="1601" t="s">
        <v>3451</v>
      </c>
      <c r="I204" s="1602"/>
      <c r="J204" s="1602"/>
      <c r="K204" s="1602"/>
      <c r="L204" s="1603"/>
    </row>
    <row r="205" spans="1:12" ht="29.25" customHeight="1" x14ac:dyDescent="0.25">
      <c r="A205" s="900">
        <v>196</v>
      </c>
      <c r="B205" s="25">
        <v>44774</v>
      </c>
      <c r="C205" s="55" t="s">
        <v>3468</v>
      </c>
      <c r="D205" s="25">
        <v>44774</v>
      </c>
      <c r="E205" s="55" t="s">
        <v>3469</v>
      </c>
      <c r="F205" s="900"/>
      <c r="G205" s="900" t="s">
        <v>3470</v>
      </c>
      <c r="H205" s="1617" t="s">
        <v>3475</v>
      </c>
      <c r="I205" s="1617"/>
      <c r="J205" s="1617"/>
      <c r="K205" s="1617"/>
      <c r="L205" s="1617"/>
    </row>
    <row r="206" spans="1:12" ht="36" customHeight="1" x14ac:dyDescent="0.25">
      <c r="A206" s="900">
        <v>197</v>
      </c>
      <c r="B206" s="25">
        <v>44774</v>
      </c>
      <c r="C206" s="55" t="s">
        <v>3471</v>
      </c>
      <c r="D206" s="25">
        <v>44774</v>
      </c>
      <c r="E206" s="55" t="s">
        <v>3472</v>
      </c>
      <c r="F206" s="900"/>
      <c r="G206" s="900" t="s">
        <v>3473</v>
      </c>
      <c r="H206" s="1617"/>
      <c r="I206" s="1617"/>
      <c r="J206" s="1617"/>
      <c r="K206" s="1617"/>
      <c r="L206" s="1617"/>
    </row>
    <row r="207" spans="1:12" ht="31.5" customHeight="1" x14ac:dyDescent="0.25">
      <c r="A207" s="901">
        <v>198</v>
      </c>
      <c r="B207" s="25">
        <v>44775</v>
      </c>
      <c r="C207" s="55" t="s">
        <v>3476</v>
      </c>
      <c r="D207" s="25">
        <v>44775</v>
      </c>
      <c r="E207" s="55" t="s">
        <v>3477</v>
      </c>
      <c r="F207" s="901"/>
      <c r="G207" s="901" t="s">
        <v>3478</v>
      </c>
      <c r="H207" s="1617"/>
      <c r="I207" s="1617"/>
      <c r="J207" s="1617"/>
      <c r="K207" s="1617"/>
      <c r="L207" s="1617"/>
    </row>
    <row r="208" spans="1:12" ht="36.75" customHeight="1" x14ac:dyDescent="0.25">
      <c r="A208" s="901">
        <v>199</v>
      </c>
      <c r="B208" s="25">
        <v>44775</v>
      </c>
      <c r="C208" s="55" t="s">
        <v>3479</v>
      </c>
      <c r="D208" s="25">
        <v>44775</v>
      </c>
      <c r="E208" s="55" t="s">
        <v>3480</v>
      </c>
      <c r="F208" s="901"/>
      <c r="G208" s="901" t="s">
        <v>3481</v>
      </c>
      <c r="H208" s="1608" t="s">
        <v>3490</v>
      </c>
      <c r="I208" s="1609"/>
      <c r="J208" s="1609"/>
      <c r="K208" s="1609"/>
      <c r="L208" s="1610"/>
    </row>
    <row r="209" spans="1:12" ht="29.25" customHeight="1" x14ac:dyDescent="0.25">
      <c r="A209" s="902">
        <v>200</v>
      </c>
      <c r="B209" s="25">
        <v>44776</v>
      </c>
      <c r="C209" s="55" t="s">
        <v>3491</v>
      </c>
      <c r="D209" s="25">
        <v>44776</v>
      </c>
      <c r="E209" s="55" t="s">
        <v>3492</v>
      </c>
      <c r="F209" s="902"/>
      <c r="G209" s="902" t="s">
        <v>3493</v>
      </c>
      <c r="H209" s="1611"/>
      <c r="I209" s="1612"/>
      <c r="J209" s="1612"/>
      <c r="K209" s="1612"/>
      <c r="L209" s="1613"/>
    </row>
    <row r="210" spans="1:12" ht="42" customHeight="1" x14ac:dyDescent="0.25">
      <c r="A210" s="902">
        <v>201</v>
      </c>
      <c r="B210" s="25">
        <v>44776</v>
      </c>
      <c r="C210" s="55" t="s">
        <v>3494</v>
      </c>
      <c r="D210" s="25">
        <v>44776</v>
      </c>
      <c r="E210" s="55" t="s">
        <v>3495</v>
      </c>
      <c r="F210" s="902"/>
      <c r="G210" s="902" t="s">
        <v>3261</v>
      </c>
      <c r="H210" s="1617" t="s">
        <v>3489</v>
      </c>
      <c r="I210" s="1617"/>
      <c r="J210" s="1617"/>
      <c r="K210" s="1617"/>
      <c r="L210" s="1617"/>
    </row>
    <row r="211" spans="1:12" ht="39.75" customHeight="1" x14ac:dyDescent="0.25">
      <c r="A211" s="903">
        <v>202</v>
      </c>
      <c r="B211" s="25">
        <v>44778</v>
      </c>
      <c r="C211" s="55" t="s">
        <v>3509</v>
      </c>
      <c r="D211" s="25">
        <v>44779</v>
      </c>
      <c r="E211" s="55" t="s">
        <v>3517</v>
      </c>
      <c r="F211" s="903"/>
      <c r="G211" s="903" t="s">
        <v>3518</v>
      </c>
      <c r="H211" s="1617" t="s">
        <v>3516</v>
      </c>
      <c r="I211" s="1617"/>
      <c r="J211" s="1617"/>
      <c r="K211" s="1617"/>
      <c r="L211" s="1617"/>
    </row>
    <row r="212" spans="1:12" ht="59.25" customHeight="1" x14ac:dyDescent="0.25">
      <c r="A212" s="919">
        <v>203</v>
      </c>
      <c r="B212" s="25">
        <v>44779</v>
      </c>
      <c r="C212" s="55" t="s">
        <v>3437</v>
      </c>
      <c r="D212" s="25">
        <v>44780</v>
      </c>
      <c r="E212" s="55" t="s">
        <v>3525</v>
      </c>
      <c r="F212" s="904"/>
      <c r="G212" s="904" t="s">
        <v>3082</v>
      </c>
      <c r="H212" s="1617" t="s">
        <v>3526</v>
      </c>
      <c r="I212" s="1617"/>
      <c r="J212" s="1617"/>
      <c r="K212" s="1617"/>
      <c r="L212" s="1617"/>
    </row>
    <row r="213" spans="1:12" ht="72" customHeight="1" x14ac:dyDescent="0.25">
      <c r="A213" s="919">
        <v>204</v>
      </c>
      <c r="B213" s="25">
        <v>44782</v>
      </c>
      <c r="C213" s="55" t="s">
        <v>3546</v>
      </c>
      <c r="D213" s="25">
        <v>44782</v>
      </c>
      <c r="E213" s="55" t="s">
        <v>3130</v>
      </c>
      <c r="F213" s="906"/>
      <c r="G213" s="906" t="s">
        <v>3547</v>
      </c>
      <c r="H213" s="1617" t="s">
        <v>3545</v>
      </c>
      <c r="I213" s="1617"/>
      <c r="J213" s="1617"/>
      <c r="K213" s="1617"/>
      <c r="L213" s="1617"/>
    </row>
    <row r="214" spans="1:12" ht="72" customHeight="1" x14ac:dyDescent="0.25">
      <c r="A214" s="919">
        <v>205</v>
      </c>
      <c r="B214" s="25">
        <v>44784</v>
      </c>
      <c r="C214" s="55" t="s">
        <v>3561</v>
      </c>
      <c r="D214" s="25">
        <v>44784</v>
      </c>
      <c r="E214" s="55" t="s">
        <v>657</v>
      </c>
      <c r="F214" s="908"/>
      <c r="G214" s="908" t="s">
        <v>3566</v>
      </c>
      <c r="H214" s="1623" t="s">
        <v>3571</v>
      </c>
      <c r="I214" s="1624"/>
      <c r="J214" s="1624"/>
      <c r="K214" s="1624"/>
      <c r="L214" s="1624"/>
    </row>
    <row r="215" spans="1:12" ht="72" customHeight="1" x14ac:dyDescent="0.25">
      <c r="A215" s="919">
        <v>206</v>
      </c>
      <c r="B215" s="25">
        <v>44786</v>
      </c>
      <c r="C215" s="55" t="s">
        <v>2986</v>
      </c>
      <c r="D215" s="25">
        <v>44786</v>
      </c>
      <c r="E215" s="55" t="s">
        <v>825</v>
      </c>
      <c r="F215" s="911"/>
      <c r="G215" s="911" t="s">
        <v>3572</v>
      </c>
      <c r="H215" s="1623" t="s">
        <v>3570</v>
      </c>
      <c r="I215" s="1624"/>
      <c r="J215" s="1624"/>
      <c r="K215" s="1624"/>
      <c r="L215" s="1624"/>
    </row>
    <row r="216" spans="1:12" ht="49.5" customHeight="1" x14ac:dyDescent="0.25">
      <c r="A216" s="919">
        <v>207</v>
      </c>
      <c r="B216" s="25">
        <v>44787</v>
      </c>
      <c r="C216" s="914" t="s">
        <v>3586</v>
      </c>
      <c r="D216" s="25">
        <v>44788</v>
      </c>
      <c r="E216" s="914" t="s">
        <v>3585</v>
      </c>
      <c r="F216" s="914"/>
      <c r="G216" s="914" t="s">
        <v>3588</v>
      </c>
      <c r="H216" s="1601" t="s">
        <v>3587</v>
      </c>
      <c r="I216" s="1602"/>
      <c r="J216" s="1602"/>
      <c r="K216" s="1602"/>
      <c r="L216" s="1603"/>
    </row>
    <row r="217" spans="1:12" ht="49.5" customHeight="1" x14ac:dyDescent="0.25">
      <c r="A217" s="919">
        <v>208</v>
      </c>
      <c r="B217" s="25">
        <v>44789</v>
      </c>
      <c r="C217" s="916" t="s">
        <v>3597</v>
      </c>
      <c r="D217" s="25">
        <v>44790</v>
      </c>
      <c r="E217" s="916" t="s">
        <v>3598</v>
      </c>
      <c r="F217" s="916"/>
      <c r="G217" s="916" t="s">
        <v>3599</v>
      </c>
      <c r="H217" s="1601" t="s">
        <v>3600</v>
      </c>
      <c r="I217" s="1602"/>
      <c r="J217" s="1602"/>
      <c r="K217" s="1602"/>
      <c r="L217" s="1603"/>
    </row>
    <row r="218" spans="1:12" ht="49.5" customHeight="1" x14ac:dyDescent="0.25">
      <c r="A218" s="919">
        <v>209</v>
      </c>
      <c r="B218" s="25">
        <v>44791</v>
      </c>
      <c r="C218" s="914" t="s">
        <v>1809</v>
      </c>
      <c r="D218" s="25">
        <v>44792</v>
      </c>
      <c r="E218" s="914" t="s">
        <v>3609</v>
      </c>
      <c r="F218" s="914"/>
      <c r="G218" s="914" t="s">
        <v>3611</v>
      </c>
      <c r="H218" s="1601" t="s">
        <v>3610</v>
      </c>
      <c r="I218" s="1602"/>
      <c r="J218" s="1602"/>
      <c r="K218" s="1602"/>
      <c r="L218" s="1603"/>
    </row>
    <row r="219" spans="1:12" ht="49.5" customHeight="1" x14ac:dyDescent="0.25">
      <c r="A219" s="922">
        <v>210</v>
      </c>
      <c r="B219" s="25">
        <v>44793</v>
      </c>
      <c r="C219" s="922" t="s">
        <v>3618</v>
      </c>
      <c r="D219" s="25">
        <v>44794</v>
      </c>
      <c r="E219" s="922" t="s">
        <v>3624</v>
      </c>
      <c r="F219" s="922"/>
      <c r="G219" s="922" t="s">
        <v>3625</v>
      </c>
      <c r="H219" s="1601" t="s">
        <v>3626</v>
      </c>
      <c r="I219" s="1602"/>
      <c r="J219" s="1602"/>
      <c r="K219" s="1602"/>
      <c r="L219" s="1603"/>
    </row>
    <row r="220" spans="1:12" ht="49.5" customHeight="1" x14ac:dyDescent="0.25">
      <c r="A220" s="914">
        <v>211</v>
      </c>
      <c r="B220" s="25">
        <v>44796</v>
      </c>
      <c r="C220" s="914" t="s">
        <v>3640</v>
      </c>
      <c r="D220" s="25">
        <v>44796</v>
      </c>
      <c r="E220" s="914" t="s">
        <v>2805</v>
      </c>
      <c r="F220" s="914"/>
      <c r="G220" s="914" t="s">
        <v>3642</v>
      </c>
      <c r="H220" s="1601" t="s">
        <v>3641</v>
      </c>
      <c r="I220" s="1602"/>
      <c r="J220" s="1602"/>
      <c r="K220" s="1602"/>
      <c r="L220" s="1603"/>
    </row>
    <row r="221" spans="1:12" ht="98.25" customHeight="1" x14ac:dyDescent="0.25">
      <c r="A221" s="914">
        <v>212</v>
      </c>
      <c r="B221" s="25">
        <v>44797</v>
      </c>
      <c r="C221" s="914" t="s">
        <v>3651</v>
      </c>
      <c r="D221" s="25">
        <v>44798</v>
      </c>
      <c r="E221" s="914" t="s">
        <v>3652</v>
      </c>
      <c r="F221" s="914"/>
      <c r="G221" s="914" t="s">
        <v>3653</v>
      </c>
      <c r="H221" s="1601" t="s">
        <v>3654</v>
      </c>
      <c r="I221" s="1602"/>
      <c r="J221" s="1602"/>
      <c r="K221" s="1602"/>
      <c r="L221" s="1603"/>
    </row>
    <row r="222" spans="1:12" ht="49.5" customHeight="1" x14ac:dyDescent="0.25">
      <c r="A222" s="914">
        <v>213</v>
      </c>
      <c r="B222" s="25">
        <v>44799</v>
      </c>
      <c r="C222" s="914" t="s">
        <v>3664</v>
      </c>
      <c r="D222" s="25">
        <v>44800</v>
      </c>
      <c r="E222" s="914" t="s">
        <v>3665</v>
      </c>
      <c r="F222" s="914"/>
      <c r="G222" s="914" t="s">
        <v>3666</v>
      </c>
      <c r="H222" s="1601" t="s">
        <v>3667</v>
      </c>
      <c r="I222" s="1602"/>
      <c r="J222" s="1602"/>
      <c r="K222" s="1602"/>
      <c r="L222" s="1603"/>
    </row>
    <row r="223" spans="1:12" ht="49.5" customHeight="1" x14ac:dyDescent="0.25">
      <c r="A223" s="933">
        <v>214</v>
      </c>
      <c r="B223" s="25">
        <v>44801</v>
      </c>
      <c r="C223" s="933" t="s">
        <v>3671</v>
      </c>
      <c r="D223" s="25">
        <v>44801</v>
      </c>
      <c r="E223" s="933" t="s">
        <v>3693</v>
      </c>
      <c r="F223" s="933"/>
      <c r="G223" s="933" t="s">
        <v>3695</v>
      </c>
      <c r="H223" s="1601" t="s">
        <v>3694</v>
      </c>
      <c r="I223" s="1602"/>
      <c r="J223" s="1602"/>
      <c r="K223" s="1602"/>
      <c r="L223" s="1603"/>
    </row>
    <row r="224" spans="1:12" ht="49.5" customHeight="1" x14ac:dyDescent="0.25">
      <c r="A224" s="914">
        <v>215</v>
      </c>
      <c r="B224" s="25">
        <v>44802</v>
      </c>
      <c r="C224" s="914" t="s">
        <v>3684</v>
      </c>
      <c r="D224" s="25">
        <v>44803</v>
      </c>
      <c r="E224" s="914" t="s">
        <v>2624</v>
      </c>
      <c r="F224" s="914"/>
      <c r="G224" s="914" t="s">
        <v>3686</v>
      </c>
      <c r="H224" s="1601" t="s">
        <v>3685</v>
      </c>
      <c r="I224" s="1602"/>
      <c r="J224" s="1602"/>
      <c r="K224" s="1602"/>
      <c r="L224" s="1603"/>
    </row>
    <row r="225" spans="1:12" ht="49.5" customHeight="1" x14ac:dyDescent="0.25">
      <c r="A225" s="914">
        <v>216</v>
      </c>
      <c r="B225" s="25">
        <v>44804</v>
      </c>
      <c r="C225" s="914" t="s">
        <v>3697</v>
      </c>
      <c r="D225" s="25">
        <v>44805</v>
      </c>
      <c r="E225" s="914" t="s">
        <v>3706</v>
      </c>
      <c r="F225" s="914"/>
      <c r="G225" s="914" t="s">
        <v>3699</v>
      </c>
      <c r="H225" s="1601" t="s">
        <v>3698</v>
      </c>
      <c r="I225" s="1602"/>
      <c r="J225" s="1602"/>
      <c r="K225" s="1602"/>
      <c r="L225" s="1603"/>
    </row>
    <row r="226" spans="1:12" ht="49.5" customHeight="1" x14ac:dyDescent="0.25">
      <c r="A226" s="941">
        <v>217</v>
      </c>
      <c r="B226" s="25">
        <v>44806</v>
      </c>
      <c r="C226" s="941" t="s">
        <v>3710</v>
      </c>
      <c r="D226" s="25">
        <v>44807</v>
      </c>
      <c r="E226" s="941" t="s">
        <v>3720</v>
      </c>
      <c r="F226" s="941"/>
      <c r="G226" s="941" t="s">
        <v>3721</v>
      </c>
      <c r="H226" s="1601" t="s">
        <v>3722</v>
      </c>
      <c r="I226" s="1602"/>
      <c r="J226" s="1602"/>
      <c r="K226" s="1602"/>
      <c r="L226" s="1603"/>
    </row>
    <row r="227" spans="1:12" ht="49.5" customHeight="1" x14ac:dyDescent="0.25">
      <c r="A227" s="944">
        <v>218</v>
      </c>
      <c r="B227" s="25">
        <v>44808</v>
      </c>
      <c r="C227" s="944" t="s">
        <v>3728</v>
      </c>
      <c r="D227" s="25">
        <v>44808</v>
      </c>
      <c r="E227" s="944" t="s">
        <v>3729</v>
      </c>
      <c r="F227" s="944"/>
      <c r="G227" s="944" t="s">
        <v>3731</v>
      </c>
      <c r="H227" s="1601" t="s">
        <v>3730</v>
      </c>
      <c r="I227" s="1602"/>
      <c r="J227" s="1602"/>
      <c r="K227" s="1602"/>
      <c r="L227" s="1603"/>
    </row>
    <row r="228" spans="1:12" ht="49.5" customHeight="1" x14ac:dyDescent="0.25">
      <c r="A228" s="946">
        <v>219</v>
      </c>
      <c r="B228" s="25">
        <v>44809</v>
      </c>
      <c r="C228" s="946" t="s">
        <v>3740</v>
      </c>
      <c r="D228" s="25">
        <v>44810</v>
      </c>
      <c r="E228" s="946" t="s">
        <v>3741</v>
      </c>
      <c r="F228" s="946"/>
      <c r="G228" s="946" t="s">
        <v>3742</v>
      </c>
      <c r="H228" s="1601" t="s">
        <v>3745</v>
      </c>
      <c r="I228" s="1602"/>
      <c r="J228" s="1602"/>
      <c r="K228" s="1602"/>
      <c r="L228" s="1603"/>
    </row>
    <row r="229" spans="1:12" ht="49.5" customHeight="1" x14ac:dyDescent="0.25">
      <c r="A229" s="950">
        <v>220</v>
      </c>
      <c r="B229" s="25">
        <v>44811</v>
      </c>
      <c r="C229" s="950" t="s">
        <v>3753</v>
      </c>
      <c r="D229" s="25">
        <v>44812</v>
      </c>
      <c r="E229" s="950" t="s">
        <v>3754</v>
      </c>
      <c r="F229" s="950"/>
      <c r="G229" s="950" t="s">
        <v>3756</v>
      </c>
      <c r="H229" s="1601" t="s">
        <v>3755</v>
      </c>
      <c r="I229" s="1602"/>
      <c r="J229" s="1602"/>
      <c r="K229" s="1602"/>
      <c r="L229" s="1603"/>
    </row>
    <row r="230" spans="1:12" ht="49.5" customHeight="1" x14ac:dyDescent="0.25">
      <c r="A230" s="952">
        <v>221</v>
      </c>
      <c r="B230" s="25">
        <v>44812</v>
      </c>
      <c r="C230" s="952" t="s">
        <v>3763</v>
      </c>
      <c r="D230" s="25">
        <v>44813</v>
      </c>
      <c r="E230" s="952" t="s">
        <v>3764</v>
      </c>
      <c r="F230" s="952"/>
      <c r="G230" s="952" t="s">
        <v>3766</v>
      </c>
      <c r="H230" s="1601" t="s">
        <v>3765</v>
      </c>
      <c r="I230" s="1602"/>
      <c r="J230" s="1602"/>
      <c r="K230" s="1602"/>
      <c r="L230" s="1603"/>
    </row>
    <row r="231" spans="1:12" ht="49.5" customHeight="1" x14ac:dyDescent="0.25">
      <c r="A231" s="954">
        <v>222</v>
      </c>
      <c r="B231" s="25">
        <v>44814</v>
      </c>
      <c r="C231" s="954" t="s">
        <v>3773</v>
      </c>
      <c r="D231" s="25">
        <v>44815</v>
      </c>
      <c r="E231" s="954" t="s">
        <v>3789</v>
      </c>
      <c r="F231" s="954"/>
      <c r="G231" s="954" t="s">
        <v>3790</v>
      </c>
      <c r="H231" s="1601" t="s">
        <v>3791</v>
      </c>
      <c r="I231" s="1602"/>
      <c r="J231" s="1602"/>
      <c r="K231" s="1602"/>
      <c r="L231" s="1603"/>
    </row>
    <row r="232" spans="1:12" ht="49.5" customHeight="1" x14ac:dyDescent="0.25">
      <c r="A232" s="957">
        <v>223</v>
      </c>
      <c r="B232" s="25">
        <v>44815</v>
      </c>
      <c r="C232" s="957" t="s">
        <v>2920</v>
      </c>
      <c r="D232" s="25">
        <v>44816</v>
      </c>
      <c r="E232" s="957" t="s">
        <v>3792</v>
      </c>
      <c r="F232" s="957"/>
      <c r="G232" s="957" t="s">
        <v>3794</v>
      </c>
      <c r="H232" s="1601" t="s">
        <v>3793</v>
      </c>
      <c r="I232" s="1602"/>
      <c r="J232" s="1602"/>
      <c r="K232" s="1602"/>
      <c r="L232" s="1603"/>
    </row>
    <row r="233" spans="1:12" ht="49.5" customHeight="1" x14ac:dyDescent="0.25">
      <c r="A233" s="959">
        <v>224</v>
      </c>
      <c r="B233" s="25">
        <v>44817</v>
      </c>
      <c r="C233" s="959" t="s">
        <v>2567</v>
      </c>
      <c r="D233" s="25">
        <v>44818</v>
      </c>
      <c r="E233" s="959" t="s">
        <v>2546</v>
      </c>
      <c r="F233" s="959"/>
      <c r="G233" s="959" t="s">
        <v>3810</v>
      </c>
      <c r="H233" s="1601" t="s">
        <v>3809</v>
      </c>
      <c r="I233" s="1602"/>
      <c r="J233" s="1602"/>
      <c r="K233" s="1602"/>
      <c r="L233" s="1603"/>
    </row>
    <row r="234" spans="1:12" ht="57.75" customHeight="1" x14ac:dyDescent="0.25">
      <c r="A234" s="966">
        <v>225</v>
      </c>
      <c r="B234" s="25">
        <v>44819</v>
      </c>
      <c r="C234" s="966" t="s">
        <v>3824</v>
      </c>
      <c r="D234" s="25">
        <v>44820</v>
      </c>
      <c r="E234" s="966" t="s">
        <v>3825</v>
      </c>
      <c r="F234" s="966"/>
      <c r="G234" s="966" t="s">
        <v>3827</v>
      </c>
      <c r="H234" s="1601" t="s">
        <v>3826</v>
      </c>
      <c r="I234" s="1602"/>
      <c r="J234" s="1602"/>
      <c r="K234" s="1602"/>
      <c r="L234" s="1603"/>
    </row>
    <row r="235" spans="1:12" ht="57.75" customHeight="1" x14ac:dyDescent="0.25">
      <c r="A235" s="966">
        <v>226</v>
      </c>
      <c r="B235" s="25">
        <v>44821</v>
      </c>
      <c r="C235" s="966" t="s">
        <v>3773</v>
      </c>
      <c r="D235" s="25">
        <v>44822</v>
      </c>
      <c r="E235" s="966" t="s">
        <v>3828</v>
      </c>
      <c r="F235" s="966"/>
      <c r="G235" s="966" t="s">
        <v>3829</v>
      </c>
      <c r="H235" s="1601" t="s">
        <v>3830</v>
      </c>
      <c r="I235" s="1602"/>
      <c r="J235" s="1602"/>
      <c r="K235" s="1602"/>
      <c r="L235" s="1603"/>
    </row>
    <row r="236" spans="1:12" ht="59.25" customHeight="1" x14ac:dyDescent="0.25">
      <c r="A236" s="966">
        <v>227</v>
      </c>
      <c r="B236" s="25">
        <v>44823</v>
      </c>
      <c r="C236" s="966" t="s">
        <v>1855</v>
      </c>
      <c r="D236" s="25">
        <v>44824</v>
      </c>
      <c r="E236" s="966" t="s">
        <v>3853</v>
      </c>
      <c r="F236" s="966"/>
      <c r="G236" s="966">
        <v>11.52</v>
      </c>
      <c r="H236" s="1601" t="s">
        <v>3854</v>
      </c>
      <c r="I236" s="1602"/>
      <c r="J236" s="1602"/>
      <c r="K236" s="1602"/>
      <c r="L236" s="1603"/>
    </row>
    <row r="237" spans="1:12" ht="59.25" customHeight="1" x14ac:dyDescent="0.25">
      <c r="A237" s="971">
        <v>228</v>
      </c>
      <c r="B237" s="25">
        <v>44825</v>
      </c>
      <c r="C237" s="971" t="s">
        <v>3864</v>
      </c>
      <c r="D237" s="25">
        <v>44825</v>
      </c>
      <c r="E237" s="971" t="s">
        <v>3865</v>
      </c>
      <c r="F237" s="971"/>
      <c r="G237" s="971" t="s">
        <v>3867</v>
      </c>
      <c r="H237" s="1601" t="s">
        <v>3866</v>
      </c>
      <c r="I237" s="1602"/>
      <c r="J237" s="1602"/>
      <c r="K237" s="1602"/>
      <c r="L237" s="1603"/>
    </row>
    <row r="238" spans="1:12" ht="60.75" customHeight="1" x14ac:dyDescent="0.25">
      <c r="A238" s="966">
        <v>229</v>
      </c>
      <c r="B238" s="25">
        <v>44826</v>
      </c>
      <c r="C238" s="966" t="s">
        <v>3872</v>
      </c>
      <c r="D238" s="25">
        <v>44827</v>
      </c>
      <c r="E238" s="966" t="s">
        <v>3877</v>
      </c>
      <c r="F238" s="966"/>
      <c r="G238" s="966" t="s">
        <v>3878</v>
      </c>
      <c r="H238" s="1601" t="s">
        <v>3879</v>
      </c>
      <c r="I238" s="1602"/>
      <c r="J238" s="1602"/>
      <c r="K238" s="1602"/>
      <c r="L238" s="1603"/>
    </row>
    <row r="239" spans="1:12" ht="60.75" customHeight="1" x14ac:dyDescent="0.25">
      <c r="A239" s="966">
        <v>230</v>
      </c>
      <c r="B239" s="25">
        <v>44828</v>
      </c>
      <c r="C239" s="966" t="s">
        <v>3886</v>
      </c>
      <c r="D239" s="25">
        <v>44828</v>
      </c>
      <c r="E239" s="966" t="s">
        <v>3887</v>
      </c>
      <c r="F239" s="966"/>
      <c r="G239" s="966">
        <v>1.7</v>
      </c>
      <c r="H239" s="1601" t="s">
        <v>3888</v>
      </c>
      <c r="I239" s="1602"/>
      <c r="J239" s="1602"/>
      <c r="K239" s="1602"/>
      <c r="L239" s="1603"/>
    </row>
    <row r="240" spans="1:12" ht="41.25" customHeight="1" x14ac:dyDescent="0.25">
      <c r="A240" s="966">
        <v>231</v>
      </c>
      <c r="B240" s="25">
        <v>44829</v>
      </c>
      <c r="C240" s="966" t="s">
        <v>3898</v>
      </c>
      <c r="D240" s="25">
        <v>44829</v>
      </c>
      <c r="E240" s="966" t="s">
        <v>3899</v>
      </c>
      <c r="F240" s="966"/>
      <c r="G240" s="966" t="s">
        <v>3901</v>
      </c>
      <c r="H240" s="1601" t="s">
        <v>3900</v>
      </c>
      <c r="I240" s="1602"/>
      <c r="J240" s="1602"/>
      <c r="K240" s="1602"/>
      <c r="L240" s="1603"/>
    </row>
    <row r="241" spans="1:12" ht="61.5" customHeight="1" x14ac:dyDescent="0.25">
      <c r="A241" s="966">
        <v>232</v>
      </c>
      <c r="B241" s="25">
        <v>44830</v>
      </c>
      <c r="C241" s="966" t="s">
        <v>1565</v>
      </c>
      <c r="D241" s="25">
        <v>44831</v>
      </c>
      <c r="E241" s="966" t="s">
        <v>3917</v>
      </c>
      <c r="F241" s="966"/>
      <c r="G241" s="966" t="s">
        <v>3919</v>
      </c>
      <c r="H241" s="1601" t="s">
        <v>3918</v>
      </c>
      <c r="I241" s="1602"/>
      <c r="J241" s="1602"/>
      <c r="K241" s="1602"/>
      <c r="L241" s="1603"/>
    </row>
    <row r="242" spans="1:12" ht="55.5" customHeight="1" x14ac:dyDescent="0.25">
      <c r="A242" s="966">
        <v>233</v>
      </c>
      <c r="B242" s="25">
        <v>44832</v>
      </c>
      <c r="C242" s="966" t="s">
        <v>3926</v>
      </c>
      <c r="D242" s="25">
        <v>44832</v>
      </c>
      <c r="E242" s="966" t="s">
        <v>3927</v>
      </c>
      <c r="F242" s="966"/>
      <c r="G242" s="966">
        <v>7.78</v>
      </c>
      <c r="H242" s="1601" t="s">
        <v>3928</v>
      </c>
      <c r="I242" s="1602"/>
      <c r="J242" s="1602"/>
      <c r="K242" s="1602"/>
      <c r="L242" s="1603"/>
    </row>
    <row r="243" spans="1:12" ht="58.5" customHeight="1" x14ac:dyDescent="0.25">
      <c r="A243" s="966">
        <v>234</v>
      </c>
      <c r="B243" s="25">
        <v>44833</v>
      </c>
      <c r="C243" s="966" t="s">
        <v>3932</v>
      </c>
      <c r="D243" s="25">
        <v>44834</v>
      </c>
      <c r="E243" s="966" t="s">
        <v>3939</v>
      </c>
      <c r="F243" s="966"/>
      <c r="G243" s="966" t="s">
        <v>3940</v>
      </c>
      <c r="H243" s="1601" t="s">
        <v>3941</v>
      </c>
      <c r="I243" s="1602"/>
      <c r="J243" s="1602"/>
      <c r="K243" s="1602"/>
      <c r="L243" s="1603"/>
    </row>
    <row r="244" spans="1:12" ht="58.5" customHeight="1" x14ac:dyDescent="0.25">
      <c r="A244" s="966">
        <v>235</v>
      </c>
      <c r="B244" s="25">
        <v>44835</v>
      </c>
      <c r="C244" s="966" t="s">
        <v>3951</v>
      </c>
      <c r="D244" s="25">
        <v>44835</v>
      </c>
      <c r="E244" s="966" t="s">
        <v>2036</v>
      </c>
      <c r="F244" s="966"/>
      <c r="G244" s="966" t="s">
        <v>3953</v>
      </c>
      <c r="H244" s="1601" t="s">
        <v>3952</v>
      </c>
      <c r="I244" s="1602"/>
      <c r="J244" s="1602"/>
      <c r="K244" s="1602"/>
      <c r="L244" s="1603"/>
    </row>
    <row r="245" spans="1:12" ht="54" customHeight="1" x14ac:dyDescent="0.25">
      <c r="A245" s="966">
        <v>236</v>
      </c>
      <c r="B245" s="25">
        <v>44837</v>
      </c>
      <c r="C245" s="966" t="s">
        <v>3967</v>
      </c>
      <c r="D245" s="25">
        <v>44837</v>
      </c>
      <c r="E245" s="966" t="s">
        <v>3968</v>
      </c>
      <c r="F245" s="966"/>
      <c r="G245" s="966" t="s">
        <v>3970</v>
      </c>
      <c r="H245" s="1601" t="s">
        <v>3969</v>
      </c>
      <c r="I245" s="1602"/>
      <c r="J245" s="1602"/>
      <c r="K245" s="1602"/>
      <c r="L245" s="1603"/>
    </row>
    <row r="246" spans="1:12" ht="59.25" customHeight="1" x14ac:dyDescent="0.25">
      <c r="A246" s="990">
        <v>237</v>
      </c>
      <c r="B246" s="25">
        <v>44838</v>
      </c>
      <c r="C246" s="966" t="s">
        <v>2802</v>
      </c>
      <c r="D246" s="25">
        <v>44839</v>
      </c>
      <c r="E246" s="966" t="s">
        <v>3981</v>
      </c>
      <c r="F246" s="966"/>
      <c r="G246" s="966">
        <v>11.62</v>
      </c>
      <c r="H246" s="1601" t="s">
        <v>3982</v>
      </c>
      <c r="I246" s="1602"/>
      <c r="J246" s="1602"/>
      <c r="K246" s="1602"/>
      <c r="L246" s="1603"/>
    </row>
    <row r="247" spans="1:12" ht="68.25" customHeight="1" x14ac:dyDescent="0.25">
      <c r="A247" s="966">
        <v>238</v>
      </c>
      <c r="B247" s="25">
        <v>44840</v>
      </c>
      <c r="C247" s="966" t="s">
        <v>3990</v>
      </c>
      <c r="D247" s="25">
        <v>44840</v>
      </c>
      <c r="E247" s="966" t="s">
        <v>3991</v>
      </c>
      <c r="F247" s="966"/>
      <c r="G247" s="966" t="s">
        <v>3993</v>
      </c>
      <c r="H247" s="1601" t="s">
        <v>3992</v>
      </c>
      <c r="I247" s="1602"/>
      <c r="J247" s="1602"/>
      <c r="K247" s="1602"/>
      <c r="L247" s="1603"/>
    </row>
    <row r="248" spans="1:12" ht="78.75" customHeight="1" x14ac:dyDescent="0.25">
      <c r="A248" s="966">
        <v>239</v>
      </c>
      <c r="B248" s="25">
        <v>44841</v>
      </c>
      <c r="C248" s="966" t="s">
        <v>4005</v>
      </c>
      <c r="D248" s="25">
        <v>44842</v>
      </c>
      <c r="E248" s="966" t="s">
        <v>4006</v>
      </c>
      <c r="F248" s="966"/>
      <c r="G248" s="966" t="s">
        <v>4007</v>
      </c>
      <c r="H248" s="1601" t="s">
        <v>4008</v>
      </c>
      <c r="I248" s="1602"/>
      <c r="J248" s="1602"/>
      <c r="K248" s="1602"/>
      <c r="L248" s="1603"/>
    </row>
    <row r="249" spans="1:12" ht="61.5" customHeight="1" x14ac:dyDescent="0.25">
      <c r="A249" s="966">
        <v>240</v>
      </c>
      <c r="B249" s="25">
        <v>44842</v>
      </c>
      <c r="C249" s="966" t="s">
        <v>4013</v>
      </c>
      <c r="D249" s="25">
        <v>44843</v>
      </c>
      <c r="E249" s="966" t="s">
        <v>2768</v>
      </c>
      <c r="F249" s="966"/>
      <c r="G249" s="966" t="s">
        <v>4014</v>
      </c>
      <c r="H249" s="1601" t="s">
        <v>4015</v>
      </c>
      <c r="I249" s="1602"/>
      <c r="J249" s="1602"/>
      <c r="K249" s="1602"/>
      <c r="L249" s="1603"/>
    </row>
    <row r="250" spans="1:12" ht="48.75" customHeight="1" x14ac:dyDescent="0.25">
      <c r="A250" s="966">
        <v>241</v>
      </c>
      <c r="B250" s="25">
        <v>44844</v>
      </c>
      <c r="C250" s="966" t="s">
        <v>4027</v>
      </c>
      <c r="D250" s="25">
        <v>44845</v>
      </c>
      <c r="E250" s="966" t="s">
        <v>4027</v>
      </c>
      <c r="F250" s="966"/>
      <c r="G250" s="966" t="s">
        <v>4029</v>
      </c>
      <c r="H250" s="1601" t="s">
        <v>4028</v>
      </c>
      <c r="I250" s="1602"/>
      <c r="J250" s="1602"/>
      <c r="K250" s="1602"/>
      <c r="L250" s="1603"/>
    </row>
    <row r="251" spans="1:12" ht="66" customHeight="1" x14ac:dyDescent="0.25">
      <c r="A251" s="966">
        <v>242</v>
      </c>
      <c r="B251" s="25">
        <v>44846</v>
      </c>
      <c r="C251" s="966" t="s">
        <v>4041</v>
      </c>
      <c r="D251" s="25">
        <v>44847</v>
      </c>
      <c r="E251" s="966" t="s">
        <v>3822</v>
      </c>
      <c r="F251" s="966"/>
      <c r="G251" s="966" t="s">
        <v>4043</v>
      </c>
      <c r="H251" s="1601" t="s">
        <v>4042</v>
      </c>
      <c r="I251" s="1602"/>
      <c r="J251" s="1602"/>
      <c r="K251" s="1602"/>
      <c r="L251" s="1603"/>
    </row>
    <row r="252" spans="1:12" ht="76.5" customHeight="1" x14ac:dyDescent="0.25">
      <c r="A252" s="966">
        <v>243</v>
      </c>
      <c r="B252" s="25">
        <v>44847</v>
      </c>
      <c r="C252" s="966" t="s">
        <v>4044</v>
      </c>
      <c r="D252" s="25">
        <v>44848</v>
      </c>
      <c r="E252" s="966" t="s">
        <v>4045</v>
      </c>
      <c r="F252" s="966"/>
      <c r="G252" s="966" t="s">
        <v>4046</v>
      </c>
      <c r="H252" s="1601" t="s">
        <v>4047</v>
      </c>
      <c r="I252" s="1602"/>
      <c r="J252" s="1602"/>
      <c r="K252" s="1602"/>
      <c r="L252" s="1603"/>
    </row>
    <row r="253" spans="1:12" ht="61.5" customHeight="1" x14ac:dyDescent="0.25">
      <c r="A253" s="966">
        <v>245</v>
      </c>
      <c r="B253" s="25">
        <v>44849</v>
      </c>
      <c r="C253" s="966" t="s">
        <v>4067</v>
      </c>
      <c r="D253" s="25">
        <v>44850</v>
      </c>
      <c r="E253" s="966" t="s">
        <v>4068</v>
      </c>
      <c r="F253" s="966"/>
      <c r="G253" s="966" t="s">
        <v>4069</v>
      </c>
      <c r="H253" s="1601" t="s">
        <v>4070</v>
      </c>
      <c r="I253" s="1602"/>
      <c r="J253" s="1602"/>
      <c r="K253" s="1602"/>
      <c r="L253" s="1603"/>
    </row>
    <row r="254" spans="1:12" ht="54" customHeight="1" x14ac:dyDescent="0.25">
      <c r="A254" s="966">
        <v>246</v>
      </c>
      <c r="B254" s="25">
        <v>44850</v>
      </c>
      <c r="C254" s="966" t="s">
        <v>2005</v>
      </c>
      <c r="D254" s="25">
        <v>44850</v>
      </c>
      <c r="E254" s="966" t="s">
        <v>4071</v>
      </c>
      <c r="F254" s="966"/>
      <c r="G254" s="966" t="s">
        <v>4073</v>
      </c>
      <c r="H254" s="1601" t="s">
        <v>4072</v>
      </c>
      <c r="I254" s="1602"/>
      <c r="J254" s="1602"/>
      <c r="K254" s="1602"/>
      <c r="L254" s="1603"/>
    </row>
    <row r="255" spans="1:12" ht="67.5" customHeight="1" x14ac:dyDescent="0.25">
      <c r="A255" s="966">
        <v>247</v>
      </c>
      <c r="B255" s="25">
        <v>44851</v>
      </c>
      <c r="C255" s="966" t="s">
        <v>4079</v>
      </c>
      <c r="D255" s="25">
        <v>44851</v>
      </c>
      <c r="E255" s="966" t="s">
        <v>4080</v>
      </c>
      <c r="F255" s="966"/>
      <c r="G255" s="966" t="s">
        <v>4082</v>
      </c>
      <c r="H255" s="1601" t="s">
        <v>4081</v>
      </c>
      <c r="I255" s="1602"/>
      <c r="J255" s="1602"/>
      <c r="K255" s="1602"/>
      <c r="L255" s="1603"/>
    </row>
    <row r="256" spans="1:12" ht="41.25" customHeight="1" x14ac:dyDescent="0.25">
      <c r="A256" s="966">
        <v>248</v>
      </c>
      <c r="B256" s="25">
        <v>44852</v>
      </c>
      <c r="C256" s="966" t="s">
        <v>3697</v>
      </c>
      <c r="D256" s="25">
        <v>44853</v>
      </c>
      <c r="E256" s="966" t="s">
        <v>4092</v>
      </c>
      <c r="F256" s="966"/>
      <c r="G256" s="966" t="s">
        <v>4093</v>
      </c>
      <c r="H256" s="1608" t="s">
        <v>4104</v>
      </c>
      <c r="I256" s="1609"/>
      <c r="J256" s="1609"/>
      <c r="K256" s="1609"/>
      <c r="L256" s="1610"/>
    </row>
    <row r="257" spans="1:12" ht="41.25" customHeight="1" x14ac:dyDescent="0.25">
      <c r="A257" s="966">
        <v>249</v>
      </c>
      <c r="B257" s="25">
        <v>44853</v>
      </c>
      <c r="C257" s="966" t="s">
        <v>820</v>
      </c>
      <c r="D257" s="25">
        <v>44854</v>
      </c>
      <c r="E257" s="966" t="s">
        <v>4102</v>
      </c>
      <c r="F257" s="966"/>
      <c r="G257" s="966" t="s">
        <v>4103</v>
      </c>
      <c r="H257" s="1611"/>
      <c r="I257" s="1612"/>
      <c r="J257" s="1612"/>
      <c r="K257" s="1612"/>
      <c r="L257" s="1613"/>
    </row>
    <row r="258" spans="1:12" ht="78.75" customHeight="1" x14ac:dyDescent="0.25">
      <c r="A258" s="966">
        <v>250</v>
      </c>
      <c r="B258" s="25">
        <v>44855</v>
      </c>
      <c r="C258" s="966" t="s">
        <v>4113</v>
      </c>
      <c r="D258" s="25">
        <v>44856</v>
      </c>
      <c r="E258" s="966" t="s">
        <v>3019</v>
      </c>
      <c r="F258" s="966"/>
      <c r="G258" s="966" t="s">
        <v>4115</v>
      </c>
      <c r="H258" s="1601" t="s">
        <v>4114</v>
      </c>
      <c r="I258" s="1602"/>
      <c r="J258" s="1602"/>
      <c r="K258" s="1602"/>
      <c r="L258" s="1603"/>
    </row>
    <row r="259" spans="1:12" ht="54.75" customHeight="1" x14ac:dyDescent="0.25">
      <c r="A259" s="966">
        <v>251</v>
      </c>
      <c r="B259" s="25">
        <v>44857</v>
      </c>
      <c r="C259" s="966" t="s">
        <v>4119</v>
      </c>
      <c r="D259" s="25">
        <v>44858</v>
      </c>
      <c r="E259" s="966" t="s">
        <v>3665</v>
      </c>
      <c r="F259" s="966"/>
      <c r="G259" s="966" t="s">
        <v>4125</v>
      </c>
      <c r="H259" s="1601" t="s">
        <v>4126</v>
      </c>
      <c r="I259" s="1602"/>
      <c r="J259" s="1602"/>
      <c r="K259" s="1602"/>
      <c r="L259" s="1603"/>
    </row>
    <row r="260" spans="1:12" ht="51" customHeight="1" x14ac:dyDescent="0.25">
      <c r="A260" s="966">
        <v>252</v>
      </c>
      <c r="B260" s="25">
        <v>44859</v>
      </c>
      <c r="C260" s="966" t="s">
        <v>4127</v>
      </c>
      <c r="D260" s="25">
        <v>44860</v>
      </c>
      <c r="E260" s="966" t="s">
        <v>4137</v>
      </c>
      <c r="F260" s="966"/>
      <c r="G260" s="966" t="s">
        <v>4138</v>
      </c>
      <c r="H260" s="1601" t="s">
        <v>4139</v>
      </c>
      <c r="I260" s="1602"/>
      <c r="J260" s="1602"/>
      <c r="K260" s="1602"/>
      <c r="L260" s="1603"/>
    </row>
    <row r="261" spans="1:12" ht="57" customHeight="1" x14ac:dyDescent="0.25">
      <c r="A261" s="966">
        <v>253</v>
      </c>
      <c r="B261" s="25">
        <v>44861</v>
      </c>
      <c r="C261" s="966" t="s">
        <v>3741</v>
      </c>
      <c r="D261" s="25">
        <v>44862</v>
      </c>
      <c r="E261" s="966" t="s">
        <v>870</v>
      </c>
      <c r="F261" s="966"/>
      <c r="G261" s="966" t="s">
        <v>771</v>
      </c>
      <c r="H261" s="1601" t="s">
        <v>4155</v>
      </c>
      <c r="I261" s="1602"/>
      <c r="J261" s="1602"/>
      <c r="K261" s="1602"/>
      <c r="L261" s="1603"/>
    </row>
    <row r="262" spans="1:12" ht="59.25" customHeight="1" x14ac:dyDescent="0.25">
      <c r="A262" s="966">
        <v>254</v>
      </c>
      <c r="B262" s="25">
        <v>44862</v>
      </c>
      <c r="C262" s="966" t="s">
        <v>2035</v>
      </c>
      <c r="D262" s="25">
        <v>44863</v>
      </c>
      <c r="E262" s="966" t="s">
        <v>4156</v>
      </c>
      <c r="F262" s="966"/>
      <c r="G262" s="966" t="s">
        <v>4157</v>
      </c>
      <c r="H262" s="1601" t="s">
        <v>4159</v>
      </c>
      <c r="I262" s="1602"/>
      <c r="J262" s="1602"/>
      <c r="K262" s="1602"/>
      <c r="L262" s="1603"/>
    </row>
    <row r="263" spans="1:12" ht="67.5" customHeight="1" x14ac:dyDescent="0.25">
      <c r="A263" s="966">
        <v>255</v>
      </c>
      <c r="B263" s="25">
        <v>44863</v>
      </c>
      <c r="C263" s="966" t="s">
        <v>4163</v>
      </c>
      <c r="D263" s="25">
        <v>44863</v>
      </c>
      <c r="E263" s="966" t="s">
        <v>4164</v>
      </c>
      <c r="F263" s="966"/>
      <c r="G263" s="966" t="s">
        <v>4165</v>
      </c>
      <c r="H263" s="1601" t="s">
        <v>4166</v>
      </c>
      <c r="I263" s="1602"/>
      <c r="J263" s="1602"/>
      <c r="K263" s="1602"/>
      <c r="L263" s="1603"/>
    </row>
    <row r="264" spans="1:12" ht="71.25" customHeight="1" x14ac:dyDescent="0.25">
      <c r="A264" s="966">
        <v>256</v>
      </c>
      <c r="B264" s="25">
        <v>44865</v>
      </c>
      <c r="C264" s="966" t="s">
        <v>4172</v>
      </c>
      <c r="D264" s="25">
        <v>44865</v>
      </c>
      <c r="E264" s="966" t="s">
        <v>4173</v>
      </c>
      <c r="F264" s="966"/>
      <c r="G264" s="966" t="s">
        <v>4175</v>
      </c>
      <c r="H264" s="1601" t="s">
        <v>4174</v>
      </c>
      <c r="I264" s="1602"/>
      <c r="J264" s="1602"/>
      <c r="K264" s="1602"/>
      <c r="L264" s="1603"/>
    </row>
    <row r="265" spans="1:12" ht="41.25" customHeight="1" x14ac:dyDescent="0.25">
      <c r="A265" s="966">
        <v>257</v>
      </c>
      <c r="B265" s="25">
        <v>44868</v>
      </c>
      <c r="C265" s="966" t="s">
        <v>4185</v>
      </c>
      <c r="D265" s="25">
        <v>44868</v>
      </c>
      <c r="E265" s="966" t="s">
        <v>4189</v>
      </c>
      <c r="F265" s="966"/>
      <c r="G265" s="966" t="s">
        <v>4190</v>
      </c>
      <c r="H265" s="1608" t="s">
        <v>4193</v>
      </c>
      <c r="I265" s="1609"/>
      <c r="J265" s="1609"/>
      <c r="K265" s="1609"/>
      <c r="L265" s="1610"/>
    </row>
    <row r="266" spans="1:12" ht="41.25" customHeight="1" x14ac:dyDescent="0.25">
      <c r="A266" s="966">
        <v>258</v>
      </c>
      <c r="B266" s="25">
        <v>44868</v>
      </c>
      <c r="C266" s="966" t="s">
        <v>2639</v>
      </c>
      <c r="D266" s="25">
        <v>44869</v>
      </c>
      <c r="E266" s="966" t="s">
        <v>4191</v>
      </c>
      <c r="F266" s="966"/>
      <c r="G266" s="966" t="s">
        <v>4192</v>
      </c>
      <c r="H266" s="1611"/>
      <c r="I266" s="1612"/>
      <c r="J266" s="1612"/>
      <c r="K266" s="1612"/>
      <c r="L266" s="1613"/>
    </row>
    <row r="267" spans="1:12" ht="71.25" customHeight="1" x14ac:dyDescent="0.25">
      <c r="A267" s="966">
        <v>259</v>
      </c>
      <c r="B267" s="25">
        <v>44869</v>
      </c>
      <c r="C267" s="966" t="s">
        <v>4214</v>
      </c>
      <c r="D267" s="25">
        <v>44870</v>
      </c>
      <c r="E267" s="966" t="s">
        <v>4215</v>
      </c>
      <c r="F267" s="966"/>
      <c r="G267" s="966" t="s">
        <v>4217</v>
      </c>
      <c r="H267" s="1601" t="s">
        <v>4216</v>
      </c>
      <c r="I267" s="1602"/>
      <c r="J267" s="1602"/>
      <c r="K267" s="1602"/>
      <c r="L267" s="1603"/>
    </row>
    <row r="268" spans="1:12" ht="67.5" customHeight="1" x14ac:dyDescent="0.25">
      <c r="A268" s="966">
        <v>260</v>
      </c>
      <c r="B268" s="25">
        <v>44871</v>
      </c>
      <c r="C268" s="966" t="s">
        <v>4224</v>
      </c>
      <c r="D268" s="25">
        <v>44871</v>
      </c>
      <c r="E268" s="966" t="s">
        <v>4225</v>
      </c>
      <c r="F268" s="966"/>
      <c r="G268" s="966" t="s">
        <v>4227</v>
      </c>
      <c r="H268" s="1601" t="s">
        <v>4226</v>
      </c>
      <c r="I268" s="1602"/>
      <c r="J268" s="1602"/>
      <c r="K268" s="1602"/>
      <c r="L268" s="1603"/>
    </row>
    <row r="269" spans="1:12" ht="65.25" customHeight="1" x14ac:dyDescent="0.25">
      <c r="A269" s="966">
        <v>261</v>
      </c>
      <c r="B269" s="25">
        <v>44873</v>
      </c>
      <c r="C269" s="966" t="s">
        <v>4234</v>
      </c>
      <c r="D269" s="25">
        <v>44873</v>
      </c>
      <c r="E269" s="966" t="s">
        <v>4235</v>
      </c>
      <c r="F269" s="966"/>
      <c r="G269" s="966" t="s">
        <v>4236</v>
      </c>
      <c r="H269" s="1601" t="s">
        <v>4239</v>
      </c>
      <c r="I269" s="1602"/>
      <c r="J269" s="1602"/>
      <c r="K269" s="1602"/>
      <c r="L269" s="1603"/>
    </row>
    <row r="270" spans="1:12" ht="72.75" customHeight="1" x14ac:dyDescent="0.25">
      <c r="A270" s="966">
        <v>262</v>
      </c>
      <c r="B270" s="25">
        <v>44874</v>
      </c>
      <c r="C270" s="966" t="s">
        <v>1834</v>
      </c>
      <c r="D270" s="25">
        <v>44875</v>
      </c>
      <c r="E270" s="966" t="s">
        <v>4244</v>
      </c>
      <c r="F270" s="966"/>
      <c r="G270" s="966" t="s">
        <v>4245</v>
      </c>
      <c r="H270" s="1601" t="s">
        <v>4246</v>
      </c>
      <c r="I270" s="1602"/>
      <c r="J270" s="1602"/>
      <c r="K270" s="1602"/>
      <c r="L270" s="1603"/>
    </row>
    <row r="271" spans="1:12" ht="74.25" customHeight="1" x14ac:dyDescent="0.25">
      <c r="A271" s="966">
        <v>263</v>
      </c>
      <c r="B271" s="25">
        <v>44876</v>
      </c>
      <c r="C271" s="966" t="s">
        <v>4268</v>
      </c>
      <c r="D271" s="25">
        <v>44877</v>
      </c>
      <c r="E271" s="966" t="s">
        <v>4269</v>
      </c>
      <c r="F271" s="966"/>
      <c r="G271" s="966" t="s">
        <v>4277</v>
      </c>
      <c r="H271" s="1601" t="s">
        <v>4274</v>
      </c>
      <c r="I271" s="1602"/>
      <c r="J271" s="1602"/>
      <c r="K271" s="1602"/>
      <c r="L271" s="1603"/>
    </row>
    <row r="272" spans="1:12" ht="75" customHeight="1" x14ac:dyDescent="0.25">
      <c r="A272" s="966">
        <v>264</v>
      </c>
      <c r="B272" s="25">
        <v>44878</v>
      </c>
      <c r="C272" s="966" t="s">
        <v>4270</v>
      </c>
      <c r="D272" s="25">
        <v>44878</v>
      </c>
      <c r="E272" s="966" t="s">
        <v>4271</v>
      </c>
      <c r="F272" s="966"/>
      <c r="G272" s="966" t="s">
        <v>4278</v>
      </c>
      <c r="H272" s="1601" t="s">
        <v>4275</v>
      </c>
      <c r="I272" s="1602"/>
      <c r="J272" s="1602"/>
      <c r="K272" s="1602"/>
      <c r="L272" s="1603"/>
    </row>
    <row r="273" spans="1:12" ht="61.5" customHeight="1" x14ac:dyDescent="0.25">
      <c r="A273" s="966">
        <v>265</v>
      </c>
      <c r="B273" s="25">
        <v>44879</v>
      </c>
      <c r="C273" s="966" t="s">
        <v>4272</v>
      </c>
      <c r="D273" s="25">
        <v>44879</v>
      </c>
      <c r="E273" s="966" t="s">
        <v>4273</v>
      </c>
      <c r="F273" s="966"/>
      <c r="G273" s="966" t="s">
        <v>4279</v>
      </c>
      <c r="H273" s="1601" t="s">
        <v>4276</v>
      </c>
      <c r="I273" s="1602"/>
      <c r="J273" s="1602"/>
      <c r="K273" s="1602"/>
      <c r="L273" s="1603"/>
    </row>
    <row r="274" spans="1:12" ht="51" customHeight="1" x14ac:dyDescent="0.25">
      <c r="A274" s="966">
        <v>266</v>
      </c>
      <c r="B274" s="25">
        <v>44880</v>
      </c>
      <c r="C274" s="966" t="s">
        <v>4285</v>
      </c>
      <c r="D274" s="25">
        <v>44880</v>
      </c>
      <c r="E274" s="966" t="s">
        <v>4286</v>
      </c>
      <c r="F274" s="966"/>
      <c r="G274" s="966" t="s">
        <v>4290</v>
      </c>
      <c r="H274" s="1608" t="s">
        <v>4289</v>
      </c>
      <c r="I274" s="1609"/>
      <c r="J274" s="1609"/>
      <c r="K274" s="1609"/>
      <c r="L274" s="1610"/>
    </row>
    <row r="275" spans="1:12" ht="51" customHeight="1" x14ac:dyDescent="0.25">
      <c r="A275" s="966">
        <v>267</v>
      </c>
      <c r="B275" s="25">
        <v>44880</v>
      </c>
      <c r="C275" s="966" t="s">
        <v>4287</v>
      </c>
      <c r="D275" s="25">
        <v>44881</v>
      </c>
      <c r="E275" s="966" t="s">
        <v>4288</v>
      </c>
      <c r="F275" s="966"/>
      <c r="G275" s="966" t="s">
        <v>4291</v>
      </c>
      <c r="H275" s="1611"/>
      <c r="I275" s="1612"/>
      <c r="J275" s="1612"/>
      <c r="K275" s="1612"/>
      <c r="L275" s="1613"/>
    </row>
    <row r="276" spans="1:12" ht="51.75" customHeight="1" x14ac:dyDescent="0.25">
      <c r="A276" s="966">
        <v>268</v>
      </c>
      <c r="B276" s="25">
        <v>44882</v>
      </c>
      <c r="C276" s="966" t="s">
        <v>4336</v>
      </c>
      <c r="D276" s="25">
        <v>44883</v>
      </c>
      <c r="E276" s="966" t="s">
        <v>4312</v>
      </c>
      <c r="F276" s="966"/>
      <c r="G276" s="966" t="s">
        <v>4314</v>
      </c>
      <c r="H276" s="1601" t="s">
        <v>4313</v>
      </c>
      <c r="I276" s="1602"/>
      <c r="J276" s="1602"/>
      <c r="K276" s="1602"/>
      <c r="L276" s="1603"/>
    </row>
    <row r="277" spans="1:12" ht="41.25" customHeight="1" x14ac:dyDescent="0.25">
      <c r="A277" s="966">
        <v>269</v>
      </c>
      <c r="B277" s="25">
        <v>44884</v>
      </c>
      <c r="C277" s="966" t="s">
        <v>4337</v>
      </c>
      <c r="D277" s="25">
        <v>44884</v>
      </c>
      <c r="E277" s="966" t="s">
        <v>4335</v>
      </c>
      <c r="F277" s="966"/>
      <c r="G277" s="966" t="s">
        <v>4327</v>
      </c>
      <c r="H277" s="1601" t="s">
        <v>4326</v>
      </c>
      <c r="I277" s="1602"/>
      <c r="J277" s="1602"/>
      <c r="K277" s="1602"/>
      <c r="L277" s="1603"/>
    </row>
    <row r="278" spans="1:12" ht="48.75" customHeight="1" x14ac:dyDescent="0.25">
      <c r="A278" s="966">
        <v>270</v>
      </c>
      <c r="B278" s="25">
        <v>44885</v>
      </c>
      <c r="C278" s="966" t="s">
        <v>1802</v>
      </c>
      <c r="D278" s="25">
        <v>44886</v>
      </c>
      <c r="E278" s="966" t="s">
        <v>4334</v>
      </c>
      <c r="F278" s="966"/>
      <c r="G278" s="966" t="s">
        <v>4338</v>
      </c>
      <c r="H278" s="1601" t="s">
        <v>4339</v>
      </c>
      <c r="I278" s="1602"/>
      <c r="J278" s="1602"/>
      <c r="K278" s="1602"/>
      <c r="L278" s="1603"/>
    </row>
    <row r="279" spans="1:12" ht="41.25" customHeight="1" x14ac:dyDescent="0.25">
      <c r="A279" s="966">
        <v>271</v>
      </c>
      <c r="B279" s="1044">
        <v>44887</v>
      </c>
      <c r="C279" s="966" t="s">
        <v>2788</v>
      </c>
      <c r="D279" s="25">
        <v>44887</v>
      </c>
      <c r="E279" s="966" t="s">
        <v>4346</v>
      </c>
      <c r="F279" s="966"/>
      <c r="G279" s="966" t="s">
        <v>4347</v>
      </c>
      <c r="H279" s="1601" t="s">
        <v>4348</v>
      </c>
      <c r="I279" s="1602"/>
      <c r="J279" s="1602"/>
      <c r="K279" s="1602"/>
      <c r="L279" s="1603"/>
    </row>
    <row r="280" spans="1:12" ht="41.25" customHeight="1" x14ac:dyDescent="0.25">
      <c r="A280" s="966">
        <v>271</v>
      </c>
      <c r="B280" s="25">
        <v>44889</v>
      </c>
      <c r="C280" s="966" t="s">
        <v>2769</v>
      </c>
      <c r="D280" s="25">
        <v>44889</v>
      </c>
      <c r="E280" s="966" t="s">
        <v>4361</v>
      </c>
      <c r="F280" s="966"/>
      <c r="G280" s="966" t="s">
        <v>4362</v>
      </c>
      <c r="H280" s="1601" t="s">
        <v>4360</v>
      </c>
      <c r="I280" s="1602"/>
      <c r="J280" s="1602"/>
      <c r="K280" s="1602"/>
      <c r="L280" s="1603"/>
    </row>
    <row r="281" spans="1:12" ht="70.5" customHeight="1" x14ac:dyDescent="0.25">
      <c r="A281" s="966">
        <v>272</v>
      </c>
      <c r="B281" s="25">
        <v>44892</v>
      </c>
      <c r="C281" s="966" t="s">
        <v>2802</v>
      </c>
      <c r="D281" s="25">
        <v>44892</v>
      </c>
      <c r="E281" s="966" t="s">
        <v>4379</v>
      </c>
      <c r="F281" s="966"/>
      <c r="G281" s="966" t="s">
        <v>4380</v>
      </c>
      <c r="H281" s="1601" t="s">
        <v>4378</v>
      </c>
      <c r="I281" s="1602"/>
      <c r="J281" s="1602"/>
      <c r="K281" s="1602"/>
      <c r="L281" s="1603"/>
    </row>
    <row r="282" spans="1:12" ht="73.5" customHeight="1" x14ac:dyDescent="0.25">
      <c r="A282" s="966">
        <v>273</v>
      </c>
      <c r="B282" s="25">
        <v>44894</v>
      </c>
      <c r="C282" s="966" t="s">
        <v>4397</v>
      </c>
      <c r="D282" s="25" t="s">
        <v>4402</v>
      </c>
      <c r="E282" s="966" t="s">
        <v>4403</v>
      </c>
      <c r="F282" s="966"/>
      <c r="G282" s="966" t="s">
        <v>4404</v>
      </c>
      <c r="H282" s="1601" t="s">
        <v>4401</v>
      </c>
      <c r="I282" s="1602"/>
      <c r="J282" s="1602"/>
      <c r="K282" s="1602"/>
      <c r="L282" s="1603"/>
    </row>
    <row r="283" spans="1:12" ht="48" customHeight="1" x14ac:dyDescent="0.25">
      <c r="A283" s="966">
        <v>274</v>
      </c>
      <c r="B283" s="25">
        <v>44896</v>
      </c>
      <c r="C283" s="966" t="s">
        <v>4412</v>
      </c>
      <c r="D283" s="25">
        <v>44897</v>
      </c>
      <c r="E283" s="966" t="s">
        <v>4414</v>
      </c>
      <c r="F283" s="966"/>
      <c r="G283" s="966" t="s">
        <v>4415</v>
      </c>
      <c r="H283" s="1601" t="s">
        <v>4413</v>
      </c>
      <c r="I283" s="1602"/>
      <c r="J283" s="1602"/>
      <c r="K283" s="1602"/>
      <c r="L283" s="1603"/>
    </row>
    <row r="284" spans="1:12" ht="48.75" customHeight="1" x14ac:dyDescent="0.25">
      <c r="A284" s="966">
        <v>275</v>
      </c>
      <c r="B284" s="25">
        <v>44899</v>
      </c>
      <c r="C284" s="966" t="s">
        <v>4440</v>
      </c>
      <c r="D284" s="25">
        <v>44900</v>
      </c>
      <c r="E284" s="966" t="s">
        <v>1884</v>
      </c>
      <c r="F284" s="966"/>
      <c r="G284" s="966" t="s">
        <v>4441</v>
      </c>
      <c r="H284" s="1601" t="s">
        <v>4453</v>
      </c>
      <c r="I284" s="1602"/>
      <c r="J284" s="1602"/>
      <c r="K284" s="1602"/>
      <c r="L284" s="1603"/>
    </row>
    <row r="285" spans="1:12" ht="41.25" customHeight="1" x14ac:dyDescent="0.25">
      <c r="A285" s="966">
        <v>276</v>
      </c>
      <c r="B285" s="25">
        <v>44901</v>
      </c>
      <c r="C285" s="966" t="s">
        <v>4465</v>
      </c>
      <c r="D285" s="25">
        <v>44902</v>
      </c>
      <c r="E285" s="966" t="s">
        <v>4466</v>
      </c>
      <c r="F285" s="966"/>
      <c r="G285" s="966" t="s">
        <v>4467</v>
      </c>
      <c r="H285" s="1601" t="s">
        <v>4464</v>
      </c>
      <c r="I285" s="1602"/>
      <c r="J285" s="1602"/>
      <c r="K285" s="1602"/>
      <c r="L285" s="1603"/>
    </row>
    <row r="286" spans="1:12" ht="41.25" customHeight="1" x14ac:dyDescent="0.25">
      <c r="A286" s="966">
        <v>277</v>
      </c>
      <c r="B286" s="25">
        <v>44904</v>
      </c>
      <c r="C286" s="966" t="s">
        <v>4479</v>
      </c>
      <c r="D286" s="25">
        <v>44904</v>
      </c>
      <c r="E286" s="966" t="s">
        <v>4480</v>
      </c>
      <c r="F286" s="966"/>
      <c r="G286" s="966" t="s">
        <v>2998</v>
      </c>
      <c r="H286" s="1601" t="s">
        <v>4478</v>
      </c>
      <c r="I286" s="1602"/>
      <c r="J286" s="1602"/>
      <c r="K286" s="1602"/>
      <c r="L286" s="1603"/>
    </row>
    <row r="287" spans="1:12" ht="45" customHeight="1" x14ac:dyDescent="0.25">
      <c r="A287" s="1071">
        <v>278</v>
      </c>
      <c r="B287" s="25">
        <v>44906</v>
      </c>
      <c r="C287" s="966" t="s">
        <v>4516</v>
      </c>
      <c r="D287" s="25">
        <v>44906</v>
      </c>
      <c r="E287" s="966" t="s">
        <v>4518</v>
      </c>
      <c r="F287" s="966"/>
      <c r="G287" s="966">
        <v>11.16</v>
      </c>
      <c r="H287" s="1601" t="s">
        <v>4517</v>
      </c>
      <c r="I287" s="1602"/>
      <c r="J287" s="1602"/>
      <c r="K287" s="1602"/>
      <c r="L287" s="1603"/>
    </row>
    <row r="288" spans="1:12" ht="41.25" customHeight="1" x14ac:dyDescent="0.25">
      <c r="A288" s="1071">
        <v>279</v>
      </c>
      <c r="B288" s="25">
        <v>44908</v>
      </c>
      <c r="C288" s="966" t="s">
        <v>1487</v>
      </c>
      <c r="D288" s="25">
        <v>44909</v>
      </c>
      <c r="E288" s="966" t="s">
        <v>4522</v>
      </c>
      <c r="F288" s="966"/>
      <c r="G288" s="966">
        <v>19.5</v>
      </c>
      <c r="H288" s="1601" t="s">
        <v>4521</v>
      </c>
      <c r="I288" s="1602"/>
      <c r="J288" s="1602"/>
      <c r="K288" s="1602"/>
      <c r="L288" s="1603"/>
    </row>
    <row r="289" spans="1:12" ht="48" customHeight="1" x14ac:dyDescent="0.25">
      <c r="A289" s="1071">
        <v>280</v>
      </c>
      <c r="B289" s="25">
        <v>44910</v>
      </c>
      <c r="C289" s="966" t="s">
        <v>4524</v>
      </c>
      <c r="D289" s="25">
        <v>44910</v>
      </c>
      <c r="E289" s="966" t="s">
        <v>2550</v>
      </c>
      <c r="F289" s="966"/>
      <c r="G289" s="966" t="s">
        <v>4525</v>
      </c>
      <c r="H289" s="1601" t="s">
        <v>4523</v>
      </c>
      <c r="I289" s="1602"/>
      <c r="J289" s="1602"/>
      <c r="K289" s="1602"/>
      <c r="L289" s="1603"/>
    </row>
    <row r="290" spans="1:12" ht="41.25" customHeight="1" x14ac:dyDescent="0.25">
      <c r="A290" s="1071">
        <v>281</v>
      </c>
      <c r="B290" s="25">
        <v>44912</v>
      </c>
      <c r="C290" s="966" t="s">
        <v>448</v>
      </c>
      <c r="D290" s="25">
        <v>44912</v>
      </c>
      <c r="E290" s="966" t="s">
        <v>4543</v>
      </c>
      <c r="F290" s="966"/>
      <c r="G290" s="966" t="s">
        <v>4544</v>
      </c>
      <c r="H290" s="1601" t="s">
        <v>4542</v>
      </c>
      <c r="I290" s="1602"/>
      <c r="J290" s="1602"/>
      <c r="K290" s="1602"/>
      <c r="L290" s="1603"/>
    </row>
    <row r="291" spans="1:12" ht="48" customHeight="1" x14ac:dyDescent="0.25">
      <c r="A291" s="1074">
        <v>282</v>
      </c>
      <c r="B291" s="25">
        <v>44913</v>
      </c>
      <c r="C291" s="966" t="s">
        <v>4555</v>
      </c>
      <c r="D291" s="25">
        <v>44914</v>
      </c>
      <c r="E291" s="966" t="s">
        <v>4557</v>
      </c>
      <c r="F291" s="966"/>
      <c r="G291" s="966" t="s">
        <v>4558</v>
      </c>
      <c r="H291" s="1601" t="s">
        <v>4556</v>
      </c>
      <c r="I291" s="1602"/>
      <c r="J291" s="1602"/>
      <c r="K291" s="1602"/>
      <c r="L291" s="1603"/>
    </row>
    <row r="292" spans="1:12" ht="48" customHeight="1" x14ac:dyDescent="0.25">
      <c r="A292" s="1074">
        <v>283</v>
      </c>
      <c r="B292" s="25">
        <v>44915</v>
      </c>
      <c r="C292" s="966" t="s">
        <v>4571</v>
      </c>
      <c r="D292" s="25">
        <v>44916</v>
      </c>
      <c r="E292" s="966" t="s">
        <v>4576</v>
      </c>
      <c r="F292" s="966"/>
      <c r="G292" s="966" t="s">
        <v>4577</v>
      </c>
      <c r="H292" s="1601" t="s">
        <v>4575</v>
      </c>
      <c r="I292" s="1602"/>
      <c r="J292" s="1602"/>
      <c r="K292" s="1602"/>
      <c r="L292" s="1603"/>
    </row>
    <row r="293" spans="1:12" ht="63.75" customHeight="1" x14ac:dyDescent="0.25">
      <c r="A293" s="1074">
        <v>284</v>
      </c>
      <c r="B293" s="25">
        <v>44917</v>
      </c>
      <c r="C293" s="966" t="s">
        <v>4584</v>
      </c>
      <c r="D293" s="25">
        <v>44918</v>
      </c>
      <c r="E293" s="966" t="s">
        <v>4585</v>
      </c>
      <c r="F293" s="966"/>
      <c r="G293" s="966" t="s">
        <v>4591</v>
      </c>
      <c r="H293" s="1601" t="s">
        <v>4583</v>
      </c>
      <c r="I293" s="1602"/>
      <c r="J293" s="1602"/>
      <c r="K293" s="1602"/>
      <c r="L293" s="1603"/>
    </row>
    <row r="294" spans="1:12" ht="45" customHeight="1" x14ac:dyDescent="0.25">
      <c r="A294" s="966">
        <v>285</v>
      </c>
      <c r="B294" s="25">
        <v>44919</v>
      </c>
      <c r="C294" s="966" t="s">
        <v>4597</v>
      </c>
      <c r="D294" s="25">
        <v>44920</v>
      </c>
      <c r="E294" s="966" t="s">
        <v>4603</v>
      </c>
      <c r="F294" s="966"/>
      <c r="G294" s="966" t="s">
        <v>4604</v>
      </c>
      <c r="H294" s="1601" t="s">
        <v>4602</v>
      </c>
      <c r="I294" s="1602"/>
      <c r="J294" s="1602"/>
      <c r="K294" s="1602"/>
      <c r="L294" s="1603"/>
    </row>
    <row r="295" spans="1:12" ht="49.5" customHeight="1" x14ac:dyDescent="0.25">
      <c r="A295" s="1606">
        <v>286</v>
      </c>
      <c r="B295" s="25">
        <v>44922</v>
      </c>
      <c r="C295" s="966" t="s">
        <v>4615</v>
      </c>
      <c r="D295" s="1095"/>
      <c r="E295" s="1095"/>
      <c r="F295" s="966"/>
      <c r="G295" s="1606" t="s">
        <v>4635</v>
      </c>
      <c r="H295" s="1608" t="s">
        <v>4633</v>
      </c>
      <c r="I295" s="1609"/>
      <c r="J295" s="1609"/>
      <c r="K295" s="1609"/>
      <c r="L295" s="1610"/>
    </row>
    <row r="296" spans="1:12" x14ac:dyDescent="0.25">
      <c r="A296" s="1607"/>
      <c r="B296" s="1096"/>
      <c r="C296" s="1095"/>
      <c r="D296" s="25">
        <v>44923</v>
      </c>
      <c r="E296" s="966" t="s">
        <v>4634</v>
      </c>
      <c r="F296" s="966"/>
      <c r="G296" s="1607"/>
      <c r="H296" s="1611"/>
      <c r="I296" s="1612"/>
      <c r="J296" s="1612"/>
      <c r="K296" s="1612"/>
      <c r="L296" s="1613"/>
    </row>
    <row r="297" spans="1:12" ht="41.25" customHeight="1" x14ac:dyDescent="0.25">
      <c r="A297" s="966">
        <v>287</v>
      </c>
      <c r="B297" s="25">
        <v>44924</v>
      </c>
      <c r="C297" s="966" t="s">
        <v>4642</v>
      </c>
      <c r="D297" s="25">
        <v>44925</v>
      </c>
      <c r="E297" s="966" t="s">
        <v>4650</v>
      </c>
      <c r="F297" s="966"/>
      <c r="G297" s="966" t="s">
        <v>4651</v>
      </c>
      <c r="H297" s="1601" t="s">
        <v>4649</v>
      </c>
      <c r="I297" s="1602"/>
      <c r="J297" s="1602"/>
      <c r="K297" s="1602"/>
      <c r="L297" s="1603"/>
    </row>
    <row r="298" spans="1:12" ht="63.75" customHeight="1" x14ac:dyDescent="0.25">
      <c r="A298" s="966">
        <v>288</v>
      </c>
      <c r="B298" s="25">
        <v>44926</v>
      </c>
      <c r="C298" s="966" t="s">
        <v>4663</v>
      </c>
      <c r="D298" s="25">
        <v>44927</v>
      </c>
      <c r="E298" s="966" t="s">
        <v>4671</v>
      </c>
      <c r="F298" s="966"/>
      <c r="G298" s="966" t="s">
        <v>4672</v>
      </c>
      <c r="H298" s="1601" t="s">
        <v>4670</v>
      </c>
      <c r="I298" s="1602"/>
      <c r="J298" s="1602"/>
      <c r="K298" s="1602"/>
      <c r="L298" s="1603"/>
    </row>
    <row r="299" spans="1:12" ht="69.75" customHeight="1" x14ac:dyDescent="0.25">
      <c r="A299" s="966">
        <v>289</v>
      </c>
      <c r="B299" s="25">
        <v>44928</v>
      </c>
      <c r="C299" s="966" t="s">
        <v>4677</v>
      </c>
      <c r="D299" s="25">
        <v>44929</v>
      </c>
      <c r="E299" s="966" t="s">
        <v>4694</v>
      </c>
      <c r="F299" s="966"/>
      <c r="G299" s="966" t="s">
        <v>4695</v>
      </c>
      <c r="H299" s="1601" t="s">
        <v>4693</v>
      </c>
      <c r="I299" s="1602"/>
      <c r="J299" s="1602"/>
      <c r="K299" s="1602"/>
      <c r="L299" s="1603"/>
    </row>
    <row r="300" spans="1:12" ht="48.75" customHeight="1" x14ac:dyDescent="0.25">
      <c r="A300" s="966">
        <v>290</v>
      </c>
      <c r="B300" s="25">
        <v>44930</v>
      </c>
      <c r="C300" s="966" t="s">
        <v>4696</v>
      </c>
      <c r="D300" s="25">
        <v>44931</v>
      </c>
      <c r="E300" s="966" t="s">
        <v>1954</v>
      </c>
      <c r="F300" s="966"/>
      <c r="G300" s="966" t="s">
        <v>4867</v>
      </c>
      <c r="H300" s="1601" t="s">
        <v>4866</v>
      </c>
      <c r="I300" s="1602"/>
      <c r="J300" s="1602"/>
      <c r="K300" s="1602"/>
      <c r="L300" s="1603"/>
    </row>
    <row r="301" spans="1:12" ht="48.75" customHeight="1" x14ac:dyDescent="0.25">
      <c r="A301" s="1108">
        <v>291</v>
      </c>
      <c r="B301" s="25">
        <v>44932</v>
      </c>
      <c r="C301" s="1108" t="s">
        <v>4714</v>
      </c>
      <c r="D301" s="25">
        <v>44933</v>
      </c>
      <c r="E301" s="1108" t="s">
        <v>4716</v>
      </c>
      <c r="F301" s="1108"/>
      <c r="G301" s="1108" t="s">
        <v>4868</v>
      </c>
      <c r="H301" s="1601" t="s">
        <v>4715</v>
      </c>
      <c r="I301" s="1602"/>
      <c r="J301" s="1602"/>
      <c r="K301" s="1602"/>
      <c r="L301" s="1603"/>
    </row>
    <row r="302" spans="1:12" ht="48.75" customHeight="1" x14ac:dyDescent="0.25">
      <c r="A302" s="1108">
        <v>292</v>
      </c>
      <c r="B302" s="25">
        <v>44934</v>
      </c>
      <c r="C302" s="1108" t="s">
        <v>3789</v>
      </c>
      <c r="D302" s="25">
        <v>44935</v>
      </c>
      <c r="E302" s="1108" t="s">
        <v>4729</v>
      </c>
      <c r="F302" s="1108"/>
      <c r="G302" s="1108" t="s">
        <v>4728</v>
      </c>
      <c r="H302" s="1601" t="s">
        <v>4727</v>
      </c>
      <c r="I302" s="1602"/>
      <c r="J302" s="1602"/>
      <c r="K302" s="1602"/>
      <c r="L302" s="1603"/>
    </row>
    <row r="303" spans="1:12" ht="48.75" customHeight="1" x14ac:dyDescent="0.25">
      <c r="A303" s="1108">
        <v>293</v>
      </c>
      <c r="B303" s="25">
        <v>44936</v>
      </c>
      <c r="C303" s="1117" t="s">
        <v>4738</v>
      </c>
      <c r="D303" s="25">
        <v>44937</v>
      </c>
      <c r="E303" s="1108" t="s">
        <v>4739</v>
      </c>
      <c r="F303" s="1108"/>
      <c r="G303" s="1108" t="s">
        <v>4741</v>
      </c>
      <c r="H303" s="1601" t="s">
        <v>4740</v>
      </c>
      <c r="I303" s="1602"/>
      <c r="J303" s="1602"/>
      <c r="K303" s="1602"/>
      <c r="L303" s="1603"/>
    </row>
    <row r="304" spans="1:12" ht="48.75" customHeight="1" x14ac:dyDescent="0.25">
      <c r="A304" s="1108">
        <v>294</v>
      </c>
      <c r="B304" s="25">
        <v>44938</v>
      </c>
      <c r="C304" s="1108" t="s">
        <v>2842</v>
      </c>
      <c r="D304" s="25">
        <v>44939</v>
      </c>
      <c r="E304" s="1108" t="s">
        <v>4752</v>
      </c>
      <c r="F304" s="1108"/>
      <c r="G304" s="1108" t="s">
        <v>4753</v>
      </c>
      <c r="H304" s="1601" t="s">
        <v>4754</v>
      </c>
      <c r="I304" s="1602"/>
      <c r="J304" s="1602"/>
      <c r="K304" s="1602"/>
      <c r="L304" s="1603"/>
    </row>
    <row r="305" spans="1:12" ht="48.75" customHeight="1" x14ac:dyDescent="0.25">
      <c r="A305" s="1108">
        <v>295</v>
      </c>
      <c r="B305" s="25">
        <v>44940</v>
      </c>
      <c r="C305" s="1108" t="s">
        <v>1552</v>
      </c>
      <c r="D305" s="25">
        <v>44940</v>
      </c>
      <c r="E305" s="1108" t="s">
        <v>4766</v>
      </c>
      <c r="F305" s="1108"/>
      <c r="G305" s="1108" t="s">
        <v>641</v>
      </c>
      <c r="H305" s="1601" t="s">
        <v>4767</v>
      </c>
      <c r="I305" s="1602"/>
      <c r="J305" s="1602"/>
      <c r="K305" s="1602"/>
      <c r="L305" s="1603"/>
    </row>
    <row r="306" spans="1:12" ht="48.75" customHeight="1" x14ac:dyDescent="0.25">
      <c r="A306" s="1108">
        <v>296</v>
      </c>
      <c r="B306" s="25">
        <v>44941</v>
      </c>
      <c r="C306" s="1108" t="s">
        <v>517</v>
      </c>
      <c r="D306" s="25">
        <v>44941</v>
      </c>
      <c r="E306" s="1123" t="s">
        <v>4778</v>
      </c>
      <c r="F306" s="1108"/>
      <c r="G306" s="1123" t="s">
        <v>4779</v>
      </c>
      <c r="H306" s="1601" t="s">
        <v>4789</v>
      </c>
      <c r="I306" s="1602"/>
      <c r="J306" s="1602"/>
      <c r="K306" s="1602"/>
      <c r="L306" s="1603"/>
    </row>
    <row r="307" spans="1:12" ht="48.75" customHeight="1" x14ac:dyDescent="0.25">
      <c r="A307" s="1125">
        <v>297</v>
      </c>
      <c r="B307" s="25">
        <v>44942</v>
      </c>
      <c r="C307" s="1125" t="s">
        <v>4785</v>
      </c>
      <c r="D307" s="25">
        <v>44943</v>
      </c>
      <c r="E307" s="1125" t="s">
        <v>4790</v>
      </c>
      <c r="F307" s="1125"/>
      <c r="G307" s="1125" t="s">
        <v>4792</v>
      </c>
      <c r="H307" s="1601" t="s">
        <v>4791</v>
      </c>
      <c r="I307" s="1602"/>
      <c r="J307" s="1602"/>
      <c r="K307" s="1602"/>
      <c r="L307" s="1603"/>
    </row>
    <row r="308" spans="1:12" ht="48.75" customHeight="1" x14ac:dyDescent="0.25">
      <c r="A308" s="1131">
        <v>298</v>
      </c>
      <c r="B308" s="25">
        <v>44947</v>
      </c>
      <c r="C308" s="1131" t="s">
        <v>4817</v>
      </c>
      <c r="D308" s="25">
        <v>44948</v>
      </c>
      <c r="E308" s="1131" t="s">
        <v>4824</v>
      </c>
      <c r="F308" s="1131"/>
      <c r="G308" s="1131" t="s">
        <v>4825</v>
      </c>
      <c r="H308" s="1601" t="s">
        <v>4823</v>
      </c>
      <c r="I308" s="1602"/>
      <c r="J308" s="1602"/>
      <c r="K308" s="1602"/>
      <c r="L308" s="1603"/>
    </row>
    <row r="309" spans="1:12" ht="48.75" customHeight="1" x14ac:dyDescent="0.25">
      <c r="A309" s="1134">
        <v>299</v>
      </c>
      <c r="B309" s="25">
        <v>44949</v>
      </c>
      <c r="C309" s="1134" t="s">
        <v>4832</v>
      </c>
      <c r="D309" s="25">
        <v>44951</v>
      </c>
      <c r="E309" s="1134" t="s">
        <v>4841</v>
      </c>
      <c r="F309" s="1134"/>
      <c r="G309" s="1134" t="s">
        <v>4842</v>
      </c>
      <c r="H309" s="1601" t="s">
        <v>4840</v>
      </c>
      <c r="I309" s="1602"/>
      <c r="J309" s="1602"/>
      <c r="K309" s="1602"/>
      <c r="L309" s="1603"/>
    </row>
    <row r="310" spans="1:12" ht="48.75" customHeight="1" x14ac:dyDescent="0.25">
      <c r="A310" s="1139">
        <v>300</v>
      </c>
      <c r="B310" s="25">
        <v>44953</v>
      </c>
      <c r="C310" s="1139" t="s">
        <v>4851</v>
      </c>
      <c r="D310" s="25">
        <v>44954</v>
      </c>
      <c r="E310" s="1139" t="s">
        <v>4855</v>
      </c>
      <c r="F310" s="1139"/>
      <c r="G310" s="1139" t="s">
        <v>4856</v>
      </c>
      <c r="H310" s="1601" t="s">
        <v>4854</v>
      </c>
      <c r="I310" s="1602"/>
      <c r="J310" s="1602"/>
      <c r="K310" s="1602"/>
      <c r="L310" s="1603"/>
    </row>
    <row r="311" spans="1:12" ht="48.75" customHeight="1" x14ac:dyDescent="0.25">
      <c r="A311" s="1142">
        <v>301</v>
      </c>
      <c r="B311" s="25">
        <v>44955</v>
      </c>
      <c r="C311" s="1142" t="s">
        <v>4862</v>
      </c>
      <c r="D311" s="25">
        <v>44956</v>
      </c>
      <c r="E311" s="1142" t="s">
        <v>4872</v>
      </c>
      <c r="F311" s="1142"/>
      <c r="G311" s="1142" t="s">
        <v>4864</v>
      </c>
      <c r="H311" s="1601" t="s">
        <v>4863</v>
      </c>
      <c r="I311" s="1602"/>
      <c r="J311" s="1602"/>
      <c r="K311" s="1602"/>
      <c r="L311" s="1603"/>
    </row>
    <row r="312" spans="1:12" ht="48.75" customHeight="1" x14ac:dyDescent="0.25">
      <c r="A312" s="1151">
        <v>302</v>
      </c>
      <c r="B312" s="25">
        <v>44960</v>
      </c>
      <c r="C312" s="1151" t="s">
        <v>4896</v>
      </c>
      <c r="D312" s="25">
        <v>44960</v>
      </c>
      <c r="E312" s="1151" t="s">
        <v>4897</v>
      </c>
      <c r="F312" s="1151"/>
      <c r="G312" s="1151" t="s">
        <v>4898</v>
      </c>
      <c r="H312" s="1601" t="s">
        <v>4899</v>
      </c>
      <c r="I312" s="1602"/>
      <c r="J312" s="1602"/>
      <c r="K312" s="1602"/>
      <c r="L312" s="1603"/>
    </row>
    <row r="313" spans="1:12" ht="48.75" customHeight="1" x14ac:dyDescent="0.25">
      <c r="A313" s="1154">
        <v>303</v>
      </c>
      <c r="B313" s="25">
        <v>44962</v>
      </c>
      <c r="C313" s="1154" t="s">
        <v>4907</v>
      </c>
      <c r="D313" s="25">
        <v>44962</v>
      </c>
      <c r="E313" s="1154" t="s">
        <v>4908</v>
      </c>
      <c r="F313" s="1154"/>
      <c r="G313" s="1154" t="s">
        <v>4909</v>
      </c>
      <c r="H313" s="1601" t="s">
        <v>4910</v>
      </c>
      <c r="I313" s="1602"/>
      <c r="J313" s="1602"/>
      <c r="K313" s="1602"/>
      <c r="L313" s="1603"/>
    </row>
    <row r="314" spans="1:12" ht="48.75" customHeight="1" x14ac:dyDescent="0.25">
      <c r="A314" s="1154">
        <v>304</v>
      </c>
      <c r="B314" s="25">
        <v>44962</v>
      </c>
      <c r="C314" s="1154" t="s">
        <v>4911</v>
      </c>
      <c r="D314" s="25">
        <v>44962</v>
      </c>
      <c r="E314" s="1154" t="s">
        <v>4912</v>
      </c>
      <c r="F314" s="1154"/>
      <c r="G314" s="1154" t="s">
        <v>4913</v>
      </c>
      <c r="H314" s="1601" t="s">
        <v>4914</v>
      </c>
      <c r="I314" s="1602"/>
      <c r="J314" s="1602"/>
      <c r="K314" s="1602"/>
      <c r="L314" s="1603"/>
    </row>
    <row r="315" spans="1:12" ht="48.75" customHeight="1" x14ac:dyDescent="0.25">
      <c r="A315" s="1157">
        <v>305</v>
      </c>
      <c r="B315" s="25">
        <v>44964</v>
      </c>
      <c r="C315" s="1157" t="s">
        <v>4922</v>
      </c>
      <c r="D315" s="25">
        <v>44965</v>
      </c>
      <c r="E315" s="1157" t="s">
        <v>4930</v>
      </c>
      <c r="F315" s="1157"/>
      <c r="G315" s="1157" t="s">
        <v>4931</v>
      </c>
      <c r="H315" s="1601" t="s">
        <v>4929</v>
      </c>
      <c r="I315" s="1602"/>
      <c r="J315" s="1602"/>
      <c r="K315" s="1602"/>
      <c r="L315" s="1603"/>
    </row>
    <row r="316" spans="1:12" ht="48.75" customHeight="1" x14ac:dyDescent="0.25">
      <c r="A316" s="1160">
        <v>306</v>
      </c>
      <c r="B316" s="25">
        <v>44967</v>
      </c>
      <c r="C316" s="1160" t="s">
        <v>3045</v>
      </c>
      <c r="D316" s="25">
        <v>44967</v>
      </c>
      <c r="E316" s="1160" t="s">
        <v>401</v>
      </c>
      <c r="F316" s="1160"/>
      <c r="G316" s="1160" t="s">
        <v>4950</v>
      </c>
      <c r="H316" s="1601" t="s">
        <v>4951</v>
      </c>
      <c r="I316" s="1602"/>
      <c r="J316" s="1602"/>
      <c r="K316" s="1602"/>
      <c r="L316" s="1603"/>
    </row>
    <row r="317" spans="1:12" ht="54.75" customHeight="1" x14ac:dyDescent="0.25">
      <c r="A317" s="1160">
        <v>307</v>
      </c>
      <c r="B317" s="25">
        <v>44968</v>
      </c>
      <c r="C317" s="1160" t="s">
        <v>4956</v>
      </c>
      <c r="D317" s="25">
        <v>44969</v>
      </c>
      <c r="E317" s="1160" t="s">
        <v>4960</v>
      </c>
      <c r="F317" s="1160"/>
      <c r="G317" s="1160" t="s">
        <v>4961</v>
      </c>
      <c r="H317" s="1601" t="s">
        <v>4962</v>
      </c>
      <c r="I317" s="1602"/>
      <c r="J317" s="1602"/>
      <c r="K317" s="1602"/>
      <c r="L317" s="1603"/>
    </row>
    <row r="318" spans="1:12" ht="54" customHeight="1" x14ac:dyDescent="0.25">
      <c r="A318" s="1160">
        <v>308</v>
      </c>
      <c r="B318" s="25">
        <v>44970</v>
      </c>
      <c r="C318" s="1160" t="s">
        <v>1486</v>
      </c>
      <c r="D318" s="25">
        <v>44970</v>
      </c>
      <c r="E318" s="1160" t="s">
        <v>2840</v>
      </c>
      <c r="F318" s="1160"/>
      <c r="G318" s="1160" t="s">
        <v>4967</v>
      </c>
      <c r="H318" s="1601" t="s">
        <v>4966</v>
      </c>
      <c r="I318" s="1602"/>
      <c r="J318" s="1602"/>
      <c r="K318" s="1602"/>
      <c r="L318" s="1603"/>
    </row>
    <row r="319" spans="1:12" ht="46.5" customHeight="1" x14ac:dyDescent="0.25">
      <c r="A319" s="1160">
        <v>309</v>
      </c>
      <c r="B319" s="25">
        <v>44971</v>
      </c>
      <c r="C319" s="1160" t="s">
        <v>4970</v>
      </c>
      <c r="D319" s="25">
        <v>44972</v>
      </c>
      <c r="E319" s="1160" t="s">
        <v>1564</v>
      </c>
      <c r="F319" s="1160"/>
      <c r="G319" s="1160" t="s">
        <v>4972</v>
      </c>
      <c r="H319" s="1601" t="s">
        <v>4971</v>
      </c>
      <c r="I319" s="1602"/>
      <c r="J319" s="1602"/>
      <c r="K319" s="1602"/>
      <c r="L319" s="1603"/>
    </row>
    <row r="320" spans="1:12" ht="48.75" customHeight="1" x14ac:dyDescent="0.25">
      <c r="A320" s="1160">
        <v>310</v>
      </c>
      <c r="B320" s="25">
        <v>44973</v>
      </c>
      <c r="C320" s="1160" t="s">
        <v>2650</v>
      </c>
      <c r="D320" s="25">
        <v>44974</v>
      </c>
      <c r="E320" s="1160" t="s">
        <v>4977</v>
      </c>
      <c r="F320" s="1160"/>
      <c r="G320" s="1160" t="s">
        <v>4978</v>
      </c>
      <c r="H320" s="1601" t="s">
        <v>4979</v>
      </c>
      <c r="I320" s="1602"/>
      <c r="J320" s="1602"/>
      <c r="K320" s="1602"/>
      <c r="L320" s="1603"/>
    </row>
    <row r="321" spans="1:12" ht="63.75" customHeight="1" x14ac:dyDescent="0.25">
      <c r="A321" s="1160">
        <v>311</v>
      </c>
      <c r="B321" s="25">
        <v>44975</v>
      </c>
      <c r="C321" s="1160" t="s">
        <v>4985</v>
      </c>
      <c r="D321" s="25">
        <v>44975</v>
      </c>
      <c r="E321" s="1160" t="s">
        <v>649</v>
      </c>
      <c r="F321" s="1160"/>
      <c r="G321" s="1160" t="s">
        <v>4991</v>
      </c>
      <c r="H321" s="1601" t="s">
        <v>4990</v>
      </c>
      <c r="I321" s="1602"/>
      <c r="J321" s="1602"/>
      <c r="K321" s="1602"/>
      <c r="L321" s="1603"/>
    </row>
    <row r="322" spans="1:12" ht="61.5" customHeight="1" x14ac:dyDescent="0.25">
      <c r="A322" s="1160">
        <v>312</v>
      </c>
      <c r="B322" s="25">
        <v>44976</v>
      </c>
      <c r="C322" s="1160" t="s">
        <v>4992</v>
      </c>
      <c r="D322" s="25">
        <v>44976</v>
      </c>
      <c r="E322" s="1160" t="s">
        <v>2615</v>
      </c>
      <c r="F322" s="1160"/>
      <c r="G322" s="1160" t="s">
        <v>4994</v>
      </c>
      <c r="H322" s="1601" t="s">
        <v>4993</v>
      </c>
      <c r="I322" s="1602"/>
      <c r="J322" s="1602"/>
      <c r="K322" s="1602"/>
      <c r="L322" s="1603"/>
    </row>
    <row r="323" spans="1:12" ht="61.5" customHeight="1" x14ac:dyDescent="0.25">
      <c r="A323" s="1160">
        <v>313</v>
      </c>
      <c r="B323" s="25">
        <v>44977</v>
      </c>
      <c r="C323" s="1160" t="s">
        <v>3763</v>
      </c>
      <c r="D323" s="25">
        <v>44978</v>
      </c>
      <c r="E323" s="1160" t="s">
        <v>5018</v>
      </c>
      <c r="F323" s="1160"/>
      <c r="G323" s="1160" t="s">
        <v>5020</v>
      </c>
      <c r="H323" s="1601" t="s">
        <v>5019</v>
      </c>
      <c r="I323" s="1602"/>
      <c r="J323" s="1602"/>
      <c r="K323" s="1602"/>
      <c r="L323" s="1603"/>
    </row>
    <row r="324" spans="1:12" ht="51.75" customHeight="1" x14ac:dyDescent="0.25">
      <c r="A324" s="1160">
        <v>314</v>
      </c>
      <c r="B324" s="25">
        <v>44979</v>
      </c>
      <c r="C324" s="1160" t="s">
        <v>454</v>
      </c>
      <c r="D324" s="25">
        <v>44980</v>
      </c>
      <c r="E324" s="1160" t="s">
        <v>5029</v>
      </c>
      <c r="F324" s="1160"/>
      <c r="G324" s="1160" t="s">
        <v>5030</v>
      </c>
      <c r="H324" s="1601" t="s">
        <v>5031</v>
      </c>
      <c r="I324" s="1602"/>
      <c r="J324" s="1602"/>
      <c r="K324" s="1602"/>
      <c r="L324" s="1603"/>
    </row>
    <row r="325" spans="1:12" ht="49.5" customHeight="1" x14ac:dyDescent="0.25">
      <c r="A325" s="1160">
        <v>315</v>
      </c>
      <c r="B325" s="25">
        <v>44981</v>
      </c>
      <c r="C325" s="1160" t="s">
        <v>1871</v>
      </c>
      <c r="D325" s="25">
        <v>44982</v>
      </c>
      <c r="E325" s="1160" t="s">
        <v>5040</v>
      </c>
      <c r="F325" s="1160"/>
      <c r="G325" s="1160" t="s">
        <v>5041</v>
      </c>
      <c r="H325" s="1601" t="s">
        <v>5043</v>
      </c>
      <c r="I325" s="1602"/>
      <c r="J325" s="1602"/>
      <c r="K325" s="1602"/>
      <c r="L325" s="1603"/>
    </row>
    <row r="326" spans="1:12" ht="63.75" customHeight="1" x14ac:dyDescent="0.25">
      <c r="A326" s="1160">
        <v>316</v>
      </c>
      <c r="B326" s="25">
        <v>44983</v>
      </c>
      <c r="C326" s="1160" t="s">
        <v>5047</v>
      </c>
      <c r="D326" s="25">
        <v>44983</v>
      </c>
      <c r="E326" s="1160" t="s">
        <v>5049</v>
      </c>
      <c r="F326" s="1160"/>
      <c r="G326" s="1160" t="s">
        <v>5050</v>
      </c>
      <c r="H326" s="1601" t="s">
        <v>5051</v>
      </c>
      <c r="I326" s="1602"/>
      <c r="J326" s="1602"/>
      <c r="K326" s="1602"/>
      <c r="L326" s="1603"/>
    </row>
    <row r="327" spans="1:12" ht="46.5" customHeight="1" x14ac:dyDescent="0.25">
      <c r="A327" s="1160">
        <v>317</v>
      </c>
      <c r="B327" s="25">
        <v>44985</v>
      </c>
      <c r="C327" s="1160" t="s">
        <v>5054</v>
      </c>
      <c r="D327" s="25">
        <v>44985</v>
      </c>
      <c r="E327" s="1160" t="s">
        <v>5063</v>
      </c>
      <c r="F327" s="1160"/>
      <c r="G327" s="1160" t="s">
        <v>5067</v>
      </c>
      <c r="H327" s="1601" t="s">
        <v>5064</v>
      </c>
      <c r="I327" s="1602"/>
      <c r="J327" s="1602"/>
      <c r="K327" s="1602"/>
      <c r="L327" s="1603"/>
    </row>
    <row r="328" spans="1:12" ht="63" customHeight="1" x14ac:dyDescent="0.25">
      <c r="A328" s="1160">
        <v>318</v>
      </c>
      <c r="B328" s="25">
        <v>44985</v>
      </c>
      <c r="C328" s="1160" t="s">
        <v>5065</v>
      </c>
      <c r="D328" s="25">
        <v>44986</v>
      </c>
      <c r="E328" s="1160" t="s">
        <v>4092</v>
      </c>
      <c r="F328" s="1160"/>
      <c r="G328" s="1160" t="s">
        <v>5068</v>
      </c>
      <c r="H328" s="1601" t="s">
        <v>5066</v>
      </c>
      <c r="I328" s="1602"/>
      <c r="J328" s="1602"/>
      <c r="K328" s="1602"/>
      <c r="L328" s="1603"/>
    </row>
    <row r="329" spans="1:12" ht="51.75" customHeight="1" x14ac:dyDescent="0.25">
      <c r="A329" s="1160">
        <v>319</v>
      </c>
      <c r="B329" s="25">
        <v>44987</v>
      </c>
      <c r="C329" s="1160" t="s">
        <v>5079</v>
      </c>
      <c r="D329" s="25">
        <v>44988</v>
      </c>
      <c r="E329" s="1160" t="s">
        <v>5082</v>
      </c>
      <c r="F329" s="1160"/>
      <c r="G329" s="1160" t="s">
        <v>5083</v>
      </c>
      <c r="H329" s="1601" t="s">
        <v>5084</v>
      </c>
      <c r="I329" s="1602"/>
      <c r="J329" s="1602"/>
      <c r="K329" s="1602"/>
      <c r="L329" s="1603"/>
    </row>
    <row r="330" spans="1:12" ht="57" customHeight="1" x14ac:dyDescent="0.25">
      <c r="A330" s="1160">
        <v>320</v>
      </c>
      <c r="B330" s="25">
        <v>44989</v>
      </c>
      <c r="C330" s="1160" t="s">
        <v>868</v>
      </c>
      <c r="D330" s="25">
        <v>44990</v>
      </c>
      <c r="E330" s="1160" t="s">
        <v>5097</v>
      </c>
      <c r="F330" s="1160"/>
      <c r="G330" s="1160" t="s">
        <v>5099</v>
      </c>
      <c r="H330" s="1601" t="s">
        <v>5098</v>
      </c>
      <c r="I330" s="1602"/>
      <c r="J330" s="1602"/>
      <c r="K330" s="1602"/>
      <c r="L330" s="1603"/>
    </row>
    <row r="331" spans="1:12" ht="54.75" customHeight="1" x14ac:dyDescent="0.25">
      <c r="A331" s="1160">
        <v>321</v>
      </c>
      <c r="B331" s="25">
        <v>44991</v>
      </c>
      <c r="C331" s="1160" t="s">
        <v>5110</v>
      </c>
      <c r="D331" s="25">
        <v>44992</v>
      </c>
      <c r="E331" s="1160" t="s">
        <v>5109</v>
      </c>
      <c r="F331" s="1160"/>
      <c r="G331" s="1160" t="s">
        <v>5111</v>
      </c>
      <c r="H331" s="1601" t="s">
        <v>5112</v>
      </c>
      <c r="I331" s="1602"/>
      <c r="J331" s="1602"/>
      <c r="K331" s="1602"/>
      <c r="L331" s="1603"/>
    </row>
    <row r="332" spans="1:12" ht="65.25" customHeight="1" x14ac:dyDescent="0.25">
      <c r="A332" s="1160">
        <v>322</v>
      </c>
      <c r="B332" s="25">
        <v>44993</v>
      </c>
      <c r="C332" s="1160" t="s">
        <v>5113</v>
      </c>
      <c r="D332" s="25">
        <v>44994</v>
      </c>
      <c r="E332" s="1160" t="s">
        <v>5114</v>
      </c>
      <c r="F332" s="1160"/>
      <c r="G332" s="1160" t="s">
        <v>5116</v>
      </c>
      <c r="H332" s="1601" t="s">
        <v>5115</v>
      </c>
      <c r="I332" s="1602"/>
      <c r="J332" s="1602"/>
      <c r="K332" s="1602"/>
      <c r="L332" s="1603"/>
    </row>
    <row r="333" spans="1:12" ht="57.75" customHeight="1" x14ac:dyDescent="0.25">
      <c r="A333" s="1160">
        <v>323</v>
      </c>
      <c r="B333" s="25">
        <v>44995</v>
      </c>
      <c r="C333" s="1160" t="s">
        <v>5097</v>
      </c>
      <c r="D333" s="25">
        <v>44996</v>
      </c>
      <c r="E333" s="1160" t="s">
        <v>4286</v>
      </c>
      <c r="F333" s="1160"/>
      <c r="G333" s="1160" t="s">
        <v>5125</v>
      </c>
      <c r="H333" s="1601" t="s">
        <v>5124</v>
      </c>
      <c r="I333" s="1602"/>
      <c r="J333" s="1602"/>
      <c r="K333" s="1602"/>
      <c r="L333" s="1603"/>
    </row>
    <row r="334" spans="1:12" ht="54" customHeight="1" x14ac:dyDescent="0.25">
      <c r="A334" s="1160">
        <v>324</v>
      </c>
      <c r="B334" s="25">
        <v>44997</v>
      </c>
      <c r="C334" s="1160" t="s">
        <v>4748</v>
      </c>
      <c r="D334" s="25">
        <v>44998</v>
      </c>
      <c r="E334" s="1160" t="s">
        <v>1564</v>
      </c>
      <c r="F334" s="1160"/>
      <c r="G334" s="1160" t="s">
        <v>5131</v>
      </c>
      <c r="H334" s="1601" t="s">
        <v>5130</v>
      </c>
      <c r="I334" s="1602"/>
      <c r="J334" s="1602"/>
      <c r="K334" s="1602"/>
      <c r="L334" s="1603"/>
    </row>
    <row r="335" spans="1:12" ht="54.75" customHeight="1" x14ac:dyDescent="0.25">
      <c r="A335" s="1160">
        <v>325</v>
      </c>
      <c r="B335" s="25">
        <v>44999</v>
      </c>
      <c r="C335" s="1160" t="s">
        <v>5135</v>
      </c>
      <c r="D335" s="25">
        <v>44999</v>
      </c>
      <c r="E335" s="1160" t="s">
        <v>5137</v>
      </c>
      <c r="F335" s="1160"/>
      <c r="G335" s="1160" t="s">
        <v>5138</v>
      </c>
      <c r="H335" s="1601" t="s">
        <v>5139</v>
      </c>
      <c r="I335" s="1602"/>
      <c r="J335" s="1602"/>
      <c r="K335" s="1602"/>
      <c r="L335" s="1603"/>
    </row>
    <row r="336" spans="1:12" ht="46.5" customHeight="1" x14ac:dyDescent="0.25">
      <c r="A336" s="1160">
        <v>325</v>
      </c>
      <c r="B336" s="25">
        <v>45000</v>
      </c>
      <c r="C336" s="1160" t="s">
        <v>5147</v>
      </c>
      <c r="D336" s="25">
        <v>45001</v>
      </c>
      <c r="E336" s="1160" t="s">
        <v>5148</v>
      </c>
      <c r="F336" s="1160"/>
      <c r="G336" s="1160" t="s">
        <v>5150</v>
      </c>
      <c r="H336" s="1601" t="s">
        <v>5149</v>
      </c>
      <c r="I336" s="1602"/>
      <c r="J336" s="1602"/>
      <c r="K336" s="1602"/>
      <c r="L336" s="1603"/>
    </row>
    <row r="337" spans="1:12" ht="49.5" customHeight="1" x14ac:dyDescent="0.25">
      <c r="A337" s="1160">
        <v>326</v>
      </c>
      <c r="B337" s="25">
        <v>45003</v>
      </c>
      <c r="C337" s="1160" t="s">
        <v>5157</v>
      </c>
      <c r="D337" s="25">
        <v>45003</v>
      </c>
      <c r="E337" s="1160" t="s">
        <v>5158</v>
      </c>
      <c r="F337" s="1160"/>
      <c r="G337" s="1160" t="s">
        <v>5160</v>
      </c>
      <c r="H337" s="1601" t="s">
        <v>5159</v>
      </c>
      <c r="I337" s="1602"/>
      <c r="J337" s="1602"/>
      <c r="K337" s="1602"/>
      <c r="L337" s="1603"/>
    </row>
    <row r="338" spans="1:12" ht="48" customHeight="1" x14ac:dyDescent="0.25">
      <c r="A338" s="1160">
        <v>327</v>
      </c>
      <c r="B338" s="25">
        <v>45004</v>
      </c>
      <c r="C338" s="1160" t="s">
        <v>5165</v>
      </c>
      <c r="D338" s="25">
        <v>45005</v>
      </c>
      <c r="E338" s="1160" t="s">
        <v>4271</v>
      </c>
      <c r="F338" s="1160"/>
      <c r="G338" s="1160" t="s">
        <v>5172</v>
      </c>
      <c r="H338" s="1601" t="s">
        <v>5173</v>
      </c>
      <c r="I338" s="1602"/>
      <c r="J338" s="1602"/>
      <c r="K338" s="1602"/>
      <c r="L338" s="1603"/>
    </row>
    <row r="339" spans="1:12" ht="54" customHeight="1" x14ac:dyDescent="0.25">
      <c r="A339" s="1160">
        <v>328</v>
      </c>
      <c r="B339" s="25">
        <v>45006</v>
      </c>
      <c r="C339" s="1160" t="s">
        <v>5176</v>
      </c>
      <c r="D339" s="25">
        <v>45007</v>
      </c>
      <c r="E339" s="1160" t="s">
        <v>1833</v>
      </c>
      <c r="F339" s="1160"/>
      <c r="G339" s="1160" t="s">
        <v>5177</v>
      </c>
      <c r="H339" s="1601" t="s">
        <v>5178</v>
      </c>
      <c r="I339" s="1602"/>
      <c r="J339" s="1602"/>
      <c r="K339" s="1602"/>
      <c r="L339" s="1603"/>
    </row>
    <row r="340" spans="1:12" ht="49.5" customHeight="1" x14ac:dyDescent="0.25">
      <c r="A340" s="1160">
        <v>329</v>
      </c>
      <c r="B340" s="25">
        <v>45008</v>
      </c>
      <c r="C340" s="1160" t="s">
        <v>5188</v>
      </c>
      <c r="D340" s="25">
        <v>45009</v>
      </c>
      <c r="E340" s="1160" t="s">
        <v>5018</v>
      </c>
      <c r="F340" s="1160"/>
      <c r="G340" s="1160" t="s">
        <v>5193</v>
      </c>
      <c r="H340" s="1601" t="s">
        <v>5192</v>
      </c>
      <c r="I340" s="1602"/>
      <c r="J340" s="1602"/>
      <c r="K340" s="1602"/>
      <c r="L340" s="1603"/>
    </row>
    <row r="341" spans="1:12" ht="45" customHeight="1" x14ac:dyDescent="0.25">
      <c r="A341" s="1160">
        <v>330</v>
      </c>
      <c r="B341" s="25">
        <v>45010</v>
      </c>
      <c r="C341" s="1160" t="s">
        <v>5195</v>
      </c>
      <c r="D341" s="25">
        <v>45011</v>
      </c>
      <c r="E341" s="1160" t="s">
        <v>5209</v>
      </c>
      <c r="F341" s="1160"/>
      <c r="G341" s="1160" t="s">
        <v>5210</v>
      </c>
      <c r="H341" s="1601" t="s">
        <v>5208</v>
      </c>
      <c r="I341" s="1602"/>
      <c r="J341" s="1602"/>
      <c r="K341" s="1602"/>
      <c r="L341" s="1603"/>
    </row>
    <row r="342" spans="1:12" ht="46.5" customHeight="1" x14ac:dyDescent="0.25">
      <c r="A342" s="1160">
        <v>331</v>
      </c>
      <c r="B342" s="25">
        <v>45011</v>
      </c>
      <c r="C342" s="1160" t="s">
        <v>5220</v>
      </c>
      <c r="D342" s="25">
        <v>45012</v>
      </c>
      <c r="E342" s="1160" t="s">
        <v>5226</v>
      </c>
      <c r="F342" s="1160"/>
      <c r="G342" s="1160" t="s">
        <v>5225</v>
      </c>
      <c r="H342" s="1601" t="s">
        <v>5235</v>
      </c>
      <c r="I342" s="1602"/>
      <c r="J342" s="1602"/>
      <c r="K342" s="1602"/>
      <c r="L342" s="1603"/>
    </row>
    <row r="343" spans="1:12" ht="32.25" customHeight="1" x14ac:dyDescent="0.25">
      <c r="A343" s="1225">
        <v>332</v>
      </c>
      <c r="B343" s="25">
        <v>45013</v>
      </c>
      <c r="C343" s="1225" t="s">
        <v>5234</v>
      </c>
      <c r="D343" s="25">
        <v>45014</v>
      </c>
      <c r="E343" s="1225" t="s">
        <v>5265</v>
      </c>
      <c r="F343" s="1225"/>
      <c r="G343" s="1225" t="s">
        <v>5266</v>
      </c>
      <c r="H343" s="1601" t="s">
        <v>5264</v>
      </c>
      <c r="I343" s="1602"/>
      <c r="J343" s="1602"/>
      <c r="K343" s="1602"/>
      <c r="L343" s="1603"/>
    </row>
    <row r="344" spans="1:12" ht="42" customHeight="1" x14ac:dyDescent="0.25">
      <c r="A344" s="1225">
        <v>333</v>
      </c>
      <c r="B344" s="25">
        <v>45015</v>
      </c>
      <c r="C344" s="1225" t="s">
        <v>5270</v>
      </c>
      <c r="D344" s="25">
        <v>45016</v>
      </c>
      <c r="E344" s="1225" t="s">
        <v>5271</v>
      </c>
      <c r="F344" s="1225"/>
      <c r="G344" s="1225" t="s">
        <v>5269</v>
      </c>
      <c r="H344" s="1601" t="s">
        <v>5268</v>
      </c>
      <c r="I344" s="1602"/>
      <c r="J344" s="1602"/>
      <c r="K344" s="1602"/>
      <c r="L344" s="1603"/>
    </row>
    <row r="345" spans="1:12" ht="48.75" customHeight="1" x14ac:dyDescent="0.25">
      <c r="A345" s="1225">
        <v>334</v>
      </c>
      <c r="B345" s="25">
        <v>45016</v>
      </c>
      <c r="C345" s="1225" t="s">
        <v>5273</v>
      </c>
      <c r="D345" s="25">
        <v>45017</v>
      </c>
      <c r="E345" s="1225" t="s">
        <v>4785</v>
      </c>
      <c r="F345" s="1225"/>
      <c r="G345" s="1225" t="s">
        <v>5272</v>
      </c>
      <c r="H345" s="1601" t="s">
        <v>5274</v>
      </c>
      <c r="I345" s="1602"/>
      <c r="J345" s="1602"/>
      <c r="K345" s="1602"/>
      <c r="L345" s="1603"/>
    </row>
    <row r="346" spans="1:12" ht="31.5" customHeight="1" x14ac:dyDescent="0.25">
      <c r="A346" s="1225">
        <v>335</v>
      </c>
      <c r="B346" s="25">
        <v>45018</v>
      </c>
      <c r="C346" s="1225" t="s">
        <v>5275</v>
      </c>
      <c r="D346" s="25">
        <v>45018</v>
      </c>
      <c r="E346" s="1225" t="s">
        <v>5276</v>
      </c>
      <c r="F346" s="1225"/>
      <c r="G346" s="1225" t="s">
        <v>5277</v>
      </c>
      <c r="H346" s="1601" t="s">
        <v>5263</v>
      </c>
      <c r="I346" s="1602"/>
      <c r="J346" s="1602"/>
      <c r="K346" s="1602"/>
      <c r="L346" s="1603"/>
    </row>
    <row r="347" spans="1:12" ht="45.75" customHeight="1" x14ac:dyDescent="0.25">
      <c r="A347" s="1225">
        <v>336</v>
      </c>
      <c r="B347" s="25">
        <v>45019</v>
      </c>
      <c r="C347" s="1225" t="s">
        <v>5281</v>
      </c>
      <c r="D347" s="25">
        <v>45020</v>
      </c>
      <c r="E347" s="1225" t="s">
        <v>5291</v>
      </c>
      <c r="F347" s="1225"/>
      <c r="G347" s="1225" t="s">
        <v>5292</v>
      </c>
      <c r="H347" s="1601" t="s">
        <v>5290</v>
      </c>
      <c r="I347" s="1602"/>
      <c r="J347" s="1602"/>
      <c r="K347" s="1602"/>
      <c r="L347" s="1603"/>
    </row>
    <row r="348" spans="1:12" ht="52.5" customHeight="1" x14ac:dyDescent="0.25">
      <c r="A348" s="1225">
        <v>337</v>
      </c>
      <c r="B348" s="25">
        <v>45020</v>
      </c>
      <c r="C348" s="1225" t="s">
        <v>5299</v>
      </c>
      <c r="D348" s="25">
        <v>45021</v>
      </c>
      <c r="E348" s="1225" t="s">
        <v>5229</v>
      </c>
      <c r="F348" s="1225"/>
      <c r="G348" s="1225" t="s">
        <v>5301</v>
      </c>
      <c r="H348" s="1601" t="s">
        <v>5300</v>
      </c>
      <c r="I348" s="1602"/>
      <c r="J348" s="1602"/>
      <c r="K348" s="1602"/>
      <c r="L348" s="1603"/>
    </row>
    <row r="349" spans="1:12" ht="32.25" customHeight="1" x14ac:dyDescent="0.25">
      <c r="A349" s="1225">
        <v>338</v>
      </c>
      <c r="B349" s="25">
        <v>45022</v>
      </c>
      <c r="C349" s="1225" t="s">
        <v>5310</v>
      </c>
      <c r="D349" s="25">
        <v>45022</v>
      </c>
      <c r="E349" s="1225" t="s">
        <v>5311</v>
      </c>
      <c r="F349" s="1225"/>
      <c r="G349" s="1225" t="s">
        <v>5317</v>
      </c>
      <c r="H349" s="1601" t="s">
        <v>5309</v>
      </c>
      <c r="I349" s="1602"/>
      <c r="J349" s="1602"/>
      <c r="K349" s="1602"/>
      <c r="L349" s="1603"/>
    </row>
    <row r="350" spans="1:12" ht="45.75" customHeight="1" x14ac:dyDescent="0.25">
      <c r="A350" s="1225">
        <v>339</v>
      </c>
      <c r="B350" s="25">
        <v>45023</v>
      </c>
      <c r="C350" s="1225" t="s">
        <v>5316</v>
      </c>
      <c r="D350" s="25">
        <v>45023</v>
      </c>
      <c r="E350" s="1225" t="s">
        <v>4841</v>
      </c>
      <c r="F350" s="1225"/>
      <c r="G350" s="1225" t="s">
        <v>5318</v>
      </c>
      <c r="H350" s="1601" t="s">
        <v>5319</v>
      </c>
      <c r="I350" s="1602"/>
      <c r="J350" s="1602"/>
      <c r="K350" s="1602"/>
      <c r="L350" s="1603"/>
    </row>
    <row r="351" spans="1:12" ht="31.5" customHeight="1" x14ac:dyDescent="0.25">
      <c r="A351" s="1225">
        <v>340</v>
      </c>
      <c r="B351" s="25">
        <v>45024</v>
      </c>
      <c r="C351" s="1225" t="s">
        <v>5328</v>
      </c>
      <c r="D351" s="25">
        <v>45024</v>
      </c>
      <c r="E351" s="1225" t="s">
        <v>5329</v>
      </c>
      <c r="F351" s="1225"/>
      <c r="G351" s="1225" t="s">
        <v>5327</v>
      </c>
      <c r="H351" s="1601" t="s">
        <v>5326</v>
      </c>
      <c r="I351" s="1602"/>
      <c r="J351" s="1602"/>
      <c r="K351" s="1602"/>
      <c r="L351" s="1603"/>
    </row>
    <row r="352" spans="1:12" ht="36" customHeight="1" x14ac:dyDescent="0.25">
      <c r="A352" s="1225">
        <v>341</v>
      </c>
      <c r="B352" s="25">
        <v>45025</v>
      </c>
      <c r="C352" s="1225" t="s">
        <v>5334</v>
      </c>
      <c r="D352" s="25">
        <v>45025</v>
      </c>
      <c r="E352" s="1225" t="s">
        <v>5335</v>
      </c>
      <c r="F352" s="1225"/>
      <c r="G352" s="1225" t="s">
        <v>5333</v>
      </c>
      <c r="H352" s="1601" t="s">
        <v>5332</v>
      </c>
      <c r="I352" s="1602"/>
      <c r="J352" s="1602"/>
      <c r="K352" s="1602"/>
      <c r="L352" s="1603"/>
    </row>
    <row r="353" spans="1:12" ht="43.5" customHeight="1" x14ac:dyDescent="0.25">
      <c r="A353" s="1225">
        <v>342</v>
      </c>
      <c r="B353" s="25">
        <v>45026</v>
      </c>
      <c r="C353" s="1225" t="s">
        <v>5358</v>
      </c>
      <c r="D353" s="25">
        <v>45027</v>
      </c>
      <c r="E353" s="1225" t="s">
        <v>5359</v>
      </c>
      <c r="F353" s="1225"/>
      <c r="G353" s="1225" t="s">
        <v>5360</v>
      </c>
      <c r="H353" s="1601" t="s">
        <v>5357</v>
      </c>
      <c r="I353" s="1602"/>
      <c r="J353" s="1602"/>
      <c r="K353" s="1602"/>
      <c r="L353" s="1603"/>
    </row>
    <row r="354" spans="1:12" ht="29.25" customHeight="1" x14ac:dyDescent="0.25">
      <c r="A354" s="1225">
        <v>343</v>
      </c>
      <c r="B354" s="25">
        <v>45028</v>
      </c>
      <c r="C354" s="1225" t="s">
        <v>5365</v>
      </c>
      <c r="D354" s="25">
        <v>45029</v>
      </c>
      <c r="E354" s="1225" t="s">
        <v>5316</v>
      </c>
      <c r="F354" s="1225"/>
      <c r="G354" s="1225" t="s">
        <v>5364</v>
      </c>
      <c r="H354" s="1601" t="s">
        <v>5363</v>
      </c>
      <c r="I354" s="1602"/>
      <c r="J354" s="1602"/>
      <c r="K354" s="1602"/>
      <c r="L354" s="1603"/>
    </row>
    <row r="355" spans="1:12" ht="44.25" customHeight="1" x14ac:dyDescent="0.25">
      <c r="A355" s="1225">
        <v>344</v>
      </c>
      <c r="B355" s="25">
        <v>45029</v>
      </c>
      <c r="C355" s="1225" t="s">
        <v>4543</v>
      </c>
      <c r="D355" s="25">
        <v>45030</v>
      </c>
      <c r="E355" s="1225" t="s">
        <v>5375</v>
      </c>
      <c r="F355" s="1225"/>
      <c r="G355" s="1225" t="s">
        <v>5374</v>
      </c>
      <c r="H355" s="1601" t="s">
        <v>5373</v>
      </c>
      <c r="I355" s="1602"/>
      <c r="J355" s="1602"/>
      <c r="K355" s="1602"/>
      <c r="L355" s="1603"/>
    </row>
    <row r="356" spans="1:12" ht="43.5" customHeight="1" x14ac:dyDescent="0.25">
      <c r="A356" s="1225">
        <v>345</v>
      </c>
      <c r="B356" s="25">
        <v>45031</v>
      </c>
      <c r="C356" s="1225" t="s">
        <v>5379</v>
      </c>
      <c r="D356" s="25">
        <v>45031</v>
      </c>
      <c r="E356" s="1225" t="s">
        <v>5375</v>
      </c>
      <c r="F356" s="1225"/>
      <c r="G356" s="1225" t="s">
        <v>5382</v>
      </c>
      <c r="H356" s="1601" t="s">
        <v>5381</v>
      </c>
      <c r="I356" s="1602"/>
      <c r="J356" s="1602"/>
      <c r="K356" s="1602"/>
      <c r="L356" s="1603"/>
    </row>
    <row r="357" spans="1:12" ht="45" customHeight="1" x14ac:dyDescent="0.25">
      <c r="A357" s="1259">
        <v>346</v>
      </c>
      <c r="B357" s="25">
        <v>45031</v>
      </c>
      <c r="C357" s="1225" t="s">
        <v>5384</v>
      </c>
      <c r="D357" s="25">
        <v>45031</v>
      </c>
      <c r="E357" s="1225" t="s">
        <v>5385</v>
      </c>
      <c r="F357" s="1225"/>
      <c r="G357" s="1225" t="s">
        <v>5386</v>
      </c>
      <c r="H357" s="1601" t="s">
        <v>5383</v>
      </c>
      <c r="I357" s="1602"/>
      <c r="J357" s="1602"/>
      <c r="K357" s="1602"/>
      <c r="L357" s="1603"/>
    </row>
    <row r="358" spans="1:12" ht="31.5" customHeight="1" x14ac:dyDescent="0.25">
      <c r="A358" s="1259">
        <v>347</v>
      </c>
      <c r="B358" s="25">
        <v>45032</v>
      </c>
      <c r="C358" s="1225" t="s">
        <v>5387</v>
      </c>
      <c r="D358" s="25">
        <v>45032</v>
      </c>
      <c r="E358" s="1225" t="s">
        <v>5394</v>
      </c>
      <c r="F358" s="1225"/>
      <c r="G358" s="1225" t="s">
        <v>5393</v>
      </c>
      <c r="H358" s="1601" t="s">
        <v>5392</v>
      </c>
      <c r="I358" s="1602"/>
      <c r="J358" s="1602"/>
      <c r="K358" s="1602"/>
      <c r="L358" s="1603"/>
    </row>
    <row r="359" spans="1:12" ht="30.75" customHeight="1" x14ac:dyDescent="0.25">
      <c r="A359" s="1249">
        <v>348</v>
      </c>
      <c r="B359" s="25">
        <v>45033</v>
      </c>
      <c r="C359" s="1249" t="s">
        <v>5410</v>
      </c>
      <c r="D359" s="25">
        <v>45034</v>
      </c>
      <c r="E359" s="1249" t="s">
        <v>5411</v>
      </c>
      <c r="F359" s="1249"/>
      <c r="G359" s="1249" t="s">
        <v>5409</v>
      </c>
      <c r="H359" s="1601" t="s">
        <v>5408</v>
      </c>
      <c r="I359" s="1602"/>
      <c r="J359" s="1602"/>
      <c r="K359" s="1602"/>
      <c r="L359" s="1603"/>
    </row>
    <row r="360" spans="1:12" ht="36.75" customHeight="1" x14ac:dyDescent="0.25">
      <c r="A360" s="1249">
        <v>349</v>
      </c>
      <c r="B360" s="25">
        <v>45034</v>
      </c>
      <c r="C360" s="1249" t="s">
        <v>5419</v>
      </c>
      <c r="D360" s="25">
        <v>45035</v>
      </c>
      <c r="E360" s="1249" t="s">
        <v>5420</v>
      </c>
      <c r="F360" s="1249"/>
      <c r="G360" s="1249" t="s">
        <v>5417</v>
      </c>
      <c r="H360" s="1601" t="s">
        <v>5418</v>
      </c>
      <c r="I360" s="1602"/>
      <c r="J360" s="1602"/>
      <c r="K360" s="1602"/>
      <c r="L360" s="1603"/>
    </row>
    <row r="361" spans="1:12" ht="47.25" customHeight="1" x14ac:dyDescent="0.25">
      <c r="A361" s="1249">
        <v>350</v>
      </c>
      <c r="B361" s="25">
        <v>45036</v>
      </c>
      <c r="C361" s="1249" t="s">
        <v>5433</v>
      </c>
      <c r="D361" s="25">
        <v>45037</v>
      </c>
      <c r="E361" s="1249" t="s">
        <v>5434</v>
      </c>
      <c r="F361" s="1249"/>
      <c r="G361" s="1249" t="s">
        <v>5432</v>
      </c>
      <c r="H361" s="1601" t="s">
        <v>5435</v>
      </c>
      <c r="I361" s="1602"/>
      <c r="J361" s="1602"/>
      <c r="K361" s="1602"/>
      <c r="L361" s="1603"/>
    </row>
    <row r="362" spans="1:12" ht="39.75" customHeight="1" x14ac:dyDescent="0.25">
      <c r="A362" s="1249">
        <v>351</v>
      </c>
      <c r="B362" s="25">
        <v>45038</v>
      </c>
      <c r="C362" s="1249" t="s">
        <v>5439</v>
      </c>
      <c r="D362" s="25">
        <v>45038</v>
      </c>
      <c r="E362" s="1249" t="s">
        <v>5440</v>
      </c>
      <c r="F362" s="1249"/>
      <c r="G362" s="1249" t="s">
        <v>5438</v>
      </c>
      <c r="H362" s="1601" t="s">
        <v>5437</v>
      </c>
      <c r="I362" s="1602"/>
      <c r="J362" s="1602"/>
      <c r="K362" s="1602"/>
      <c r="L362" s="1603"/>
    </row>
    <row r="363" spans="1:12" ht="35.25" customHeight="1" x14ac:dyDescent="0.25">
      <c r="A363" s="1249">
        <v>352</v>
      </c>
      <c r="B363" s="25">
        <v>45040</v>
      </c>
      <c r="C363" s="1249" t="s">
        <v>5476</v>
      </c>
      <c r="D363" s="25">
        <v>45041</v>
      </c>
      <c r="E363" s="1249" t="s">
        <v>5477</v>
      </c>
      <c r="F363" s="1249"/>
      <c r="G363" s="1249" t="s">
        <v>5478</v>
      </c>
      <c r="H363" s="1601" t="s">
        <v>5475</v>
      </c>
      <c r="I363" s="1602"/>
      <c r="J363" s="1602"/>
      <c r="K363" s="1602"/>
      <c r="L363" s="1603"/>
    </row>
    <row r="364" spans="1:12" ht="34.5" customHeight="1" x14ac:dyDescent="0.25">
      <c r="A364" s="1249">
        <v>353</v>
      </c>
      <c r="B364" s="25">
        <v>45041</v>
      </c>
      <c r="C364" s="1249" t="s">
        <v>5480</v>
      </c>
      <c r="D364" s="25">
        <v>45041</v>
      </c>
      <c r="E364" s="1249" t="s">
        <v>5481</v>
      </c>
      <c r="F364" s="1249"/>
      <c r="G364" s="1249" t="s">
        <v>5482</v>
      </c>
      <c r="H364" s="1601" t="s">
        <v>5479</v>
      </c>
      <c r="I364" s="1602"/>
      <c r="J364" s="1602"/>
      <c r="K364" s="1602"/>
      <c r="L364" s="1603"/>
    </row>
    <row r="365" spans="1:12" ht="41.25" customHeight="1" x14ac:dyDescent="0.25">
      <c r="A365" s="1249">
        <v>354</v>
      </c>
      <c r="B365" s="25">
        <v>45041</v>
      </c>
      <c r="C365" s="1249" t="s">
        <v>5484</v>
      </c>
      <c r="D365" s="25">
        <v>45041</v>
      </c>
      <c r="E365" s="1249" t="s">
        <v>5485</v>
      </c>
      <c r="F365" s="1249"/>
      <c r="G365" s="1249" t="s">
        <v>5486</v>
      </c>
      <c r="H365" s="1601" t="s">
        <v>5483</v>
      </c>
      <c r="I365" s="1602"/>
      <c r="J365" s="1602"/>
      <c r="K365" s="1602"/>
      <c r="L365" s="1603"/>
    </row>
    <row r="366" spans="1:12" ht="29.25" customHeight="1" x14ac:dyDescent="0.25">
      <c r="A366" s="1249">
        <v>355</v>
      </c>
      <c r="B366" s="25">
        <v>45041</v>
      </c>
      <c r="C366" s="1249" t="s">
        <v>5488</v>
      </c>
      <c r="D366" s="25">
        <v>45041</v>
      </c>
      <c r="E366" s="1249" t="s">
        <v>5489</v>
      </c>
      <c r="F366" s="1249"/>
      <c r="G366" s="1249" t="s">
        <v>5490</v>
      </c>
      <c r="H366" s="1601" t="s">
        <v>5487</v>
      </c>
      <c r="I366" s="1602"/>
      <c r="J366" s="1602"/>
      <c r="K366" s="1602"/>
      <c r="L366" s="1603"/>
    </row>
    <row r="367" spans="1:12" ht="29.25" customHeight="1" x14ac:dyDescent="0.25">
      <c r="A367" s="1249">
        <v>356</v>
      </c>
      <c r="B367" s="25">
        <v>45041</v>
      </c>
      <c r="C367" s="1249" t="s">
        <v>5509</v>
      </c>
      <c r="D367" s="25">
        <v>45042</v>
      </c>
      <c r="E367" s="1249" t="s">
        <v>2573</v>
      </c>
      <c r="F367" s="1249"/>
      <c r="G367" s="1249" t="s">
        <v>5471</v>
      </c>
      <c r="H367" s="1601" t="s">
        <v>5508</v>
      </c>
      <c r="I367" s="1602"/>
      <c r="J367" s="1602"/>
      <c r="K367" s="1602"/>
      <c r="L367" s="1603"/>
    </row>
    <row r="368" spans="1:12" ht="32.25" customHeight="1" x14ac:dyDescent="0.25">
      <c r="A368" s="1249">
        <v>357</v>
      </c>
      <c r="B368" s="25">
        <v>45042</v>
      </c>
      <c r="C368" s="1249" t="s">
        <v>5466</v>
      </c>
      <c r="D368" s="25">
        <v>45042</v>
      </c>
      <c r="E368" s="1249" t="s">
        <v>5512</v>
      </c>
      <c r="F368" s="1249"/>
      <c r="G368" s="1249" t="s">
        <v>5511</v>
      </c>
      <c r="H368" s="1601" t="s">
        <v>5510</v>
      </c>
      <c r="I368" s="1602"/>
      <c r="J368" s="1602"/>
      <c r="K368" s="1602"/>
      <c r="L368" s="1603"/>
    </row>
    <row r="369" spans="1:12" ht="49.5" customHeight="1" x14ac:dyDescent="0.25">
      <c r="A369" s="1249">
        <v>358</v>
      </c>
      <c r="B369" s="25">
        <v>45043</v>
      </c>
      <c r="C369" s="1249" t="s">
        <v>5517</v>
      </c>
      <c r="D369" s="25">
        <v>45044</v>
      </c>
      <c r="E369" s="1249" t="s">
        <v>5522</v>
      </c>
      <c r="F369" s="1249"/>
      <c r="G369" s="1249" t="s">
        <v>5523</v>
      </c>
      <c r="H369" s="1601" t="s">
        <v>5521</v>
      </c>
      <c r="I369" s="1602"/>
      <c r="J369" s="1602"/>
      <c r="K369" s="1602"/>
      <c r="L369" s="1603"/>
    </row>
    <row r="370" spans="1:12" ht="41.25" customHeight="1" x14ac:dyDescent="0.25">
      <c r="A370" s="1249">
        <v>359</v>
      </c>
      <c r="B370" s="25">
        <v>45045</v>
      </c>
      <c r="C370" s="1249" t="s">
        <v>5546</v>
      </c>
      <c r="D370" s="25">
        <v>45046</v>
      </c>
      <c r="E370" s="1249" t="s">
        <v>5547</v>
      </c>
      <c r="F370" s="1249"/>
      <c r="G370" s="1249" t="s">
        <v>5545</v>
      </c>
      <c r="H370" s="1601" t="s">
        <v>5544</v>
      </c>
      <c r="I370" s="1602"/>
      <c r="J370" s="1602"/>
      <c r="K370" s="1602"/>
      <c r="L370" s="1603"/>
    </row>
    <row r="371" spans="1:12" ht="44.25" customHeight="1" x14ac:dyDescent="0.25">
      <c r="A371" s="1249">
        <v>360</v>
      </c>
      <c r="B371" s="25">
        <v>45047</v>
      </c>
      <c r="C371" s="1249" t="s">
        <v>5558</v>
      </c>
      <c r="D371" s="25">
        <v>45048</v>
      </c>
      <c r="E371" s="1249" t="s">
        <v>5559</v>
      </c>
      <c r="F371" s="1249"/>
      <c r="G371" s="1249" t="s">
        <v>5560</v>
      </c>
      <c r="H371" s="1601" t="s">
        <v>5557</v>
      </c>
      <c r="I371" s="1602"/>
      <c r="J371" s="1602"/>
      <c r="K371" s="1602"/>
      <c r="L371" s="1603"/>
    </row>
    <row r="372" spans="1:12" ht="32.25" customHeight="1" x14ac:dyDescent="0.25">
      <c r="A372" s="1606">
        <v>361</v>
      </c>
      <c r="B372" s="25">
        <v>45049</v>
      </c>
      <c r="C372" s="1249" t="s">
        <v>5568</v>
      </c>
      <c r="D372" s="25"/>
      <c r="E372" s="1249"/>
      <c r="F372" s="1249"/>
      <c r="G372" s="1249" t="s">
        <v>5580</v>
      </c>
      <c r="H372" s="1601" t="s">
        <v>5562</v>
      </c>
      <c r="I372" s="1602"/>
      <c r="J372" s="1602"/>
      <c r="K372" s="1602"/>
      <c r="L372" s="1603"/>
    </row>
    <row r="373" spans="1:12" x14ac:dyDescent="0.25">
      <c r="A373" s="1607"/>
      <c r="B373" s="25"/>
      <c r="C373" s="1249"/>
      <c r="D373" s="25">
        <v>45053</v>
      </c>
      <c r="E373" s="1249" t="s">
        <v>5581</v>
      </c>
      <c r="F373" s="1249"/>
      <c r="G373" s="1249" t="s">
        <v>5582</v>
      </c>
      <c r="H373" s="1601" t="s">
        <v>5579</v>
      </c>
      <c r="I373" s="1602"/>
      <c r="J373" s="1602"/>
      <c r="K373" s="1602"/>
      <c r="L373" s="1603"/>
    </row>
    <row r="374" spans="1:12" ht="43.5" customHeight="1" x14ac:dyDescent="0.25">
      <c r="A374" s="1294">
        <v>362</v>
      </c>
      <c r="B374" s="25">
        <v>45054</v>
      </c>
      <c r="C374" s="1249" t="s">
        <v>5594</v>
      </c>
      <c r="D374" s="25"/>
      <c r="E374" s="1249"/>
      <c r="F374" s="1249"/>
      <c r="G374" s="1249" t="s">
        <v>5606</v>
      </c>
      <c r="H374" s="1601" t="s">
        <v>5605</v>
      </c>
      <c r="I374" s="1602"/>
      <c r="J374" s="1602"/>
      <c r="K374" s="1602"/>
      <c r="L374" s="1603"/>
    </row>
    <row r="375" spans="1:12" ht="45.75" customHeight="1" x14ac:dyDescent="0.25">
      <c r="A375" s="1294">
        <v>363</v>
      </c>
      <c r="B375" s="25">
        <v>45056</v>
      </c>
      <c r="C375" s="1249" t="s">
        <v>5619</v>
      </c>
      <c r="D375" s="25">
        <v>45057</v>
      </c>
      <c r="E375" s="1249" t="s">
        <v>5621</v>
      </c>
      <c r="F375" s="1249"/>
      <c r="G375" s="1249" t="s">
        <v>5622</v>
      </c>
      <c r="H375" s="1601" t="s">
        <v>5620</v>
      </c>
      <c r="I375" s="1602"/>
      <c r="J375" s="1602"/>
      <c r="K375" s="1602"/>
      <c r="L375" s="1603"/>
    </row>
    <row r="376" spans="1:12" ht="65.25" customHeight="1" x14ac:dyDescent="0.25">
      <c r="A376" s="1249">
        <v>364</v>
      </c>
      <c r="B376" s="25">
        <v>45059</v>
      </c>
      <c r="C376" s="1249" t="s">
        <v>4752</v>
      </c>
      <c r="D376" s="25">
        <v>45059</v>
      </c>
      <c r="E376" s="1249" t="s">
        <v>5625</v>
      </c>
      <c r="F376" s="1249"/>
      <c r="G376" s="1249" t="s">
        <v>5627</v>
      </c>
      <c r="H376" s="1601" t="s">
        <v>5626</v>
      </c>
      <c r="I376" s="1602"/>
      <c r="J376" s="1602"/>
      <c r="K376" s="1602"/>
      <c r="L376" s="1603"/>
    </row>
    <row r="377" spans="1:12" ht="34.5" customHeight="1" x14ac:dyDescent="0.25">
      <c r="A377" s="1249">
        <v>365</v>
      </c>
      <c r="B377" s="25">
        <v>45060</v>
      </c>
      <c r="C377" s="1249" t="s">
        <v>5632</v>
      </c>
      <c r="D377" s="25">
        <v>45061</v>
      </c>
      <c r="E377" s="1249" t="s">
        <v>5633</v>
      </c>
      <c r="F377" s="1249"/>
      <c r="G377" s="1249" t="s">
        <v>5634</v>
      </c>
      <c r="H377" s="1601" t="s">
        <v>5635</v>
      </c>
      <c r="I377" s="1602"/>
      <c r="J377" s="1602"/>
      <c r="K377" s="1602"/>
      <c r="L377" s="1603"/>
    </row>
    <row r="378" spans="1:12" ht="46.5" customHeight="1" x14ac:dyDescent="0.25">
      <c r="A378" s="1249">
        <v>366</v>
      </c>
      <c r="B378" s="25">
        <v>45062</v>
      </c>
      <c r="C378" s="1249" t="s">
        <v>5638</v>
      </c>
      <c r="D378" s="25">
        <v>45062</v>
      </c>
      <c r="E378" s="1249" t="s">
        <v>5642</v>
      </c>
      <c r="F378" s="1249"/>
      <c r="G378" s="1249" t="s">
        <v>5643</v>
      </c>
      <c r="H378" s="1601" t="s">
        <v>5644</v>
      </c>
      <c r="I378" s="1602"/>
      <c r="J378" s="1602"/>
      <c r="K378" s="1602"/>
      <c r="L378" s="1603"/>
    </row>
    <row r="379" spans="1:12" ht="46.5" customHeight="1" x14ac:dyDescent="0.25">
      <c r="A379" s="1306">
        <v>367</v>
      </c>
      <c r="B379" s="25">
        <v>45063</v>
      </c>
      <c r="C379" s="1306" t="s">
        <v>3991</v>
      </c>
      <c r="D379" s="25">
        <v>45064</v>
      </c>
      <c r="E379" s="1306" t="s">
        <v>5646</v>
      </c>
      <c r="F379" s="1306"/>
      <c r="G379" s="1306" t="s">
        <v>5647</v>
      </c>
      <c r="H379" s="1601" t="s">
        <v>5648</v>
      </c>
      <c r="I379" s="1602"/>
      <c r="J379" s="1602"/>
      <c r="K379" s="1602"/>
      <c r="L379" s="1603"/>
    </row>
    <row r="380" spans="1:12" ht="46.5" customHeight="1" x14ac:dyDescent="0.25">
      <c r="A380" s="1308">
        <v>368</v>
      </c>
      <c r="B380" s="25">
        <v>45065</v>
      </c>
      <c r="C380" s="1308" t="s">
        <v>5652</v>
      </c>
      <c r="D380" s="25">
        <v>45066</v>
      </c>
      <c r="E380" s="1308" t="s">
        <v>5658</v>
      </c>
      <c r="F380" s="1308"/>
      <c r="G380" s="1308" t="s">
        <v>5660</v>
      </c>
      <c r="H380" s="1601" t="s">
        <v>5659</v>
      </c>
      <c r="I380" s="1602"/>
      <c r="J380" s="1602"/>
      <c r="K380" s="1602"/>
      <c r="L380" s="1603"/>
    </row>
    <row r="381" spans="1:12" ht="46.5" customHeight="1" x14ac:dyDescent="0.25">
      <c r="A381" s="1312">
        <v>369</v>
      </c>
      <c r="B381" s="25">
        <v>45067</v>
      </c>
      <c r="C381" s="1312" t="s">
        <v>4656</v>
      </c>
      <c r="D381" s="25">
        <v>45068</v>
      </c>
      <c r="E381" s="1312" t="s">
        <v>5040</v>
      </c>
      <c r="F381" s="1312"/>
      <c r="G381" s="1312" t="s">
        <v>5667</v>
      </c>
      <c r="H381" s="1601" t="s">
        <v>5666</v>
      </c>
      <c r="I381" s="1602"/>
      <c r="J381" s="1602"/>
      <c r="K381" s="1602"/>
      <c r="L381" s="1603"/>
    </row>
    <row r="382" spans="1:12" ht="46.5" customHeight="1" x14ac:dyDescent="0.25">
      <c r="A382" s="1315">
        <v>370</v>
      </c>
      <c r="B382" s="25">
        <v>45069</v>
      </c>
      <c r="C382" s="1315" t="s">
        <v>1952</v>
      </c>
      <c r="D382" s="25">
        <v>45069</v>
      </c>
      <c r="E382" s="1315" t="s">
        <v>5677</v>
      </c>
      <c r="F382" s="1315"/>
      <c r="G382" s="1315" t="s">
        <v>5679</v>
      </c>
      <c r="H382" s="1601" t="s">
        <v>5678</v>
      </c>
      <c r="I382" s="1602"/>
      <c r="J382" s="1602"/>
      <c r="K382" s="1602"/>
      <c r="L382" s="1603"/>
    </row>
    <row r="383" spans="1:12" ht="46.5" customHeight="1" x14ac:dyDescent="0.25">
      <c r="A383" s="1317">
        <v>371</v>
      </c>
      <c r="B383" s="25">
        <v>45070</v>
      </c>
      <c r="C383" s="1317" t="s">
        <v>5682</v>
      </c>
      <c r="D383" s="25">
        <v>45072</v>
      </c>
      <c r="E383" s="1317" t="s">
        <v>5688</v>
      </c>
      <c r="F383" s="1317"/>
      <c r="G383" s="1317" t="s">
        <v>5689</v>
      </c>
      <c r="H383" s="1601" t="s">
        <v>5692</v>
      </c>
      <c r="I383" s="1602"/>
      <c r="J383" s="1602"/>
      <c r="K383" s="1602"/>
      <c r="L383" s="1603"/>
    </row>
    <row r="384" spans="1:12" ht="46.5" customHeight="1" x14ac:dyDescent="0.25">
      <c r="A384" s="1321">
        <v>372</v>
      </c>
      <c r="B384" s="25">
        <v>45073</v>
      </c>
      <c r="C384" s="1321" t="s">
        <v>5694</v>
      </c>
      <c r="D384" s="25">
        <v>45073</v>
      </c>
      <c r="E384" s="1321" t="s">
        <v>1565</v>
      </c>
      <c r="F384" s="1321"/>
      <c r="G384" s="1321" t="s">
        <v>5696</v>
      </c>
      <c r="H384" s="1601" t="s">
        <v>5695</v>
      </c>
      <c r="I384" s="1602"/>
      <c r="J384" s="1602"/>
      <c r="K384" s="1602"/>
      <c r="L384" s="1603"/>
    </row>
    <row r="385" spans="1:12" ht="46.5" customHeight="1" x14ac:dyDescent="0.25">
      <c r="A385" s="1321">
        <v>373</v>
      </c>
      <c r="B385" s="25">
        <v>45073</v>
      </c>
      <c r="C385" s="1321" t="s">
        <v>2894</v>
      </c>
      <c r="D385" s="25">
        <v>45074</v>
      </c>
      <c r="E385" s="1321" t="s">
        <v>5702</v>
      </c>
      <c r="F385" s="1321"/>
      <c r="G385" s="1321" t="s">
        <v>5705</v>
      </c>
      <c r="H385" s="1601" t="s">
        <v>5706</v>
      </c>
      <c r="I385" s="1602"/>
      <c r="J385" s="1602"/>
      <c r="K385" s="1602"/>
      <c r="L385" s="1603"/>
    </row>
    <row r="386" spans="1:12" ht="46.5" customHeight="1" x14ac:dyDescent="0.25">
      <c r="A386" s="1324">
        <v>374</v>
      </c>
      <c r="B386" s="25">
        <v>45075</v>
      </c>
      <c r="C386" s="1324" t="s">
        <v>3764</v>
      </c>
      <c r="D386" s="25">
        <v>45076</v>
      </c>
      <c r="E386" s="1324" t="s">
        <v>5711</v>
      </c>
      <c r="F386" s="1324"/>
      <c r="G386" s="1324" t="s">
        <v>5713</v>
      </c>
      <c r="H386" s="1601" t="s">
        <v>5712</v>
      </c>
      <c r="I386" s="1602"/>
      <c r="J386" s="1602"/>
      <c r="K386" s="1602"/>
      <c r="L386" s="1603"/>
    </row>
    <row r="387" spans="1:12" ht="46.5" customHeight="1" x14ac:dyDescent="0.25">
      <c r="A387" s="1327">
        <v>374</v>
      </c>
      <c r="B387" s="25">
        <v>45077</v>
      </c>
      <c r="C387" s="1327" t="s">
        <v>5722</v>
      </c>
      <c r="D387" s="25">
        <v>45078</v>
      </c>
      <c r="E387" s="1327" t="s">
        <v>5723</v>
      </c>
      <c r="F387" s="1327"/>
      <c r="G387" s="1327" t="s">
        <v>5725</v>
      </c>
      <c r="H387" s="1601" t="s">
        <v>5724</v>
      </c>
      <c r="I387" s="1602"/>
      <c r="J387" s="1602"/>
      <c r="K387" s="1602"/>
      <c r="L387" s="1603"/>
    </row>
    <row r="388" spans="1:12" ht="46.5" customHeight="1" x14ac:dyDescent="0.25">
      <c r="A388" s="1331">
        <v>375</v>
      </c>
      <c r="B388" s="25">
        <v>45079</v>
      </c>
      <c r="C388" s="1331" t="s">
        <v>5734</v>
      </c>
      <c r="D388" s="25">
        <v>45079</v>
      </c>
      <c r="E388" s="1331" t="s">
        <v>5735</v>
      </c>
      <c r="F388" s="1331"/>
      <c r="G388" s="1331" t="s">
        <v>5736</v>
      </c>
      <c r="H388" s="1601" t="s">
        <v>5737</v>
      </c>
      <c r="I388" s="1602"/>
      <c r="J388" s="1602"/>
      <c r="K388" s="1602"/>
      <c r="L388" s="1603"/>
    </row>
    <row r="389" spans="1:12" ht="46.5" customHeight="1" x14ac:dyDescent="0.25">
      <c r="A389" s="1333">
        <v>376</v>
      </c>
      <c r="B389" s="25">
        <v>45080</v>
      </c>
      <c r="C389" s="1333" t="s">
        <v>5738</v>
      </c>
      <c r="D389" s="25">
        <v>45080</v>
      </c>
      <c r="E389" s="1333" t="s">
        <v>1681</v>
      </c>
      <c r="F389" s="1333"/>
      <c r="G389" s="1333" t="s">
        <v>5739</v>
      </c>
      <c r="H389" s="1601" t="s">
        <v>5749</v>
      </c>
      <c r="I389" s="1602"/>
      <c r="J389" s="1602"/>
      <c r="K389" s="1602"/>
      <c r="L389" s="1603"/>
    </row>
    <row r="390" spans="1:12" ht="46.5" customHeight="1" x14ac:dyDescent="0.25">
      <c r="A390" s="1335">
        <v>377</v>
      </c>
      <c r="B390" s="25">
        <v>45081</v>
      </c>
      <c r="C390" s="1335" t="s">
        <v>3019</v>
      </c>
      <c r="D390" s="25">
        <v>45081</v>
      </c>
      <c r="E390" s="1335" t="s">
        <v>5751</v>
      </c>
      <c r="F390" s="1335"/>
      <c r="G390" s="1335" t="s">
        <v>5752</v>
      </c>
      <c r="H390" s="1601" t="s">
        <v>5753</v>
      </c>
      <c r="I390" s="1602"/>
      <c r="J390" s="1602"/>
      <c r="K390" s="1602"/>
      <c r="L390" s="1603"/>
    </row>
    <row r="391" spans="1:12" ht="46.5" customHeight="1" x14ac:dyDescent="0.25">
      <c r="A391" s="1338">
        <v>378</v>
      </c>
      <c r="B391" s="25">
        <v>45082</v>
      </c>
      <c r="C391" s="1338" t="s">
        <v>5758</v>
      </c>
      <c r="D391" s="25">
        <v>45083</v>
      </c>
      <c r="E391" s="1338" t="s">
        <v>5763</v>
      </c>
      <c r="F391" s="1338"/>
      <c r="G391" s="1338" t="s">
        <v>5766</v>
      </c>
      <c r="H391" s="1601" t="s">
        <v>5765</v>
      </c>
      <c r="I391" s="1602"/>
      <c r="J391" s="1602"/>
      <c r="K391" s="1602"/>
      <c r="L391" s="1603"/>
    </row>
    <row r="392" spans="1:12" ht="46.5" customHeight="1" x14ac:dyDescent="0.25">
      <c r="A392" s="1340">
        <v>378</v>
      </c>
      <c r="B392" s="25">
        <v>45083</v>
      </c>
      <c r="C392" s="1340" t="s">
        <v>4214</v>
      </c>
      <c r="D392" s="25">
        <v>45083</v>
      </c>
      <c r="E392" s="1340" t="s">
        <v>5764</v>
      </c>
      <c r="F392" s="1340"/>
      <c r="G392" s="1340" t="s">
        <v>5769</v>
      </c>
      <c r="H392" s="1601" t="s">
        <v>5768</v>
      </c>
      <c r="I392" s="1602"/>
      <c r="J392" s="1602"/>
      <c r="K392" s="1602"/>
      <c r="L392" s="1603"/>
    </row>
    <row r="393" spans="1:12" ht="46.5" customHeight="1" x14ac:dyDescent="0.25">
      <c r="A393" s="1342">
        <v>379</v>
      </c>
      <c r="B393" s="25">
        <v>45084</v>
      </c>
      <c r="C393" s="1342" t="s">
        <v>5774</v>
      </c>
      <c r="D393" s="25">
        <v>45085</v>
      </c>
      <c r="E393" s="1342" t="s">
        <v>5781</v>
      </c>
      <c r="F393" s="1342"/>
      <c r="G393" s="1342" t="s">
        <v>5782</v>
      </c>
      <c r="H393" s="1601" t="s">
        <v>5783</v>
      </c>
      <c r="I393" s="1602"/>
      <c r="J393" s="1602"/>
      <c r="K393" s="1602"/>
      <c r="L393" s="1603"/>
    </row>
    <row r="394" spans="1:12" ht="46.5" customHeight="1" x14ac:dyDescent="0.25">
      <c r="A394" s="1345">
        <v>380</v>
      </c>
      <c r="B394" s="25">
        <v>45086</v>
      </c>
      <c r="C394" s="1345" t="s">
        <v>5785</v>
      </c>
      <c r="D394" s="25">
        <v>45087</v>
      </c>
      <c r="E394" s="1345" t="s">
        <v>1627</v>
      </c>
      <c r="F394" s="1345"/>
      <c r="G394" s="1345" t="s">
        <v>5789</v>
      </c>
      <c r="H394" s="1601" t="s">
        <v>5790</v>
      </c>
      <c r="I394" s="1602"/>
      <c r="J394" s="1602"/>
      <c r="K394" s="1602"/>
      <c r="L394" s="1603"/>
    </row>
    <row r="395" spans="1:12" ht="46.5" customHeight="1" x14ac:dyDescent="0.25">
      <c r="A395" s="1347">
        <v>381</v>
      </c>
      <c r="B395" s="25">
        <v>45088</v>
      </c>
      <c r="C395" s="1347" t="s">
        <v>2486</v>
      </c>
      <c r="D395" s="25">
        <v>45088</v>
      </c>
      <c r="E395" s="1347" t="s">
        <v>5147</v>
      </c>
      <c r="F395" s="1347"/>
      <c r="G395" s="1347" t="s">
        <v>5795</v>
      </c>
      <c r="H395" s="1601" t="s">
        <v>5794</v>
      </c>
      <c r="I395" s="1602"/>
      <c r="J395" s="1602"/>
      <c r="K395" s="1602"/>
      <c r="L395" s="1603"/>
    </row>
    <row r="396" spans="1:12" ht="46.5" customHeight="1" x14ac:dyDescent="0.25">
      <c r="A396" s="1350">
        <v>382</v>
      </c>
      <c r="B396" s="25">
        <v>45089</v>
      </c>
      <c r="C396" s="1350" t="s">
        <v>5803</v>
      </c>
      <c r="D396" s="25">
        <v>45090</v>
      </c>
      <c r="E396" s="1350" t="s">
        <v>5804</v>
      </c>
      <c r="F396" s="1350"/>
      <c r="G396" s="1350" t="s">
        <v>5805</v>
      </c>
      <c r="H396" s="1601" t="s">
        <v>5806</v>
      </c>
      <c r="I396" s="1602"/>
      <c r="J396" s="1602"/>
      <c r="K396" s="1602"/>
      <c r="L396" s="1603"/>
    </row>
    <row r="397" spans="1:12" ht="46.5" customHeight="1" x14ac:dyDescent="0.25">
      <c r="A397" s="1353">
        <v>383</v>
      </c>
      <c r="B397" s="25">
        <v>45092</v>
      </c>
      <c r="C397" s="1353" t="s">
        <v>5820</v>
      </c>
      <c r="D397" s="25">
        <v>45093</v>
      </c>
      <c r="E397" s="1353" t="s">
        <v>5825</v>
      </c>
      <c r="F397" s="1353"/>
      <c r="G397" s="1353" t="s">
        <v>5827</v>
      </c>
      <c r="H397" s="1601" t="s">
        <v>5826</v>
      </c>
      <c r="I397" s="1602"/>
      <c r="J397" s="1602"/>
      <c r="K397" s="1602"/>
      <c r="L397" s="1603"/>
    </row>
    <row r="398" spans="1:12" ht="69.75" customHeight="1" x14ac:dyDescent="0.25">
      <c r="A398" s="1357">
        <v>383</v>
      </c>
      <c r="B398" s="25">
        <v>45094</v>
      </c>
      <c r="C398" s="1357" t="s">
        <v>5829</v>
      </c>
      <c r="D398" s="25">
        <v>45095</v>
      </c>
      <c r="E398" s="1357" t="s">
        <v>1617</v>
      </c>
      <c r="F398" s="1357"/>
      <c r="G398" s="1357" t="s">
        <v>5831</v>
      </c>
      <c r="H398" s="1601" t="s">
        <v>5830</v>
      </c>
      <c r="I398" s="1602"/>
      <c r="J398" s="1602"/>
      <c r="K398" s="1602"/>
      <c r="L398" s="1603"/>
    </row>
    <row r="399" spans="1:12" ht="69.75" customHeight="1" x14ac:dyDescent="0.25">
      <c r="A399" s="1359">
        <v>384</v>
      </c>
      <c r="B399" s="25">
        <v>45095</v>
      </c>
      <c r="C399" s="1359" t="s">
        <v>5834</v>
      </c>
      <c r="D399" s="25">
        <v>45096</v>
      </c>
      <c r="E399" s="1359" t="s">
        <v>5702</v>
      </c>
      <c r="F399" s="1359"/>
      <c r="G399" s="1359" t="s">
        <v>5837</v>
      </c>
      <c r="H399" s="1601" t="s">
        <v>5838</v>
      </c>
      <c r="I399" s="1602"/>
      <c r="J399" s="1602"/>
      <c r="K399" s="1602"/>
      <c r="L399" s="1603"/>
    </row>
    <row r="400" spans="1:12" ht="69.75" customHeight="1" x14ac:dyDescent="0.25">
      <c r="A400" s="1362">
        <v>385</v>
      </c>
      <c r="B400" s="25">
        <v>45097</v>
      </c>
      <c r="C400" s="1362" t="s">
        <v>5633</v>
      </c>
      <c r="D400" s="25">
        <v>45098</v>
      </c>
      <c r="E400" s="1362" t="s">
        <v>5842</v>
      </c>
      <c r="F400" s="1362"/>
      <c r="G400" s="1362" t="s">
        <v>5844</v>
      </c>
      <c r="H400" s="1601" t="s">
        <v>5843</v>
      </c>
      <c r="I400" s="1602"/>
      <c r="J400" s="1602"/>
      <c r="K400" s="1602"/>
      <c r="L400" s="1603"/>
    </row>
    <row r="401" spans="1:12" ht="69.75" customHeight="1" x14ac:dyDescent="0.25">
      <c r="A401" s="1364">
        <v>386</v>
      </c>
      <c r="B401" s="25">
        <v>45098</v>
      </c>
      <c r="C401" s="1364" t="s">
        <v>5849</v>
      </c>
      <c r="D401" s="25">
        <v>45099</v>
      </c>
      <c r="E401" s="1364" t="s">
        <v>5854</v>
      </c>
      <c r="F401" s="1364"/>
      <c r="G401" s="1364" t="s">
        <v>5855</v>
      </c>
      <c r="H401" s="1601" t="s">
        <v>5856</v>
      </c>
      <c r="I401" s="1602"/>
      <c r="J401" s="1602"/>
      <c r="K401" s="1602"/>
      <c r="L401" s="1603"/>
    </row>
    <row r="402" spans="1:12" ht="69.75" customHeight="1" x14ac:dyDescent="0.25">
      <c r="A402" s="1367">
        <v>387</v>
      </c>
      <c r="B402" s="25">
        <v>45100</v>
      </c>
      <c r="C402" s="1367" t="s">
        <v>5860</v>
      </c>
      <c r="D402" s="25">
        <v>45101</v>
      </c>
      <c r="E402" s="1367" t="s">
        <v>5864</v>
      </c>
      <c r="F402" s="1367"/>
      <c r="G402" s="1367" t="s">
        <v>5865</v>
      </c>
      <c r="H402" s="1601" t="s">
        <v>5866</v>
      </c>
      <c r="I402" s="1602"/>
      <c r="J402" s="1602"/>
      <c r="K402" s="1602"/>
      <c r="L402" s="1603"/>
    </row>
    <row r="403" spans="1:12" ht="69.75" customHeight="1" x14ac:dyDescent="0.25">
      <c r="A403" s="1370">
        <v>388</v>
      </c>
      <c r="B403" s="25">
        <v>45102</v>
      </c>
      <c r="C403" s="1370" t="s">
        <v>5869</v>
      </c>
      <c r="D403" s="25">
        <v>45103</v>
      </c>
      <c r="E403" s="1370" t="s">
        <v>5871</v>
      </c>
      <c r="F403" s="1370"/>
      <c r="G403" s="1370" t="s">
        <v>5872</v>
      </c>
      <c r="H403" s="1601" t="s">
        <v>5873</v>
      </c>
      <c r="I403" s="1602"/>
      <c r="J403" s="1602"/>
      <c r="K403" s="1602"/>
      <c r="L403" s="1603"/>
    </row>
    <row r="404" spans="1:12" ht="69.75" customHeight="1" x14ac:dyDescent="0.25">
      <c r="A404" s="1372">
        <v>389</v>
      </c>
      <c r="B404" s="25">
        <v>45104</v>
      </c>
      <c r="C404" s="1372" t="s">
        <v>5876</v>
      </c>
      <c r="D404" s="25">
        <v>45105</v>
      </c>
      <c r="E404" s="1372" t="s">
        <v>3828</v>
      </c>
      <c r="F404" s="1372"/>
      <c r="G404" s="1372" t="s">
        <v>5880</v>
      </c>
      <c r="H404" s="1601" t="s">
        <v>5879</v>
      </c>
      <c r="I404" s="1602"/>
      <c r="J404" s="1602"/>
      <c r="K404" s="1602"/>
      <c r="L404" s="1603"/>
    </row>
    <row r="405" spans="1:12" ht="69.75" customHeight="1" x14ac:dyDescent="0.25">
      <c r="A405" s="1376">
        <v>390</v>
      </c>
      <c r="B405" s="25">
        <v>45106</v>
      </c>
      <c r="C405" s="1376" t="s">
        <v>5884</v>
      </c>
      <c r="D405" s="25">
        <v>45107</v>
      </c>
      <c r="E405" s="1376" t="s">
        <v>5899</v>
      </c>
      <c r="F405" s="1376"/>
      <c r="G405" s="1376" t="s">
        <v>5898</v>
      </c>
      <c r="H405" s="1601" t="s">
        <v>5897</v>
      </c>
      <c r="I405" s="1602"/>
      <c r="J405" s="1602"/>
      <c r="K405" s="1602"/>
      <c r="L405" s="1603"/>
    </row>
    <row r="406" spans="1:12" ht="40.5" customHeight="1" x14ac:dyDescent="0.25">
      <c r="A406" s="1378">
        <v>391</v>
      </c>
      <c r="B406" s="25">
        <v>45108</v>
      </c>
      <c r="C406" s="1378" t="s">
        <v>5906</v>
      </c>
      <c r="D406" s="25">
        <v>45109</v>
      </c>
      <c r="E406" s="1378" t="s">
        <v>5911</v>
      </c>
      <c r="F406" s="1378"/>
      <c r="G406" s="1378" t="s">
        <v>5910</v>
      </c>
      <c r="H406" s="1601" t="s">
        <v>5909</v>
      </c>
      <c r="I406" s="1602"/>
      <c r="J406" s="1602"/>
      <c r="K406" s="1602"/>
      <c r="L406" s="1603"/>
    </row>
    <row r="407" spans="1:12" ht="40.5" customHeight="1" x14ac:dyDescent="0.25">
      <c r="A407" s="1378">
        <v>392</v>
      </c>
      <c r="B407" s="25">
        <v>45110</v>
      </c>
      <c r="C407" s="1378" t="s">
        <v>5489</v>
      </c>
      <c r="D407" s="25">
        <v>45111</v>
      </c>
      <c r="E407" s="1378" t="s">
        <v>5275</v>
      </c>
      <c r="F407" s="1378"/>
      <c r="G407" s="1378" t="s">
        <v>5920</v>
      </c>
      <c r="H407" s="1601" t="s">
        <v>5919</v>
      </c>
      <c r="I407" s="1602"/>
      <c r="J407" s="1602"/>
      <c r="K407" s="1602"/>
      <c r="L407" s="1603"/>
    </row>
    <row r="408" spans="1:12" ht="40.5" customHeight="1" x14ac:dyDescent="0.25">
      <c r="A408" s="1378">
        <v>393</v>
      </c>
      <c r="B408" s="25">
        <v>45112</v>
      </c>
      <c r="C408" s="1378" t="s">
        <v>5927</v>
      </c>
      <c r="D408" s="25">
        <v>45113</v>
      </c>
      <c r="E408" s="1378" t="s">
        <v>5930</v>
      </c>
      <c r="F408" s="1378"/>
      <c r="G408" s="1378" t="s">
        <v>5929</v>
      </c>
      <c r="H408" s="1601" t="s">
        <v>5928</v>
      </c>
      <c r="I408" s="1602"/>
      <c r="J408" s="1602"/>
      <c r="K408" s="1602"/>
      <c r="L408" s="1603"/>
    </row>
    <row r="409" spans="1:12" ht="40.5" customHeight="1" x14ac:dyDescent="0.25">
      <c r="A409" s="1378">
        <v>394</v>
      </c>
      <c r="B409" s="25">
        <v>45114</v>
      </c>
      <c r="C409" s="1378" t="s">
        <v>5275</v>
      </c>
      <c r="D409" s="25">
        <v>45115</v>
      </c>
      <c r="E409" s="1378" t="s">
        <v>5938</v>
      </c>
      <c r="F409" s="1378"/>
      <c r="G409" s="1378" t="s">
        <v>5937</v>
      </c>
      <c r="H409" s="1601" t="s">
        <v>5936</v>
      </c>
      <c r="I409" s="1602"/>
      <c r="J409" s="1602"/>
      <c r="K409" s="1602"/>
      <c r="L409" s="1603"/>
    </row>
    <row r="410" spans="1:12" ht="40.5" customHeight="1" x14ac:dyDescent="0.25">
      <c r="A410" s="1378">
        <v>395</v>
      </c>
      <c r="B410" s="25">
        <v>45116</v>
      </c>
      <c r="C410" s="1378" t="s">
        <v>5951</v>
      </c>
      <c r="D410" s="25">
        <v>45117</v>
      </c>
      <c r="E410" s="1378" t="s">
        <v>5955</v>
      </c>
      <c r="F410" s="1378"/>
      <c r="G410" s="1378" t="s">
        <v>5954</v>
      </c>
      <c r="H410" s="1601" t="s">
        <v>5953</v>
      </c>
      <c r="I410" s="1602"/>
      <c r="J410" s="1602"/>
      <c r="K410" s="1602"/>
      <c r="L410" s="1603"/>
    </row>
    <row r="411" spans="1:12" ht="40.5" customHeight="1" x14ac:dyDescent="0.25">
      <c r="A411" s="1378">
        <v>396</v>
      </c>
      <c r="B411" s="25">
        <v>45118</v>
      </c>
      <c r="C411" s="1378" t="s">
        <v>5962</v>
      </c>
      <c r="D411" s="25">
        <v>45119</v>
      </c>
      <c r="E411" s="1378" t="s">
        <v>5970</v>
      </c>
      <c r="F411" s="1378"/>
      <c r="G411" s="1378" t="s">
        <v>5969</v>
      </c>
      <c r="H411" s="1601" t="s">
        <v>5968</v>
      </c>
      <c r="I411" s="1602"/>
      <c r="J411" s="1602"/>
      <c r="K411" s="1602"/>
      <c r="L411" s="1603"/>
    </row>
    <row r="412" spans="1:12" ht="40.5" customHeight="1" x14ac:dyDescent="0.25">
      <c r="A412" s="1378">
        <v>397</v>
      </c>
      <c r="B412" s="25">
        <v>45120</v>
      </c>
      <c r="C412" s="1378" t="s">
        <v>5981</v>
      </c>
      <c r="D412" s="25">
        <v>45121</v>
      </c>
      <c r="E412" s="1378" t="s">
        <v>5982</v>
      </c>
      <c r="F412" s="1378"/>
      <c r="G412" s="1378" t="s">
        <v>5980</v>
      </c>
      <c r="H412" s="1601" t="s">
        <v>5979</v>
      </c>
      <c r="I412" s="1602"/>
      <c r="J412" s="1602"/>
      <c r="K412" s="1602"/>
      <c r="L412" s="1603"/>
    </row>
    <row r="413" spans="1:12" ht="40.5" customHeight="1" x14ac:dyDescent="0.25">
      <c r="A413" s="1378">
        <v>398</v>
      </c>
      <c r="B413" s="25">
        <v>45122</v>
      </c>
      <c r="C413" s="1378" t="s">
        <v>4729</v>
      </c>
      <c r="D413" s="25">
        <v>45123</v>
      </c>
      <c r="E413" s="1378" t="s">
        <v>5993</v>
      </c>
      <c r="F413" s="1378"/>
      <c r="G413" s="1378" t="s">
        <v>5992</v>
      </c>
      <c r="H413" s="1601" t="s">
        <v>5991</v>
      </c>
      <c r="I413" s="1602"/>
      <c r="J413" s="1602"/>
      <c r="K413" s="1602"/>
      <c r="L413" s="1603"/>
    </row>
    <row r="414" spans="1:12" ht="40.5" customHeight="1" x14ac:dyDescent="0.25">
      <c r="A414" s="1378">
        <v>399</v>
      </c>
      <c r="B414" s="25">
        <v>45124</v>
      </c>
      <c r="C414" s="1378" t="s">
        <v>5520</v>
      </c>
      <c r="D414" s="25">
        <v>45124</v>
      </c>
      <c r="E414" s="1378" t="s">
        <v>5311</v>
      </c>
      <c r="F414" s="1378"/>
      <c r="G414" s="1378" t="s">
        <v>5616</v>
      </c>
      <c r="H414" s="1601" t="s">
        <v>5999</v>
      </c>
      <c r="I414" s="1602"/>
      <c r="J414" s="1602"/>
      <c r="K414" s="1602"/>
      <c r="L414" s="1603"/>
    </row>
    <row r="415" spans="1:12" ht="40.5" customHeight="1" x14ac:dyDescent="0.25">
      <c r="A415" s="1378">
        <v>400</v>
      </c>
      <c r="B415" s="25">
        <v>45124</v>
      </c>
      <c r="C415" s="1378" t="s">
        <v>6009</v>
      </c>
      <c r="D415" s="25">
        <v>45125</v>
      </c>
      <c r="E415" s="1378" t="s">
        <v>6012</v>
      </c>
      <c r="F415" s="1378"/>
      <c r="G415" s="1378" t="s">
        <v>6011</v>
      </c>
      <c r="H415" s="1601" t="s">
        <v>6010</v>
      </c>
      <c r="I415" s="1602"/>
      <c r="J415" s="1602"/>
      <c r="K415" s="1602"/>
      <c r="L415" s="1603"/>
    </row>
    <row r="416" spans="1:12" ht="40.5" customHeight="1" x14ac:dyDescent="0.25">
      <c r="A416" s="1378">
        <v>401</v>
      </c>
      <c r="B416" s="25">
        <v>45126</v>
      </c>
      <c r="C416" s="1378" t="s">
        <v>6021</v>
      </c>
      <c r="D416" s="25">
        <v>45127</v>
      </c>
      <c r="E416" s="1378" t="s">
        <v>6027</v>
      </c>
      <c r="F416" s="1378"/>
      <c r="G416" s="1378" t="s">
        <v>6026</v>
      </c>
      <c r="H416" s="1601" t="s">
        <v>6025</v>
      </c>
      <c r="I416" s="1602"/>
      <c r="J416" s="1602"/>
      <c r="K416" s="1602"/>
      <c r="L416" s="1603"/>
    </row>
    <row r="417" spans="1:12" ht="40.5" customHeight="1" x14ac:dyDescent="0.25">
      <c r="A417" s="1378">
        <v>402</v>
      </c>
      <c r="B417" s="25">
        <v>45128</v>
      </c>
      <c r="C417" s="1378" t="s">
        <v>6033</v>
      </c>
      <c r="D417" s="25">
        <v>45129</v>
      </c>
      <c r="E417" s="1378" t="s">
        <v>6038</v>
      </c>
      <c r="F417" s="1378"/>
      <c r="G417" s="1378" t="s">
        <v>6041</v>
      </c>
      <c r="H417" s="1601" t="s">
        <v>6037</v>
      </c>
      <c r="I417" s="1602"/>
      <c r="J417" s="1602"/>
      <c r="K417" s="1602"/>
      <c r="L417" s="1603"/>
    </row>
    <row r="418" spans="1:12" ht="40.5" customHeight="1" x14ac:dyDescent="0.25">
      <c r="A418" s="1378">
        <v>403</v>
      </c>
      <c r="B418" s="25">
        <v>45130</v>
      </c>
      <c r="C418" s="1378" t="s">
        <v>6043</v>
      </c>
      <c r="D418" s="25">
        <v>45130</v>
      </c>
      <c r="E418" s="1378" t="s">
        <v>6044</v>
      </c>
      <c r="F418" s="1378"/>
      <c r="G418" s="1378" t="s">
        <v>6040</v>
      </c>
      <c r="H418" s="1601" t="s">
        <v>6042</v>
      </c>
      <c r="I418" s="1602"/>
      <c r="J418" s="1602"/>
      <c r="K418" s="1602"/>
      <c r="L418" s="1603"/>
    </row>
    <row r="419" spans="1:12" ht="40.5" customHeight="1" x14ac:dyDescent="0.25">
      <c r="A419" s="1378">
        <v>404</v>
      </c>
      <c r="B419" s="25">
        <v>45130</v>
      </c>
      <c r="C419" s="1378" t="s">
        <v>6052</v>
      </c>
      <c r="D419" s="25">
        <v>45131</v>
      </c>
      <c r="E419" s="1378" t="s">
        <v>6054</v>
      </c>
      <c r="F419" s="1378"/>
      <c r="G419" s="1378" t="s">
        <v>6055</v>
      </c>
      <c r="H419" s="1601" t="s">
        <v>6053</v>
      </c>
      <c r="I419" s="1602"/>
      <c r="J419" s="1602"/>
      <c r="K419" s="1602"/>
      <c r="L419" s="1603"/>
    </row>
    <row r="420" spans="1:12" ht="40.5" customHeight="1" x14ac:dyDescent="0.25">
      <c r="A420" s="1412">
        <v>405</v>
      </c>
      <c r="B420" s="25">
        <v>45132</v>
      </c>
      <c r="C420" s="1412" t="s">
        <v>6064</v>
      </c>
      <c r="D420" s="25">
        <v>45133</v>
      </c>
      <c r="E420" s="1412" t="s">
        <v>6067</v>
      </c>
      <c r="F420" s="1412"/>
      <c r="G420" s="1412" t="s">
        <v>6066</v>
      </c>
      <c r="H420" s="1601" t="s">
        <v>6065</v>
      </c>
      <c r="I420" s="1602"/>
      <c r="J420" s="1602"/>
      <c r="K420" s="1602"/>
      <c r="L420" s="1603"/>
    </row>
    <row r="421" spans="1:12" ht="40.5" customHeight="1" x14ac:dyDescent="0.25">
      <c r="A421" s="1412"/>
      <c r="B421" s="25"/>
      <c r="C421" s="1412"/>
      <c r="D421" s="25"/>
      <c r="E421" s="1412"/>
      <c r="F421" s="1412"/>
      <c r="G421" s="1412"/>
      <c r="H421" s="1601"/>
      <c r="I421" s="1602"/>
      <c r="J421" s="1602"/>
      <c r="K421" s="1602"/>
      <c r="L421" s="1603"/>
    </row>
    <row r="422" spans="1:12" ht="40.5" customHeight="1" x14ac:dyDescent="0.25">
      <c r="A422" s="1412"/>
      <c r="B422" s="25"/>
      <c r="C422" s="1412"/>
      <c r="D422" s="25"/>
      <c r="E422" s="1412"/>
      <c r="F422" s="1412"/>
      <c r="G422" s="1412"/>
      <c r="H422" s="1601"/>
      <c r="I422" s="1602"/>
      <c r="J422" s="1602"/>
      <c r="K422" s="1602"/>
      <c r="L422" s="1603"/>
    </row>
    <row r="423" spans="1:12" ht="40.5" customHeight="1" x14ac:dyDescent="0.25">
      <c r="A423" s="1412"/>
      <c r="B423" s="25"/>
      <c r="C423" s="1412"/>
      <c r="D423" s="25"/>
      <c r="E423" s="1412"/>
      <c r="F423" s="1412"/>
      <c r="G423" s="1412"/>
      <c r="H423" s="1601"/>
      <c r="I423" s="1602"/>
      <c r="J423" s="1602"/>
      <c r="K423" s="1602"/>
      <c r="L423" s="1603"/>
    </row>
    <row r="424" spans="1:12" ht="40.5" customHeight="1" x14ac:dyDescent="0.25">
      <c r="A424" s="1412"/>
      <c r="B424" s="25"/>
      <c r="C424" s="1412"/>
      <c r="D424" s="25"/>
      <c r="E424" s="1412"/>
      <c r="F424" s="1412"/>
      <c r="G424" s="1412"/>
      <c r="H424" s="1601"/>
      <c r="I424" s="1602"/>
      <c r="J424" s="1602"/>
      <c r="K424" s="1602"/>
      <c r="L424" s="1603"/>
    </row>
    <row r="425" spans="1:12" ht="40.5" customHeight="1" x14ac:dyDescent="0.25">
      <c r="A425" s="1412"/>
      <c r="B425" s="25"/>
      <c r="C425" s="1412"/>
      <c r="D425" s="25"/>
      <c r="E425" s="1412"/>
      <c r="F425" s="1412"/>
      <c r="G425" s="1412"/>
      <c r="H425" s="1601"/>
      <c r="I425" s="1602"/>
      <c r="J425" s="1602"/>
      <c r="K425" s="1602"/>
      <c r="L425" s="1603"/>
    </row>
    <row r="426" spans="1:12" ht="40.5" customHeight="1" x14ac:dyDescent="0.25">
      <c r="A426" s="1412"/>
      <c r="B426" s="25"/>
      <c r="C426" s="1412"/>
      <c r="D426" s="25"/>
      <c r="E426" s="1412"/>
      <c r="F426" s="1412"/>
      <c r="G426" s="1412"/>
      <c r="H426" s="1601"/>
      <c r="I426" s="1602"/>
      <c r="J426" s="1602"/>
      <c r="K426" s="1602"/>
      <c r="L426" s="1603"/>
    </row>
    <row r="427" spans="1:12" ht="40.5" customHeight="1" x14ac:dyDescent="0.25">
      <c r="A427" s="1412"/>
      <c r="B427" s="25"/>
      <c r="C427" s="1412"/>
      <c r="D427" s="25"/>
      <c r="E427" s="1412"/>
      <c r="F427" s="1412"/>
      <c r="G427" s="1412"/>
      <c r="H427" s="1601"/>
      <c r="I427" s="1602"/>
      <c r="J427" s="1602"/>
      <c r="K427" s="1602"/>
      <c r="L427" s="1603"/>
    </row>
    <row r="428" spans="1:12" ht="40.5" customHeight="1" x14ac:dyDescent="0.25">
      <c r="A428" s="1412"/>
      <c r="B428" s="25"/>
      <c r="C428" s="1412"/>
      <c r="D428" s="25"/>
      <c r="E428" s="1412"/>
      <c r="F428" s="1412"/>
      <c r="G428" s="1412"/>
      <c r="H428" s="1601"/>
      <c r="I428" s="1602"/>
      <c r="J428" s="1602"/>
      <c r="K428" s="1602"/>
      <c r="L428" s="1603"/>
    </row>
    <row r="429" spans="1:12" ht="40.5" customHeight="1" x14ac:dyDescent="0.25">
      <c r="A429" s="1412"/>
      <c r="B429" s="25"/>
      <c r="C429" s="1412"/>
      <c r="D429" s="25"/>
      <c r="E429" s="1412"/>
      <c r="F429" s="1412"/>
      <c r="G429" s="1412"/>
      <c r="H429" s="1601"/>
      <c r="I429" s="1602"/>
      <c r="J429" s="1602"/>
      <c r="K429" s="1602"/>
      <c r="L429" s="1603"/>
    </row>
    <row r="430" spans="1:12" ht="40.5" customHeight="1" x14ac:dyDescent="0.25">
      <c r="A430" s="1412"/>
      <c r="B430" s="25"/>
      <c r="C430" s="1412"/>
      <c r="D430" s="25"/>
      <c r="E430" s="1412"/>
      <c r="F430" s="1412"/>
      <c r="G430" s="1412"/>
      <c r="H430" s="1601"/>
      <c r="I430" s="1602"/>
      <c r="J430" s="1602"/>
      <c r="K430" s="1602"/>
      <c r="L430" s="1603"/>
    </row>
    <row r="431" spans="1:12" ht="40.5" customHeight="1" x14ac:dyDescent="0.25">
      <c r="A431" s="1412"/>
      <c r="B431" s="25"/>
      <c r="C431" s="1412"/>
      <c r="D431" s="25"/>
      <c r="E431" s="1412"/>
      <c r="F431" s="1412"/>
      <c r="G431" s="1412"/>
      <c r="H431" s="1601"/>
      <c r="I431" s="1602"/>
      <c r="J431" s="1602"/>
      <c r="K431" s="1602"/>
      <c r="L431" s="1603"/>
    </row>
    <row r="432" spans="1:12" ht="40.5" customHeight="1" x14ac:dyDescent="0.25">
      <c r="A432" s="1412"/>
      <c r="B432" s="25"/>
      <c r="C432" s="1412"/>
      <c r="D432" s="25"/>
      <c r="E432" s="1412"/>
      <c r="F432" s="1412"/>
      <c r="G432" s="1412"/>
      <c r="H432" s="1601"/>
      <c r="I432" s="1602"/>
      <c r="J432" s="1602"/>
      <c r="K432" s="1602"/>
      <c r="L432" s="1603"/>
    </row>
    <row r="433" spans="1:12" ht="40.5" customHeight="1" x14ac:dyDescent="0.25">
      <c r="A433" s="1412"/>
      <c r="B433" s="25"/>
      <c r="C433" s="1412"/>
      <c r="D433" s="25"/>
      <c r="E433" s="1412"/>
      <c r="F433" s="1412"/>
      <c r="G433" s="1412"/>
      <c r="H433" s="1601"/>
      <c r="I433" s="1602"/>
      <c r="J433" s="1602"/>
      <c r="K433" s="1602"/>
      <c r="L433" s="1603"/>
    </row>
    <row r="434" spans="1:12" ht="40.5" customHeight="1" x14ac:dyDescent="0.25">
      <c r="A434" s="1412"/>
      <c r="B434" s="25"/>
      <c r="C434" s="1412"/>
      <c r="D434" s="25"/>
      <c r="E434" s="1412"/>
      <c r="F434" s="1412"/>
      <c r="G434" s="1412"/>
      <c r="H434" s="1601"/>
      <c r="I434" s="1602"/>
      <c r="J434" s="1602"/>
      <c r="K434" s="1602"/>
      <c r="L434" s="1603"/>
    </row>
    <row r="435" spans="1:12" ht="40.5" customHeight="1" x14ac:dyDescent="0.25">
      <c r="A435" s="1412"/>
      <c r="B435" s="25"/>
      <c r="C435" s="1412"/>
      <c r="D435" s="25"/>
      <c r="E435" s="1412"/>
      <c r="F435" s="1412"/>
      <c r="G435" s="1412"/>
      <c r="H435" s="1601"/>
      <c r="I435" s="1602"/>
      <c r="J435" s="1602"/>
      <c r="K435" s="1602"/>
      <c r="L435" s="1603"/>
    </row>
    <row r="436" spans="1:12" ht="40.5" customHeight="1" x14ac:dyDescent="0.25">
      <c r="A436" s="1412"/>
      <c r="B436" s="25"/>
      <c r="C436" s="1412"/>
      <c r="D436" s="25"/>
      <c r="E436" s="1412"/>
      <c r="F436" s="1412"/>
      <c r="G436" s="1412"/>
      <c r="H436" s="1601"/>
      <c r="I436" s="1602"/>
      <c r="J436" s="1602"/>
      <c r="K436" s="1602"/>
      <c r="L436" s="1603"/>
    </row>
    <row r="437" spans="1:12" ht="40.5" customHeight="1" x14ac:dyDescent="0.25">
      <c r="A437" s="1412"/>
      <c r="B437" s="25"/>
      <c r="C437" s="1412"/>
      <c r="D437" s="25"/>
      <c r="E437" s="1412"/>
      <c r="F437" s="1412"/>
      <c r="G437" s="1412"/>
      <c r="H437" s="1601"/>
      <c r="I437" s="1602"/>
      <c r="J437" s="1602"/>
      <c r="K437" s="1602"/>
      <c r="L437" s="1603"/>
    </row>
    <row r="438" spans="1:12" ht="40.5" customHeight="1" x14ac:dyDescent="0.25">
      <c r="A438" s="1412"/>
      <c r="B438" s="25"/>
      <c r="C438" s="1412"/>
      <c r="D438" s="25"/>
      <c r="E438" s="1412"/>
      <c r="F438" s="1412"/>
      <c r="G438" s="1412"/>
      <c r="H438" s="1601"/>
      <c r="I438" s="1602"/>
      <c r="J438" s="1602"/>
      <c r="K438" s="1602"/>
      <c r="L438" s="1603"/>
    </row>
    <row r="439" spans="1:12" ht="40.5" customHeight="1" x14ac:dyDescent="0.25">
      <c r="A439" s="1412"/>
      <c r="B439" s="25"/>
      <c r="C439" s="1412"/>
      <c r="D439" s="25"/>
      <c r="E439" s="1412"/>
      <c r="F439" s="1412"/>
      <c r="G439" s="1412"/>
      <c r="H439" s="1601"/>
      <c r="I439" s="1602"/>
      <c r="J439" s="1602"/>
      <c r="K439" s="1602"/>
      <c r="L439" s="1603"/>
    </row>
    <row r="440" spans="1:12" ht="40.5" customHeight="1" x14ac:dyDescent="0.25">
      <c r="A440" s="1412"/>
      <c r="B440" s="25"/>
      <c r="C440" s="1412"/>
      <c r="D440" s="25"/>
      <c r="E440" s="1412"/>
      <c r="F440" s="1412"/>
      <c r="G440" s="1412"/>
      <c r="H440" s="1601"/>
      <c r="I440" s="1602"/>
      <c r="J440" s="1602"/>
      <c r="K440" s="1602"/>
      <c r="L440" s="1603"/>
    </row>
    <row r="441" spans="1:12" ht="40.5" customHeight="1" x14ac:dyDescent="0.25">
      <c r="A441" s="1412"/>
      <c r="B441" s="25"/>
      <c r="C441" s="1412"/>
      <c r="D441" s="25"/>
      <c r="E441" s="1412"/>
      <c r="F441" s="1412"/>
      <c r="G441" s="1412"/>
      <c r="H441" s="1601"/>
      <c r="I441" s="1602"/>
      <c r="J441" s="1602"/>
      <c r="K441" s="1602"/>
      <c r="L441" s="1603"/>
    </row>
    <row r="442" spans="1:12" ht="40.5" customHeight="1" x14ac:dyDescent="0.25">
      <c r="A442" s="1412"/>
      <c r="B442" s="25"/>
      <c r="C442" s="1412"/>
      <c r="D442" s="25"/>
      <c r="E442" s="1412"/>
      <c r="F442" s="1412"/>
      <c r="G442" s="1412"/>
      <c r="H442" s="1601"/>
      <c r="I442" s="1602"/>
      <c r="J442" s="1602"/>
      <c r="K442" s="1602"/>
      <c r="L442" s="1603"/>
    </row>
  </sheetData>
  <mergeCells count="411">
    <mergeCell ref="H414:L414"/>
    <mergeCell ref="H415:L415"/>
    <mergeCell ref="H416:L416"/>
    <mergeCell ref="H417:L417"/>
    <mergeCell ref="H418:L418"/>
    <mergeCell ref="H419:L419"/>
    <mergeCell ref="H378:L378"/>
    <mergeCell ref="H406:L406"/>
    <mergeCell ref="H407:L407"/>
    <mergeCell ref="H408:L408"/>
    <mergeCell ref="H409:L409"/>
    <mergeCell ref="H410:L410"/>
    <mergeCell ref="H411:L411"/>
    <mergeCell ref="H412:L412"/>
    <mergeCell ref="H413:L413"/>
    <mergeCell ref="H405:L405"/>
    <mergeCell ref="H403:L403"/>
    <mergeCell ref="H402:L402"/>
    <mergeCell ref="H401:L401"/>
    <mergeCell ref="H400:L400"/>
    <mergeCell ref="H398:L398"/>
    <mergeCell ref="H397:L397"/>
    <mergeCell ref="H380:L380"/>
    <mergeCell ref="H379:L379"/>
    <mergeCell ref="A372:A373"/>
    <mergeCell ref="H359:L359"/>
    <mergeCell ref="H360:L360"/>
    <mergeCell ref="H361:L361"/>
    <mergeCell ref="H362:L362"/>
    <mergeCell ref="H363:L363"/>
    <mergeCell ref="H364:L364"/>
    <mergeCell ref="H365:L365"/>
    <mergeCell ref="H377:L377"/>
    <mergeCell ref="H376:L376"/>
    <mergeCell ref="H375:L375"/>
    <mergeCell ref="H374:L374"/>
    <mergeCell ref="H373:L373"/>
    <mergeCell ref="H372:L372"/>
    <mergeCell ref="H371:L371"/>
    <mergeCell ref="H370:L370"/>
    <mergeCell ref="H369:L369"/>
    <mergeCell ref="H368:L368"/>
    <mergeCell ref="H367:L367"/>
    <mergeCell ref="H243:L243"/>
    <mergeCell ref="H244:L244"/>
    <mergeCell ref="H245:L245"/>
    <mergeCell ref="H246:L246"/>
    <mergeCell ref="H247:L247"/>
    <mergeCell ref="H248:L248"/>
    <mergeCell ref="H313:L313"/>
    <mergeCell ref="H314:L314"/>
    <mergeCell ref="H312:L312"/>
    <mergeCell ref="H249:L249"/>
    <mergeCell ref="H309:L309"/>
    <mergeCell ref="H308:L308"/>
    <mergeCell ref="H301:L301"/>
    <mergeCell ref="H302:L302"/>
    <mergeCell ref="H303:L303"/>
    <mergeCell ref="H250:L250"/>
    <mergeCell ref="H251:L251"/>
    <mergeCell ref="H252:L252"/>
    <mergeCell ref="H253:L253"/>
    <mergeCell ref="H280:L280"/>
    <mergeCell ref="H281:L281"/>
    <mergeCell ref="H282:L282"/>
    <mergeCell ref="H276:L276"/>
    <mergeCell ref="H277:L277"/>
    <mergeCell ref="H278:L278"/>
    <mergeCell ref="H274:L275"/>
    <mergeCell ref="H262:L262"/>
    <mergeCell ref="H263:L263"/>
    <mergeCell ref="H264:L264"/>
    <mergeCell ref="H267:L267"/>
    <mergeCell ref="H268:L268"/>
    <mergeCell ref="H269:L269"/>
    <mergeCell ref="H270:L270"/>
    <mergeCell ref="H265:L266"/>
    <mergeCell ref="H273:L273"/>
    <mergeCell ref="H254:L254"/>
    <mergeCell ref="H255:L255"/>
    <mergeCell ref="H258:L258"/>
    <mergeCell ref="H259:L259"/>
    <mergeCell ref="H260:L260"/>
    <mergeCell ref="H271:L271"/>
    <mergeCell ref="H272:L272"/>
    <mergeCell ref="H256:L257"/>
    <mergeCell ref="H261:L261"/>
    <mergeCell ref="H242:L242"/>
    <mergeCell ref="H230:L230"/>
    <mergeCell ref="H232:L232"/>
    <mergeCell ref="H234:L234"/>
    <mergeCell ref="H235:L235"/>
    <mergeCell ref="H236:L236"/>
    <mergeCell ref="H237:L237"/>
    <mergeCell ref="H238:L238"/>
    <mergeCell ref="H239:L239"/>
    <mergeCell ref="H240:L240"/>
    <mergeCell ref="H233:L233"/>
    <mergeCell ref="H231:L231"/>
    <mergeCell ref="H241:L241"/>
    <mergeCell ref="H210:L210"/>
    <mergeCell ref="H159:L159"/>
    <mergeCell ref="H172:L172"/>
    <mergeCell ref="H169:L169"/>
    <mergeCell ref="H170:L170"/>
    <mergeCell ref="H173:L173"/>
    <mergeCell ref="H195:L196"/>
    <mergeCell ref="H181:L181"/>
    <mergeCell ref="H189:L190"/>
    <mergeCell ref="H179:L179"/>
    <mergeCell ref="H175:L175"/>
    <mergeCell ref="H160:L160"/>
    <mergeCell ref="H161:L161"/>
    <mergeCell ref="H162:L162"/>
    <mergeCell ref="H163:L163"/>
    <mergeCell ref="H166:L166"/>
    <mergeCell ref="H167:L167"/>
    <mergeCell ref="H164:L165"/>
    <mergeCell ref="H180:L180"/>
    <mergeCell ref="H194:L194"/>
    <mergeCell ref="H185:L185"/>
    <mergeCell ref="H184:L184"/>
    <mergeCell ref="H183:L183"/>
    <mergeCell ref="H182:L182"/>
    <mergeCell ref="H178:L178"/>
    <mergeCell ref="H107:L107"/>
    <mergeCell ref="H158:L158"/>
    <mergeCell ref="H99:L100"/>
    <mergeCell ref="H104:L104"/>
    <mergeCell ref="H103:L103"/>
    <mergeCell ref="H102:L102"/>
    <mergeCell ref="H147:L147"/>
    <mergeCell ref="H136:L136"/>
    <mergeCell ref="H128:L128"/>
    <mergeCell ref="H131:L131"/>
    <mergeCell ref="H129:L130"/>
    <mergeCell ref="H132:L133"/>
    <mergeCell ref="H141:L142"/>
    <mergeCell ref="H113:L113"/>
    <mergeCell ref="H112:L112"/>
    <mergeCell ref="H101:L101"/>
    <mergeCell ref="H106:L106"/>
    <mergeCell ref="H105:L105"/>
    <mergeCell ref="H154:L155"/>
    <mergeCell ref="H156:L157"/>
    <mergeCell ref="H171:L171"/>
    <mergeCell ref="H148:L148"/>
    <mergeCell ref="H115:L115"/>
    <mergeCell ref="H116:L116"/>
    <mergeCell ref="H80:L80"/>
    <mergeCell ref="H77:L77"/>
    <mergeCell ref="H74:L74"/>
    <mergeCell ref="H75:L75"/>
    <mergeCell ref="H65:L65"/>
    <mergeCell ref="H85:L85"/>
    <mergeCell ref="H81:L81"/>
    <mergeCell ref="H86:L87"/>
    <mergeCell ref="H84:L84"/>
    <mergeCell ref="H90:L90"/>
    <mergeCell ref="H89:L89"/>
    <mergeCell ref="H82:L82"/>
    <mergeCell ref="H83:L83"/>
    <mergeCell ref="H88:L88"/>
    <mergeCell ref="H91:L92"/>
    <mergeCell ref="H98:L98"/>
    <mergeCell ref="H78:L79"/>
    <mergeCell ref="H95:L97"/>
    <mergeCell ref="H70:L70"/>
    <mergeCell ref="H69:L69"/>
    <mergeCell ref="H117:L117"/>
    <mergeCell ref="H118:L118"/>
    <mergeCell ref="H119:L119"/>
    <mergeCell ref="H44:L44"/>
    <mergeCell ref="H46:L46"/>
    <mergeCell ref="H47:L47"/>
    <mergeCell ref="H76:L76"/>
    <mergeCell ref="H73:L73"/>
    <mergeCell ref="H66:L66"/>
    <mergeCell ref="H68:L68"/>
    <mergeCell ref="H72:L72"/>
    <mergeCell ref="H71:L71"/>
    <mergeCell ref="H67:L67"/>
    <mergeCell ref="H54:L54"/>
    <mergeCell ref="H51:L51"/>
    <mergeCell ref="H52:L52"/>
    <mergeCell ref="H53:L53"/>
    <mergeCell ref="H50:L50"/>
    <mergeCell ref="H45:L45"/>
    <mergeCell ref="H58:L58"/>
    <mergeCell ref="H59:L59"/>
    <mergeCell ref="H55:L55"/>
    <mergeCell ref="H63:L64"/>
    <mergeCell ref="H62:L62"/>
    <mergeCell ref="H30:L30"/>
    <mergeCell ref="H48:L48"/>
    <mergeCell ref="H49:L49"/>
    <mergeCell ref="H10:L10"/>
    <mergeCell ref="H11:L11"/>
    <mergeCell ref="H12:L12"/>
    <mergeCell ref="H13:L13"/>
    <mergeCell ref="H14:L14"/>
    <mergeCell ref="A5:L5"/>
    <mergeCell ref="H6:L6"/>
    <mergeCell ref="H7:L7"/>
    <mergeCell ref="H8:L8"/>
    <mergeCell ref="H9:L9"/>
    <mergeCell ref="A33:A34"/>
    <mergeCell ref="H38:L38"/>
    <mergeCell ref="H35:L35"/>
    <mergeCell ref="H41:L41"/>
    <mergeCell ref="H39:L40"/>
    <mergeCell ref="H36:L36"/>
    <mergeCell ref="H37:L37"/>
    <mergeCell ref="H31:L31"/>
    <mergeCell ref="H33:L34"/>
    <mergeCell ref="H42:L43"/>
    <mergeCell ref="F21:F22"/>
    <mergeCell ref="G21:G22"/>
    <mergeCell ref="H15:L22"/>
    <mergeCell ref="H28:L28"/>
    <mergeCell ref="H23:L23"/>
    <mergeCell ref="H24:L24"/>
    <mergeCell ref="H25:L25"/>
    <mergeCell ref="F16:F20"/>
    <mergeCell ref="H26:L26"/>
    <mergeCell ref="H27:L27"/>
    <mergeCell ref="G16:G20"/>
    <mergeCell ref="H120:L120"/>
    <mergeCell ref="H123:L124"/>
    <mergeCell ref="H145:L145"/>
    <mergeCell ref="H126:L127"/>
    <mergeCell ref="H146:L146"/>
    <mergeCell ref="H137:L138"/>
    <mergeCell ref="H139:L139"/>
    <mergeCell ref="H140:L140"/>
    <mergeCell ref="H143:L143"/>
    <mergeCell ref="H144:L144"/>
    <mergeCell ref="H174:L174"/>
    <mergeCell ref="H168:L168"/>
    <mergeCell ref="A1:L4"/>
    <mergeCell ref="H149:L149"/>
    <mergeCell ref="H150:L150"/>
    <mergeCell ref="H151:L151"/>
    <mergeCell ref="H152:L152"/>
    <mergeCell ref="H153:L153"/>
    <mergeCell ref="H93:L94"/>
    <mergeCell ref="H114:L114"/>
    <mergeCell ref="H111:L111"/>
    <mergeCell ref="H110:L110"/>
    <mergeCell ref="H109:L109"/>
    <mergeCell ref="H108:L108"/>
    <mergeCell ref="H134:L135"/>
    <mergeCell ref="H121:L121"/>
    <mergeCell ref="H122:L122"/>
    <mergeCell ref="H125:L125"/>
    <mergeCell ref="H29:L29"/>
    <mergeCell ref="H61:L61"/>
    <mergeCell ref="H56:L56"/>
    <mergeCell ref="H57:L57"/>
    <mergeCell ref="H60:L60"/>
    <mergeCell ref="H32:L32"/>
    <mergeCell ref="H215:L215"/>
    <mergeCell ref="H177:L177"/>
    <mergeCell ref="H176:L176"/>
    <mergeCell ref="H192:L192"/>
    <mergeCell ref="A197:A198"/>
    <mergeCell ref="H205:L207"/>
    <mergeCell ref="H203:L203"/>
    <mergeCell ref="H204:L204"/>
    <mergeCell ref="H199:L199"/>
    <mergeCell ref="H200:L200"/>
    <mergeCell ref="H201:L201"/>
    <mergeCell ref="H202:L202"/>
    <mergeCell ref="A195:A196"/>
    <mergeCell ref="H214:L214"/>
    <mergeCell ref="H213:L213"/>
    <mergeCell ref="H212:L212"/>
    <mergeCell ref="H211:L211"/>
    <mergeCell ref="H193:L193"/>
    <mergeCell ref="H191:L191"/>
    <mergeCell ref="H188:L188"/>
    <mergeCell ref="H187:L187"/>
    <mergeCell ref="H186:L186"/>
    <mergeCell ref="H197:L198"/>
    <mergeCell ref="H208:L209"/>
    <mergeCell ref="H229:L229"/>
    <mergeCell ref="H228:L228"/>
    <mergeCell ref="H227:L227"/>
    <mergeCell ref="H225:L225"/>
    <mergeCell ref="H226:L226"/>
    <mergeCell ref="H216:L216"/>
    <mergeCell ref="H217:L217"/>
    <mergeCell ref="H218:L218"/>
    <mergeCell ref="H219:L219"/>
    <mergeCell ref="H220:L220"/>
    <mergeCell ref="H221:L221"/>
    <mergeCell ref="H222:L222"/>
    <mergeCell ref="H223:L223"/>
    <mergeCell ref="H224:L224"/>
    <mergeCell ref="H285:L285"/>
    <mergeCell ref="H286:L286"/>
    <mergeCell ref="H279:L279"/>
    <mergeCell ref="H287:L287"/>
    <mergeCell ref="H297:L297"/>
    <mergeCell ref="H311:L311"/>
    <mergeCell ref="H310:L310"/>
    <mergeCell ref="H304:L304"/>
    <mergeCell ref="H305:L305"/>
    <mergeCell ref="H306:L306"/>
    <mergeCell ref="H307:L307"/>
    <mergeCell ref="H288:L288"/>
    <mergeCell ref="H289:L289"/>
    <mergeCell ref="H290:L290"/>
    <mergeCell ref="H291:L291"/>
    <mergeCell ref="H292:L292"/>
    <mergeCell ref="H293:L293"/>
    <mergeCell ref="H294:L294"/>
    <mergeCell ref="H284:L284"/>
    <mergeCell ref="H283:L283"/>
    <mergeCell ref="A295:A296"/>
    <mergeCell ref="G295:G296"/>
    <mergeCell ref="H295:L296"/>
    <mergeCell ref="H298:L298"/>
    <mergeCell ref="H299:L299"/>
    <mergeCell ref="H300:L300"/>
    <mergeCell ref="H317:L317"/>
    <mergeCell ref="H318:L318"/>
    <mergeCell ref="H319:L319"/>
    <mergeCell ref="H315:L315"/>
    <mergeCell ref="H316:L316"/>
    <mergeCell ref="H340:L340"/>
    <mergeCell ref="H320:L320"/>
    <mergeCell ref="H321:L321"/>
    <mergeCell ref="H322:L322"/>
    <mergeCell ref="H323:L323"/>
    <mergeCell ref="H324:L324"/>
    <mergeCell ref="H325:L325"/>
    <mergeCell ref="H326:L326"/>
    <mergeCell ref="H327:L327"/>
    <mergeCell ref="H328:L328"/>
    <mergeCell ref="H329:L329"/>
    <mergeCell ref="H332:L332"/>
    <mergeCell ref="H333:L333"/>
    <mergeCell ref="H334:L334"/>
    <mergeCell ref="H335:L335"/>
    <mergeCell ref="H336:L336"/>
    <mergeCell ref="H337:L337"/>
    <mergeCell ref="H338:L338"/>
    <mergeCell ref="H339:L339"/>
    <mergeCell ref="H330:L330"/>
    <mergeCell ref="H331:L331"/>
    <mergeCell ref="H341:L341"/>
    <mergeCell ref="H342:L342"/>
    <mergeCell ref="H352:L352"/>
    <mergeCell ref="H353:L353"/>
    <mergeCell ref="H354:L354"/>
    <mergeCell ref="H366:L366"/>
    <mergeCell ref="H386:L386"/>
    <mergeCell ref="H384:L384"/>
    <mergeCell ref="H355:L355"/>
    <mergeCell ref="H356:L356"/>
    <mergeCell ref="H357:L357"/>
    <mergeCell ref="H358:L358"/>
    <mergeCell ref="H343:L343"/>
    <mergeCell ref="H344:L344"/>
    <mergeCell ref="H346:L346"/>
    <mergeCell ref="H347:L347"/>
    <mergeCell ref="H348:L348"/>
    <mergeCell ref="H349:L349"/>
    <mergeCell ref="H350:L350"/>
    <mergeCell ref="H351:L351"/>
    <mergeCell ref="H345:L345"/>
    <mergeCell ref="H385:L385"/>
    <mergeCell ref="H383:L383"/>
    <mergeCell ref="H382:L382"/>
    <mergeCell ref="H404:L404"/>
    <mergeCell ref="H399:L399"/>
    <mergeCell ref="H396:L396"/>
    <mergeCell ref="H395:L395"/>
    <mergeCell ref="H389:L389"/>
    <mergeCell ref="H388:L388"/>
    <mergeCell ref="H381:L381"/>
    <mergeCell ref="H393:L393"/>
    <mergeCell ref="H392:L392"/>
    <mergeCell ref="H391:L391"/>
    <mergeCell ref="H387:L387"/>
    <mergeCell ref="H390:L390"/>
    <mergeCell ref="H394:L394"/>
    <mergeCell ref="H420:L420"/>
    <mergeCell ref="H421:L421"/>
    <mergeCell ref="H422:L422"/>
    <mergeCell ref="H423:L423"/>
    <mergeCell ref="H424:L424"/>
    <mergeCell ref="H425:L425"/>
    <mergeCell ref="H426:L426"/>
    <mergeCell ref="H427:L427"/>
    <mergeCell ref="H428:L428"/>
    <mergeCell ref="H438:L438"/>
    <mergeCell ref="H439:L439"/>
    <mergeCell ref="H440:L440"/>
    <mergeCell ref="H441:L441"/>
    <mergeCell ref="H442:L442"/>
    <mergeCell ref="H429:L429"/>
    <mergeCell ref="H430:L430"/>
    <mergeCell ref="H431:L431"/>
    <mergeCell ref="H432:L432"/>
    <mergeCell ref="H433:L433"/>
    <mergeCell ref="H434:L434"/>
    <mergeCell ref="H435:L435"/>
    <mergeCell ref="H436:L436"/>
    <mergeCell ref="H437:L437"/>
  </mergeCells>
  <pageMargins left="0.7" right="0.7" top="0.75" bottom="0.75" header="0.3" footer="0.3"/>
  <pageSetup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L77"/>
  <sheetViews>
    <sheetView zoomScale="78" zoomScaleNormal="78" workbookViewId="0">
      <pane ySplit="6" topLeftCell="A51" activePane="bottomLeft" state="frozen"/>
      <selection pane="bottomLeft" activeCell="F53" sqref="F53"/>
    </sheetView>
  </sheetViews>
  <sheetFormatPr defaultColWidth="8.7109375" defaultRowHeight="15" x14ac:dyDescent="0.25"/>
  <cols>
    <col min="1" max="1" width="12" style="18" customWidth="1"/>
    <col min="2" max="2" width="18.5703125" style="18" customWidth="1"/>
    <col min="3" max="3" width="16.28515625" style="18" bestFit="1" customWidth="1"/>
    <col min="4" max="4" width="15.85546875" style="18" bestFit="1" customWidth="1"/>
    <col min="5" max="5" width="14.85546875" style="18" customWidth="1"/>
    <col min="6" max="6" width="10.42578125" style="18" customWidth="1"/>
    <col min="7" max="7" width="19.140625" style="18" customWidth="1"/>
    <col min="8" max="11" width="8.7109375" style="52"/>
    <col min="12" max="12" width="38.140625" style="52" customWidth="1"/>
    <col min="13" max="16384" width="8.7109375" style="18"/>
  </cols>
  <sheetData>
    <row r="1" spans="1:12" x14ac:dyDescent="0.25">
      <c r="A1" s="1636" t="s">
        <v>73</v>
      </c>
      <c r="B1" s="1636"/>
      <c r="C1" s="1636"/>
      <c r="D1" s="1636"/>
      <c r="E1" s="1636"/>
      <c r="F1" s="1636"/>
      <c r="G1" s="1636"/>
      <c r="H1" s="1636"/>
      <c r="I1" s="1636"/>
      <c r="J1" s="1636"/>
      <c r="K1" s="1636"/>
      <c r="L1" s="1636"/>
    </row>
    <row r="2" spans="1:12" x14ac:dyDescent="0.25">
      <c r="A2" s="1636"/>
      <c r="B2" s="1636"/>
      <c r="C2" s="1636"/>
      <c r="D2" s="1636"/>
      <c r="E2" s="1636"/>
      <c r="F2" s="1636"/>
      <c r="G2" s="1636"/>
      <c r="H2" s="1636"/>
      <c r="I2" s="1636"/>
      <c r="J2" s="1636"/>
      <c r="K2" s="1636"/>
      <c r="L2" s="1636"/>
    </row>
    <row r="3" spans="1:12" x14ac:dyDescent="0.25">
      <c r="A3" s="1636"/>
      <c r="B3" s="1636"/>
      <c r="C3" s="1636"/>
      <c r="D3" s="1636"/>
      <c r="E3" s="1636"/>
      <c r="F3" s="1636"/>
      <c r="G3" s="1636"/>
      <c r="H3" s="1636"/>
      <c r="I3" s="1636"/>
      <c r="J3" s="1636"/>
      <c r="K3" s="1636"/>
      <c r="L3" s="1636"/>
    </row>
    <row r="4" spans="1:12" x14ac:dyDescent="0.25">
      <c r="A4" s="1637"/>
      <c r="B4" s="1637"/>
      <c r="C4" s="1637"/>
      <c r="D4" s="1637"/>
      <c r="E4" s="1637"/>
      <c r="F4" s="1637"/>
      <c r="G4" s="1637"/>
      <c r="H4" s="1637"/>
      <c r="I4" s="1637"/>
      <c r="J4" s="1637"/>
      <c r="K4" s="1637"/>
      <c r="L4" s="1637"/>
    </row>
    <row r="5" spans="1:12" ht="32.1" customHeight="1" x14ac:dyDescent="0.25">
      <c r="A5" s="1618" t="s">
        <v>159</v>
      </c>
      <c r="B5" s="1618"/>
      <c r="C5" s="1618"/>
      <c r="D5" s="1618"/>
      <c r="E5" s="1618"/>
      <c r="F5" s="1618"/>
      <c r="G5" s="1618"/>
      <c r="H5" s="1618"/>
      <c r="I5" s="1618"/>
      <c r="J5" s="1618"/>
      <c r="K5" s="1618"/>
      <c r="L5" s="1618"/>
    </row>
    <row r="6" spans="1:12" s="52" customFormat="1" ht="53.1" customHeight="1" x14ac:dyDescent="0.25">
      <c r="A6" s="1022" t="s">
        <v>66</v>
      </c>
      <c r="B6" s="1022" t="s">
        <v>67</v>
      </c>
      <c r="C6" s="1022" t="s">
        <v>257</v>
      </c>
      <c r="D6" s="1022" t="s">
        <v>69</v>
      </c>
      <c r="E6" s="1022" t="s">
        <v>257</v>
      </c>
      <c r="F6" s="1022" t="s">
        <v>70</v>
      </c>
      <c r="G6" s="1022" t="s">
        <v>71</v>
      </c>
      <c r="H6" s="1638" t="s">
        <v>72</v>
      </c>
      <c r="I6" s="1638"/>
      <c r="J6" s="1638"/>
      <c r="K6" s="1638"/>
      <c r="L6" s="1638"/>
    </row>
    <row r="7" spans="1:12" ht="79.900000000000006" customHeight="1" x14ac:dyDescent="0.25">
      <c r="A7" s="53">
        <v>1</v>
      </c>
      <c r="B7" s="54"/>
      <c r="C7" s="55">
        <v>0.79791666666666661</v>
      </c>
      <c r="D7" s="54">
        <v>44203</v>
      </c>
      <c r="E7" s="55"/>
      <c r="F7" s="53"/>
      <c r="G7" s="53"/>
      <c r="H7" s="1617" t="s">
        <v>92</v>
      </c>
      <c r="I7" s="1617"/>
      <c r="J7" s="1617"/>
      <c r="K7" s="1617"/>
      <c r="L7" s="1617"/>
    </row>
    <row r="8" spans="1:12" ht="95.45" customHeight="1" x14ac:dyDescent="0.25">
      <c r="A8" s="53">
        <v>2</v>
      </c>
      <c r="B8" s="54">
        <v>44203</v>
      </c>
      <c r="C8" s="55">
        <v>0.8027777777777777</v>
      </c>
      <c r="D8" s="54">
        <v>44203</v>
      </c>
      <c r="E8" s="55">
        <v>0.80486111111111114</v>
      </c>
      <c r="F8" s="53"/>
      <c r="G8" s="53">
        <v>0.05</v>
      </c>
      <c r="H8" s="1617" t="s">
        <v>93</v>
      </c>
      <c r="I8" s="1617"/>
      <c r="J8" s="1617"/>
      <c r="K8" s="1617"/>
      <c r="L8" s="1617"/>
    </row>
    <row r="9" spans="1:12" ht="58.9" customHeight="1" x14ac:dyDescent="0.25">
      <c r="A9" s="53">
        <v>3</v>
      </c>
      <c r="B9" s="54">
        <v>44207</v>
      </c>
      <c r="C9" s="55">
        <v>0.48402777777777778</v>
      </c>
      <c r="D9" s="54">
        <v>44207</v>
      </c>
      <c r="E9" s="55">
        <v>0.61458333333333337</v>
      </c>
      <c r="F9" s="53"/>
      <c r="G9" s="61">
        <v>3.08</v>
      </c>
      <c r="H9" s="1617" t="s">
        <v>94</v>
      </c>
      <c r="I9" s="1617"/>
      <c r="J9" s="1617"/>
      <c r="K9" s="1617"/>
      <c r="L9" s="1617"/>
    </row>
    <row r="10" spans="1:12" ht="48" customHeight="1" x14ac:dyDescent="0.25">
      <c r="A10" s="53">
        <v>4</v>
      </c>
      <c r="B10" s="54">
        <v>44232</v>
      </c>
      <c r="C10" s="55">
        <v>0.42708333333333331</v>
      </c>
      <c r="D10" s="54">
        <v>44232</v>
      </c>
      <c r="E10" s="55">
        <v>0.52361111111111114</v>
      </c>
      <c r="F10" s="53"/>
      <c r="G10" s="61">
        <v>2.19</v>
      </c>
      <c r="H10" s="1617" t="s">
        <v>149</v>
      </c>
      <c r="I10" s="1617"/>
      <c r="J10" s="1617"/>
      <c r="K10" s="1617"/>
      <c r="L10" s="1617"/>
    </row>
    <row r="11" spans="1:12" ht="40.9" customHeight="1" x14ac:dyDescent="0.25">
      <c r="A11" s="53">
        <v>5</v>
      </c>
      <c r="B11" s="54">
        <v>44273</v>
      </c>
      <c r="C11" s="55" t="s">
        <v>261</v>
      </c>
      <c r="D11" s="54">
        <v>44273</v>
      </c>
      <c r="E11" s="55" t="s">
        <v>262</v>
      </c>
      <c r="F11" s="53"/>
      <c r="G11" s="61">
        <v>2.56</v>
      </c>
      <c r="H11" s="1617" t="s">
        <v>264</v>
      </c>
      <c r="I11" s="1617"/>
      <c r="J11" s="1617"/>
      <c r="K11" s="1617"/>
      <c r="L11" s="1617"/>
    </row>
    <row r="12" spans="1:12" ht="51" customHeight="1" x14ac:dyDescent="0.25">
      <c r="A12" s="53">
        <v>6</v>
      </c>
      <c r="B12" s="54">
        <v>44274</v>
      </c>
      <c r="C12" s="55" t="s">
        <v>272</v>
      </c>
      <c r="D12" s="54">
        <v>44274</v>
      </c>
      <c r="E12" s="55" t="s">
        <v>273</v>
      </c>
      <c r="F12" s="53"/>
      <c r="G12" s="61">
        <v>1.93</v>
      </c>
      <c r="H12" s="1617" t="s">
        <v>275</v>
      </c>
      <c r="I12" s="1617"/>
      <c r="J12" s="1617"/>
      <c r="K12" s="1617"/>
      <c r="L12" s="1617"/>
    </row>
    <row r="13" spans="1:12" ht="42" customHeight="1" x14ac:dyDescent="0.25">
      <c r="A13" s="53">
        <v>7</v>
      </c>
      <c r="B13" s="54">
        <v>44275</v>
      </c>
      <c r="C13" s="55" t="s">
        <v>277</v>
      </c>
      <c r="D13" s="54">
        <v>44275</v>
      </c>
      <c r="E13" s="55" t="s">
        <v>278</v>
      </c>
      <c r="F13" s="53"/>
      <c r="G13" s="61">
        <v>1.28</v>
      </c>
      <c r="H13" s="1617" t="s">
        <v>279</v>
      </c>
      <c r="I13" s="1617"/>
      <c r="J13" s="1617"/>
      <c r="K13" s="1617"/>
      <c r="L13" s="1617"/>
    </row>
    <row r="14" spans="1:12" ht="48.6" customHeight="1" x14ac:dyDescent="0.25">
      <c r="A14" s="53">
        <v>8</v>
      </c>
      <c r="B14" s="54">
        <v>44333</v>
      </c>
      <c r="C14" s="55" t="s">
        <v>545</v>
      </c>
      <c r="D14" s="54">
        <v>44333</v>
      </c>
      <c r="E14" s="55" t="s">
        <v>546</v>
      </c>
      <c r="F14" s="53">
        <v>23.18</v>
      </c>
      <c r="G14" s="61">
        <v>0.82</v>
      </c>
      <c r="H14" s="1617" t="s">
        <v>544</v>
      </c>
      <c r="I14" s="1617"/>
      <c r="J14" s="1617"/>
      <c r="K14" s="1617"/>
      <c r="L14" s="1617"/>
    </row>
    <row r="15" spans="1:12" ht="79.900000000000006" customHeight="1" x14ac:dyDescent="0.25">
      <c r="A15" s="53">
        <v>9</v>
      </c>
      <c r="B15" s="54">
        <v>44394</v>
      </c>
      <c r="C15" s="55" t="s">
        <v>778</v>
      </c>
      <c r="D15" s="54">
        <v>44394</v>
      </c>
      <c r="E15" s="55" t="s">
        <v>777</v>
      </c>
      <c r="F15" s="53">
        <v>23.22</v>
      </c>
      <c r="G15" s="61" t="s">
        <v>779</v>
      </c>
      <c r="H15" s="1617" t="s">
        <v>783</v>
      </c>
      <c r="I15" s="1617"/>
      <c r="J15" s="1617"/>
      <c r="K15" s="1617"/>
      <c r="L15" s="1617"/>
    </row>
    <row r="16" spans="1:12" ht="79.900000000000006" customHeight="1" x14ac:dyDescent="0.25">
      <c r="A16" s="53">
        <v>10</v>
      </c>
      <c r="B16" s="30">
        <v>44458</v>
      </c>
      <c r="C16" s="55">
        <v>0.9375</v>
      </c>
      <c r="D16" s="30">
        <v>44458</v>
      </c>
      <c r="E16" s="55">
        <v>0.95833333333333337</v>
      </c>
      <c r="F16" s="53"/>
      <c r="G16" s="61" t="s">
        <v>1209</v>
      </c>
      <c r="H16" s="1617" t="s">
        <v>1208</v>
      </c>
      <c r="I16" s="1617"/>
      <c r="J16" s="1617"/>
      <c r="K16" s="1617"/>
      <c r="L16" s="1617"/>
    </row>
    <row r="17" spans="1:12" ht="38.25" customHeight="1" x14ac:dyDescent="0.25">
      <c r="A17" s="53">
        <v>11</v>
      </c>
      <c r="B17" s="30">
        <v>44475</v>
      </c>
      <c r="C17" s="55">
        <v>0.48958333333333331</v>
      </c>
      <c r="D17" s="30">
        <v>44475</v>
      </c>
      <c r="E17" s="55">
        <v>0.67499999999999993</v>
      </c>
      <c r="F17" s="53"/>
      <c r="G17" s="61"/>
      <c r="H17" s="1601" t="s">
        <v>1321</v>
      </c>
      <c r="I17" s="1602"/>
      <c r="J17" s="1602"/>
      <c r="K17" s="1602"/>
      <c r="L17" s="1603"/>
    </row>
    <row r="18" spans="1:12" ht="193.5" customHeight="1" x14ac:dyDescent="0.25">
      <c r="A18" s="53">
        <v>12</v>
      </c>
      <c r="B18" s="25">
        <v>44563</v>
      </c>
      <c r="C18" s="55" t="s">
        <v>1833</v>
      </c>
      <c r="D18" s="54"/>
      <c r="E18" s="55"/>
      <c r="F18" s="53"/>
      <c r="G18" s="53"/>
      <c r="H18" s="1617" t="s">
        <v>2065</v>
      </c>
      <c r="I18" s="1617"/>
      <c r="J18" s="1617"/>
      <c r="K18" s="1617"/>
      <c r="L18" s="1617"/>
    </row>
    <row r="19" spans="1:12" ht="79.900000000000006" customHeight="1" x14ac:dyDescent="0.25">
      <c r="A19" s="53">
        <v>13</v>
      </c>
      <c r="B19" s="25">
        <v>44592</v>
      </c>
      <c r="C19" s="55" t="s">
        <v>2087</v>
      </c>
      <c r="D19" s="25">
        <v>44592</v>
      </c>
      <c r="E19" s="55">
        <v>0.37152777777777773</v>
      </c>
      <c r="F19" s="53"/>
      <c r="G19" s="55">
        <v>9.0277777777777776E-2</v>
      </c>
      <c r="H19" s="1617" t="s">
        <v>2086</v>
      </c>
      <c r="I19" s="1617"/>
      <c r="J19" s="1617"/>
      <c r="K19" s="1617"/>
      <c r="L19" s="1617"/>
    </row>
    <row r="20" spans="1:12" ht="79.900000000000006" customHeight="1" x14ac:dyDescent="0.25">
      <c r="A20" s="53">
        <v>14</v>
      </c>
      <c r="B20" s="25">
        <v>44661</v>
      </c>
      <c r="C20" s="55" t="s">
        <v>2566</v>
      </c>
      <c r="D20" s="25">
        <v>44661</v>
      </c>
      <c r="E20" s="55" t="s">
        <v>2567</v>
      </c>
      <c r="F20" s="53"/>
      <c r="G20" s="53" t="s">
        <v>2568</v>
      </c>
      <c r="H20" s="1617" t="s">
        <v>2578</v>
      </c>
      <c r="I20" s="1617"/>
      <c r="J20" s="1617"/>
      <c r="K20" s="1617"/>
      <c r="L20" s="1617"/>
    </row>
    <row r="21" spans="1:12" ht="79.900000000000006" customHeight="1" x14ac:dyDescent="0.25">
      <c r="A21" s="53">
        <v>15</v>
      </c>
      <c r="B21" s="25">
        <v>44671</v>
      </c>
      <c r="C21" s="55" t="s">
        <v>2697</v>
      </c>
      <c r="D21" s="25">
        <v>44671</v>
      </c>
      <c r="E21" s="53" t="s">
        <v>2698</v>
      </c>
      <c r="F21" s="53"/>
      <c r="G21" s="53" t="s">
        <v>2700</v>
      </c>
      <c r="H21" s="1617" t="s">
        <v>2699</v>
      </c>
      <c r="I21" s="1617"/>
      <c r="J21" s="1617"/>
      <c r="K21" s="1617"/>
      <c r="L21" s="1617"/>
    </row>
    <row r="22" spans="1:12" ht="79.900000000000006" customHeight="1" x14ac:dyDescent="0.25">
      <c r="A22" s="53">
        <v>16</v>
      </c>
      <c r="B22" s="25">
        <v>44747</v>
      </c>
      <c r="C22" s="55" t="s">
        <v>3259</v>
      </c>
      <c r="D22" s="25">
        <v>44747</v>
      </c>
      <c r="E22" s="53" t="s">
        <v>3260</v>
      </c>
      <c r="F22" s="53"/>
      <c r="G22" s="53" t="s">
        <v>3261</v>
      </c>
      <c r="H22" s="1617" t="s">
        <v>3258</v>
      </c>
      <c r="I22" s="1617"/>
      <c r="J22" s="1617"/>
      <c r="K22" s="1617"/>
      <c r="L22" s="1617"/>
    </row>
    <row r="23" spans="1:12" ht="79.900000000000006" customHeight="1" x14ac:dyDescent="0.25">
      <c r="A23" s="53">
        <v>17</v>
      </c>
      <c r="B23" s="25">
        <v>44753</v>
      </c>
      <c r="C23" s="55" t="s">
        <v>3324</v>
      </c>
      <c r="D23" s="25">
        <v>44753</v>
      </c>
      <c r="E23" s="53" t="s">
        <v>3325</v>
      </c>
      <c r="F23" s="53"/>
      <c r="G23" s="53" t="s">
        <v>3326</v>
      </c>
      <c r="H23" s="1617" t="s">
        <v>3323</v>
      </c>
      <c r="I23" s="1617"/>
      <c r="J23" s="1617"/>
      <c r="K23" s="1617"/>
      <c r="L23" s="1617"/>
    </row>
    <row r="24" spans="1:12" ht="79.900000000000006" customHeight="1" x14ac:dyDescent="0.25">
      <c r="A24" s="53">
        <v>18</v>
      </c>
      <c r="B24" s="25">
        <v>44757</v>
      </c>
      <c r="C24" s="55" t="s">
        <v>3351</v>
      </c>
      <c r="D24" s="25">
        <v>44757</v>
      </c>
      <c r="E24" s="53" t="s">
        <v>3352</v>
      </c>
      <c r="F24" s="53"/>
      <c r="G24" s="53" t="s">
        <v>2462</v>
      </c>
      <c r="H24" s="1617" t="s">
        <v>3350</v>
      </c>
      <c r="I24" s="1617"/>
      <c r="J24" s="1617"/>
      <c r="K24" s="1617"/>
      <c r="L24" s="1617"/>
    </row>
    <row r="25" spans="1:12" ht="79.900000000000006" customHeight="1" x14ac:dyDescent="0.25">
      <c r="A25" s="53">
        <v>19</v>
      </c>
      <c r="B25" s="25">
        <v>44868</v>
      </c>
      <c r="C25" s="53" t="s">
        <v>4194</v>
      </c>
      <c r="D25" s="25">
        <v>44868</v>
      </c>
      <c r="E25" s="53" t="s">
        <v>4195</v>
      </c>
      <c r="F25" s="53"/>
      <c r="G25" s="53" t="s">
        <v>861</v>
      </c>
      <c r="H25" s="1617" t="s">
        <v>4196</v>
      </c>
      <c r="I25" s="1617"/>
      <c r="J25" s="1617"/>
      <c r="K25" s="1617"/>
      <c r="L25" s="1617"/>
    </row>
    <row r="26" spans="1:12" ht="79.900000000000006" customHeight="1" x14ac:dyDescent="0.25">
      <c r="A26" s="53">
        <v>20</v>
      </c>
      <c r="B26" s="25">
        <v>44884</v>
      </c>
      <c r="C26" s="53" t="s">
        <v>4315</v>
      </c>
      <c r="D26" s="25">
        <v>44884</v>
      </c>
      <c r="E26" s="53" t="s">
        <v>4235</v>
      </c>
      <c r="F26" s="53"/>
      <c r="G26" s="53" t="s">
        <v>4317</v>
      </c>
      <c r="H26" s="1617" t="s">
        <v>4316</v>
      </c>
      <c r="I26" s="1617"/>
      <c r="J26" s="1617"/>
      <c r="K26" s="1617"/>
      <c r="L26" s="1617"/>
    </row>
    <row r="27" spans="1:12" ht="79.900000000000006" customHeight="1" x14ac:dyDescent="0.25">
      <c r="A27" s="53">
        <v>21</v>
      </c>
      <c r="B27" s="25">
        <v>44885</v>
      </c>
      <c r="C27" s="53" t="s">
        <v>4189</v>
      </c>
      <c r="D27" s="25">
        <v>44885</v>
      </c>
      <c r="E27" s="53" t="s">
        <v>2912</v>
      </c>
      <c r="F27" s="53"/>
      <c r="G27" s="53">
        <v>2.66</v>
      </c>
      <c r="H27" s="1617" t="s">
        <v>4328</v>
      </c>
      <c r="I27" s="1617"/>
      <c r="J27" s="1617"/>
      <c r="K27" s="1617"/>
      <c r="L27" s="1617"/>
    </row>
    <row r="28" spans="1:12" ht="79.900000000000006" customHeight="1" x14ac:dyDescent="0.25">
      <c r="A28" s="53">
        <v>22</v>
      </c>
      <c r="B28" s="30">
        <v>44900</v>
      </c>
      <c r="C28" s="53" t="s">
        <v>4442</v>
      </c>
      <c r="D28" s="30">
        <v>44900</v>
      </c>
      <c r="E28" s="53" t="s">
        <v>272</v>
      </c>
      <c r="F28" s="53"/>
      <c r="G28" s="53" t="s">
        <v>4443</v>
      </c>
      <c r="H28" s="1617" t="s">
        <v>4444</v>
      </c>
      <c r="I28" s="1617"/>
      <c r="J28" s="1617"/>
      <c r="K28" s="1617"/>
      <c r="L28" s="1617"/>
    </row>
    <row r="29" spans="1:12" ht="79.900000000000006" customHeight="1" x14ac:dyDescent="0.25">
      <c r="A29" s="53">
        <v>23</v>
      </c>
      <c r="B29" s="30">
        <v>44904</v>
      </c>
      <c r="C29" s="53" t="s">
        <v>4482</v>
      </c>
      <c r="D29" s="30">
        <v>44904</v>
      </c>
      <c r="E29" s="53" t="s">
        <v>4483</v>
      </c>
      <c r="F29" s="53"/>
      <c r="G29" s="53" t="s">
        <v>4484</v>
      </c>
      <c r="H29" s="1617" t="s">
        <v>4481</v>
      </c>
      <c r="I29" s="1617"/>
      <c r="J29" s="1617"/>
      <c r="K29" s="1617"/>
      <c r="L29" s="1617"/>
    </row>
    <row r="30" spans="1:12" ht="79.900000000000006" customHeight="1" x14ac:dyDescent="0.25">
      <c r="A30" s="53">
        <v>24</v>
      </c>
      <c r="B30" s="30">
        <v>44924</v>
      </c>
      <c r="C30" s="53" t="s">
        <v>4653</v>
      </c>
      <c r="D30" s="30">
        <v>44924</v>
      </c>
      <c r="E30" s="53" t="s">
        <v>2791</v>
      </c>
      <c r="F30" s="53"/>
      <c r="G30" s="53" t="s">
        <v>4657</v>
      </c>
      <c r="H30" s="1617" t="s">
        <v>4652</v>
      </c>
      <c r="I30" s="1617"/>
      <c r="J30" s="1617"/>
      <c r="K30" s="1617"/>
      <c r="L30" s="1617"/>
    </row>
    <row r="31" spans="1:12" ht="79.900000000000006" customHeight="1" x14ac:dyDescent="0.25">
      <c r="A31" s="53">
        <v>25</v>
      </c>
      <c r="B31" s="30">
        <v>44925</v>
      </c>
      <c r="C31" s="53" t="s">
        <v>4655</v>
      </c>
      <c r="D31" s="30">
        <v>44925</v>
      </c>
      <c r="E31" s="53" t="s">
        <v>4656</v>
      </c>
      <c r="F31" s="53"/>
      <c r="G31" s="53" t="s">
        <v>4658</v>
      </c>
      <c r="H31" s="1617" t="s">
        <v>4654</v>
      </c>
      <c r="I31" s="1617"/>
      <c r="J31" s="1617"/>
      <c r="K31" s="1617"/>
      <c r="L31" s="1617"/>
    </row>
    <row r="32" spans="1:12" ht="79.900000000000006" customHeight="1" x14ac:dyDescent="0.25">
      <c r="A32" s="53">
        <v>26</v>
      </c>
      <c r="B32" s="30">
        <v>44928</v>
      </c>
      <c r="C32" s="53" t="s">
        <v>4675</v>
      </c>
      <c r="D32" s="30">
        <v>44928</v>
      </c>
      <c r="E32" s="53" t="s">
        <v>4676</v>
      </c>
      <c r="F32" s="53"/>
      <c r="G32" s="53" t="s">
        <v>4678</v>
      </c>
      <c r="H32" s="1617" t="s">
        <v>4674</v>
      </c>
      <c r="I32" s="1617"/>
      <c r="J32" s="1617"/>
      <c r="K32" s="1617"/>
      <c r="L32" s="1617"/>
    </row>
    <row r="33" spans="1:12" ht="56.25" customHeight="1" x14ac:dyDescent="0.25">
      <c r="A33" s="53">
        <v>27</v>
      </c>
      <c r="B33" s="54">
        <v>44941</v>
      </c>
      <c r="C33" s="53" t="s">
        <v>4773</v>
      </c>
      <c r="D33" s="54">
        <v>44941</v>
      </c>
      <c r="E33" s="53" t="s">
        <v>4774</v>
      </c>
      <c r="F33" s="53"/>
      <c r="G33" s="53" t="s">
        <v>4776</v>
      </c>
      <c r="H33" s="1617" t="s">
        <v>4775</v>
      </c>
      <c r="I33" s="1617"/>
      <c r="J33" s="1617"/>
      <c r="K33" s="1617"/>
      <c r="L33" s="1617"/>
    </row>
    <row r="34" spans="1:12" ht="79.900000000000006" customHeight="1" x14ac:dyDescent="0.25">
      <c r="A34" s="53">
        <v>28</v>
      </c>
      <c r="B34" s="54">
        <v>44975</v>
      </c>
      <c r="C34" s="53" t="s">
        <v>4995</v>
      </c>
      <c r="D34" s="54">
        <v>44975</v>
      </c>
      <c r="E34" s="53" t="s">
        <v>4996</v>
      </c>
      <c r="F34" s="53"/>
      <c r="G34" s="53" t="s">
        <v>4997</v>
      </c>
      <c r="H34" s="1617" t="s">
        <v>4998</v>
      </c>
      <c r="I34" s="1617"/>
      <c r="J34" s="1617"/>
      <c r="K34" s="1617"/>
      <c r="L34" s="1617"/>
    </row>
    <row r="35" spans="1:12" ht="79.900000000000006" customHeight="1" x14ac:dyDescent="0.25">
      <c r="A35" s="53">
        <v>29</v>
      </c>
      <c r="B35" s="54">
        <v>44975</v>
      </c>
      <c r="C35" s="53" t="s">
        <v>879</v>
      </c>
      <c r="D35" s="54">
        <v>44976</v>
      </c>
      <c r="E35" s="53" t="s">
        <v>4137</v>
      </c>
      <c r="F35" s="53"/>
      <c r="G35" s="53" t="s">
        <v>5000</v>
      </c>
      <c r="H35" s="1617" t="s">
        <v>4999</v>
      </c>
      <c r="I35" s="1617"/>
      <c r="J35" s="1617"/>
      <c r="K35" s="1617"/>
      <c r="L35" s="1617"/>
    </row>
    <row r="36" spans="1:12" ht="79.900000000000006" customHeight="1" x14ac:dyDescent="0.25">
      <c r="A36" s="53">
        <v>30</v>
      </c>
      <c r="B36" s="54">
        <v>44978</v>
      </c>
      <c r="C36" s="53" t="s">
        <v>5022</v>
      </c>
      <c r="D36" s="54">
        <v>44978</v>
      </c>
      <c r="E36" s="53" t="s">
        <v>780</v>
      </c>
      <c r="F36" s="53"/>
      <c r="G36" s="53" t="s">
        <v>3082</v>
      </c>
      <c r="H36" s="1617" t="s">
        <v>5023</v>
      </c>
      <c r="I36" s="1617"/>
      <c r="J36" s="1617"/>
      <c r="K36" s="1617"/>
      <c r="L36" s="1617"/>
    </row>
    <row r="37" spans="1:12" ht="53.25" customHeight="1" x14ac:dyDescent="0.25">
      <c r="A37" s="53">
        <v>31</v>
      </c>
      <c r="B37" s="54">
        <v>44989</v>
      </c>
      <c r="C37" s="53" t="s">
        <v>5102</v>
      </c>
      <c r="D37" s="54">
        <v>44990</v>
      </c>
      <c r="E37" s="53" t="s">
        <v>5103</v>
      </c>
      <c r="F37" s="53"/>
      <c r="G37" s="53" t="s">
        <v>5105</v>
      </c>
      <c r="H37" s="1617" t="s">
        <v>5104</v>
      </c>
      <c r="I37" s="1617"/>
      <c r="J37" s="1617"/>
      <c r="K37" s="1617"/>
      <c r="L37" s="1617"/>
    </row>
    <row r="38" spans="1:12" ht="53.25" customHeight="1" x14ac:dyDescent="0.25">
      <c r="A38" s="1251">
        <v>32</v>
      </c>
      <c r="B38" s="54">
        <v>45005</v>
      </c>
      <c r="C38" s="1251" t="s">
        <v>5338</v>
      </c>
      <c r="D38" s="54">
        <v>45005</v>
      </c>
      <c r="E38" s="1251" t="s">
        <v>5339</v>
      </c>
      <c r="F38" s="1251"/>
      <c r="G38" s="1251" t="s">
        <v>5340</v>
      </c>
      <c r="H38" s="1601" t="s">
        <v>5337</v>
      </c>
      <c r="I38" s="1602"/>
      <c r="J38" s="1602"/>
      <c r="K38" s="1602"/>
      <c r="L38" s="1603"/>
    </row>
    <row r="39" spans="1:12" ht="33" customHeight="1" x14ac:dyDescent="0.25">
      <c r="A39" s="1251">
        <v>33</v>
      </c>
      <c r="B39" s="54">
        <v>45010</v>
      </c>
      <c r="C39" s="53" t="s">
        <v>5196</v>
      </c>
      <c r="D39" s="54">
        <v>45010</v>
      </c>
      <c r="E39" s="53" t="s">
        <v>5197</v>
      </c>
      <c r="F39" s="53"/>
      <c r="G39" s="53" t="s">
        <v>5198</v>
      </c>
      <c r="H39" s="1617" t="s">
        <v>5194</v>
      </c>
      <c r="I39" s="1617"/>
      <c r="J39" s="1617"/>
      <c r="K39" s="1617"/>
      <c r="L39" s="1617"/>
    </row>
    <row r="40" spans="1:12" ht="50.25" customHeight="1" x14ac:dyDescent="0.25">
      <c r="A40" s="1251">
        <v>34</v>
      </c>
      <c r="B40" s="54">
        <v>45011</v>
      </c>
      <c r="C40" s="1222" t="s">
        <v>5201</v>
      </c>
      <c r="D40" s="54">
        <v>45011</v>
      </c>
      <c r="E40" s="1222" t="s">
        <v>5202</v>
      </c>
      <c r="F40" s="1222"/>
      <c r="G40" s="1222" t="s">
        <v>5200</v>
      </c>
      <c r="H40" s="1617" t="s">
        <v>5341</v>
      </c>
      <c r="I40" s="1617"/>
      <c r="J40" s="1617"/>
      <c r="K40" s="1617"/>
      <c r="L40" s="1617"/>
    </row>
    <row r="41" spans="1:12" ht="41.25" customHeight="1" x14ac:dyDescent="0.25">
      <c r="A41" s="1251">
        <v>35</v>
      </c>
      <c r="B41" s="54">
        <v>45011</v>
      </c>
      <c r="C41" s="1222" t="s">
        <v>5213</v>
      </c>
      <c r="D41" s="54">
        <v>45011</v>
      </c>
      <c r="E41" s="1222" t="s">
        <v>5211</v>
      </c>
      <c r="F41" s="1222"/>
      <c r="G41" s="1222" t="s">
        <v>5214</v>
      </c>
      <c r="H41" s="1617" t="s">
        <v>5212</v>
      </c>
      <c r="I41" s="1617"/>
      <c r="J41" s="1617"/>
      <c r="K41" s="1617"/>
      <c r="L41" s="1617"/>
    </row>
    <row r="42" spans="1:12" ht="45" customHeight="1" x14ac:dyDescent="0.25">
      <c r="A42" s="1251">
        <v>36</v>
      </c>
      <c r="B42" s="54">
        <v>45013</v>
      </c>
      <c r="C42" s="1227" t="s">
        <v>5228</v>
      </c>
      <c r="D42" s="54">
        <v>45013</v>
      </c>
      <c r="E42" s="1227" t="s">
        <v>5229</v>
      </c>
      <c r="F42" s="1227"/>
      <c r="G42" s="1227" t="s">
        <v>5230</v>
      </c>
      <c r="H42" s="1617" t="s">
        <v>5227</v>
      </c>
      <c r="I42" s="1617"/>
      <c r="J42" s="1617"/>
      <c r="K42" s="1617"/>
      <c r="L42" s="1617"/>
    </row>
    <row r="43" spans="1:12" ht="41.25" customHeight="1" x14ac:dyDescent="0.25">
      <c r="A43" s="1251">
        <v>37</v>
      </c>
      <c r="B43" s="54">
        <v>45018</v>
      </c>
      <c r="C43" s="1239" t="s">
        <v>5258</v>
      </c>
      <c r="D43" s="54">
        <v>45018</v>
      </c>
      <c r="E43" s="1239" t="s">
        <v>5259</v>
      </c>
      <c r="F43" s="1239"/>
      <c r="G43" s="1239" t="s">
        <v>5260</v>
      </c>
      <c r="H43" s="1617" t="s">
        <v>5261</v>
      </c>
      <c r="I43" s="1617"/>
      <c r="J43" s="1617"/>
      <c r="K43" s="1617"/>
      <c r="L43" s="1617"/>
    </row>
    <row r="44" spans="1:12" ht="41.25" customHeight="1" x14ac:dyDescent="0.25">
      <c r="A44" s="1272">
        <v>38</v>
      </c>
      <c r="B44" s="54">
        <v>45023</v>
      </c>
      <c r="C44" s="1272" t="s">
        <v>5496</v>
      </c>
      <c r="D44" s="54">
        <v>45023</v>
      </c>
      <c r="E44" s="1272" t="s">
        <v>5497</v>
      </c>
      <c r="F44" s="1272"/>
      <c r="G44" s="1272" t="s">
        <v>5478</v>
      </c>
      <c r="H44" s="1601" t="s">
        <v>5495</v>
      </c>
      <c r="I44" s="1602"/>
      <c r="J44" s="1602"/>
      <c r="K44" s="1602"/>
      <c r="L44" s="1603"/>
    </row>
    <row r="45" spans="1:12" ht="41.25" customHeight="1" x14ac:dyDescent="0.25">
      <c r="A45" s="1270">
        <v>39</v>
      </c>
      <c r="B45" s="54">
        <v>45040</v>
      </c>
      <c r="C45" s="1239" t="s">
        <v>5462</v>
      </c>
      <c r="D45" s="54">
        <v>45040</v>
      </c>
      <c r="E45" s="1239" t="s">
        <v>5463</v>
      </c>
      <c r="F45" s="1239"/>
      <c r="G45" s="1239" t="s">
        <v>5461</v>
      </c>
      <c r="H45" s="1617" t="s">
        <v>5460</v>
      </c>
      <c r="I45" s="1617"/>
      <c r="J45" s="1617"/>
      <c r="K45" s="1617"/>
      <c r="L45" s="1617"/>
    </row>
    <row r="46" spans="1:12" ht="41.25" customHeight="1" x14ac:dyDescent="0.25">
      <c r="A46" s="1270">
        <v>40</v>
      </c>
      <c r="B46" s="54">
        <v>45040</v>
      </c>
      <c r="C46" s="1239" t="s">
        <v>5466</v>
      </c>
      <c r="D46" s="54">
        <v>45040</v>
      </c>
      <c r="E46" s="1239" t="s">
        <v>5467</v>
      </c>
      <c r="F46" s="1239"/>
      <c r="G46" s="1239" t="s">
        <v>5465</v>
      </c>
      <c r="H46" s="1617" t="s">
        <v>5464</v>
      </c>
      <c r="I46" s="1617"/>
      <c r="J46" s="1617"/>
      <c r="K46" s="1617"/>
      <c r="L46" s="1617"/>
    </row>
    <row r="47" spans="1:12" ht="44.25" customHeight="1" x14ac:dyDescent="0.25">
      <c r="A47" s="1270">
        <v>41</v>
      </c>
      <c r="B47" s="54">
        <v>45040</v>
      </c>
      <c r="C47" s="1239" t="s">
        <v>5469</v>
      </c>
      <c r="D47" s="54">
        <v>45040</v>
      </c>
      <c r="E47" s="1239" t="s">
        <v>5470</v>
      </c>
      <c r="F47" s="1239"/>
      <c r="G47" s="1239" t="s">
        <v>5471</v>
      </c>
      <c r="H47" s="1617" t="s">
        <v>5468</v>
      </c>
      <c r="I47" s="1617"/>
      <c r="J47" s="1617"/>
      <c r="K47" s="1617"/>
      <c r="L47" s="1617"/>
    </row>
    <row r="48" spans="1:12" ht="41.25" customHeight="1" x14ac:dyDescent="0.25">
      <c r="A48" s="1272">
        <v>42</v>
      </c>
      <c r="B48" s="54">
        <v>45041</v>
      </c>
      <c r="C48" s="1239" t="s">
        <v>5493</v>
      </c>
      <c r="D48" s="54">
        <v>45041</v>
      </c>
      <c r="E48" s="1239" t="s">
        <v>5494</v>
      </c>
      <c r="F48" s="1239"/>
      <c r="G48" s="1239" t="s">
        <v>5492</v>
      </c>
      <c r="H48" s="1617" t="s">
        <v>5491</v>
      </c>
      <c r="I48" s="1617"/>
      <c r="J48" s="1617"/>
      <c r="K48" s="1617"/>
      <c r="L48" s="1617"/>
    </row>
    <row r="49" spans="1:12" ht="41.25" customHeight="1" x14ac:dyDescent="0.25">
      <c r="A49" s="1606">
        <v>43</v>
      </c>
      <c r="B49" s="54">
        <v>45112</v>
      </c>
      <c r="C49" s="1239" t="s">
        <v>5586</v>
      </c>
      <c r="D49" s="54"/>
      <c r="E49" s="1239"/>
      <c r="F49" s="1239"/>
      <c r="G49" s="1239" t="s">
        <v>5592</v>
      </c>
      <c r="H49" s="1617" t="s">
        <v>5585</v>
      </c>
      <c r="I49" s="1617"/>
      <c r="J49" s="1617"/>
      <c r="K49" s="1617"/>
      <c r="L49" s="1617"/>
    </row>
    <row r="50" spans="1:12" ht="41.25" customHeight="1" x14ac:dyDescent="0.25">
      <c r="A50" s="1607"/>
      <c r="B50" s="54"/>
      <c r="C50" s="1269"/>
      <c r="D50" s="54">
        <v>45053</v>
      </c>
      <c r="E50" s="1269" t="s">
        <v>5587</v>
      </c>
      <c r="F50" s="1269"/>
      <c r="G50" s="1269" t="s">
        <v>5584</v>
      </c>
      <c r="H50" s="1617" t="s">
        <v>5583</v>
      </c>
      <c r="I50" s="1617"/>
      <c r="J50" s="1617"/>
      <c r="K50" s="1617"/>
      <c r="L50" s="1617"/>
    </row>
    <row r="51" spans="1:12" ht="69.75" customHeight="1" x14ac:dyDescent="0.25">
      <c r="A51" s="1269">
        <v>44</v>
      </c>
      <c r="B51" s="54">
        <v>45080</v>
      </c>
      <c r="C51" s="1269" t="s">
        <v>5740</v>
      </c>
      <c r="D51" s="54">
        <v>45080</v>
      </c>
      <c r="E51" s="1269" t="s">
        <v>5745</v>
      </c>
      <c r="F51" s="1269"/>
      <c r="G51" s="1269" t="s">
        <v>5746</v>
      </c>
      <c r="H51" s="1608" t="s">
        <v>5748</v>
      </c>
      <c r="I51" s="1609"/>
      <c r="J51" s="1609"/>
      <c r="K51" s="1609"/>
      <c r="L51" s="1610"/>
    </row>
    <row r="52" spans="1:12" ht="41.25" customHeight="1" x14ac:dyDescent="0.25">
      <c r="A52" s="1269">
        <v>45</v>
      </c>
      <c r="B52" s="54">
        <v>45080</v>
      </c>
      <c r="C52" s="1269" t="s">
        <v>359</v>
      </c>
      <c r="D52" s="54">
        <v>45080</v>
      </c>
      <c r="E52" s="1269" t="s">
        <v>5744</v>
      </c>
      <c r="F52" s="1269"/>
      <c r="G52" s="1269" t="s">
        <v>5747</v>
      </c>
      <c r="H52" s="1611"/>
      <c r="I52" s="1612"/>
      <c r="J52" s="1612"/>
      <c r="K52" s="1612"/>
      <c r="L52" s="1613"/>
    </row>
    <row r="53" spans="1:12" ht="41.25" customHeight="1" x14ac:dyDescent="0.25">
      <c r="A53" s="1269">
        <v>46</v>
      </c>
      <c r="B53" s="54">
        <v>45124</v>
      </c>
      <c r="C53" s="1269" t="s">
        <v>6002</v>
      </c>
      <c r="D53" s="54">
        <v>45124</v>
      </c>
      <c r="E53" s="1269" t="s">
        <v>5517</v>
      </c>
      <c r="F53" s="1269"/>
      <c r="G53" s="1269" t="s">
        <v>6001</v>
      </c>
      <c r="H53" s="1617" t="s">
        <v>6000</v>
      </c>
      <c r="I53" s="1617"/>
      <c r="J53" s="1617"/>
      <c r="K53" s="1617"/>
      <c r="L53" s="1617"/>
    </row>
    <row r="54" spans="1:12" ht="41.25" customHeight="1" x14ac:dyDescent="0.25">
      <c r="A54" s="1382"/>
      <c r="B54" s="54"/>
      <c r="C54" s="1382"/>
      <c r="D54" s="54"/>
      <c r="E54" s="1382"/>
      <c r="F54" s="1382"/>
      <c r="G54" s="1382"/>
      <c r="H54" s="1617"/>
      <c r="I54" s="1617"/>
      <c r="J54" s="1617"/>
      <c r="K54" s="1617"/>
      <c r="L54" s="1617"/>
    </row>
    <row r="55" spans="1:12" ht="41.25" customHeight="1" x14ac:dyDescent="0.25">
      <c r="A55" s="1382"/>
      <c r="B55" s="54"/>
      <c r="C55" s="1382"/>
      <c r="D55" s="54"/>
      <c r="E55" s="1382"/>
      <c r="F55" s="1382"/>
      <c r="G55" s="1382"/>
      <c r="H55" s="1617"/>
      <c r="I55" s="1617"/>
      <c r="J55" s="1617"/>
      <c r="K55" s="1617"/>
      <c r="L55" s="1617"/>
    </row>
    <row r="56" spans="1:12" ht="41.25" customHeight="1" x14ac:dyDescent="0.25">
      <c r="A56" s="1382"/>
      <c r="B56" s="54"/>
      <c r="C56" s="1382"/>
      <c r="D56" s="54"/>
      <c r="E56" s="1382"/>
      <c r="F56" s="1382"/>
      <c r="G56" s="1382"/>
      <c r="H56" s="1617"/>
      <c r="I56" s="1617"/>
      <c r="J56" s="1617"/>
      <c r="K56" s="1617"/>
      <c r="L56" s="1617"/>
    </row>
    <row r="57" spans="1:12" ht="41.25" customHeight="1" x14ac:dyDescent="0.25">
      <c r="A57" s="1382"/>
      <c r="B57" s="54"/>
      <c r="C57" s="1382"/>
      <c r="D57" s="54"/>
      <c r="E57" s="1382"/>
      <c r="F57" s="1382"/>
      <c r="G57" s="1382"/>
      <c r="H57" s="1617"/>
      <c r="I57" s="1617"/>
      <c r="J57" s="1617"/>
      <c r="K57" s="1617"/>
      <c r="L57" s="1617"/>
    </row>
    <row r="58" spans="1:12" ht="41.25" customHeight="1" x14ac:dyDescent="0.25">
      <c r="A58" s="1382"/>
      <c r="B58" s="54"/>
      <c r="C58" s="1382"/>
      <c r="D58" s="54"/>
      <c r="E58" s="1382"/>
      <c r="F58" s="1382"/>
      <c r="G58" s="1382"/>
      <c r="H58" s="1617"/>
      <c r="I58" s="1617"/>
      <c r="J58" s="1617"/>
      <c r="K58" s="1617"/>
      <c r="L58" s="1617"/>
    </row>
    <row r="59" spans="1:12" ht="41.25" customHeight="1" x14ac:dyDescent="0.25">
      <c r="A59" s="1382"/>
      <c r="B59" s="54"/>
      <c r="C59" s="1382"/>
      <c r="D59" s="54"/>
      <c r="E59" s="1382"/>
      <c r="F59" s="1382"/>
      <c r="G59" s="1382"/>
      <c r="H59" s="1617"/>
      <c r="I59" s="1617"/>
      <c r="J59" s="1617"/>
      <c r="K59" s="1617"/>
      <c r="L59" s="1617"/>
    </row>
    <row r="60" spans="1:12" ht="41.25" customHeight="1" x14ac:dyDescent="0.25">
      <c r="A60" s="1382"/>
      <c r="B60" s="54"/>
      <c r="C60" s="1382"/>
      <c r="D60" s="54"/>
      <c r="E60" s="1382"/>
      <c r="F60" s="1382"/>
      <c r="G60" s="1382"/>
      <c r="H60" s="1617"/>
      <c r="I60" s="1617"/>
      <c r="J60" s="1617"/>
      <c r="K60" s="1617"/>
      <c r="L60" s="1617"/>
    </row>
    <row r="61" spans="1:12" ht="41.25" customHeight="1" x14ac:dyDescent="0.25">
      <c r="A61" s="1382"/>
      <c r="B61" s="54"/>
      <c r="C61" s="1382"/>
      <c r="D61" s="54"/>
      <c r="E61" s="1382"/>
      <c r="F61" s="1382"/>
      <c r="G61" s="1382"/>
      <c r="H61" s="1617"/>
      <c r="I61" s="1617"/>
      <c r="J61" s="1617"/>
      <c r="K61" s="1617"/>
      <c r="L61" s="1617"/>
    </row>
    <row r="62" spans="1:12" ht="41.25" customHeight="1" x14ac:dyDescent="0.25">
      <c r="A62" s="1382"/>
      <c r="B62" s="54"/>
      <c r="C62" s="1382"/>
      <c r="D62" s="54"/>
      <c r="E62" s="1382"/>
      <c r="F62" s="1382"/>
      <c r="G62" s="1382"/>
      <c r="H62" s="1617"/>
      <c r="I62" s="1617"/>
      <c r="J62" s="1617"/>
      <c r="K62" s="1617"/>
      <c r="L62" s="1617"/>
    </row>
    <row r="63" spans="1:12" ht="41.25" customHeight="1" x14ac:dyDescent="0.25">
      <c r="A63" s="1382"/>
      <c r="B63" s="54"/>
      <c r="C63" s="1382"/>
      <c r="D63" s="54"/>
      <c r="E63" s="1382"/>
      <c r="F63" s="1382"/>
      <c r="G63" s="1382"/>
      <c r="H63" s="1617"/>
      <c r="I63" s="1617"/>
      <c r="J63" s="1617"/>
      <c r="K63" s="1617"/>
      <c r="L63" s="1617"/>
    </row>
    <row r="64" spans="1:12" ht="41.25" customHeight="1" x14ac:dyDescent="0.25">
      <c r="A64" s="1382"/>
      <c r="B64" s="54"/>
      <c r="C64" s="1382"/>
      <c r="D64" s="54"/>
      <c r="E64" s="1382"/>
      <c r="F64" s="1382"/>
      <c r="G64" s="1382"/>
      <c r="H64" s="1617"/>
      <c r="I64" s="1617"/>
      <c r="J64" s="1617"/>
      <c r="K64" s="1617"/>
      <c r="L64" s="1617"/>
    </row>
    <row r="65" spans="1:12" ht="41.25" customHeight="1" x14ac:dyDescent="0.25">
      <c r="A65" s="1382"/>
      <c r="B65" s="54"/>
      <c r="C65" s="1382"/>
      <c r="D65" s="54"/>
      <c r="E65" s="1382"/>
      <c r="F65" s="1382"/>
      <c r="G65" s="1382"/>
      <c r="H65" s="1617"/>
      <c r="I65" s="1617"/>
      <c r="J65" s="1617"/>
      <c r="K65" s="1617"/>
      <c r="L65" s="1617"/>
    </row>
    <row r="66" spans="1:12" ht="41.25" customHeight="1" x14ac:dyDescent="0.25">
      <c r="A66" s="1382"/>
      <c r="B66" s="54"/>
      <c r="C66" s="1382"/>
      <c r="D66" s="54"/>
      <c r="E66" s="1382"/>
      <c r="F66" s="1382"/>
      <c r="G66" s="1382"/>
      <c r="H66" s="1617"/>
      <c r="I66" s="1617"/>
      <c r="J66" s="1617"/>
      <c r="K66" s="1617"/>
      <c r="L66" s="1617"/>
    </row>
    <row r="67" spans="1:12" ht="41.25" customHeight="1" x14ac:dyDescent="0.25">
      <c r="A67" s="1382"/>
      <c r="B67" s="54"/>
      <c r="C67" s="1382"/>
      <c r="D67" s="54"/>
      <c r="E67" s="1382"/>
      <c r="F67" s="1382"/>
      <c r="G67" s="1382"/>
      <c r="H67" s="1617"/>
      <c r="I67" s="1617"/>
      <c r="J67" s="1617"/>
      <c r="K67" s="1617"/>
      <c r="L67" s="1617"/>
    </row>
    <row r="68" spans="1:12" ht="41.25" customHeight="1" x14ac:dyDescent="0.25">
      <c r="A68" s="1382"/>
      <c r="B68" s="54"/>
      <c r="C68" s="1382"/>
      <c r="D68" s="54"/>
      <c r="E68" s="1382"/>
      <c r="F68" s="1382"/>
      <c r="G68" s="1382"/>
      <c r="H68" s="1617"/>
      <c r="I68" s="1617"/>
      <c r="J68" s="1617"/>
      <c r="K68" s="1617"/>
      <c r="L68" s="1617"/>
    </row>
    <row r="69" spans="1:12" ht="41.25" customHeight="1" x14ac:dyDescent="0.25">
      <c r="A69" s="1382"/>
      <c r="B69" s="54"/>
      <c r="C69" s="1382"/>
      <c r="D69" s="54"/>
      <c r="E69" s="1382"/>
      <c r="F69" s="1382"/>
      <c r="G69" s="1382"/>
      <c r="H69" s="1617"/>
      <c r="I69" s="1617"/>
      <c r="J69" s="1617"/>
      <c r="K69" s="1617"/>
      <c r="L69" s="1617"/>
    </row>
    <row r="70" spans="1:12" ht="41.25" customHeight="1" x14ac:dyDescent="0.25">
      <c r="A70" s="1382"/>
      <c r="B70" s="54"/>
      <c r="C70" s="1382"/>
      <c r="D70" s="54"/>
      <c r="E70" s="1382"/>
      <c r="F70" s="1382"/>
      <c r="G70" s="1382"/>
      <c r="H70" s="1617"/>
      <c r="I70" s="1617"/>
      <c r="J70" s="1617"/>
      <c r="K70" s="1617"/>
      <c r="L70" s="1617"/>
    </row>
    <row r="71" spans="1:12" ht="41.25" customHeight="1" x14ac:dyDescent="0.25">
      <c r="A71" s="1382"/>
      <c r="B71" s="54"/>
      <c r="C71" s="1382"/>
      <c r="D71" s="54"/>
      <c r="E71" s="1382"/>
      <c r="F71" s="1382"/>
      <c r="G71" s="1382"/>
      <c r="H71" s="1617"/>
      <c r="I71" s="1617"/>
      <c r="J71" s="1617"/>
      <c r="K71" s="1617"/>
      <c r="L71" s="1617"/>
    </row>
    <row r="72" spans="1:12" ht="41.25" customHeight="1" x14ac:dyDescent="0.25">
      <c r="A72" s="1382"/>
      <c r="B72" s="54"/>
      <c r="C72" s="1382"/>
      <c r="D72" s="54"/>
      <c r="E72" s="1382"/>
      <c r="F72" s="1382"/>
      <c r="G72" s="1382"/>
      <c r="H72" s="1617"/>
      <c r="I72" s="1617"/>
      <c r="J72" s="1617"/>
      <c r="K72" s="1617"/>
      <c r="L72" s="1617"/>
    </row>
    <row r="73" spans="1:12" ht="41.25" customHeight="1" x14ac:dyDescent="0.25">
      <c r="A73" s="1382"/>
      <c r="B73" s="54"/>
      <c r="C73" s="1382"/>
      <c r="D73" s="54"/>
      <c r="E73" s="1382"/>
      <c r="F73" s="1382"/>
      <c r="G73" s="1382"/>
      <c r="H73" s="1617"/>
      <c r="I73" s="1617"/>
      <c r="J73" s="1617"/>
      <c r="K73" s="1617"/>
      <c r="L73" s="1617"/>
    </row>
    <row r="74" spans="1:12" ht="41.25" customHeight="1" x14ac:dyDescent="0.25">
      <c r="A74" s="1382"/>
      <c r="B74" s="54"/>
      <c r="C74" s="1382"/>
      <c r="D74" s="54"/>
      <c r="E74" s="1382"/>
      <c r="F74" s="1382"/>
      <c r="G74" s="1382"/>
      <c r="H74" s="1617"/>
      <c r="I74" s="1617"/>
      <c r="J74" s="1617"/>
      <c r="K74" s="1617"/>
      <c r="L74" s="1617"/>
    </row>
    <row r="75" spans="1:12" ht="41.25" customHeight="1" x14ac:dyDescent="0.25">
      <c r="A75" s="1382"/>
      <c r="B75" s="54"/>
      <c r="C75" s="1382"/>
      <c r="D75" s="54"/>
      <c r="E75" s="1382"/>
      <c r="F75" s="1382"/>
      <c r="G75" s="1382"/>
      <c r="H75" s="1617"/>
      <c r="I75" s="1617"/>
      <c r="J75" s="1617"/>
      <c r="K75" s="1617"/>
      <c r="L75" s="1617"/>
    </row>
    <row r="76" spans="1:12" ht="41.25" customHeight="1" x14ac:dyDescent="0.25">
      <c r="A76" s="1382"/>
      <c r="B76" s="54"/>
      <c r="C76" s="1382"/>
      <c r="D76" s="54"/>
      <c r="E76" s="1382"/>
      <c r="F76" s="1382"/>
      <c r="G76" s="1382"/>
      <c r="H76" s="1617"/>
      <c r="I76" s="1617"/>
      <c r="J76" s="1617"/>
      <c r="K76" s="1617"/>
      <c r="L76" s="1617"/>
    </row>
    <row r="77" spans="1:12" ht="41.25" customHeight="1" x14ac:dyDescent="0.25">
      <c r="A77" s="1382"/>
      <c r="B77" s="54"/>
      <c r="C77" s="1382"/>
      <c r="D77" s="54"/>
      <c r="E77" s="1382"/>
      <c r="F77" s="1382"/>
      <c r="G77" s="1382"/>
      <c r="H77" s="1617"/>
      <c r="I77" s="1617"/>
      <c r="J77" s="1617"/>
      <c r="K77" s="1617"/>
      <c r="L77" s="1617"/>
    </row>
  </sheetData>
  <mergeCells count="74">
    <mergeCell ref="H74:L74"/>
    <mergeCell ref="H75:L75"/>
    <mergeCell ref="H76:L76"/>
    <mergeCell ref="H77:L77"/>
    <mergeCell ref="H69:L69"/>
    <mergeCell ref="H70:L70"/>
    <mergeCell ref="H71:L71"/>
    <mergeCell ref="H72:L72"/>
    <mergeCell ref="H73:L73"/>
    <mergeCell ref="H64:L64"/>
    <mergeCell ref="H65:L65"/>
    <mergeCell ref="H66:L66"/>
    <mergeCell ref="H67:L67"/>
    <mergeCell ref="H68:L68"/>
    <mergeCell ref="H59:L59"/>
    <mergeCell ref="H60:L60"/>
    <mergeCell ref="H61:L61"/>
    <mergeCell ref="H62:L62"/>
    <mergeCell ref="H63:L63"/>
    <mergeCell ref="H54:L54"/>
    <mergeCell ref="H55:L55"/>
    <mergeCell ref="H56:L56"/>
    <mergeCell ref="H57:L57"/>
    <mergeCell ref="H58:L58"/>
    <mergeCell ref="H51:L52"/>
    <mergeCell ref="A49:A50"/>
    <mergeCell ref="H38:L38"/>
    <mergeCell ref="H49:L49"/>
    <mergeCell ref="H43:L43"/>
    <mergeCell ref="H45:L45"/>
    <mergeCell ref="H46:L46"/>
    <mergeCell ref="H47:L47"/>
    <mergeCell ref="H48:L48"/>
    <mergeCell ref="H44:L44"/>
    <mergeCell ref="H50:L50"/>
    <mergeCell ref="H42:L42"/>
    <mergeCell ref="H40:L40"/>
    <mergeCell ref="H41:L41"/>
    <mergeCell ref="H36:L36"/>
    <mergeCell ref="H37:L37"/>
    <mergeCell ref="H39:L39"/>
    <mergeCell ref="H29:L29"/>
    <mergeCell ref="H30:L30"/>
    <mergeCell ref="H31:L31"/>
    <mergeCell ref="H32:L32"/>
    <mergeCell ref="H33:L33"/>
    <mergeCell ref="H34:L34"/>
    <mergeCell ref="H24:L24"/>
    <mergeCell ref="H25:L25"/>
    <mergeCell ref="H26:L26"/>
    <mergeCell ref="H27:L27"/>
    <mergeCell ref="H35:L35"/>
    <mergeCell ref="H28:L28"/>
    <mergeCell ref="H19:L19"/>
    <mergeCell ref="H20:L20"/>
    <mergeCell ref="H21:L21"/>
    <mergeCell ref="H22:L22"/>
    <mergeCell ref="H23:L23"/>
    <mergeCell ref="H53:L53"/>
    <mergeCell ref="A1:L4"/>
    <mergeCell ref="H16:L16"/>
    <mergeCell ref="A5:L5"/>
    <mergeCell ref="H6:L6"/>
    <mergeCell ref="H7:L7"/>
    <mergeCell ref="H8:L8"/>
    <mergeCell ref="H9:L9"/>
    <mergeCell ref="H10:L10"/>
    <mergeCell ref="H11:L11"/>
    <mergeCell ref="H12:L12"/>
    <mergeCell ref="H13:L13"/>
    <mergeCell ref="H14:L14"/>
    <mergeCell ref="H15:L15"/>
    <mergeCell ref="H17:L17"/>
    <mergeCell ref="H18:L18"/>
  </mergeCells>
  <pageMargins left="0.7" right="0.7" top="0.75" bottom="0.75" header="0.3" footer="0.3"/>
  <pageSetup paperSize="9" orientation="portrait" horizontalDpi="300" verticalDpi="300"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5:L38"/>
  <sheetViews>
    <sheetView zoomScale="77" zoomScaleNormal="77" workbookViewId="0">
      <pane xSplit="1" ySplit="6" topLeftCell="B29" activePane="bottomRight" state="frozen"/>
      <selection pane="topRight" activeCell="B1" sqref="B1"/>
      <selection pane="bottomLeft" activeCell="A7" sqref="A7"/>
      <selection pane="bottomRight" activeCell="H31" sqref="H31:L31"/>
    </sheetView>
  </sheetViews>
  <sheetFormatPr defaultColWidth="8.7109375" defaultRowHeight="15" x14ac:dyDescent="0.25"/>
  <cols>
    <col min="1" max="1" width="12" style="18" customWidth="1"/>
    <col min="2" max="2" width="18.5703125" style="18" customWidth="1"/>
    <col min="3" max="3" width="16.28515625" style="18" bestFit="1" customWidth="1"/>
    <col min="4" max="4" width="15.85546875" style="18" bestFit="1" customWidth="1"/>
    <col min="5" max="5" width="14.85546875" style="18" customWidth="1"/>
    <col min="6" max="6" width="10.42578125" style="18" customWidth="1"/>
    <col min="7" max="7" width="15.42578125" style="18" customWidth="1"/>
    <col min="8" max="11" width="8.7109375" style="52"/>
    <col min="12" max="12" width="57.42578125" style="52" customWidth="1"/>
    <col min="13" max="16384" width="8.7109375" style="18"/>
  </cols>
  <sheetData>
    <row r="5" spans="1:12" ht="43.5" customHeight="1" x14ac:dyDescent="0.25">
      <c r="A5" s="1645" t="s">
        <v>158</v>
      </c>
      <c r="B5" s="1645"/>
      <c r="C5" s="1645"/>
      <c r="D5" s="1645"/>
      <c r="E5" s="1645"/>
      <c r="F5" s="1645"/>
      <c r="G5" s="1645"/>
      <c r="H5" s="1645"/>
      <c r="I5" s="1645"/>
      <c r="J5" s="1645"/>
      <c r="K5" s="1645"/>
      <c r="L5" s="1645"/>
    </row>
    <row r="6" spans="1:12" s="52" customFormat="1" ht="53.1" customHeight="1" x14ac:dyDescent="0.25">
      <c r="A6" s="172" t="s">
        <v>66</v>
      </c>
      <c r="B6" s="172" t="s">
        <v>67</v>
      </c>
      <c r="C6" s="172" t="s">
        <v>68</v>
      </c>
      <c r="D6" s="172" t="s">
        <v>69</v>
      </c>
      <c r="E6" s="172" t="s">
        <v>68</v>
      </c>
      <c r="F6" s="172" t="s">
        <v>70</v>
      </c>
      <c r="G6" s="172" t="s">
        <v>71</v>
      </c>
      <c r="H6" s="1619" t="s">
        <v>72</v>
      </c>
      <c r="I6" s="1619"/>
      <c r="J6" s="1619"/>
      <c r="K6" s="1619"/>
      <c r="L6" s="1619"/>
    </row>
    <row r="7" spans="1:12" ht="79.900000000000006" customHeight="1" x14ac:dyDescent="0.25">
      <c r="A7" s="53">
        <v>1</v>
      </c>
      <c r="B7" s="54"/>
      <c r="D7" s="54">
        <v>44236</v>
      </c>
      <c r="E7" s="55">
        <v>0.82847222222222217</v>
      </c>
      <c r="F7" s="53"/>
      <c r="G7" s="61"/>
      <c r="H7" s="1617" t="s">
        <v>92</v>
      </c>
      <c r="I7" s="1617"/>
      <c r="J7" s="1617"/>
      <c r="K7" s="1617"/>
      <c r="L7" s="1617"/>
    </row>
    <row r="8" spans="1:12" ht="95.45" customHeight="1" x14ac:dyDescent="0.25">
      <c r="A8" s="53">
        <v>2</v>
      </c>
      <c r="B8" s="54">
        <v>44236</v>
      </c>
      <c r="C8" s="55">
        <v>0.8354166666666667</v>
      </c>
      <c r="D8" s="54">
        <v>44236</v>
      </c>
      <c r="E8" s="55">
        <v>0.84027777777777779</v>
      </c>
      <c r="F8" s="53"/>
      <c r="G8" s="61">
        <v>0.17</v>
      </c>
      <c r="H8" s="1617" t="s">
        <v>93</v>
      </c>
      <c r="I8" s="1617"/>
      <c r="J8" s="1617"/>
      <c r="K8" s="1617"/>
      <c r="L8" s="1617"/>
    </row>
    <row r="9" spans="1:12" ht="58.9" customHeight="1" x14ac:dyDescent="0.25">
      <c r="A9" s="53">
        <v>3</v>
      </c>
      <c r="B9" s="54">
        <v>44241</v>
      </c>
      <c r="C9" s="55">
        <v>0.40625</v>
      </c>
      <c r="D9" s="54">
        <v>44241</v>
      </c>
      <c r="E9" s="55">
        <v>0.80208333333333337</v>
      </c>
      <c r="F9" s="53"/>
      <c r="G9" s="61">
        <v>9.5</v>
      </c>
      <c r="H9" s="1617" t="s">
        <v>94</v>
      </c>
      <c r="I9" s="1617"/>
      <c r="J9" s="1617"/>
      <c r="K9" s="1617"/>
      <c r="L9" s="1617"/>
    </row>
    <row r="10" spans="1:12" ht="48" customHeight="1" x14ac:dyDescent="0.25">
      <c r="A10" s="53">
        <v>4</v>
      </c>
      <c r="B10" s="54">
        <v>44247</v>
      </c>
      <c r="C10" s="55">
        <v>0.30694444444444441</v>
      </c>
      <c r="D10" s="54"/>
      <c r="E10" s="55"/>
      <c r="F10" s="53"/>
      <c r="G10" s="61"/>
      <c r="H10" s="1617" t="s">
        <v>206</v>
      </c>
      <c r="I10" s="1617"/>
      <c r="J10" s="1617"/>
      <c r="K10" s="1617"/>
      <c r="L10" s="1617"/>
    </row>
    <row r="11" spans="1:12" ht="140.25" customHeight="1" x14ac:dyDescent="0.25">
      <c r="A11" s="53">
        <v>5</v>
      </c>
      <c r="B11" s="54"/>
      <c r="C11" s="55"/>
      <c r="D11" s="54"/>
      <c r="E11" s="55"/>
      <c r="F11" s="53"/>
      <c r="G11" s="61"/>
      <c r="H11" s="1617" t="s">
        <v>678</v>
      </c>
      <c r="I11" s="1617"/>
      <c r="J11" s="1617"/>
      <c r="K11" s="1617"/>
      <c r="L11" s="1617"/>
    </row>
    <row r="12" spans="1:12" ht="169.5" customHeight="1" x14ac:dyDescent="0.25">
      <c r="A12" s="53">
        <v>6</v>
      </c>
      <c r="B12" s="54"/>
      <c r="C12" s="55"/>
      <c r="D12" s="54"/>
      <c r="E12" s="55"/>
      <c r="F12" s="53"/>
      <c r="G12" s="61"/>
      <c r="H12" s="1617" t="s">
        <v>920</v>
      </c>
      <c r="I12" s="1617"/>
      <c r="J12" s="1617"/>
      <c r="K12" s="1617"/>
      <c r="L12" s="1617"/>
    </row>
    <row r="13" spans="1:12" ht="129.75" customHeight="1" x14ac:dyDescent="0.25">
      <c r="A13" s="53">
        <v>7</v>
      </c>
      <c r="B13" s="54"/>
      <c r="C13" s="55"/>
      <c r="D13" s="54">
        <v>44583</v>
      </c>
      <c r="E13" s="55" t="s">
        <v>2005</v>
      </c>
      <c r="F13" s="53">
        <v>14.35</v>
      </c>
      <c r="G13" s="61" t="s">
        <v>142</v>
      </c>
      <c r="H13" s="1617" t="s">
        <v>2006</v>
      </c>
      <c r="I13" s="1617"/>
      <c r="J13" s="1617"/>
      <c r="K13" s="1617"/>
      <c r="L13" s="1617"/>
    </row>
    <row r="14" spans="1:12" ht="48.6" customHeight="1" x14ac:dyDescent="0.25">
      <c r="A14" s="53">
        <v>8</v>
      </c>
      <c r="B14" s="54" t="s">
        <v>2565</v>
      </c>
      <c r="C14" s="55" t="s">
        <v>2569</v>
      </c>
      <c r="D14" s="54" t="s">
        <v>2565</v>
      </c>
      <c r="E14" s="54" t="s">
        <v>2570</v>
      </c>
      <c r="F14" s="53"/>
      <c r="G14" s="61" t="s">
        <v>2571</v>
      </c>
      <c r="H14" s="1617" t="s">
        <v>2579</v>
      </c>
      <c r="I14" s="1617"/>
      <c r="J14" s="1617"/>
      <c r="K14" s="1617"/>
      <c r="L14" s="1617"/>
    </row>
    <row r="15" spans="1:12" ht="79.900000000000006" customHeight="1" x14ac:dyDescent="0.25">
      <c r="A15" s="53">
        <v>9</v>
      </c>
      <c r="B15" s="54" t="s">
        <v>3263</v>
      </c>
      <c r="C15" s="55" t="s">
        <v>2701</v>
      </c>
      <c r="D15" s="54" t="s">
        <v>3263</v>
      </c>
      <c r="E15" s="55" t="s">
        <v>2702</v>
      </c>
      <c r="F15" s="53"/>
      <c r="G15" s="61">
        <v>1.1499999999999999</v>
      </c>
      <c r="H15" s="1617" t="s">
        <v>2703</v>
      </c>
      <c r="I15" s="1617"/>
      <c r="J15" s="1617"/>
      <c r="K15" s="1617"/>
      <c r="L15" s="1617"/>
    </row>
    <row r="16" spans="1:12" ht="108.75" customHeight="1" x14ac:dyDescent="0.25">
      <c r="A16" s="53">
        <v>10</v>
      </c>
      <c r="B16" s="885">
        <v>44721</v>
      </c>
      <c r="C16" s="55" t="s">
        <v>3051</v>
      </c>
      <c r="D16" s="885">
        <v>44722</v>
      </c>
      <c r="E16" s="55" t="s">
        <v>3064</v>
      </c>
      <c r="F16" s="53"/>
      <c r="G16" s="61" t="s">
        <v>3065</v>
      </c>
      <c r="H16" s="1617" t="s">
        <v>3063</v>
      </c>
      <c r="I16" s="1617"/>
      <c r="J16" s="1617"/>
      <c r="K16" s="1617"/>
      <c r="L16" s="1617"/>
    </row>
    <row r="17" spans="1:12" ht="78" customHeight="1" x14ac:dyDescent="0.25">
      <c r="A17" s="53">
        <v>11</v>
      </c>
      <c r="B17" s="885">
        <v>44747</v>
      </c>
      <c r="C17" s="55" t="s">
        <v>3259</v>
      </c>
      <c r="D17" s="885">
        <v>44747</v>
      </c>
      <c r="E17" s="55" t="s">
        <v>3236</v>
      </c>
      <c r="F17" s="53"/>
      <c r="G17" s="61" t="s">
        <v>1209</v>
      </c>
      <c r="H17" s="1601" t="s">
        <v>3262</v>
      </c>
      <c r="I17" s="1602"/>
      <c r="J17" s="1602"/>
      <c r="K17" s="1602"/>
      <c r="L17" s="1603"/>
    </row>
    <row r="18" spans="1:12" ht="79.900000000000006" customHeight="1" x14ac:dyDescent="0.25">
      <c r="A18" s="53">
        <v>12</v>
      </c>
      <c r="B18" s="885">
        <v>44752</v>
      </c>
      <c r="C18" s="55" t="s">
        <v>3259</v>
      </c>
      <c r="D18" s="885">
        <v>44753</v>
      </c>
      <c r="E18" s="55" t="s">
        <v>3309</v>
      </c>
      <c r="F18" s="53"/>
      <c r="G18" s="61" t="s">
        <v>3310</v>
      </c>
      <c r="H18" s="1617" t="s">
        <v>3308</v>
      </c>
      <c r="I18" s="1617"/>
      <c r="J18" s="1617"/>
      <c r="K18" s="1617"/>
      <c r="L18" s="1617"/>
    </row>
    <row r="19" spans="1:12" ht="79.900000000000006" customHeight="1" x14ac:dyDescent="0.25">
      <c r="A19" s="1606">
        <v>13</v>
      </c>
      <c r="B19" s="885">
        <v>44756</v>
      </c>
      <c r="C19" s="55" t="s">
        <v>3343</v>
      </c>
      <c r="D19" s="885"/>
      <c r="E19" s="55"/>
      <c r="F19" s="53"/>
      <c r="G19" s="61" t="s">
        <v>3344</v>
      </c>
      <c r="H19" s="1639" t="s">
        <v>3355</v>
      </c>
      <c r="I19" s="1640"/>
      <c r="J19" s="1640"/>
      <c r="K19" s="1640"/>
      <c r="L19" s="1641"/>
    </row>
    <row r="20" spans="1:12" ht="79.900000000000006" customHeight="1" x14ac:dyDescent="0.25">
      <c r="A20" s="1607"/>
      <c r="B20" s="54"/>
      <c r="C20" s="55"/>
      <c r="D20" s="885">
        <v>44756</v>
      </c>
      <c r="E20" s="55" t="s">
        <v>3354</v>
      </c>
      <c r="F20" s="53"/>
      <c r="G20" s="61" t="s">
        <v>3353</v>
      </c>
      <c r="H20" s="1642"/>
      <c r="I20" s="1643"/>
      <c r="J20" s="1643"/>
      <c r="K20" s="1643"/>
      <c r="L20" s="1644"/>
    </row>
    <row r="21" spans="1:12" ht="195" customHeight="1" x14ac:dyDescent="0.25">
      <c r="A21" s="53">
        <v>14</v>
      </c>
      <c r="B21" s="885">
        <v>44817</v>
      </c>
      <c r="C21" s="55" t="s">
        <v>3801</v>
      </c>
      <c r="D21" s="885">
        <v>44817</v>
      </c>
      <c r="E21" s="53" t="s">
        <v>3802</v>
      </c>
      <c r="F21" s="53"/>
      <c r="G21" s="61" t="s">
        <v>3803</v>
      </c>
      <c r="H21" s="1617" t="s">
        <v>3800</v>
      </c>
      <c r="I21" s="1617"/>
      <c r="J21" s="1617"/>
      <c r="K21" s="1617"/>
      <c r="L21" s="1617"/>
    </row>
    <row r="22" spans="1:12" ht="108.75" customHeight="1" x14ac:dyDescent="0.25">
      <c r="A22" s="53">
        <v>15</v>
      </c>
      <c r="B22" s="885">
        <v>44822</v>
      </c>
      <c r="C22" s="53" t="s">
        <v>3832</v>
      </c>
      <c r="D22" s="885">
        <v>44823</v>
      </c>
      <c r="E22" s="55" t="s">
        <v>3841</v>
      </c>
      <c r="F22" s="55"/>
      <c r="G22" s="61" t="s">
        <v>3842</v>
      </c>
      <c r="H22" s="1617" t="s">
        <v>3856</v>
      </c>
      <c r="I22" s="1617"/>
      <c r="J22" s="1617"/>
      <c r="K22" s="1617"/>
      <c r="L22" s="1617"/>
    </row>
    <row r="23" spans="1:12" ht="102.75" customHeight="1" x14ac:dyDescent="0.25">
      <c r="A23" s="53">
        <v>16</v>
      </c>
      <c r="B23" s="885">
        <v>44866</v>
      </c>
      <c r="C23" s="53" t="s">
        <v>3994</v>
      </c>
      <c r="D23" s="53"/>
      <c r="E23" s="53"/>
      <c r="F23" s="53"/>
      <c r="G23" s="61" t="s">
        <v>4184</v>
      </c>
      <c r="H23" s="1617" t="s">
        <v>4183</v>
      </c>
      <c r="I23" s="1617"/>
      <c r="J23" s="1617"/>
      <c r="K23" s="1617"/>
      <c r="L23" s="1617"/>
    </row>
    <row r="24" spans="1:12" ht="79.900000000000006" customHeight="1" x14ac:dyDescent="0.25">
      <c r="A24" s="53">
        <v>17</v>
      </c>
      <c r="B24" s="885">
        <v>44867</v>
      </c>
      <c r="C24" s="53"/>
      <c r="D24" s="53"/>
      <c r="E24" s="53"/>
      <c r="F24" s="53"/>
      <c r="G24" s="61"/>
      <c r="H24" s="1617" t="s">
        <v>4186</v>
      </c>
      <c r="I24" s="1617"/>
      <c r="J24" s="1617"/>
      <c r="K24" s="1617"/>
      <c r="L24" s="1617"/>
    </row>
    <row r="25" spans="1:12" ht="79.900000000000006" customHeight="1" x14ac:dyDescent="0.25">
      <c r="A25" s="53">
        <v>18</v>
      </c>
      <c r="C25" s="53"/>
      <c r="D25" s="885">
        <v>44868</v>
      </c>
      <c r="E25" s="53" t="s">
        <v>644</v>
      </c>
      <c r="F25" s="53"/>
      <c r="G25" s="61" t="s">
        <v>4198</v>
      </c>
      <c r="H25" s="1617" t="s">
        <v>4197</v>
      </c>
      <c r="I25" s="1617"/>
      <c r="J25" s="1617"/>
      <c r="K25" s="1617"/>
      <c r="L25" s="1617"/>
    </row>
    <row r="26" spans="1:12" ht="79.900000000000006" customHeight="1" x14ac:dyDescent="0.25">
      <c r="A26" s="53">
        <v>19</v>
      </c>
      <c r="B26" s="30">
        <v>44913</v>
      </c>
      <c r="C26" s="53" t="s">
        <v>4563</v>
      </c>
      <c r="D26" s="53"/>
      <c r="E26" s="53"/>
      <c r="F26" s="53"/>
      <c r="G26" s="61" t="s">
        <v>4564</v>
      </c>
      <c r="H26" s="1617" t="s">
        <v>4562</v>
      </c>
      <c r="I26" s="1617"/>
      <c r="J26" s="1617"/>
      <c r="K26" s="1617"/>
      <c r="L26" s="1617"/>
    </row>
    <row r="27" spans="1:12" ht="105" customHeight="1" x14ac:dyDescent="0.25">
      <c r="A27" s="53">
        <v>20</v>
      </c>
      <c r="B27" s="53"/>
      <c r="C27" s="53"/>
      <c r="D27" s="30">
        <v>44914</v>
      </c>
      <c r="E27" s="53" t="s">
        <v>1755</v>
      </c>
      <c r="F27" s="53"/>
      <c r="G27" s="61" t="s">
        <v>4362</v>
      </c>
      <c r="H27" s="1617" t="s">
        <v>4565</v>
      </c>
      <c r="I27" s="1617"/>
      <c r="J27" s="1617"/>
      <c r="K27" s="1617"/>
      <c r="L27" s="1617"/>
    </row>
    <row r="28" spans="1:12" ht="79.900000000000006" customHeight="1" x14ac:dyDescent="0.25">
      <c r="A28" s="53">
        <v>21</v>
      </c>
      <c r="B28" s="54">
        <v>44943</v>
      </c>
      <c r="C28" s="53" t="s">
        <v>4805</v>
      </c>
      <c r="D28" s="54">
        <v>44945</v>
      </c>
      <c r="E28" s="53" t="s">
        <v>4806</v>
      </c>
      <c r="F28" s="53"/>
      <c r="G28" s="61" t="s">
        <v>4807</v>
      </c>
      <c r="H28" s="1617" t="s">
        <v>4808</v>
      </c>
      <c r="I28" s="1617"/>
      <c r="J28" s="1617"/>
      <c r="K28" s="1617"/>
      <c r="L28" s="1617"/>
    </row>
    <row r="29" spans="1:12" ht="111.75" customHeight="1" x14ac:dyDescent="0.25">
      <c r="A29" s="53">
        <v>22</v>
      </c>
      <c r="B29" s="54">
        <v>44966</v>
      </c>
      <c r="C29" s="53" t="s">
        <v>4932</v>
      </c>
      <c r="D29" s="54">
        <v>44966</v>
      </c>
      <c r="E29" s="53" t="s">
        <v>4937</v>
      </c>
      <c r="F29" s="53"/>
      <c r="G29" s="61" t="s">
        <v>4938</v>
      </c>
      <c r="H29" s="1617" t="s">
        <v>4945</v>
      </c>
      <c r="I29" s="1617"/>
      <c r="J29" s="1617"/>
      <c r="K29" s="1617"/>
      <c r="L29" s="1617"/>
    </row>
    <row r="30" spans="1:12" ht="79.900000000000006" customHeight="1" x14ac:dyDescent="0.25">
      <c r="A30" s="53">
        <v>23</v>
      </c>
      <c r="B30" s="54">
        <v>45019</v>
      </c>
      <c r="C30" s="53" t="s">
        <v>5294</v>
      </c>
      <c r="D30" s="53"/>
      <c r="E30" s="53"/>
      <c r="F30" s="53"/>
      <c r="G30" s="61"/>
      <c r="H30" s="1617" t="s">
        <v>5293</v>
      </c>
      <c r="I30" s="1617"/>
      <c r="J30" s="1617"/>
      <c r="K30" s="1617"/>
      <c r="L30" s="1617"/>
    </row>
    <row r="31" spans="1:12" ht="79.900000000000006" customHeight="1" x14ac:dyDescent="0.25">
      <c r="A31" s="53"/>
      <c r="B31" s="53"/>
      <c r="C31" s="53"/>
      <c r="D31" s="53"/>
      <c r="E31" s="53"/>
      <c r="F31" s="53"/>
      <c r="G31" s="61"/>
      <c r="H31" s="1617"/>
      <c r="I31" s="1617"/>
      <c r="J31" s="1617"/>
      <c r="K31" s="1617"/>
      <c r="L31" s="1617"/>
    </row>
    <row r="32" spans="1:12" ht="79.900000000000006" customHeight="1" x14ac:dyDescent="0.25">
      <c r="A32" s="53"/>
      <c r="B32" s="53"/>
      <c r="C32" s="53"/>
      <c r="D32" s="53"/>
      <c r="E32" s="53"/>
      <c r="F32" s="53"/>
      <c r="G32" s="61"/>
      <c r="H32" s="1617"/>
      <c r="I32" s="1617"/>
      <c r="J32" s="1617"/>
      <c r="K32" s="1617"/>
      <c r="L32" s="1617"/>
    </row>
    <row r="33" spans="1:12" ht="79.900000000000006" customHeight="1" x14ac:dyDescent="0.25">
      <c r="A33" s="53"/>
      <c r="B33" s="53"/>
      <c r="C33" s="53"/>
      <c r="D33" s="53"/>
      <c r="E33" s="53"/>
      <c r="F33" s="53"/>
      <c r="G33" s="61"/>
      <c r="H33" s="1617"/>
      <c r="I33" s="1617"/>
      <c r="J33" s="1617"/>
      <c r="K33" s="1617"/>
      <c r="L33" s="1617"/>
    </row>
    <row r="34" spans="1:12" ht="79.900000000000006" customHeight="1" x14ac:dyDescent="0.25">
      <c r="A34" s="53"/>
      <c r="B34" s="53"/>
      <c r="C34" s="53"/>
      <c r="D34" s="53"/>
      <c r="E34" s="53"/>
      <c r="F34" s="53"/>
      <c r="G34" s="61"/>
      <c r="H34" s="1617"/>
      <c r="I34" s="1617"/>
      <c r="J34" s="1617"/>
      <c r="K34" s="1617"/>
      <c r="L34" s="1617"/>
    </row>
    <row r="35" spans="1:12" ht="79.900000000000006" customHeight="1" x14ac:dyDescent="0.25">
      <c r="A35" s="53"/>
      <c r="B35" s="53"/>
      <c r="C35" s="53"/>
      <c r="D35" s="53"/>
      <c r="E35" s="53"/>
      <c r="F35" s="53"/>
      <c r="G35" s="61"/>
      <c r="H35" s="1617"/>
      <c r="I35" s="1617"/>
      <c r="J35" s="1617"/>
      <c r="K35" s="1617"/>
      <c r="L35" s="1617"/>
    </row>
    <row r="36" spans="1:12" ht="79.900000000000006" customHeight="1" x14ac:dyDescent="0.25">
      <c r="A36" s="53"/>
      <c r="B36" s="53"/>
      <c r="C36" s="53"/>
      <c r="D36" s="53"/>
      <c r="E36" s="53"/>
      <c r="F36" s="53"/>
      <c r="G36" s="61"/>
      <c r="H36" s="1617"/>
      <c r="I36" s="1617"/>
      <c r="J36" s="1617"/>
      <c r="K36" s="1617"/>
      <c r="L36" s="1617"/>
    </row>
    <row r="37" spans="1:12" ht="79.900000000000006" customHeight="1" x14ac:dyDescent="0.25">
      <c r="A37" s="53"/>
      <c r="B37" s="53"/>
      <c r="C37" s="53"/>
      <c r="D37" s="53"/>
      <c r="E37" s="53"/>
      <c r="F37" s="53"/>
      <c r="G37" s="61"/>
      <c r="H37" s="1617"/>
      <c r="I37" s="1617"/>
      <c r="J37" s="1617"/>
      <c r="K37" s="1617"/>
      <c r="L37" s="1617"/>
    </row>
    <row r="38" spans="1:12" x14ac:dyDescent="0.25">
      <c r="A38" s="53"/>
      <c r="B38" s="53"/>
      <c r="C38" s="53"/>
      <c r="D38" s="53"/>
      <c r="E38" s="53"/>
      <c r="F38" s="53"/>
      <c r="G38" s="53"/>
      <c r="H38" s="1617"/>
      <c r="I38" s="1617"/>
      <c r="J38" s="1617"/>
      <c r="K38" s="1617"/>
      <c r="L38" s="1617"/>
    </row>
  </sheetData>
  <mergeCells count="34">
    <mergeCell ref="H16:L16"/>
    <mergeCell ref="A5:L5"/>
    <mergeCell ref="H6:L6"/>
    <mergeCell ref="H7:L7"/>
    <mergeCell ref="H8:L8"/>
    <mergeCell ref="H9:L9"/>
    <mergeCell ref="H10:L10"/>
    <mergeCell ref="H11:L11"/>
    <mergeCell ref="H12:L12"/>
    <mergeCell ref="H13:L13"/>
    <mergeCell ref="H14:L14"/>
    <mergeCell ref="H15:L15"/>
    <mergeCell ref="H17:L17"/>
    <mergeCell ref="H18:L18"/>
    <mergeCell ref="H21:L21"/>
    <mergeCell ref="H22:L22"/>
    <mergeCell ref="H23:L23"/>
    <mergeCell ref="H38:L38"/>
    <mergeCell ref="H29:L29"/>
    <mergeCell ref="H30:L30"/>
    <mergeCell ref="H31:L31"/>
    <mergeCell ref="H32:L32"/>
    <mergeCell ref="H33:L33"/>
    <mergeCell ref="H34:L34"/>
    <mergeCell ref="A19:A20"/>
    <mergeCell ref="H19:L20"/>
    <mergeCell ref="H35:L35"/>
    <mergeCell ref="H36:L36"/>
    <mergeCell ref="H37:L37"/>
    <mergeCell ref="H28:L28"/>
    <mergeCell ref="H24:L24"/>
    <mergeCell ref="H25:L25"/>
    <mergeCell ref="H26:L26"/>
    <mergeCell ref="H27:L27"/>
  </mergeCells>
  <pageMargins left="0.7" right="0.7" top="0.75" bottom="0.75" header="0.3" footer="0.3"/>
  <pageSetup paperSize="9" orientation="portrait" horizontalDpi="300" verticalDpi="300"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CY957"/>
  <sheetViews>
    <sheetView showGridLines="0" zoomScale="70" zoomScaleNormal="70" workbookViewId="0">
      <pane xSplit="2" ySplit="14" topLeftCell="C633" activePane="bottomRight" state="frozen"/>
      <selection pane="topRight" activeCell="C1" sqref="C1"/>
      <selection pane="bottomLeft" activeCell="A15" sqref="A15"/>
      <selection pane="bottomRight" activeCell="B638" sqref="B638"/>
    </sheetView>
  </sheetViews>
  <sheetFormatPr defaultRowHeight="15" x14ac:dyDescent="0.25"/>
  <cols>
    <col min="1" max="1" width="0.28515625" customWidth="1"/>
    <col min="2" max="2" width="20.7109375" customWidth="1"/>
    <col min="3" max="3" width="21.42578125" style="162" customWidth="1"/>
    <col min="4" max="4" width="10.28515625" style="56" customWidth="1"/>
    <col min="5" max="5" width="16.5703125" style="51" customWidth="1"/>
    <col min="6" max="6" width="9.42578125" style="51" customWidth="1"/>
    <col min="7" max="7" width="15.5703125" style="51" bestFit="1" customWidth="1"/>
    <col min="8" max="8" width="12.28515625" style="51" bestFit="1" customWidth="1"/>
    <col min="9" max="9" width="30.42578125" style="162" bestFit="1" customWidth="1"/>
    <col min="10" max="10" width="10" style="51" customWidth="1"/>
    <col min="11" max="11" width="23.140625" style="51" customWidth="1"/>
    <col min="12" max="12" width="10.85546875" style="162" customWidth="1"/>
    <col min="13" max="13" width="8.42578125" style="162" customWidth="1"/>
    <col min="14" max="14" width="12.7109375" style="162" customWidth="1"/>
    <col min="15" max="15" width="12.42578125" style="162" customWidth="1"/>
    <col min="16" max="16" width="18.140625" style="162" customWidth="1"/>
    <col min="17" max="17" width="18.28515625" style="162" customWidth="1"/>
    <col min="18" max="18" width="22.7109375" style="162" customWidth="1"/>
    <col min="19" max="19" width="18.28515625" style="162" customWidth="1"/>
    <col min="20" max="20" width="15.5703125" style="162" customWidth="1"/>
    <col min="21" max="21" width="34.140625" style="162" bestFit="1" customWidth="1"/>
    <col min="22" max="22" width="71.5703125" customWidth="1"/>
    <col min="23" max="23" width="10.5703125" style="1" customWidth="1"/>
    <col min="24" max="90" width="8.7109375" style="1"/>
  </cols>
  <sheetData>
    <row r="1" spans="1:103" x14ac:dyDescent="0.25">
      <c r="B1" s="1664"/>
      <c r="C1" s="1665"/>
      <c r="D1" s="1665"/>
      <c r="E1" s="1665"/>
      <c r="F1" s="1665"/>
      <c r="G1" s="1665"/>
      <c r="H1" s="1665"/>
      <c r="I1" s="1665"/>
      <c r="J1" s="1665"/>
      <c r="K1" s="1665"/>
      <c r="L1" s="1665"/>
      <c r="M1" s="1665"/>
      <c r="N1" s="1665"/>
      <c r="O1" s="1665"/>
      <c r="P1" s="1665"/>
      <c r="Q1" s="1665"/>
      <c r="R1" s="1665"/>
      <c r="S1" s="1665"/>
      <c r="T1" s="1665"/>
      <c r="U1" s="1665"/>
      <c r="V1" s="1666"/>
    </row>
    <row r="2" spans="1:103" x14ac:dyDescent="0.25">
      <c r="B2" s="1667"/>
      <c r="C2" s="1668"/>
      <c r="D2" s="1668"/>
      <c r="E2" s="1668"/>
      <c r="F2" s="1668"/>
      <c r="G2" s="1668"/>
      <c r="H2" s="1668"/>
      <c r="I2" s="1668"/>
      <c r="J2" s="1668"/>
      <c r="K2" s="1668"/>
      <c r="L2" s="1668"/>
      <c r="M2" s="1668"/>
      <c r="N2" s="1668"/>
      <c r="O2" s="1668"/>
      <c r="P2" s="1668"/>
      <c r="Q2" s="1668"/>
      <c r="R2" s="1668"/>
      <c r="S2" s="1668"/>
      <c r="T2" s="1668"/>
      <c r="U2" s="1668"/>
      <c r="V2" s="1669"/>
    </row>
    <row r="3" spans="1:103" ht="9.75" customHeight="1" x14ac:dyDescent="0.25">
      <c r="B3" s="1667"/>
      <c r="C3" s="1668"/>
      <c r="D3" s="1668"/>
      <c r="E3" s="1668"/>
      <c r="F3" s="1668"/>
      <c r="G3" s="1668"/>
      <c r="H3" s="1668"/>
      <c r="I3" s="1668"/>
      <c r="J3" s="1668"/>
      <c r="K3" s="1668"/>
      <c r="L3" s="1668"/>
      <c r="M3" s="1668"/>
      <c r="N3" s="1668"/>
      <c r="O3" s="1668"/>
      <c r="P3" s="1668"/>
      <c r="Q3" s="1668"/>
      <c r="R3" s="1668"/>
      <c r="S3" s="1668"/>
      <c r="T3" s="1668"/>
      <c r="U3" s="1668"/>
      <c r="V3" s="1669"/>
    </row>
    <row r="4" spans="1:103" s="5" customFormat="1" ht="33" x14ac:dyDescent="0.25">
      <c r="A4"/>
      <c r="B4" s="2"/>
      <c r="C4" s="62" t="s">
        <v>0</v>
      </c>
      <c r="D4" s="63" t="s">
        <v>1</v>
      </c>
      <c r="E4" s="64"/>
      <c r="F4" s="64"/>
      <c r="G4" s="163" t="s">
        <v>2</v>
      </c>
      <c r="H4" s="65">
        <v>135</v>
      </c>
      <c r="I4" s="1544" t="s">
        <v>3</v>
      </c>
      <c r="J4" s="1544"/>
      <c r="K4" s="1544"/>
      <c r="L4" s="66">
        <v>25.7</v>
      </c>
      <c r="M4" s="1545" t="s">
        <v>4</v>
      </c>
      <c r="N4" s="1545"/>
      <c r="O4" s="67">
        <v>12.6</v>
      </c>
      <c r="P4" s="158" t="s">
        <v>5</v>
      </c>
      <c r="Q4" s="164" t="s">
        <v>3311</v>
      </c>
      <c r="R4" s="1561" t="s">
        <v>4625</v>
      </c>
      <c r="S4" s="1562"/>
      <c r="T4" s="68"/>
      <c r="U4" s="69" t="s">
        <v>6</v>
      </c>
      <c r="V4" s="70" t="s">
        <v>156</v>
      </c>
      <c r="W4" s="3"/>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row>
    <row r="5" spans="1:103" s="5" customFormat="1" ht="12.95" customHeight="1" x14ac:dyDescent="0.25">
      <c r="A5"/>
      <c r="B5" s="2"/>
      <c r="C5" s="71"/>
      <c r="D5" s="71"/>
      <c r="E5" s="64"/>
      <c r="F5" s="64"/>
      <c r="G5" s="71"/>
      <c r="H5" s="72"/>
      <c r="I5" s="1546"/>
      <c r="J5" s="1546"/>
      <c r="K5" s="1546"/>
      <c r="L5" s="1546"/>
      <c r="M5" s="1546"/>
      <c r="N5" s="1546"/>
      <c r="O5" s="1546"/>
      <c r="P5" s="1546"/>
      <c r="Q5" s="1547"/>
      <c r="R5" s="1091"/>
      <c r="S5" s="1092"/>
      <c r="T5" s="73"/>
      <c r="U5" s="73"/>
      <c r="V5" s="74"/>
      <c r="W5" s="6"/>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row>
    <row r="6" spans="1:103" s="5" customFormat="1" ht="33" x14ac:dyDescent="0.25">
      <c r="A6"/>
      <c r="B6" s="2"/>
      <c r="C6" s="75" t="s">
        <v>8</v>
      </c>
      <c r="D6" s="63" t="s">
        <v>73</v>
      </c>
      <c r="E6" s="64"/>
      <c r="F6" s="64"/>
      <c r="G6" s="163" t="s">
        <v>9</v>
      </c>
      <c r="H6" s="65" t="s">
        <v>10</v>
      </c>
      <c r="I6" s="1548" t="s">
        <v>11</v>
      </c>
      <c r="J6" s="1548"/>
      <c r="K6" s="1548"/>
      <c r="L6" s="63">
        <v>5</v>
      </c>
      <c r="M6" s="1549" t="s">
        <v>12</v>
      </c>
      <c r="N6" s="1549"/>
      <c r="O6" s="76" t="s">
        <v>13</v>
      </c>
      <c r="P6" s="158" t="s">
        <v>14</v>
      </c>
      <c r="Q6" s="164" t="s">
        <v>13</v>
      </c>
      <c r="R6" s="1561" t="s">
        <v>4626</v>
      </c>
      <c r="S6" s="1562"/>
      <c r="T6" s="68"/>
      <c r="U6" s="69" t="s">
        <v>15</v>
      </c>
      <c r="V6" s="77" t="s">
        <v>16</v>
      </c>
      <c r="W6" s="7"/>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row>
    <row r="7" spans="1:103" s="5" customFormat="1" ht="16.5" x14ac:dyDescent="0.25">
      <c r="A7"/>
      <c r="B7" s="2"/>
      <c r="C7" s="78"/>
      <c r="D7" s="78"/>
      <c r="E7" s="79"/>
      <c r="F7" s="79"/>
      <c r="G7" s="78"/>
      <c r="H7" s="78"/>
      <c r="I7" s="80" t="s">
        <v>17</v>
      </c>
      <c r="J7" s="81">
        <v>1</v>
      </c>
      <c r="K7" s="78"/>
      <c r="L7" s="78"/>
      <c r="M7" s="82"/>
      <c r="N7" s="83"/>
      <c r="O7" s="73"/>
      <c r="P7" s="73"/>
      <c r="Q7" s="73"/>
      <c r="R7" s="73"/>
      <c r="S7" s="73"/>
      <c r="T7" s="73"/>
      <c r="U7" s="73"/>
      <c r="V7" s="73"/>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row>
    <row r="8" spans="1:103" s="5" customFormat="1" ht="16.5" x14ac:dyDescent="0.25">
      <c r="A8"/>
      <c r="B8" s="2"/>
      <c r="C8" s="161" t="s">
        <v>18</v>
      </c>
      <c r="D8" s="1552" t="s">
        <v>19</v>
      </c>
      <c r="E8" s="1553"/>
      <c r="F8" s="84"/>
      <c r="G8" s="158" t="s">
        <v>20</v>
      </c>
      <c r="H8" s="164">
        <v>4.5599999999999996</v>
      </c>
      <c r="I8" s="1549" t="s">
        <v>21</v>
      </c>
      <c r="J8" s="1559" t="s">
        <v>225</v>
      </c>
      <c r="K8" s="1559"/>
      <c r="L8" s="1559"/>
      <c r="M8" s="1560" t="s">
        <v>22</v>
      </c>
      <c r="N8" s="1549"/>
      <c r="O8" s="164" t="s">
        <v>23</v>
      </c>
      <c r="P8" s="160" t="s">
        <v>24</v>
      </c>
      <c r="Q8" s="164" t="s">
        <v>25</v>
      </c>
      <c r="R8" s="157"/>
      <c r="S8" s="157"/>
      <c r="T8" s="85"/>
      <c r="U8" s="69" t="s">
        <v>26</v>
      </c>
      <c r="V8" s="86">
        <v>44236</v>
      </c>
      <c r="W8" s="8"/>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row>
    <row r="9" spans="1:103" s="5" customFormat="1" ht="33" x14ac:dyDescent="0.25">
      <c r="A9"/>
      <c r="B9" s="2"/>
      <c r="C9" s="87" t="s">
        <v>27</v>
      </c>
      <c r="D9" s="1552" t="s">
        <v>28</v>
      </c>
      <c r="E9" s="1553"/>
      <c r="F9" s="84"/>
      <c r="G9" s="88"/>
      <c r="H9" s="89"/>
      <c r="I9" s="1549"/>
      <c r="J9" s="1559"/>
      <c r="K9" s="1559"/>
      <c r="L9" s="1559"/>
      <c r="M9" s="1555" t="s">
        <v>29</v>
      </c>
      <c r="N9" s="1556"/>
      <c r="O9" s="65">
        <v>1550</v>
      </c>
      <c r="P9" s="160" t="s">
        <v>30</v>
      </c>
      <c r="Q9" s="164"/>
      <c r="R9" s="157"/>
      <c r="S9" s="157"/>
      <c r="T9" s="81"/>
      <c r="U9" s="69" t="s">
        <v>31</v>
      </c>
      <c r="V9" s="86">
        <v>44239</v>
      </c>
      <c r="W9" s="8"/>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row>
    <row r="10" spans="1:103" s="5" customFormat="1" ht="28.5" customHeight="1" x14ac:dyDescent="0.25">
      <c r="A10"/>
      <c r="B10" s="2"/>
      <c r="C10" s="62" t="s">
        <v>32</v>
      </c>
      <c r="D10" s="1552" t="s">
        <v>33</v>
      </c>
      <c r="E10" s="1553"/>
      <c r="F10" s="90"/>
      <c r="G10" s="91"/>
      <c r="H10" s="92"/>
      <c r="I10" s="1549" t="s">
        <v>34</v>
      </c>
      <c r="J10" s="1554" t="s">
        <v>35</v>
      </c>
      <c r="K10" s="1554"/>
      <c r="L10" s="1554"/>
      <c r="M10" s="1555" t="s">
        <v>36</v>
      </c>
      <c r="N10" s="1556"/>
      <c r="O10" s="159" t="s">
        <v>37</v>
      </c>
      <c r="P10" s="1552" t="s">
        <v>4627</v>
      </c>
      <c r="Q10" s="1553"/>
      <c r="R10" s="93"/>
      <c r="S10" s="93"/>
      <c r="T10" s="93"/>
      <c r="U10" s="69" t="s">
        <v>38</v>
      </c>
      <c r="V10" s="86" t="s">
        <v>226</v>
      </c>
      <c r="W10" s="9"/>
      <c r="X10" s="4"/>
      <c r="Y10" s="4"/>
      <c r="Z10" s="4"/>
      <c r="AA10" s="4"/>
      <c r="AB10" s="4"/>
      <c r="AC10" s="4"/>
      <c r="AD10" s="4"/>
      <c r="AE10" s="4"/>
      <c r="AF10" s="4"/>
      <c r="AG10" s="4"/>
      <c r="AH10" s="4"/>
      <c r="AI10" s="4"/>
      <c r="AJ10" s="4"/>
      <c r="AK10" s="4"/>
      <c r="AL10" s="4"/>
      <c r="AM10" s="4"/>
      <c r="AN10" s="4"/>
      <c r="AO10" s="4"/>
      <c r="AP10" s="4"/>
      <c r="AQ10" s="4"/>
      <c r="AR10" s="4"/>
      <c r="AS10" s="4"/>
      <c r="AT10" s="4"/>
      <c r="AU10" s="4"/>
    </row>
    <row r="11" spans="1:103" s="5" customFormat="1" ht="33" x14ac:dyDescent="0.25">
      <c r="B11" s="2"/>
      <c r="C11" s="158" t="s">
        <v>39</v>
      </c>
      <c r="D11" s="1557" t="s">
        <v>189</v>
      </c>
      <c r="E11" s="1558"/>
      <c r="F11" s="94"/>
      <c r="G11" s="92"/>
      <c r="H11" s="92"/>
      <c r="I11" s="1549"/>
      <c r="J11" s="1554"/>
      <c r="K11" s="1554"/>
      <c r="L11" s="1554"/>
      <c r="M11" s="92"/>
      <c r="N11" s="92"/>
      <c r="O11" s="92"/>
      <c r="P11" s="92"/>
      <c r="Q11" s="92"/>
      <c r="R11" s="92"/>
      <c r="S11" s="92"/>
      <c r="T11" s="92"/>
      <c r="U11" s="69" t="s">
        <v>40</v>
      </c>
      <c r="V11" s="65" t="s">
        <v>10</v>
      </c>
      <c r="W11" s="4"/>
      <c r="X11" s="4"/>
      <c r="Y11" s="4"/>
      <c r="Z11" s="4"/>
      <c r="AA11" s="4"/>
      <c r="AB11" s="4"/>
      <c r="AC11" s="4"/>
      <c r="AD11" s="4"/>
      <c r="AE11" s="4"/>
      <c r="AF11" s="4"/>
      <c r="AG11" s="4"/>
      <c r="AH11" s="4"/>
      <c r="AI11" s="4"/>
      <c r="AJ11" s="4"/>
      <c r="AK11" s="4"/>
      <c r="AL11" s="4"/>
      <c r="AM11" s="4"/>
      <c r="AN11" s="4"/>
      <c r="AO11" s="4"/>
      <c r="AP11" s="4"/>
      <c r="AQ11" s="4"/>
      <c r="AR11" s="4"/>
      <c r="AS11" s="4"/>
      <c r="AT11" s="4"/>
      <c r="AU11" s="4"/>
    </row>
    <row r="12" spans="1:103" s="5" customFormat="1" ht="18" customHeight="1" thickBot="1" x14ac:dyDescent="0.3">
      <c r="B12" s="10"/>
      <c r="C12" s="11"/>
      <c r="D12" s="11"/>
      <c r="E12" s="1663"/>
      <c r="F12" s="1663"/>
      <c r="G12" s="1663"/>
      <c r="H12" s="1663"/>
      <c r="I12" s="1663"/>
      <c r="J12" s="1663"/>
      <c r="K12" s="165"/>
      <c r="L12" s="165"/>
      <c r="M12" s="11"/>
      <c r="N12" s="12"/>
      <c r="O12" s="1672"/>
      <c r="P12" s="1672"/>
      <c r="Q12" s="13"/>
      <c r="R12" s="13"/>
      <c r="S12" s="13"/>
      <c r="T12" s="13"/>
      <c r="U12" s="13"/>
      <c r="V12" s="14"/>
      <c r="W12" s="15"/>
      <c r="X12" s="4"/>
      <c r="Y12" s="4"/>
      <c r="Z12" s="4"/>
      <c r="AA12" s="4"/>
      <c r="AB12" s="4"/>
      <c r="AC12" s="4"/>
      <c r="AD12" s="4"/>
      <c r="AE12" s="4"/>
      <c r="AF12" s="4"/>
      <c r="AG12" s="4"/>
      <c r="AH12" s="4"/>
      <c r="AI12" s="4"/>
      <c r="AJ12" s="4"/>
      <c r="AK12" s="4"/>
      <c r="AL12" s="4"/>
      <c r="AM12" s="4"/>
      <c r="AN12" s="4"/>
      <c r="AO12" s="4"/>
      <c r="AP12" s="4"/>
      <c r="AQ12" s="4"/>
      <c r="AR12" s="4"/>
      <c r="AS12" s="4"/>
      <c r="AT12" s="4"/>
      <c r="AU12" s="4"/>
    </row>
    <row r="13" spans="1:103" s="17" customFormat="1" ht="40.5" customHeight="1" thickBot="1" x14ac:dyDescent="0.3">
      <c r="A13" s="278"/>
      <c r="B13" s="1563" t="s">
        <v>41</v>
      </c>
      <c r="C13" s="279" t="s">
        <v>42</v>
      </c>
      <c r="D13" s="280" t="s">
        <v>43</v>
      </c>
      <c r="E13" s="281" t="s">
        <v>44</v>
      </c>
      <c r="F13" s="282" t="s">
        <v>45</v>
      </c>
      <c r="G13" s="283" t="s">
        <v>46</v>
      </c>
      <c r="H13" s="284" t="s">
        <v>47</v>
      </c>
      <c r="I13" s="283" t="s">
        <v>48</v>
      </c>
      <c r="J13" s="285" t="s">
        <v>49</v>
      </c>
      <c r="K13" s="286" t="s">
        <v>50</v>
      </c>
      <c r="L13" s="287" t="s">
        <v>51</v>
      </c>
      <c r="M13" s="288" t="s">
        <v>52</v>
      </c>
      <c r="N13" s="289" t="s">
        <v>53</v>
      </c>
      <c r="O13" s="1531" t="s">
        <v>54</v>
      </c>
      <c r="P13" s="1531" t="s">
        <v>55</v>
      </c>
      <c r="Q13" s="1533" t="s">
        <v>56</v>
      </c>
      <c r="R13" s="290" t="s">
        <v>138</v>
      </c>
      <c r="S13" s="291" t="s">
        <v>136</v>
      </c>
      <c r="T13" s="1531" t="s">
        <v>57</v>
      </c>
      <c r="U13" s="1550" t="s">
        <v>58</v>
      </c>
      <c r="V13" s="292" t="s">
        <v>4056</v>
      </c>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row>
    <row r="14" spans="1:103" s="19" customFormat="1" ht="39.75" customHeight="1" thickBot="1" x14ac:dyDescent="0.3">
      <c r="A14" s="294"/>
      <c r="B14" s="1594"/>
      <c r="C14" s="295" t="s">
        <v>59</v>
      </c>
      <c r="D14" s="296" t="s">
        <v>60</v>
      </c>
      <c r="E14" s="297" t="s">
        <v>61</v>
      </c>
      <c r="F14" s="297" t="s">
        <v>61</v>
      </c>
      <c r="G14" s="298" t="s">
        <v>62</v>
      </c>
      <c r="H14" s="299" t="s">
        <v>62</v>
      </c>
      <c r="I14" s="300" t="s">
        <v>63</v>
      </c>
      <c r="J14" s="296" t="s">
        <v>63</v>
      </c>
      <c r="K14" s="301" t="s">
        <v>939</v>
      </c>
      <c r="L14" s="300" t="s">
        <v>64</v>
      </c>
      <c r="M14" s="302" t="s">
        <v>65</v>
      </c>
      <c r="N14" s="303" t="s">
        <v>63</v>
      </c>
      <c r="O14" s="1532"/>
      <c r="P14" s="1532"/>
      <c r="Q14" s="1534"/>
      <c r="R14" s="297" t="s">
        <v>61</v>
      </c>
      <c r="S14" s="304" t="s">
        <v>137</v>
      </c>
      <c r="T14" s="1532"/>
      <c r="U14" s="1551"/>
      <c r="V14" s="305"/>
      <c r="W14" s="1"/>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row>
    <row r="15" spans="1:103" ht="24.95" customHeight="1" x14ac:dyDescent="0.25">
      <c r="A15" s="271"/>
      <c r="B15" s="1670">
        <v>44236</v>
      </c>
      <c r="C15" s="308">
        <v>0.82847222222222217</v>
      </c>
      <c r="D15" s="309">
        <v>35</v>
      </c>
      <c r="E15" s="310">
        <v>10</v>
      </c>
      <c r="F15" s="311">
        <v>13.5</v>
      </c>
      <c r="G15" s="310">
        <v>2162.1999999999998</v>
      </c>
      <c r="H15" s="312">
        <v>2163.5</v>
      </c>
      <c r="I15" s="312">
        <v>94.5</v>
      </c>
      <c r="J15" s="312">
        <v>94.9</v>
      </c>
      <c r="K15" s="308" t="s">
        <v>160</v>
      </c>
      <c r="L15" s="308" t="s">
        <v>10</v>
      </c>
      <c r="M15" s="308" t="s">
        <v>80</v>
      </c>
      <c r="N15" s="147" t="s">
        <v>142</v>
      </c>
      <c r="O15" s="148"/>
      <c r="P15" s="148"/>
      <c r="Q15" s="148"/>
      <c r="R15" s="148"/>
      <c r="S15" s="148"/>
      <c r="T15" s="149" t="s">
        <v>84</v>
      </c>
      <c r="U15" s="148" t="s">
        <v>82</v>
      </c>
      <c r="V15" s="313" t="s">
        <v>161</v>
      </c>
      <c r="W15" s="18"/>
    </row>
    <row r="16" spans="1:103" s="1" customFormat="1" ht="24.95" customHeight="1" x14ac:dyDescent="0.25">
      <c r="A16" s="273"/>
      <c r="B16" s="1671"/>
      <c r="C16" s="145">
        <v>0.84027777777777779</v>
      </c>
      <c r="D16" s="146">
        <v>35</v>
      </c>
      <c r="E16" s="312">
        <v>9.4</v>
      </c>
      <c r="F16" s="314">
        <v>13</v>
      </c>
      <c r="G16" s="312">
        <v>2157.9</v>
      </c>
      <c r="H16" s="312">
        <v>2160</v>
      </c>
      <c r="I16" s="312">
        <v>95.1</v>
      </c>
      <c r="J16" s="312">
        <v>95.1</v>
      </c>
      <c r="K16" s="145" t="s">
        <v>163</v>
      </c>
      <c r="L16" s="145" t="s">
        <v>10</v>
      </c>
      <c r="M16" s="145" t="s">
        <v>10</v>
      </c>
      <c r="N16" s="147" t="s">
        <v>142</v>
      </c>
      <c r="O16" s="148"/>
      <c r="P16" s="148"/>
      <c r="Q16" s="148"/>
      <c r="R16" s="148"/>
      <c r="S16" s="148"/>
      <c r="T16" s="149" t="s">
        <v>84</v>
      </c>
      <c r="U16" s="148" t="s">
        <v>82</v>
      </c>
      <c r="V16" s="315" t="s">
        <v>162</v>
      </c>
      <c r="W16" s="18"/>
      <c r="CM16"/>
      <c r="CN16"/>
      <c r="CO16"/>
      <c r="CP16"/>
      <c r="CQ16"/>
      <c r="CR16"/>
      <c r="CS16"/>
      <c r="CT16"/>
      <c r="CU16"/>
      <c r="CV16"/>
      <c r="CW16"/>
      <c r="CX16"/>
      <c r="CY16"/>
    </row>
    <row r="17" spans="1:103" s="1" customFormat="1" ht="24.95" customHeight="1" x14ac:dyDescent="0.25">
      <c r="A17" s="273"/>
      <c r="B17" s="144">
        <v>44236</v>
      </c>
      <c r="C17" s="145">
        <v>0.85416666666666663</v>
      </c>
      <c r="D17" s="146">
        <v>35</v>
      </c>
      <c r="E17" s="147">
        <v>7.5</v>
      </c>
      <c r="F17" s="147">
        <v>11.6</v>
      </c>
      <c r="G17" s="147">
        <v>1509</v>
      </c>
      <c r="H17" s="147">
        <v>2180</v>
      </c>
      <c r="I17" s="147">
        <v>95.4</v>
      </c>
      <c r="J17" s="147">
        <v>96</v>
      </c>
      <c r="K17" s="147" t="s">
        <v>164</v>
      </c>
      <c r="L17" s="147" t="s">
        <v>10</v>
      </c>
      <c r="M17" s="145" t="s">
        <v>10</v>
      </c>
      <c r="N17" s="147" t="s">
        <v>142</v>
      </c>
      <c r="O17" s="148"/>
      <c r="P17" s="148"/>
      <c r="Q17" s="148"/>
      <c r="R17" s="148"/>
      <c r="S17" s="148"/>
      <c r="T17" s="149" t="s">
        <v>84</v>
      </c>
      <c r="U17" s="148" t="s">
        <v>82</v>
      </c>
      <c r="V17" s="341"/>
      <c r="W17" s="18"/>
      <c r="CM17"/>
      <c r="CN17"/>
      <c r="CO17"/>
      <c r="CP17"/>
      <c r="CQ17"/>
      <c r="CR17"/>
      <c r="CS17"/>
      <c r="CT17"/>
      <c r="CU17"/>
      <c r="CV17"/>
      <c r="CW17"/>
      <c r="CX17"/>
      <c r="CY17"/>
    </row>
    <row r="18" spans="1:103" s="1" customFormat="1" ht="24.95" customHeight="1" x14ac:dyDescent="0.25">
      <c r="A18" s="273"/>
      <c r="B18" s="144">
        <v>44237</v>
      </c>
      <c r="C18" s="145">
        <v>0.25</v>
      </c>
      <c r="D18" s="146">
        <v>40</v>
      </c>
      <c r="E18" s="147">
        <v>8.8000000000000007</v>
      </c>
      <c r="F18" s="147">
        <v>12.7</v>
      </c>
      <c r="G18" s="147">
        <v>1390</v>
      </c>
      <c r="H18" s="147">
        <v>2243</v>
      </c>
      <c r="I18" s="147">
        <v>100.1</v>
      </c>
      <c r="J18" s="147">
        <v>101.2</v>
      </c>
      <c r="K18" s="147" t="s">
        <v>165</v>
      </c>
      <c r="L18" s="147" t="s">
        <v>10</v>
      </c>
      <c r="M18" s="147">
        <v>85</v>
      </c>
      <c r="N18" s="147">
        <v>37</v>
      </c>
      <c r="O18" s="148"/>
      <c r="P18" s="148"/>
      <c r="Q18" s="148"/>
      <c r="R18" s="148" t="s">
        <v>166</v>
      </c>
      <c r="S18" s="148">
        <v>40.200000000000003</v>
      </c>
      <c r="T18" s="149" t="s">
        <v>81</v>
      </c>
      <c r="U18" s="148" t="s">
        <v>82</v>
      </c>
      <c r="V18" s="341"/>
      <c r="W18" s="18"/>
      <c r="CM18"/>
      <c r="CN18"/>
      <c r="CO18"/>
      <c r="CP18"/>
      <c r="CQ18"/>
      <c r="CR18"/>
      <c r="CS18"/>
      <c r="CT18"/>
      <c r="CU18"/>
      <c r="CV18"/>
      <c r="CW18"/>
      <c r="CX18"/>
      <c r="CY18"/>
    </row>
    <row r="19" spans="1:103" s="1" customFormat="1" ht="24.95" customHeight="1" x14ac:dyDescent="0.25">
      <c r="A19" s="273"/>
      <c r="B19" s="144">
        <v>44238</v>
      </c>
      <c r="C19" s="145">
        <v>0.25</v>
      </c>
      <c r="D19" s="146">
        <v>41</v>
      </c>
      <c r="E19" s="147">
        <v>8.1</v>
      </c>
      <c r="F19" s="147">
        <v>12.2</v>
      </c>
      <c r="G19" s="147">
        <v>1272</v>
      </c>
      <c r="H19" s="147">
        <v>2174</v>
      </c>
      <c r="I19" s="147">
        <v>103.1</v>
      </c>
      <c r="J19" s="147">
        <v>104.3</v>
      </c>
      <c r="K19" s="147" t="s">
        <v>171</v>
      </c>
      <c r="L19" s="147" t="s">
        <v>10</v>
      </c>
      <c r="M19" s="147">
        <v>40</v>
      </c>
      <c r="N19" s="147">
        <v>36</v>
      </c>
      <c r="O19" s="148"/>
      <c r="P19" s="148"/>
      <c r="Q19" s="148"/>
      <c r="R19" s="148" t="s">
        <v>172</v>
      </c>
      <c r="S19" s="148">
        <v>36.1</v>
      </c>
      <c r="T19" s="149" t="s">
        <v>84</v>
      </c>
      <c r="U19" s="148" t="s">
        <v>82</v>
      </c>
      <c r="V19" s="341"/>
      <c r="W19" s="18"/>
      <c r="CM19"/>
      <c r="CN19"/>
      <c r="CO19"/>
      <c r="CP19"/>
      <c r="CQ19"/>
      <c r="CR19"/>
      <c r="CS19"/>
      <c r="CT19"/>
      <c r="CU19"/>
      <c r="CV19"/>
      <c r="CW19"/>
      <c r="CX19"/>
      <c r="CY19"/>
    </row>
    <row r="20" spans="1:103" s="1" customFormat="1" ht="24.95" customHeight="1" x14ac:dyDescent="0.25">
      <c r="A20" s="273"/>
      <c r="B20" s="144">
        <v>44239</v>
      </c>
      <c r="C20" s="145">
        <v>0.27083333333333331</v>
      </c>
      <c r="D20" s="146">
        <v>46</v>
      </c>
      <c r="E20" s="147">
        <v>8.9</v>
      </c>
      <c r="F20" s="147">
        <v>12.3</v>
      </c>
      <c r="G20" s="147">
        <v>1054</v>
      </c>
      <c r="H20" s="147">
        <v>1865</v>
      </c>
      <c r="I20" s="147">
        <v>104.3</v>
      </c>
      <c r="J20" s="147">
        <v>106.3</v>
      </c>
      <c r="K20" s="147" t="s">
        <v>173</v>
      </c>
      <c r="L20" s="147" t="s">
        <v>10</v>
      </c>
      <c r="M20" s="420">
        <v>150</v>
      </c>
      <c r="N20" s="147">
        <v>30</v>
      </c>
      <c r="O20" s="148"/>
      <c r="P20" s="148"/>
      <c r="Q20" s="148"/>
      <c r="R20" s="148" t="s">
        <v>174</v>
      </c>
      <c r="S20" s="148">
        <v>39.200000000000003</v>
      </c>
      <c r="T20" s="149" t="s">
        <v>81</v>
      </c>
      <c r="U20" s="148" t="s">
        <v>82</v>
      </c>
      <c r="V20" s="341"/>
      <c r="W20" s="18"/>
      <c r="CM20"/>
      <c r="CN20"/>
      <c r="CO20"/>
      <c r="CP20"/>
      <c r="CQ20"/>
      <c r="CR20"/>
      <c r="CS20"/>
      <c r="CT20"/>
      <c r="CU20"/>
      <c r="CV20"/>
      <c r="CW20"/>
      <c r="CX20"/>
      <c r="CY20"/>
    </row>
    <row r="21" spans="1:103" s="1" customFormat="1" ht="24.95" customHeight="1" x14ac:dyDescent="0.25">
      <c r="A21" s="273"/>
      <c r="B21" s="144">
        <v>44240</v>
      </c>
      <c r="C21" s="145">
        <v>0.25</v>
      </c>
      <c r="D21" s="146">
        <v>54</v>
      </c>
      <c r="E21" s="147">
        <v>8.6999999999999993</v>
      </c>
      <c r="F21" s="147">
        <v>12.7</v>
      </c>
      <c r="G21" s="147">
        <v>1132.2</v>
      </c>
      <c r="H21" s="147">
        <v>2226.6</v>
      </c>
      <c r="I21" s="147">
        <v>106.3</v>
      </c>
      <c r="J21" s="147">
        <v>110</v>
      </c>
      <c r="K21" s="147" t="s">
        <v>178</v>
      </c>
      <c r="L21" s="147">
        <v>26</v>
      </c>
      <c r="M21" s="420">
        <v>375</v>
      </c>
      <c r="N21" s="147">
        <v>30</v>
      </c>
      <c r="O21" s="148"/>
      <c r="P21" s="148"/>
      <c r="Q21" s="148"/>
      <c r="R21" s="148" t="s">
        <v>179</v>
      </c>
      <c r="S21" s="148">
        <v>39.299999999999997</v>
      </c>
      <c r="T21" s="149" t="s">
        <v>88</v>
      </c>
      <c r="U21" s="148" t="s">
        <v>82</v>
      </c>
      <c r="V21" s="341"/>
      <c r="W21" s="18"/>
      <c r="CM21"/>
      <c r="CN21"/>
      <c r="CO21"/>
      <c r="CP21"/>
      <c r="CQ21"/>
      <c r="CR21"/>
      <c r="CS21"/>
      <c r="CT21"/>
      <c r="CU21"/>
      <c r="CV21"/>
      <c r="CW21"/>
      <c r="CX21"/>
      <c r="CY21"/>
    </row>
    <row r="22" spans="1:103" s="1" customFormat="1" ht="47.25" customHeight="1" x14ac:dyDescent="0.25">
      <c r="A22" s="273"/>
      <c r="B22" s="144">
        <v>44241</v>
      </c>
      <c r="C22" s="145">
        <v>0.25</v>
      </c>
      <c r="D22" s="146">
        <v>54</v>
      </c>
      <c r="E22" s="147">
        <v>9</v>
      </c>
      <c r="F22" s="147">
        <v>13.1</v>
      </c>
      <c r="G22" s="147">
        <v>1101.7</v>
      </c>
      <c r="H22" s="147">
        <v>2205</v>
      </c>
      <c r="I22" s="147">
        <v>107.6</v>
      </c>
      <c r="J22" s="147">
        <v>111.4</v>
      </c>
      <c r="K22" s="147" t="s">
        <v>180</v>
      </c>
      <c r="L22" s="147">
        <v>30</v>
      </c>
      <c r="M22" s="420">
        <v>410</v>
      </c>
      <c r="N22" s="147">
        <v>30</v>
      </c>
      <c r="O22" s="148"/>
      <c r="P22" s="148"/>
      <c r="Q22" s="148"/>
      <c r="R22" s="148" t="s">
        <v>181</v>
      </c>
      <c r="S22" s="148">
        <v>41.5</v>
      </c>
      <c r="T22" s="149" t="s">
        <v>87</v>
      </c>
      <c r="U22" s="148" t="s">
        <v>82</v>
      </c>
      <c r="V22" s="341" t="s">
        <v>230</v>
      </c>
      <c r="W22" s="179"/>
      <c r="X22" s="179"/>
      <c r="Y22" s="179"/>
      <c r="Z22" s="179"/>
      <c r="CM22"/>
      <c r="CN22"/>
      <c r="CO22"/>
      <c r="CP22"/>
      <c r="CQ22"/>
      <c r="CR22"/>
      <c r="CS22"/>
      <c r="CT22"/>
      <c r="CU22"/>
      <c r="CV22"/>
      <c r="CW22"/>
      <c r="CX22"/>
      <c r="CY22"/>
    </row>
    <row r="23" spans="1:103" s="1" customFormat="1" ht="24.95" customHeight="1" x14ac:dyDescent="0.25">
      <c r="A23" s="273"/>
      <c r="B23" s="144">
        <v>44242</v>
      </c>
      <c r="C23" s="145">
        <v>0.27083333333333331</v>
      </c>
      <c r="D23" s="146">
        <v>54</v>
      </c>
      <c r="E23" s="147">
        <v>9</v>
      </c>
      <c r="F23" s="147">
        <v>13.1</v>
      </c>
      <c r="G23" s="147">
        <v>1060.5</v>
      </c>
      <c r="H23" s="147">
        <v>2065.3000000000002</v>
      </c>
      <c r="I23" s="147">
        <v>107</v>
      </c>
      <c r="J23" s="147">
        <v>109.2</v>
      </c>
      <c r="K23" s="147" t="s">
        <v>186</v>
      </c>
      <c r="L23" s="147">
        <v>30</v>
      </c>
      <c r="M23" s="420">
        <v>410</v>
      </c>
      <c r="N23" s="147">
        <v>36</v>
      </c>
      <c r="O23" s="148"/>
      <c r="P23" s="148"/>
      <c r="Q23" s="148"/>
      <c r="R23" s="148" t="s">
        <v>188</v>
      </c>
      <c r="S23" s="148">
        <v>41.1</v>
      </c>
      <c r="T23" s="149" t="s">
        <v>84</v>
      </c>
      <c r="U23" s="148" t="s">
        <v>82</v>
      </c>
      <c r="V23" s="316"/>
      <c r="W23" s="18"/>
      <c r="CM23"/>
      <c r="CN23"/>
      <c r="CO23"/>
      <c r="CP23"/>
      <c r="CQ23"/>
      <c r="CR23"/>
      <c r="CS23"/>
      <c r="CT23"/>
      <c r="CU23"/>
      <c r="CV23"/>
      <c r="CW23"/>
      <c r="CX23"/>
      <c r="CY23"/>
    </row>
    <row r="24" spans="1:103" s="1" customFormat="1" ht="24.95" customHeight="1" x14ac:dyDescent="0.25">
      <c r="A24" s="273"/>
      <c r="B24" s="144">
        <v>44243</v>
      </c>
      <c r="C24" s="145">
        <v>0.29166666666666669</v>
      </c>
      <c r="D24" s="146">
        <v>54</v>
      </c>
      <c r="E24" s="147">
        <v>9.1999999999999993</v>
      </c>
      <c r="F24" s="147">
        <v>13.1</v>
      </c>
      <c r="G24" s="147">
        <v>1100</v>
      </c>
      <c r="H24" s="147">
        <v>2186</v>
      </c>
      <c r="I24" s="147">
        <v>107.5</v>
      </c>
      <c r="J24" s="147">
        <v>111</v>
      </c>
      <c r="K24" s="147" t="s">
        <v>190</v>
      </c>
      <c r="L24" s="147">
        <v>30</v>
      </c>
      <c r="M24" s="147">
        <v>440</v>
      </c>
      <c r="N24" s="147">
        <v>36</v>
      </c>
      <c r="O24" s="148"/>
      <c r="P24" s="148"/>
      <c r="Q24" s="148"/>
      <c r="R24" s="148" t="s">
        <v>181</v>
      </c>
      <c r="S24" s="148">
        <v>42.1</v>
      </c>
      <c r="T24" s="149" t="s">
        <v>84</v>
      </c>
      <c r="U24" s="148" t="s">
        <v>82</v>
      </c>
      <c r="V24" s="316"/>
      <c r="W24" s="18"/>
      <c r="CM24"/>
      <c r="CN24"/>
      <c r="CO24"/>
      <c r="CP24"/>
      <c r="CQ24"/>
      <c r="CR24"/>
      <c r="CS24"/>
      <c r="CT24"/>
      <c r="CU24"/>
      <c r="CV24"/>
      <c r="CW24"/>
      <c r="CX24"/>
      <c r="CY24"/>
    </row>
    <row r="25" spans="1:103" s="1" customFormat="1" ht="24.95" customHeight="1" x14ac:dyDescent="0.25">
      <c r="A25" s="273"/>
      <c r="B25" s="144">
        <v>44244</v>
      </c>
      <c r="C25" s="145">
        <v>0.29166666666666669</v>
      </c>
      <c r="D25" s="146">
        <v>54</v>
      </c>
      <c r="E25" s="147">
        <v>9.1999999999999993</v>
      </c>
      <c r="F25" s="147">
        <v>13.1</v>
      </c>
      <c r="G25" s="147">
        <v>1202.5999999999999</v>
      </c>
      <c r="H25" s="147">
        <v>2249.6999999999998</v>
      </c>
      <c r="I25" s="147">
        <v>108.1</v>
      </c>
      <c r="J25" s="147">
        <v>111.6</v>
      </c>
      <c r="K25" s="147" t="s">
        <v>192</v>
      </c>
      <c r="L25" s="147">
        <v>30.5</v>
      </c>
      <c r="M25" s="147">
        <v>440</v>
      </c>
      <c r="N25" s="147">
        <v>32</v>
      </c>
      <c r="O25" s="148"/>
      <c r="P25" s="148"/>
      <c r="Q25" s="148"/>
      <c r="R25" s="148" t="s">
        <v>179</v>
      </c>
      <c r="S25" s="148">
        <v>42.1</v>
      </c>
      <c r="T25" s="149" t="s">
        <v>84</v>
      </c>
      <c r="U25" s="148" t="s">
        <v>82</v>
      </c>
      <c r="V25" s="316"/>
      <c r="W25" s="18"/>
      <c r="CM25"/>
      <c r="CN25"/>
      <c r="CO25"/>
      <c r="CP25"/>
      <c r="CQ25"/>
      <c r="CR25"/>
      <c r="CS25"/>
      <c r="CT25"/>
      <c r="CU25"/>
      <c r="CV25"/>
      <c r="CW25"/>
      <c r="CX25"/>
      <c r="CY25"/>
    </row>
    <row r="26" spans="1:103" s="1" customFormat="1" ht="24.95" customHeight="1" x14ac:dyDescent="0.25">
      <c r="A26" s="273"/>
      <c r="B26" s="144">
        <v>44245</v>
      </c>
      <c r="C26" s="145">
        <v>0.29166666666666669</v>
      </c>
      <c r="D26" s="146">
        <v>54</v>
      </c>
      <c r="E26" s="147">
        <v>9.1</v>
      </c>
      <c r="F26" s="147">
        <v>13</v>
      </c>
      <c r="G26" s="147">
        <v>1080.9000000000001</v>
      </c>
      <c r="H26" s="147">
        <v>1989.2</v>
      </c>
      <c r="I26" s="147">
        <v>108.8</v>
      </c>
      <c r="J26" s="147">
        <v>112.6</v>
      </c>
      <c r="K26" s="147" t="s">
        <v>196</v>
      </c>
      <c r="L26" s="147">
        <v>30</v>
      </c>
      <c r="M26" s="147">
        <v>410</v>
      </c>
      <c r="N26" s="147">
        <v>32</v>
      </c>
      <c r="O26" s="148"/>
      <c r="P26" s="148"/>
      <c r="Q26" s="148"/>
      <c r="R26" s="148" t="s">
        <v>197</v>
      </c>
      <c r="S26" s="148">
        <v>42.5</v>
      </c>
      <c r="T26" s="149" t="s">
        <v>84</v>
      </c>
      <c r="U26" s="148" t="s">
        <v>82</v>
      </c>
      <c r="V26" s="316"/>
      <c r="W26" s="18"/>
      <c r="CM26"/>
      <c r="CN26"/>
      <c r="CO26"/>
      <c r="CP26"/>
      <c r="CQ26"/>
      <c r="CR26"/>
      <c r="CS26"/>
      <c r="CT26"/>
      <c r="CU26"/>
      <c r="CV26"/>
      <c r="CW26"/>
      <c r="CX26"/>
      <c r="CY26"/>
    </row>
    <row r="27" spans="1:103" s="1" customFormat="1" ht="24.95" customHeight="1" x14ac:dyDescent="0.25">
      <c r="A27" s="273"/>
      <c r="B27" s="144">
        <v>44246</v>
      </c>
      <c r="C27" s="145">
        <v>0.29166666666666669</v>
      </c>
      <c r="D27" s="146">
        <v>54</v>
      </c>
      <c r="E27" s="147">
        <v>8.9</v>
      </c>
      <c r="F27" s="147">
        <v>12.8</v>
      </c>
      <c r="G27" s="147">
        <v>999.7</v>
      </c>
      <c r="H27" s="147">
        <v>1965.5</v>
      </c>
      <c r="I27" s="147">
        <v>108</v>
      </c>
      <c r="J27" s="147">
        <v>111.7</v>
      </c>
      <c r="K27" s="147" t="s">
        <v>200</v>
      </c>
      <c r="L27" s="147">
        <v>30</v>
      </c>
      <c r="M27" s="147">
        <v>410</v>
      </c>
      <c r="N27" s="147">
        <v>34</v>
      </c>
      <c r="O27" s="148"/>
      <c r="P27" s="148"/>
      <c r="Q27" s="148"/>
      <c r="R27" s="148" t="s">
        <v>179</v>
      </c>
      <c r="S27" s="148">
        <v>40.700000000000003</v>
      </c>
      <c r="T27" s="149" t="s">
        <v>84</v>
      </c>
      <c r="U27" s="148" t="s">
        <v>82</v>
      </c>
      <c r="V27" s="316"/>
      <c r="W27" s="18"/>
      <c r="CM27"/>
      <c r="CN27"/>
      <c r="CO27"/>
      <c r="CP27"/>
      <c r="CQ27"/>
      <c r="CR27"/>
      <c r="CS27"/>
      <c r="CT27"/>
      <c r="CU27"/>
      <c r="CV27"/>
      <c r="CW27"/>
      <c r="CX27"/>
      <c r="CY27"/>
    </row>
    <row r="28" spans="1:103" s="1" customFormat="1" ht="24.95" customHeight="1" x14ac:dyDescent="0.25">
      <c r="A28" s="273"/>
      <c r="B28" s="144">
        <v>44247</v>
      </c>
      <c r="C28" s="145">
        <v>0.29166666666666669</v>
      </c>
      <c r="D28" s="146">
        <v>54</v>
      </c>
      <c r="E28" s="147">
        <v>11</v>
      </c>
      <c r="F28" s="147">
        <v>14.5</v>
      </c>
      <c r="G28" s="147">
        <v>850</v>
      </c>
      <c r="H28" s="147">
        <v>1929.2</v>
      </c>
      <c r="I28" s="147">
        <v>107</v>
      </c>
      <c r="J28" s="147">
        <v>110.5</v>
      </c>
      <c r="K28" s="147" t="s">
        <v>202</v>
      </c>
      <c r="L28" s="147">
        <v>28</v>
      </c>
      <c r="M28" s="147">
        <v>430</v>
      </c>
      <c r="N28" s="147">
        <v>42</v>
      </c>
      <c r="O28" s="148"/>
      <c r="P28" s="148"/>
      <c r="Q28" s="148"/>
      <c r="R28" s="148" t="s">
        <v>203</v>
      </c>
      <c r="S28" s="148">
        <v>50.8</v>
      </c>
      <c r="T28" s="149" t="s">
        <v>84</v>
      </c>
      <c r="U28" s="148" t="s">
        <v>82</v>
      </c>
      <c r="V28" s="316" t="s">
        <v>204</v>
      </c>
      <c r="W28" s="18"/>
      <c r="CM28"/>
      <c r="CN28"/>
      <c r="CO28"/>
      <c r="CP28"/>
      <c r="CQ28"/>
      <c r="CR28"/>
      <c r="CS28"/>
      <c r="CT28"/>
      <c r="CU28"/>
      <c r="CV28"/>
      <c r="CW28"/>
      <c r="CX28"/>
      <c r="CY28"/>
    </row>
    <row r="29" spans="1:103" s="1" customFormat="1" ht="24.95" customHeight="1" x14ac:dyDescent="0.25">
      <c r="A29" s="273"/>
      <c r="B29" s="144">
        <v>44248</v>
      </c>
      <c r="C29" s="145">
        <v>0.29166666666666669</v>
      </c>
      <c r="D29" s="1653" t="s">
        <v>205</v>
      </c>
      <c r="E29" s="1654"/>
      <c r="F29" s="1654"/>
      <c r="G29" s="1654"/>
      <c r="H29" s="1654"/>
      <c r="I29" s="1654"/>
      <c r="J29" s="1654"/>
      <c r="K29" s="1654"/>
      <c r="L29" s="1654"/>
      <c r="M29" s="1654"/>
      <c r="N29" s="1654"/>
      <c r="O29" s="1654"/>
      <c r="P29" s="1654"/>
      <c r="Q29" s="1654"/>
      <c r="R29" s="1654"/>
      <c r="S29" s="1655"/>
      <c r="T29" s="149" t="s">
        <v>84</v>
      </c>
      <c r="U29" s="148" t="s">
        <v>82</v>
      </c>
      <c r="V29" s="316"/>
      <c r="W29" s="18"/>
      <c r="CM29"/>
      <c r="CN29"/>
      <c r="CO29"/>
      <c r="CP29"/>
      <c r="CQ29"/>
      <c r="CR29"/>
      <c r="CS29"/>
      <c r="CT29"/>
      <c r="CU29"/>
      <c r="CV29"/>
      <c r="CW29"/>
      <c r="CX29"/>
      <c r="CY29"/>
    </row>
    <row r="30" spans="1:103" s="1" customFormat="1" ht="24.95" customHeight="1" x14ac:dyDescent="0.25">
      <c r="A30" s="273"/>
      <c r="B30" s="144">
        <v>44249</v>
      </c>
      <c r="C30" s="145">
        <v>0.29166666666666702</v>
      </c>
      <c r="D30" s="1653" t="s">
        <v>205</v>
      </c>
      <c r="E30" s="1654"/>
      <c r="F30" s="1654"/>
      <c r="G30" s="1654"/>
      <c r="H30" s="1654"/>
      <c r="I30" s="1654"/>
      <c r="J30" s="1654"/>
      <c r="K30" s="1654"/>
      <c r="L30" s="1654"/>
      <c r="M30" s="1654"/>
      <c r="N30" s="1654"/>
      <c r="O30" s="1654"/>
      <c r="P30" s="1654"/>
      <c r="Q30" s="1654"/>
      <c r="R30" s="1654"/>
      <c r="S30" s="1655"/>
      <c r="T30" s="149" t="s">
        <v>84</v>
      </c>
      <c r="U30" s="148" t="s">
        <v>82</v>
      </c>
      <c r="V30" s="316"/>
      <c r="W30" s="18"/>
      <c r="CM30"/>
      <c r="CN30"/>
      <c r="CO30"/>
      <c r="CP30"/>
      <c r="CQ30"/>
      <c r="CR30"/>
      <c r="CS30"/>
      <c r="CT30"/>
      <c r="CU30"/>
      <c r="CV30"/>
      <c r="CW30"/>
      <c r="CX30"/>
      <c r="CY30"/>
    </row>
    <row r="31" spans="1:103" s="1" customFormat="1" ht="24.95" customHeight="1" x14ac:dyDescent="0.25">
      <c r="A31" s="273"/>
      <c r="B31" s="144">
        <v>44250</v>
      </c>
      <c r="C31" s="145">
        <v>0.29166666666666669</v>
      </c>
      <c r="D31" s="1653" t="s">
        <v>205</v>
      </c>
      <c r="E31" s="1654"/>
      <c r="F31" s="1654"/>
      <c r="G31" s="1654"/>
      <c r="H31" s="1654"/>
      <c r="I31" s="1654"/>
      <c r="J31" s="1654"/>
      <c r="K31" s="1654"/>
      <c r="L31" s="1654"/>
      <c r="M31" s="1654"/>
      <c r="N31" s="1654"/>
      <c r="O31" s="1654"/>
      <c r="P31" s="1654"/>
      <c r="Q31" s="1654"/>
      <c r="R31" s="1654"/>
      <c r="S31" s="1655"/>
      <c r="T31" s="149" t="s">
        <v>84</v>
      </c>
      <c r="U31" s="148" t="s">
        <v>82</v>
      </c>
      <c r="V31" s="316"/>
      <c r="W31" s="18"/>
      <c r="CM31"/>
      <c r="CN31"/>
      <c r="CO31"/>
      <c r="CP31"/>
      <c r="CQ31"/>
      <c r="CR31"/>
      <c r="CS31"/>
      <c r="CT31"/>
      <c r="CU31"/>
      <c r="CV31"/>
      <c r="CW31"/>
      <c r="CX31"/>
      <c r="CY31"/>
    </row>
    <row r="32" spans="1:103" s="1" customFormat="1" ht="24.95" customHeight="1" x14ac:dyDescent="0.25">
      <c r="A32" s="273"/>
      <c r="B32" s="144">
        <v>44251</v>
      </c>
      <c r="C32" s="145">
        <v>0.29166666666666602</v>
      </c>
      <c r="D32" s="1653" t="s">
        <v>205</v>
      </c>
      <c r="E32" s="1654"/>
      <c r="F32" s="1654"/>
      <c r="G32" s="1654"/>
      <c r="H32" s="1654"/>
      <c r="I32" s="1654"/>
      <c r="J32" s="1654"/>
      <c r="K32" s="1654"/>
      <c r="L32" s="1654"/>
      <c r="M32" s="1654"/>
      <c r="N32" s="1654"/>
      <c r="O32" s="1654"/>
      <c r="P32" s="1654"/>
      <c r="Q32" s="1654"/>
      <c r="R32" s="1654"/>
      <c r="S32" s="1655"/>
      <c r="T32" s="149" t="s">
        <v>84</v>
      </c>
      <c r="U32" s="148" t="s">
        <v>82</v>
      </c>
      <c r="V32" s="316" t="s">
        <v>214</v>
      </c>
      <c r="W32" s="18"/>
      <c r="CM32"/>
      <c r="CN32"/>
      <c r="CO32"/>
      <c r="CP32"/>
      <c r="CQ32"/>
      <c r="CR32"/>
      <c r="CS32"/>
      <c r="CT32"/>
      <c r="CU32"/>
      <c r="CV32"/>
      <c r="CW32"/>
      <c r="CX32"/>
      <c r="CY32"/>
    </row>
    <row r="33" spans="1:103" s="1" customFormat="1" ht="24.95" customHeight="1" x14ac:dyDescent="0.25">
      <c r="A33" s="273"/>
      <c r="B33" s="144">
        <v>44252</v>
      </c>
      <c r="C33" s="145">
        <v>0.29166666666666602</v>
      </c>
      <c r="D33" s="1653" t="s">
        <v>205</v>
      </c>
      <c r="E33" s="1654"/>
      <c r="F33" s="1654"/>
      <c r="G33" s="1654"/>
      <c r="H33" s="1654"/>
      <c r="I33" s="1654"/>
      <c r="J33" s="1654"/>
      <c r="K33" s="1654"/>
      <c r="L33" s="1654"/>
      <c r="M33" s="1654"/>
      <c r="N33" s="1654"/>
      <c r="O33" s="1654"/>
      <c r="P33" s="1654"/>
      <c r="Q33" s="1654"/>
      <c r="R33" s="1654"/>
      <c r="S33" s="1655"/>
      <c r="T33" s="149" t="s">
        <v>84</v>
      </c>
      <c r="U33" s="148" t="s">
        <v>82</v>
      </c>
      <c r="V33" s="316"/>
      <c r="W33" s="18"/>
      <c r="CM33"/>
      <c r="CN33"/>
      <c r="CO33"/>
      <c r="CP33"/>
      <c r="CQ33"/>
      <c r="CR33"/>
      <c r="CS33"/>
      <c r="CT33"/>
      <c r="CU33"/>
      <c r="CV33"/>
      <c r="CW33"/>
      <c r="CX33"/>
      <c r="CY33"/>
    </row>
    <row r="34" spans="1:103" s="1" customFormat="1" ht="24.95" customHeight="1" x14ac:dyDescent="0.25">
      <c r="A34" s="273"/>
      <c r="B34" s="144">
        <v>44253</v>
      </c>
      <c r="C34" s="145">
        <v>0.29166666666666602</v>
      </c>
      <c r="D34" s="1653" t="s">
        <v>205</v>
      </c>
      <c r="E34" s="1654"/>
      <c r="F34" s="1654"/>
      <c r="G34" s="1654"/>
      <c r="H34" s="1654"/>
      <c r="I34" s="1654"/>
      <c r="J34" s="1654"/>
      <c r="K34" s="1654"/>
      <c r="L34" s="1654"/>
      <c r="M34" s="1654"/>
      <c r="N34" s="1654"/>
      <c r="O34" s="1654"/>
      <c r="P34" s="1654"/>
      <c r="Q34" s="1654"/>
      <c r="R34" s="1654"/>
      <c r="S34" s="1655"/>
      <c r="T34" s="149" t="s">
        <v>84</v>
      </c>
      <c r="U34" s="148" t="s">
        <v>82</v>
      </c>
      <c r="V34" s="316"/>
      <c r="W34" s="18"/>
      <c r="CM34"/>
      <c r="CN34"/>
      <c r="CO34"/>
      <c r="CP34"/>
      <c r="CQ34"/>
      <c r="CR34"/>
      <c r="CS34"/>
      <c r="CT34"/>
      <c r="CU34"/>
      <c r="CV34"/>
      <c r="CW34"/>
      <c r="CX34"/>
      <c r="CY34"/>
    </row>
    <row r="35" spans="1:103" s="1" customFormat="1" ht="24.95" customHeight="1" x14ac:dyDescent="0.25">
      <c r="A35" s="273"/>
      <c r="B35" s="144">
        <v>44254</v>
      </c>
      <c r="C35" s="145">
        <v>0.29166666666666602</v>
      </c>
      <c r="D35" s="1653" t="s">
        <v>205</v>
      </c>
      <c r="E35" s="1654"/>
      <c r="F35" s="1654"/>
      <c r="G35" s="1654"/>
      <c r="H35" s="1654"/>
      <c r="I35" s="1654"/>
      <c r="J35" s="1654"/>
      <c r="K35" s="1654"/>
      <c r="L35" s="1654"/>
      <c r="M35" s="1654"/>
      <c r="N35" s="1654"/>
      <c r="O35" s="1654"/>
      <c r="P35" s="1654"/>
      <c r="Q35" s="1654"/>
      <c r="R35" s="1654"/>
      <c r="S35" s="1655"/>
      <c r="T35" s="149" t="s">
        <v>84</v>
      </c>
      <c r="U35" s="148" t="s">
        <v>218</v>
      </c>
      <c r="V35" s="316"/>
      <c r="W35" s="18"/>
      <c r="CM35"/>
      <c r="CN35"/>
      <c r="CO35"/>
      <c r="CP35"/>
      <c r="CQ35"/>
      <c r="CR35"/>
      <c r="CS35"/>
      <c r="CT35"/>
      <c r="CU35"/>
      <c r="CV35"/>
      <c r="CW35"/>
      <c r="CX35"/>
      <c r="CY35"/>
    </row>
    <row r="36" spans="1:103" s="1" customFormat="1" ht="24.95" customHeight="1" x14ac:dyDescent="0.25">
      <c r="A36" s="273"/>
      <c r="B36" s="144">
        <v>44255</v>
      </c>
      <c r="C36" s="145">
        <v>0.29166666666666602</v>
      </c>
      <c r="D36" s="1653" t="s">
        <v>205</v>
      </c>
      <c r="E36" s="1654"/>
      <c r="F36" s="1654"/>
      <c r="G36" s="1654"/>
      <c r="H36" s="1654"/>
      <c r="I36" s="1654"/>
      <c r="J36" s="1654"/>
      <c r="K36" s="1654"/>
      <c r="L36" s="1654"/>
      <c r="M36" s="1654"/>
      <c r="N36" s="1654"/>
      <c r="O36" s="1654"/>
      <c r="P36" s="1654"/>
      <c r="Q36" s="1654"/>
      <c r="R36" s="1654"/>
      <c r="S36" s="1655"/>
      <c r="T36" s="149" t="s">
        <v>84</v>
      </c>
      <c r="U36" s="148" t="s">
        <v>218</v>
      </c>
      <c r="V36" s="316"/>
      <c r="W36" s="18"/>
      <c r="CM36"/>
      <c r="CN36"/>
      <c r="CO36"/>
      <c r="CP36"/>
      <c r="CQ36"/>
      <c r="CR36"/>
      <c r="CS36"/>
      <c r="CT36"/>
      <c r="CU36"/>
      <c r="CV36"/>
      <c r="CW36"/>
      <c r="CX36"/>
      <c r="CY36"/>
    </row>
    <row r="37" spans="1:103" s="1" customFormat="1" ht="24.95" customHeight="1" x14ac:dyDescent="0.25">
      <c r="A37" s="273"/>
      <c r="B37" s="144">
        <v>44256</v>
      </c>
      <c r="C37" s="145">
        <v>0.29166666666666602</v>
      </c>
      <c r="D37" s="1653" t="s">
        <v>205</v>
      </c>
      <c r="E37" s="1654"/>
      <c r="F37" s="1654"/>
      <c r="G37" s="1654"/>
      <c r="H37" s="1654"/>
      <c r="I37" s="1654"/>
      <c r="J37" s="1654"/>
      <c r="K37" s="1654"/>
      <c r="L37" s="1654"/>
      <c r="M37" s="1654"/>
      <c r="N37" s="1654"/>
      <c r="O37" s="1654"/>
      <c r="P37" s="1654"/>
      <c r="Q37" s="1654"/>
      <c r="R37" s="1654"/>
      <c r="S37" s="1655"/>
      <c r="T37" s="149" t="s">
        <v>84</v>
      </c>
      <c r="U37" s="148" t="s">
        <v>218</v>
      </c>
      <c r="V37" s="316"/>
      <c r="W37" s="18"/>
      <c r="CM37"/>
      <c r="CN37"/>
      <c r="CO37"/>
      <c r="CP37"/>
      <c r="CQ37"/>
      <c r="CR37"/>
      <c r="CS37"/>
      <c r="CT37"/>
      <c r="CU37"/>
      <c r="CV37"/>
      <c r="CW37"/>
      <c r="CX37"/>
      <c r="CY37"/>
    </row>
    <row r="38" spans="1:103" s="1" customFormat="1" ht="24.95" customHeight="1" x14ac:dyDescent="0.25">
      <c r="A38" s="273"/>
      <c r="B38" s="144">
        <v>44257</v>
      </c>
      <c r="C38" s="145">
        <v>0.29166666666666602</v>
      </c>
      <c r="D38" s="1653" t="s">
        <v>205</v>
      </c>
      <c r="E38" s="1654"/>
      <c r="F38" s="1654"/>
      <c r="G38" s="1654"/>
      <c r="H38" s="1654"/>
      <c r="I38" s="1654"/>
      <c r="J38" s="1654"/>
      <c r="K38" s="1654"/>
      <c r="L38" s="1654"/>
      <c r="M38" s="1654"/>
      <c r="N38" s="1654"/>
      <c r="O38" s="1654"/>
      <c r="P38" s="1654"/>
      <c r="Q38" s="1654"/>
      <c r="R38" s="1654"/>
      <c r="S38" s="1655"/>
      <c r="T38" s="149" t="s">
        <v>84</v>
      </c>
      <c r="U38" s="148" t="s">
        <v>218</v>
      </c>
      <c r="V38" s="316"/>
      <c r="W38" s="18"/>
      <c r="CM38"/>
      <c r="CN38"/>
      <c r="CO38"/>
      <c r="CP38"/>
      <c r="CQ38"/>
      <c r="CR38"/>
      <c r="CS38"/>
      <c r="CT38"/>
      <c r="CU38"/>
      <c r="CV38"/>
      <c r="CW38"/>
      <c r="CX38"/>
      <c r="CY38"/>
    </row>
    <row r="39" spans="1:103" s="1" customFormat="1" ht="24.95" customHeight="1" x14ac:dyDescent="0.25">
      <c r="A39" s="273"/>
      <c r="B39" s="144">
        <v>44258</v>
      </c>
      <c r="C39" s="145">
        <v>0.29166666666666602</v>
      </c>
      <c r="D39" s="1653" t="s">
        <v>205</v>
      </c>
      <c r="E39" s="1654"/>
      <c r="F39" s="1654"/>
      <c r="G39" s="1654"/>
      <c r="H39" s="1654"/>
      <c r="I39" s="1654"/>
      <c r="J39" s="1654"/>
      <c r="K39" s="1654"/>
      <c r="L39" s="1654"/>
      <c r="M39" s="1654"/>
      <c r="N39" s="1654"/>
      <c r="O39" s="1654"/>
      <c r="P39" s="1654"/>
      <c r="Q39" s="1654"/>
      <c r="R39" s="1654"/>
      <c r="S39" s="1655"/>
      <c r="T39" s="149" t="s">
        <v>84</v>
      </c>
      <c r="U39" s="148" t="s">
        <v>218</v>
      </c>
      <c r="V39" s="316"/>
      <c r="W39" s="18"/>
      <c r="CM39"/>
      <c r="CN39"/>
      <c r="CO39"/>
      <c r="CP39"/>
      <c r="CQ39"/>
      <c r="CR39"/>
      <c r="CS39"/>
      <c r="CT39"/>
      <c r="CU39"/>
      <c r="CV39"/>
      <c r="CW39"/>
      <c r="CX39"/>
      <c r="CY39"/>
    </row>
    <row r="40" spans="1:103" s="1" customFormat="1" ht="24.95" customHeight="1" x14ac:dyDescent="0.25">
      <c r="A40" s="273"/>
      <c r="B40" s="144">
        <v>44259</v>
      </c>
      <c r="C40" s="145">
        <v>0.29166666666666602</v>
      </c>
      <c r="D40" s="1653" t="s">
        <v>205</v>
      </c>
      <c r="E40" s="1654"/>
      <c r="F40" s="1654"/>
      <c r="G40" s="1654"/>
      <c r="H40" s="1654"/>
      <c r="I40" s="1654"/>
      <c r="J40" s="1654"/>
      <c r="K40" s="1654"/>
      <c r="L40" s="1654"/>
      <c r="M40" s="1654"/>
      <c r="N40" s="1654"/>
      <c r="O40" s="1654"/>
      <c r="P40" s="1654"/>
      <c r="Q40" s="1654"/>
      <c r="R40" s="1654"/>
      <c r="S40" s="1655"/>
      <c r="T40" s="149" t="s">
        <v>84</v>
      </c>
      <c r="U40" s="148" t="s">
        <v>218</v>
      </c>
      <c r="V40" s="316"/>
      <c r="W40" s="18"/>
      <c r="CM40"/>
      <c r="CN40"/>
      <c r="CO40"/>
      <c r="CP40"/>
      <c r="CQ40"/>
      <c r="CR40"/>
      <c r="CS40"/>
      <c r="CT40"/>
      <c r="CU40"/>
      <c r="CV40"/>
      <c r="CW40"/>
      <c r="CX40"/>
      <c r="CY40"/>
    </row>
    <row r="41" spans="1:103" s="1" customFormat="1" ht="24.95" customHeight="1" x14ac:dyDescent="0.25">
      <c r="A41" s="273"/>
      <c r="B41" s="144">
        <v>44260</v>
      </c>
      <c r="C41" s="145">
        <v>0.29166666666666602</v>
      </c>
      <c r="D41" s="1653" t="s">
        <v>205</v>
      </c>
      <c r="E41" s="1654"/>
      <c r="F41" s="1654"/>
      <c r="G41" s="1654"/>
      <c r="H41" s="1654"/>
      <c r="I41" s="1654"/>
      <c r="J41" s="1654"/>
      <c r="K41" s="1654"/>
      <c r="L41" s="1654"/>
      <c r="M41" s="1654"/>
      <c r="N41" s="1654"/>
      <c r="O41" s="1654"/>
      <c r="P41" s="1654"/>
      <c r="Q41" s="1654"/>
      <c r="R41" s="1654"/>
      <c r="S41" s="1655"/>
      <c r="T41" s="149" t="s">
        <v>84</v>
      </c>
      <c r="U41" s="148" t="s">
        <v>218</v>
      </c>
      <c r="V41" s="316"/>
      <c r="W41" s="18"/>
      <c r="CM41"/>
      <c r="CN41"/>
      <c r="CO41"/>
      <c r="CP41"/>
      <c r="CQ41"/>
      <c r="CR41"/>
      <c r="CS41"/>
      <c r="CT41"/>
      <c r="CU41"/>
      <c r="CV41"/>
      <c r="CW41"/>
      <c r="CX41"/>
      <c r="CY41"/>
    </row>
    <row r="42" spans="1:103" s="1" customFormat="1" ht="24.95" customHeight="1" x14ac:dyDescent="0.25">
      <c r="A42" s="273"/>
      <c r="B42" s="144">
        <v>44261</v>
      </c>
      <c r="C42" s="145">
        <v>0.29166666666666602</v>
      </c>
      <c r="D42" s="1653" t="s">
        <v>205</v>
      </c>
      <c r="E42" s="1654"/>
      <c r="F42" s="1654"/>
      <c r="G42" s="1654"/>
      <c r="H42" s="1654"/>
      <c r="I42" s="1654"/>
      <c r="J42" s="1654"/>
      <c r="K42" s="1654"/>
      <c r="L42" s="1654"/>
      <c r="M42" s="1654"/>
      <c r="N42" s="1654"/>
      <c r="O42" s="1654"/>
      <c r="P42" s="1654"/>
      <c r="Q42" s="1654"/>
      <c r="R42" s="1654"/>
      <c r="S42" s="1655"/>
      <c r="T42" s="149" t="s">
        <v>84</v>
      </c>
      <c r="U42" s="148" t="s">
        <v>218</v>
      </c>
      <c r="V42" s="316"/>
      <c r="W42" s="18"/>
      <c r="CM42"/>
      <c r="CN42"/>
      <c r="CO42"/>
      <c r="CP42"/>
      <c r="CQ42"/>
      <c r="CR42"/>
      <c r="CS42"/>
      <c r="CT42"/>
      <c r="CU42"/>
      <c r="CV42"/>
      <c r="CW42"/>
      <c r="CX42"/>
      <c r="CY42"/>
    </row>
    <row r="43" spans="1:103" s="1" customFormat="1" ht="24.95" customHeight="1" x14ac:dyDescent="0.25">
      <c r="A43" s="273"/>
      <c r="B43" s="144">
        <v>44262</v>
      </c>
      <c r="C43" s="145">
        <v>0.29166666666666602</v>
      </c>
      <c r="D43" s="1653" t="s">
        <v>205</v>
      </c>
      <c r="E43" s="1654"/>
      <c r="F43" s="1654"/>
      <c r="G43" s="1654"/>
      <c r="H43" s="1654"/>
      <c r="I43" s="1654"/>
      <c r="J43" s="1654"/>
      <c r="K43" s="1654"/>
      <c r="L43" s="1654"/>
      <c r="M43" s="1654"/>
      <c r="N43" s="1654"/>
      <c r="O43" s="1654"/>
      <c r="P43" s="1654"/>
      <c r="Q43" s="1654"/>
      <c r="R43" s="1654"/>
      <c r="S43" s="1655"/>
      <c r="T43" s="149" t="s">
        <v>84</v>
      </c>
      <c r="U43" s="148" t="s">
        <v>218</v>
      </c>
      <c r="V43" s="316"/>
      <c r="W43" s="18"/>
      <c r="CM43"/>
      <c r="CN43"/>
      <c r="CO43"/>
      <c r="CP43"/>
      <c r="CQ43"/>
      <c r="CR43"/>
      <c r="CS43"/>
      <c r="CT43"/>
      <c r="CU43"/>
      <c r="CV43"/>
      <c r="CW43"/>
      <c r="CX43"/>
      <c r="CY43"/>
    </row>
    <row r="44" spans="1:103" s="1" customFormat="1" ht="24.95" customHeight="1" x14ac:dyDescent="0.25">
      <c r="A44" s="273"/>
      <c r="B44" s="144">
        <v>44263</v>
      </c>
      <c r="C44" s="145">
        <v>0.29166666666666602</v>
      </c>
      <c r="D44" s="1653" t="s">
        <v>205</v>
      </c>
      <c r="E44" s="1654"/>
      <c r="F44" s="1654"/>
      <c r="G44" s="1654"/>
      <c r="H44" s="1654"/>
      <c r="I44" s="1654"/>
      <c r="J44" s="1654"/>
      <c r="K44" s="1654"/>
      <c r="L44" s="1654"/>
      <c r="M44" s="1654"/>
      <c r="N44" s="1654"/>
      <c r="O44" s="1654"/>
      <c r="P44" s="1654"/>
      <c r="Q44" s="1654"/>
      <c r="R44" s="1654"/>
      <c r="S44" s="1655"/>
      <c r="T44" s="149" t="s">
        <v>84</v>
      </c>
      <c r="U44" s="148" t="s">
        <v>218</v>
      </c>
      <c r="V44" s="316"/>
      <c r="W44" s="18"/>
      <c r="CM44"/>
      <c r="CN44"/>
      <c r="CO44"/>
      <c r="CP44"/>
      <c r="CQ44"/>
      <c r="CR44"/>
      <c r="CS44"/>
      <c r="CT44"/>
      <c r="CU44"/>
      <c r="CV44"/>
      <c r="CW44"/>
      <c r="CX44"/>
      <c r="CY44"/>
    </row>
    <row r="45" spans="1:103" s="1" customFormat="1" ht="24.95" customHeight="1" x14ac:dyDescent="0.25">
      <c r="A45" s="273"/>
      <c r="B45" s="144">
        <v>44264</v>
      </c>
      <c r="C45" s="145">
        <v>0.29166666666666602</v>
      </c>
      <c r="D45" s="1653" t="s">
        <v>205</v>
      </c>
      <c r="E45" s="1654"/>
      <c r="F45" s="1654"/>
      <c r="G45" s="1654"/>
      <c r="H45" s="1654"/>
      <c r="I45" s="1654"/>
      <c r="J45" s="1654"/>
      <c r="K45" s="1654"/>
      <c r="L45" s="1654"/>
      <c r="M45" s="1654"/>
      <c r="N45" s="1654"/>
      <c r="O45" s="1654"/>
      <c r="P45" s="1654"/>
      <c r="Q45" s="1654"/>
      <c r="R45" s="1654"/>
      <c r="S45" s="1655"/>
      <c r="T45" s="149" t="s">
        <v>84</v>
      </c>
      <c r="U45" s="148" t="s">
        <v>218</v>
      </c>
      <c r="V45" s="316"/>
      <c r="W45" s="18"/>
      <c r="CM45"/>
      <c r="CN45"/>
      <c r="CO45"/>
      <c r="CP45"/>
      <c r="CQ45"/>
      <c r="CR45"/>
      <c r="CS45"/>
      <c r="CT45"/>
      <c r="CU45"/>
      <c r="CV45"/>
      <c r="CW45"/>
      <c r="CX45"/>
      <c r="CY45"/>
    </row>
    <row r="46" spans="1:103" s="1" customFormat="1" ht="24.95" customHeight="1" x14ac:dyDescent="0.25">
      <c r="A46" s="273"/>
      <c r="B46" s="144">
        <v>44265</v>
      </c>
      <c r="C46" s="145">
        <v>0.29166666666666602</v>
      </c>
      <c r="D46" s="1653" t="s">
        <v>205</v>
      </c>
      <c r="E46" s="1654"/>
      <c r="F46" s="1654"/>
      <c r="G46" s="1654"/>
      <c r="H46" s="1654"/>
      <c r="I46" s="1654"/>
      <c r="J46" s="1654"/>
      <c r="K46" s="1654"/>
      <c r="L46" s="1654"/>
      <c r="M46" s="1654"/>
      <c r="N46" s="1654"/>
      <c r="O46" s="1654"/>
      <c r="P46" s="1654"/>
      <c r="Q46" s="1654"/>
      <c r="R46" s="1654"/>
      <c r="S46" s="1655"/>
      <c r="T46" s="149" t="s">
        <v>84</v>
      </c>
      <c r="U46" s="148" t="s">
        <v>218</v>
      </c>
      <c r="V46" s="316"/>
      <c r="W46" s="18"/>
      <c r="CM46"/>
      <c r="CN46"/>
      <c r="CO46"/>
      <c r="CP46"/>
      <c r="CQ46"/>
      <c r="CR46"/>
      <c r="CS46"/>
      <c r="CT46"/>
      <c r="CU46"/>
      <c r="CV46"/>
      <c r="CW46"/>
      <c r="CX46"/>
      <c r="CY46"/>
    </row>
    <row r="47" spans="1:103" s="1" customFormat="1" ht="24.95" customHeight="1" x14ac:dyDescent="0.25">
      <c r="A47" s="273"/>
      <c r="B47" s="144">
        <v>44266</v>
      </c>
      <c r="C47" s="145">
        <v>0.29166666666666602</v>
      </c>
      <c r="D47" s="1653" t="s">
        <v>205</v>
      </c>
      <c r="E47" s="1654"/>
      <c r="F47" s="1654"/>
      <c r="G47" s="1654"/>
      <c r="H47" s="1654"/>
      <c r="I47" s="1654"/>
      <c r="J47" s="1654"/>
      <c r="K47" s="1654"/>
      <c r="L47" s="1654"/>
      <c r="M47" s="1654"/>
      <c r="N47" s="1654"/>
      <c r="O47" s="1654"/>
      <c r="P47" s="1654"/>
      <c r="Q47" s="1654"/>
      <c r="R47" s="1654"/>
      <c r="S47" s="1655"/>
      <c r="T47" s="149" t="s">
        <v>84</v>
      </c>
      <c r="U47" s="148" t="s">
        <v>218</v>
      </c>
      <c r="V47" s="316"/>
      <c r="W47" s="18"/>
      <c r="CM47"/>
      <c r="CN47"/>
      <c r="CO47"/>
      <c r="CP47"/>
      <c r="CQ47"/>
      <c r="CR47"/>
      <c r="CS47"/>
      <c r="CT47"/>
      <c r="CU47"/>
      <c r="CV47"/>
      <c r="CW47"/>
      <c r="CX47"/>
      <c r="CY47"/>
    </row>
    <row r="48" spans="1:103" s="1" customFormat="1" ht="24.95" customHeight="1" x14ac:dyDescent="0.25">
      <c r="A48" s="273"/>
      <c r="B48" s="144">
        <v>44267</v>
      </c>
      <c r="C48" s="145">
        <v>0.29166666666666602</v>
      </c>
      <c r="D48" s="1653" t="s">
        <v>205</v>
      </c>
      <c r="E48" s="1654"/>
      <c r="F48" s="1654"/>
      <c r="G48" s="1654"/>
      <c r="H48" s="1654"/>
      <c r="I48" s="1654"/>
      <c r="J48" s="1654"/>
      <c r="K48" s="1654"/>
      <c r="L48" s="1654"/>
      <c r="M48" s="1654"/>
      <c r="N48" s="1654"/>
      <c r="O48" s="1654"/>
      <c r="P48" s="1654"/>
      <c r="Q48" s="1654"/>
      <c r="R48" s="1654"/>
      <c r="S48" s="1655"/>
      <c r="T48" s="149" t="s">
        <v>84</v>
      </c>
      <c r="U48" s="148" t="s">
        <v>218</v>
      </c>
      <c r="V48" s="316"/>
      <c r="W48" s="18"/>
      <c r="CM48"/>
      <c r="CN48"/>
      <c r="CO48"/>
      <c r="CP48"/>
      <c r="CQ48"/>
      <c r="CR48"/>
      <c r="CS48"/>
      <c r="CT48"/>
      <c r="CU48"/>
      <c r="CV48"/>
      <c r="CW48"/>
      <c r="CX48"/>
      <c r="CY48"/>
    </row>
    <row r="49" spans="1:103" s="1" customFormat="1" ht="24.95" customHeight="1" x14ac:dyDescent="0.25">
      <c r="A49" s="273"/>
      <c r="B49" s="144">
        <v>44268</v>
      </c>
      <c r="C49" s="145">
        <v>0.29166666666666602</v>
      </c>
      <c r="D49" s="1653" t="s">
        <v>205</v>
      </c>
      <c r="E49" s="1654"/>
      <c r="F49" s="1654"/>
      <c r="G49" s="1654"/>
      <c r="H49" s="1654"/>
      <c r="I49" s="1654"/>
      <c r="J49" s="1654"/>
      <c r="K49" s="1654"/>
      <c r="L49" s="1654"/>
      <c r="M49" s="1654"/>
      <c r="N49" s="1654"/>
      <c r="O49" s="1654"/>
      <c r="P49" s="1654"/>
      <c r="Q49" s="1654"/>
      <c r="R49" s="1654"/>
      <c r="S49" s="1655"/>
      <c r="T49" s="149" t="s">
        <v>84</v>
      </c>
      <c r="U49" s="148" t="s">
        <v>236</v>
      </c>
      <c r="V49" s="316"/>
      <c r="W49" s="18"/>
      <c r="CM49"/>
      <c r="CN49"/>
      <c r="CO49"/>
      <c r="CP49"/>
      <c r="CQ49"/>
      <c r="CR49"/>
      <c r="CS49"/>
      <c r="CT49"/>
      <c r="CU49"/>
      <c r="CV49"/>
      <c r="CW49"/>
      <c r="CX49"/>
      <c r="CY49"/>
    </row>
    <row r="50" spans="1:103" s="1" customFormat="1" ht="24.95" customHeight="1" x14ac:dyDescent="0.25">
      <c r="A50" s="273"/>
      <c r="B50" s="144">
        <v>44269</v>
      </c>
      <c r="C50" s="145">
        <v>0.29166666666666602</v>
      </c>
      <c r="D50" s="1653" t="s">
        <v>205</v>
      </c>
      <c r="E50" s="1654"/>
      <c r="F50" s="1654"/>
      <c r="G50" s="1654"/>
      <c r="H50" s="1654"/>
      <c r="I50" s="1654"/>
      <c r="J50" s="1654"/>
      <c r="K50" s="1654"/>
      <c r="L50" s="1654"/>
      <c r="M50" s="1654"/>
      <c r="N50" s="1654"/>
      <c r="O50" s="1654"/>
      <c r="P50" s="1654"/>
      <c r="Q50" s="1654"/>
      <c r="R50" s="1654"/>
      <c r="S50" s="1655"/>
      <c r="T50" s="149" t="s">
        <v>84</v>
      </c>
      <c r="U50" s="148" t="s">
        <v>236</v>
      </c>
      <c r="V50" s="316"/>
      <c r="W50" s="18"/>
      <c r="CM50"/>
      <c r="CN50"/>
      <c r="CO50"/>
      <c r="CP50"/>
      <c r="CQ50"/>
      <c r="CR50"/>
      <c r="CS50"/>
      <c r="CT50"/>
      <c r="CU50"/>
      <c r="CV50"/>
      <c r="CW50"/>
      <c r="CX50"/>
      <c r="CY50"/>
    </row>
    <row r="51" spans="1:103" s="1" customFormat="1" ht="24.95" customHeight="1" x14ac:dyDescent="0.25">
      <c r="A51" s="273"/>
      <c r="B51" s="144">
        <v>44270</v>
      </c>
      <c r="C51" s="145">
        <v>0.29166666666666602</v>
      </c>
      <c r="D51" s="1653" t="s">
        <v>205</v>
      </c>
      <c r="E51" s="1654"/>
      <c r="F51" s="1654"/>
      <c r="G51" s="1654"/>
      <c r="H51" s="1654"/>
      <c r="I51" s="1654"/>
      <c r="J51" s="1654"/>
      <c r="K51" s="1654"/>
      <c r="L51" s="1654"/>
      <c r="M51" s="1654"/>
      <c r="N51" s="1654"/>
      <c r="O51" s="1654"/>
      <c r="P51" s="1654"/>
      <c r="Q51" s="1654"/>
      <c r="R51" s="1654"/>
      <c r="S51" s="1655"/>
      <c r="T51" s="149" t="s">
        <v>84</v>
      </c>
      <c r="U51" s="148" t="s">
        <v>236</v>
      </c>
      <c r="V51" s="316"/>
      <c r="W51" s="18"/>
      <c r="CM51"/>
      <c r="CN51"/>
      <c r="CO51"/>
      <c r="CP51"/>
      <c r="CQ51"/>
      <c r="CR51"/>
      <c r="CS51"/>
      <c r="CT51"/>
      <c r="CU51"/>
      <c r="CV51"/>
      <c r="CW51"/>
      <c r="CX51"/>
      <c r="CY51"/>
    </row>
    <row r="52" spans="1:103" s="1" customFormat="1" ht="24.95" customHeight="1" x14ac:dyDescent="0.25">
      <c r="A52" s="273"/>
      <c r="B52" s="144">
        <v>44271</v>
      </c>
      <c r="C52" s="145">
        <v>0.29166666666666602</v>
      </c>
      <c r="D52" s="1653" t="s">
        <v>205</v>
      </c>
      <c r="E52" s="1654"/>
      <c r="F52" s="1654"/>
      <c r="G52" s="1654"/>
      <c r="H52" s="1654"/>
      <c r="I52" s="1654"/>
      <c r="J52" s="1654"/>
      <c r="K52" s="1654"/>
      <c r="L52" s="1654"/>
      <c r="M52" s="1654"/>
      <c r="N52" s="1654"/>
      <c r="O52" s="1654"/>
      <c r="P52" s="1654"/>
      <c r="Q52" s="1654"/>
      <c r="R52" s="1654"/>
      <c r="S52" s="1655"/>
      <c r="T52" s="149" t="s">
        <v>84</v>
      </c>
      <c r="U52" s="148" t="s">
        <v>236</v>
      </c>
      <c r="V52" s="316"/>
      <c r="W52" s="18"/>
      <c r="CM52"/>
      <c r="CN52"/>
      <c r="CO52"/>
      <c r="CP52"/>
      <c r="CQ52"/>
      <c r="CR52"/>
      <c r="CS52"/>
      <c r="CT52"/>
      <c r="CU52"/>
      <c r="CV52"/>
      <c r="CW52"/>
      <c r="CX52"/>
      <c r="CY52"/>
    </row>
    <row r="53" spans="1:103" s="1" customFormat="1" ht="24.95" customHeight="1" x14ac:dyDescent="0.25">
      <c r="A53" s="273"/>
      <c r="B53" s="144">
        <v>44272</v>
      </c>
      <c r="C53" s="145">
        <v>0.25</v>
      </c>
      <c r="D53" s="1653" t="s">
        <v>205</v>
      </c>
      <c r="E53" s="1654"/>
      <c r="F53" s="1654"/>
      <c r="G53" s="1654"/>
      <c r="H53" s="1654"/>
      <c r="I53" s="1654"/>
      <c r="J53" s="1654"/>
      <c r="K53" s="1654"/>
      <c r="L53" s="1654"/>
      <c r="M53" s="1654"/>
      <c r="N53" s="1654"/>
      <c r="O53" s="1654"/>
      <c r="P53" s="1654"/>
      <c r="Q53" s="1654"/>
      <c r="R53" s="1654"/>
      <c r="S53" s="1655"/>
      <c r="T53" s="149" t="s">
        <v>84</v>
      </c>
      <c r="U53" s="148" t="s">
        <v>236</v>
      </c>
      <c r="V53" s="316"/>
      <c r="W53" s="18"/>
      <c r="CM53"/>
      <c r="CN53"/>
      <c r="CO53"/>
      <c r="CP53"/>
      <c r="CQ53"/>
      <c r="CR53"/>
      <c r="CS53"/>
      <c r="CT53"/>
      <c r="CU53"/>
      <c r="CV53"/>
      <c r="CW53"/>
      <c r="CX53"/>
      <c r="CY53"/>
    </row>
    <row r="54" spans="1:103" s="1" customFormat="1" ht="24.95" customHeight="1" x14ac:dyDescent="0.25">
      <c r="A54" s="273"/>
      <c r="B54" s="144">
        <v>44273</v>
      </c>
      <c r="C54" s="145">
        <v>0.25</v>
      </c>
      <c r="D54" s="1653" t="s">
        <v>205</v>
      </c>
      <c r="E54" s="1654"/>
      <c r="F54" s="1654"/>
      <c r="G54" s="1654"/>
      <c r="H54" s="1654"/>
      <c r="I54" s="1654"/>
      <c r="J54" s="1654"/>
      <c r="K54" s="1654"/>
      <c r="L54" s="1654"/>
      <c r="M54" s="1654"/>
      <c r="N54" s="1654"/>
      <c r="O54" s="1654"/>
      <c r="P54" s="1654"/>
      <c r="Q54" s="1654"/>
      <c r="R54" s="1654"/>
      <c r="S54" s="1655"/>
      <c r="T54" s="149" t="s">
        <v>84</v>
      </c>
      <c r="U54" s="148" t="s">
        <v>236</v>
      </c>
      <c r="V54" s="316"/>
      <c r="W54" s="18"/>
      <c r="CM54"/>
      <c r="CN54"/>
      <c r="CO54"/>
      <c r="CP54"/>
      <c r="CQ54"/>
      <c r="CR54"/>
      <c r="CS54"/>
      <c r="CT54"/>
      <c r="CU54"/>
      <c r="CV54"/>
      <c r="CW54"/>
      <c r="CX54"/>
      <c r="CY54"/>
    </row>
    <row r="55" spans="1:103" s="1" customFormat="1" ht="24.95" customHeight="1" x14ac:dyDescent="0.25">
      <c r="A55" s="273"/>
      <c r="B55" s="144">
        <v>44274</v>
      </c>
      <c r="C55" s="145">
        <v>0.25</v>
      </c>
      <c r="D55" s="1653" t="s">
        <v>205</v>
      </c>
      <c r="E55" s="1654"/>
      <c r="F55" s="1654"/>
      <c r="G55" s="1654"/>
      <c r="H55" s="1654"/>
      <c r="I55" s="1654"/>
      <c r="J55" s="1654"/>
      <c r="K55" s="1654"/>
      <c r="L55" s="1654"/>
      <c r="M55" s="1654"/>
      <c r="N55" s="1654"/>
      <c r="O55" s="1654"/>
      <c r="P55" s="1654"/>
      <c r="Q55" s="1654"/>
      <c r="R55" s="1654"/>
      <c r="S55" s="1655"/>
      <c r="T55" s="149" t="s">
        <v>84</v>
      </c>
      <c r="U55" s="148" t="s">
        <v>236</v>
      </c>
      <c r="V55" s="316"/>
      <c r="W55" s="18"/>
      <c r="CM55"/>
      <c r="CN55"/>
      <c r="CO55"/>
      <c r="CP55"/>
      <c r="CQ55"/>
      <c r="CR55"/>
      <c r="CS55"/>
      <c r="CT55"/>
      <c r="CU55"/>
      <c r="CV55"/>
      <c r="CW55"/>
      <c r="CX55"/>
      <c r="CY55"/>
    </row>
    <row r="56" spans="1:103" s="1" customFormat="1" ht="24.95" customHeight="1" x14ac:dyDescent="0.25">
      <c r="A56" s="273"/>
      <c r="B56" s="144">
        <v>44275</v>
      </c>
      <c r="C56" s="145">
        <v>0.25</v>
      </c>
      <c r="D56" s="1653" t="s">
        <v>205</v>
      </c>
      <c r="E56" s="1654"/>
      <c r="F56" s="1654"/>
      <c r="G56" s="1654"/>
      <c r="H56" s="1654"/>
      <c r="I56" s="1654"/>
      <c r="J56" s="1654"/>
      <c r="K56" s="1654"/>
      <c r="L56" s="1654"/>
      <c r="M56" s="1654"/>
      <c r="N56" s="1654"/>
      <c r="O56" s="1654"/>
      <c r="P56" s="1654"/>
      <c r="Q56" s="1654"/>
      <c r="R56" s="1654"/>
      <c r="S56" s="1655"/>
      <c r="T56" s="149" t="s">
        <v>84</v>
      </c>
      <c r="U56" s="148" t="s">
        <v>236</v>
      </c>
      <c r="V56" s="316"/>
      <c r="W56" s="18"/>
      <c r="CM56"/>
      <c r="CN56"/>
      <c r="CO56"/>
      <c r="CP56"/>
      <c r="CQ56"/>
      <c r="CR56"/>
      <c r="CS56"/>
      <c r="CT56"/>
      <c r="CU56"/>
      <c r="CV56"/>
      <c r="CW56"/>
      <c r="CX56"/>
      <c r="CY56"/>
    </row>
    <row r="57" spans="1:103" s="1" customFormat="1" ht="24.95" customHeight="1" x14ac:dyDescent="0.25">
      <c r="A57" s="273"/>
      <c r="B57" s="144">
        <v>44276</v>
      </c>
      <c r="C57" s="145">
        <v>0.25</v>
      </c>
      <c r="D57" s="1653" t="s">
        <v>205</v>
      </c>
      <c r="E57" s="1654"/>
      <c r="F57" s="1654"/>
      <c r="G57" s="1654"/>
      <c r="H57" s="1654"/>
      <c r="I57" s="1654"/>
      <c r="J57" s="1654"/>
      <c r="K57" s="1654"/>
      <c r="L57" s="1654"/>
      <c r="M57" s="1654"/>
      <c r="N57" s="1654"/>
      <c r="O57" s="1654"/>
      <c r="P57" s="1654"/>
      <c r="Q57" s="1654"/>
      <c r="R57" s="1654"/>
      <c r="S57" s="1655"/>
      <c r="T57" s="149" t="s">
        <v>84</v>
      </c>
      <c r="U57" s="148" t="s">
        <v>236</v>
      </c>
      <c r="V57" s="316"/>
      <c r="W57" s="18"/>
      <c r="CM57"/>
      <c r="CN57"/>
      <c r="CO57"/>
      <c r="CP57"/>
      <c r="CQ57"/>
      <c r="CR57"/>
      <c r="CS57"/>
      <c r="CT57"/>
      <c r="CU57"/>
      <c r="CV57"/>
      <c r="CW57"/>
      <c r="CX57"/>
      <c r="CY57"/>
    </row>
    <row r="58" spans="1:103" s="1" customFormat="1" ht="24.95" customHeight="1" x14ac:dyDescent="0.25">
      <c r="A58" s="273"/>
      <c r="B58" s="144">
        <v>44277</v>
      </c>
      <c r="C58" s="145">
        <v>0.25</v>
      </c>
      <c r="D58" s="1653" t="s">
        <v>205</v>
      </c>
      <c r="E58" s="1654"/>
      <c r="F58" s="1654"/>
      <c r="G58" s="1654"/>
      <c r="H58" s="1654"/>
      <c r="I58" s="1654"/>
      <c r="J58" s="1654"/>
      <c r="K58" s="1654"/>
      <c r="L58" s="1654"/>
      <c r="M58" s="1654"/>
      <c r="N58" s="1654"/>
      <c r="O58" s="1654"/>
      <c r="P58" s="1654"/>
      <c r="Q58" s="1654"/>
      <c r="R58" s="1654"/>
      <c r="S58" s="1655"/>
      <c r="T58" s="149" t="s">
        <v>84</v>
      </c>
      <c r="U58" s="148" t="s">
        <v>236</v>
      </c>
      <c r="V58" s="316"/>
      <c r="W58" s="18"/>
      <c r="CM58"/>
      <c r="CN58"/>
      <c r="CO58"/>
      <c r="CP58"/>
      <c r="CQ58"/>
      <c r="CR58"/>
      <c r="CS58"/>
      <c r="CT58"/>
      <c r="CU58"/>
      <c r="CV58"/>
      <c r="CW58"/>
      <c r="CX58"/>
      <c r="CY58"/>
    </row>
    <row r="59" spans="1:103" s="1" customFormat="1" ht="24.95" customHeight="1" x14ac:dyDescent="0.25">
      <c r="A59" s="273"/>
      <c r="B59" s="144">
        <v>44278</v>
      </c>
      <c r="C59" s="145">
        <v>0.25</v>
      </c>
      <c r="D59" s="1653" t="s">
        <v>205</v>
      </c>
      <c r="E59" s="1654"/>
      <c r="F59" s="1654"/>
      <c r="G59" s="1654"/>
      <c r="H59" s="1654"/>
      <c r="I59" s="1654"/>
      <c r="J59" s="1654"/>
      <c r="K59" s="1654"/>
      <c r="L59" s="1654"/>
      <c r="M59" s="1654"/>
      <c r="N59" s="1654"/>
      <c r="O59" s="1654"/>
      <c r="P59" s="1654"/>
      <c r="Q59" s="1654"/>
      <c r="R59" s="1654"/>
      <c r="S59" s="1655"/>
      <c r="T59" s="149" t="s">
        <v>84</v>
      </c>
      <c r="U59" s="148" t="s">
        <v>236</v>
      </c>
      <c r="V59" s="316"/>
      <c r="W59" s="18"/>
      <c r="CM59"/>
      <c r="CN59"/>
      <c r="CO59"/>
      <c r="CP59"/>
      <c r="CQ59"/>
      <c r="CR59"/>
      <c r="CS59"/>
      <c r="CT59"/>
      <c r="CU59"/>
      <c r="CV59"/>
      <c r="CW59"/>
      <c r="CX59"/>
      <c r="CY59"/>
    </row>
    <row r="60" spans="1:103" s="1" customFormat="1" ht="24.95" customHeight="1" x14ac:dyDescent="0.25">
      <c r="A60" s="273"/>
      <c r="B60" s="144">
        <v>44279</v>
      </c>
      <c r="C60" s="145">
        <v>0.25</v>
      </c>
      <c r="D60" s="1653" t="s">
        <v>205</v>
      </c>
      <c r="E60" s="1654"/>
      <c r="F60" s="1654"/>
      <c r="G60" s="1654"/>
      <c r="H60" s="1654"/>
      <c r="I60" s="1654"/>
      <c r="J60" s="1654"/>
      <c r="K60" s="1654"/>
      <c r="L60" s="1654"/>
      <c r="M60" s="1654"/>
      <c r="N60" s="1654"/>
      <c r="O60" s="1654"/>
      <c r="P60" s="1654"/>
      <c r="Q60" s="1654"/>
      <c r="R60" s="1654"/>
      <c r="S60" s="1655"/>
      <c r="T60" s="149" t="s">
        <v>84</v>
      </c>
      <c r="U60" s="148" t="s">
        <v>236</v>
      </c>
      <c r="V60" s="316"/>
      <c r="W60" s="18"/>
      <c r="CM60"/>
      <c r="CN60"/>
      <c r="CO60"/>
      <c r="CP60"/>
      <c r="CQ60"/>
      <c r="CR60"/>
      <c r="CS60"/>
      <c r="CT60"/>
      <c r="CU60"/>
      <c r="CV60"/>
      <c r="CW60"/>
      <c r="CX60"/>
      <c r="CY60"/>
    </row>
    <row r="61" spans="1:103" s="1" customFormat="1" ht="24.95" customHeight="1" x14ac:dyDescent="0.25">
      <c r="A61" s="273"/>
      <c r="B61" s="144">
        <v>44280</v>
      </c>
      <c r="C61" s="145">
        <v>0.25</v>
      </c>
      <c r="D61" s="1653" t="s">
        <v>205</v>
      </c>
      <c r="E61" s="1654"/>
      <c r="F61" s="1654"/>
      <c r="G61" s="1654"/>
      <c r="H61" s="1654"/>
      <c r="I61" s="1654"/>
      <c r="J61" s="1654"/>
      <c r="K61" s="1654"/>
      <c r="L61" s="1654"/>
      <c r="M61" s="1654"/>
      <c r="N61" s="1654"/>
      <c r="O61" s="1654"/>
      <c r="P61" s="1654"/>
      <c r="Q61" s="1654"/>
      <c r="R61" s="1654"/>
      <c r="S61" s="1655"/>
      <c r="T61" s="149" t="s">
        <v>84</v>
      </c>
      <c r="U61" s="148" t="s">
        <v>236</v>
      </c>
      <c r="V61" s="316"/>
      <c r="W61" s="18"/>
      <c r="CM61"/>
      <c r="CN61"/>
      <c r="CO61"/>
      <c r="CP61"/>
      <c r="CQ61"/>
      <c r="CR61"/>
      <c r="CS61"/>
      <c r="CT61"/>
      <c r="CU61"/>
      <c r="CV61"/>
      <c r="CW61"/>
      <c r="CX61"/>
      <c r="CY61"/>
    </row>
    <row r="62" spans="1:103" s="1" customFormat="1" ht="24.95" customHeight="1" x14ac:dyDescent="0.25">
      <c r="A62" s="273"/>
      <c r="B62" s="144">
        <v>44281</v>
      </c>
      <c r="C62" s="145">
        <v>0.25</v>
      </c>
      <c r="D62" s="1653" t="s">
        <v>205</v>
      </c>
      <c r="E62" s="1654"/>
      <c r="F62" s="1654"/>
      <c r="G62" s="1654"/>
      <c r="H62" s="1654"/>
      <c r="I62" s="1654"/>
      <c r="J62" s="1654"/>
      <c r="K62" s="1654"/>
      <c r="L62" s="1654"/>
      <c r="M62" s="1654"/>
      <c r="N62" s="1654"/>
      <c r="O62" s="1654"/>
      <c r="P62" s="1654"/>
      <c r="Q62" s="1654"/>
      <c r="R62" s="1654"/>
      <c r="S62" s="1655"/>
      <c r="T62" s="149" t="s">
        <v>84</v>
      </c>
      <c r="U62" s="148" t="s">
        <v>236</v>
      </c>
      <c r="V62" s="316"/>
      <c r="W62" s="18"/>
      <c r="CM62"/>
      <c r="CN62"/>
      <c r="CO62"/>
      <c r="CP62"/>
      <c r="CQ62"/>
      <c r="CR62"/>
      <c r="CS62"/>
      <c r="CT62"/>
      <c r="CU62"/>
      <c r="CV62"/>
      <c r="CW62"/>
      <c r="CX62"/>
      <c r="CY62"/>
    </row>
    <row r="63" spans="1:103" s="1" customFormat="1" ht="24.95" customHeight="1" x14ac:dyDescent="0.25">
      <c r="A63" s="273"/>
      <c r="B63" s="144">
        <v>44282</v>
      </c>
      <c r="C63" s="145">
        <v>0.25</v>
      </c>
      <c r="D63" s="1653" t="s">
        <v>205</v>
      </c>
      <c r="E63" s="1654"/>
      <c r="F63" s="1654"/>
      <c r="G63" s="1654"/>
      <c r="H63" s="1654"/>
      <c r="I63" s="1654"/>
      <c r="J63" s="1654"/>
      <c r="K63" s="1654"/>
      <c r="L63" s="1654"/>
      <c r="M63" s="1654"/>
      <c r="N63" s="1654"/>
      <c r="O63" s="1654"/>
      <c r="P63" s="1654"/>
      <c r="Q63" s="1654"/>
      <c r="R63" s="1654"/>
      <c r="S63" s="1655"/>
      <c r="T63" s="149" t="s">
        <v>84</v>
      </c>
      <c r="U63" s="148" t="s">
        <v>236</v>
      </c>
      <c r="V63" s="316"/>
      <c r="W63" s="18"/>
      <c r="CM63"/>
      <c r="CN63"/>
      <c r="CO63"/>
      <c r="CP63"/>
      <c r="CQ63"/>
      <c r="CR63"/>
      <c r="CS63"/>
      <c r="CT63"/>
      <c r="CU63"/>
      <c r="CV63"/>
      <c r="CW63"/>
      <c r="CX63"/>
      <c r="CY63"/>
    </row>
    <row r="64" spans="1:103" s="1" customFormat="1" ht="24.95" customHeight="1" x14ac:dyDescent="0.25">
      <c r="A64" s="273"/>
      <c r="B64" s="144">
        <v>44283</v>
      </c>
      <c r="C64" s="145">
        <v>0.25</v>
      </c>
      <c r="D64" s="1653" t="s">
        <v>205</v>
      </c>
      <c r="E64" s="1654"/>
      <c r="F64" s="1654"/>
      <c r="G64" s="1654"/>
      <c r="H64" s="1654"/>
      <c r="I64" s="1654"/>
      <c r="J64" s="1654"/>
      <c r="K64" s="1654"/>
      <c r="L64" s="1654"/>
      <c r="M64" s="1654"/>
      <c r="N64" s="1654"/>
      <c r="O64" s="1654"/>
      <c r="P64" s="1654"/>
      <c r="Q64" s="1654"/>
      <c r="R64" s="1654"/>
      <c r="S64" s="1655"/>
      <c r="T64" s="149" t="s">
        <v>84</v>
      </c>
      <c r="U64" s="148" t="s">
        <v>236</v>
      </c>
      <c r="V64" s="316"/>
      <c r="W64" s="18"/>
      <c r="CM64"/>
      <c r="CN64"/>
      <c r="CO64"/>
      <c r="CP64"/>
      <c r="CQ64"/>
      <c r="CR64"/>
      <c r="CS64"/>
      <c r="CT64"/>
      <c r="CU64"/>
      <c r="CV64"/>
      <c r="CW64"/>
      <c r="CX64"/>
      <c r="CY64"/>
    </row>
    <row r="65" spans="1:103" s="1" customFormat="1" ht="24.95" customHeight="1" x14ac:dyDescent="0.25">
      <c r="A65" s="273"/>
      <c r="B65" s="144">
        <v>44284</v>
      </c>
      <c r="C65" s="145">
        <v>0.25</v>
      </c>
      <c r="D65" s="1653" t="s">
        <v>205</v>
      </c>
      <c r="E65" s="1654"/>
      <c r="F65" s="1654"/>
      <c r="G65" s="1654"/>
      <c r="H65" s="1654"/>
      <c r="I65" s="1654"/>
      <c r="J65" s="1654"/>
      <c r="K65" s="1654"/>
      <c r="L65" s="1654"/>
      <c r="M65" s="1654"/>
      <c r="N65" s="1654"/>
      <c r="O65" s="1654"/>
      <c r="P65" s="1654"/>
      <c r="Q65" s="1654"/>
      <c r="R65" s="1654"/>
      <c r="S65" s="1655"/>
      <c r="T65" s="149" t="s">
        <v>84</v>
      </c>
      <c r="U65" s="148" t="s">
        <v>236</v>
      </c>
      <c r="V65" s="316"/>
      <c r="W65" s="18"/>
      <c r="CM65"/>
      <c r="CN65"/>
      <c r="CO65"/>
      <c r="CP65"/>
      <c r="CQ65"/>
      <c r="CR65"/>
      <c r="CS65"/>
      <c r="CT65"/>
      <c r="CU65"/>
      <c r="CV65"/>
      <c r="CW65"/>
      <c r="CX65"/>
      <c r="CY65"/>
    </row>
    <row r="66" spans="1:103" s="1" customFormat="1" ht="24.95" customHeight="1" x14ac:dyDescent="0.25">
      <c r="A66" s="273"/>
      <c r="B66" s="144">
        <v>44285</v>
      </c>
      <c r="C66" s="145">
        <v>0.25</v>
      </c>
      <c r="D66" s="1653" t="s">
        <v>205</v>
      </c>
      <c r="E66" s="1654"/>
      <c r="F66" s="1654"/>
      <c r="G66" s="1654"/>
      <c r="H66" s="1654"/>
      <c r="I66" s="1654"/>
      <c r="J66" s="1654"/>
      <c r="K66" s="1654"/>
      <c r="L66" s="1654"/>
      <c r="M66" s="1654"/>
      <c r="N66" s="1654"/>
      <c r="O66" s="1654"/>
      <c r="P66" s="1654"/>
      <c r="Q66" s="1654"/>
      <c r="R66" s="1654"/>
      <c r="S66" s="1655"/>
      <c r="T66" s="149" t="s">
        <v>84</v>
      </c>
      <c r="U66" s="148" t="s">
        <v>236</v>
      </c>
      <c r="V66" s="316"/>
      <c r="W66" s="18"/>
      <c r="CM66"/>
      <c r="CN66"/>
      <c r="CO66"/>
      <c r="CP66"/>
      <c r="CQ66"/>
      <c r="CR66"/>
      <c r="CS66"/>
      <c r="CT66"/>
      <c r="CU66"/>
      <c r="CV66"/>
      <c r="CW66"/>
      <c r="CX66"/>
      <c r="CY66"/>
    </row>
    <row r="67" spans="1:103" s="1" customFormat="1" ht="24.95" customHeight="1" x14ac:dyDescent="0.25">
      <c r="A67" s="273"/>
      <c r="B67" s="144">
        <v>44286</v>
      </c>
      <c r="C67" s="145">
        <v>0.25</v>
      </c>
      <c r="D67" s="1653" t="s">
        <v>205</v>
      </c>
      <c r="E67" s="1654"/>
      <c r="F67" s="1654"/>
      <c r="G67" s="1654"/>
      <c r="H67" s="1654"/>
      <c r="I67" s="1654"/>
      <c r="J67" s="1654"/>
      <c r="K67" s="1654"/>
      <c r="L67" s="1654"/>
      <c r="M67" s="1654"/>
      <c r="N67" s="1654"/>
      <c r="O67" s="1654"/>
      <c r="P67" s="1654"/>
      <c r="Q67" s="1654"/>
      <c r="R67" s="1654"/>
      <c r="S67" s="1655"/>
      <c r="T67" s="149" t="s">
        <v>84</v>
      </c>
      <c r="U67" s="148" t="s">
        <v>236</v>
      </c>
      <c r="V67" s="316"/>
      <c r="W67" s="18"/>
      <c r="CM67"/>
      <c r="CN67"/>
      <c r="CO67"/>
      <c r="CP67"/>
      <c r="CQ67"/>
      <c r="CR67"/>
      <c r="CS67"/>
      <c r="CT67"/>
      <c r="CU67"/>
      <c r="CV67"/>
      <c r="CW67"/>
      <c r="CX67"/>
      <c r="CY67"/>
    </row>
    <row r="68" spans="1:103" s="1" customFormat="1" ht="23.25" customHeight="1" x14ac:dyDescent="0.25">
      <c r="A68" s="273"/>
      <c r="B68" s="144">
        <v>44287</v>
      </c>
      <c r="C68" s="145">
        <v>0.25</v>
      </c>
      <c r="D68" s="1653" t="s">
        <v>205</v>
      </c>
      <c r="E68" s="1654"/>
      <c r="F68" s="1654"/>
      <c r="G68" s="1654"/>
      <c r="H68" s="1654"/>
      <c r="I68" s="1654"/>
      <c r="J68" s="1654"/>
      <c r="K68" s="1654"/>
      <c r="L68" s="1654"/>
      <c r="M68" s="1654"/>
      <c r="N68" s="1654"/>
      <c r="O68" s="1654"/>
      <c r="P68" s="1654"/>
      <c r="Q68" s="1654"/>
      <c r="R68" s="1654"/>
      <c r="S68" s="1655"/>
      <c r="T68" s="149" t="s">
        <v>84</v>
      </c>
      <c r="U68" s="148" t="s">
        <v>236</v>
      </c>
      <c r="V68" s="316"/>
      <c r="W68" s="18"/>
      <c r="CM68"/>
      <c r="CN68"/>
      <c r="CO68"/>
      <c r="CP68"/>
      <c r="CQ68"/>
      <c r="CR68"/>
      <c r="CS68"/>
      <c r="CT68"/>
      <c r="CU68"/>
      <c r="CV68"/>
      <c r="CW68"/>
      <c r="CX68"/>
      <c r="CY68"/>
    </row>
    <row r="69" spans="1:103" s="1" customFormat="1" ht="24.95" customHeight="1" x14ac:dyDescent="0.25">
      <c r="A69" s="273"/>
      <c r="B69" s="144">
        <v>44288</v>
      </c>
      <c r="C69" s="145">
        <v>0.25</v>
      </c>
      <c r="D69" s="1653" t="s">
        <v>205</v>
      </c>
      <c r="E69" s="1654"/>
      <c r="F69" s="1654"/>
      <c r="G69" s="1654"/>
      <c r="H69" s="1654"/>
      <c r="I69" s="1654"/>
      <c r="J69" s="1654"/>
      <c r="K69" s="1654"/>
      <c r="L69" s="1654"/>
      <c r="M69" s="1654"/>
      <c r="N69" s="1654"/>
      <c r="O69" s="1654"/>
      <c r="P69" s="1654"/>
      <c r="Q69" s="1654"/>
      <c r="R69" s="1654"/>
      <c r="S69" s="1655"/>
      <c r="T69" s="149" t="s">
        <v>84</v>
      </c>
      <c r="U69" s="148" t="s">
        <v>236</v>
      </c>
      <c r="V69" s="316"/>
      <c r="W69" s="18"/>
      <c r="CM69"/>
      <c r="CN69"/>
      <c r="CO69"/>
      <c r="CP69"/>
      <c r="CQ69"/>
      <c r="CR69"/>
      <c r="CS69"/>
      <c r="CT69"/>
      <c r="CU69"/>
      <c r="CV69"/>
      <c r="CW69"/>
      <c r="CX69"/>
      <c r="CY69"/>
    </row>
    <row r="70" spans="1:103" s="1" customFormat="1" ht="24.95" customHeight="1" x14ac:dyDescent="0.25">
      <c r="A70" s="273"/>
      <c r="B70" s="144">
        <v>44289</v>
      </c>
      <c r="C70" s="145">
        <v>0.25</v>
      </c>
      <c r="D70" s="1653" t="s">
        <v>205</v>
      </c>
      <c r="E70" s="1654"/>
      <c r="F70" s="1654"/>
      <c r="G70" s="1654"/>
      <c r="H70" s="1654"/>
      <c r="I70" s="1654"/>
      <c r="J70" s="1654"/>
      <c r="K70" s="1654"/>
      <c r="L70" s="1654"/>
      <c r="M70" s="1654"/>
      <c r="N70" s="1654"/>
      <c r="O70" s="1654"/>
      <c r="P70" s="1654"/>
      <c r="Q70" s="1654"/>
      <c r="R70" s="1654"/>
      <c r="S70" s="1655"/>
      <c r="T70" s="149" t="s">
        <v>84</v>
      </c>
      <c r="U70" s="148" t="s">
        <v>236</v>
      </c>
      <c r="V70" s="316"/>
      <c r="W70" s="18"/>
      <c r="CM70"/>
      <c r="CN70"/>
      <c r="CO70"/>
      <c r="CP70"/>
      <c r="CQ70"/>
      <c r="CR70"/>
      <c r="CS70"/>
      <c r="CT70"/>
      <c r="CU70"/>
      <c r="CV70"/>
      <c r="CW70"/>
      <c r="CX70"/>
      <c r="CY70"/>
    </row>
    <row r="71" spans="1:103" s="1" customFormat="1" ht="24.95" customHeight="1" x14ac:dyDescent="0.25">
      <c r="A71" s="273"/>
      <c r="B71" s="144">
        <v>44290</v>
      </c>
      <c r="C71" s="145">
        <v>0.25</v>
      </c>
      <c r="D71" s="1653" t="s">
        <v>205</v>
      </c>
      <c r="E71" s="1654"/>
      <c r="F71" s="1654"/>
      <c r="G71" s="1654"/>
      <c r="H71" s="1654"/>
      <c r="I71" s="1654"/>
      <c r="J71" s="1654"/>
      <c r="K71" s="1654"/>
      <c r="L71" s="1654"/>
      <c r="M71" s="1654"/>
      <c r="N71" s="1654"/>
      <c r="O71" s="1654"/>
      <c r="P71" s="1654"/>
      <c r="Q71" s="1654"/>
      <c r="R71" s="1654"/>
      <c r="S71" s="1655"/>
      <c r="T71" s="149" t="s">
        <v>84</v>
      </c>
      <c r="U71" s="148" t="s">
        <v>236</v>
      </c>
      <c r="V71" s="316"/>
      <c r="W71" s="18"/>
      <c r="CM71"/>
      <c r="CN71"/>
      <c r="CO71"/>
      <c r="CP71"/>
      <c r="CQ71"/>
      <c r="CR71"/>
      <c r="CS71"/>
      <c r="CT71"/>
      <c r="CU71"/>
      <c r="CV71"/>
      <c r="CW71"/>
      <c r="CX71"/>
      <c r="CY71"/>
    </row>
    <row r="72" spans="1:103" s="1" customFormat="1" ht="24.95" customHeight="1" x14ac:dyDescent="0.25">
      <c r="A72" s="273"/>
      <c r="B72" s="144">
        <v>44291</v>
      </c>
      <c r="C72" s="145">
        <v>0.25</v>
      </c>
      <c r="D72" s="1653" t="s">
        <v>205</v>
      </c>
      <c r="E72" s="1654"/>
      <c r="F72" s="1654"/>
      <c r="G72" s="1654"/>
      <c r="H72" s="1654"/>
      <c r="I72" s="1654"/>
      <c r="J72" s="1654"/>
      <c r="K72" s="1654"/>
      <c r="L72" s="1654"/>
      <c r="M72" s="1654"/>
      <c r="N72" s="1654"/>
      <c r="O72" s="1654"/>
      <c r="P72" s="1654"/>
      <c r="Q72" s="1654"/>
      <c r="R72" s="1654"/>
      <c r="S72" s="1655"/>
      <c r="T72" s="149" t="s">
        <v>84</v>
      </c>
      <c r="U72" s="148" t="s">
        <v>236</v>
      </c>
      <c r="V72" s="316"/>
      <c r="W72" s="18"/>
      <c r="CM72"/>
      <c r="CN72"/>
      <c r="CO72"/>
      <c r="CP72"/>
      <c r="CQ72"/>
      <c r="CR72"/>
      <c r="CS72"/>
      <c r="CT72"/>
      <c r="CU72"/>
      <c r="CV72"/>
      <c r="CW72"/>
      <c r="CX72"/>
      <c r="CY72"/>
    </row>
    <row r="73" spans="1:103" s="1" customFormat="1" ht="24.95" customHeight="1" x14ac:dyDescent="0.25">
      <c r="A73" s="273"/>
      <c r="B73" s="144">
        <v>44292</v>
      </c>
      <c r="C73" s="145">
        <v>0.25</v>
      </c>
      <c r="D73" s="1653" t="s">
        <v>205</v>
      </c>
      <c r="E73" s="1654"/>
      <c r="F73" s="1654"/>
      <c r="G73" s="1654"/>
      <c r="H73" s="1654"/>
      <c r="I73" s="1654"/>
      <c r="J73" s="1654"/>
      <c r="K73" s="1654"/>
      <c r="L73" s="1654"/>
      <c r="M73" s="1654"/>
      <c r="N73" s="1654"/>
      <c r="O73" s="1654"/>
      <c r="P73" s="1654"/>
      <c r="Q73" s="1654"/>
      <c r="R73" s="1654"/>
      <c r="S73" s="1655"/>
      <c r="T73" s="149" t="s">
        <v>84</v>
      </c>
      <c r="U73" s="148" t="s">
        <v>236</v>
      </c>
      <c r="V73" s="316"/>
      <c r="W73" s="18"/>
      <c r="CM73"/>
      <c r="CN73"/>
      <c r="CO73"/>
      <c r="CP73"/>
      <c r="CQ73"/>
      <c r="CR73"/>
      <c r="CS73"/>
      <c r="CT73"/>
      <c r="CU73"/>
      <c r="CV73"/>
      <c r="CW73"/>
      <c r="CX73"/>
      <c r="CY73"/>
    </row>
    <row r="74" spans="1:103" s="1" customFormat="1" ht="24.95" customHeight="1" x14ac:dyDescent="0.25">
      <c r="A74" s="273"/>
      <c r="B74" s="144">
        <v>44293</v>
      </c>
      <c r="C74" s="145">
        <v>0.25</v>
      </c>
      <c r="D74" s="1653" t="s">
        <v>205</v>
      </c>
      <c r="E74" s="1654"/>
      <c r="F74" s="1654"/>
      <c r="G74" s="1654"/>
      <c r="H74" s="1654"/>
      <c r="I74" s="1654"/>
      <c r="J74" s="1654"/>
      <c r="K74" s="1654"/>
      <c r="L74" s="1654"/>
      <c r="M74" s="1654"/>
      <c r="N74" s="1654"/>
      <c r="O74" s="1654"/>
      <c r="P74" s="1654"/>
      <c r="Q74" s="1654"/>
      <c r="R74" s="1654"/>
      <c r="S74" s="1655"/>
      <c r="T74" s="149" t="s">
        <v>84</v>
      </c>
      <c r="U74" s="148" t="s">
        <v>236</v>
      </c>
      <c r="V74" s="316"/>
      <c r="W74" s="18"/>
      <c r="CM74"/>
      <c r="CN74"/>
      <c r="CO74"/>
      <c r="CP74"/>
      <c r="CQ74"/>
      <c r="CR74"/>
      <c r="CS74"/>
      <c r="CT74"/>
      <c r="CU74"/>
      <c r="CV74"/>
      <c r="CW74"/>
      <c r="CX74"/>
      <c r="CY74"/>
    </row>
    <row r="75" spans="1:103" s="1" customFormat="1" ht="24.95" customHeight="1" x14ac:dyDescent="0.25">
      <c r="A75" s="273"/>
      <c r="B75" s="144">
        <v>44294</v>
      </c>
      <c r="C75" s="145">
        <v>0.25</v>
      </c>
      <c r="D75" s="1653" t="s">
        <v>205</v>
      </c>
      <c r="E75" s="1654"/>
      <c r="F75" s="1654"/>
      <c r="G75" s="1654"/>
      <c r="H75" s="1654"/>
      <c r="I75" s="1654"/>
      <c r="J75" s="1654"/>
      <c r="K75" s="1654"/>
      <c r="L75" s="1654"/>
      <c r="M75" s="1654"/>
      <c r="N75" s="1654"/>
      <c r="O75" s="1654"/>
      <c r="P75" s="1654"/>
      <c r="Q75" s="1654"/>
      <c r="R75" s="1654"/>
      <c r="S75" s="1655"/>
      <c r="T75" s="149" t="s">
        <v>84</v>
      </c>
      <c r="U75" s="148" t="s">
        <v>236</v>
      </c>
      <c r="V75" s="316"/>
      <c r="W75" s="18"/>
      <c r="CM75"/>
      <c r="CN75"/>
      <c r="CO75"/>
      <c r="CP75"/>
      <c r="CQ75"/>
      <c r="CR75"/>
      <c r="CS75"/>
      <c r="CT75"/>
      <c r="CU75"/>
      <c r="CV75"/>
      <c r="CW75"/>
      <c r="CX75"/>
      <c r="CY75"/>
    </row>
    <row r="76" spans="1:103" s="1" customFormat="1" ht="24.95" customHeight="1" x14ac:dyDescent="0.25">
      <c r="A76" s="273"/>
      <c r="B76" s="144">
        <v>44295</v>
      </c>
      <c r="C76" s="145">
        <v>0.25</v>
      </c>
      <c r="D76" s="1653" t="s">
        <v>205</v>
      </c>
      <c r="E76" s="1654"/>
      <c r="F76" s="1654"/>
      <c r="G76" s="1654"/>
      <c r="H76" s="1654"/>
      <c r="I76" s="1654"/>
      <c r="J76" s="1654"/>
      <c r="K76" s="1654"/>
      <c r="L76" s="1654"/>
      <c r="M76" s="1654"/>
      <c r="N76" s="1654"/>
      <c r="O76" s="1654"/>
      <c r="P76" s="1654"/>
      <c r="Q76" s="1654"/>
      <c r="R76" s="1654"/>
      <c r="S76" s="1655"/>
      <c r="T76" s="149" t="s">
        <v>84</v>
      </c>
      <c r="U76" s="148" t="s">
        <v>236</v>
      </c>
      <c r="V76" s="316"/>
      <c r="W76" s="18"/>
      <c r="CM76"/>
      <c r="CN76"/>
      <c r="CO76"/>
      <c r="CP76"/>
      <c r="CQ76"/>
      <c r="CR76"/>
      <c r="CS76"/>
      <c r="CT76"/>
      <c r="CU76"/>
      <c r="CV76"/>
      <c r="CW76"/>
      <c r="CX76"/>
      <c r="CY76"/>
    </row>
    <row r="77" spans="1:103" s="1" customFormat="1" ht="24.95" customHeight="1" x14ac:dyDescent="0.25">
      <c r="A77" s="273"/>
      <c r="B77" s="144">
        <v>44296</v>
      </c>
      <c r="C77" s="145">
        <v>0.25</v>
      </c>
      <c r="D77" s="1653" t="s">
        <v>205</v>
      </c>
      <c r="E77" s="1654"/>
      <c r="F77" s="1654"/>
      <c r="G77" s="1654"/>
      <c r="H77" s="1654"/>
      <c r="I77" s="1654"/>
      <c r="J77" s="1654"/>
      <c r="K77" s="1654"/>
      <c r="L77" s="1654"/>
      <c r="M77" s="1654"/>
      <c r="N77" s="1654"/>
      <c r="O77" s="1654"/>
      <c r="P77" s="1654"/>
      <c r="Q77" s="1654"/>
      <c r="R77" s="1654"/>
      <c r="S77" s="1655"/>
      <c r="T77" s="149" t="s">
        <v>84</v>
      </c>
      <c r="U77" s="148" t="s">
        <v>236</v>
      </c>
      <c r="V77" s="316"/>
      <c r="W77" s="18"/>
      <c r="CM77"/>
      <c r="CN77"/>
      <c r="CO77"/>
      <c r="CP77"/>
      <c r="CQ77"/>
      <c r="CR77"/>
      <c r="CS77"/>
      <c r="CT77"/>
      <c r="CU77"/>
      <c r="CV77"/>
      <c r="CW77"/>
      <c r="CX77"/>
      <c r="CY77"/>
    </row>
    <row r="78" spans="1:103" s="1" customFormat="1" ht="24.95" customHeight="1" x14ac:dyDescent="0.25">
      <c r="A78" s="273"/>
      <c r="B78" s="144">
        <v>44297</v>
      </c>
      <c r="C78" s="145">
        <v>0.25</v>
      </c>
      <c r="D78" s="1653" t="s">
        <v>205</v>
      </c>
      <c r="E78" s="1654"/>
      <c r="F78" s="1654"/>
      <c r="G78" s="1654"/>
      <c r="H78" s="1654"/>
      <c r="I78" s="1654"/>
      <c r="J78" s="1654"/>
      <c r="K78" s="1654"/>
      <c r="L78" s="1654"/>
      <c r="M78" s="1654"/>
      <c r="N78" s="1654"/>
      <c r="O78" s="1654"/>
      <c r="P78" s="1654"/>
      <c r="Q78" s="1654"/>
      <c r="R78" s="1654"/>
      <c r="S78" s="1655"/>
      <c r="T78" s="149" t="s">
        <v>84</v>
      </c>
      <c r="U78" s="148" t="s">
        <v>236</v>
      </c>
      <c r="V78" s="316"/>
      <c r="W78" s="18"/>
      <c r="CM78"/>
      <c r="CN78"/>
      <c r="CO78"/>
      <c r="CP78"/>
      <c r="CQ78"/>
      <c r="CR78"/>
      <c r="CS78"/>
      <c r="CT78"/>
      <c r="CU78"/>
      <c r="CV78"/>
      <c r="CW78"/>
      <c r="CX78"/>
      <c r="CY78"/>
    </row>
    <row r="79" spans="1:103" s="1" customFormat="1" ht="24.95" customHeight="1" x14ac:dyDescent="0.25">
      <c r="A79" s="273"/>
      <c r="B79" s="144">
        <v>44298</v>
      </c>
      <c r="C79" s="145">
        <v>0.25</v>
      </c>
      <c r="D79" s="1653" t="s">
        <v>205</v>
      </c>
      <c r="E79" s="1654"/>
      <c r="F79" s="1654"/>
      <c r="G79" s="1654"/>
      <c r="H79" s="1654"/>
      <c r="I79" s="1654"/>
      <c r="J79" s="1654"/>
      <c r="K79" s="1654"/>
      <c r="L79" s="1654"/>
      <c r="M79" s="1654"/>
      <c r="N79" s="1654"/>
      <c r="O79" s="1654"/>
      <c r="P79" s="1654"/>
      <c r="Q79" s="1654"/>
      <c r="R79" s="1654"/>
      <c r="S79" s="1655"/>
      <c r="T79" s="149" t="s">
        <v>84</v>
      </c>
      <c r="U79" s="148" t="s">
        <v>236</v>
      </c>
      <c r="V79" s="316"/>
      <c r="W79" s="18"/>
      <c r="CM79"/>
      <c r="CN79"/>
      <c r="CO79"/>
      <c r="CP79"/>
      <c r="CQ79"/>
      <c r="CR79"/>
      <c r="CS79"/>
      <c r="CT79"/>
      <c r="CU79"/>
      <c r="CV79"/>
      <c r="CW79"/>
      <c r="CX79"/>
      <c r="CY79"/>
    </row>
    <row r="80" spans="1:103" s="1" customFormat="1" ht="24.95" customHeight="1" x14ac:dyDescent="0.25">
      <c r="A80" s="273"/>
      <c r="B80" s="144">
        <v>44299</v>
      </c>
      <c r="C80" s="145">
        <v>0.25</v>
      </c>
      <c r="D80" s="1653" t="s">
        <v>205</v>
      </c>
      <c r="E80" s="1654"/>
      <c r="F80" s="1654"/>
      <c r="G80" s="1654"/>
      <c r="H80" s="1654"/>
      <c r="I80" s="1654"/>
      <c r="J80" s="1654"/>
      <c r="K80" s="1654"/>
      <c r="L80" s="1654"/>
      <c r="M80" s="1654"/>
      <c r="N80" s="1654"/>
      <c r="O80" s="1654"/>
      <c r="P80" s="1654"/>
      <c r="Q80" s="1654"/>
      <c r="R80" s="1654"/>
      <c r="S80" s="1655"/>
      <c r="T80" s="149" t="s">
        <v>84</v>
      </c>
      <c r="U80" s="148" t="s">
        <v>236</v>
      </c>
      <c r="V80" s="316"/>
      <c r="W80" s="18"/>
      <c r="CM80"/>
      <c r="CN80"/>
      <c r="CO80"/>
      <c r="CP80"/>
      <c r="CQ80"/>
      <c r="CR80"/>
      <c r="CS80"/>
      <c r="CT80"/>
      <c r="CU80"/>
      <c r="CV80"/>
      <c r="CW80"/>
      <c r="CX80"/>
      <c r="CY80"/>
    </row>
    <row r="81" spans="1:103" s="1" customFormat="1" ht="24.95" customHeight="1" x14ac:dyDescent="0.25">
      <c r="A81" s="273"/>
      <c r="B81" s="144">
        <v>44300</v>
      </c>
      <c r="C81" s="145">
        <v>0.25</v>
      </c>
      <c r="D81" s="1653" t="s">
        <v>205</v>
      </c>
      <c r="E81" s="1654"/>
      <c r="F81" s="1654"/>
      <c r="G81" s="1654"/>
      <c r="H81" s="1654"/>
      <c r="I81" s="1654"/>
      <c r="J81" s="1654"/>
      <c r="K81" s="1654"/>
      <c r="L81" s="1654"/>
      <c r="M81" s="1654"/>
      <c r="N81" s="1654"/>
      <c r="O81" s="1654"/>
      <c r="P81" s="1654"/>
      <c r="Q81" s="1654"/>
      <c r="R81" s="1654"/>
      <c r="S81" s="1655"/>
      <c r="T81" s="149" t="s">
        <v>84</v>
      </c>
      <c r="U81" s="148" t="s">
        <v>236</v>
      </c>
      <c r="V81" s="316"/>
      <c r="W81" s="18"/>
      <c r="CM81"/>
      <c r="CN81"/>
      <c r="CO81"/>
      <c r="CP81"/>
      <c r="CQ81"/>
      <c r="CR81"/>
      <c r="CS81"/>
      <c r="CT81"/>
      <c r="CU81"/>
      <c r="CV81"/>
      <c r="CW81"/>
      <c r="CX81"/>
      <c r="CY81"/>
    </row>
    <row r="82" spans="1:103" s="1" customFormat="1" ht="24.95" customHeight="1" x14ac:dyDescent="0.25">
      <c r="A82" s="273" t="s">
        <v>383</v>
      </c>
      <c r="B82" s="144">
        <v>44301</v>
      </c>
      <c r="C82" s="145">
        <v>0.25</v>
      </c>
      <c r="D82" s="1653" t="s">
        <v>205</v>
      </c>
      <c r="E82" s="1654"/>
      <c r="F82" s="1654"/>
      <c r="G82" s="1654"/>
      <c r="H82" s="1654"/>
      <c r="I82" s="1654"/>
      <c r="J82" s="1654"/>
      <c r="K82" s="1654"/>
      <c r="L82" s="1654"/>
      <c r="M82" s="1654"/>
      <c r="N82" s="1654"/>
      <c r="O82" s="1654"/>
      <c r="P82" s="1654"/>
      <c r="Q82" s="1654"/>
      <c r="R82" s="1654"/>
      <c r="S82" s="1655"/>
      <c r="T82" s="149" t="s">
        <v>84</v>
      </c>
      <c r="U82" s="148" t="s">
        <v>236</v>
      </c>
      <c r="V82" s="316"/>
      <c r="W82" s="18"/>
      <c r="CM82"/>
      <c r="CN82"/>
      <c r="CO82"/>
      <c r="CP82"/>
      <c r="CQ82"/>
      <c r="CR82"/>
      <c r="CS82"/>
      <c r="CT82"/>
      <c r="CU82"/>
      <c r="CV82"/>
      <c r="CW82"/>
      <c r="CX82"/>
      <c r="CY82"/>
    </row>
    <row r="83" spans="1:103" s="1" customFormat="1" ht="24.95" customHeight="1" x14ac:dyDescent="0.25">
      <c r="A83" s="273" t="s">
        <v>383</v>
      </c>
      <c r="B83" s="144">
        <v>44302</v>
      </c>
      <c r="C83" s="145">
        <v>0.25</v>
      </c>
      <c r="D83" s="1653" t="s">
        <v>205</v>
      </c>
      <c r="E83" s="1654"/>
      <c r="F83" s="1654"/>
      <c r="G83" s="1654"/>
      <c r="H83" s="1654"/>
      <c r="I83" s="1654"/>
      <c r="J83" s="1654"/>
      <c r="K83" s="1654"/>
      <c r="L83" s="1654"/>
      <c r="M83" s="1654"/>
      <c r="N83" s="1654"/>
      <c r="O83" s="1654"/>
      <c r="P83" s="1654"/>
      <c r="Q83" s="1654"/>
      <c r="R83" s="1654"/>
      <c r="S83" s="1655"/>
      <c r="T83" s="149" t="s">
        <v>84</v>
      </c>
      <c r="U83" s="148" t="s">
        <v>236</v>
      </c>
      <c r="V83" s="316"/>
      <c r="W83" s="18"/>
      <c r="CM83"/>
      <c r="CN83"/>
      <c r="CO83"/>
      <c r="CP83"/>
      <c r="CQ83"/>
      <c r="CR83"/>
      <c r="CS83"/>
      <c r="CT83"/>
      <c r="CU83"/>
      <c r="CV83"/>
      <c r="CW83"/>
      <c r="CX83"/>
      <c r="CY83"/>
    </row>
    <row r="84" spans="1:103" s="1" customFormat="1" ht="24.95" customHeight="1" x14ac:dyDescent="0.25">
      <c r="A84" s="273" t="s">
        <v>383</v>
      </c>
      <c r="B84" s="144">
        <v>44303</v>
      </c>
      <c r="C84" s="145">
        <v>0.25</v>
      </c>
      <c r="D84" s="1653" t="s">
        <v>205</v>
      </c>
      <c r="E84" s="1654"/>
      <c r="F84" s="1654"/>
      <c r="G84" s="1654"/>
      <c r="H84" s="1654"/>
      <c r="I84" s="1654"/>
      <c r="J84" s="1654"/>
      <c r="K84" s="1654"/>
      <c r="L84" s="1654"/>
      <c r="M84" s="1654"/>
      <c r="N84" s="1654"/>
      <c r="O84" s="1654"/>
      <c r="P84" s="1654"/>
      <c r="Q84" s="1654"/>
      <c r="R84" s="1654"/>
      <c r="S84" s="1655"/>
      <c r="T84" s="149" t="s">
        <v>84</v>
      </c>
      <c r="U84" s="148" t="s">
        <v>236</v>
      </c>
      <c r="V84" s="316"/>
      <c r="W84" s="18"/>
      <c r="CM84"/>
      <c r="CN84"/>
      <c r="CO84"/>
      <c r="CP84"/>
      <c r="CQ84"/>
      <c r="CR84"/>
      <c r="CS84"/>
      <c r="CT84"/>
      <c r="CU84"/>
      <c r="CV84"/>
      <c r="CW84"/>
      <c r="CX84"/>
      <c r="CY84"/>
    </row>
    <row r="85" spans="1:103" s="1" customFormat="1" ht="24.95" customHeight="1" x14ac:dyDescent="0.25">
      <c r="A85" s="273" t="s">
        <v>383</v>
      </c>
      <c r="B85" s="144">
        <v>44304</v>
      </c>
      <c r="C85" s="145">
        <v>0.25</v>
      </c>
      <c r="D85" s="1653" t="s">
        <v>205</v>
      </c>
      <c r="E85" s="1654"/>
      <c r="F85" s="1654"/>
      <c r="G85" s="1654"/>
      <c r="H85" s="1654"/>
      <c r="I85" s="1654"/>
      <c r="J85" s="1654"/>
      <c r="K85" s="1654"/>
      <c r="L85" s="1654"/>
      <c r="M85" s="1654"/>
      <c r="N85" s="1654"/>
      <c r="O85" s="1654"/>
      <c r="P85" s="1654"/>
      <c r="Q85" s="1654"/>
      <c r="R85" s="1654"/>
      <c r="S85" s="1655"/>
      <c r="T85" s="149" t="s">
        <v>84</v>
      </c>
      <c r="U85" s="148" t="s">
        <v>236</v>
      </c>
      <c r="V85" s="316"/>
      <c r="W85" s="18"/>
      <c r="CM85"/>
      <c r="CN85"/>
      <c r="CO85"/>
      <c r="CP85"/>
      <c r="CQ85"/>
      <c r="CR85"/>
      <c r="CS85"/>
      <c r="CT85"/>
      <c r="CU85"/>
      <c r="CV85"/>
      <c r="CW85"/>
      <c r="CX85"/>
      <c r="CY85"/>
    </row>
    <row r="86" spans="1:103" s="1" customFormat="1" ht="24.95" customHeight="1" x14ac:dyDescent="0.25">
      <c r="A86" s="273" t="s">
        <v>383</v>
      </c>
      <c r="B86" s="144">
        <v>44305</v>
      </c>
      <c r="C86" s="145">
        <v>0.25</v>
      </c>
      <c r="D86" s="1653" t="s">
        <v>205</v>
      </c>
      <c r="E86" s="1654"/>
      <c r="F86" s="1654"/>
      <c r="G86" s="1654"/>
      <c r="H86" s="1654"/>
      <c r="I86" s="1654"/>
      <c r="J86" s="1654"/>
      <c r="K86" s="1654"/>
      <c r="L86" s="1654"/>
      <c r="M86" s="1654"/>
      <c r="N86" s="1654"/>
      <c r="O86" s="1654"/>
      <c r="P86" s="1654"/>
      <c r="Q86" s="1654"/>
      <c r="R86" s="1654"/>
      <c r="S86" s="1655"/>
      <c r="T86" s="149" t="s">
        <v>84</v>
      </c>
      <c r="U86" s="148" t="s">
        <v>236</v>
      </c>
      <c r="V86" s="316"/>
      <c r="W86" s="18"/>
      <c r="CM86"/>
      <c r="CN86"/>
      <c r="CO86"/>
      <c r="CP86"/>
      <c r="CQ86"/>
      <c r="CR86"/>
      <c r="CS86"/>
      <c r="CT86"/>
      <c r="CU86"/>
      <c r="CV86"/>
      <c r="CW86"/>
      <c r="CX86"/>
      <c r="CY86"/>
    </row>
    <row r="87" spans="1:103" s="1" customFormat="1" ht="24.95" customHeight="1" x14ac:dyDescent="0.25">
      <c r="A87" s="273" t="s">
        <v>383</v>
      </c>
      <c r="B87" s="144">
        <v>44306</v>
      </c>
      <c r="C87" s="145">
        <v>0.25</v>
      </c>
      <c r="D87" s="1653" t="s">
        <v>205</v>
      </c>
      <c r="E87" s="1654"/>
      <c r="F87" s="1654"/>
      <c r="G87" s="1654"/>
      <c r="H87" s="1654"/>
      <c r="I87" s="1654"/>
      <c r="J87" s="1654"/>
      <c r="K87" s="1654"/>
      <c r="L87" s="1654"/>
      <c r="M87" s="1654"/>
      <c r="N87" s="1654"/>
      <c r="O87" s="1654"/>
      <c r="P87" s="1654"/>
      <c r="Q87" s="1654"/>
      <c r="R87" s="1654"/>
      <c r="S87" s="1655"/>
      <c r="T87" s="149" t="s">
        <v>84</v>
      </c>
      <c r="U87" s="148" t="s">
        <v>236</v>
      </c>
      <c r="V87" s="316"/>
      <c r="W87" s="18"/>
      <c r="CM87"/>
      <c r="CN87"/>
      <c r="CO87"/>
      <c r="CP87"/>
      <c r="CQ87"/>
      <c r="CR87"/>
      <c r="CS87"/>
      <c r="CT87"/>
      <c r="CU87"/>
      <c r="CV87"/>
      <c r="CW87"/>
      <c r="CX87"/>
      <c r="CY87"/>
    </row>
    <row r="88" spans="1:103" s="1" customFormat="1" ht="24.95" customHeight="1" x14ac:dyDescent="0.25">
      <c r="A88" s="273" t="s">
        <v>383</v>
      </c>
      <c r="B88" s="144">
        <v>44307</v>
      </c>
      <c r="C88" s="145">
        <v>0.25</v>
      </c>
      <c r="D88" s="1653" t="s">
        <v>205</v>
      </c>
      <c r="E88" s="1654"/>
      <c r="F88" s="1654"/>
      <c r="G88" s="1654"/>
      <c r="H88" s="1654"/>
      <c r="I88" s="1654"/>
      <c r="J88" s="1654"/>
      <c r="K88" s="1654"/>
      <c r="L88" s="1654"/>
      <c r="M88" s="1654"/>
      <c r="N88" s="1654"/>
      <c r="O88" s="1654"/>
      <c r="P88" s="1654"/>
      <c r="Q88" s="1654"/>
      <c r="R88" s="1654"/>
      <c r="S88" s="1655"/>
      <c r="T88" s="149" t="s">
        <v>84</v>
      </c>
      <c r="U88" s="148" t="s">
        <v>236</v>
      </c>
      <c r="V88" s="316"/>
      <c r="W88" s="18"/>
      <c r="CM88"/>
      <c r="CN88"/>
      <c r="CO88"/>
      <c r="CP88"/>
      <c r="CQ88"/>
      <c r="CR88"/>
      <c r="CS88"/>
      <c r="CT88"/>
      <c r="CU88"/>
      <c r="CV88"/>
      <c r="CW88"/>
      <c r="CX88"/>
      <c r="CY88"/>
    </row>
    <row r="89" spans="1:103" s="1" customFormat="1" ht="24.95" customHeight="1" x14ac:dyDescent="0.25">
      <c r="A89" s="273" t="s">
        <v>383</v>
      </c>
      <c r="B89" s="144">
        <v>44308</v>
      </c>
      <c r="C89" s="145">
        <v>0.25</v>
      </c>
      <c r="D89" s="1653" t="s">
        <v>205</v>
      </c>
      <c r="E89" s="1654"/>
      <c r="F89" s="1654"/>
      <c r="G89" s="1654"/>
      <c r="H89" s="1654"/>
      <c r="I89" s="1654"/>
      <c r="J89" s="1654"/>
      <c r="K89" s="1654"/>
      <c r="L89" s="1654"/>
      <c r="M89" s="1654"/>
      <c r="N89" s="1654"/>
      <c r="O89" s="1654"/>
      <c r="P89" s="1654"/>
      <c r="Q89" s="1654"/>
      <c r="R89" s="1654"/>
      <c r="S89" s="1655"/>
      <c r="T89" s="149" t="s">
        <v>84</v>
      </c>
      <c r="U89" s="148" t="s">
        <v>236</v>
      </c>
      <c r="V89" s="316"/>
      <c r="W89" s="18"/>
      <c r="CM89"/>
      <c r="CN89"/>
      <c r="CO89"/>
      <c r="CP89"/>
      <c r="CQ89"/>
      <c r="CR89"/>
      <c r="CS89"/>
      <c r="CT89"/>
      <c r="CU89"/>
      <c r="CV89"/>
      <c r="CW89"/>
      <c r="CX89"/>
      <c r="CY89"/>
    </row>
    <row r="90" spans="1:103" s="1" customFormat="1" ht="24.95" customHeight="1" x14ac:dyDescent="0.25">
      <c r="A90" s="273" t="s">
        <v>383</v>
      </c>
      <c r="B90" s="144">
        <v>44309</v>
      </c>
      <c r="C90" s="145">
        <v>0.25</v>
      </c>
      <c r="D90" s="1653" t="s">
        <v>205</v>
      </c>
      <c r="E90" s="1654"/>
      <c r="F90" s="1654"/>
      <c r="G90" s="1654"/>
      <c r="H90" s="1654"/>
      <c r="I90" s="1654"/>
      <c r="J90" s="1654"/>
      <c r="K90" s="1654"/>
      <c r="L90" s="1654"/>
      <c r="M90" s="1654"/>
      <c r="N90" s="1654"/>
      <c r="O90" s="1654"/>
      <c r="P90" s="1654"/>
      <c r="Q90" s="1654"/>
      <c r="R90" s="1654"/>
      <c r="S90" s="1655"/>
      <c r="T90" s="149" t="s">
        <v>84</v>
      </c>
      <c r="U90" s="148" t="s">
        <v>236</v>
      </c>
      <c r="V90" s="316"/>
      <c r="W90" s="18"/>
      <c r="CM90"/>
      <c r="CN90"/>
      <c r="CO90"/>
      <c r="CP90"/>
      <c r="CQ90"/>
      <c r="CR90"/>
      <c r="CS90"/>
      <c r="CT90"/>
      <c r="CU90"/>
      <c r="CV90"/>
      <c r="CW90"/>
      <c r="CX90"/>
      <c r="CY90"/>
    </row>
    <row r="91" spans="1:103" s="1" customFormat="1" ht="24.95" customHeight="1" x14ac:dyDescent="0.25">
      <c r="A91" s="273" t="s">
        <v>383</v>
      </c>
      <c r="B91" s="144">
        <v>44310</v>
      </c>
      <c r="C91" s="145">
        <v>0.25</v>
      </c>
      <c r="D91" s="1653" t="s">
        <v>205</v>
      </c>
      <c r="E91" s="1654"/>
      <c r="F91" s="1654"/>
      <c r="G91" s="1654"/>
      <c r="H91" s="1654"/>
      <c r="I91" s="1654"/>
      <c r="J91" s="1654"/>
      <c r="K91" s="1654"/>
      <c r="L91" s="1654"/>
      <c r="M91" s="1654"/>
      <c r="N91" s="1654"/>
      <c r="O91" s="1654"/>
      <c r="P91" s="1654"/>
      <c r="Q91" s="1654"/>
      <c r="R91" s="1654"/>
      <c r="S91" s="1655"/>
      <c r="T91" s="149" t="s">
        <v>84</v>
      </c>
      <c r="U91" s="148" t="s">
        <v>236</v>
      </c>
      <c r="V91" s="316"/>
      <c r="W91" s="18"/>
      <c r="CM91"/>
      <c r="CN91"/>
      <c r="CO91"/>
      <c r="CP91"/>
      <c r="CQ91"/>
      <c r="CR91"/>
      <c r="CS91"/>
      <c r="CT91"/>
      <c r="CU91"/>
      <c r="CV91"/>
      <c r="CW91"/>
      <c r="CX91"/>
      <c r="CY91"/>
    </row>
    <row r="92" spans="1:103" s="1" customFormat="1" ht="24.95" customHeight="1" x14ac:dyDescent="0.25">
      <c r="A92" s="273" t="s">
        <v>383</v>
      </c>
      <c r="B92" s="144">
        <v>44311</v>
      </c>
      <c r="C92" s="145">
        <v>0.25</v>
      </c>
      <c r="D92" s="1653" t="s">
        <v>205</v>
      </c>
      <c r="E92" s="1654"/>
      <c r="F92" s="1654"/>
      <c r="G92" s="1654"/>
      <c r="H92" s="1654"/>
      <c r="I92" s="1654"/>
      <c r="J92" s="1654"/>
      <c r="K92" s="1654"/>
      <c r="L92" s="1654"/>
      <c r="M92" s="1654"/>
      <c r="N92" s="1654"/>
      <c r="O92" s="1654"/>
      <c r="P92" s="1654"/>
      <c r="Q92" s="1654"/>
      <c r="R92" s="1654"/>
      <c r="S92" s="1655"/>
      <c r="T92" s="149" t="s">
        <v>84</v>
      </c>
      <c r="U92" s="148" t="s">
        <v>236</v>
      </c>
      <c r="V92" s="316"/>
      <c r="W92" s="18"/>
      <c r="CM92"/>
      <c r="CN92"/>
      <c r="CO92"/>
      <c r="CP92"/>
      <c r="CQ92"/>
      <c r="CR92"/>
      <c r="CS92"/>
      <c r="CT92"/>
      <c r="CU92"/>
      <c r="CV92"/>
      <c r="CW92"/>
      <c r="CX92"/>
      <c r="CY92"/>
    </row>
    <row r="93" spans="1:103" s="1" customFormat="1" ht="24.95" customHeight="1" x14ac:dyDescent="0.25">
      <c r="A93" s="273" t="s">
        <v>383</v>
      </c>
      <c r="B93" s="144">
        <v>44312</v>
      </c>
      <c r="C93" s="145">
        <v>0.25</v>
      </c>
      <c r="D93" s="1653" t="s">
        <v>205</v>
      </c>
      <c r="E93" s="1654"/>
      <c r="F93" s="1654"/>
      <c r="G93" s="1654"/>
      <c r="H93" s="1654"/>
      <c r="I93" s="1654"/>
      <c r="J93" s="1654"/>
      <c r="K93" s="1654"/>
      <c r="L93" s="1654"/>
      <c r="M93" s="1654"/>
      <c r="N93" s="1654"/>
      <c r="O93" s="1654"/>
      <c r="P93" s="1654"/>
      <c r="Q93" s="1654"/>
      <c r="R93" s="1654"/>
      <c r="S93" s="1655"/>
      <c r="T93" s="149" t="s">
        <v>84</v>
      </c>
      <c r="U93" s="148" t="s">
        <v>236</v>
      </c>
      <c r="V93" s="316"/>
      <c r="W93" s="18"/>
      <c r="CM93"/>
      <c r="CN93"/>
      <c r="CO93"/>
      <c r="CP93"/>
      <c r="CQ93"/>
      <c r="CR93"/>
      <c r="CS93"/>
      <c r="CT93"/>
      <c r="CU93"/>
      <c r="CV93"/>
      <c r="CW93"/>
      <c r="CX93"/>
      <c r="CY93"/>
    </row>
    <row r="94" spans="1:103" s="1" customFormat="1" ht="24.95" customHeight="1" x14ac:dyDescent="0.25">
      <c r="A94" s="273" t="s">
        <v>383</v>
      </c>
      <c r="B94" s="144">
        <v>44313</v>
      </c>
      <c r="C94" s="145">
        <v>0.25</v>
      </c>
      <c r="D94" s="1653" t="s">
        <v>205</v>
      </c>
      <c r="E94" s="1654"/>
      <c r="F94" s="1654"/>
      <c r="G94" s="1654"/>
      <c r="H94" s="1654"/>
      <c r="I94" s="1654"/>
      <c r="J94" s="1654"/>
      <c r="K94" s="1654"/>
      <c r="L94" s="1654"/>
      <c r="M94" s="1654"/>
      <c r="N94" s="1654"/>
      <c r="O94" s="1654"/>
      <c r="P94" s="1654"/>
      <c r="Q94" s="1654"/>
      <c r="R94" s="1654"/>
      <c r="S94" s="1655"/>
      <c r="T94" s="149" t="s">
        <v>84</v>
      </c>
      <c r="U94" s="148" t="s">
        <v>236</v>
      </c>
      <c r="V94" s="316"/>
      <c r="W94" s="18"/>
      <c r="CM94"/>
      <c r="CN94"/>
      <c r="CO94"/>
      <c r="CP94"/>
      <c r="CQ94"/>
      <c r="CR94"/>
      <c r="CS94"/>
      <c r="CT94"/>
      <c r="CU94"/>
      <c r="CV94"/>
      <c r="CW94"/>
      <c r="CX94"/>
      <c r="CY94"/>
    </row>
    <row r="95" spans="1:103" s="1" customFormat="1" ht="24.95" customHeight="1" x14ac:dyDescent="0.25">
      <c r="A95" s="273" t="s">
        <v>383</v>
      </c>
      <c r="B95" s="144">
        <v>44314</v>
      </c>
      <c r="C95" s="145">
        <v>0.25</v>
      </c>
      <c r="D95" s="1653" t="s">
        <v>205</v>
      </c>
      <c r="E95" s="1654"/>
      <c r="F95" s="1654"/>
      <c r="G95" s="1654"/>
      <c r="H95" s="1654"/>
      <c r="I95" s="1654"/>
      <c r="J95" s="1654"/>
      <c r="K95" s="1654"/>
      <c r="L95" s="1654"/>
      <c r="M95" s="1654"/>
      <c r="N95" s="1654"/>
      <c r="O95" s="1654"/>
      <c r="P95" s="1654"/>
      <c r="Q95" s="1654"/>
      <c r="R95" s="1654"/>
      <c r="S95" s="1655"/>
      <c r="T95" s="149" t="s">
        <v>84</v>
      </c>
      <c r="U95" s="148" t="s">
        <v>236</v>
      </c>
      <c r="V95" s="316"/>
      <c r="W95" s="18"/>
      <c r="CM95"/>
      <c r="CN95"/>
      <c r="CO95"/>
      <c r="CP95"/>
      <c r="CQ95"/>
      <c r="CR95"/>
      <c r="CS95"/>
      <c r="CT95"/>
      <c r="CU95"/>
      <c r="CV95"/>
      <c r="CW95"/>
      <c r="CX95"/>
      <c r="CY95"/>
    </row>
    <row r="96" spans="1:103" s="1" customFormat="1" ht="24.95" customHeight="1" x14ac:dyDescent="0.25">
      <c r="A96" s="273" t="s">
        <v>383</v>
      </c>
      <c r="B96" s="144">
        <v>44315</v>
      </c>
      <c r="C96" s="145">
        <v>0.25</v>
      </c>
      <c r="D96" s="1653" t="s">
        <v>205</v>
      </c>
      <c r="E96" s="1654"/>
      <c r="F96" s="1654"/>
      <c r="G96" s="1654"/>
      <c r="H96" s="1654"/>
      <c r="I96" s="1654"/>
      <c r="J96" s="1654"/>
      <c r="K96" s="1654"/>
      <c r="L96" s="1654"/>
      <c r="M96" s="1654"/>
      <c r="N96" s="1654"/>
      <c r="O96" s="1654"/>
      <c r="P96" s="1654"/>
      <c r="Q96" s="1654"/>
      <c r="R96" s="1654"/>
      <c r="S96" s="1655"/>
      <c r="T96" s="149" t="s">
        <v>84</v>
      </c>
      <c r="U96" s="148" t="s">
        <v>236</v>
      </c>
      <c r="V96" s="316"/>
      <c r="W96" s="18"/>
      <c r="CM96"/>
      <c r="CN96"/>
      <c r="CO96"/>
      <c r="CP96"/>
      <c r="CQ96"/>
      <c r="CR96"/>
      <c r="CS96"/>
      <c r="CT96"/>
      <c r="CU96"/>
      <c r="CV96"/>
      <c r="CW96"/>
      <c r="CX96"/>
      <c r="CY96"/>
    </row>
    <row r="97" spans="1:103" s="1" customFormat="1" ht="24.95" customHeight="1" x14ac:dyDescent="0.25">
      <c r="A97" s="273" t="s">
        <v>383</v>
      </c>
      <c r="B97" s="144">
        <v>44316</v>
      </c>
      <c r="C97" s="145">
        <v>0.25</v>
      </c>
      <c r="D97" s="1653" t="s">
        <v>205</v>
      </c>
      <c r="E97" s="1654"/>
      <c r="F97" s="1654"/>
      <c r="G97" s="1654"/>
      <c r="H97" s="1654"/>
      <c r="I97" s="1654"/>
      <c r="J97" s="1654"/>
      <c r="K97" s="1654"/>
      <c r="L97" s="1654"/>
      <c r="M97" s="1654"/>
      <c r="N97" s="1654"/>
      <c r="O97" s="1654"/>
      <c r="P97" s="1654"/>
      <c r="Q97" s="1654"/>
      <c r="R97" s="1654"/>
      <c r="S97" s="1655"/>
      <c r="T97" s="149" t="s">
        <v>84</v>
      </c>
      <c r="U97" s="148" t="s">
        <v>236</v>
      </c>
      <c r="V97" s="316"/>
      <c r="W97" s="18"/>
      <c r="CM97"/>
      <c r="CN97"/>
      <c r="CO97"/>
      <c r="CP97"/>
      <c r="CQ97"/>
      <c r="CR97"/>
      <c r="CS97"/>
      <c r="CT97"/>
      <c r="CU97"/>
      <c r="CV97"/>
      <c r="CW97"/>
      <c r="CX97"/>
      <c r="CY97"/>
    </row>
    <row r="98" spans="1:103" s="1" customFormat="1" ht="24.95" customHeight="1" x14ac:dyDescent="0.25">
      <c r="A98" s="273" t="s">
        <v>383</v>
      </c>
      <c r="B98" s="144">
        <v>44317</v>
      </c>
      <c r="C98" s="145">
        <v>0.25</v>
      </c>
      <c r="D98" s="1653" t="s">
        <v>205</v>
      </c>
      <c r="E98" s="1654"/>
      <c r="F98" s="1654"/>
      <c r="G98" s="1654"/>
      <c r="H98" s="1654"/>
      <c r="I98" s="1654"/>
      <c r="J98" s="1654"/>
      <c r="K98" s="1654"/>
      <c r="L98" s="1654"/>
      <c r="M98" s="1654"/>
      <c r="N98" s="1654"/>
      <c r="O98" s="1654"/>
      <c r="P98" s="1654"/>
      <c r="Q98" s="1654"/>
      <c r="R98" s="1654"/>
      <c r="S98" s="1655"/>
      <c r="T98" s="149" t="s">
        <v>84</v>
      </c>
      <c r="U98" s="148" t="s">
        <v>218</v>
      </c>
      <c r="V98" s="316"/>
      <c r="W98" s="18"/>
      <c r="CM98"/>
      <c r="CN98"/>
      <c r="CO98"/>
      <c r="CP98"/>
      <c r="CQ98"/>
      <c r="CR98"/>
      <c r="CS98"/>
      <c r="CT98"/>
      <c r="CU98"/>
      <c r="CV98"/>
      <c r="CW98"/>
      <c r="CX98"/>
      <c r="CY98"/>
    </row>
    <row r="99" spans="1:103" s="1" customFormat="1" ht="24.95" customHeight="1" x14ac:dyDescent="0.25">
      <c r="A99" s="273" t="s">
        <v>383</v>
      </c>
      <c r="B99" s="144">
        <v>44318</v>
      </c>
      <c r="C99" s="145">
        <v>0.25</v>
      </c>
      <c r="D99" s="1653" t="s">
        <v>205</v>
      </c>
      <c r="E99" s="1654"/>
      <c r="F99" s="1654"/>
      <c r="G99" s="1654"/>
      <c r="H99" s="1654"/>
      <c r="I99" s="1654"/>
      <c r="J99" s="1654"/>
      <c r="K99" s="1654"/>
      <c r="L99" s="1654"/>
      <c r="M99" s="1654"/>
      <c r="N99" s="1654"/>
      <c r="O99" s="1654"/>
      <c r="P99" s="1654"/>
      <c r="Q99" s="1654"/>
      <c r="R99" s="1654"/>
      <c r="S99" s="1655"/>
      <c r="T99" s="149" t="s">
        <v>84</v>
      </c>
      <c r="U99" s="148" t="s">
        <v>218</v>
      </c>
      <c r="V99" s="316"/>
      <c r="W99" s="18"/>
      <c r="CM99"/>
      <c r="CN99"/>
      <c r="CO99"/>
      <c r="CP99"/>
      <c r="CQ99"/>
      <c r="CR99"/>
      <c r="CS99"/>
      <c r="CT99"/>
      <c r="CU99"/>
      <c r="CV99"/>
      <c r="CW99"/>
      <c r="CX99"/>
      <c r="CY99"/>
    </row>
    <row r="100" spans="1:103" s="1" customFormat="1" ht="24.95" customHeight="1" x14ac:dyDescent="0.25">
      <c r="A100" s="273" t="s">
        <v>383</v>
      </c>
      <c r="B100" s="144">
        <v>44319</v>
      </c>
      <c r="C100" s="145">
        <v>0.25</v>
      </c>
      <c r="D100" s="1653" t="s">
        <v>205</v>
      </c>
      <c r="E100" s="1654"/>
      <c r="F100" s="1654"/>
      <c r="G100" s="1654"/>
      <c r="H100" s="1654"/>
      <c r="I100" s="1654"/>
      <c r="J100" s="1654"/>
      <c r="K100" s="1654"/>
      <c r="L100" s="1654"/>
      <c r="M100" s="1654"/>
      <c r="N100" s="1654"/>
      <c r="O100" s="1654"/>
      <c r="P100" s="1654"/>
      <c r="Q100" s="1654"/>
      <c r="R100" s="1654"/>
      <c r="S100" s="1655"/>
      <c r="T100" s="149" t="s">
        <v>84</v>
      </c>
      <c r="U100" s="148" t="s">
        <v>218</v>
      </c>
      <c r="V100" s="316"/>
      <c r="W100" s="18"/>
      <c r="CM100"/>
      <c r="CN100"/>
      <c r="CO100"/>
      <c r="CP100"/>
      <c r="CQ100"/>
      <c r="CR100"/>
      <c r="CS100"/>
      <c r="CT100"/>
      <c r="CU100"/>
      <c r="CV100"/>
      <c r="CW100"/>
      <c r="CX100"/>
      <c r="CY100"/>
    </row>
    <row r="101" spans="1:103" s="1" customFormat="1" ht="24.95" customHeight="1" x14ac:dyDescent="0.25">
      <c r="A101" s="273" t="s">
        <v>383</v>
      </c>
      <c r="B101" s="144">
        <v>44320</v>
      </c>
      <c r="C101" s="145">
        <v>0.25</v>
      </c>
      <c r="D101" s="1653" t="s">
        <v>205</v>
      </c>
      <c r="E101" s="1654"/>
      <c r="F101" s="1654"/>
      <c r="G101" s="1654"/>
      <c r="H101" s="1654"/>
      <c r="I101" s="1654"/>
      <c r="J101" s="1654"/>
      <c r="K101" s="1654"/>
      <c r="L101" s="1654"/>
      <c r="M101" s="1654"/>
      <c r="N101" s="1654"/>
      <c r="O101" s="1654"/>
      <c r="P101" s="1654"/>
      <c r="Q101" s="1654"/>
      <c r="R101" s="1654"/>
      <c r="S101" s="1655"/>
      <c r="T101" s="149" t="s">
        <v>84</v>
      </c>
      <c r="U101" s="148" t="s">
        <v>218</v>
      </c>
      <c r="V101" s="316"/>
      <c r="W101" s="18"/>
      <c r="CM101"/>
      <c r="CN101"/>
      <c r="CO101"/>
      <c r="CP101"/>
      <c r="CQ101"/>
      <c r="CR101"/>
      <c r="CS101"/>
      <c r="CT101"/>
      <c r="CU101"/>
      <c r="CV101"/>
      <c r="CW101"/>
      <c r="CX101"/>
      <c r="CY101"/>
    </row>
    <row r="102" spans="1:103" s="1" customFormat="1" ht="24.95" customHeight="1" x14ac:dyDescent="0.25">
      <c r="A102" s="273" t="s">
        <v>383</v>
      </c>
      <c r="B102" s="144">
        <v>44321</v>
      </c>
      <c r="C102" s="145">
        <v>0.25</v>
      </c>
      <c r="D102" s="1653" t="s">
        <v>205</v>
      </c>
      <c r="E102" s="1654"/>
      <c r="F102" s="1654"/>
      <c r="G102" s="1654"/>
      <c r="H102" s="1654"/>
      <c r="I102" s="1654"/>
      <c r="J102" s="1654"/>
      <c r="K102" s="1654"/>
      <c r="L102" s="1654"/>
      <c r="M102" s="1654"/>
      <c r="N102" s="1654"/>
      <c r="O102" s="1654"/>
      <c r="P102" s="1654"/>
      <c r="Q102" s="1654"/>
      <c r="R102" s="1654"/>
      <c r="S102" s="1655"/>
      <c r="T102" s="149" t="s">
        <v>84</v>
      </c>
      <c r="U102" s="148" t="s">
        <v>218</v>
      </c>
      <c r="V102" s="316"/>
      <c r="W102" s="18"/>
      <c r="CM102"/>
      <c r="CN102"/>
      <c r="CO102"/>
      <c r="CP102"/>
      <c r="CQ102"/>
      <c r="CR102"/>
      <c r="CS102"/>
      <c r="CT102"/>
      <c r="CU102"/>
      <c r="CV102"/>
      <c r="CW102"/>
      <c r="CX102"/>
      <c r="CY102"/>
    </row>
    <row r="103" spans="1:103" s="1" customFormat="1" ht="24.95" customHeight="1" x14ac:dyDescent="0.25">
      <c r="A103" s="273" t="s">
        <v>383</v>
      </c>
      <c r="B103" s="144">
        <v>44322</v>
      </c>
      <c r="C103" s="145">
        <v>0.25</v>
      </c>
      <c r="D103" s="1653" t="s">
        <v>205</v>
      </c>
      <c r="E103" s="1654"/>
      <c r="F103" s="1654"/>
      <c r="G103" s="1654"/>
      <c r="H103" s="1654"/>
      <c r="I103" s="1654"/>
      <c r="J103" s="1654"/>
      <c r="K103" s="1654"/>
      <c r="L103" s="1654"/>
      <c r="M103" s="1654"/>
      <c r="N103" s="1654"/>
      <c r="O103" s="1654"/>
      <c r="P103" s="1654"/>
      <c r="Q103" s="1654"/>
      <c r="R103" s="1654"/>
      <c r="S103" s="1655"/>
      <c r="T103" s="149" t="s">
        <v>84</v>
      </c>
      <c r="U103" s="148" t="s">
        <v>218</v>
      </c>
      <c r="V103" s="316"/>
      <c r="W103" s="18"/>
      <c r="CM103"/>
      <c r="CN103"/>
      <c r="CO103"/>
      <c r="CP103"/>
      <c r="CQ103"/>
      <c r="CR103"/>
      <c r="CS103"/>
      <c r="CT103"/>
      <c r="CU103"/>
      <c r="CV103"/>
      <c r="CW103"/>
      <c r="CX103"/>
      <c r="CY103"/>
    </row>
    <row r="104" spans="1:103" s="1" customFormat="1" ht="24.95" customHeight="1" x14ac:dyDescent="0.25">
      <c r="A104" s="273" t="s">
        <v>383</v>
      </c>
      <c r="B104" s="144">
        <v>44323</v>
      </c>
      <c r="C104" s="145">
        <v>0.25</v>
      </c>
      <c r="D104" s="1653" t="s">
        <v>205</v>
      </c>
      <c r="E104" s="1654"/>
      <c r="F104" s="1654"/>
      <c r="G104" s="1654"/>
      <c r="H104" s="1654"/>
      <c r="I104" s="1654"/>
      <c r="J104" s="1654"/>
      <c r="K104" s="1654"/>
      <c r="L104" s="1654"/>
      <c r="M104" s="1654"/>
      <c r="N104" s="1654"/>
      <c r="O104" s="1654"/>
      <c r="P104" s="1654"/>
      <c r="Q104" s="1654"/>
      <c r="R104" s="1654"/>
      <c r="S104" s="1655"/>
      <c r="T104" s="149" t="s">
        <v>84</v>
      </c>
      <c r="U104" s="148" t="s">
        <v>218</v>
      </c>
      <c r="V104" s="316"/>
      <c r="W104" s="18"/>
      <c r="CM104"/>
      <c r="CN104"/>
      <c r="CO104"/>
      <c r="CP104"/>
      <c r="CQ104"/>
      <c r="CR104"/>
      <c r="CS104"/>
      <c r="CT104"/>
      <c r="CU104"/>
      <c r="CV104"/>
      <c r="CW104"/>
      <c r="CX104"/>
      <c r="CY104"/>
    </row>
    <row r="105" spans="1:103" s="1" customFormat="1" ht="24.95" customHeight="1" x14ac:dyDescent="0.25">
      <c r="A105" s="273" t="s">
        <v>383</v>
      </c>
      <c r="B105" s="144">
        <v>44324</v>
      </c>
      <c r="C105" s="145">
        <v>0.25</v>
      </c>
      <c r="D105" s="1653" t="s">
        <v>205</v>
      </c>
      <c r="E105" s="1654"/>
      <c r="F105" s="1654"/>
      <c r="G105" s="1654"/>
      <c r="H105" s="1654"/>
      <c r="I105" s="1654"/>
      <c r="J105" s="1654"/>
      <c r="K105" s="1654"/>
      <c r="L105" s="1654"/>
      <c r="M105" s="1654"/>
      <c r="N105" s="1654"/>
      <c r="O105" s="1654"/>
      <c r="P105" s="1654"/>
      <c r="Q105" s="1654"/>
      <c r="R105" s="1654"/>
      <c r="S105" s="1655"/>
      <c r="T105" s="149" t="s">
        <v>84</v>
      </c>
      <c r="U105" s="148" t="s">
        <v>218</v>
      </c>
      <c r="V105" s="316"/>
      <c r="W105" s="18"/>
      <c r="CM105"/>
      <c r="CN105"/>
      <c r="CO105"/>
      <c r="CP105"/>
      <c r="CQ105"/>
      <c r="CR105"/>
      <c r="CS105"/>
      <c r="CT105"/>
      <c r="CU105"/>
      <c r="CV105"/>
      <c r="CW105"/>
      <c r="CX105"/>
      <c r="CY105"/>
    </row>
    <row r="106" spans="1:103" s="1" customFormat="1" ht="24.95" customHeight="1" x14ac:dyDescent="0.25">
      <c r="A106" s="273" t="s">
        <v>383</v>
      </c>
      <c r="B106" s="144">
        <v>44325</v>
      </c>
      <c r="C106" s="145">
        <v>0.25</v>
      </c>
      <c r="D106" s="1653" t="s">
        <v>205</v>
      </c>
      <c r="E106" s="1654"/>
      <c r="F106" s="1654"/>
      <c r="G106" s="1654"/>
      <c r="H106" s="1654"/>
      <c r="I106" s="1654"/>
      <c r="J106" s="1654"/>
      <c r="K106" s="1654"/>
      <c r="L106" s="1654"/>
      <c r="M106" s="1654"/>
      <c r="N106" s="1654"/>
      <c r="O106" s="1654"/>
      <c r="P106" s="1654"/>
      <c r="Q106" s="1654"/>
      <c r="R106" s="1654"/>
      <c r="S106" s="1655"/>
      <c r="T106" s="149" t="s">
        <v>84</v>
      </c>
      <c r="U106" s="148" t="s">
        <v>218</v>
      </c>
      <c r="V106" s="316"/>
      <c r="W106" s="18"/>
      <c r="CM106"/>
      <c r="CN106"/>
      <c r="CO106"/>
      <c r="CP106"/>
      <c r="CQ106"/>
      <c r="CR106"/>
      <c r="CS106"/>
      <c r="CT106"/>
      <c r="CU106"/>
      <c r="CV106"/>
      <c r="CW106"/>
      <c r="CX106"/>
      <c r="CY106"/>
    </row>
    <row r="107" spans="1:103" s="1" customFormat="1" ht="24.95" customHeight="1" x14ac:dyDescent="0.25">
      <c r="A107" s="273" t="s">
        <v>383</v>
      </c>
      <c r="B107" s="144">
        <v>44326</v>
      </c>
      <c r="C107" s="145">
        <v>0.25</v>
      </c>
      <c r="D107" s="1653" t="s">
        <v>205</v>
      </c>
      <c r="E107" s="1654"/>
      <c r="F107" s="1654"/>
      <c r="G107" s="1654"/>
      <c r="H107" s="1654"/>
      <c r="I107" s="1654"/>
      <c r="J107" s="1654"/>
      <c r="K107" s="1654"/>
      <c r="L107" s="1654"/>
      <c r="M107" s="1654"/>
      <c r="N107" s="1654"/>
      <c r="O107" s="1654"/>
      <c r="P107" s="1654"/>
      <c r="Q107" s="1654"/>
      <c r="R107" s="1654"/>
      <c r="S107" s="1655"/>
      <c r="T107" s="149" t="s">
        <v>84</v>
      </c>
      <c r="U107" s="148" t="s">
        <v>218</v>
      </c>
      <c r="V107" s="316"/>
      <c r="W107" s="18"/>
      <c r="CM107"/>
      <c r="CN107"/>
      <c r="CO107"/>
      <c r="CP107"/>
      <c r="CQ107"/>
      <c r="CR107"/>
      <c r="CS107"/>
      <c r="CT107"/>
      <c r="CU107"/>
      <c r="CV107"/>
      <c r="CW107"/>
      <c r="CX107"/>
      <c r="CY107"/>
    </row>
    <row r="108" spans="1:103" s="1" customFormat="1" ht="24.95" customHeight="1" x14ac:dyDescent="0.25">
      <c r="A108" s="273" t="s">
        <v>383</v>
      </c>
      <c r="B108" s="144">
        <v>44327</v>
      </c>
      <c r="C108" s="145">
        <v>0.25</v>
      </c>
      <c r="D108" s="1653" t="s">
        <v>205</v>
      </c>
      <c r="E108" s="1654"/>
      <c r="F108" s="1654"/>
      <c r="G108" s="1654"/>
      <c r="H108" s="1654"/>
      <c r="I108" s="1654"/>
      <c r="J108" s="1654"/>
      <c r="K108" s="1654"/>
      <c r="L108" s="1654"/>
      <c r="M108" s="1654"/>
      <c r="N108" s="1654"/>
      <c r="O108" s="1654"/>
      <c r="P108" s="1654"/>
      <c r="Q108" s="1654"/>
      <c r="R108" s="1654"/>
      <c r="S108" s="1655"/>
      <c r="T108" s="149" t="s">
        <v>84</v>
      </c>
      <c r="U108" s="148" t="s">
        <v>218</v>
      </c>
      <c r="V108" s="316"/>
      <c r="W108" s="18"/>
      <c r="CM108"/>
      <c r="CN108"/>
      <c r="CO108"/>
      <c r="CP108"/>
      <c r="CQ108"/>
      <c r="CR108"/>
      <c r="CS108"/>
      <c r="CT108"/>
      <c r="CU108"/>
      <c r="CV108"/>
      <c r="CW108"/>
      <c r="CX108"/>
      <c r="CY108"/>
    </row>
    <row r="109" spans="1:103" s="1" customFormat="1" ht="24.95" customHeight="1" x14ac:dyDescent="0.25">
      <c r="A109" s="273" t="s">
        <v>383</v>
      </c>
      <c r="B109" s="144">
        <v>44328</v>
      </c>
      <c r="C109" s="145">
        <v>0.25</v>
      </c>
      <c r="D109" s="1653" t="s">
        <v>205</v>
      </c>
      <c r="E109" s="1654"/>
      <c r="F109" s="1654"/>
      <c r="G109" s="1654"/>
      <c r="H109" s="1654"/>
      <c r="I109" s="1654"/>
      <c r="J109" s="1654"/>
      <c r="K109" s="1654"/>
      <c r="L109" s="1654"/>
      <c r="M109" s="1654"/>
      <c r="N109" s="1654"/>
      <c r="O109" s="1654"/>
      <c r="P109" s="1654"/>
      <c r="Q109" s="1654"/>
      <c r="R109" s="1654"/>
      <c r="S109" s="1655"/>
      <c r="T109" s="149" t="s">
        <v>84</v>
      </c>
      <c r="U109" s="148" t="s">
        <v>218</v>
      </c>
      <c r="V109" s="316"/>
      <c r="W109" s="18"/>
      <c r="CM109"/>
      <c r="CN109"/>
      <c r="CO109"/>
      <c r="CP109"/>
      <c r="CQ109"/>
      <c r="CR109"/>
      <c r="CS109"/>
      <c r="CT109"/>
      <c r="CU109"/>
      <c r="CV109"/>
      <c r="CW109"/>
      <c r="CX109"/>
      <c r="CY109"/>
    </row>
    <row r="110" spans="1:103" s="1" customFormat="1" ht="24.95" customHeight="1" x14ac:dyDescent="0.25">
      <c r="A110" s="273" t="s">
        <v>383</v>
      </c>
      <c r="B110" s="144">
        <v>44329</v>
      </c>
      <c r="C110" s="145">
        <v>0.25</v>
      </c>
      <c r="D110" s="1653" t="s">
        <v>205</v>
      </c>
      <c r="E110" s="1654"/>
      <c r="F110" s="1654"/>
      <c r="G110" s="1654"/>
      <c r="H110" s="1654"/>
      <c r="I110" s="1654"/>
      <c r="J110" s="1654"/>
      <c r="K110" s="1654"/>
      <c r="L110" s="1654"/>
      <c r="M110" s="1654"/>
      <c r="N110" s="1654"/>
      <c r="O110" s="1654"/>
      <c r="P110" s="1654"/>
      <c r="Q110" s="1654"/>
      <c r="R110" s="1654"/>
      <c r="S110" s="1655"/>
      <c r="T110" s="149" t="s">
        <v>84</v>
      </c>
      <c r="U110" s="148" t="s">
        <v>218</v>
      </c>
      <c r="V110" s="316"/>
      <c r="W110" s="18"/>
      <c r="CM110"/>
      <c r="CN110"/>
      <c r="CO110"/>
      <c r="CP110"/>
      <c r="CQ110"/>
      <c r="CR110"/>
      <c r="CS110"/>
      <c r="CT110"/>
      <c r="CU110"/>
      <c r="CV110"/>
      <c r="CW110"/>
      <c r="CX110"/>
      <c r="CY110"/>
    </row>
    <row r="111" spans="1:103" s="1" customFormat="1" ht="24.95" customHeight="1" x14ac:dyDescent="0.25">
      <c r="A111" s="273" t="s">
        <v>383</v>
      </c>
      <c r="B111" s="144">
        <v>44330</v>
      </c>
      <c r="C111" s="145">
        <v>0.25</v>
      </c>
      <c r="D111" s="1653" t="s">
        <v>205</v>
      </c>
      <c r="E111" s="1654"/>
      <c r="F111" s="1654"/>
      <c r="G111" s="1654"/>
      <c r="H111" s="1654"/>
      <c r="I111" s="1654"/>
      <c r="J111" s="1654"/>
      <c r="K111" s="1654"/>
      <c r="L111" s="1654"/>
      <c r="M111" s="1654"/>
      <c r="N111" s="1654"/>
      <c r="O111" s="1654"/>
      <c r="P111" s="1654"/>
      <c r="Q111" s="1654"/>
      <c r="R111" s="1654"/>
      <c r="S111" s="1655"/>
      <c r="T111" s="149" t="s">
        <v>84</v>
      </c>
      <c r="U111" s="148" t="s">
        <v>218</v>
      </c>
      <c r="V111" s="316"/>
      <c r="W111" s="18"/>
      <c r="CM111"/>
      <c r="CN111"/>
      <c r="CO111"/>
      <c r="CP111"/>
      <c r="CQ111"/>
      <c r="CR111"/>
      <c r="CS111"/>
      <c r="CT111"/>
      <c r="CU111"/>
      <c r="CV111"/>
      <c r="CW111"/>
      <c r="CX111"/>
      <c r="CY111"/>
    </row>
    <row r="112" spans="1:103" s="1" customFormat="1" ht="24.95" customHeight="1" x14ac:dyDescent="0.25">
      <c r="A112" s="273" t="s">
        <v>383</v>
      </c>
      <c r="B112" s="144">
        <v>44331</v>
      </c>
      <c r="C112" s="145">
        <v>0.25</v>
      </c>
      <c r="D112" s="1653" t="s">
        <v>205</v>
      </c>
      <c r="E112" s="1654"/>
      <c r="F112" s="1654"/>
      <c r="G112" s="1654"/>
      <c r="H112" s="1654"/>
      <c r="I112" s="1654"/>
      <c r="J112" s="1654"/>
      <c r="K112" s="1654"/>
      <c r="L112" s="1654"/>
      <c r="M112" s="1654"/>
      <c r="N112" s="1654"/>
      <c r="O112" s="1654"/>
      <c r="P112" s="1654"/>
      <c r="Q112" s="1654"/>
      <c r="R112" s="1654"/>
      <c r="S112" s="1655"/>
      <c r="T112" s="149" t="s">
        <v>84</v>
      </c>
      <c r="U112" s="148" t="s">
        <v>218</v>
      </c>
      <c r="V112" s="316"/>
      <c r="W112" s="18"/>
      <c r="CM112"/>
      <c r="CN112"/>
      <c r="CO112"/>
      <c r="CP112"/>
      <c r="CQ112"/>
      <c r="CR112"/>
      <c r="CS112"/>
      <c r="CT112"/>
      <c r="CU112"/>
      <c r="CV112"/>
      <c r="CW112"/>
      <c r="CX112"/>
      <c r="CY112"/>
    </row>
    <row r="113" spans="1:103" s="1" customFormat="1" ht="24.95" customHeight="1" x14ac:dyDescent="0.25">
      <c r="A113" s="273" t="s">
        <v>383</v>
      </c>
      <c r="B113" s="144">
        <v>44332</v>
      </c>
      <c r="C113" s="145">
        <v>0.25</v>
      </c>
      <c r="D113" s="1653" t="s">
        <v>205</v>
      </c>
      <c r="E113" s="1654"/>
      <c r="F113" s="1654"/>
      <c r="G113" s="1654"/>
      <c r="H113" s="1654"/>
      <c r="I113" s="1654"/>
      <c r="J113" s="1654"/>
      <c r="K113" s="1654"/>
      <c r="L113" s="1654"/>
      <c r="M113" s="1654"/>
      <c r="N113" s="1654"/>
      <c r="O113" s="1654"/>
      <c r="P113" s="1654"/>
      <c r="Q113" s="1654"/>
      <c r="R113" s="1654"/>
      <c r="S113" s="1655"/>
      <c r="T113" s="149" t="s">
        <v>84</v>
      </c>
      <c r="U113" s="148" t="s">
        <v>218</v>
      </c>
      <c r="V113" s="316"/>
      <c r="W113" s="18"/>
      <c r="CM113"/>
      <c r="CN113"/>
      <c r="CO113"/>
      <c r="CP113"/>
      <c r="CQ113"/>
      <c r="CR113"/>
      <c r="CS113"/>
      <c r="CT113"/>
      <c r="CU113"/>
      <c r="CV113"/>
      <c r="CW113"/>
      <c r="CX113"/>
      <c r="CY113"/>
    </row>
    <row r="114" spans="1:103" s="1" customFormat="1" ht="24.95" customHeight="1" x14ac:dyDescent="0.25">
      <c r="A114" s="273" t="s">
        <v>383</v>
      </c>
      <c r="B114" s="144">
        <v>44333</v>
      </c>
      <c r="C114" s="145">
        <v>0.25</v>
      </c>
      <c r="D114" s="1653" t="s">
        <v>205</v>
      </c>
      <c r="E114" s="1654"/>
      <c r="F114" s="1654"/>
      <c r="G114" s="1654"/>
      <c r="H114" s="1654"/>
      <c r="I114" s="1654"/>
      <c r="J114" s="1654"/>
      <c r="K114" s="1654"/>
      <c r="L114" s="1654"/>
      <c r="M114" s="1654"/>
      <c r="N114" s="1654"/>
      <c r="O114" s="1654"/>
      <c r="P114" s="1654"/>
      <c r="Q114" s="1654"/>
      <c r="R114" s="1654"/>
      <c r="S114" s="1655"/>
      <c r="T114" s="149" t="s">
        <v>84</v>
      </c>
      <c r="U114" s="148" t="s">
        <v>218</v>
      </c>
      <c r="V114" s="316"/>
      <c r="W114" s="18"/>
      <c r="CM114"/>
      <c r="CN114"/>
      <c r="CO114"/>
      <c r="CP114"/>
      <c r="CQ114"/>
      <c r="CR114"/>
      <c r="CS114"/>
      <c r="CT114"/>
      <c r="CU114"/>
      <c r="CV114"/>
      <c r="CW114"/>
      <c r="CX114"/>
      <c r="CY114"/>
    </row>
    <row r="115" spans="1:103" s="1" customFormat="1" ht="24.95" customHeight="1" x14ac:dyDescent="0.25">
      <c r="A115" s="273" t="s">
        <v>383</v>
      </c>
      <c r="B115" s="144">
        <v>44334</v>
      </c>
      <c r="C115" s="145">
        <v>0.25</v>
      </c>
      <c r="D115" s="1653" t="s">
        <v>205</v>
      </c>
      <c r="E115" s="1654"/>
      <c r="F115" s="1654"/>
      <c r="G115" s="1654"/>
      <c r="H115" s="1654"/>
      <c r="I115" s="1654"/>
      <c r="J115" s="1654"/>
      <c r="K115" s="1654"/>
      <c r="L115" s="1654"/>
      <c r="M115" s="1654"/>
      <c r="N115" s="1654"/>
      <c r="O115" s="1654"/>
      <c r="P115" s="1654"/>
      <c r="Q115" s="1654"/>
      <c r="R115" s="1654"/>
      <c r="S115" s="1655"/>
      <c r="T115" s="149" t="s">
        <v>84</v>
      </c>
      <c r="U115" s="148" t="s">
        <v>218</v>
      </c>
      <c r="V115" s="316"/>
      <c r="W115" s="18"/>
      <c r="CM115"/>
      <c r="CN115"/>
      <c r="CO115"/>
      <c r="CP115"/>
      <c r="CQ115"/>
      <c r="CR115"/>
      <c r="CS115"/>
      <c r="CT115"/>
      <c r="CU115"/>
      <c r="CV115"/>
      <c r="CW115"/>
      <c r="CX115"/>
      <c r="CY115"/>
    </row>
    <row r="116" spans="1:103" s="1" customFormat="1" ht="24.95" customHeight="1" x14ac:dyDescent="0.25">
      <c r="A116" s="273" t="s">
        <v>383</v>
      </c>
      <c r="B116" s="144">
        <v>44335</v>
      </c>
      <c r="C116" s="145">
        <v>0.25</v>
      </c>
      <c r="D116" s="1653" t="s">
        <v>205</v>
      </c>
      <c r="E116" s="1654"/>
      <c r="F116" s="1654"/>
      <c r="G116" s="1654"/>
      <c r="H116" s="1654"/>
      <c r="I116" s="1654"/>
      <c r="J116" s="1654"/>
      <c r="K116" s="1654"/>
      <c r="L116" s="1654"/>
      <c r="M116" s="1654"/>
      <c r="N116" s="1654"/>
      <c r="O116" s="1654"/>
      <c r="P116" s="1654"/>
      <c r="Q116" s="1654"/>
      <c r="R116" s="1654"/>
      <c r="S116" s="1655"/>
      <c r="T116" s="149" t="s">
        <v>84</v>
      </c>
      <c r="U116" s="148" t="s">
        <v>218</v>
      </c>
      <c r="V116" s="316"/>
      <c r="W116" s="18"/>
      <c r="CM116"/>
      <c r="CN116"/>
      <c r="CO116"/>
      <c r="CP116"/>
      <c r="CQ116"/>
      <c r="CR116"/>
      <c r="CS116"/>
      <c r="CT116"/>
      <c r="CU116"/>
      <c r="CV116"/>
      <c r="CW116"/>
      <c r="CX116"/>
      <c r="CY116"/>
    </row>
    <row r="117" spans="1:103" s="1" customFormat="1" ht="24.95" customHeight="1" x14ac:dyDescent="0.25">
      <c r="A117" s="273" t="s">
        <v>383</v>
      </c>
      <c r="B117" s="144">
        <v>44336</v>
      </c>
      <c r="C117" s="145">
        <v>0.25</v>
      </c>
      <c r="D117" s="1653" t="s">
        <v>205</v>
      </c>
      <c r="E117" s="1654"/>
      <c r="F117" s="1654"/>
      <c r="G117" s="1654"/>
      <c r="H117" s="1654"/>
      <c r="I117" s="1654"/>
      <c r="J117" s="1654"/>
      <c r="K117" s="1654"/>
      <c r="L117" s="1654"/>
      <c r="M117" s="1654"/>
      <c r="N117" s="1654"/>
      <c r="O117" s="1654"/>
      <c r="P117" s="1654"/>
      <c r="Q117" s="1654"/>
      <c r="R117" s="1654"/>
      <c r="S117" s="1655"/>
      <c r="T117" s="149" t="s">
        <v>84</v>
      </c>
      <c r="U117" s="148" t="s">
        <v>218</v>
      </c>
      <c r="V117" s="316"/>
      <c r="W117" s="18"/>
      <c r="CM117"/>
      <c r="CN117"/>
      <c r="CO117"/>
      <c r="CP117"/>
      <c r="CQ117"/>
      <c r="CR117"/>
      <c r="CS117"/>
      <c r="CT117"/>
      <c r="CU117"/>
      <c r="CV117"/>
      <c r="CW117"/>
      <c r="CX117"/>
      <c r="CY117"/>
    </row>
    <row r="118" spans="1:103" s="1" customFormat="1" ht="24.95" customHeight="1" x14ac:dyDescent="0.25">
      <c r="A118" s="273" t="s">
        <v>383</v>
      </c>
      <c r="B118" s="144">
        <v>44337</v>
      </c>
      <c r="C118" s="145">
        <v>0.25</v>
      </c>
      <c r="D118" s="1653" t="s">
        <v>205</v>
      </c>
      <c r="E118" s="1654"/>
      <c r="F118" s="1654"/>
      <c r="G118" s="1654"/>
      <c r="H118" s="1654"/>
      <c r="I118" s="1654"/>
      <c r="J118" s="1654"/>
      <c r="K118" s="1654"/>
      <c r="L118" s="1654"/>
      <c r="M118" s="1654"/>
      <c r="N118" s="1654"/>
      <c r="O118" s="1654"/>
      <c r="P118" s="1654"/>
      <c r="Q118" s="1654"/>
      <c r="R118" s="1654"/>
      <c r="S118" s="1655"/>
      <c r="T118" s="149" t="s">
        <v>84</v>
      </c>
      <c r="U118" s="148" t="s">
        <v>218</v>
      </c>
      <c r="V118" s="316"/>
      <c r="W118" s="18"/>
      <c r="CM118"/>
      <c r="CN118"/>
      <c r="CO118"/>
      <c r="CP118"/>
      <c r="CQ118"/>
      <c r="CR118"/>
      <c r="CS118"/>
      <c r="CT118"/>
      <c r="CU118"/>
      <c r="CV118"/>
      <c r="CW118"/>
      <c r="CX118"/>
      <c r="CY118"/>
    </row>
    <row r="119" spans="1:103" s="1" customFormat="1" ht="24.95" customHeight="1" x14ac:dyDescent="0.25">
      <c r="A119" s="273" t="s">
        <v>383</v>
      </c>
      <c r="B119" s="144">
        <v>44338</v>
      </c>
      <c r="C119" s="145">
        <v>0.25</v>
      </c>
      <c r="D119" s="1653" t="s">
        <v>205</v>
      </c>
      <c r="E119" s="1654"/>
      <c r="F119" s="1654"/>
      <c r="G119" s="1654"/>
      <c r="H119" s="1654"/>
      <c r="I119" s="1654"/>
      <c r="J119" s="1654"/>
      <c r="K119" s="1654"/>
      <c r="L119" s="1654"/>
      <c r="M119" s="1654"/>
      <c r="N119" s="1654"/>
      <c r="O119" s="1654"/>
      <c r="P119" s="1654"/>
      <c r="Q119" s="1654"/>
      <c r="R119" s="1654"/>
      <c r="S119" s="1655"/>
      <c r="T119" s="149" t="s">
        <v>84</v>
      </c>
      <c r="U119" s="148" t="s">
        <v>218</v>
      </c>
      <c r="V119" s="316"/>
      <c r="W119" s="18"/>
      <c r="CM119"/>
      <c r="CN119"/>
      <c r="CO119"/>
      <c r="CP119"/>
      <c r="CQ119"/>
      <c r="CR119"/>
      <c r="CS119"/>
      <c r="CT119"/>
      <c r="CU119"/>
      <c r="CV119"/>
      <c r="CW119"/>
      <c r="CX119"/>
      <c r="CY119"/>
    </row>
    <row r="120" spans="1:103" s="1" customFormat="1" ht="24.95" customHeight="1" x14ac:dyDescent="0.25">
      <c r="A120" s="273" t="s">
        <v>383</v>
      </c>
      <c r="B120" s="144">
        <v>44339</v>
      </c>
      <c r="C120" s="145">
        <v>0.25</v>
      </c>
      <c r="D120" s="1653" t="s">
        <v>205</v>
      </c>
      <c r="E120" s="1654"/>
      <c r="F120" s="1654"/>
      <c r="G120" s="1654"/>
      <c r="H120" s="1654"/>
      <c r="I120" s="1654"/>
      <c r="J120" s="1654"/>
      <c r="K120" s="1654"/>
      <c r="L120" s="1654"/>
      <c r="M120" s="1654"/>
      <c r="N120" s="1654"/>
      <c r="O120" s="1654"/>
      <c r="P120" s="1654"/>
      <c r="Q120" s="1654"/>
      <c r="R120" s="1654"/>
      <c r="S120" s="1655"/>
      <c r="T120" s="149" t="s">
        <v>84</v>
      </c>
      <c r="U120" s="148" t="s">
        <v>218</v>
      </c>
      <c r="V120" s="316"/>
      <c r="W120" s="18"/>
      <c r="CM120"/>
      <c r="CN120"/>
      <c r="CO120"/>
      <c r="CP120"/>
      <c r="CQ120"/>
      <c r="CR120"/>
      <c r="CS120"/>
      <c r="CT120"/>
      <c r="CU120"/>
      <c r="CV120"/>
      <c r="CW120"/>
      <c r="CX120"/>
      <c r="CY120"/>
    </row>
    <row r="121" spans="1:103" s="1" customFormat="1" ht="24.95" customHeight="1" x14ac:dyDescent="0.25">
      <c r="A121" s="273" t="s">
        <v>383</v>
      </c>
      <c r="B121" s="144">
        <v>44340</v>
      </c>
      <c r="C121" s="145">
        <v>0.25</v>
      </c>
      <c r="D121" s="1653" t="s">
        <v>205</v>
      </c>
      <c r="E121" s="1654"/>
      <c r="F121" s="1654"/>
      <c r="G121" s="1654"/>
      <c r="H121" s="1654"/>
      <c r="I121" s="1654"/>
      <c r="J121" s="1654"/>
      <c r="K121" s="1654"/>
      <c r="L121" s="1654"/>
      <c r="M121" s="1654"/>
      <c r="N121" s="1654"/>
      <c r="O121" s="1654"/>
      <c r="P121" s="1654"/>
      <c r="Q121" s="1654"/>
      <c r="R121" s="1654"/>
      <c r="S121" s="1655"/>
      <c r="T121" s="149" t="s">
        <v>84</v>
      </c>
      <c r="U121" s="148" t="s">
        <v>218</v>
      </c>
      <c r="V121" s="316"/>
      <c r="W121" s="18"/>
      <c r="CM121"/>
      <c r="CN121"/>
      <c r="CO121"/>
      <c r="CP121"/>
      <c r="CQ121"/>
      <c r="CR121"/>
      <c r="CS121"/>
      <c r="CT121"/>
      <c r="CU121"/>
      <c r="CV121"/>
      <c r="CW121"/>
      <c r="CX121"/>
      <c r="CY121"/>
    </row>
    <row r="122" spans="1:103" s="1" customFormat="1" ht="24.95" customHeight="1" x14ac:dyDescent="0.25">
      <c r="A122" s="273" t="s">
        <v>383</v>
      </c>
      <c r="B122" s="144">
        <v>44341</v>
      </c>
      <c r="C122" s="145">
        <v>0.25</v>
      </c>
      <c r="D122" s="1653" t="s">
        <v>205</v>
      </c>
      <c r="E122" s="1654"/>
      <c r="F122" s="1654"/>
      <c r="G122" s="1654"/>
      <c r="H122" s="1654"/>
      <c r="I122" s="1654"/>
      <c r="J122" s="1654"/>
      <c r="K122" s="1654"/>
      <c r="L122" s="1654"/>
      <c r="M122" s="1654"/>
      <c r="N122" s="1654"/>
      <c r="O122" s="1654"/>
      <c r="P122" s="1654"/>
      <c r="Q122" s="1654"/>
      <c r="R122" s="1654"/>
      <c r="S122" s="1655"/>
      <c r="T122" s="149" t="s">
        <v>84</v>
      </c>
      <c r="U122" s="148" t="s">
        <v>218</v>
      </c>
      <c r="V122" s="316"/>
      <c r="W122" s="18"/>
      <c r="CM122"/>
      <c r="CN122"/>
      <c r="CO122"/>
      <c r="CP122"/>
      <c r="CQ122"/>
      <c r="CR122"/>
      <c r="CS122"/>
      <c r="CT122"/>
      <c r="CU122"/>
      <c r="CV122"/>
      <c r="CW122"/>
      <c r="CX122"/>
      <c r="CY122"/>
    </row>
    <row r="123" spans="1:103" s="1" customFormat="1" ht="24.95" customHeight="1" x14ac:dyDescent="0.25">
      <c r="A123" s="273" t="s">
        <v>383</v>
      </c>
      <c r="B123" s="144">
        <v>44342</v>
      </c>
      <c r="C123" s="145">
        <v>0.25</v>
      </c>
      <c r="D123" s="1653" t="s">
        <v>205</v>
      </c>
      <c r="E123" s="1654"/>
      <c r="F123" s="1654"/>
      <c r="G123" s="1654"/>
      <c r="H123" s="1654"/>
      <c r="I123" s="1654"/>
      <c r="J123" s="1654"/>
      <c r="K123" s="1654"/>
      <c r="L123" s="1654"/>
      <c r="M123" s="1654"/>
      <c r="N123" s="1654"/>
      <c r="O123" s="1654"/>
      <c r="P123" s="1654"/>
      <c r="Q123" s="1654"/>
      <c r="R123" s="1654"/>
      <c r="S123" s="1655"/>
      <c r="T123" s="149" t="s">
        <v>84</v>
      </c>
      <c r="U123" s="148" t="s">
        <v>218</v>
      </c>
      <c r="V123" s="316"/>
      <c r="W123" s="18"/>
      <c r="CM123"/>
      <c r="CN123"/>
      <c r="CO123"/>
      <c r="CP123"/>
      <c r="CQ123"/>
      <c r="CR123"/>
      <c r="CS123"/>
      <c r="CT123"/>
      <c r="CU123"/>
      <c r="CV123"/>
      <c r="CW123"/>
      <c r="CX123"/>
      <c r="CY123"/>
    </row>
    <row r="124" spans="1:103" s="1" customFormat="1" ht="24.95" customHeight="1" x14ac:dyDescent="0.25">
      <c r="A124" s="273" t="s">
        <v>383</v>
      </c>
      <c r="B124" s="144">
        <v>44343</v>
      </c>
      <c r="C124" s="145">
        <v>0.25</v>
      </c>
      <c r="D124" s="1653" t="s">
        <v>205</v>
      </c>
      <c r="E124" s="1654"/>
      <c r="F124" s="1654"/>
      <c r="G124" s="1654"/>
      <c r="H124" s="1654"/>
      <c r="I124" s="1654"/>
      <c r="J124" s="1654"/>
      <c r="K124" s="1654"/>
      <c r="L124" s="1654"/>
      <c r="M124" s="1654"/>
      <c r="N124" s="1654"/>
      <c r="O124" s="1654"/>
      <c r="P124" s="1654"/>
      <c r="Q124" s="1654"/>
      <c r="R124" s="1654"/>
      <c r="S124" s="1655"/>
      <c r="T124" s="149" t="s">
        <v>84</v>
      </c>
      <c r="U124" s="148" t="s">
        <v>218</v>
      </c>
      <c r="V124" s="316"/>
      <c r="W124" s="18"/>
      <c r="CM124"/>
      <c r="CN124"/>
      <c r="CO124"/>
      <c r="CP124"/>
      <c r="CQ124"/>
      <c r="CR124"/>
      <c r="CS124"/>
      <c r="CT124"/>
      <c r="CU124"/>
      <c r="CV124"/>
      <c r="CW124"/>
      <c r="CX124"/>
      <c r="CY124"/>
    </row>
    <row r="125" spans="1:103" s="1" customFormat="1" ht="24.95" customHeight="1" x14ac:dyDescent="0.25">
      <c r="A125" s="273" t="s">
        <v>383</v>
      </c>
      <c r="B125" s="144">
        <v>44344</v>
      </c>
      <c r="C125" s="145">
        <v>0.25</v>
      </c>
      <c r="D125" s="1653" t="s">
        <v>205</v>
      </c>
      <c r="E125" s="1654"/>
      <c r="F125" s="1654"/>
      <c r="G125" s="1654"/>
      <c r="H125" s="1654"/>
      <c r="I125" s="1654"/>
      <c r="J125" s="1654"/>
      <c r="K125" s="1654"/>
      <c r="L125" s="1654"/>
      <c r="M125" s="1654"/>
      <c r="N125" s="1654"/>
      <c r="O125" s="1654"/>
      <c r="P125" s="1654"/>
      <c r="Q125" s="1654"/>
      <c r="R125" s="1654"/>
      <c r="S125" s="1655"/>
      <c r="T125" s="149" t="s">
        <v>84</v>
      </c>
      <c r="U125" s="148" t="s">
        <v>218</v>
      </c>
      <c r="V125" s="316"/>
      <c r="W125" s="18"/>
      <c r="CM125"/>
      <c r="CN125"/>
      <c r="CO125"/>
      <c r="CP125"/>
      <c r="CQ125"/>
      <c r="CR125"/>
      <c r="CS125"/>
      <c r="CT125"/>
      <c r="CU125"/>
      <c r="CV125"/>
      <c r="CW125"/>
      <c r="CX125"/>
      <c r="CY125"/>
    </row>
    <row r="126" spans="1:103" s="1" customFormat="1" ht="24.95" customHeight="1" x14ac:dyDescent="0.25">
      <c r="A126" s="273" t="s">
        <v>383</v>
      </c>
      <c r="B126" s="144">
        <v>44345</v>
      </c>
      <c r="C126" s="145">
        <v>0.25</v>
      </c>
      <c r="D126" s="1653" t="s">
        <v>205</v>
      </c>
      <c r="E126" s="1654"/>
      <c r="F126" s="1654"/>
      <c r="G126" s="1654"/>
      <c r="H126" s="1654"/>
      <c r="I126" s="1654"/>
      <c r="J126" s="1654"/>
      <c r="K126" s="1654"/>
      <c r="L126" s="1654"/>
      <c r="M126" s="1654"/>
      <c r="N126" s="1654"/>
      <c r="O126" s="1654"/>
      <c r="P126" s="1654"/>
      <c r="Q126" s="1654"/>
      <c r="R126" s="1654"/>
      <c r="S126" s="1655"/>
      <c r="T126" s="149" t="s">
        <v>84</v>
      </c>
      <c r="U126" s="148" t="s">
        <v>218</v>
      </c>
      <c r="V126" s="316"/>
      <c r="W126" s="18"/>
      <c r="CM126"/>
      <c r="CN126"/>
      <c r="CO126"/>
      <c r="CP126"/>
      <c r="CQ126"/>
      <c r="CR126"/>
      <c r="CS126"/>
      <c r="CT126"/>
      <c r="CU126"/>
      <c r="CV126"/>
      <c r="CW126"/>
      <c r="CX126"/>
      <c r="CY126"/>
    </row>
    <row r="127" spans="1:103" s="1" customFormat="1" ht="24.95" customHeight="1" x14ac:dyDescent="0.25">
      <c r="A127" s="273" t="s">
        <v>383</v>
      </c>
      <c r="B127" s="144">
        <v>44346</v>
      </c>
      <c r="C127" s="145">
        <v>0.25</v>
      </c>
      <c r="D127" s="1653" t="s">
        <v>205</v>
      </c>
      <c r="E127" s="1654"/>
      <c r="F127" s="1654"/>
      <c r="G127" s="1654"/>
      <c r="H127" s="1654"/>
      <c r="I127" s="1654"/>
      <c r="J127" s="1654"/>
      <c r="K127" s="1654"/>
      <c r="L127" s="1654"/>
      <c r="M127" s="1654"/>
      <c r="N127" s="1654"/>
      <c r="O127" s="1654"/>
      <c r="P127" s="1654"/>
      <c r="Q127" s="1654"/>
      <c r="R127" s="1654"/>
      <c r="S127" s="1655"/>
      <c r="T127" s="149" t="s">
        <v>84</v>
      </c>
      <c r="U127" s="148" t="s">
        <v>218</v>
      </c>
      <c r="V127" s="316"/>
      <c r="W127" s="18"/>
      <c r="CM127"/>
      <c r="CN127"/>
      <c r="CO127"/>
      <c r="CP127"/>
      <c r="CQ127"/>
      <c r="CR127"/>
      <c r="CS127"/>
      <c r="CT127"/>
      <c r="CU127"/>
      <c r="CV127"/>
      <c r="CW127"/>
      <c r="CX127"/>
      <c r="CY127"/>
    </row>
    <row r="128" spans="1:103" s="1" customFormat="1" ht="24.95" customHeight="1" x14ac:dyDescent="0.25">
      <c r="A128" s="273" t="s">
        <v>383</v>
      </c>
      <c r="B128" s="144">
        <v>44347</v>
      </c>
      <c r="C128" s="145">
        <v>0.25</v>
      </c>
      <c r="D128" s="1653" t="s">
        <v>205</v>
      </c>
      <c r="E128" s="1654"/>
      <c r="F128" s="1654"/>
      <c r="G128" s="1654"/>
      <c r="H128" s="1654"/>
      <c r="I128" s="1654"/>
      <c r="J128" s="1654"/>
      <c r="K128" s="1654"/>
      <c r="L128" s="1654"/>
      <c r="M128" s="1654"/>
      <c r="N128" s="1654"/>
      <c r="O128" s="1654"/>
      <c r="P128" s="1654"/>
      <c r="Q128" s="1654"/>
      <c r="R128" s="1654"/>
      <c r="S128" s="1655"/>
      <c r="T128" s="149" t="s">
        <v>84</v>
      </c>
      <c r="U128" s="148" t="s">
        <v>218</v>
      </c>
      <c r="V128" s="316"/>
      <c r="W128" s="18"/>
      <c r="CM128"/>
      <c r="CN128"/>
      <c r="CO128"/>
      <c r="CP128"/>
      <c r="CQ128"/>
      <c r="CR128"/>
      <c r="CS128"/>
      <c r="CT128"/>
      <c r="CU128"/>
      <c r="CV128"/>
      <c r="CW128"/>
      <c r="CX128"/>
      <c r="CY128"/>
    </row>
    <row r="129" spans="1:103" s="1" customFormat="1" ht="24.95" customHeight="1" x14ac:dyDescent="0.25">
      <c r="A129" s="273" t="s">
        <v>383</v>
      </c>
      <c r="B129" s="144">
        <v>44348</v>
      </c>
      <c r="C129" s="145">
        <v>0.25</v>
      </c>
      <c r="D129" s="1653" t="s">
        <v>205</v>
      </c>
      <c r="E129" s="1654"/>
      <c r="F129" s="1654"/>
      <c r="G129" s="1654"/>
      <c r="H129" s="1654"/>
      <c r="I129" s="1654"/>
      <c r="J129" s="1654"/>
      <c r="K129" s="1654"/>
      <c r="L129" s="1654"/>
      <c r="M129" s="1654"/>
      <c r="N129" s="1654"/>
      <c r="O129" s="1654"/>
      <c r="P129" s="1654"/>
      <c r="Q129" s="1654"/>
      <c r="R129" s="1654"/>
      <c r="S129" s="1655"/>
      <c r="T129" s="149" t="s">
        <v>84</v>
      </c>
      <c r="U129" s="148" t="s">
        <v>218</v>
      </c>
      <c r="V129" s="316"/>
      <c r="W129" s="18"/>
      <c r="CM129"/>
      <c r="CN129"/>
      <c r="CO129"/>
      <c r="CP129"/>
      <c r="CQ129"/>
      <c r="CR129"/>
      <c r="CS129"/>
      <c r="CT129"/>
      <c r="CU129"/>
      <c r="CV129"/>
      <c r="CW129"/>
      <c r="CX129"/>
      <c r="CY129"/>
    </row>
    <row r="130" spans="1:103" s="1" customFormat="1" ht="24.95" customHeight="1" x14ac:dyDescent="0.25">
      <c r="A130" s="273" t="s">
        <v>383</v>
      </c>
      <c r="B130" s="144">
        <v>44349</v>
      </c>
      <c r="C130" s="145">
        <v>0.25</v>
      </c>
      <c r="D130" s="1653" t="s">
        <v>205</v>
      </c>
      <c r="E130" s="1654"/>
      <c r="F130" s="1654"/>
      <c r="G130" s="1654"/>
      <c r="H130" s="1654"/>
      <c r="I130" s="1654"/>
      <c r="J130" s="1654"/>
      <c r="K130" s="1654"/>
      <c r="L130" s="1654"/>
      <c r="M130" s="1654"/>
      <c r="N130" s="1654"/>
      <c r="O130" s="1654"/>
      <c r="P130" s="1654"/>
      <c r="Q130" s="1654"/>
      <c r="R130" s="1654"/>
      <c r="S130" s="1655"/>
      <c r="T130" s="149" t="s">
        <v>84</v>
      </c>
      <c r="U130" s="148" t="s">
        <v>218</v>
      </c>
      <c r="V130" s="316"/>
      <c r="W130" s="18"/>
      <c r="CM130"/>
      <c r="CN130"/>
      <c r="CO130"/>
      <c r="CP130"/>
      <c r="CQ130"/>
      <c r="CR130"/>
      <c r="CS130"/>
      <c r="CT130"/>
      <c r="CU130"/>
      <c r="CV130"/>
      <c r="CW130"/>
      <c r="CX130"/>
      <c r="CY130"/>
    </row>
    <row r="131" spans="1:103" s="1" customFormat="1" ht="24.95" customHeight="1" x14ac:dyDescent="0.25">
      <c r="A131" s="273" t="s">
        <v>383</v>
      </c>
      <c r="B131" s="144">
        <v>44350</v>
      </c>
      <c r="C131" s="145">
        <v>0.25</v>
      </c>
      <c r="D131" s="1653" t="s">
        <v>205</v>
      </c>
      <c r="E131" s="1654"/>
      <c r="F131" s="1654"/>
      <c r="G131" s="1654"/>
      <c r="H131" s="1654"/>
      <c r="I131" s="1654"/>
      <c r="J131" s="1654"/>
      <c r="K131" s="1654"/>
      <c r="L131" s="1654"/>
      <c r="M131" s="1654"/>
      <c r="N131" s="1654"/>
      <c r="O131" s="1654"/>
      <c r="P131" s="1654"/>
      <c r="Q131" s="1654"/>
      <c r="R131" s="1654"/>
      <c r="S131" s="1655"/>
      <c r="T131" s="149" t="s">
        <v>84</v>
      </c>
      <c r="U131" s="148" t="s">
        <v>218</v>
      </c>
      <c r="V131" s="316"/>
      <c r="W131" s="18"/>
      <c r="CM131"/>
      <c r="CN131"/>
      <c r="CO131"/>
      <c r="CP131"/>
      <c r="CQ131"/>
      <c r="CR131"/>
      <c r="CS131"/>
      <c r="CT131"/>
      <c r="CU131"/>
      <c r="CV131"/>
      <c r="CW131"/>
      <c r="CX131"/>
      <c r="CY131"/>
    </row>
    <row r="132" spans="1:103" s="1" customFormat="1" ht="24.95" customHeight="1" x14ac:dyDescent="0.25">
      <c r="A132" s="273" t="s">
        <v>383</v>
      </c>
      <c r="B132" s="144">
        <v>44351</v>
      </c>
      <c r="C132" s="145">
        <v>0.25</v>
      </c>
      <c r="D132" s="1653" t="s">
        <v>205</v>
      </c>
      <c r="E132" s="1654"/>
      <c r="F132" s="1654"/>
      <c r="G132" s="1654"/>
      <c r="H132" s="1654"/>
      <c r="I132" s="1654"/>
      <c r="J132" s="1654"/>
      <c r="K132" s="1654"/>
      <c r="L132" s="1654"/>
      <c r="M132" s="1654"/>
      <c r="N132" s="1654"/>
      <c r="O132" s="1654"/>
      <c r="P132" s="1654"/>
      <c r="Q132" s="1654"/>
      <c r="R132" s="1654"/>
      <c r="S132" s="1655"/>
      <c r="T132" s="149" t="s">
        <v>84</v>
      </c>
      <c r="U132" s="148" t="s">
        <v>218</v>
      </c>
      <c r="V132" s="316"/>
      <c r="W132" s="18"/>
      <c r="CM132"/>
      <c r="CN132"/>
      <c r="CO132"/>
      <c r="CP132"/>
      <c r="CQ132"/>
      <c r="CR132"/>
      <c r="CS132"/>
      <c r="CT132"/>
      <c r="CU132"/>
      <c r="CV132"/>
      <c r="CW132"/>
      <c r="CX132"/>
      <c r="CY132"/>
    </row>
    <row r="133" spans="1:103" s="1" customFormat="1" ht="24.95" customHeight="1" x14ac:dyDescent="0.25">
      <c r="A133" s="273" t="s">
        <v>383</v>
      </c>
      <c r="B133" s="144">
        <v>44352</v>
      </c>
      <c r="C133" s="145">
        <v>0.25</v>
      </c>
      <c r="D133" s="1653" t="s">
        <v>205</v>
      </c>
      <c r="E133" s="1654"/>
      <c r="F133" s="1654"/>
      <c r="G133" s="1654"/>
      <c r="H133" s="1654"/>
      <c r="I133" s="1654"/>
      <c r="J133" s="1654"/>
      <c r="K133" s="1654"/>
      <c r="L133" s="1654"/>
      <c r="M133" s="1654"/>
      <c r="N133" s="1654"/>
      <c r="O133" s="1654"/>
      <c r="P133" s="1654"/>
      <c r="Q133" s="1654"/>
      <c r="R133" s="1654"/>
      <c r="S133" s="1655"/>
      <c r="T133" s="149" t="s">
        <v>84</v>
      </c>
      <c r="U133" s="148" t="s">
        <v>218</v>
      </c>
      <c r="V133" s="316"/>
      <c r="W133" s="18"/>
      <c r="CM133"/>
      <c r="CN133"/>
      <c r="CO133"/>
      <c r="CP133"/>
      <c r="CQ133"/>
      <c r="CR133"/>
      <c r="CS133"/>
      <c r="CT133"/>
      <c r="CU133"/>
      <c r="CV133"/>
      <c r="CW133"/>
      <c r="CX133"/>
      <c r="CY133"/>
    </row>
    <row r="134" spans="1:103" s="1" customFormat="1" ht="24.95" customHeight="1" x14ac:dyDescent="0.25">
      <c r="A134" s="273" t="s">
        <v>383</v>
      </c>
      <c r="B134" s="144">
        <v>44353</v>
      </c>
      <c r="C134" s="145">
        <v>0.25</v>
      </c>
      <c r="D134" s="1653" t="s">
        <v>205</v>
      </c>
      <c r="E134" s="1654"/>
      <c r="F134" s="1654"/>
      <c r="G134" s="1654"/>
      <c r="H134" s="1654"/>
      <c r="I134" s="1654"/>
      <c r="J134" s="1654"/>
      <c r="K134" s="1654"/>
      <c r="L134" s="1654"/>
      <c r="M134" s="1654"/>
      <c r="N134" s="1654"/>
      <c r="O134" s="1654"/>
      <c r="P134" s="1654"/>
      <c r="Q134" s="1654"/>
      <c r="R134" s="1654"/>
      <c r="S134" s="1655"/>
      <c r="T134" s="149" t="s">
        <v>84</v>
      </c>
      <c r="U134" s="148" t="s">
        <v>218</v>
      </c>
      <c r="V134" s="316"/>
      <c r="W134" s="18"/>
      <c r="CM134"/>
      <c r="CN134"/>
      <c r="CO134"/>
      <c r="CP134"/>
      <c r="CQ134"/>
      <c r="CR134"/>
      <c r="CS134"/>
      <c r="CT134"/>
      <c r="CU134"/>
      <c r="CV134"/>
      <c r="CW134"/>
      <c r="CX134"/>
      <c r="CY134"/>
    </row>
    <row r="135" spans="1:103" s="1" customFormat="1" ht="24.95" customHeight="1" x14ac:dyDescent="0.25">
      <c r="A135" s="273" t="s">
        <v>383</v>
      </c>
      <c r="B135" s="144">
        <v>44354</v>
      </c>
      <c r="C135" s="145">
        <v>0.25</v>
      </c>
      <c r="D135" s="1653" t="s">
        <v>205</v>
      </c>
      <c r="E135" s="1654"/>
      <c r="F135" s="1654"/>
      <c r="G135" s="1654"/>
      <c r="H135" s="1654"/>
      <c r="I135" s="1654"/>
      <c r="J135" s="1654"/>
      <c r="K135" s="1654"/>
      <c r="L135" s="1654"/>
      <c r="M135" s="1654"/>
      <c r="N135" s="1654"/>
      <c r="O135" s="1654"/>
      <c r="P135" s="1654"/>
      <c r="Q135" s="1654"/>
      <c r="R135" s="1654"/>
      <c r="S135" s="1655"/>
      <c r="T135" s="149" t="s">
        <v>84</v>
      </c>
      <c r="U135" s="148" t="s">
        <v>218</v>
      </c>
      <c r="V135" s="316"/>
      <c r="W135" s="18"/>
      <c r="CM135"/>
      <c r="CN135"/>
      <c r="CO135"/>
      <c r="CP135"/>
      <c r="CQ135"/>
      <c r="CR135"/>
      <c r="CS135"/>
      <c r="CT135"/>
      <c r="CU135"/>
      <c r="CV135"/>
      <c r="CW135"/>
      <c r="CX135"/>
      <c r="CY135"/>
    </row>
    <row r="136" spans="1:103" s="1" customFormat="1" ht="24.95" customHeight="1" x14ac:dyDescent="0.25">
      <c r="A136" s="273" t="s">
        <v>383</v>
      </c>
      <c r="B136" s="144">
        <v>44355</v>
      </c>
      <c r="C136" s="145">
        <v>0.25</v>
      </c>
      <c r="D136" s="1653" t="s">
        <v>205</v>
      </c>
      <c r="E136" s="1654"/>
      <c r="F136" s="1654"/>
      <c r="G136" s="1654"/>
      <c r="H136" s="1654"/>
      <c r="I136" s="1654"/>
      <c r="J136" s="1654"/>
      <c r="K136" s="1654"/>
      <c r="L136" s="1654"/>
      <c r="M136" s="1654"/>
      <c r="N136" s="1654"/>
      <c r="O136" s="1654"/>
      <c r="P136" s="1654"/>
      <c r="Q136" s="1654"/>
      <c r="R136" s="1654"/>
      <c r="S136" s="1655"/>
      <c r="T136" s="149" t="s">
        <v>84</v>
      </c>
      <c r="U136" s="148" t="s">
        <v>218</v>
      </c>
      <c r="V136" s="316"/>
      <c r="W136" s="18"/>
      <c r="CM136"/>
      <c r="CN136"/>
      <c r="CO136"/>
      <c r="CP136"/>
      <c r="CQ136"/>
      <c r="CR136"/>
      <c r="CS136"/>
      <c r="CT136"/>
      <c r="CU136"/>
      <c r="CV136"/>
      <c r="CW136"/>
      <c r="CX136"/>
      <c r="CY136"/>
    </row>
    <row r="137" spans="1:103" s="1" customFormat="1" ht="24.95" customHeight="1" x14ac:dyDescent="0.25">
      <c r="A137" s="273" t="s">
        <v>383</v>
      </c>
      <c r="B137" s="144">
        <v>44356</v>
      </c>
      <c r="C137" s="145">
        <v>0.25</v>
      </c>
      <c r="D137" s="1653" t="s">
        <v>205</v>
      </c>
      <c r="E137" s="1654"/>
      <c r="F137" s="1654"/>
      <c r="G137" s="1654"/>
      <c r="H137" s="1654"/>
      <c r="I137" s="1654"/>
      <c r="J137" s="1654"/>
      <c r="K137" s="1654"/>
      <c r="L137" s="1654"/>
      <c r="M137" s="1654"/>
      <c r="N137" s="1654"/>
      <c r="O137" s="1654"/>
      <c r="P137" s="1654"/>
      <c r="Q137" s="1654"/>
      <c r="R137" s="1654"/>
      <c r="S137" s="1655"/>
      <c r="T137" s="149" t="s">
        <v>84</v>
      </c>
      <c r="U137" s="148" t="s">
        <v>218</v>
      </c>
      <c r="V137" s="316"/>
      <c r="W137" s="18"/>
      <c r="CM137"/>
      <c r="CN137"/>
      <c r="CO137"/>
      <c r="CP137"/>
      <c r="CQ137"/>
      <c r="CR137"/>
      <c r="CS137"/>
      <c r="CT137"/>
      <c r="CU137"/>
      <c r="CV137"/>
      <c r="CW137"/>
      <c r="CX137"/>
      <c r="CY137"/>
    </row>
    <row r="138" spans="1:103" s="1" customFormat="1" ht="24.95" customHeight="1" x14ac:dyDescent="0.25">
      <c r="A138" s="273" t="s">
        <v>383</v>
      </c>
      <c r="B138" s="144">
        <v>44357</v>
      </c>
      <c r="C138" s="145">
        <v>0.25</v>
      </c>
      <c r="D138" s="1653" t="s">
        <v>205</v>
      </c>
      <c r="E138" s="1654"/>
      <c r="F138" s="1654"/>
      <c r="G138" s="1654"/>
      <c r="H138" s="1654"/>
      <c r="I138" s="1654"/>
      <c r="J138" s="1654"/>
      <c r="K138" s="1654"/>
      <c r="L138" s="1654"/>
      <c r="M138" s="1654"/>
      <c r="N138" s="1654"/>
      <c r="O138" s="1654"/>
      <c r="P138" s="1654"/>
      <c r="Q138" s="1654"/>
      <c r="R138" s="1654"/>
      <c r="S138" s="1655"/>
      <c r="T138" s="149" t="s">
        <v>84</v>
      </c>
      <c r="U138" s="148" t="s">
        <v>218</v>
      </c>
      <c r="V138" s="316"/>
      <c r="W138" s="18"/>
      <c r="CM138"/>
      <c r="CN138"/>
      <c r="CO138"/>
      <c r="CP138"/>
      <c r="CQ138"/>
      <c r="CR138"/>
      <c r="CS138"/>
      <c r="CT138"/>
      <c r="CU138"/>
      <c r="CV138"/>
      <c r="CW138"/>
      <c r="CX138"/>
      <c r="CY138"/>
    </row>
    <row r="139" spans="1:103" s="1" customFormat="1" ht="24.95" customHeight="1" x14ac:dyDescent="0.25">
      <c r="A139" s="273" t="s">
        <v>383</v>
      </c>
      <c r="B139" s="144">
        <v>44358</v>
      </c>
      <c r="C139" s="145">
        <v>0.25</v>
      </c>
      <c r="D139" s="1653" t="s">
        <v>205</v>
      </c>
      <c r="E139" s="1654"/>
      <c r="F139" s="1654"/>
      <c r="G139" s="1654"/>
      <c r="H139" s="1654"/>
      <c r="I139" s="1654"/>
      <c r="J139" s="1654"/>
      <c r="K139" s="1654"/>
      <c r="L139" s="1654"/>
      <c r="M139" s="1654"/>
      <c r="N139" s="1654"/>
      <c r="O139" s="1654"/>
      <c r="P139" s="1654"/>
      <c r="Q139" s="1654"/>
      <c r="R139" s="1654"/>
      <c r="S139" s="1655"/>
      <c r="T139" s="149" t="s">
        <v>84</v>
      </c>
      <c r="U139" s="148" t="s">
        <v>218</v>
      </c>
      <c r="V139" s="316"/>
      <c r="W139" s="18"/>
      <c r="CM139"/>
      <c r="CN139"/>
      <c r="CO139"/>
      <c r="CP139"/>
      <c r="CQ139"/>
      <c r="CR139"/>
      <c r="CS139"/>
      <c r="CT139"/>
      <c r="CU139"/>
      <c r="CV139"/>
      <c r="CW139"/>
      <c r="CX139"/>
      <c r="CY139"/>
    </row>
    <row r="140" spans="1:103" s="1" customFormat="1" ht="24.95" customHeight="1" x14ac:dyDescent="0.25">
      <c r="A140" s="273" t="s">
        <v>383</v>
      </c>
      <c r="B140" s="144">
        <v>44359</v>
      </c>
      <c r="C140" s="145">
        <v>0.25</v>
      </c>
      <c r="D140" s="1653" t="s">
        <v>205</v>
      </c>
      <c r="E140" s="1654"/>
      <c r="F140" s="1654"/>
      <c r="G140" s="1654"/>
      <c r="H140" s="1654"/>
      <c r="I140" s="1654"/>
      <c r="J140" s="1654"/>
      <c r="K140" s="1654"/>
      <c r="L140" s="1654"/>
      <c r="M140" s="1654"/>
      <c r="N140" s="1654"/>
      <c r="O140" s="1654"/>
      <c r="P140" s="1654"/>
      <c r="Q140" s="1654"/>
      <c r="R140" s="1654"/>
      <c r="S140" s="1655"/>
      <c r="T140" s="149" t="s">
        <v>84</v>
      </c>
      <c r="U140" s="148" t="s">
        <v>218</v>
      </c>
      <c r="V140" s="316"/>
      <c r="W140" s="18"/>
      <c r="CM140"/>
      <c r="CN140"/>
      <c r="CO140"/>
      <c r="CP140"/>
      <c r="CQ140"/>
      <c r="CR140"/>
      <c r="CS140"/>
      <c r="CT140"/>
      <c r="CU140"/>
      <c r="CV140"/>
      <c r="CW140"/>
      <c r="CX140"/>
      <c r="CY140"/>
    </row>
    <row r="141" spans="1:103" s="1" customFormat="1" ht="24.95" customHeight="1" x14ac:dyDescent="0.25">
      <c r="A141" s="273" t="s">
        <v>383</v>
      </c>
      <c r="B141" s="144">
        <v>44360</v>
      </c>
      <c r="C141" s="145">
        <v>0.25</v>
      </c>
      <c r="D141" s="1653" t="s">
        <v>205</v>
      </c>
      <c r="E141" s="1654"/>
      <c r="F141" s="1654"/>
      <c r="G141" s="1654"/>
      <c r="H141" s="1654"/>
      <c r="I141" s="1654"/>
      <c r="J141" s="1654"/>
      <c r="K141" s="1654"/>
      <c r="L141" s="1654"/>
      <c r="M141" s="1654"/>
      <c r="N141" s="1654"/>
      <c r="O141" s="1654"/>
      <c r="P141" s="1654"/>
      <c r="Q141" s="1654"/>
      <c r="R141" s="1654"/>
      <c r="S141" s="1655"/>
      <c r="T141" s="149" t="s">
        <v>84</v>
      </c>
      <c r="U141" s="148" t="s">
        <v>218</v>
      </c>
      <c r="V141" s="316"/>
      <c r="W141" s="18"/>
      <c r="CM141"/>
      <c r="CN141"/>
      <c r="CO141"/>
      <c r="CP141"/>
      <c r="CQ141"/>
      <c r="CR141"/>
      <c r="CS141"/>
      <c r="CT141"/>
      <c r="CU141"/>
      <c r="CV141"/>
      <c r="CW141"/>
      <c r="CX141"/>
      <c r="CY141"/>
    </row>
    <row r="142" spans="1:103" s="1" customFormat="1" ht="24.95" customHeight="1" x14ac:dyDescent="0.25">
      <c r="A142" s="273" t="s">
        <v>383</v>
      </c>
      <c r="B142" s="144">
        <v>44361</v>
      </c>
      <c r="C142" s="145">
        <v>0.25</v>
      </c>
      <c r="D142" s="1653" t="s">
        <v>205</v>
      </c>
      <c r="E142" s="1654"/>
      <c r="F142" s="1654"/>
      <c r="G142" s="1654"/>
      <c r="H142" s="1654"/>
      <c r="I142" s="1654"/>
      <c r="J142" s="1654"/>
      <c r="K142" s="1654"/>
      <c r="L142" s="1654"/>
      <c r="M142" s="1654"/>
      <c r="N142" s="1654"/>
      <c r="O142" s="1654"/>
      <c r="P142" s="1654"/>
      <c r="Q142" s="1654"/>
      <c r="R142" s="1654"/>
      <c r="S142" s="1655"/>
      <c r="T142" s="149" t="s">
        <v>84</v>
      </c>
      <c r="U142" s="148" t="s">
        <v>218</v>
      </c>
      <c r="V142" s="316"/>
      <c r="W142" s="18"/>
      <c r="CM142"/>
      <c r="CN142"/>
      <c r="CO142"/>
      <c r="CP142"/>
      <c r="CQ142"/>
      <c r="CR142"/>
      <c r="CS142"/>
      <c r="CT142"/>
      <c r="CU142"/>
      <c r="CV142"/>
      <c r="CW142"/>
      <c r="CX142"/>
      <c r="CY142"/>
    </row>
    <row r="143" spans="1:103" s="1" customFormat="1" ht="24.95" customHeight="1" x14ac:dyDescent="0.25">
      <c r="A143" s="273" t="s">
        <v>383</v>
      </c>
      <c r="B143" s="144">
        <v>44362</v>
      </c>
      <c r="C143" s="145">
        <v>0.25</v>
      </c>
      <c r="D143" s="1653" t="s">
        <v>205</v>
      </c>
      <c r="E143" s="1654"/>
      <c r="F143" s="1654"/>
      <c r="G143" s="1654"/>
      <c r="H143" s="1654"/>
      <c r="I143" s="1654"/>
      <c r="J143" s="1654"/>
      <c r="K143" s="1654"/>
      <c r="L143" s="1654"/>
      <c r="M143" s="1654"/>
      <c r="N143" s="1654"/>
      <c r="O143" s="1654"/>
      <c r="P143" s="1654"/>
      <c r="Q143" s="1654"/>
      <c r="R143" s="1654"/>
      <c r="S143" s="1655"/>
      <c r="T143" s="149" t="s">
        <v>84</v>
      </c>
      <c r="U143" s="148" t="s">
        <v>218</v>
      </c>
      <c r="V143" s="316"/>
      <c r="W143" s="18"/>
      <c r="CM143"/>
      <c r="CN143"/>
      <c r="CO143"/>
      <c r="CP143"/>
      <c r="CQ143"/>
      <c r="CR143"/>
      <c r="CS143"/>
      <c r="CT143"/>
      <c r="CU143"/>
      <c r="CV143"/>
      <c r="CW143"/>
      <c r="CX143"/>
      <c r="CY143"/>
    </row>
    <row r="144" spans="1:103" s="1" customFormat="1" ht="24.95" customHeight="1" x14ac:dyDescent="0.25">
      <c r="A144" s="273" t="s">
        <v>383</v>
      </c>
      <c r="B144" s="144">
        <v>44363</v>
      </c>
      <c r="C144" s="145">
        <v>0.25</v>
      </c>
      <c r="D144" s="1653" t="s">
        <v>205</v>
      </c>
      <c r="E144" s="1654"/>
      <c r="F144" s="1654"/>
      <c r="G144" s="1654"/>
      <c r="H144" s="1654"/>
      <c r="I144" s="1654"/>
      <c r="J144" s="1654"/>
      <c r="K144" s="1654"/>
      <c r="L144" s="1654"/>
      <c r="M144" s="1654"/>
      <c r="N144" s="1654"/>
      <c r="O144" s="1654"/>
      <c r="P144" s="1654"/>
      <c r="Q144" s="1654"/>
      <c r="R144" s="1654"/>
      <c r="S144" s="1655"/>
      <c r="T144" s="149" t="s">
        <v>84</v>
      </c>
      <c r="U144" s="148" t="s">
        <v>218</v>
      </c>
      <c r="V144" s="316"/>
      <c r="W144" s="18"/>
      <c r="CM144"/>
      <c r="CN144"/>
      <c r="CO144"/>
      <c r="CP144"/>
      <c r="CQ144"/>
      <c r="CR144"/>
      <c r="CS144"/>
      <c r="CT144"/>
      <c r="CU144"/>
      <c r="CV144"/>
      <c r="CW144"/>
      <c r="CX144"/>
      <c r="CY144"/>
    </row>
    <row r="145" spans="1:103" s="1" customFormat="1" ht="24.95" customHeight="1" x14ac:dyDescent="0.25">
      <c r="A145" s="273" t="s">
        <v>383</v>
      </c>
      <c r="B145" s="144">
        <v>44364</v>
      </c>
      <c r="C145" s="145">
        <v>0.25</v>
      </c>
      <c r="D145" s="1653" t="s">
        <v>205</v>
      </c>
      <c r="E145" s="1654"/>
      <c r="F145" s="1654"/>
      <c r="G145" s="1654"/>
      <c r="H145" s="1654"/>
      <c r="I145" s="1654"/>
      <c r="J145" s="1654"/>
      <c r="K145" s="1654"/>
      <c r="L145" s="1654"/>
      <c r="M145" s="1654"/>
      <c r="N145" s="1654"/>
      <c r="O145" s="1654"/>
      <c r="P145" s="1654"/>
      <c r="Q145" s="1654"/>
      <c r="R145" s="1654"/>
      <c r="S145" s="1655"/>
      <c r="T145" s="149" t="s">
        <v>84</v>
      </c>
      <c r="U145" s="148" t="s">
        <v>637</v>
      </c>
      <c r="V145" s="316"/>
      <c r="W145" s="18"/>
      <c r="CM145"/>
      <c r="CN145"/>
      <c r="CO145"/>
      <c r="CP145"/>
      <c r="CQ145"/>
      <c r="CR145"/>
      <c r="CS145"/>
      <c r="CT145"/>
      <c r="CU145"/>
      <c r="CV145"/>
      <c r="CW145"/>
      <c r="CX145"/>
      <c r="CY145"/>
    </row>
    <row r="146" spans="1:103" s="1" customFormat="1" ht="24.95" customHeight="1" x14ac:dyDescent="0.25">
      <c r="A146" s="273" t="s">
        <v>383</v>
      </c>
      <c r="B146" s="144">
        <v>44365</v>
      </c>
      <c r="C146" s="145">
        <v>0.25</v>
      </c>
      <c r="D146" s="1653" t="s">
        <v>205</v>
      </c>
      <c r="E146" s="1654"/>
      <c r="F146" s="1654"/>
      <c r="G146" s="1654"/>
      <c r="H146" s="1654"/>
      <c r="I146" s="1654"/>
      <c r="J146" s="1654"/>
      <c r="K146" s="1654"/>
      <c r="L146" s="1654"/>
      <c r="M146" s="1654"/>
      <c r="N146" s="1654"/>
      <c r="O146" s="1654"/>
      <c r="P146" s="1654"/>
      <c r="Q146" s="1654"/>
      <c r="R146" s="1654"/>
      <c r="S146" s="1655"/>
      <c r="T146" s="149" t="s">
        <v>84</v>
      </c>
      <c r="U146" s="148" t="s">
        <v>637</v>
      </c>
      <c r="V146" s="316"/>
      <c r="W146" s="18"/>
      <c r="CM146"/>
      <c r="CN146"/>
      <c r="CO146"/>
      <c r="CP146"/>
      <c r="CQ146"/>
      <c r="CR146"/>
      <c r="CS146"/>
      <c r="CT146"/>
      <c r="CU146"/>
      <c r="CV146"/>
      <c r="CW146"/>
      <c r="CX146"/>
      <c r="CY146"/>
    </row>
    <row r="147" spans="1:103" s="1" customFormat="1" ht="24.95" customHeight="1" x14ac:dyDescent="0.25">
      <c r="A147" s="273" t="s">
        <v>383</v>
      </c>
      <c r="B147" s="144">
        <v>44366</v>
      </c>
      <c r="C147" s="145">
        <v>0.25</v>
      </c>
      <c r="D147" s="1653" t="s">
        <v>205</v>
      </c>
      <c r="E147" s="1654"/>
      <c r="F147" s="1654"/>
      <c r="G147" s="1654"/>
      <c r="H147" s="1654"/>
      <c r="I147" s="1654"/>
      <c r="J147" s="1654"/>
      <c r="K147" s="1654"/>
      <c r="L147" s="1654"/>
      <c r="M147" s="1654"/>
      <c r="N147" s="1654"/>
      <c r="O147" s="1654"/>
      <c r="P147" s="1654"/>
      <c r="Q147" s="1654"/>
      <c r="R147" s="1654"/>
      <c r="S147" s="1655"/>
      <c r="T147" s="149" t="s">
        <v>84</v>
      </c>
      <c r="U147" s="148" t="s">
        <v>637</v>
      </c>
      <c r="V147" s="316"/>
      <c r="W147" s="18"/>
      <c r="CM147"/>
      <c r="CN147"/>
      <c r="CO147"/>
      <c r="CP147"/>
      <c r="CQ147"/>
      <c r="CR147"/>
      <c r="CS147"/>
      <c r="CT147"/>
      <c r="CU147"/>
      <c r="CV147"/>
      <c r="CW147"/>
      <c r="CX147"/>
      <c r="CY147"/>
    </row>
    <row r="148" spans="1:103" s="1" customFormat="1" ht="24.95" customHeight="1" x14ac:dyDescent="0.25">
      <c r="A148" s="273" t="s">
        <v>383</v>
      </c>
      <c r="B148" s="144">
        <v>44367</v>
      </c>
      <c r="C148" s="145">
        <v>0.25</v>
      </c>
      <c r="D148" s="1653" t="s">
        <v>205</v>
      </c>
      <c r="E148" s="1654"/>
      <c r="F148" s="1654"/>
      <c r="G148" s="1654"/>
      <c r="H148" s="1654"/>
      <c r="I148" s="1654"/>
      <c r="J148" s="1654"/>
      <c r="K148" s="1654"/>
      <c r="L148" s="1654"/>
      <c r="M148" s="1654"/>
      <c r="N148" s="1654"/>
      <c r="O148" s="1654"/>
      <c r="P148" s="1654"/>
      <c r="Q148" s="1654"/>
      <c r="R148" s="1654"/>
      <c r="S148" s="1655"/>
      <c r="T148" s="149" t="s">
        <v>84</v>
      </c>
      <c r="U148" s="148" t="s">
        <v>637</v>
      </c>
      <c r="V148" s="316"/>
      <c r="W148" s="18"/>
      <c r="CM148"/>
      <c r="CN148"/>
      <c r="CO148"/>
      <c r="CP148"/>
      <c r="CQ148"/>
      <c r="CR148"/>
      <c r="CS148"/>
      <c r="CT148"/>
      <c r="CU148"/>
      <c r="CV148"/>
      <c r="CW148"/>
      <c r="CX148"/>
      <c r="CY148"/>
    </row>
    <row r="149" spans="1:103" s="1" customFormat="1" ht="24.95" customHeight="1" x14ac:dyDescent="0.25">
      <c r="A149" s="273" t="s">
        <v>383</v>
      </c>
      <c r="B149" s="144">
        <v>44368</v>
      </c>
      <c r="C149" s="145">
        <v>0.25</v>
      </c>
      <c r="D149" s="1653" t="s">
        <v>205</v>
      </c>
      <c r="E149" s="1654"/>
      <c r="F149" s="1654"/>
      <c r="G149" s="1654"/>
      <c r="H149" s="1654"/>
      <c r="I149" s="1654"/>
      <c r="J149" s="1654"/>
      <c r="K149" s="1654"/>
      <c r="L149" s="1654"/>
      <c r="M149" s="1654"/>
      <c r="N149" s="1654"/>
      <c r="O149" s="1654"/>
      <c r="P149" s="1654"/>
      <c r="Q149" s="1654"/>
      <c r="R149" s="1654"/>
      <c r="S149" s="1655"/>
      <c r="T149" s="149" t="s">
        <v>84</v>
      </c>
      <c r="U149" s="148" t="s">
        <v>637</v>
      </c>
      <c r="V149" s="316"/>
      <c r="W149" s="18"/>
      <c r="CM149"/>
      <c r="CN149"/>
      <c r="CO149"/>
      <c r="CP149"/>
      <c r="CQ149"/>
      <c r="CR149"/>
      <c r="CS149"/>
      <c r="CT149"/>
      <c r="CU149"/>
      <c r="CV149"/>
      <c r="CW149"/>
      <c r="CX149"/>
      <c r="CY149"/>
    </row>
    <row r="150" spans="1:103" s="1" customFormat="1" ht="24.95" customHeight="1" x14ac:dyDescent="0.25">
      <c r="A150" s="273" t="s">
        <v>383</v>
      </c>
      <c r="B150" s="144">
        <v>44369</v>
      </c>
      <c r="C150" s="145">
        <v>0.25</v>
      </c>
      <c r="D150" s="1653" t="s">
        <v>205</v>
      </c>
      <c r="E150" s="1654"/>
      <c r="F150" s="1654"/>
      <c r="G150" s="1654"/>
      <c r="H150" s="1654"/>
      <c r="I150" s="1654"/>
      <c r="J150" s="1654"/>
      <c r="K150" s="1654"/>
      <c r="L150" s="1654"/>
      <c r="M150" s="1654"/>
      <c r="N150" s="1654"/>
      <c r="O150" s="1654"/>
      <c r="P150" s="1654"/>
      <c r="Q150" s="1654"/>
      <c r="R150" s="1654"/>
      <c r="S150" s="1655"/>
      <c r="T150" s="149" t="s">
        <v>84</v>
      </c>
      <c r="U150" s="148" t="s">
        <v>236</v>
      </c>
      <c r="V150" s="316" t="s">
        <v>669</v>
      </c>
      <c r="W150" s="18"/>
      <c r="CM150"/>
      <c r="CN150"/>
      <c r="CO150"/>
      <c r="CP150"/>
      <c r="CQ150"/>
      <c r="CR150"/>
      <c r="CS150"/>
      <c r="CT150"/>
      <c r="CU150"/>
      <c r="CV150"/>
      <c r="CW150"/>
      <c r="CX150"/>
      <c r="CY150"/>
    </row>
    <row r="151" spans="1:103" s="1" customFormat="1" ht="24.95" customHeight="1" x14ac:dyDescent="0.25">
      <c r="A151" s="273" t="s">
        <v>383</v>
      </c>
      <c r="B151" s="144">
        <v>44370</v>
      </c>
      <c r="C151" s="145">
        <v>0.25</v>
      </c>
      <c r="D151" s="1653" t="s">
        <v>205</v>
      </c>
      <c r="E151" s="1654"/>
      <c r="F151" s="1654"/>
      <c r="G151" s="1654"/>
      <c r="H151" s="1654"/>
      <c r="I151" s="1654"/>
      <c r="J151" s="1654"/>
      <c r="K151" s="1654"/>
      <c r="L151" s="1654"/>
      <c r="M151" s="1654"/>
      <c r="N151" s="1654"/>
      <c r="O151" s="1654"/>
      <c r="P151" s="1654"/>
      <c r="Q151" s="1654"/>
      <c r="R151" s="1654"/>
      <c r="S151" s="1655"/>
      <c r="T151" s="149" t="s">
        <v>84</v>
      </c>
      <c r="U151" s="148" t="s">
        <v>236</v>
      </c>
      <c r="V151" s="316"/>
      <c r="W151" s="18"/>
      <c r="CM151"/>
      <c r="CN151"/>
      <c r="CO151"/>
      <c r="CP151"/>
      <c r="CQ151"/>
      <c r="CR151"/>
      <c r="CS151"/>
      <c r="CT151"/>
      <c r="CU151"/>
      <c r="CV151"/>
      <c r="CW151"/>
      <c r="CX151"/>
      <c r="CY151"/>
    </row>
    <row r="152" spans="1:103" s="1" customFormat="1" ht="24.95" customHeight="1" x14ac:dyDescent="0.25">
      <c r="A152" s="273" t="s">
        <v>383</v>
      </c>
      <c r="B152" s="144">
        <v>44371</v>
      </c>
      <c r="C152" s="145">
        <v>0.25</v>
      </c>
      <c r="D152" s="1653" t="s">
        <v>205</v>
      </c>
      <c r="E152" s="1654"/>
      <c r="F152" s="1654"/>
      <c r="G152" s="1654"/>
      <c r="H152" s="1654"/>
      <c r="I152" s="1654"/>
      <c r="J152" s="1654"/>
      <c r="K152" s="1654"/>
      <c r="L152" s="1654"/>
      <c r="M152" s="1654"/>
      <c r="N152" s="1654"/>
      <c r="O152" s="1654"/>
      <c r="P152" s="1654"/>
      <c r="Q152" s="1654"/>
      <c r="R152" s="1654"/>
      <c r="S152" s="1655"/>
      <c r="T152" s="149" t="s">
        <v>84</v>
      </c>
      <c r="U152" s="148" t="s">
        <v>236</v>
      </c>
      <c r="V152" s="316"/>
      <c r="W152" s="18"/>
      <c r="CM152"/>
      <c r="CN152"/>
      <c r="CO152"/>
      <c r="CP152"/>
      <c r="CQ152"/>
      <c r="CR152"/>
      <c r="CS152"/>
      <c r="CT152"/>
      <c r="CU152"/>
      <c r="CV152"/>
      <c r="CW152"/>
      <c r="CX152"/>
      <c r="CY152"/>
    </row>
    <row r="153" spans="1:103" s="1" customFormat="1" ht="24.95" customHeight="1" x14ac:dyDescent="0.25">
      <c r="A153" s="273" t="s">
        <v>383</v>
      </c>
      <c r="B153" s="144">
        <v>44372</v>
      </c>
      <c r="C153" s="145">
        <v>0.25</v>
      </c>
      <c r="D153" s="1653" t="s">
        <v>205</v>
      </c>
      <c r="E153" s="1654"/>
      <c r="F153" s="1654"/>
      <c r="G153" s="1654"/>
      <c r="H153" s="1654"/>
      <c r="I153" s="1654"/>
      <c r="J153" s="1654"/>
      <c r="K153" s="1654"/>
      <c r="L153" s="1654"/>
      <c r="M153" s="1654"/>
      <c r="N153" s="1654"/>
      <c r="O153" s="1654"/>
      <c r="P153" s="1654"/>
      <c r="Q153" s="1654"/>
      <c r="R153" s="1654"/>
      <c r="S153" s="1655"/>
      <c r="T153" s="149" t="s">
        <v>84</v>
      </c>
      <c r="U153" s="148" t="s">
        <v>236</v>
      </c>
      <c r="V153" s="316"/>
      <c r="W153" s="18"/>
      <c r="CM153"/>
      <c r="CN153"/>
      <c r="CO153"/>
      <c r="CP153"/>
      <c r="CQ153"/>
      <c r="CR153"/>
      <c r="CS153"/>
      <c r="CT153"/>
      <c r="CU153"/>
      <c r="CV153"/>
      <c r="CW153"/>
      <c r="CX153"/>
      <c r="CY153"/>
    </row>
    <row r="154" spans="1:103" s="1" customFormat="1" ht="147.75" customHeight="1" x14ac:dyDescent="0.25">
      <c r="A154" s="273" t="s">
        <v>383</v>
      </c>
      <c r="B154" s="144">
        <v>44373</v>
      </c>
      <c r="C154" s="145">
        <v>0.25</v>
      </c>
      <c r="D154" s="1653" t="s">
        <v>205</v>
      </c>
      <c r="E154" s="1654"/>
      <c r="F154" s="1654"/>
      <c r="G154" s="1654"/>
      <c r="H154" s="1654"/>
      <c r="I154" s="1654"/>
      <c r="J154" s="1654"/>
      <c r="K154" s="1654"/>
      <c r="L154" s="1654"/>
      <c r="M154" s="1654"/>
      <c r="N154" s="1654"/>
      <c r="O154" s="1654"/>
      <c r="P154" s="1654"/>
      <c r="Q154" s="1654"/>
      <c r="R154" s="1654"/>
      <c r="S154" s="1655"/>
      <c r="T154" s="149" t="s">
        <v>84</v>
      </c>
      <c r="U154" s="148" t="s">
        <v>236</v>
      </c>
      <c r="V154" s="316" t="s">
        <v>678</v>
      </c>
      <c r="W154" s="18"/>
      <c r="CM154"/>
      <c r="CN154"/>
      <c r="CO154"/>
      <c r="CP154"/>
      <c r="CQ154"/>
      <c r="CR154"/>
      <c r="CS154"/>
      <c r="CT154"/>
      <c r="CU154"/>
      <c r="CV154"/>
      <c r="CW154"/>
      <c r="CX154"/>
      <c r="CY154"/>
    </row>
    <row r="155" spans="1:103" s="1" customFormat="1" ht="24.95" customHeight="1" x14ac:dyDescent="0.25">
      <c r="A155" s="273" t="s">
        <v>383</v>
      </c>
      <c r="B155" s="144">
        <v>44374</v>
      </c>
      <c r="C155" s="145">
        <v>0.25</v>
      </c>
      <c r="D155" s="1653" t="s">
        <v>205</v>
      </c>
      <c r="E155" s="1654"/>
      <c r="F155" s="1654"/>
      <c r="G155" s="1654"/>
      <c r="H155" s="1654"/>
      <c r="I155" s="1654"/>
      <c r="J155" s="1654"/>
      <c r="K155" s="1654"/>
      <c r="L155" s="1654"/>
      <c r="M155" s="1654"/>
      <c r="N155" s="1654"/>
      <c r="O155" s="1654"/>
      <c r="P155" s="1654"/>
      <c r="Q155" s="1654"/>
      <c r="R155" s="1654"/>
      <c r="S155" s="1655"/>
      <c r="T155" s="149" t="s">
        <v>84</v>
      </c>
      <c r="U155" s="148" t="s">
        <v>236</v>
      </c>
      <c r="V155" s="316"/>
      <c r="W155" s="18"/>
      <c r="CM155"/>
      <c r="CN155"/>
      <c r="CO155"/>
      <c r="CP155"/>
      <c r="CQ155"/>
      <c r="CR155"/>
      <c r="CS155"/>
      <c r="CT155"/>
      <c r="CU155"/>
      <c r="CV155"/>
      <c r="CW155"/>
      <c r="CX155"/>
      <c r="CY155"/>
    </row>
    <row r="156" spans="1:103" s="1" customFormat="1" ht="24.95" customHeight="1" x14ac:dyDescent="0.25">
      <c r="A156" s="273" t="s">
        <v>383</v>
      </c>
      <c r="B156" s="144">
        <v>44375</v>
      </c>
      <c r="C156" s="145">
        <v>0.25</v>
      </c>
      <c r="D156" s="1653" t="s">
        <v>205</v>
      </c>
      <c r="E156" s="1654"/>
      <c r="F156" s="1654"/>
      <c r="G156" s="1654"/>
      <c r="H156" s="1654"/>
      <c r="I156" s="1654"/>
      <c r="J156" s="1654"/>
      <c r="K156" s="1654"/>
      <c r="L156" s="1654"/>
      <c r="M156" s="1654"/>
      <c r="N156" s="1654"/>
      <c r="O156" s="1654"/>
      <c r="P156" s="1654"/>
      <c r="Q156" s="1654"/>
      <c r="R156" s="1654"/>
      <c r="S156" s="1655"/>
      <c r="T156" s="149" t="s">
        <v>84</v>
      </c>
      <c r="U156" s="148" t="s">
        <v>236</v>
      </c>
      <c r="V156" s="316"/>
      <c r="W156" s="18"/>
      <c r="CM156"/>
      <c r="CN156"/>
      <c r="CO156"/>
      <c r="CP156"/>
      <c r="CQ156"/>
      <c r="CR156"/>
      <c r="CS156"/>
      <c r="CT156"/>
      <c r="CU156"/>
      <c r="CV156"/>
      <c r="CW156"/>
      <c r="CX156"/>
      <c r="CY156"/>
    </row>
    <row r="157" spans="1:103" s="1" customFormat="1" ht="24.95" customHeight="1" x14ac:dyDescent="0.25">
      <c r="A157" s="273" t="s">
        <v>383</v>
      </c>
      <c r="B157" s="144">
        <v>44376</v>
      </c>
      <c r="C157" s="145">
        <v>0.25</v>
      </c>
      <c r="D157" s="1653" t="s">
        <v>205</v>
      </c>
      <c r="E157" s="1654"/>
      <c r="F157" s="1654"/>
      <c r="G157" s="1654"/>
      <c r="H157" s="1654"/>
      <c r="I157" s="1654"/>
      <c r="J157" s="1654"/>
      <c r="K157" s="1654"/>
      <c r="L157" s="1654"/>
      <c r="M157" s="1654"/>
      <c r="N157" s="1654"/>
      <c r="O157" s="1654"/>
      <c r="P157" s="1654"/>
      <c r="Q157" s="1654"/>
      <c r="R157" s="1654"/>
      <c r="S157" s="1655"/>
      <c r="T157" s="149" t="s">
        <v>84</v>
      </c>
      <c r="U157" s="148" t="s">
        <v>236</v>
      </c>
      <c r="V157" s="316"/>
      <c r="W157" s="18"/>
      <c r="CM157"/>
      <c r="CN157"/>
      <c r="CO157"/>
      <c r="CP157"/>
      <c r="CQ157"/>
      <c r="CR157"/>
      <c r="CS157"/>
      <c r="CT157"/>
      <c r="CU157"/>
      <c r="CV157"/>
      <c r="CW157"/>
      <c r="CX157"/>
      <c r="CY157"/>
    </row>
    <row r="158" spans="1:103" s="1" customFormat="1" ht="22.5" customHeight="1" x14ac:dyDescent="0.25">
      <c r="A158" s="273" t="s">
        <v>383</v>
      </c>
      <c r="B158" s="144">
        <v>44377</v>
      </c>
      <c r="C158" s="145">
        <v>0.25</v>
      </c>
      <c r="D158" s="1653" t="s">
        <v>205</v>
      </c>
      <c r="E158" s="1654"/>
      <c r="F158" s="1654"/>
      <c r="G158" s="1654"/>
      <c r="H158" s="1654"/>
      <c r="I158" s="1654"/>
      <c r="J158" s="1654"/>
      <c r="K158" s="1654"/>
      <c r="L158" s="1654"/>
      <c r="M158" s="1654"/>
      <c r="N158" s="1654"/>
      <c r="O158" s="1654"/>
      <c r="P158" s="1654"/>
      <c r="Q158" s="1654"/>
      <c r="R158" s="1654"/>
      <c r="S158" s="1655"/>
      <c r="T158" s="149" t="s">
        <v>84</v>
      </c>
      <c r="U158" s="148" t="s">
        <v>236</v>
      </c>
      <c r="V158" s="316"/>
      <c r="W158" s="18"/>
      <c r="CM158"/>
      <c r="CN158"/>
      <c r="CO158"/>
      <c r="CP158"/>
      <c r="CQ158"/>
      <c r="CR158"/>
      <c r="CS158"/>
      <c r="CT158"/>
      <c r="CU158"/>
      <c r="CV158"/>
      <c r="CW158"/>
      <c r="CX158"/>
      <c r="CY158"/>
    </row>
    <row r="159" spans="1:103" s="1" customFormat="1" ht="22.5" customHeight="1" x14ac:dyDescent="0.25">
      <c r="A159" s="273" t="s">
        <v>383</v>
      </c>
      <c r="B159" s="144">
        <v>44378</v>
      </c>
      <c r="C159" s="145">
        <v>0.25</v>
      </c>
      <c r="D159" s="1653" t="s">
        <v>205</v>
      </c>
      <c r="E159" s="1654"/>
      <c r="F159" s="1654"/>
      <c r="G159" s="1654"/>
      <c r="H159" s="1654"/>
      <c r="I159" s="1654"/>
      <c r="J159" s="1654"/>
      <c r="K159" s="1654"/>
      <c r="L159" s="1654"/>
      <c r="M159" s="1654"/>
      <c r="N159" s="1654"/>
      <c r="O159" s="1654"/>
      <c r="P159" s="1654"/>
      <c r="Q159" s="1654"/>
      <c r="R159" s="1654"/>
      <c r="S159" s="1655"/>
      <c r="T159" s="149" t="s">
        <v>84</v>
      </c>
      <c r="U159" s="148" t="s">
        <v>236</v>
      </c>
      <c r="V159" s="316"/>
      <c r="W159" s="18"/>
      <c r="CM159"/>
      <c r="CN159"/>
      <c r="CO159"/>
      <c r="CP159"/>
      <c r="CQ159"/>
      <c r="CR159"/>
      <c r="CS159"/>
      <c r="CT159"/>
      <c r="CU159"/>
      <c r="CV159"/>
      <c r="CW159"/>
      <c r="CX159"/>
      <c r="CY159"/>
    </row>
    <row r="160" spans="1:103" s="1" customFormat="1" ht="22.5" customHeight="1" x14ac:dyDescent="0.25">
      <c r="A160" s="273" t="s">
        <v>383</v>
      </c>
      <c r="B160" s="144">
        <v>44379</v>
      </c>
      <c r="C160" s="145">
        <v>0.25</v>
      </c>
      <c r="D160" s="1653" t="s">
        <v>205</v>
      </c>
      <c r="E160" s="1654"/>
      <c r="F160" s="1654"/>
      <c r="G160" s="1654"/>
      <c r="H160" s="1654"/>
      <c r="I160" s="1654"/>
      <c r="J160" s="1654"/>
      <c r="K160" s="1654"/>
      <c r="L160" s="1654"/>
      <c r="M160" s="1654"/>
      <c r="N160" s="1654"/>
      <c r="O160" s="1654"/>
      <c r="P160" s="1654"/>
      <c r="Q160" s="1654"/>
      <c r="R160" s="1654"/>
      <c r="S160" s="1655"/>
      <c r="T160" s="149" t="s">
        <v>84</v>
      </c>
      <c r="U160" s="148" t="s">
        <v>236</v>
      </c>
      <c r="V160" s="316"/>
      <c r="W160" s="18"/>
      <c r="CM160"/>
      <c r="CN160"/>
      <c r="CO160"/>
      <c r="CP160"/>
      <c r="CQ160"/>
      <c r="CR160"/>
      <c r="CS160"/>
      <c r="CT160"/>
      <c r="CU160"/>
      <c r="CV160"/>
      <c r="CW160"/>
      <c r="CX160"/>
      <c r="CY160"/>
    </row>
    <row r="161" spans="1:103" s="1" customFormat="1" ht="22.5" customHeight="1" x14ac:dyDescent="0.25">
      <c r="A161" s="273" t="s">
        <v>383</v>
      </c>
      <c r="B161" s="144">
        <v>44380</v>
      </c>
      <c r="C161" s="145">
        <v>0.25</v>
      </c>
      <c r="D161" s="1653" t="s">
        <v>205</v>
      </c>
      <c r="E161" s="1654"/>
      <c r="F161" s="1654"/>
      <c r="G161" s="1654"/>
      <c r="H161" s="1654"/>
      <c r="I161" s="1654"/>
      <c r="J161" s="1654"/>
      <c r="K161" s="1654"/>
      <c r="L161" s="1654"/>
      <c r="M161" s="1654"/>
      <c r="N161" s="1654"/>
      <c r="O161" s="1654"/>
      <c r="P161" s="1654"/>
      <c r="Q161" s="1654"/>
      <c r="R161" s="1654"/>
      <c r="S161" s="1655"/>
      <c r="T161" s="149" t="s">
        <v>84</v>
      </c>
      <c r="U161" s="148" t="s">
        <v>236</v>
      </c>
      <c r="V161" s="316"/>
      <c r="W161" s="18"/>
      <c r="CM161"/>
      <c r="CN161"/>
      <c r="CO161"/>
      <c r="CP161"/>
      <c r="CQ161"/>
      <c r="CR161"/>
      <c r="CS161"/>
      <c r="CT161"/>
      <c r="CU161"/>
      <c r="CV161"/>
      <c r="CW161"/>
      <c r="CX161"/>
      <c r="CY161"/>
    </row>
    <row r="162" spans="1:103" s="1" customFormat="1" ht="22.5" customHeight="1" x14ac:dyDescent="0.25">
      <c r="A162" s="273" t="s">
        <v>383</v>
      </c>
      <c r="B162" s="144">
        <v>44381</v>
      </c>
      <c r="C162" s="145">
        <v>0.25</v>
      </c>
      <c r="D162" s="1653" t="s">
        <v>205</v>
      </c>
      <c r="E162" s="1654"/>
      <c r="F162" s="1654"/>
      <c r="G162" s="1654"/>
      <c r="H162" s="1654"/>
      <c r="I162" s="1654"/>
      <c r="J162" s="1654"/>
      <c r="K162" s="1654"/>
      <c r="L162" s="1654"/>
      <c r="M162" s="1654"/>
      <c r="N162" s="1654"/>
      <c r="O162" s="1654"/>
      <c r="P162" s="1654"/>
      <c r="Q162" s="1654"/>
      <c r="R162" s="1654"/>
      <c r="S162" s="1655"/>
      <c r="T162" s="149" t="s">
        <v>84</v>
      </c>
      <c r="U162" s="148" t="s">
        <v>236</v>
      </c>
      <c r="V162" s="316"/>
      <c r="W162" s="18"/>
      <c r="CM162"/>
      <c r="CN162"/>
      <c r="CO162"/>
      <c r="CP162"/>
      <c r="CQ162"/>
      <c r="CR162"/>
      <c r="CS162"/>
      <c r="CT162"/>
      <c r="CU162"/>
      <c r="CV162"/>
      <c r="CW162"/>
      <c r="CX162"/>
      <c r="CY162"/>
    </row>
    <row r="163" spans="1:103" s="1" customFormat="1" ht="22.5" customHeight="1" x14ac:dyDescent="0.25">
      <c r="A163" s="273" t="s">
        <v>383</v>
      </c>
      <c r="B163" s="144">
        <v>44382</v>
      </c>
      <c r="C163" s="145">
        <v>0.25</v>
      </c>
      <c r="D163" s="1653" t="s">
        <v>205</v>
      </c>
      <c r="E163" s="1654"/>
      <c r="F163" s="1654"/>
      <c r="G163" s="1654"/>
      <c r="H163" s="1654"/>
      <c r="I163" s="1654"/>
      <c r="J163" s="1654"/>
      <c r="K163" s="1654"/>
      <c r="L163" s="1654"/>
      <c r="M163" s="1654"/>
      <c r="N163" s="1654"/>
      <c r="O163" s="1654"/>
      <c r="P163" s="1654"/>
      <c r="Q163" s="1654"/>
      <c r="R163" s="1654"/>
      <c r="S163" s="1655"/>
      <c r="T163" s="149" t="s">
        <v>84</v>
      </c>
      <c r="U163" s="148" t="s">
        <v>236</v>
      </c>
      <c r="V163" s="316"/>
      <c r="W163" s="18"/>
      <c r="CM163"/>
      <c r="CN163"/>
      <c r="CO163"/>
      <c r="CP163"/>
      <c r="CQ163"/>
      <c r="CR163"/>
      <c r="CS163"/>
      <c r="CT163"/>
      <c r="CU163"/>
      <c r="CV163"/>
      <c r="CW163"/>
      <c r="CX163"/>
      <c r="CY163"/>
    </row>
    <row r="164" spans="1:103" s="1" customFormat="1" ht="15.75" x14ac:dyDescent="0.25">
      <c r="A164" s="273" t="s">
        <v>383</v>
      </c>
      <c r="B164" s="144">
        <v>44383</v>
      </c>
      <c r="C164" s="145">
        <v>0.25</v>
      </c>
      <c r="D164" s="1653" t="s">
        <v>205</v>
      </c>
      <c r="E164" s="1654"/>
      <c r="F164" s="1654"/>
      <c r="G164" s="1654"/>
      <c r="H164" s="1654"/>
      <c r="I164" s="1654"/>
      <c r="J164" s="1654"/>
      <c r="K164" s="1654"/>
      <c r="L164" s="1654"/>
      <c r="M164" s="1654"/>
      <c r="N164" s="1654"/>
      <c r="O164" s="1654"/>
      <c r="P164" s="1654"/>
      <c r="Q164" s="1654"/>
      <c r="R164" s="1654"/>
      <c r="S164" s="1655"/>
      <c r="T164" s="149" t="s">
        <v>84</v>
      </c>
      <c r="U164" s="148" t="s">
        <v>236</v>
      </c>
      <c r="V164" s="316"/>
      <c r="W164" s="18"/>
      <c r="CM164"/>
      <c r="CN164"/>
      <c r="CO164"/>
      <c r="CP164"/>
      <c r="CQ164"/>
      <c r="CR164"/>
      <c r="CS164"/>
      <c r="CT164"/>
      <c r="CU164"/>
      <c r="CV164"/>
      <c r="CW164"/>
      <c r="CX164"/>
      <c r="CY164"/>
    </row>
    <row r="165" spans="1:103" s="1" customFormat="1" ht="24.75" customHeight="1" x14ac:dyDescent="0.25">
      <c r="A165" s="273" t="s">
        <v>383</v>
      </c>
      <c r="B165" s="144">
        <v>44384</v>
      </c>
      <c r="C165" s="145">
        <v>0.25</v>
      </c>
      <c r="D165" s="1653" t="s">
        <v>205</v>
      </c>
      <c r="E165" s="1654"/>
      <c r="F165" s="1654"/>
      <c r="G165" s="1654"/>
      <c r="H165" s="1654"/>
      <c r="I165" s="1654"/>
      <c r="J165" s="1654"/>
      <c r="K165" s="1654"/>
      <c r="L165" s="1654"/>
      <c r="M165" s="1654"/>
      <c r="N165" s="1654"/>
      <c r="O165" s="1654"/>
      <c r="P165" s="1654"/>
      <c r="Q165" s="1654"/>
      <c r="R165" s="1654"/>
      <c r="S165" s="1655"/>
      <c r="T165" s="149" t="s">
        <v>84</v>
      </c>
      <c r="U165" s="148" t="s">
        <v>236</v>
      </c>
      <c r="V165" s="316"/>
      <c r="W165" s="18"/>
      <c r="CM165"/>
      <c r="CN165"/>
      <c r="CO165"/>
      <c r="CP165"/>
      <c r="CQ165"/>
      <c r="CR165"/>
      <c r="CS165"/>
      <c r="CT165"/>
      <c r="CU165"/>
      <c r="CV165"/>
      <c r="CW165"/>
      <c r="CX165"/>
      <c r="CY165"/>
    </row>
    <row r="166" spans="1:103" s="1" customFormat="1" ht="24.75" customHeight="1" x14ac:dyDescent="0.25">
      <c r="A166" s="273" t="s">
        <v>383</v>
      </c>
      <c r="B166" s="144">
        <v>44385</v>
      </c>
      <c r="C166" s="145">
        <v>0.25</v>
      </c>
      <c r="D166" s="1653" t="s">
        <v>205</v>
      </c>
      <c r="E166" s="1654"/>
      <c r="F166" s="1654"/>
      <c r="G166" s="1654"/>
      <c r="H166" s="1654"/>
      <c r="I166" s="1654"/>
      <c r="J166" s="1654"/>
      <c r="K166" s="1654"/>
      <c r="L166" s="1654"/>
      <c r="M166" s="1654"/>
      <c r="N166" s="1654"/>
      <c r="O166" s="1654"/>
      <c r="P166" s="1654"/>
      <c r="Q166" s="1654"/>
      <c r="R166" s="1654"/>
      <c r="S166" s="1655"/>
      <c r="T166" s="149" t="s">
        <v>84</v>
      </c>
      <c r="U166" s="148" t="s">
        <v>236</v>
      </c>
      <c r="V166" s="316"/>
      <c r="W166" s="18"/>
      <c r="CM166"/>
      <c r="CN166"/>
      <c r="CO166"/>
      <c r="CP166"/>
      <c r="CQ166"/>
      <c r="CR166"/>
      <c r="CS166"/>
      <c r="CT166"/>
      <c r="CU166"/>
      <c r="CV166"/>
      <c r="CW166"/>
      <c r="CX166"/>
      <c r="CY166"/>
    </row>
    <row r="167" spans="1:103" s="1" customFormat="1" ht="24.75" customHeight="1" x14ac:dyDescent="0.25">
      <c r="A167" s="273" t="s">
        <v>383</v>
      </c>
      <c r="B167" s="144">
        <v>44386</v>
      </c>
      <c r="C167" s="145">
        <v>0.25</v>
      </c>
      <c r="D167" s="1653" t="s">
        <v>205</v>
      </c>
      <c r="E167" s="1654"/>
      <c r="F167" s="1654"/>
      <c r="G167" s="1654"/>
      <c r="H167" s="1654"/>
      <c r="I167" s="1654"/>
      <c r="J167" s="1654"/>
      <c r="K167" s="1654"/>
      <c r="L167" s="1654"/>
      <c r="M167" s="1654"/>
      <c r="N167" s="1654"/>
      <c r="O167" s="1654"/>
      <c r="P167" s="1654"/>
      <c r="Q167" s="1654"/>
      <c r="R167" s="1654"/>
      <c r="S167" s="1655"/>
      <c r="T167" s="149" t="s">
        <v>84</v>
      </c>
      <c r="U167" s="148" t="s">
        <v>236</v>
      </c>
      <c r="V167" s="316"/>
      <c r="W167" s="18"/>
      <c r="CM167"/>
      <c r="CN167"/>
      <c r="CO167"/>
      <c r="CP167"/>
      <c r="CQ167"/>
      <c r="CR167"/>
      <c r="CS167"/>
      <c r="CT167"/>
      <c r="CU167"/>
      <c r="CV167"/>
      <c r="CW167"/>
      <c r="CX167"/>
      <c r="CY167"/>
    </row>
    <row r="168" spans="1:103" s="1" customFormat="1" ht="24.75" customHeight="1" x14ac:dyDescent="0.25">
      <c r="A168" s="273" t="s">
        <v>383</v>
      </c>
      <c r="B168" s="144">
        <v>44387</v>
      </c>
      <c r="C168" s="145">
        <v>0.25</v>
      </c>
      <c r="D168" s="1653" t="s">
        <v>205</v>
      </c>
      <c r="E168" s="1654"/>
      <c r="F168" s="1654"/>
      <c r="G168" s="1654"/>
      <c r="H168" s="1654"/>
      <c r="I168" s="1654"/>
      <c r="J168" s="1654"/>
      <c r="K168" s="1654"/>
      <c r="L168" s="1654"/>
      <c r="M168" s="1654"/>
      <c r="N168" s="1654"/>
      <c r="O168" s="1654"/>
      <c r="P168" s="1654"/>
      <c r="Q168" s="1654"/>
      <c r="R168" s="1654"/>
      <c r="S168" s="1655"/>
      <c r="T168" s="149" t="s">
        <v>84</v>
      </c>
      <c r="U168" s="148" t="s">
        <v>236</v>
      </c>
      <c r="V168" s="316"/>
      <c r="W168" s="18"/>
      <c r="CM168"/>
      <c r="CN168"/>
      <c r="CO168"/>
      <c r="CP168"/>
      <c r="CQ168"/>
      <c r="CR168"/>
      <c r="CS168"/>
      <c r="CT168"/>
      <c r="CU168"/>
      <c r="CV168"/>
      <c r="CW168"/>
      <c r="CX168"/>
      <c r="CY168"/>
    </row>
    <row r="169" spans="1:103" s="1" customFormat="1" ht="24.75" customHeight="1" x14ac:dyDescent="0.25">
      <c r="A169" s="273" t="s">
        <v>383</v>
      </c>
      <c r="B169" s="144">
        <v>44388</v>
      </c>
      <c r="C169" s="145">
        <v>0.25</v>
      </c>
      <c r="D169" s="1653" t="s">
        <v>205</v>
      </c>
      <c r="E169" s="1654"/>
      <c r="F169" s="1654"/>
      <c r="G169" s="1654"/>
      <c r="H169" s="1654"/>
      <c r="I169" s="1654"/>
      <c r="J169" s="1654"/>
      <c r="K169" s="1654"/>
      <c r="L169" s="1654"/>
      <c r="M169" s="1654"/>
      <c r="N169" s="1654"/>
      <c r="O169" s="1654"/>
      <c r="P169" s="1654"/>
      <c r="Q169" s="1654"/>
      <c r="R169" s="1654"/>
      <c r="S169" s="1655"/>
      <c r="T169" s="149" t="s">
        <v>84</v>
      </c>
      <c r="U169" s="148" t="s">
        <v>236</v>
      </c>
      <c r="V169" s="316"/>
      <c r="W169" s="18"/>
      <c r="CM169"/>
      <c r="CN169"/>
      <c r="CO169"/>
      <c r="CP169"/>
      <c r="CQ169"/>
      <c r="CR169"/>
      <c r="CS169"/>
      <c r="CT169"/>
      <c r="CU169"/>
      <c r="CV169"/>
      <c r="CW169"/>
      <c r="CX169"/>
      <c r="CY169"/>
    </row>
    <row r="170" spans="1:103" s="1" customFormat="1" ht="24.75" customHeight="1" x14ac:dyDescent="0.25">
      <c r="A170" s="273" t="s">
        <v>383</v>
      </c>
      <c r="B170" s="144">
        <v>44389</v>
      </c>
      <c r="C170" s="145">
        <v>0.25</v>
      </c>
      <c r="D170" s="1653" t="s">
        <v>205</v>
      </c>
      <c r="E170" s="1654"/>
      <c r="F170" s="1654"/>
      <c r="G170" s="1654"/>
      <c r="H170" s="1654"/>
      <c r="I170" s="1654"/>
      <c r="J170" s="1654"/>
      <c r="K170" s="1654"/>
      <c r="L170" s="1654"/>
      <c r="M170" s="1654"/>
      <c r="N170" s="1654"/>
      <c r="O170" s="1654"/>
      <c r="P170" s="1654"/>
      <c r="Q170" s="1654"/>
      <c r="R170" s="1654"/>
      <c r="S170" s="1655"/>
      <c r="T170" s="149" t="s">
        <v>84</v>
      </c>
      <c r="U170" s="148" t="s">
        <v>236</v>
      </c>
      <c r="V170" s="316"/>
      <c r="W170" s="18"/>
      <c r="CM170"/>
      <c r="CN170"/>
      <c r="CO170"/>
      <c r="CP170"/>
      <c r="CQ170"/>
      <c r="CR170"/>
      <c r="CS170"/>
      <c r="CT170"/>
      <c r="CU170"/>
      <c r="CV170"/>
      <c r="CW170"/>
      <c r="CX170"/>
      <c r="CY170"/>
    </row>
    <row r="171" spans="1:103" s="1" customFormat="1" ht="24.75" customHeight="1" x14ac:dyDescent="0.25">
      <c r="A171" s="273" t="s">
        <v>383</v>
      </c>
      <c r="B171" s="144">
        <v>44390</v>
      </c>
      <c r="C171" s="145">
        <v>0.25</v>
      </c>
      <c r="D171" s="1653" t="s">
        <v>205</v>
      </c>
      <c r="E171" s="1654"/>
      <c r="F171" s="1654"/>
      <c r="G171" s="1654"/>
      <c r="H171" s="1654"/>
      <c r="I171" s="1654"/>
      <c r="J171" s="1654"/>
      <c r="K171" s="1654"/>
      <c r="L171" s="1654"/>
      <c r="M171" s="1654"/>
      <c r="N171" s="1654"/>
      <c r="O171" s="1654"/>
      <c r="P171" s="1654"/>
      <c r="Q171" s="1654"/>
      <c r="R171" s="1654"/>
      <c r="S171" s="1655"/>
      <c r="T171" s="149" t="s">
        <v>84</v>
      </c>
      <c r="U171" s="148" t="s">
        <v>236</v>
      </c>
      <c r="V171" s="316"/>
      <c r="W171" s="18"/>
      <c r="CM171"/>
      <c r="CN171"/>
      <c r="CO171"/>
      <c r="CP171"/>
      <c r="CQ171"/>
      <c r="CR171"/>
      <c r="CS171"/>
      <c r="CT171"/>
      <c r="CU171"/>
      <c r="CV171"/>
      <c r="CW171"/>
      <c r="CX171"/>
      <c r="CY171"/>
    </row>
    <row r="172" spans="1:103" s="1" customFormat="1" ht="24.75" customHeight="1" x14ac:dyDescent="0.25">
      <c r="A172" s="273" t="s">
        <v>383</v>
      </c>
      <c r="B172" s="144">
        <v>44391</v>
      </c>
      <c r="C172" s="145">
        <v>0.25</v>
      </c>
      <c r="D172" s="1653" t="s">
        <v>205</v>
      </c>
      <c r="E172" s="1654"/>
      <c r="F172" s="1654"/>
      <c r="G172" s="1654"/>
      <c r="H172" s="1654"/>
      <c r="I172" s="1654"/>
      <c r="J172" s="1654"/>
      <c r="K172" s="1654"/>
      <c r="L172" s="1654"/>
      <c r="M172" s="1654"/>
      <c r="N172" s="1654"/>
      <c r="O172" s="1654"/>
      <c r="P172" s="1654"/>
      <c r="Q172" s="1654"/>
      <c r="R172" s="1654"/>
      <c r="S172" s="1655"/>
      <c r="T172" s="149" t="s">
        <v>84</v>
      </c>
      <c r="U172" s="148" t="s">
        <v>236</v>
      </c>
      <c r="V172" s="316"/>
      <c r="W172" s="18"/>
      <c r="CM172"/>
      <c r="CN172"/>
      <c r="CO172"/>
      <c r="CP172"/>
      <c r="CQ172"/>
      <c r="CR172"/>
      <c r="CS172"/>
      <c r="CT172"/>
      <c r="CU172"/>
      <c r="CV172"/>
      <c r="CW172"/>
      <c r="CX172"/>
      <c r="CY172"/>
    </row>
    <row r="173" spans="1:103" s="1" customFormat="1" ht="24.75" customHeight="1" x14ac:dyDescent="0.25">
      <c r="A173" s="273" t="s">
        <v>383</v>
      </c>
      <c r="B173" s="144">
        <v>44392</v>
      </c>
      <c r="C173" s="145">
        <v>0.25</v>
      </c>
      <c r="D173" s="1653" t="s">
        <v>205</v>
      </c>
      <c r="E173" s="1654"/>
      <c r="F173" s="1654"/>
      <c r="G173" s="1654"/>
      <c r="H173" s="1654"/>
      <c r="I173" s="1654"/>
      <c r="J173" s="1654"/>
      <c r="K173" s="1654"/>
      <c r="L173" s="1654"/>
      <c r="M173" s="1654"/>
      <c r="N173" s="1654"/>
      <c r="O173" s="1654"/>
      <c r="P173" s="1654"/>
      <c r="Q173" s="1654"/>
      <c r="R173" s="1654"/>
      <c r="S173" s="1655"/>
      <c r="T173" s="149" t="s">
        <v>84</v>
      </c>
      <c r="U173" s="148" t="s">
        <v>236</v>
      </c>
      <c r="V173" s="316"/>
      <c r="W173" s="18"/>
      <c r="CM173"/>
      <c r="CN173"/>
      <c r="CO173"/>
      <c r="CP173"/>
      <c r="CQ173"/>
      <c r="CR173"/>
      <c r="CS173"/>
      <c r="CT173"/>
      <c r="CU173"/>
      <c r="CV173"/>
      <c r="CW173"/>
      <c r="CX173"/>
      <c r="CY173"/>
    </row>
    <row r="174" spans="1:103" s="1" customFormat="1" ht="24.75" customHeight="1" x14ac:dyDescent="0.25">
      <c r="A174" s="273" t="s">
        <v>383</v>
      </c>
      <c r="B174" s="144">
        <v>44393</v>
      </c>
      <c r="C174" s="145">
        <v>0.25</v>
      </c>
      <c r="D174" s="1653" t="s">
        <v>205</v>
      </c>
      <c r="E174" s="1654"/>
      <c r="F174" s="1654"/>
      <c r="G174" s="1654"/>
      <c r="H174" s="1654"/>
      <c r="I174" s="1654"/>
      <c r="J174" s="1654"/>
      <c r="K174" s="1654"/>
      <c r="L174" s="1654"/>
      <c r="M174" s="1654"/>
      <c r="N174" s="1654"/>
      <c r="O174" s="1654"/>
      <c r="P174" s="1654"/>
      <c r="Q174" s="1654"/>
      <c r="R174" s="1654"/>
      <c r="S174" s="1655"/>
      <c r="T174" s="149" t="s">
        <v>84</v>
      </c>
      <c r="U174" s="148" t="s">
        <v>236</v>
      </c>
      <c r="V174" s="316"/>
      <c r="W174" s="18"/>
      <c r="CM174"/>
      <c r="CN174"/>
      <c r="CO174"/>
      <c r="CP174"/>
      <c r="CQ174"/>
      <c r="CR174"/>
      <c r="CS174"/>
      <c r="CT174"/>
      <c r="CU174"/>
      <c r="CV174"/>
      <c r="CW174"/>
      <c r="CX174"/>
      <c r="CY174"/>
    </row>
    <row r="175" spans="1:103" s="1" customFormat="1" ht="24.75" customHeight="1" x14ac:dyDescent="0.25">
      <c r="A175" s="273" t="s">
        <v>383</v>
      </c>
      <c r="B175" s="144">
        <v>44394</v>
      </c>
      <c r="C175" s="145">
        <v>0.25</v>
      </c>
      <c r="D175" s="1653" t="s">
        <v>205</v>
      </c>
      <c r="E175" s="1654"/>
      <c r="F175" s="1654"/>
      <c r="G175" s="1654"/>
      <c r="H175" s="1654"/>
      <c r="I175" s="1654"/>
      <c r="J175" s="1654"/>
      <c r="K175" s="1654"/>
      <c r="L175" s="1654"/>
      <c r="M175" s="1654"/>
      <c r="N175" s="1654"/>
      <c r="O175" s="1654"/>
      <c r="P175" s="1654"/>
      <c r="Q175" s="1654"/>
      <c r="R175" s="1654"/>
      <c r="S175" s="1655"/>
      <c r="T175" s="149" t="s">
        <v>84</v>
      </c>
      <c r="U175" s="148" t="s">
        <v>236</v>
      </c>
      <c r="V175" s="316"/>
      <c r="W175" s="18"/>
      <c r="CM175"/>
      <c r="CN175"/>
      <c r="CO175"/>
      <c r="CP175"/>
      <c r="CQ175"/>
      <c r="CR175"/>
      <c r="CS175"/>
      <c r="CT175"/>
      <c r="CU175"/>
      <c r="CV175"/>
      <c r="CW175"/>
      <c r="CX175"/>
      <c r="CY175"/>
    </row>
    <row r="176" spans="1:103" s="1" customFormat="1" ht="24.75" customHeight="1" x14ac:dyDescent="0.25">
      <c r="A176" s="273" t="s">
        <v>383</v>
      </c>
      <c r="B176" s="144">
        <v>44395</v>
      </c>
      <c r="C176" s="145">
        <v>0.25</v>
      </c>
      <c r="D176" s="1653" t="s">
        <v>205</v>
      </c>
      <c r="E176" s="1654"/>
      <c r="F176" s="1654"/>
      <c r="G176" s="1654"/>
      <c r="H176" s="1654"/>
      <c r="I176" s="1654"/>
      <c r="J176" s="1654"/>
      <c r="K176" s="1654"/>
      <c r="L176" s="1654"/>
      <c r="M176" s="1654"/>
      <c r="N176" s="1654"/>
      <c r="O176" s="1654"/>
      <c r="P176" s="1654"/>
      <c r="Q176" s="1654"/>
      <c r="R176" s="1654"/>
      <c r="S176" s="1655"/>
      <c r="T176" s="149" t="s">
        <v>84</v>
      </c>
      <c r="U176" s="148" t="s">
        <v>236</v>
      </c>
      <c r="V176" s="316"/>
      <c r="W176" s="18"/>
      <c r="CM176"/>
      <c r="CN176"/>
      <c r="CO176"/>
      <c r="CP176"/>
      <c r="CQ176"/>
      <c r="CR176"/>
      <c r="CS176"/>
      <c r="CT176"/>
      <c r="CU176"/>
      <c r="CV176"/>
      <c r="CW176"/>
      <c r="CX176"/>
      <c r="CY176"/>
    </row>
    <row r="177" spans="1:103" s="1" customFormat="1" ht="24.75" customHeight="1" x14ac:dyDescent="0.25">
      <c r="A177" s="273" t="s">
        <v>383</v>
      </c>
      <c r="B177" s="144">
        <v>44396</v>
      </c>
      <c r="C177" s="145">
        <v>0.25</v>
      </c>
      <c r="D177" s="1653" t="s">
        <v>205</v>
      </c>
      <c r="E177" s="1654"/>
      <c r="F177" s="1654"/>
      <c r="G177" s="1654"/>
      <c r="H177" s="1654"/>
      <c r="I177" s="1654"/>
      <c r="J177" s="1654"/>
      <c r="K177" s="1654"/>
      <c r="L177" s="1654"/>
      <c r="M177" s="1654"/>
      <c r="N177" s="1654"/>
      <c r="O177" s="1654"/>
      <c r="P177" s="1654"/>
      <c r="Q177" s="1654"/>
      <c r="R177" s="1654"/>
      <c r="S177" s="1655"/>
      <c r="T177" s="149" t="s">
        <v>84</v>
      </c>
      <c r="U177" s="148" t="s">
        <v>236</v>
      </c>
      <c r="V177" s="316"/>
      <c r="W177" s="18"/>
      <c r="CM177"/>
      <c r="CN177"/>
      <c r="CO177"/>
      <c r="CP177"/>
      <c r="CQ177"/>
      <c r="CR177"/>
      <c r="CS177"/>
      <c r="CT177"/>
      <c r="CU177"/>
      <c r="CV177"/>
      <c r="CW177"/>
      <c r="CX177"/>
      <c r="CY177"/>
    </row>
    <row r="178" spans="1:103" s="1" customFormat="1" ht="24.75" customHeight="1" x14ac:dyDescent="0.25">
      <c r="A178" s="273" t="s">
        <v>383</v>
      </c>
      <c r="B178" s="144">
        <v>44397</v>
      </c>
      <c r="C178" s="145">
        <v>0.25</v>
      </c>
      <c r="D178" s="1653" t="s">
        <v>205</v>
      </c>
      <c r="E178" s="1654"/>
      <c r="F178" s="1654"/>
      <c r="G178" s="1654"/>
      <c r="H178" s="1654"/>
      <c r="I178" s="1654"/>
      <c r="J178" s="1654"/>
      <c r="K178" s="1654"/>
      <c r="L178" s="1654"/>
      <c r="M178" s="1654"/>
      <c r="N178" s="1654"/>
      <c r="O178" s="1654"/>
      <c r="P178" s="1654"/>
      <c r="Q178" s="1654"/>
      <c r="R178" s="1654"/>
      <c r="S178" s="1655"/>
      <c r="T178" s="149" t="s">
        <v>84</v>
      </c>
      <c r="U178" s="148" t="s">
        <v>236</v>
      </c>
      <c r="V178" s="316"/>
      <c r="W178" s="18"/>
      <c r="CM178"/>
      <c r="CN178"/>
      <c r="CO178"/>
      <c r="CP178"/>
      <c r="CQ178"/>
      <c r="CR178"/>
      <c r="CS178"/>
      <c r="CT178"/>
      <c r="CU178"/>
      <c r="CV178"/>
      <c r="CW178"/>
      <c r="CX178"/>
      <c r="CY178"/>
    </row>
    <row r="179" spans="1:103" s="1" customFormat="1" ht="24.75" customHeight="1" x14ac:dyDescent="0.25">
      <c r="A179" s="273" t="s">
        <v>383</v>
      </c>
      <c r="B179" s="144">
        <v>44398</v>
      </c>
      <c r="C179" s="145">
        <v>0.25</v>
      </c>
      <c r="D179" s="1653" t="s">
        <v>205</v>
      </c>
      <c r="E179" s="1654"/>
      <c r="F179" s="1654"/>
      <c r="G179" s="1654"/>
      <c r="H179" s="1654"/>
      <c r="I179" s="1654"/>
      <c r="J179" s="1654"/>
      <c r="K179" s="1654"/>
      <c r="L179" s="1654"/>
      <c r="M179" s="1654"/>
      <c r="N179" s="1654"/>
      <c r="O179" s="1654"/>
      <c r="P179" s="1654"/>
      <c r="Q179" s="1654"/>
      <c r="R179" s="1654"/>
      <c r="S179" s="1655"/>
      <c r="T179" s="149" t="s">
        <v>84</v>
      </c>
      <c r="U179" s="148" t="s">
        <v>236</v>
      </c>
      <c r="V179" s="316"/>
      <c r="W179" s="18"/>
      <c r="CM179"/>
      <c r="CN179"/>
      <c r="CO179"/>
      <c r="CP179"/>
      <c r="CQ179"/>
      <c r="CR179"/>
      <c r="CS179"/>
      <c r="CT179"/>
      <c r="CU179"/>
      <c r="CV179"/>
      <c r="CW179"/>
      <c r="CX179"/>
      <c r="CY179"/>
    </row>
    <row r="180" spans="1:103" s="1" customFormat="1" ht="24.75" customHeight="1" x14ac:dyDescent="0.25">
      <c r="A180" s="273" t="s">
        <v>383</v>
      </c>
      <c r="B180" s="144">
        <v>44399</v>
      </c>
      <c r="C180" s="145">
        <v>0.25</v>
      </c>
      <c r="D180" s="1653" t="s">
        <v>205</v>
      </c>
      <c r="E180" s="1654"/>
      <c r="F180" s="1654"/>
      <c r="G180" s="1654"/>
      <c r="H180" s="1654"/>
      <c r="I180" s="1654"/>
      <c r="J180" s="1654"/>
      <c r="K180" s="1654"/>
      <c r="L180" s="1654"/>
      <c r="M180" s="1654"/>
      <c r="N180" s="1654"/>
      <c r="O180" s="1654"/>
      <c r="P180" s="1654"/>
      <c r="Q180" s="1654"/>
      <c r="R180" s="1654"/>
      <c r="S180" s="1655"/>
      <c r="T180" s="149" t="s">
        <v>84</v>
      </c>
      <c r="U180" s="148" t="s">
        <v>236</v>
      </c>
      <c r="V180" s="316"/>
      <c r="W180" s="18"/>
      <c r="CM180"/>
      <c r="CN180"/>
      <c r="CO180"/>
      <c r="CP180"/>
      <c r="CQ180"/>
      <c r="CR180"/>
      <c r="CS180"/>
      <c r="CT180"/>
      <c r="CU180"/>
      <c r="CV180"/>
      <c r="CW180"/>
      <c r="CX180"/>
      <c r="CY180"/>
    </row>
    <row r="181" spans="1:103" s="1" customFormat="1" ht="24.75" customHeight="1" x14ac:dyDescent="0.25">
      <c r="A181" s="273" t="s">
        <v>383</v>
      </c>
      <c r="B181" s="144">
        <v>44400</v>
      </c>
      <c r="C181" s="145">
        <v>0.25</v>
      </c>
      <c r="D181" s="1653" t="s">
        <v>205</v>
      </c>
      <c r="E181" s="1654"/>
      <c r="F181" s="1654"/>
      <c r="G181" s="1654"/>
      <c r="H181" s="1654"/>
      <c r="I181" s="1654"/>
      <c r="J181" s="1654"/>
      <c r="K181" s="1654"/>
      <c r="L181" s="1654"/>
      <c r="M181" s="1654"/>
      <c r="N181" s="1654"/>
      <c r="O181" s="1654"/>
      <c r="P181" s="1654"/>
      <c r="Q181" s="1654"/>
      <c r="R181" s="1654"/>
      <c r="S181" s="1655"/>
      <c r="T181" s="149" t="s">
        <v>84</v>
      </c>
      <c r="U181" s="148" t="s">
        <v>236</v>
      </c>
      <c r="V181" s="316"/>
      <c r="W181" s="18"/>
      <c r="CM181"/>
      <c r="CN181"/>
      <c r="CO181"/>
      <c r="CP181"/>
      <c r="CQ181"/>
      <c r="CR181"/>
      <c r="CS181"/>
      <c r="CT181"/>
      <c r="CU181"/>
      <c r="CV181"/>
      <c r="CW181"/>
      <c r="CX181"/>
      <c r="CY181"/>
    </row>
    <row r="182" spans="1:103" s="1" customFormat="1" ht="24.75" customHeight="1" x14ac:dyDescent="0.25">
      <c r="A182" s="273" t="s">
        <v>383</v>
      </c>
      <c r="B182" s="144">
        <v>44401</v>
      </c>
      <c r="C182" s="145">
        <v>0.25</v>
      </c>
      <c r="D182" s="1653" t="s">
        <v>205</v>
      </c>
      <c r="E182" s="1654"/>
      <c r="F182" s="1654"/>
      <c r="G182" s="1654"/>
      <c r="H182" s="1654"/>
      <c r="I182" s="1654"/>
      <c r="J182" s="1654"/>
      <c r="K182" s="1654"/>
      <c r="L182" s="1654"/>
      <c r="M182" s="1654"/>
      <c r="N182" s="1654"/>
      <c r="O182" s="1654"/>
      <c r="P182" s="1654"/>
      <c r="Q182" s="1654"/>
      <c r="R182" s="1654"/>
      <c r="S182" s="1655"/>
      <c r="T182" s="149" t="s">
        <v>84</v>
      </c>
      <c r="U182" s="148" t="s">
        <v>236</v>
      </c>
      <c r="V182" s="316"/>
      <c r="W182" s="18"/>
      <c r="CM182"/>
      <c r="CN182"/>
      <c r="CO182"/>
      <c r="CP182"/>
      <c r="CQ182"/>
      <c r="CR182"/>
      <c r="CS182"/>
      <c r="CT182"/>
      <c r="CU182"/>
      <c r="CV182"/>
      <c r="CW182"/>
      <c r="CX182"/>
      <c r="CY182"/>
    </row>
    <row r="183" spans="1:103" s="1" customFormat="1" ht="24.75" customHeight="1" x14ac:dyDescent="0.25">
      <c r="A183" s="273" t="s">
        <v>383</v>
      </c>
      <c r="B183" s="144">
        <v>44402</v>
      </c>
      <c r="C183" s="145">
        <v>0.25</v>
      </c>
      <c r="D183" s="1653" t="s">
        <v>205</v>
      </c>
      <c r="E183" s="1654"/>
      <c r="F183" s="1654"/>
      <c r="G183" s="1654"/>
      <c r="H183" s="1654"/>
      <c r="I183" s="1654"/>
      <c r="J183" s="1654"/>
      <c r="K183" s="1654"/>
      <c r="L183" s="1654"/>
      <c r="M183" s="1654"/>
      <c r="N183" s="1654"/>
      <c r="O183" s="1654"/>
      <c r="P183" s="1654"/>
      <c r="Q183" s="1654"/>
      <c r="R183" s="1654"/>
      <c r="S183" s="1655"/>
      <c r="T183" s="149" t="s">
        <v>84</v>
      </c>
      <c r="U183" s="148" t="s">
        <v>236</v>
      </c>
      <c r="V183" s="316"/>
      <c r="W183" s="18"/>
      <c r="CM183"/>
      <c r="CN183"/>
      <c r="CO183"/>
      <c r="CP183"/>
      <c r="CQ183"/>
      <c r="CR183"/>
      <c r="CS183"/>
      <c r="CT183"/>
      <c r="CU183"/>
      <c r="CV183"/>
      <c r="CW183"/>
      <c r="CX183"/>
      <c r="CY183"/>
    </row>
    <row r="184" spans="1:103" s="1" customFormat="1" ht="24.75" customHeight="1" x14ac:dyDescent="0.25">
      <c r="A184" s="273" t="s">
        <v>383</v>
      </c>
      <c r="B184" s="144">
        <v>44403</v>
      </c>
      <c r="C184" s="145">
        <v>0.25</v>
      </c>
      <c r="D184" s="1653" t="s">
        <v>205</v>
      </c>
      <c r="E184" s="1654"/>
      <c r="F184" s="1654"/>
      <c r="G184" s="1654"/>
      <c r="H184" s="1654"/>
      <c r="I184" s="1654"/>
      <c r="J184" s="1654"/>
      <c r="K184" s="1654"/>
      <c r="L184" s="1654"/>
      <c r="M184" s="1654"/>
      <c r="N184" s="1654"/>
      <c r="O184" s="1654"/>
      <c r="P184" s="1654"/>
      <c r="Q184" s="1654"/>
      <c r="R184" s="1654"/>
      <c r="S184" s="1655"/>
      <c r="T184" s="149" t="s">
        <v>84</v>
      </c>
      <c r="U184" s="148" t="s">
        <v>236</v>
      </c>
      <c r="V184" s="316"/>
      <c r="W184" s="18"/>
      <c r="CM184"/>
      <c r="CN184"/>
      <c r="CO184"/>
      <c r="CP184"/>
      <c r="CQ184"/>
      <c r="CR184"/>
      <c r="CS184"/>
      <c r="CT184"/>
      <c r="CU184"/>
      <c r="CV184"/>
      <c r="CW184"/>
      <c r="CX184"/>
      <c r="CY184"/>
    </row>
    <row r="185" spans="1:103" s="1" customFormat="1" ht="24.75" customHeight="1" x14ac:dyDescent="0.25">
      <c r="A185" s="273" t="s">
        <v>383</v>
      </c>
      <c r="B185" s="144">
        <v>44404</v>
      </c>
      <c r="C185" s="145">
        <v>0.25</v>
      </c>
      <c r="D185" s="1653" t="s">
        <v>205</v>
      </c>
      <c r="E185" s="1654"/>
      <c r="F185" s="1654"/>
      <c r="G185" s="1654"/>
      <c r="H185" s="1654"/>
      <c r="I185" s="1654"/>
      <c r="J185" s="1654"/>
      <c r="K185" s="1654"/>
      <c r="L185" s="1654"/>
      <c r="M185" s="1654"/>
      <c r="N185" s="1654"/>
      <c r="O185" s="1654"/>
      <c r="P185" s="1654"/>
      <c r="Q185" s="1654"/>
      <c r="R185" s="1654"/>
      <c r="S185" s="1655"/>
      <c r="T185" s="149" t="s">
        <v>84</v>
      </c>
      <c r="U185" s="148" t="s">
        <v>236</v>
      </c>
      <c r="V185" s="316"/>
      <c r="W185" s="18"/>
      <c r="CM185"/>
      <c r="CN185"/>
      <c r="CO185"/>
      <c r="CP185"/>
      <c r="CQ185"/>
      <c r="CR185"/>
      <c r="CS185"/>
      <c r="CT185"/>
      <c r="CU185"/>
      <c r="CV185"/>
      <c r="CW185"/>
      <c r="CX185"/>
      <c r="CY185"/>
    </row>
    <row r="186" spans="1:103" s="1" customFormat="1" ht="24.75" customHeight="1" x14ac:dyDescent="0.25">
      <c r="A186" s="273" t="s">
        <v>383</v>
      </c>
      <c r="B186" s="144">
        <v>44405</v>
      </c>
      <c r="C186" s="145">
        <v>0.25</v>
      </c>
      <c r="D186" s="1653" t="s">
        <v>205</v>
      </c>
      <c r="E186" s="1654"/>
      <c r="F186" s="1654"/>
      <c r="G186" s="1654"/>
      <c r="H186" s="1654"/>
      <c r="I186" s="1654"/>
      <c r="J186" s="1654"/>
      <c r="K186" s="1654"/>
      <c r="L186" s="1654"/>
      <c r="M186" s="1654"/>
      <c r="N186" s="1654"/>
      <c r="O186" s="1654"/>
      <c r="P186" s="1654"/>
      <c r="Q186" s="1654"/>
      <c r="R186" s="1654"/>
      <c r="S186" s="1655"/>
      <c r="T186" s="149" t="s">
        <v>84</v>
      </c>
      <c r="U186" s="148" t="s">
        <v>236</v>
      </c>
      <c r="V186" s="316"/>
      <c r="W186" s="18"/>
      <c r="CM186"/>
      <c r="CN186"/>
      <c r="CO186"/>
      <c r="CP186"/>
      <c r="CQ186"/>
      <c r="CR186"/>
      <c r="CS186"/>
      <c r="CT186"/>
      <c r="CU186"/>
      <c r="CV186"/>
      <c r="CW186"/>
      <c r="CX186"/>
      <c r="CY186"/>
    </row>
    <row r="187" spans="1:103" s="1" customFormat="1" ht="24.75" customHeight="1" x14ac:dyDescent="0.25">
      <c r="A187" s="273" t="s">
        <v>383</v>
      </c>
      <c r="B187" s="144">
        <v>44406</v>
      </c>
      <c r="C187" s="145">
        <v>0.25</v>
      </c>
      <c r="D187" s="1653" t="s">
        <v>205</v>
      </c>
      <c r="E187" s="1654"/>
      <c r="F187" s="1654"/>
      <c r="G187" s="1654"/>
      <c r="H187" s="1654"/>
      <c r="I187" s="1654"/>
      <c r="J187" s="1654"/>
      <c r="K187" s="1654"/>
      <c r="L187" s="1654"/>
      <c r="M187" s="1654"/>
      <c r="N187" s="1654"/>
      <c r="O187" s="1654"/>
      <c r="P187" s="1654"/>
      <c r="Q187" s="1654"/>
      <c r="R187" s="1654"/>
      <c r="S187" s="1655"/>
      <c r="T187" s="149" t="s">
        <v>84</v>
      </c>
      <c r="U187" s="148" t="s">
        <v>236</v>
      </c>
      <c r="V187" s="316"/>
      <c r="W187" s="18"/>
      <c r="CM187"/>
      <c r="CN187"/>
      <c r="CO187"/>
      <c r="CP187"/>
      <c r="CQ187"/>
      <c r="CR187"/>
      <c r="CS187"/>
      <c r="CT187"/>
      <c r="CU187"/>
      <c r="CV187"/>
      <c r="CW187"/>
      <c r="CX187"/>
      <c r="CY187"/>
    </row>
    <row r="188" spans="1:103" s="1" customFormat="1" ht="24.75" customHeight="1" x14ac:dyDescent="0.25">
      <c r="A188" s="273" t="s">
        <v>383</v>
      </c>
      <c r="B188" s="144">
        <v>44407</v>
      </c>
      <c r="C188" s="145">
        <v>0.25</v>
      </c>
      <c r="D188" s="1653" t="s">
        <v>205</v>
      </c>
      <c r="E188" s="1654"/>
      <c r="F188" s="1654"/>
      <c r="G188" s="1654"/>
      <c r="H188" s="1654"/>
      <c r="I188" s="1654"/>
      <c r="J188" s="1654"/>
      <c r="K188" s="1654"/>
      <c r="L188" s="1654"/>
      <c r="M188" s="1654"/>
      <c r="N188" s="1654"/>
      <c r="O188" s="1654"/>
      <c r="P188" s="1654"/>
      <c r="Q188" s="1654"/>
      <c r="R188" s="1654"/>
      <c r="S188" s="1655"/>
      <c r="T188" s="149" t="s">
        <v>84</v>
      </c>
      <c r="U188" s="148" t="s">
        <v>236</v>
      </c>
      <c r="V188" s="316"/>
      <c r="W188" s="18"/>
      <c r="CM188"/>
      <c r="CN188"/>
      <c r="CO188"/>
      <c r="CP188"/>
      <c r="CQ188"/>
      <c r="CR188"/>
      <c r="CS188"/>
      <c r="CT188"/>
      <c r="CU188"/>
      <c r="CV188"/>
      <c r="CW188"/>
      <c r="CX188"/>
      <c r="CY188"/>
    </row>
    <row r="189" spans="1:103" s="1" customFormat="1" ht="24.75" customHeight="1" x14ac:dyDescent="0.25">
      <c r="A189" s="273" t="s">
        <v>383</v>
      </c>
      <c r="B189" s="144">
        <v>44408</v>
      </c>
      <c r="C189" s="145">
        <v>0.25</v>
      </c>
      <c r="D189" s="1653" t="s">
        <v>205</v>
      </c>
      <c r="E189" s="1654"/>
      <c r="F189" s="1654"/>
      <c r="G189" s="1654"/>
      <c r="H189" s="1654"/>
      <c r="I189" s="1654"/>
      <c r="J189" s="1654"/>
      <c r="K189" s="1654"/>
      <c r="L189" s="1654"/>
      <c r="M189" s="1654"/>
      <c r="N189" s="1654"/>
      <c r="O189" s="1654"/>
      <c r="P189" s="1654"/>
      <c r="Q189" s="1654"/>
      <c r="R189" s="1654"/>
      <c r="S189" s="1655"/>
      <c r="T189" s="149" t="s">
        <v>84</v>
      </c>
      <c r="U189" s="148" t="s">
        <v>236</v>
      </c>
      <c r="V189" s="316"/>
      <c r="W189" s="18"/>
      <c r="CM189"/>
      <c r="CN189"/>
      <c r="CO189"/>
      <c r="CP189"/>
      <c r="CQ189"/>
      <c r="CR189"/>
      <c r="CS189"/>
      <c r="CT189"/>
      <c r="CU189"/>
      <c r="CV189"/>
      <c r="CW189"/>
      <c r="CX189"/>
      <c r="CY189"/>
    </row>
    <row r="190" spans="1:103" s="1" customFormat="1" ht="24.75" customHeight="1" x14ac:dyDescent="0.25">
      <c r="A190" s="273" t="s">
        <v>383</v>
      </c>
      <c r="B190" s="144">
        <v>44409</v>
      </c>
      <c r="C190" s="145">
        <v>0.25</v>
      </c>
      <c r="D190" s="1653" t="s">
        <v>205</v>
      </c>
      <c r="E190" s="1654"/>
      <c r="F190" s="1654"/>
      <c r="G190" s="1654"/>
      <c r="H190" s="1654"/>
      <c r="I190" s="1654"/>
      <c r="J190" s="1654"/>
      <c r="K190" s="1654"/>
      <c r="L190" s="1654"/>
      <c r="M190" s="1654"/>
      <c r="N190" s="1654"/>
      <c r="O190" s="1654"/>
      <c r="P190" s="1654"/>
      <c r="Q190" s="1654"/>
      <c r="R190" s="1654"/>
      <c r="S190" s="1655"/>
      <c r="T190" s="149" t="s">
        <v>84</v>
      </c>
      <c r="U190" s="148" t="s">
        <v>236</v>
      </c>
      <c r="V190" s="316"/>
      <c r="W190" s="18"/>
      <c r="CM190"/>
      <c r="CN190"/>
      <c r="CO190"/>
      <c r="CP190"/>
      <c r="CQ190"/>
      <c r="CR190"/>
      <c r="CS190"/>
      <c r="CT190"/>
      <c r="CU190"/>
      <c r="CV190"/>
      <c r="CW190"/>
      <c r="CX190"/>
      <c r="CY190"/>
    </row>
    <row r="191" spans="1:103" s="1" customFormat="1" ht="24.75" customHeight="1" x14ac:dyDescent="0.25">
      <c r="A191" s="273" t="s">
        <v>383</v>
      </c>
      <c r="B191" s="144">
        <v>44410</v>
      </c>
      <c r="C191" s="145">
        <v>0.25</v>
      </c>
      <c r="D191" s="1653" t="s">
        <v>205</v>
      </c>
      <c r="E191" s="1654"/>
      <c r="F191" s="1654"/>
      <c r="G191" s="1654"/>
      <c r="H191" s="1654"/>
      <c r="I191" s="1654"/>
      <c r="J191" s="1654"/>
      <c r="K191" s="1654"/>
      <c r="L191" s="1654"/>
      <c r="M191" s="1654"/>
      <c r="N191" s="1654"/>
      <c r="O191" s="1654"/>
      <c r="P191" s="1654"/>
      <c r="Q191" s="1654"/>
      <c r="R191" s="1654"/>
      <c r="S191" s="1655"/>
      <c r="T191" s="149" t="s">
        <v>84</v>
      </c>
      <c r="U191" s="148" t="s">
        <v>236</v>
      </c>
      <c r="V191" s="316"/>
      <c r="W191" s="18"/>
      <c r="CM191"/>
      <c r="CN191"/>
      <c r="CO191"/>
      <c r="CP191"/>
      <c r="CQ191"/>
      <c r="CR191"/>
      <c r="CS191"/>
      <c r="CT191"/>
      <c r="CU191"/>
      <c r="CV191"/>
      <c r="CW191"/>
      <c r="CX191"/>
      <c r="CY191"/>
    </row>
    <row r="192" spans="1:103" s="1" customFormat="1" ht="24.75" customHeight="1" x14ac:dyDescent="0.25">
      <c r="A192" s="273" t="s">
        <v>383</v>
      </c>
      <c r="B192" s="144">
        <v>44411</v>
      </c>
      <c r="C192" s="145">
        <v>0.25</v>
      </c>
      <c r="D192" s="1653" t="s">
        <v>205</v>
      </c>
      <c r="E192" s="1654"/>
      <c r="F192" s="1654"/>
      <c r="G192" s="1654"/>
      <c r="H192" s="1654"/>
      <c r="I192" s="1654"/>
      <c r="J192" s="1654"/>
      <c r="K192" s="1654"/>
      <c r="L192" s="1654"/>
      <c r="M192" s="1654"/>
      <c r="N192" s="1654"/>
      <c r="O192" s="1654"/>
      <c r="P192" s="1654"/>
      <c r="Q192" s="1654"/>
      <c r="R192" s="1654"/>
      <c r="S192" s="1655"/>
      <c r="T192" s="149" t="s">
        <v>84</v>
      </c>
      <c r="U192" s="148" t="s">
        <v>236</v>
      </c>
      <c r="V192" s="316"/>
      <c r="W192" s="18"/>
      <c r="CM192"/>
      <c r="CN192"/>
      <c r="CO192"/>
      <c r="CP192"/>
      <c r="CQ192"/>
      <c r="CR192"/>
      <c r="CS192"/>
      <c r="CT192"/>
      <c r="CU192"/>
      <c r="CV192"/>
      <c r="CW192"/>
      <c r="CX192"/>
      <c r="CY192"/>
    </row>
    <row r="193" spans="1:103" s="1" customFormat="1" ht="24.75" customHeight="1" x14ac:dyDescent="0.25">
      <c r="A193" s="273" t="s">
        <v>383</v>
      </c>
      <c r="B193" s="144">
        <v>44412</v>
      </c>
      <c r="C193" s="145">
        <v>0.25</v>
      </c>
      <c r="D193" s="1653" t="s">
        <v>205</v>
      </c>
      <c r="E193" s="1654"/>
      <c r="F193" s="1654"/>
      <c r="G193" s="1654"/>
      <c r="H193" s="1654"/>
      <c r="I193" s="1654"/>
      <c r="J193" s="1654"/>
      <c r="K193" s="1654"/>
      <c r="L193" s="1654"/>
      <c r="M193" s="1654"/>
      <c r="N193" s="1654"/>
      <c r="O193" s="1654"/>
      <c r="P193" s="1654"/>
      <c r="Q193" s="1654"/>
      <c r="R193" s="1654"/>
      <c r="S193" s="1655"/>
      <c r="T193" s="149" t="s">
        <v>84</v>
      </c>
      <c r="U193" s="148" t="s">
        <v>236</v>
      </c>
      <c r="V193" s="316"/>
      <c r="W193" s="18"/>
      <c r="CM193"/>
      <c r="CN193"/>
      <c r="CO193"/>
      <c r="CP193"/>
      <c r="CQ193"/>
      <c r="CR193"/>
      <c r="CS193"/>
      <c r="CT193"/>
      <c r="CU193"/>
      <c r="CV193"/>
      <c r="CW193"/>
      <c r="CX193"/>
      <c r="CY193"/>
    </row>
    <row r="194" spans="1:103" s="1" customFormat="1" ht="24.75" customHeight="1" x14ac:dyDescent="0.25">
      <c r="A194" s="273" t="s">
        <v>383</v>
      </c>
      <c r="B194" s="144">
        <v>44413</v>
      </c>
      <c r="C194" s="145">
        <v>0.25</v>
      </c>
      <c r="D194" s="1653" t="s">
        <v>205</v>
      </c>
      <c r="E194" s="1654"/>
      <c r="F194" s="1654"/>
      <c r="G194" s="1654"/>
      <c r="H194" s="1654"/>
      <c r="I194" s="1654"/>
      <c r="J194" s="1654"/>
      <c r="K194" s="1654"/>
      <c r="L194" s="1654"/>
      <c r="M194" s="1654"/>
      <c r="N194" s="1654"/>
      <c r="O194" s="1654"/>
      <c r="P194" s="1654"/>
      <c r="Q194" s="1654"/>
      <c r="R194" s="1654"/>
      <c r="S194" s="1655"/>
      <c r="T194" s="149" t="s">
        <v>84</v>
      </c>
      <c r="U194" s="148" t="s">
        <v>236</v>
      </c>
      <c r="V194" s="316"/>
      <c r="W194" s="18"/>
      <c r="CM194"/>
      <c r="CN194"/>
      <c r="CO194"/>
      <c r="CP194"/>
      <c r="CQ194"/>
      <c r="CR194"/>
      <c r="CS194"/>
      <c r="CT194"/>
      <c r="CU194"/>
      <c r="CV194"/>
      <c r="CW194"/>
      <c r="CX194"/>
      <c r="CY194"/>
    </row>
    <row r="195" spans="1:103" s="1" customFormat="1" ht="24.75" customHeight="1" x14ac:dyDescent="0.25">
      <c r="A195" s="273" t="s">
        <v>383</v>
      </c>
      <c r="B195" s="144">
        <v>44414</v>
      </c>
      <c r="C195" s="145">
        <v>0.25</v>
      </c>
      <c r="D195" s="1653" t="s">
        <v>205</v>
      </c>
      <c r="E195" s="1654"/>
      <c r="F195" s="1654"/>
      <c r="G195" s="1654"/>
      <c r="H195" s="1654"/>
      <c r="I195" s="1654"/>
      <c r="J195" s="1654"/>
      <c r="K195" s="1654"/>
      <c r="L195" s="1654"/>
      <c r="M195" s="1654"/>
      <c r="N195" s="1654"/>
      <c r="O195" s="1654"/>
      <c r="P195" s="1654"/>
      <c r="Q195" s="1654"/>
      <c r="R195" s="1654"/>
      <c r="S195" s="1655"/>
      <c r="T195" s="149" t="s">
        <v>84</v>
      </c>
      <c r="U195" s="148" t="s">
        <v>236</v>
      </c>
      <c r="V195" s="316"/>
      <c r="W195" s="18"/>
      <c r="CM195"/>
      <c r="CN195"/>
      <c r="CO195"/>
      <c r="CP195"/>
      <c r="CQ195"/>
      <c r="CR195"/>
      <c r="CS195"/>
      <c r="CT195"/>
      <c r="CU195"/>
      <c r="CV195"/>
      <c r="CW195"/>
      <c r="CX195"/>
      <c r="CY195"/>
    </row>
    <row r="196" spans="1:103" s="1" customFormat="1" ht="26.25" customHeight="1" x14ac:dyDescent="0.25">
      <c r="A196" s="273" t="s">
        <v>383</v>
      </c>
      <c r="B196" s="144">
        <v>44415</v>
      </c>
      <c r="C196" s="145">
        <v>0.25</v>
      </c>
      <c r="D196" s="1653" t="s">
        <v>205</v>
      </c>
      <c r="E196" s="1654"/>
      <c r="F196" s="1654"/>
      <c r="G196" s="1654"/>
      <c r="H196" s="1654"/>
      <c r="I196" s="1654"/>
      <c r="J196" s="1654"/>
      <c r="K196" s="1654"/>
      <c r="L196" s="1654"/>
      <c r="M196" s="1654"/>
      <c r="N196" s="1654"/>
      <c r="O196" s="1654"/>
      <c r="P196" s="1654"/>
      <c r="Q196" s="1654"/>
      <c r="R196" s="1654"/>
      <c r="S196" s="1655"/>
      <c r="T196" s="149" t="s">
        <v>84</v>
      </c>
      <c r="U196" s="148" t="s">
        <v>236</v>
      </c>
      <c r="V196" s="316"/>
      <c r="W196" s="18"/>
      <c r="CM196"/>
      <c r="CN196"/>
      <c r="CO196"/>
      <c r="CP196"/>
      <c r="CQ196"/>
      <c r="CR196"/>
      <c r="CS196"/>
      <c r="CT196"/>
      <c r="CU196"/>
      <c r="CV196"/>
      <c r="CW196"/>
      <c r="CX196"/>
      <c r="CY196"/>
    </row>
    <row r="197" spans="1:103" s="1" customFormat="1" ht="26.25" customHeight="1" x14ac:dyDescent="0.25">
      <c r="A197" s="273" t="s">
        <v>383</v>
      </c>
      <c r="B197" s="144">
        <v>44416</v>
      </c>
      <c r="C197" s="145">
        <v>0.25</v>
      </c>
      <c r="D197" s="1653" t="s">
        <v>205</v>
      </c>
      <c r="E197" s="1654"/>
      <c r="F197" s="1654"/>
      <c r="G197" s="1654"/>
      <c r="H197" s="1654"/>
      <c r="I197" s="1654"/>
      <c r="J197" s="1654"/>
      <c r="K197" s="1654"/>
      <c r="L197" s="1654"/>
      <c r="M197" s="1654"/>
      <c r="N197" s="1654"/>
      <c r="O197" s="1654"/>
      <c r="P197" s="1654"/>
      <c r="Q197" s="1654"/>
      <c r="R197" s="1654"/>
      <c r="S197" s="1655"/>
      <c r="T197" s="149" t="s">
        <v>84</v>
      </c>
      <c r="U197" s="148" t="s">
        <v>236</v>
      </c>
      <c r="V197" s="316"/>
      <c r="W197" s="18"/>
      <c r="CM197"/>
      <c r="CN197"/>
      <c r="CO197"/>
      <c r="CP197"/>
      <c r="CQ197"/>
      <c r="CR197"/>
      <c r="CS197"/>
      <c r="CT197"/>
      <c r="CU197"/>
      <c r="CV197"/>
      <c r="CW197"/>
      <c r="CX197"/>
      <c r="CY197"/>
    </row>
    <row r="198" spans="1:103" s="1" customFormat="1" ht="26.25" customHeight="1" x14ac:dyDescent="0.25">
      <c r="A198" s="273" t="s">
        <v>383</v>
      </c>
      <c r="B198" s="144">
        <v>44417</v>
      </c>
      <c r="C198" s="145">
        <v>0.25</v>
      </c>
      <c r="D198" s="1653" t="s">
        <v>205</v>
      </c>
      <c r="E198" s="1654"/>
      <c r="F198" s="1654"/>
      <c r="G198" s="1654"/>
      <c r="H198" s="1654"/>
      <c r="I198" s="1654"/>
      <c r="J198" s="1654"/>
      <c r="K198" s="1654"/>
      <c r="L198" s="1654"/>
      <c r="M198" s="1654"/>
      <c r="N198" s="1654"/>
      <c r="O198" s="1654"/>
      <c r="P198" s="1654"/>
      <c r="Q198" s="1654"/>
      <c r="R198" s="1654"/>
      <c r="S198" s="1655"/>
      <c r="T198" s="149" t="s">
        <v>84</v>
      </c>
      <c r="U198" s="148" t="s">
        <v>236</v>
      </c>
      <c r="V198" s="316"/>
      <c r="W198" s="18"/>
      <c r="CM198"/>
      <c r="CN198"/>
      <c r="CO198"/>
      <c r="CP198"/>
      <c r="CQ198"/>
      <c r="CR198"/>
      <c r="CS198"/>
      <c r="CT198"/>
      <c r="CU198"/>
      <c r="CV198"/>
      <c r="CW198"/>
      <c r="CX198"/>
      <c r="CY198"/>
    </row>
    <row r="199" spans="1:103" s="1" customFormat="1" ht="26.25" customHeight="1" x14ac:dyDescent="0.25">
      <c r="A199" s="273" t="s">
        <v>383</v>
      </c>
      <c r="B199" s="144">
        <v>44418</v>
      </c>
      <c r="C199" s="145">
        <v>0.25</v>
      </c>
      <c r="D199" s="1653" t="s">
        <v>205</v>
      </c>
      <c r="E199" s="1654"/>
      <c r="F199" s="1654"/>
      <c r="G199" s="1654"/>
      <c r="H199" s="1654"/>
      <c r="I199" s="1654"/>
      <c r="J199" s="1654"/>
      <c r="K199" s="1654"/>
      <c r="L199" s="1654"/>
      <c r="M199" s="1654"/>
      <c r="N199" s="1654"/>
      <c r="O199" s="1654"/>
      <c r="P199" s="1654"/>
      <c r="Q199" s="1654"/>
      <c r="R199" s="1654"/>
      <c r="S199" s="1655"/>
      <c r="T199" s="149" t="s">
        <v>84</v>
      </c>
      <c r="U199" s="148" t="s">
        <v>236</v>
      </c>
      <c r="V199" s="316"/>
      <c r="W199" s="18"/>
      <c r="CM199"/>
      <c r="CN199"/>
      <c r="CO199"/>
      <c r="CP199"/>
      <c r="CQ199"/>
      <c r="CR199"/>
      <c r="CS199"/>
      <c r="CT199"/>
      <c r="CU199"/>
      <c r="CV199"/>
      <c r="CW199"/>
      <c r="CX199"/>
      <c r="CY199"/>
    </row>
    <row r="200" spans="1:103" s="1" customFormat="1" ht="26.25" customHeight="1" x14ac:dyDescent="0.25">
      <c r="A200" s="273" t="s">
        <v>383</v>
      </c>
      <c r="B200" s="144">
        <v>44419</v>
      </c>
      <c r="C200" s="145">
        <v>0.25</v>
      </c>
      <c r="D200" s="1653" t="s">
        <v>919</v>
      </c>
      <c r="E200" s="1654"/>
      <c r="F200" s="1654"/>
      <c r="G200" s="1654"/>
      <c r="H200" s="1654"/>
      <c r="I200" s="1654"/>
      <c r="J200" s="1654"/>
      <c r="K200" s="1654"/>
      <c r="L200" s="1654"/>
      <c r="M200" s="1654"/>
      <c r="N200" s="1654"/>
      <c r="O200" s="1654"/>
      <c r="P200" s="1654"/>
      <c r="Q200" s="1654"/>
      <c r="R200" s="1654"/>
      <c r="S200" s="1655"/>
      <c r="T200" s="149" t="s">
        <v>84</v>
      </c>
      <c r="U200" s="148" t="s">
        <v>236</v>
      </c>
      <c r="V200" s="316"/>
      <c r="W200" s="18"/>
      <c r="CM200"/>
      <c r="CN200"/>
      <c r="CO200"/>
      <c r="CP200"/>
      <c r="CQ200"/>
      <c r="CR200"/>
      <c r="CS200"/>
      <c r="CT200"/>
      <c r="CU200"/>
      <c r="CV200"/>
      <c r="CW200"/>
      <c r="CX200"/>
      <c r="CY200"/>
    </row>
    <row r="201" spans="1:103" s="1" customFormat="1" ht="26.25" customHeight="1" x14ac:dyDescent="0.25">
      <c r="A201" s="273" t="s">
        <v>383</v>
      </c>
      <c r="B201" s="144">
        <v>44420</v>
      </c>
      <c r="C201" s="145">
        <v>0.25</v>
      </c>
      <c r="D201" s="1653" t="s">
        <v>919</v>
      </c>
      <c r="E201" s="1654"/>
      <c r="F201" s="1654"/>
      <c r="G201" s="1654"/>
      <c r="H201" s="1654"/>
      <c r="I201" s="1654"/>
      <c r="J201" s="1654"/>
      <c r="K201" s="1654"/>
      <c r="L201" s="1654"/>
      <c r="M201" s="1654"/>
      <c r="N201" s="1654"/>
      <c r="O201" s="1654"/>
      <c r="P201" s="1654"/>
      <c r="Q201" s="1654"/>
      <c r="R201" s="1654"/>
      <c r="S201" s="1655"/>
      <c r="T201" s="149" t="s">
        <v>84</v>
      </c>
      <c r="U201" s="148" t="s">
        <v>236</v>
      </c>
      <c r="V201" s="316"/>
      <c r="W201" s="18"/>
      <c r="CM201"/>
      <c r="CN201"/>
      <c r="CO201"/>
      <c r="CP201"/>
      <c r="CQ201"/>
      <c r="CR201"/>
      <c r="CS201"/>
      <c r="CT201"/>
      <c r="CU201"/>
      <c r="CV201"/>
      <c r="CW201"/>
      <c r="CX201"/>
      <c r="CY201"/>
    </row>
    <row r="202" spans="1:103" s="679" customFormat="1" ht="26.25" customHeight="1" x14ac:dyDescent="0.25">
      <c r="A202" s="669"/>
      <c r="B202" s="670"/>
      <c r="C202" s="671"/>
      <c r="D202" s="672"/>
      <c r="E202" s="673"/>
      <c r="F202" s="673"/>
      <c r="G202" s="673"/>
      <c r="H202" s="673"/>
      <c r="I202" s="673"/>
      <c r="J202" s="673"/>
      <c r="K202" s="673"/>
      <c r="L202" s="673"/>
      <c r="M202" s="673"/>
      <c r="N202" s="673"/>
      <c r="O202" s="673"/>
      <c r="P202" s="673"/>
      <c r="Q202" s="673"/>
      <c r="R202" s="673"/>
      <c r="S202" s="674"/>
      <c r="T202" s="675"/>
      <c r="U202" s="676"/>
      <c r="V202" s="677"/>
      <c r="W202" s="678"/>
    </row>
    <row r="203" spans="1:103" s="1" customFormat="1" ht="172.5" customHeight="1" x14ac:dyDescent="0.25">
      <c r="A203" s="273"/>
      <c r="B203" s="668">
        <v>44583</v>
      </c>
      <c r="C203" s="145">
        <v>0.9375</v>
      </c>
      <c r="D203" s="146">
        <v>49</v>
      </c>
      <c r="E203" s="147">
        <v>8.1</v>
      </c>
      <c r="F203" s="147">
        <v>16.8</v>
      </c>
      <c r="G203" s="147">
        <v>1277</v>
      </c>
      <c r="H203" s="147">
        <v>2179</v>
      </c>
      <c r="I203" s="147">
        <v>104</v>
      </c>
      <c r="J203" s="147">
        <v>105.1</v>
      </c>
      <c r="K203" s="147" t="s">
        <v>2003</v>
      </c>
      <c r="L203" s="147">
        <v>36.11</v>
      </c>
      <c r="M203" s="685">
        <v>39</v>
      </c>
      <c r="N203" s="147">
        <v>36.770000000000003</v>
      </c>
      <c r="O203" s="148" t="s">
        <v>142</v>
      </c>
      <c r="P203" s="148" t="s">
        <v>142</v>
      </c>
      <c r="Q203" s="148" t="s">
        <v>142</v>
      </c>
      <c r="R203" s="148" t="s">
        <v>2004</v>
      </c>
      <c r="S203" s="148">
        <v>65.3</v>
      </c>
      <c r="T203" s="149" t="s">
        <v>84</v>
      </c>
      <c r="U203" s="148" t="s">
        <v>236</v>
      </c>
      <c r="V203" s="341" t="s">
        <v>2006</v>
      </c>
      <c r="W203" s="18"/>
      <c r="CM203"/>
      <c r="CN203"/>
      <c r="CO203"/>
      <c r="CP203"/>
      <c r="CQ203"/>
      <c r="CR203"/>
      <c r="CS203"/>
      <c r="CT203"/>
      <c r="CU203"/>
      <c r="CV203"/>
      <c r="CW203"/>
      <c r="CX203"/>
      <c r="CY203"/>
    </row>
    <row r="204" spans="1:103" s="1" customFormat="1" ht="39.75" customHeight="1" x14ac:dyDescent="0.25">
      <c r="A204" s="273"/>
      <c r="B204" s="681">
        <v>44584</v>
      </c>
      <c r="C204" s="145">
        <v>0.9375</v>
      </c>
      <c r="D204" s="146">
        <v>50</v>
      </c>
      <c r="E204" s="147">
        <v>8.1999999999999993</v>
      </c>
      <c r="F204" s="147">
        <v>16.899999999999999</v>
      </c>
      <c r="G204" s="147">
        <v>1249.5</v>
      </c>
      <c r="H204" s="147">
        <v>2174</v>
      </c>
      <c r="I204" s="147">
        <v>105.1</v>
      </c>
      <c r="J204" s="147">
        <v>106</v>
      </c>
      <c r="K204" s="147" t="s">
        <v>2012</v>
      </c>
      <c r="L204" s="147">
        <v>37.72</v>
      </c>
      <c r="M204" s="685">
        <v>39</v>
      </c>
      <c r="N204" s="147">
        <v>36.53</v>
      </c>
      <c r="O204" s="148" t="s">
        <v>142</v>
      </c>
      <c r="P204" s="148" t="s">
        <v>142</v>
      </c>
      <c r="Q204" s="148" t="s">
        <v>142</v>
      </c>
      <c r="R204" s="148" t="s">
        <v>2013</v>
      </c>
      <c r="S204" s="148">
        <v>65.7</v>
      </c>
      <c r="T204" s="149" t="s">
        <v>84</v>
      </c>
      <c r="U204" s="148" t="s">
        <v>236</v>
      </c>
      <c r="V204" s="341" t="s">
        <v>2014</v>
      </c>
      <c r="W204" s="18"/>
      <c r="CM204"/>
      <c r="CN204"/>
      <c r="CO204"/>
      <c r="CP204"/>
      <c r="CQ204"/>
      <c r="CR204"/>
      <c r="CS204"/>
      <c r="CT204"/>
      <c r="CU204"/>
      <c r="CV204"/>
      <c r="CW204"/>
      <c r="CX204"/>
      <c r="CY204"/>
    </row>
    <row r="205" spans="1:103" s="1" customFormat="1" ht="39.75" customHeight="1" x14ac:dyDescent="0.25">
      <c r="A205" s="273"/>
      <c r="B205" s="687">
        <v>44585</v>
      </c>
      <c r="C205" s="145">
        <v>0.9375</v>
      </c>
      <c r="D205" s="146">
        <v>50</v>
      </c>
      <c r="E205" s="147">
        <v>8.1999999999999993</v>
      </c>
      <c r="F205" s="147">
        <v>16.899999999999999</v>
      </c>
      <c r="G205" s="147">
        <v>1283</v>
      </c>
      <c r="H205" s="147">
        <v>2182</v>
      </c>
      <c r="I205" s="147">
        <v>105.5</v>
      </c>
      <c r="J205" s="147">
        <v>107.1</v>
      </c>
      <c r="K205" s="147" t="s">
        <v>2022</v>
      </c>
      <c r="L205" s="147">
        <v>35.93</v>
      </c>
      <c r="M205" s="685">
        <v>38.5</v>
      </c>
      <c r="N205" s="147">
        <v>35.57</v>
      </c>
      <c r="O205" s="148" t="s">
        <v>142</v>
      </c>
      <c r="P205" s="148" t="s">
        <v>142</v>
      </c>
      <c r="Q205" s="148" t="s">
        <v>142</v>
      </c>
      <c r="R205" s="148" t="s">
        <v>2023</v>
      </c>
      <c r="S205" s="148">
        <v>66.099999999999994</v>
      </c>
      <c r="T205" s="149" t="s">
        <v>84</v>
      </c>
      <c r="U205" s="148" t="s">
        <v>236</v>
      </c>
      <c r="V205" s="341" t="s">
        <v>2014</v>
      </c>
      <c r="W205" s="18"/>
      <c r="CM205"/>
      <c r="CN205"/>
      <c r="CO205"/>
      <c r="CP205"/>
      <c r="CQ205"/>
      <c r="CR205"/>
      <c r="CS205"/>
      <c r="CT205"/>
      <c r="CU205"/>
      <c r="CV205"/>
      <c r="CW205"/>
      <c r="CX205"/>
      <c r="CY205"/>
    </row>
    <row r="206" spans="1:103" s="1" customFormat="1" ht="39.75" customHeight="1" x14ac:dyDescent="0.25">
      <c r="A206" s="273"/>
      <c r="B206" s="689">
        <v>44586</v>
      </c>
      <c r="C206" s="145">
        <v>0.95833333333333337</v>
      </c>
      <c r="D206" s="146">
        <v>50</v>
      </c>
      <c r="E206" s="147">
        <v>7.6</v>
      </c>
      <c r="F206" s="147">
        <v>16.600000000000001</v>
      </c>
      <c r="G206" s="147">
        <v>1276</v>
      </c>
      <c r="H206" s="147">
        <v>2187</v>
      </c>
      <c r="I206" s="147">
        <v>105.7</v>
      </c>
      <c r="J206" s="147">
        <v>107.1</v>
      </c>
      <c r="K206" s="147" t="s">
        <v>2032</v>
      </c>
      <c r="L206" s="147">
        <v>35.630000000000003</v>
      </c>
      <c r="M206" s="685">
        <v>38.5</v>
      </c>
      <c r="N206" s="147">
        <v>37.869999999999997</v>
      </c>
      <c r="O206" s="148" t="s">
        <v>142</v>
      </c>
      <c r="P206" s="148" t="s">
        <v>142</v>
      </c>
      <c r="Q206" s="148" t="s">
        <v>142</v>
      </c>
      <c r="R206" s="148" t="s">
        <v>2033</v>
      </c>
      <c r="S206" s="148">
        <v>64.5</v>
      </c>
      <c r="T206" s="149" t="s">
        <v>84</v>
      </c>
      <c r="U206" s="148" t="s">
        <v>236</v>
      </c>
      <c r="V206" s="341" t="s">
        <v>2014</v>
      </c>
      <c r="W206" s="18"/>
      <c r="CM206"/>
      <c r="CN206"/>
      <c r="CO206"/>
      <c r="CP206"/>
      <c r="CQ206"/>
      <c r="CR206"/>
      <c r="CS206"/>
      <c r="CT206"/>
      <c r="CU206"/>
      <c r="CV206"/>
      <c r="CW206"/>
      <c r="CX206"/>
      <c r="CY206"/>
    </row>
    <row r="207" spans="1:103" s="1" customFormat="1" ht="39.75" customHeight="1" x14ac:dyDescent="0.25">
      <c r="A207" s="273"/>
      <c r="B207" s="691">
        <v>44587</v>
      </c>
      <c r="C207" s="145">
        <v>0.95833333333333337</v>
      </c>
      <c r="D207" s="146">
        <v>50</v>
      </c>
      <c r="E207" s="147">
        <v>7.3</v>
      </c>
      <c r="F207" s="147">
        <v>16.7</v>
      </c>
      <c r="G207" s="147">
        <v>1312</v>
      </c>
      <c r="H207" s="147">
        <v>2221</v>
      </c>
      <c r="I207" s="147">
        <v>106.2</v>
      </c>
      <c r="J207" s="147">
        <v>107.7</v>
      </c>
      <c r="K207" s="147" t="s">
        <v>2043</v>
      </c>
      <c r="L207" s="147">
        <v>37.770000000000003</v>
      </c>
      <c r="M207" s="685">
        <v>40</v>
      </c>
      <c r="N207" s="147">
        <v>35.5</v>
      </c>
      <c r="O207" s="148" t="s">
        <v>142</v>
      </c>
      <c r="P207" s="148" t="s">
        <v>142</v>
      </c>
      <c r="Q207" s="148" t="s">
        <v>142</v>
      </c>
      <c r="R207" s="148" t="s">
        <v>2044</v>
      </c>
      <c r="S207" s="148">
        <v>64.5</v>
      </c>
      <c r="T207" s="149" t="s">
        <v>84</v>
      </c>
      <c r="U207" s="148" t="s">
        <v>236</v>
      </c>
      <c r="V207" s="341" t="s">
        <v>2014</v>
      </c>
      <c r="W207" s="18"/>
      <c r="CM207"/>
      <c r="CN207"/>
      <c r="CO207"/>
      <c r="CP207"/>
      <c r="CQ207"/>
      <c r="CR207"/>
      <c r="CS207"/>
      <c r="CT207"/>
      <c r="CU207"/>
      <c r="CV207"/>
      <c r="CW207"/>
      <c r="CX207"/>
      <c r="CY207"/>
    </row>
    <row r="208" spans="1:103" s="1" customFormat="1" ht="39.75" customHeight="1" x14ac:dyDescent="0.25">
      <c r="A208" s="273"/>
      <c r="B208" s="693">
        <v>44588</v>
      </c>
      <c r="C208" s="145">
        <v>0.95833333333333337</v>
      </c>
      <c r="D208" s="146">
        <v>50</v>
      </c>
      <c r="E208" s="147">
        <v>8.1999999999999993</v>
      </c>
      <c r="F208" s="147">
        <v>16.899999999999999</v>
      </c>
      <c r="G208" s="147">
        <v>1299</v>
      </c>
      <c r="H208" s="147">
        <v>2206</v>
      </c>
      <c r="I208" s="147">
        <v>105.8</v>
      </c>
      <c r="J208" s="147">
        <v>107.6</v>
      </c>
      <c r="K208" s="147" t="s">
        <v>2055</v>
      </c>
      <c r="L208" s="147">
        <v>35.97</v>
      </c>
      <c r="M208" s="685">
        <v>39</v>
      </c>
      <c r="N208" s="147">
        <v>38.090000000000003</v>
      </c>
      <c r="O208" s="148" t="s">
        <v>142</v>
      </c>
      <c r="P208" s="148" t="s">
        <v>142</v>
      </c>
      <c r="Q208" s="148" t="s">
        <v>142</v>
      </c>
      <c r="R208" s="148" t="s">
        <v>2056</v>
      </c>
      <c r="S208" s="148">
        <v>65.7</v>
      </c>
      <c r="T208" s="149" t="s">
        <v>84</v>
      </c>
      <c r="U208" s="148" t="s">
        <v>236</v>
      </c>
      <c r="V208" s="341" t="s">
        <v>2014</v>
      </c>
      <c r="W208" s="18"/>
      <c r="CM208"/>
      <c r="CN208"/>
      <c r="CO208"/>
      <c r="CP208"/>
      <c r="CQ208"/>
      <c r="CR208"/>
      <c r="CS208"/>
      <c r="CT208"/>
      <c r="CU208"/>
      <c r="CV208"/>
      <c r="CW208"/>
      <c r="CX208"/>
      <c r="CY208"/>
    </row>
    <row r="209" spans="1:103" s="1" customFormat="1" ht="39.75" customHeight="1" x14ac:dyDescent="0.25">
      <c r="A209" s="273"/>
      <c r="B209" s="695">
        <v>44589</v>
      </c>
      <c r="C209" s="145">
        <v>0.95833333333333337</v>
      </c>
      <c r="D209" s="146">
        <v>50</v>
      </c>
      <c r="E209" s="147">
        <v>8.6</v>
      </c>
      <c r="F209" s="147">
        <v>17</v>
      </c>
      <c r="G209" s="147">
        <v>1269</v>
      </c>
      <c r="H209" s="147">
        <v>2201</v>
      </c>
      <c r="I209" s="147">
        <v>105.8</v>
      </c>
      <c r="J209" s="147">
        <v>106.8</v>
      </c>
      <c r="K209" s="147" t="s">
        <v>2063</v>
      </c>
      <c r="L209" s="147">
        <v>35.18</v>
      </c>
      <c r="M209" s="685">
        <v>39</v>
      </c>
      <c r="N209" s="147">
        <v>38.520000000000003</v>
      </c>
      <c r="O209" s="148" t="s">
        <v>142</v>
      </c>
      <c r="P209" s="148" t="s">
        <v>142</v>
      </c>
      <c r="Q209" s="148" t="s">
        <v>142</v>
      </c>
      <c r="R209" s="148" t="s">
        <v>2064</v>
      </c>
      <c r="S209" s="148">
        <v>66.099999999999994</v>
      </c>
      <c r="T209" s="149" t="s">
        <v>84</v>
      </c>
      <c r="U209" s="148" t="s">
        <v>236</v>
      </c>
      <c r="V209" s="341" t="s">
        <v>2014</v>
      </c>
      <c r="W209" s="18"/>
      <c r="CM209"/>
      <c r="CN209"/>
      <c r="CO209"/>
      <c r="CP209"/>
      <c r="CQ209"/>
      <c r="CR209"/>
      <c r="CS209"/>
      <c r="CT209"/>
      <c r="CU209"/>
      <c r="CV209"/>
      <c r="CW209"/>
      <c r="CX209"/>
      <c r="CY209"/>
    </row>
    <row r="210" spans="1:103" s="1" customFormat="1" ht="24.95" customHeight="1" x14ac:dyDescent="0.25">
      <c r="B210" s="697">
        <v>44590</v>
      </c>
      <c r="C210" s="145">
        <v>0.97916666666666663</v>
      </c>
      <c r="D210" s="146">
        <v>50</v>
      </c>
      <c r="E210" s="147">
        <v>7.3</v>
      </c>
      <c r="F210" s="147">
        <v>16.600000000000001</v>
      </c>
      <c r="G210" s="147">
        <v>1386</v>
      </c>
      <c r="H210" s="147">
        <v>2295</v>
      </c>
      <c r="I210" s="147">
        <v>106.6</v>
      </c>
      <c r="J210" s="147">
        <v>111.5</v>
      </c>
      <c r="K210" s="147" t="s">
        <v>2077</v>
      </c>
      <c r="L210" s="147">
        <v>37.03</v>
      </c>
      <c r="M210" s="685">
        <v>39</v>
      </c>
      <c r="N210" s="147">
        <v>40</v>
      </c>
      <c r="O210" s="148" t="s">
        <v>142</v>
      </c>
      <c r="P210" s="148" t="s">
        <v>142</v>
      </c>
      <c r="Q210" s="148" t="s">
        <v>142</v>
      </c>
      <c r="R210" s="148" t="s">
        <v>2078</v>
      </c>
      <c r="S210" s="148">
        <v>64.900000000000006</v>
      </c>
      <c r="T210" s="149" t="s">
        <v>84</v>
      </c>
      <c r="U210" s="148" t="s">
        <v>928</v>
      </c>
      <c r="V210" s="341" t="s">
        <v>2014</v>
      </c>
      <c r="W210" s="18"/>
      <c r="CM210"/>
      <c r="CN210"/>
      <c r="CO210"/>
      <c r="CP210"/>
      <c r="CQ210"/>
      <c r="CR210"/>
      <c r="CS210"/>
      <c r="CT210"/>
      <c r="CU210"/>
      <c r="CV210"/>
      <c r="CW210"/>
      <c r="CX210"/>
      <c r="CY210"/>
    </row>
    <row r="211" spans="1:103" s="1" customFormat="1" ht="24.95" customHeight="1" x14ac:dyDescent="0.25">
      <c r="B211" s="697">
        <v>44591</v>
      </c>
      <c r="C211" s="145">
        <v>0.97916666666666663</v>
      </c>
      <c r="D211" s="146">
        <v>50</v>
      </c>
      <c r="E211" s="147">
        <v>7.3</v>
      </c>
      <c r="F211" s="147">
        <v>16.600000000000001</v>
      </c>
      <c r="G211" s="147">
        <v>1386</v>
      </c>
      <c r="H211" s="147">
        <v>2295</v>
      </c>
      <c r="I211" s="147">
        <v>106.6</v>
      </c>
      <c r="J211" s="147">
        <v>111.5</v>
      </c>
      <c r="K211" s="147" t="s">
        <v>2077</v>
      </c>
      <c r="L211" s="147">
        <v>37.03</v>
      </c>
      <c r="M211" s="685">
        <v>39</v>
      </c>
      <c r="N211" s="147">
        <v>40</v>
      </c>
      <c r="O211" s="148" t="s">
        <v>142</v>
      </c>
      <c r="P211" s="148" t="s">
        <v>142</v>
      </c>
      <c r="Q211" s="148" t="s">
        <v>142</v>
      </c>
      <c r="R211" s="148" t="s">
        <v>2078</v>
      </c>
      <c r="S211" s="148">
        <v>64.900000000000006</v>
      </c>
      <c r="T211" s="149" t="s">
        <v>84</v>
      </c>
      <c r="U211" s="148" t="s">
        <v>928</v>
      </c>
      <c r="V211" s="341" t="s">
        <v>2014</v>
      </c>
      <c r="W211" s="18"/>
      <c r="CM211"/>
      <c r="CN211"/>
      <c r="CO211"/>
      <c r="CP211"/>
      <c r="CQ211"/>
      <c r="CR211"/>
      <c r="CS211"/>
      <c r="CT211"/>
      <c r="CU211"/>
      <c r="CV211"/>
      <c r="CW211"/>
      <c r="CX211"/>
      <c r="CY211"/>
    </row>
    <row r="212" spans="1:103" s="1" customFormat="1" ht="24.95" customHeight="1" x14ac:dyDescent="0.25">
      <c r="B212" s="697">
        <v>44592</v>
      </c>
      <c r="C212" s="145">
        <v>0.98958333333333337</v>
      </c>
      <c r="D212" s="146">
        <v>50</v>
      </c>
      <c r="E212" s="147">
        <v>7.6</v>
      </c>
      <c r="F212" s="147">
        <v>16.7</v>
      </c>
      <c r="G212" s="147">
        <v>1258</v>
      </c>
      <c r="H212" s="147">
        <v>2160</v>
      </c>
      <c r="I212" s="147">
        <v>105.7</v>
      </c>
      <c r="J212" s="147">
        <v>110.9</v>
      </c>
      <c r="K212" s="147" t="s">
        <v>2084</v>
      </c>
      <c r="L212" s="147">
        <v>36.549999999999997</v>
      </c>
      <c r="M212" s="685">
        <v>39</v>
      </c>
      <c r="N212" s="147">
        <v>38.909999999999997</v>
      </c>
      <c r="O212" s="148" t="s">
        <v>142</v>
      </c>
      <c r="P212" s="148" t="s">
        <v>142</v>
      </c>
      <c r="Q212" s="148" t="s">
        <v>142</v>
      </c>
      <c r="R212" s="148" t="s">
        <v>2085</v>
      </c>
      <c r="S212" s="148">
        <v>64.2</v>
      </c>
      <c r="T212" s="149" t="s">
        <v>84</v>
      </c>
      <c r="U212" s="148" t="s">
        <v>928</v>
      </c>
      <c r="V212" s="341" t="s">
        <v>2014</v>
      </c>
      <c r="W212" s="18"/>
      <c r="CM212"/>
      <c r="CN212"/>
      <c r="CO212"/>
      <c r="CP212"/>
      <c r="CQ212"/>
      <c r="CR212"/>
      <c r="CS212"/>
      <c r="CT212"/>
      <c r="CU212"/>
      <c r="CV212"/>
      <c r="CW212"/>
      <c r="CX212"/>
      <c r="CY212"/>
    </row>
    <row r="213" spans="1:103" s="1" customFormat="1" ht="24.95" customHeight="1" x14ac:dyDescent="0.25">
      <c r="B213" s="697">
        <v>44593</v>
      </c>
      <c r="C213" s="145">
        <v>0.9375</v>
      </c>
      <c r="D213" s="146">
        <v>50</v>
      </c>
      <c r="E213" s="147">
        <v>8</v>
      </c>
      <c r="F213" s="147">
        <v>16.8</v>
      </c>
      <c r="G213" s="147">
        <v>1288</v>
      </c>
      <c r="H213" s="147">
        <v>2197</v>
      </c>
      <c r="I213" s="147">
        <v>105.5</v>
      </c>
      <c r="J213" s="147">
        <v>107.6</v>
      </c>
      <c r="K213" s="147" t="s">
        <v>2102</v>
      </c>
      <c r="L213" s="147">
        <v>36.479999999999997</v>
      </c>
      <c r="M213" s="685">
        <v>39</v>
      </c>
      <c r="N213" s="147">
        <v>37.79</v>
      </c>
      <c r="O213" s="148" t="s">
        <v>142</v>
      </c>
      <c r="P213" s="148" t="s">
        <v>142</v>
      </c>
      <c r="Q213" s="148" t="s">
        <v>142</v>
      </c>
      <c r="R213" s="148" t="s">
        <v>2103</v>
      </c>
      <c r="S213" s="148">
        <v>65.3</v>
      </c>
      <c r="T213" s="149" t="s">
        <v>84</v>
      </c>
      <c r="U213" s="148" t="s">
        <v>928</v>
      </c>
      <c r="V213" s="341" t="s">
        <v>2014</v>
      </c>
      <c r="W213" s="18"/>
      <c r="CM213"/>
      <c r="CN213"/>
      <c r="CO213"/>
      <c r="CP213"/>
      <c r="CQ213"/>
      <c r="CR213"/>
      <c r="CS213"/>
      <c r="CT213"/>
      <c r="CU213"/>
      <c r="CV213"/>
      <c r="CW213"/>
      <c r="CX213"/>
      <c r="CY213"/>
    </row>
    <row r="214" spans="1:103" s="1" customFormat="1" ht="24.95" customHeight="1" x14ac:dyDescent="0.25">
      <c r="B214" s="697">
        <v>44594</v>
      </c>
      <c r="C214" s="145">
        <v>0.9375</v>
      </c>
      <c r="D214" s="146">
        <v>50</v>
      </c>
      <c r="E214" s="147">
        <v>8.1</v>
      </c>
      <c r="F214" s="147">
        <v>16.899999999999999</v>
      </c>
      <c r="G214" s="147">
        <v>1295</v>
      </c>
      <c r="H214" s="147">
        <v>2207</v>
      </c>
      <c r="I214" s="147">
        <v>106.2</v>
      </c>
      <c r="J214" s="147">
        <v>110.6</v>
      </c>
      <c r="K214" s="147" t="s">
        <v>2110</v>
      </c>
      <c r="L214" s="147">
        <v>36.83</v>
      </c>
      <c r="M214" s="685">
        <v>39</v>
      </c>
      <c r="N214" s="147">
        <v>38.29</v>
      </c>
      <c r="O214" s="148" t="s">
        <v>142</v>
      </c>
      <c r="P214" s="148" t="s">
        <v>142</v>
      </c>
      <c r="Q214" s="148" t="s">
        <v>142</v>
      </c>
      <c r="R214" s="148" t="s">
        <v>2111</v>
      </c>
      <c r="S214" s="148">
        <v>65.7</v>
      </c>
      <c r="T214" s="149" t="s">
        <v>84</v>
      </c>
      <c r="U214" s="148" t="s">
        <v>928</v>
      </c>
      <c r="V214" s="341" t="s">
        <v>2014</v>
      </c>
      <c r="W214" s="18"/>
      <c r="CM214"/>
      <c r="CN214"/>
      <c r="CO214"/>
      <c r="CP214"/>
      <c r="CQ214"/>
      <c r="CR214"/>
      <c r="CS214"/>
      <c r="CT214"/>
      <c r="CU214"/>
      <c r="CV214"/>
      <c r="CW214"/>
      <c r="CX214"/>
      <c r="CY214"/>
    </row>
    <row r="215" spans="1:103" s="1" customFormat="1" ht="24.95" customHeight="1" x14ac:dyDescent="0.25">
      <c r="B215" s="697">
        <v>44595</v>
      </c>
      <c r="C215" s="145">
        <v>0.9375</v>
      </c>
      <c r="D215" s="146">
        <v>50</v>
      </c>
      <c r="E215" s="147">
        <v>7.9</v>
      </c>
      <c r="F215" s="147">
        <v>16.8</v>
      </c>
      <c r="G215" s="147">
        <v>1291</v>
      </c>
      <c r="H215" s="147">
        <v>2193</v>
      </c>
      <c r="I215" s="147">
        <v>105.3</v>
      </c>
      <c r="J215" s="147">
        <v>115.6</v>
      </c>
      <c r="K215" s="147" t="s">
        <v>2116</v>
      </c>
      <c r="L215" s="147">
        <v>36.799999999999997</v>
      </c>
      <c r="M215" s="685">
        <v>39</v>
      </c>
      <c r="N215" s="147">
        <v>39.369999999999997</v>
      </c>
      <c r="O215" s="148" t="s">
        <v>142</v>
      </c>
      <c r="P215" s="148" t="s">
        <v>142</v>
      </c>
      <c r="Q215" s="148" t="s">
        <v>142</v>
      </c>
      <c r="R215" s="148" t="s">
        <v>2117</v>
      </c>
      <c r="S215" s="148">
        <v>65.3</v>
      </c>
      <c r="T215" s="149" t="s">
        <v>84</v>
      </c>
      <c r="U215" s="148" t="s">
        <v>928</v>
      </c>
      <c r="V215" s="24"/>
      <c r="W215" s="18"/>
      <c r="CM215"/>
      <c r="CN215"/>
      <c r="CO215"/>
      <c r="CP215"/>
      <c r="CQ215"/>
      <c r="CR215"/>
      <c r="CS215"/>
      <c r="CT215"/>
      <c r="CU215"/>
      <c r="CV215"/>
      <c r="CW215"/>
      <c r="CX215"/>
      <c r="CY215"/>
    </row>
    <row r="216" spans="1:103" s="1" customFormat="1" ht="24.95" customHeight="1" x14ac:dyDescent="0.25">
      <c r="B216" s="697">
        <v>44596</v>
      </c>
      <c r="C216" s="145">
        <v>0.9375</v>
      </c>
      <c r="D216" s="146">
        <v>50</v>
      </c>
      <c r="E216" s="147">
        <v>7.7</v>
      </c>
      <c r="F216" s="147">
        <v>16.8</v>
      </c>
      <c r="G216" s="147">
        <v>1324</v>
      </c>
      <c r="H216" s="147">
        <v>2226</v>
      </c>
      <c r="I216" s="147">
        <v>107</v>
      </c>
      <c r="J216" s="147">
        <v>111.8</v>
      </c>
      <c r="K216" s="147" t="s">
        <v>2121</v>
      </c>
      <c r="L216" s="147">
        <v>36.799999999999997</v>
      </c>
      <c r="M216" s="685">
        <v>39</v>
      </c>
      <c r="N216" s="147">
        <v>39.369999999999997</v>
      </c>
      <c r="O216" s="148" t="s">
        <v>142</v>
      </c>
      <c r="P216" s="148" t="s">
        <v>142</v>
      </c>
      <c r="Q216" s="148" t="s">
        <v>142</v>
      </c>
      <c r="R216" s="148" t="s">
        <v>2122</v>
      </c>
      <c r="S216" s="148">
        <v>65.3</v>
      </c>
      <c r="T216" s="149" t="s">
        <v>84</v>
      </c>
      <c r="U216" s="148" t="s">
        <v>928</v>
      </c>
      <c r="V216" s="24"/>
      <c r="W216" s="18"/>
      <c r="CM216"/>
      <c r="CN216"/>
      <c r="CO216"/>
      <c r="CP216"/>
      <c r="CQ216"/>
      <c r="CR216"/>
      <c r="CS216"/>
      <c r="CT216"/>
      <c r="CU216"/>
      <c r="CV216"/>
      <c r="CW216"/>
      <c r="CX216"/>
      <c r="CY216"/>
    </row>
    <row r="217" spans="1:103" s="1" customFormat="1" ht="24.95" customHeight="1" x14ac:dyDescent="0.25">
      <c r="B217" s="697">
        <v>44597</v>
      </c>
      <c r="C217" s="145">
        <v>0.98958333333333337</v>
      </c>
      <c r="D217" s="146">
        <v>50</v>
      </c>
      <c r="E217" s="147">
        <v>7.8</v>
      </c>
      <c r="F217" s="147">
        <v>16.8</v>
      </c>
      <c r="G217" s="147">
        <v>1317</v>
      </c>
      <c r="H217" s="147">
        <v>2236</v>
      </c>
      <c r="I217" s="147">
        <v>106.4</v>
      </c>
      <c r="J217" s="147">
        <v>111.4</v>
      </c>
      <c r="K217" s="147" t="s">
        <v>2129</v>
      </c>
      <c r="L217" s="147">
        <v>36.799999999999997</v>
      </c>
      <c r="M217" s="685">
        <v>39</v>
      </c>
      <c r="N217" s="147">
        <v>39.369999999999997</v>
      </c>
      <c r="O217" s="148" t="s">
        <v>142</v>
      </c>
      <c r="P217" s="148" t="s">
        <v>142</v>
      </c>
      <c r="Q217" s="148" t="s">
        <v>142</v>
      </c>
      <c r="R217" s="148" t="s">
        <v>2122</v>
      </c>
      <c r="S217" s="148">
        <v>65.3</v>
      </c>
      <c r="T217" s="149" t="s">
        <v>84</v>
      </c>
      <c r="U217" s="148" t="s">
        <v>928</v>
      </c>
      <c r="V217" s="24"/>
      <c r="CM217"/>
      <c r="CN217"/>
      <c r="CO217"/>
      <c r="CP217"/>
      <c r="CQ217"/>
      <c r="CR217"/>
      <c r="CS217"/>
      <c r="CT217"/>
      <c r="CU217"/>
      <c r="CV217"/>
      <c r="CW217"/>
      <c r="CX217"/>
      <c r="CY217"/>
    </row>
    <row r="218" spans="1:103" s="1" customFormat="1" ht="24.95" customHeight="1" x14ac:dyDescent="0.25">
      <c r="B218" s="697">
        <v>44598</v>
      </c>
      <c r="C218" s="145">
        <v>0.9375</v>
      </c>
      <c r="D218" s="146">
        <v>50</v>
      </c>
      <c r="E218" s="147">
        <v>7.2</v>
      </c>
      <c r="F218" s="147">
        <v>16.7</v>
      </c>
      <c r="G218" s="147">
        <v>1273</v>
      </c>
      <c r="H218" s="147">
        <v>2236</v>
      </c>
      <c r="I218" s="147">
        <v>106.4</v>
      </c>
      <c r="J218" s="147">
        <v>111.4</v>
      </c>
      <c r="K218" s="147" t="s">
        <v>2129</v>
      </c>
      <c r="L218" s="147">
        <v>36.71</v>
      </c>
      <c r="M218" s="685">
        <v>39</v>
      </c>
      <c r="N218" s="147">
        <v>36.31</v>
      </c>
      <c r="O218" s="148" t="s">
        <v>142</v>
      </c>
      <c r="P218" s="148" t="s">
        <v>142</v>
      </c>
      <c r="Q218" s="148" t="s">
        <v>142</v>
      </c>
      <c r="R218" s="148" t="s">
        <v>2044</v>
      </c>
      <c r="S218" s="148">
        <v>64.900000000000006</v>
      </c>
      <c r="T218" s="149" t="s">
        <v>84</v>
      </c>
      <c r="U218" s="148" t="s">
        <v>928</v>
      </c>
      <c r="V218" s="24"/>
      <c r="CM218"/>
      <c r="CN218"/>
      <c r="CO218"/>
      <c r="CP218"/>
      <c r="CQ218"/>
      <c r="CR218"/>
      <c r="CS218"/>
      <c r="CT218"/>
      <c r="CU218"/>
      <c r="CV218"/>
      <c r="CW218"/>
      <c r="CX218"/>
      <c r="CY218"/>
    </row>
    <row r="219" spans="1:103" s="1" customFormat="1" ht="24.95" customHeight="1" x14ac:dyDescent="0.25">
      <c r="B219" s="697">
        <v>44599</v>
      </c>
      <c r="C219" s="145">
        <v>0.9375</v>
      </c>
      <c r="D219" s="146">
        <v>50</v>
      </c>
      <c r="E219" s="147">
        <v>7.3</v>
      </c>
      <c r="F219" s="147">
        <v>16.7</v>
      </c>
      <c r="G219" s="147">
        <v>1272</v>
      </c>
      <c r="H219" s="147">
        <v>2236</v>
      </c>
      <c r="I219" s="147">
        <v>106.7</v>
      </c>
      <c r="J219" s="147">
        <v>111.4</v>
      </c>
      <c r="K219" s="147" t="s">
        <v>2129</v>
      </c>
      <c r="L219" s="147">
        <v>36.71</v>
      </c>
      <c r="M219" s="685">
        <v>39</v>
      </c>
      <c r="N219" s="147">
        <v>36.31</v>
      </c>
      <c r="O219" s="148" t="s">
        <v>142</v>
      </c>
      <c r="P219" s="148" t="s">
        <v>142</v>
      </c>
      <c r="Q219" s="148" t="s">
        <v>142</v>
      </c>
      <c r="R219" s="148" t="s">
        <v>2033</v>
      </c>
      <c r="S219" s="148">
        <v>64.5</v>
      </c>
      <c r="T219" s="149" t="s">
        <v>84</v>
      </c>
      <c r="U219" s="148" t="s">
        <v>928</v>
      </c>
      <c r="V219" s="24"/>
      <c r="CM219"/>
      <c r="CN219"/>
      <c r="CO219"/>
      <c r="CP219"/>
      <c r="CQ219"/>
      <c r="CR219"/>
      <c r="CS219"/>
      <c r="CT219"/>
      <c r="CU219"/>
      <c r="CV219"/>
      <c r="CW219"/>
      <c r="CX219"/>
      <c r="CY219"/>
    </row>
    <row r="220" spans="1:103" s="1" customFormat="1" ht="24.95" customHeight="1" x14ac:dyDescent="0.25">
      <c r="B220" s="697">
        <v>44600</v>
      </c>
      <c r="C220" s="145">
        <v>0.91666666666666663</v>
      </c>
      <c r="D220" s="146">
        <v>50</v>
      </c>
      <c r="E220" s="147">
        <v>7.2</v>
      </c>
      <c r="F220" s="147">
        <v>16.600000000000001</v>
      </c>
      <c r="G220" s="147">
        <v>1238</v>
      </c>
      <c r="H220" s="147">
        <v>2161</v>
      </c>
      <c r="I220" s="147">
        <v>106.7</v>
      </c>
      <c r="J220" s="147">
        <v>110.9</v>
      </c>
      <c r="K220" s="147" t="s">
        <v>2143</v>
      </c>
      <c r="L220" s="147">
        <v>36.11</v>
      </c>
      <c r="M220" s="685">
        <v>39</v>
      </c>
      <c r="N220" s="147">
        <v>34.97</v>
      </c>
      <c r="O220" s="148" t="s">
        <v>142</v>
      </c>
      <c r="P220" s="148" t="s">
        <v>142</v>
      </c>
      <c r="Q220" s="148" t="s">
        <v>142</v>
      </c>
      <c r="R220" s="148" t="s">
        <v>2144</v>
      </c>
      <c r="S220" s="148">
        <v>64.5</v>
      </c>
      <c r="T220" s="149" t="s">
        <v>84</v>
      </c>
      <c r="U220" s="148" t="s">
        <v>928</v>
      </c>
      <c r="V220" s="24"/>
      <c r="CM220"/>
      <c r="CN220"/>
      <c r="CO220"/>
      <c r="CP220"/>
      <c r="CQ220"/>
      <c r="CR220"/>
      <c r="CS220"/>
      <c r="CT220"/>
      <c r="CU220"/>
      <c r="CV220"/>
      <c r="CW220"/>
      <c r="CX220"/>
      <c r="CY220"/>
    </row>
    <row r="221" spans="1:103" s="1" customFormat="1" ht="24.95" customHeight="1" x14ac:dyDescent="0.25">
      <c r="B221" s="697">
        <v>44601</v>
      </c>
      <c r="C221" s="145">
        <v>0.91666666666666663</v>
      </c>
      <c r="D221" s="146">
        <v>50</v>
      </c>
      <c r="E221" s="147">
        <v>8.4</v>
      </c>
      <c r="F221" s="147">
        <v>16.899999999999999</v>
      </c>
      <c r="G221" s="147">
        <v>1269</v>
      </c>
      <c r="H221" s="147">
        <v>2157</v>
      </c>
      <c r="I221" s="147">
        <v>106.7</v>
      </c>
      <c r="J221" s="147">
        <v>111.8</v>
      </c>
      <c r="K221" s="147" t="s">
        <v>2152</v>
      </c>
      <c r="L221" s="147">
        <v>36.770000000000003</v>
      </c>
      <c r="M221" s="685">
        <v>39</v>
      </c>
      <c r="N221" s="147">
        <v>37.79</v>
      </c>
      <c r="O221" s="148" t="s">
        <v>142</v>
      </c>
      <c r="P221" s="148" t="s">
        <v>142</v>
      </c>
      <c r="Q221" s="148" t="s">
        <v>142</v>
      </c>
      <c r="R221" s="148" t="s">
        <v>2153</v>
      </c>
      <c r="S221" s="148">
        <v>65.7</v>
      </c>
      <c r="T221" s="149" t="s">
        <v>84</v>
      </c>
      <c r="U221" s="148" t="s">
        <v>928</v>
      </c>
      <c r="V221" s="24"/>
      <c r="CM221"/>
      <c r="CN221"/>
      <c r="CO221"/>
      <c r="CP221"/>
      <c r="CQ221"/>
      <c r="CR221"/>
      <c r="CS221"/>
      <c r="CT221"/>
      <c r="CU221"/>
      <c r="CV221"/>
      <c r="CW221"/>
      <c r="CX221"/>
      <c r="CY221"/>
    </row>
    <row r="222" spans="1:103" s="1" customFormat="1" ht="24.95" customHeight="1" x14ac:dyDescent="0.25">
      <c r="B222" s="697">
        <v>44602</v>
      </c>
      <c r="C222" s="145">
        <v>0.91666666666666663</v>
      </c>
      <c r="D222" s="146">
        <v>50</v>
      </c>
      <c r="E222" s="147">
        <v>8.4</v>
      </c>
      <c r="F222" s="147">
        <v>16.899999999999999</v>
      </c>
      <c r="G222" s="147">
        <v>1269</v>
      </c>
      <c r="H222" s="147">
        <v>2157</v>
      </c>
      <c r="I222" s="147">
        <v>106.7</v>
      </c>
      <c r="J222" s="147">
        <v>111.8</v>
      </c>
      <c r="K222" s="147" t="s">
        <v>2152</v>
      </c>
      <c r="L222" s="147">
        <v>36.770000000000003</v>
      </c>
      <c r="M222" s="685">
        <v>39</v>
      </c>
      <c r="N222" s="147">
        <v>37.79</v>
      </c>
      <c r="O222" s="148" t="s">
        <v>142</v>
      </c>
      <c r="P222" s="148" t="s">
        <v>142</v>
      </c>
      <c r="Q222" s="148" t="s">
        <v>142</v>
      </c>
      <c r="R222" s="148" t="s">
        <v>2153</v>
      </c>
      <c r="S222" s="148">
        <v>65.7</v>
      </c>
      <c r="T222" s="149" t="s">
        <v>84</v>
      </c>
      <c r="U222" s="148" t="s">
        <v>928</v>
      </c>
      <c r="V222" s="24"/>
      <c r="CM222"/>
      <c r="CN222"/>
      <c r="CO222"/>
      <c r="CP222"/>
      <c r="CQ222"/>
      <c r="CR222"/>
      <c r="CS222"/>
      <c r="CT222"/>
      <c r="CU222"/>
      <c r="CV222"/>
      <c r="CW222"/>
      <c r="CX222"/>
      <c r="CY222"/>
    </row>
    <row r="223" spans="1:103" s="1" customFormat="1" ht="24.95" customHeight="1" x14ac:dyDescent="0.25">
      <c r="B223" s="697">
        <v>44603</v>
      </c>
      <c r="C223" s="145">
        <v>0.9375</v>
      </c>
      <c r="D223" s="146">
        <v>50</v>
      </c>
      <c r="E223" s="147">
        <v>8.9</v>
      </c>
      <c r="F223" s="147">
        <v>17.2</v>
      </c>
      <c r="G223" s="147">
        <v>1292</v>
      </c>
      <c r="H223" s="147">
        <v>2199</v>
      </c>
      <c r="I223" s="147">
        <v>106.4</v>
      </c>
      <c r="J223" s="147">
        <v>111.2</v>
      </c>
      <c r="K223" s="147" t="s">
        <v>2159</v>
      </c>
      <c r="L223" s="147">
        <v>36.770000000000003</v>
      </c>
      <c r="M223" s="685">
        <v>39</v>
      </c>
      <c r="N223" s="147">
        <v>37.79</v>
      </c>
      <c r="O223" s="148" t="s">
        <v>142</v>
      </c>
      <c r="P223" s="148" t="s">
        <v>142</v>
      </c>
      <c r="Q223" s="148" t="s">
        <v>142</v>
      </c>
      <c r="R223" s="148" t="s">
        <v>2160</v>
      </c>
      <c r="S223" s="148">
        <v>66.900000000000006</v>
      </c>
      <c r="T223" s="149" t="s">
        <v>84</v>
      </c>
      <c r="U223" s="148" t="s">
        <v>928</v>
      </c>
      <c r="V223" s="24"/>
      <c r="CM223"/>
      <c r="CN223"/>
      <c r="CO223"/>
      <c r="CP223"/>
      <c r="CQ223"/>
      <c r="CR223"/>
      <c r="CS223"/>
      <c r="CT223"/>
      <c r="CU223"/>
      <c r="CV223"/>
      <c r="CW223"/>
      <c r="CX223"/>
      <c r="CY223"/>
    </row>
    <row r="224" spans="1:103" s="1" customFormat="1" ht="24.95" customHeight="1" x14ac:dyDescent="0.25">
      <c r="B224" s="697">
        <v>44604</v>
      </c>
      <c r="C224" s="145">
        <v>0.9375</v>
      </c>
      <c r="D224" s="146">
        <v>50</v>
      </c>
      <c r="E224" s="147">
        <v>7.3</v>
      </c>
      <c r="F224" s="147">
        <v>16.7</v>
      </c>
      <c r="G224" s="147">
        <v>1292</v>
      </c>
      <c r="H224" s="147">
        <v>2199</v>
      </c>
      <c r="I224" s="147">
        <v>106.4</v>
      </c>
      <c r="J224" s="147">
        <v>111.2</v>
      </c>
      <c r="K224" s="147" t="s">
        <v>2159</v>
      </c>
      <c r="L224" s="147">
        <v>38.31</v>
      </c>
      <c r="M224" s="685">
        <v>39</v>
      </c>
      <c r="N224" s="147">
        <v>36.770000000000003</v>
      </c>
      <c r="O224" s="148" t="s">
        <v>142</v>
      </c>
      <c r="P224" s="148" t="s">
        <v>142</v>
      </c>
      <c r="Q224" s="148" t="s">
        <v>142</v>
      </c>
      <c r="R224" s="148" t="s">
        <v>2175</v>
      </c>
      <c r="S224" s="148">
        <v>64.7</v>
      </c>
      <c r="T224" s="149" t="s">
        <v>84</v>
      </c>
      <c r="U224" s="148" t="s">
        <v>928</v>
      </c>
      <c r="V224" s="401" t="s">
        <v>415</v>
      </c>
      <c r="CM224"/>
      <c r="CN224"/>
      <c r="CO224"/>
      <c r="CP224"/>
      <c r="CQ224"/>
      <c r="CR224"/>
      <c r="CS224"/>
      <c r="CT224"/>
      <c r="CU224"/>
      <c r="CV224"/>
      <c r="CW224"/>
      <c r="CX224"/>
      <c r="CY224"/>
    </row>
    <row r="225" spans="2:103" s="1" customFormat="1" ht="24.95" customHeight="1" x14ac:dyDescent="0.25">
      <c r="B225" s="697">
        <v>44605</v>
      </c>
      <c r="C225" s="145">
        <v>0.95833333333333337</v>
      </c>
      <c r="D225" s="146">
        <v>50</v>
      </c>
      <c r="E225" s="147">
        <v>8.3000000000000007</v>
      </c>
      <c r="F225" s="147">
        <v>17</v>
      </c>
      <c r="G225" s="147">
        <v>1186</v>
      </c>
      <c r="H225" s="147">
        <v>2199</v>
      </c>
      <c r="I225" s="147">
        <v>106.4</v>
      </c>
      <c r="J225" s="147">
        <v>111.2</v>
      </c>
      <c r="K225" s="147" t="s">
        <v>2159</v>
      </c>
      <c r="L225" s="147">
        <v>37.94</v>
      </c>
      <c r="M225" s="685">
        <v>39</v>
      </c>
      <c r="N225" s="147">
        <v>39.56</v>
      </c>
      <c r="O225" s="148" t="s">
        <v>142</v>
      </c>
      <c r="P225" s="148" t="s">
        <v>142</v>
      </c>
      <c r="Q225" s="148" t="s">
        <v>142</v>
      </c>
      <c r="R225" s="148" t="s">
        <v>2182</v>
      </c>
      <c r="S225" s="148">
        <v>66.099999999999994</v>
      </c>
      <c r="T225" s="149" t="s">
        <v>84</v>
      </c>
      <c r="U225" s="148" t="s">
        <v>928</v>
      </c>
      <c r="V225" s="401" t="s">
        <v>415</v>
      </c>
      <c r="CM225"/>
      <c r="CN225"/>
      <c r="CO225"/>
      <c r="CP225"/>
      <c r="CQ225"/>
      <c r="CR225"/>
      <c r="CS225"/>
      <c r="CT225"/>
      <c r="CU225"/>
      <c r="CV225"/>
      <c r="CW225"/>
      <c r="CX225"/>
      <c r="CY225"/>
    </row>
    <row r="226" spans="2:103" s="1" customFormat="1" ht="24.95" customHeight="1" x14ac:dyDescent="0.25">
      <c r="B226" s="697">
        <v>44606</v>
      </c>
      <c r="C226" s="145">
        <v>0.95833333333333337</v>
      </c>
      <c r="D226" s="146">
        <v>50</v>
      </c>
      <c r="E226" s="147">
        <v>7.4</v>
      </c>
      <c r="F226" s="147">
        <v>16.8</v>
      </c>
      <c r="G226" s="147">
        <v>1200</v>
      </c>
      <c r="H226" s="147">
        <v>2143</v>
      </c>
      <c r="I226" s="147">
        <v>106.5</v>
      </c>
      <c r="J226" s="147">
        <v>111.2</v>
      </c>
      <c r="K226" s="147" t="s">
        <v>2159</v>
      </c>
      <c r="L226" s="147">
        <v>39.200000000000003</v>
      </c>
      <c r="M226" s="685">
        <v>39</v>
      </c>
      <c r="N226" s="147">
        <v>38.67</v>
      </c>
      <c r="O226" s="148" t="s">
        <v>142</v>
      </c>
      <c r="P226" s="148" t="s">
        <v>142</v>
      </c>
      <c r="Q226" s="148" t="s">
        <v>142</v>
      </c>
      <c r="R226" s="148" t="s">
        <v>2175</v>
      </c>
      <c r="S226" s="148">
        <v>64.900000000000006</v>
      </c>
      <c r="T226" s="149" t="s">
        <v>84</v>
      </c>
      <c r="U226" s="148" t="s">
        <v>928</v>
      </c>
      <c r="V226" s="401" t="s">
        <v>415</v>
      </c>
      <c r="CM226"/>
      <c r="CN226"/>
      <c r="CO226"/>
      <c r="CP226"/>
      <c r="CQ226"/>
      <c r="CR226"/>
      <c r="CS226"/>
      <c r="CT226"/>
      <c r="CU226"/>
      <c r="CV226"/>
      <c r="CW226"/>
      <c r="CX226"/>
      <c r="CY226"/>
    </row>
    <row r="227" spans="2:103" s="1" customFormat="1" ht="24.95" customHeight="1" x14ac:dyDescent="0.25">
      <c r="B227" s="703">
        <v>44607</v>
      </c>
      <c r="C227" s="145">
        <v>0.9375</v>
      </c>
      <c r="D227" s="146">
        <v>51</v>
      </c>
      <c r="E227" s="147">
        <v>7.3</v>
      </c>
      <c r="F227" s="147">
        <v>16.7</v>
      </c>
      <c r="G227" s="147">
        <v>1200</v>
      </c>
      <c r="H227" s="147">
        <v>2143</v>
      </c>
      <c r="I227" s="147">
        <v>106.5</v>
      </c>
      <c r="J227" s="147">
        <v>111.2</v>
      </c>
      <c r="K227" s="147" t="s">
        <v>2192</v>
      </c>
      <c r="L227" s="147">
        <v>38.15</v>
      </c>
      <c r="M227" s="685">
        <v>39</v>
      </c>
      <c r="N227" s="147">
        <v>38.56</v>
      </c>
      <c r="O227" s="148" t="s">
        <v>142</v>
      </c>
      <c r="P227" s="148" t="s">
        <v>142</v>
      </c>
      <c r="Q227" s="148" t="s">
        <v>142</v>
      </c>
      <c r="R227" s="148" t="s">
        <v>2193</v>
      </c>
      <c r="S227" s="148">
        <v>64.900000000000006</v>
      </c>
      <c r="T227" s="149" t="s">
        <v>84</v>
      </c>
      <c r="U227" s="148" t="s">
        <v>928</v>
      </c>
      <c r="V227" s="401" t="s">
        <v>2194</v>
      </c>
      <c r="CM227"/>
      <c r="CN227"/>
      <c r="CO227"/>
      <c r="CP227"/>
      <c r="CQ227"/>
      <c r="CR227"/>
      <c r="CS227"/>
      <c r="CT227"/>
      <c r="CU227"/>
      <c r="CV227"/>
      <c r="CW227"/>
      <c r="CX227"/>
      <c r="CY227"/>
    </row>
    <row r="228" spans="2:103" s="1" customFormat="1" ht="24.95" customHeight="1" x14ac:dyDescent="0.25">
      <c r="B228" s="703">
        <v>44608</v>
      </c>
      <c r="C228" s="145">
        <v>0.95833333333333337</v>
      </c>
      <c r="D228" s="146">
        <v>51</v>
      </c>
      <c r="E228" s="147">
        <v>8.3000000000000007</v>
      </c>
      <c r="F228" s="147">
        <v>17</v>
      </c>
      <c r="G228" s="147">
        <v>1273</v>
      </c>
      <c r="H228" s="147">
        <v>2215</v>
      </c>
      <c r="I228" s="147">
        <v>106.7</v>
      </c>
      <c r="J228" s="147">
        <v>111.2</v>
      </c>
      <c r="K228" s="147" t="s">
        <v>2205</v>
      </c>
      <c r="L228" s="147">
        <v>38.15</v>
      </c>
      <c r="M228" s="685">
        <v>39</v>
      </c>
      <c r="N228" s="147">
        <v>38.56</v>
      </c>
      <c r="O228" s="148" t="s">
        <v>142</v>
      </c>
      <c r="P228" s="148" t="s">
        <v>142</v>
      </c>
      <c r="Q228" s="148" t="s">
        <v>142</v>
      </c>
      <c r="R228" s="148" t="s">
        <v>2206</v>
      </c>
      <c r="S228" s="148">
        <v>66.099999999999994</v>
      </c>
      <c r="T228" s="149" t="s">
        <v>84</v>
      </c>
      <c r="U228" s="148" t="s">
        <v>928</v>
      </c>
      <c r="V228" s="24"/>
      <c r="CM228"/>
      <c r="CN228"/>
      <c r="CO228"/>
      <c r="CP228"/>
      <c r="CQ228"/>
      <c r="CR228"/>
      <c r="CS228"/>
      <c r="CT228"/>
      <c r="CU228"/>
      <c r="CV228"/>
      <c r="CW228"/>
      <c r="CX228"/>
      <c r="CY228"/>
    </row>
    <row r="229" spans="2:103" s="1" customFormat="1" ht="24.95" customHeight="1" x14ac:dyDescent="0.25">
      <c r="B229" s="703">
        <v>44609</v>
      </c>
      <c r="C229" s="145">
        <v>0.9375</v>
      </c>
      <c r="D229" s="146">
        <v>51</v>
      </c>
      <c r="E229" s="147">
        <v>7.2</v>
      </c>
      <c r="F229" s="147">
        <v>16.8</v>
      </c>
      <c r="G229" s="147">
        <v>1269</v>
      </c>
      <c r="H229" s="147">
        <v>2215</v>
      </c>
      <c r="I229" s="147">
        <v>107</v>
      </c>
      <c r="J229" s="147">
        <v>111.2</v>
      </c>
      <c r="K229" s="147" t="s">
        <v>2212</v>
      </c>
      <c r="L229" s="147">
        <v>37.15</v>
      </c>
      <c r="M229" s="685">
        <v>39</v>
      </c>
      <c r="N229" s="147">
        <v>38.67</v>
      </c>
      <c r="O229" s="148" t="s">
        <v>142</v>
      </c>
      <c r="P229" s="148" t="s">
        <v>142</v>
      </c>
      <c r="Q229" s="148" t="s">
        <v>142</v>
      </c>
      <c r="R229" s="148" t="s">
        <v>2175</v>
      </c>
      <c r="S229" s="148">
        <v>65.3</v>
      </c>
      <c r="T229" s="149" t="s">
        <v>84</v>
      </c>
      <c r="U229" s="148" t="s">
        <v>928</v>
      </c>
      <c r="V229" s="24"/>
      <c r="CM229"/>
      <c r="CN229"/>
      <c r="CO229"/>
      <c r="CP229"/>
      <c r="CQ229"/>
      <c r="CR229"/>
      <c r="CS229"/>
      <c r="CT229"/>
      <c r="CU229"/>
      <c r="CV229"/>
      <c r="CW229"/>
      <c r="CX229"/>
      <c r="CY229"/>
    </row>
    <row r="230" spans="2:103" s="1" customFormat="1" ht="24.95" customHeight="1" x14ac:dyDescent="0.25">
      <c r="B230" s="703">
        <v>44610</v>
      </c>
      <c r="C230" s="145">
        <v>0.9375</v>
      </c>
      <c r="D230" s="146">
        <v>51</v>
      </c>
      <c r="E230" s="147">
        <v>8</v>
      </c>
      <c r="F230" s="147">
        <v>17</v>
      </c>
      <c r="G230" s="147">
        <v>1283</v>
      </c>
      <c r="H230" s="147">
        <v>2235</v>
      </c>
      <c r="I230" s="147">
        <v>106.3</v>
      </c>
      <c r="J230" s="147">
        <v>111.3</v>
      </c>
      <c r="K230" s="147" t="s">
        <v>2215</v>
      </c>
      <c r="L230" s="147">
        <v>37.15</v>
      </c>
      <c r="M230" s="685">
        <v>39</v>
      </c>
      <c r="N230" s="147">
        <v>38.67</v>
      </c>
      <c r="O230" s="148" t="s">
        <v>142</v>
      </c>
      <c r="P230" s="148" t="s">
        <v>142</v>
      </c>
      <c r="Q230" s="148" t="s">
        <v>142</v>
      </c>
      <c r="R230" s="148" t="s">
        <v>2216</v>
      </c>
      <c r="S230" s="148">
        <v>65.3</v>
      </c>
      <c r="T230" s="149" t="s">
        <v>84</v>
      </c>
      <c r="U230" s="148" t="s">
        <v>928</v>
      </c>
      <c r="V230" s="24"/>
      <c r="CM230"/>
      <c r="CN230"/>
      <c r="CO230"/>
      <c r="CP230"/>
      <c r="CQ230"/>
      <c r="CR230"/>
      <c r="CS230"/>
      <c r="CT230"/>
      <c r="CU230"/>
      <c r="CV230"/>
      <c r="CW230"/>
      <c r="CX230"/>
      <c r="CY230"/>
    </row>
    <row r="231" spans="2:103" s="1" customFormat="1" ht="24.95" customHeight="1" x14ac:dyDescent="0.25">
      <c r="B231" s="703">
        <v>44611</v>
      </c>
      <c r="C231" s="145">
        <v>0.95833333333333337</v>
      </c>
      <c r="D231" s="146">
        <v>51</v>
      </c>
      <c r="E231" s="147">
        <v>8.6</v>
      </c>
      <c r="F231" s="147">
        <v>17.100000000000001</v>
      </c>
      <c r="G231" s="147">
        <v>1241</v>
      </c>
      <c r="H231" s="147">
        <v>2190</v>
      </c>
      <c r="I231" s="147">
        <v>106.3</v>
      </c>
      <c r="J231" s="147">
        <v>111.2</v>
      </c>
      <c r="K231" s="147" t="s">
        <v>2227</v>
      </c>
      <c r="L231" s="147">
        <v>37.56</v>
      </c>
      <c r="M231" s="685">
        <v>39</v>
      </c>
      <c r="N231" s="147">
        <v>38.909999999999997</v>
      </c>
      <c r="O231" s="148" t="s">
        <v>142</v>
      </c>
      <c r="P231" s="148" t="s">
        <v>142</v>
      </c>
      <c r="Q231" s="148" t="s">
        <v>142</v>
      </c>
      <c r="R231" s="148" t="s">
        <v>2064</v>
      </c>
      <c r="S231" s="148">
        <v>66.5</v>
      </c>
      <c r="T231" s="149" t="s">
        <v>84</v>
      </c>
      <c r="U231" s="148" t="s">
        <v>928</v>
      </c>
      <c r="V231" s="24"/>
      <c r="CM231"/>
      <c r="CN231"/>
      <c r="CO231"/>
      <c r="CP231"/>
      <c r="CQ231"/>
      <c r="CR231"/>
      <c r="CS231"/>
      <c r="CT231"/>
      <c r="CU231"/>
      <c r="CV231"/>
      <c r="CW231"/>
      <c r="CX231"/>
      <c r="CY231"/>
    </row>
    <row r="232" spans="2:103" s="1" customFormat="1" ht="24.95" customHeight="1" x14ac:dyDescent="0.25">
      <c r="B232" s="703">
        <v>44612</v>
      </c>
      <c r="C232" s="145">
        <v>0.9375</v>
      </c>
      <c r="D232" s="146">
        <v>51</v>
      </c>
      <c r="E232" s="147">
        <v>8.1999999999999993</v>
      </c>
      <c r="F232" s="147">
        <v>17</v>
      </c>
      <c r="G232" s="147">
        <v>1227</v>
      </c>
      <c r="H232" s="147">
        <v>2190</v>
      </c>
      <c r="I232" s="147">
        <v>106.8</v>
      </c>
      <c r="J232" s="147">
        <v>111.2</v>
      </c>
      <c r="K232" s="147" t="s">
        <v>2232</v>
      </c>
      <c r="L232" s="147">
        <v>37.56</v>
      </c>
      <c r="M232" s="685">
        <v>39</v>
      </c>
      <c r="N232" s="147">
        <v>38.909999999999997</v>
      </c>
      <c r="O232" s="148" t="s">
        <v>142</v>
      </c>
      <c r="P232" s="148" t="s">
        <v>142</v>
      </c>
      <c r="Q232" s="148" t="s">
        <v>142</v>
      </c>
      <c r="R232" s="148" t="s">
        <v>2153</v>
      </c>
      <c r="S232" s="148">
        <v>66.099999999999994</v>
      </c>
      <c r="T232" s="149" t="s">
        <v>84</v>
      </c>
      <c r="U232" s="148" t="s">
        <v>928</v>
      </c>
      <c r="V232" s="24"/>
      <c r="CM232"/>
      <c r="CN232"/>
      <c r="CO232"/>
      <c r="CP232"/>
      <c r="CQ232"/>
      <c r="CR232"/>
      <c r="CS232"/>
      <c r="CT232"/>
      <c r="CU232"/>
      <c r="CV232"/>
      <c r="CW232"/>
      <c r="CX232"/>
      <c r="CY232"/>
    </row>
    <row r="233" spans="2:103" s="1" customFormat="1" ht="24.95" customHeight="1" x14ac:dyDescent="0.25">
      <c r="B233" s="703">
        <v>44613</v>
      </c>
      <c r="C233" s="145">
        <v>0.9375</v>
      </c>
      <c r="D233" s="146">
        <v>51</v>
      </c>
      <c r="E233" s="147">
        <v>8.1999999999999993</v>
      </c>
      <c r="F233" s="147">
        <v>17</v>
      </c>
      <c r="G233" s="147">
        <v>1227</v>
      </c>
      <c r="H233" s="147">
        <v>2190</v>
      </c>
      <c r="I233" s="147">
        <v>106.8</v>
      </c>
      <c r="J233" s="147">
        <v>111.2</v>
      </c>
      <c r="K233" s="147" t="s">
        <v>2232</v>
      </c>
      <c r="L233" s="147">
        <v>36.61</v>
      </c>
      <c r="M233" s="685">
        <v>39</v>
      </c>
      <c r="N233" s="147">
        <v>37.72</v>
      </c>
      <c r="O233" s="148" t="s">
        <v>142</v>
      </c>
      <c r="P233" s="148" t="s">
        <v>142</v>
      </c>
      <c r="Q233" s="148" t="s">
        <v>142</v>
      </c>
      <c r="R233" s="148" t="s">
        <v>2153</v>
      </c>
      <c r="S233" s="148">
        <v>66.099999999999994</v>
      </c>
      <c r="T233" s="149" t="s">
        <v>84</v>
      </c>
      <c r="U233" s="148" t="s">
        <v>928</v>
      </c>
      <c r="V233" s="24"/>
      <c r="CM233"/>
      <c r="CN233"/>
      <c r="CO233"/>
      <c r="CP233"/>
      <c r="CQ233"/>
      <c r="CR233"/>
      <c r="CS233"/>
      <c r="CT233"/>
      <c r="CU233"/>
      <c r="CV233"/>
      <c r="CW233"/>
      <c r="CX233"/>
      <c r="CY233"/>
    </row>
    <row r="234" spans="2:103" s="1" customFormat="1" ht="24.95" customHeight="1" x14ac:dyDescent="0.25">
      <c r="B234" s="703">
        <v>44614</v>
      </c>
      <c r="C234" s="145">
        <v>0.9375</v>
      </c>
      <c r="D234" s="146">
        <v>50</v>
      </c>
      <c r="E234" s="147">
        <v>8.1999999999999993</v>
      </c>
      <c r="F234" s="147">
        <v>16.899999999999999</v>
      </c>
      <c r="G234" s="147">
        <v>1318</v>
      </c>
      <c r="H234" s="147">
        <v>2200</v>
      </c>
      <c r="I234" s="147">
        <v>106.8</v>
      </c>
      <c r="J234" s="147">
        <v>111.2</v>
      </c>
      <c r="K234" s="147" t="s">
        <v>2238</v>
      </c>
      <c r="L234" s="147">
        <v>36.61</v>
      </c>
      <c r="M234" s="685">
        <v>39</v>
      </c>
      <c r="N234" s="147">
        <v>37.72</v>
      </c>
      <c r="O234" s="148" t="s">
        <v>142</v>
      </c>
      <c r="P234" s="148" t="s">
        <v>142</v>
      </c>
      <c r="Q234" s="148" t="s">
        <v>142</v>
      </c>
      <c r="R234" s="148" t="s">
        <v>2056</v>
      </c>
      <c r="S234" s="148">
        <v>65.7</v>
      </c>
      <c r="T234" s="149" t="s">
        <v>84</v>
      </c>
      <c r="U234" s="148" t="s">
        <v>928</v>
      </c>
      <c r="V234" s="24" t="s">
        <v>2239</v>
      </c>
      <c r="CM234"/>
      <c r="CN234"/>
      <c r="CO234"/>
      <c r="CP234"/>
      <c r="CQ234"/>
      <c r="CR234"/>
      <c r="CS234"/>
      <c r="CT234"/>
      <c r="CU234"/>
      <c r="CV234"/>
      <c r="CW234"/>
      <c r="CX234"/>
      <c r="CY234"/>
    </row>
    <row r="235" spans="2:103" s="1" customFormat="1" ht="24.95" customHeight="1" x14ac:dyDescent="0.25">
      <c r="B235" s="703">
        <v>44615</v>
      </c>
      <c r="C235" s="145">
        <v>0.97916666666666663</v>
      </c>
      <c r="D235" s="146">
        <v>51</v>
      </c>
      <c r="E235" s="147">
        <v>8.5</v>
      </c>
      <c r="F235" s="147">
        <v>17</v>
      </c>
      <c r="G235" s="147">
        <v>1163</v>
      </c>
      <c r="H235" s="147">
        <v>2200</v>
      </c>
      <c r="I235" s="147">
        <v>106.1</v>
      </c>
      <c r="J235" s="147">
        <v>111.2</v>
      </c>
      <c r="K235" s="147" t="s">
        <v>2238</v>
      </c>
      <c r="L235" s="147">
        <v>36.61</v>
      </c>
      <c r="M235" s="685">
        <v>39</v>
      </c>
      <c r="N235" s="147">
        <v>37.72</v>
      </c>
      <c r="O235" s="148" t="s">
        <v>142</v>
      </c>
      <c r="P235" s="148" t="s">
        <v>142</v>
      </c>
      <c r="Q235" s="148" t="s">
        <v>142</v>
      </c>
      <c r="R235" s="148" t="s">
        <v>2056</v>
      </c>
      <c r="S235" s="148">
        <v>65.7</v>
      </c>
      <c r="T235" s="149" t="s">
        <v>84</v>
      </c>
      <c r="U235" s="148" t="s">
        <v>928</v>
      </c>
      <c r="V235" s="24"/>
      <c r="CM235"/>
      <c r="CN235"/>
      <c r="CO235"/>
      <c r="CP235"/>
      <c r="CQ235"/>
      <c r="CR235"/>
      <c r="CS235"/>
      <c r="CT235"/>
      <c r="CU235"/>
      <c r="CV235"/>
      <c r="CW235"/>
      <c r="CX235"/>
      <c r="CY235"/>
    </row>
    <row r="236" spans="2:103" s="1" customFormat="1" ht="24.95" customHeight="1" x14ac:dyDescent="0.25">
      <c r="B236" s="703">
        <v>44616</v>
      </c>
      <c r="C236" s="145">
        <v>0.95833333333333337</v>
      </c>
      <c r="D236" s="146">
        <v>51</v>
      </c>
      <c r="E236" s="147">
        <v>7.2</v>
      </c>
      <c r="F236" s="147">
        <v>16.7</v>
      </c>
      <c r="G236" s="147">
        <v>1263</v>
      </c>
      <c r="H236" s="147">
        <v>2200</v>
      </c>
      <c r="I236" s="147">
        <v>106.7</v>
      </c>
      <c r="J236" s="147">
        <v>111.2</v>
      </c>
      <c r="K236" s="147" t="s">
        <v>2251</v>
      </c>
      <c r="L236" s="147">
        <v>40</v>
      </c>
      <c r="M236" s="685">
        <v>39</v>
      </c>
      <c r="N236" s="147">
        <v>38.450000000000003</v>
      </c>
      <c r="O236" s="148" t="s">
        <v>142</v>
      </c>
      <c r="P236" s="148" t="s">
        <v>142</v>
      </c>
      <c r="Q236" s="148" t="s">
        <v>142</v>
      </c>
      <c r="R236" s="148" t="s">
        <v>2252</v>
      </c>
      <c r="S236" s="148">
        <v>64.900000000000006</v>
      </c>
      <c r="T236" s="149" t="s">
        <v>84</v>
      </c>
      <c r="U236" s="148" t="s">
        <v>928</v>
      </c>
      <c r="V236" s="711" t="s">
        <v>415</v>
      </c>
      <c r="CM236"/>
      <c r="CN236"/>
      <c r="CO236"/>
      <c r="CP236"/>
      <c r="CQ236"/>
      <c r="CR236"/>
      <c r="CS236"/>
      <c r="CT236"/>
      <c r="CU236"/>
      <c r="CV236"/>
      <c r="CW236"/>
      <c r="CX236"/>
      <c r="CY236"/>
    </row>
    <row r="237" spans="2:103" s="1" customFormat="1" ht="24.95" customHeight="1" x14ac:dyDescent="0.25">
      <c r="B237" s="703">
        <v>44617</v>
      </c>
      <c r="C237" s="145">
        <v>0.95833333333333337</v>
      </c>
      <c r="D237" s="146">
        <v>51</v>
      </c>
      <c r="E237" s="147">
        <v>8.1999999999999993</v>
      </c>
      <c r="F237" s="147">
        <v>17</v>
      </c>
      <c r="G237" s="147">
        <v>1284</v>
      </c>
      <c r="H237" s="147">
        <v>2239</v>
      </c>
      <c r="I237" s="147">
        <v>107</v>
      </c>
      <c r="J237" s="147">
        <v>112.3</v>
      </c>
      <c r="K237" s="147" t="s">
        <v>2259</v>
      </c>
      <c r="L237" s="147">
        <v>37.549999999999997</v>
      </c>
      <c r="M237" s="685">
        <v>39</v>
      </c>
      <c r="N237" s="147">
        <v>38.75</v>
      </c>
      <c r="O237" s="148" t="s">
        <v>142</v>
      </c>
      <c r="P237" s="148" t="s">
        <v>142</v>
      </c>
      <c r="Q237" s="148" t="s">
        <v>142</v>
      </c>
      <c r="R237" s="148" t="s">
        <v>2260</v>
      </c>
      <c r="S237" s="148">
        <v>66.099999999999994</v>
      </c>
      <c r="T237" s="149" t="s">
        <v>84</v>
      </c>
      <c r="U237" s="148" t="s">
        <v>928</v>
      </c>
      <c r="V237" s="28"/>
      <c r="CM237"/>
      <c r="CN237"/>
      <c r="CO237"/>
      <c r="CP237"/>
      <c r="CQ237"/>
      <c r="CR237"/>
      <c r="CS237"/>
      <c r="CT237"/>
      <c r="CU237"/>
      <c r="CV237"/>
      <c r="CW237"/>
      <c r="CX237"/>
      <c r="CY237"/>
    </row>
    <row r="238" spans="2:103" s="1" customFormat="1" ht="24.95" customHeight="1" x14ac:dyDescent="0.25">
      <c r="B238" s="703">
        <v>44618</v>
      </c>
      <c r="C238" s="145">
        <v>0.9375</v>
      </c>
      <c r="D238" s="146">
        <v>51</v>
      </c>
      <c r="E238" s="147">
        <v>8.1999999999999993</v>
      </c>
      <c r="F238" s="147">
        <v>17</v>
      </c>
      <c r="G238" s="147">
        <v>1289</v>
      </c>
      <c r="H238" s="147">
        <v>2239</v>
      </c>
      <c r="I238" s="147">
        <v>106.6</v>
      </c>
      <c r="J238" s="147">
        <v>112.3</v>
      </c>
      <c r="K238" s="147" t="s">
        <v>2265</v>
      </c>
      <c r="L238" s="147">
        <v>38.07</v>
      </c>
      <c r="M238" s="685">
        <v>39</v>
      </c>
      <c r="N238" s="147">
        <v>38</v>
      </c>
      <c r="O238" s="148" t="s">
        <v>142</v>
      </c>
      <c r="P238" s="148" t="s">
        <v>142</v>
      </c>
      <c r="Q238" s="148" t="s">
        <v>142</v>
      </c>
      <c r="R238" s="148" t="s">
        <v>2182</v>
      </c>
      <c r="S238" s="148">
        <v>66.099999999999994</v>
      </c>
      <c r="T238" s="149" t="s">
        <v>84</v>
      </c>
      <c r="U238" s="148" t="s">
        <v>928</v>
      </c>
      <c r="V238" s="28"/>
      <c r="CM238"/>
      <c r="CN238"/>
      <c r="CO238"/>
      <c r="CP238"/>
      <c r="CQ238"/>
      <c r="CR238"/>
      <c r="CS238"/>
      <c r="CT238"/>
      <c r="CU238"/>
      <c r="CV238"/>
      <c r="CW238"/>
      <c r="CX238"/>
      <c r="CY238"/>
    </row>
    <row r="239" spans="2:103" s="1" customFormat="1" ht="24.95" customHeight="1" x14ac:dyDescent="0.25">
      <c r="B239" s="703">
        <v>44619</v>
      </c>
      <c r="C239" s="145">
        <v>0.95833333333333337</v>
      </c>
      <c r="D239" s="146">
        <v>51</v>
      </c>
      <c r="E239" s="147">
        <v>7.4</v>
      </c>
      <c r="F239" s="147">
        <v>16.8</v>
      </c>
      <c r="G239" s="147">
        <v>1186</v>
      </c>
      <c r="H239" s="147">
        <v>2135</v>
      </c>
      <c r="I239" s="147">
        <v>105.7</v>
      </c>
      <c r="J239" s="147">
        <v>112.3</v>
      </c>
      <c r="K239" s="147" t="s">
        <v>2265</v>
      </c>
      <c r="L239" s="147">
        <v>37.94</v>
      </c>
      <c r="M239" s="685">
        <v>39</v>
      </c>
      <c r="N239" s="147">
        <v>38.49</v>
      </c>
      <c r="O239" s="148" t="s">
        <v>142</v>
      </c>
      <c r="P239" s="148" t="s">
        <v>142</v>
      </c>
      <c r="Q239" s="148" t="s">
        <v>142</v>
      </c>
      <c r="R239" s="148" t="s">
        <v>2004</v>
      </c>
      <c r="S239" s="148">
        <v>65.3</v>
      </c>
      <c r="T239" s="149" t="s">
        <v>84</v>
      </c>
      <c r="U239" s="148" t="s">
        <v>928</v>
      </c>
      <c r="V239" s="24"/>
      <c r="CM239"/>
      <c r="CN239"/>
      <c r="CO239"/>
      <c r="CP239"/>
      <c r="CQ239"/>
      <c r="CR239"/>
      <c r="CS239"/>
      <c r="CT239"/>
      <c r="CU239"/>
      <c r="CV239"/>
      <c r="CW239"/>
      <c r="CX239"/>
      <c r="CY239"/>
    </row>
    <row r="240" spans="2:103" s="1" customFormat="1" ht="24" customHeight="1" x14ac:dyDescent="0.25">
      <c r="B240" s="703">
        <v>44620</v>
      </c>
      <c r="C240" s="145">
        <v>0.97916666666666663</v>
      </c>
      <c r="D240" s="146">
        <v>51</v>
      </c>
      <c r="E240" s="147">
        <v>8.3000000000000007</v>
      </c>
      <c r="F240" s="147">
        <v>17</v>
      </c>
      <c r="G240" s="147">
        <v>1267</v>
      </c>
      <c r="H240" s="147">
        <v>2135</v>
      </c>
      <c r="I240" s="147">
        <v>106.6</v>
      </c>
      <c r="J240" s="147">
        <v>112.3</v>
      </c>
      <c r="K240" s="147" t="s">
        <v>2274</v>
      </c>
      <c r="L240" s="147">
        <v>37.57</v>
      </c>
      <c r="M240" s="685">
        <v>39</v>
      </c>
      <c r="N240" s="147">
        <v>38.31</v>
      </c>
      <c r="O240" s="148" t="s">
        <v>142</v>
      </c>
      <c r="P240" s="148" t="s">
        <v>142</v>
      </c>
      <c r="Q240" s="148" t="s">
        <v>142</v>
      </c>
      <c r="R240" s="148" t="s">
        <v>2064</v>
      </c>
      <c r="S240" s="148">
        <v>66.099999999999994</v>
      </c>
      <c r="T240" s="149" t="s">
        <v>84</v>
      </c>
      <c r="U240" s="148" t="s">
        <v>928</v>
      </c>
      <c r="V240" s="24"/>
      <c r="CM240"/>
      <c r="CN240"/>
      <c r="CO240"/>
      <c r="CP240"/>
      <c r="CQ240"/>
      <c r="CR240"/>
      <c r="CS240"/>
      <c r="CT240"/>
      <c r="CU240"/>
      <c r="CV240"/>
      <c r="CW240"/>
      <c r="CX240"/>
      <c r="CY240"/>
    </row>
    <row r="241" spans="2:103" s="1" customFormat="1" ht="22.5" customHeight="1" x14ac:dyDescent="0.25">
      <c r="B241" s="703">
        <v>44621</v>
      </c>
      <c r="C241" s="145">
        <v>0.91666666666666663</v>
      </c>
      <c r="D241" s="146">
        <v>51</v>
      </c>
      <c r="E241" s="147">
        <v>8.3000000000000007</v>
      </c>
      <c r="F241" s="147">
        <v>17.100000000000001</v>
      </c>
      <c r="G241" s="147">
        <v>1279</v>
      </c>
      <c r="H241" s="147">
        <v>2246</v>
      </c>
      <c r="I241" s="147">
        <v>105.2</v>
      </c>
      <c r="J241" s="147">
        <v>115</v>
      </c>
      <c r="K241" s="147" t="s">
        <v>2279</v>
      </c>
      <c r="L241" s="147">
        <v>38.42</v>
      </c>
      <c r="M241" s="685">
        <v>39</v>
      </c>
      <c r="N241" s="147">
        <v>38.54</v>
      </c>
      <c r="O241" s="148" t="s">
        <v>142</v>
      </c>
      <c r="P241" s="148" t="s">
        <v>142</v>
      </c>
      <c r="Q241" s="148" t="s">
        <v>142</v>
      </c>
      <c r="R241" s="148" t="s">
        <v>2280</v>
      </c>
      <c r="S241" s="148">
        <v>66.099999999999994</v>
      </c>
      <c r="T241" s="149" t="s">
        <v>84</v>
      </c>
      <c r="U241" s="148" t="s">
        <v>928</v>
      </c>
      <c r="V241" s="24"/>
      <c r="CM241"/>
      <c r="CN241"/>
      <c r="CO241"/>
      <c r="CP241"/>
      <c r="CQ241"/>
      <c r="CR241"/>
      <c r="CS241"/>
      <c r="CT241"/>
      <c r="CU241"/>
      <c r="CV241"/>
      <c r="CW241"/>
      <c r="CX241"/>
      <c r="CY241"/>
    </row>
    <row r="242" spans="2:103" s="1" customFormat="1" ht="21" customHeight="1" x14ac:dyDescent="0.25">
      <c r="B242" s="703">
        <v>44622</v>
      </c>
      <c r="C242" s="145">
        <v>0.91666666666666663</v>
      </c>
      <c r="D242" s="146">
        <v>52</v>
      </c>
      <c r="E242" s="147">
        <v>8.3000000000000007</v>
      </c>
      <c r="F242" s="147">
        <v>17.100000000000001</v>
      </c>
      <c r="G242" s="147">
        <v>1279</v>
      </c>
      <c r="H242" s="147">
        <v>2246</v>
      </c>
      <c r="I242" s="147">
        <v>105.2</v>
      </c>
      <c r="J242" s="147">
        <v>115</v>
      </c>
      <c r="K242" s="147" t="s">
        <v>2279</v>
      </c>
      <c r="L242" s="147">
        <v>38.42</v>
      </c>
      <c r="M242" s="685">
        <v>39</v>
      </c>
      <c r="N242" s="147">
        <v>38.54</v>
      </c>
      <c r="O242" s="148" t="s">
        <v>142</v>
      </c>
      <c r="P242" s="148" t="s">
        <v>142</v>
      </c>
      <c r="Q242" s="148" t="s">
        <v>142</v>
      </c>
      <c r="R242" s="148" t="s">
        <v>2280</v>
      </c>
      <c r="S242" s="148">
        <v>66.099999999999994</v>
      </c>
      <c r="T242" s="149" t="s">
        <v>84</v>
      </c>
      <c r="U242" s="148" t="s">
        <v>928</v>
      </c>
      <c r="V242" s="24" t="s">
        <v>2290</v>
      </c>
      <c r="CM242"/>
      <c r="CN242"/>
      <c r="CO242"/>
      <c r="CP242"/>
      <c r="CQ242"/>
      <c r="CR242"/>
      <c r="CS242"/>
      <c r="CT242"/>
      <c r="CU242"/>
      <c r="CV242"/>
      <c r="CW242"/>
      <c r="CX242"/>
      <c r="CY242"/>
    </row>
    <row r="243" spans="2:103" s="1" customFormat="1" ht="24" customHeight="1" x14ac:dyDescent="0.25">
      <c r="B243" s="703">
        <v>44623</v>
      </c>
      <c r="C243" s="145">
        <v>0.97916666666666663</v>
      </c>
      <c r="D243" s="146">
        <v>52</v>
      </c>
      <c r="E243" s="147">
        <v>7.5</v>
      </c>
      <c r="F243" s="147">
        <v>16.8</v>
      </c>
      <c r="G243" s="147">
        <v>1157</v>
      </c>
      <c r="H243" s="147">
        <v>2246</v>
      </c>
      <c r="I243" s="147">
        <v>105.2</v>
      </c>
      <c r="J243" s="147">
        <v>115</v>
      </c>
      <c r="K243" s="147" t="s">
        <v>2279</v>
      </c>
      <c r="L243" s="147">
        <v>38</v>
      </c>
      <c r="M243" s="685">
        <v>39</v>
      </c>
      <c r="N243" s="147">
        <v>36.479999999999997</v>
      </c>
      <c r="O243" s="148" t="s">
        <v>142</v>
      </c>
      <c r="P243" s="148" t="s">
        <v>142</v>
      </c>
      <c r="Q243" s="148" t="s">
        <v>142</v>
      </c>
      <c r="R243" s="148" t="s">
        <v>2291</v>
      </c>
      <c r="S243" s="148">
        <v>66.099999999999994</v>
      </c>
      <c r="T243" s="149" t="s">
        <v>84</v>
      </c>
      <c r="U243" s="148" t="s">
        <v>928</v>
      </c>
      <c r="V243" s="24"/>
      <c r="CM243"/>
      <c r="CN243"/>
      <c r="CO243"/>
      <c r="CP243"/>
      <c r="CQ243"/>
      <c r="CR243"/>
      <c r="CS243"/>
      <c r="CT243"/>
      <c r="CU243"/>
      <c r="CV243"/>
      <c r="CW243"/>
      <c r="CX243"/>
      <c r="CY243"/>
    </row>
    <row r="244" spans="2:103" s="1" customFormat="1" ht="20.25" customHeight="1" x14ac:dyDescent="0.25">
      <c r="B244" s="703">
        <v>44624</v>
      </c>
      <c r="C244" s="145">
        <v>0.9375</v>
      </c>
      <c r="D244" s="146">
        <v>52</v>
      </c>
      <c r="E244" s="147">
        <v>8.1999999999999993</v>
      </c>
      <c r="F244" s="147">
        <v>17</v>
      </c>
      <c r="G244" s="147">
        <v>1194</v>
      </c>
      <c r="H244" s="147">
        <v>2246</v>
      </c>
      <c r="I244" s="147">
        <v>106.1</v>
      </c>
      <c r="J244" s="147">
        <v>115</v>
      </c>
      <c r="K244" s="147" t="s">
        <v>2299</v>
      </c>
      <c r="L244" s="147">
        <v>38</v>
      </c>
      <c r="M244" s="685">
        <v>39</v>
      </c>
      <c r="N244" s="147">
        <v>36.479999999999997</v>
      </c>
      <c r="O244" s="148" t="s">
        <v>142</v>
      </c>
      <c r="P244" s="148" t="s">
        <v>142</v>
      </c>
      <c r="Q244" s="148" t="s">
        <v>142</v>
      </c>
      <c r="R244" s="148" t="s">
        <v>2182</v>
      </c>
      <c r="S244" s="148">
        <v>66.099999999999994</v>
      </c>
      <c r="T244" s="149" t="s">
        <v>84</v>
      </c>
      <c r="U244" s="148" t="s">
        <v>928</v>
      </c>
      <c r="V244" s="24"/>
      <c r="CM244"/>
      <c r="CN244"/>
      <c r="CO244"/>
      <c r="CP244"/>
      <c r="CQ244"/>
      <c r="CR244"/>
      <c r="CS244"/>
      <c r="CT244"/>
      <c r="CU244"/>
      <c r="CV244"/>
      <c r="CW244"/>
      <c r="CX244"/>
      <c r="CY244"/>
    </row>
    <row r="245" spans="2:103" s="1" customFormat="1" ht="15.75" x14ac:dyDescent="0.25">
      <c r="B245" s="703">
        <v>44625</v>
      </c>
      <c r="C245" s="145">
        <v>0.9375</v>
      </c>
      <c r="D245" s="146">
        <v>52</v>
      </c>
      <c r="E245" s="147">
        <v>7.5</v>
      </c>
      <c r="F245" s="147">
        <v>16.7</v>
      </c>
      <c r="G245" s="147">
        <v>1209</v>
      </c>
      <c r="H245" s="147">
        <v>2246</v>
      </c>
      <c r="I245" s="147">
        <v>104.9</v>
      </c>
      <c r="J245" s="147">
        <v>115</v>
      </c>
      <c r="K245" s="147" t="s">
        <v>2305</v>
      </c>
      <c r="L245" s="147">
        <v>38.69</v>
      </c>
      <c r="M245" s="685">
        <v>39</v>
      </c>
      <c r="N245" s="147">
        <v>40.299999999999997</v>
      </c>
      <c r="O245" s="148" t="s">
        <v>142</v>
      </c>
      <c r="P245" s="148" t="s">
        <v>142</v>
      </c>
      <c r="Q245" s="148" t="s">
        <v>142</v>
      </c>
      <c r="R245" s="148" t="s">
        <v>2175</v>
      </c>
      <c r="S245" s="148">
        <v>64.900000000000006</v>
      </c>
      <c r="T245" s="149" t="s">
        <v>84</v>
      </c>
      <c r="U245" s="148" t="s">
        <v>928</v>
      </c>
      <c r="V245" s="24"/>
      <c r="CM245"/>
      <c r="CN245"/>
      <c r="CO245"/>
      <c r="CP245"/>
      <c r="CQ245"/>
      <c r="CR245"/>
      <c r="CS245"/>
      <c r="CT245"/>
      <c r="CU245"/>
      <c r="CV245"/>
      <c r="CW245"/>
      <c r="CX245"/>
      <c r="CY245"/>
    </row>
    <row r="246" spans="2:103" s="1" customFormat="1" ht="15.75" x14ac:dyDescent="0.25">
      <c r="B246" s="703">
        <v>44626</v>
      </c>
      <c r="C246" s="145">
        <v>0.9375</v>
      </c>
      <c r="D246" s="146">
        <v>52</v>
      </c>
      <c r="E246" s="147">
        <v>8.8000000000000007</v>
      </c>
      <c r="F246" s="147">
        <v>17.3</v>
      </c>
      <c r="G246" s="147">
        <v>1229</v>
      </c>
      <c r="H246" s="147">
        <v>2198</v>
      </c>
      <c r="I246" s="147">
        <v>106.3</v>
      </c>
      <c r="J246" s="147">
        <v>118.7</v>
      </c>
      <c r="K246" s="147" t="s">
        <v>2311</v>
      </c>
      <c r="L246" s="147">
        <v>37.93</v>
      </c>
      <c r="M246" s="685">
        <v>39</v>
      </c>
      <c r="N246" s="147">
        <v>38</v>
      </c>
      <c r="O246" s="148" t="s">
        <v>142</v>
      </c>
      <c r="P246" s="148" t="s">
        <v>142</v>
      </c>
      <c r="Q246" s="148" t="s">
        <v>142</v>
      </c>
      <c r="R246" s="148" t="s">
        <v>2312</v>
      </c>
      <c r="S246" s="148">
        <v>67.3</v>
      </c>
      <c r="T246" s="149" t="s">
        <v>84</v>
      </c>
      <c r="U246" s="148" t="s">
        <v>928</v>
      </c>
      <c r="V246" s="24"/>
      <c r="CM246"/>
      <c r="CN246"/>
      <c r="CO246"/>
      <c r="CP246"/>
      <c r="CQ246"/>
      <c r="CR246"/>
      <c r="CS246"/>
      <c r="CT246"/>
      <c r="CU246"/>
      <c r="CV246"/>
      <c r="CW246"/>
      <c r="CX246"/>
      <c r="CY246"/>
    </row>
    <row r="247" spans="2:103" s="1" customFormat="1" ht="15.75" x14ac:dyDescent="0.25">
      <c r="B247" s="703">
        <v>44627</v>
      </c>
      <c r="C247" s="145">
        <v>0.9375</v>
      </c>
      <c r="D247" s="146">
        <v>52</v>
      </c>
      <c r="E247" s="147">
        <v>8.9</v>
      </c>
      <c r="F247" s="147">
        <v>17.399999999999999</v>
      </c>
      <c r="G247" s="147">
        <v>1263</v>
      </c>
      <c r="H247" s="147">
        <v>2198</v>
      </c>
      <c r="I247" s="147">
        <v>106.8</v>
      </c>
      <c r="J247" s="147">
        <v>118.7</v>
      </c>
      <c r="K247" s="147" t="s">
        <v>2319</v>
      </c>
      <c r="L247" s="147">
        <v>38.479999999999997</v>
      </c>
      <c r="M247" s="685">
        <v>39</v>
      </c>
      <c r="N247" s="147">
        <v>38.380000000000003</v>
      </c>
      <c r="O247" s="148" t="s">
        <v>142</v>
      </c>
      <c r="P247" s="148" t="s">
        <v>142</v>
      </c>
      <c r="Q247" s="148" t="s">
        <v>142</v>
      </c>
      <c r="R247" s="148" t="s">
        <v>2320</v>
      </c>
      <c r="S247" s="148">
        <v>67.7</v>
      </c>
      <c r="T247" s="149" t="s">
        <v>84</v>
      </c>
      <c r="U247" s="148" t="s">
        <v>928</v>
      </c>
      <c r="V247" s="29"/>
      <c r="CM247"/>
      <c r="CN247"/>
      <c r="CO247"/>
      <c r="CP247"/>
      <c r="CQ247"/>
      <c r="CR247"/>
      <c r="CS247"/>
      <c r="CT247"/>
      <c r="CU247"/>
      <c r="CV247"/>
      <c r="CW247"/>
      <c r="CX247"/>
      <c r="CY247"/>
    </row>
    <row r="248" spans="2:103" s="1" customFormat="1" ht="15.75" x14ac:dyDescent="0.25">
      <c r="B248" s="703">
        <v>44628</v>
      </c>
      <c r="C248" s="145">
        <v>0.9375</v>
      </c>
      <c r="D248" s="146">
        <v>52</v>
      </c>
      <c r="E248" s="147">
        <v>7.5</v>
      </c>
      <c r="F248" s="147">
        <v>16.8</v>
      </c>
      <c r="G248" s="147">
        <v>1263</v>
      </c>
      <c r="H248" s="147">
        <v>2198</v>
      </c>
      <c r="I248" s="147">
        <v>106.8</v>
      </c>
      <c r="J248" s="147">
        <v>118.7</v>
      </c>
      <c r="K248" s="147" t="s">
        <v>2319</v>
      </c>
      <c r="L248" s="147">
        <v>36.08</v>
      </c>
      <c r="M248" s="685">
        <v>39</v>
      </c>
      <c r="N248" s="147">
        <v>38.380000000000003</v>
      </c>
      <c r="O248" s="148" t="s">
        <v>142</v>
      </c>
      <c r="P248" s="148" t="s">
        <v>142</v>
      </c>
      <c r="Q248" s="148" t="s">
        <v>142</v>
      </c>
      <c r="R248" s="148" t="s">
        <v>2328</v>
      </c>
      <c r="S248" s="148">
        <v>65.2</v>
      </c>
      <c r="T248" s="149" t="s">
        <v>84</v>
      </c>
      <c r="U248" s="148" t="s">
        <v>928</v>
      </c>
      <c r="V248" s="24"/>
      <c r="CM248"/>
      <c r="CN248"/>
      <c r="CO248"/>
      <c r="CP248"/>
      <c r="CQ248"/>
      <c r="CR248"/>
      <c r="CS248"/>
      <c r="CT248"/>
      <c r="CU248"/>
      <c r="CV248"/>
      <c r="CW248"/>
      <c r="CX248"/>
      <c r="CY248"/>
    </row>
    <row r="249" spans="2:103" s="1" customFormat="1" ht="15.75" x14ac:dyDescent="0.25">
      <c r="B249" s="703">
        <v>44629</v>
      </c>
      <c r="C249" s="145">
        <v>0.9375</v>
      </c>
      <c r="D249" s="146">
        <v>52</v>
      </c>
      <c r="E249" s="147">
        <v>7.9</v>
      </c>
      <c r="F249" s="147">
        <v>16.899999999999999</v>
      </c>
      <c r="G249" s="147">
        <v>1228</v>
      </c>
      <c r="H249" s="147">
        <v>2198</v>
      </c>
      <c r="I249" s="147">
        <v>106.2</v>
      </c>
      <c r="J249" s="147">
        <v>118.7</v>
      </c>
      <c r="K249" s="147" t="s">
        <v>2319</v>
      </c>
      <c r="L249" s="147">
        <v>37.729999999999997</v>
      </c>
      <c r="M249" s="685">
        <v>39</v>
      </c>
      <c r="N249" s="147">
        <v>38.409999999999997</v>
      </c>
      <c r="O249" s="148" t="s">
        <v>142</v>
      </c>
      <c r="P249" s="148" t="s">
        <v>142</v>
      </c>
      <c r="Q249" s="148" t="s">
        <v>142</v>
      </c>
      <c r="R249" s="148" t="s">
        <v>2056</v>
      </c>
      <c r="S249" s="148">
        <v>65.7</v>
      </c>
      <c r="T249" s="149" t="s">
        <v>84</v>
      </c>
      <c r="U249" s="148" t="s">
        <v>928</v>
      </c>
      <c r="V249" s="29"/>
      <c r="CM249"/>
      <c r="CN249"/>
      <c r="CO249"/>
      <c r="CP249"/>
      <c r="CQ249"/>
      <c r="CR249"/>
      <c r="CS249"/>
      <c r="CT249"/>
      <c r="CU249"/>
      <c r="CV249"/>
      <c r="CW249"/>
      <c r="CX249"/>
      <c r="CY249"/>
    </row>
    <row r="250" spans="2:103" s="1" customFormat="1" ht="15.75" x14ac:dyDescent="0.25">
      <c r="B250" s="703">
        <v>44630</v>
      </c>
      <c r="C250" s="145">
        <v>0.95833333333333337</v>
      </c>
      <c r="D250" s="146">
        <v>52</v>
      </c>
      <c r="E250" s="147">
        <v>8.5</v>
      </c>
      <c r="F250" s="147">
        <v>17.2</v>
      </c>
      <c r="G250" s="147">
        <v>1217</v>
      </c>
      <c r="H250" s="147">
        <v>2198</v>
      </c>
      <c r="I250" s="147">
        <v>106.4</v>
      </c>
      <c r="J250" s="147">
        <v>118.7</v>
      </c>
      <c r="K250" s="147" t="s">
        <v>2319</v>
      </c>
      <c r="L250" s="147">
        <v>36.950000000000003</v>
      </c>
      <c r="M250" s="685">
        <v>39</v>
      </c>
      <c r="N250" s="147">
        <v>39.44</v>
      </c>
      <c r="O250" s="148" t="s">
        <v>142</v>
      </c>
      <c r="P250" s="148" t="s">
        <v>142</v>
      </c>
      <c r="Q250" s="148" t="s">
        <v>142</v>
      </c>
      <c r="R250" s="148" t="s">
        <v>2338</v>
      </c>
      <c r="S250" s="148">
        <v>66.5</v>
      </c>
      <c r="T250" s="149" t="s">
        <v>84</v>
      </c>
      <c r="U250" s="148" t="s">
        <v>928</v>
      </c>
      <c r="V250" s="29"/>
      <c r="CM250"/>
      <c r="CN250"/>
      <c r="CO250"/>
      <c r="CP250"/>
      <c r="CQ250"/>
      <c r="CR250"/>
      <c r="CS250"/>
      <c r="CT250"/>
      <c r="CU250"/>
      <c r="CV250"/>
      <c r="CW250"/>
      <c r="CX250"/>
      <c r="CY250"/>
    </row>
    <row r="251" spans="2:103" s="1" customFormat="1" ht="15.75" x14ac:dyDescent="0.25">
      <c r="B251" s="703">
        <v>44631</v>
      </c>
      <c r="C251" s="145">
        <v>0.95833333333333337</v>
      </c>
      <c r="D251" s="146">
        <v>52</v>
      </c>
      <c r="E251" s="147">
        <v>8.5</v>
      </c>
      <c r="F251" s="147">
        <v>17.2</v>
      </c>
      <c r="G251" s="147">
        <v>1217</v>
      </c>
      <c r="H251" s="147">
        <v>2198</v>
      </c>
      <c r="I251" s="147">
        <v>106.4</v>
      </c>
      <c r="J251" s="147">
        <v>118.7</v>
      </c>
      <c r="K251" s="147" t="s">
        <v>2319</v>
      </c>
      <c r="L251" s="147">
        <v>36.950000000000003</v>
      </c>
      <c r="M251" s="685">
        <v>39</v>
      </c>
      <c r="N251" s="147">
        <v>39.44</v>
      </c>
      <c r="O251" s="148" t="s">
        <v>142</v>
      </c>
      <c r="P251" s="148" t="s">
        <v>142</v>
      </c>
      <c r="Q251" s="148" t="s">
        <v>142</v>
      </c>
      <c r="R251" s="148" t="s">
        <v>2338</v>
      </c>
      <c r="S251" s="148">
        <v>66.5</v>
      </c>
      <c r="T251" s="149" t="s">
        <v>84</v>
      </c>
      <c r="U251" s="148" t="s">
        <v>928</v>
      </c>
      <c r="V251" s="29"/>
      <c r="CM251"/>
      <c r="CN251"/>
      <c r="CO251"/>
      <c r="CP251"/>
      <c r="CQ251"/>
      <c r="CR251"/>
      <c r="CS251"/>
      <c r="CT251"/>
      <c r="CU251"/>
      <c r="CV251"/>
      <c r="CW251"/>
      <c r="CX251"/>
      <c r="CY251"/>
    </row>
    <row r="252" spans="2:103" s="1" customFormat="1" ht="15.75" x14ac:dyDescent="0.25">
      <c r="B252" s="703">
        <v>44632</v>
      </c>
      <c r="C252" s="145">
        <v>0.97916666666666663</v>
      </c>
      <c r="D252" s="146">
        <v>52</v>
      </c>
      <c r="E252" s="147">
        <v>8.6999999999999993</v>
      </c>
      <c r="F252" s="147">
        <v>17.2</v>
      </c>
      <c r="G252" s="147">
        <v>1225</v>
      </c>
      <c r="H252" s="147">
        <v>2202</v>
      </c>
      <c r="I252" s="147">
        <v>106.7</v>
      </c>
      <c r="J252" s="147">
        <v>113.6</v>
      </c>
      <c r="K252" s="147" t="s">
        <v>2347</v>
      </c>
      <c r="L252" s="147">
        <v>37</v>
      </c>
      <c r="M252" s="685">
        <v>39</v>
      </c>
      <c r="N252" s="147">
        <v>39.56</v>
      </c>
      <c r="O252" s="148" t="s">
        <v>142</v>
      </c>
      <c r="P252" s="148" t="s">
        <v>142</v>
      </c>
      <c r="Q252" s="148" t="s">
        <v>142</v>
      </c>
      <c r="R252" s="148" t="s">
        <v>2160</v>
      </c>
      <c r="S252" s="148">
        <v>66.900000000000006</v>
      </c>
      <c r="T252" s="149" t="s">
        <v>84</v>
      </c>
      <c r="U252" s="148" t="s">
        <v>928</v>
      </c>
      <c r="V252" s="29"/>
      <c r="CM252"/>
      <c r="CN252"/>
      <c r="CO252"/>
      <c r="CP252"/>
      <c r="CQ252"/>
      <c r="CR252"/>
      <c r="CS252"/>
      <c r="CT252"/>
      <c r="CU252"/>
      <c r="CV252"/>
      <c r="CW252"/>
      <c r="CX252"/>
      <c r="CY252"/>
    </row>
    <row r="253" spans="2:103" s="1" customFormat="1" ht="15.75" x14ac:dyDescent="0.25">
      <c r="B253" s="703">
        <v>44633</v>
      </c>
      <c r="C253" s="145">
        <v>0.95833333333333337</v>
      </c>
      <c r="D253" s="146">
        <v>52</v>
      </c>
      <c r="E253" s="147">
        <v>8.9</v>
      </c>
      <c r="F253" s="147">
        <v>17.3</v>
      </c>
      <c r="G253" s="147">
        <v>1199</v>
      </c>
      <c r="H253" s="147">
        <v>2170</v>
      </c>
      <c r="I253" s="147">
        <v>105.8</v>
      </c>
      <c r="J253" s="147">
        <v>111.1</v>
      </c>
      <c r="K253" s="147" t="s">
        <v>2350</v>
      </c>
      <c r="L253" s="147">
        <v>33.25</v>
      </c>
      <c r="M253" s="685">
        <v>39</v>
      </c>
      <c r="N253" s="147">
        <v>41.77</v>
      </c>
      <c r="O253" s="148" t="s">
        <v>142</v>
      </c>
      <c r="P253" s="148" t="s">
        <v>142</v>
      </c>
      <c r="Q253" s="148" t="s">
        <v>142</v>
      </c>
      <c r="R253" s="148" t="s">
        <v>2351</v>
      </c>
      <c r="S253" s="148">
        <v>67.3</v>
      </c>
      <c r="T253" s="149" t="s">
        <v>84</v>
      </c>
      <c r="U253" s="148" t="s">
        <v>928</v>
      </c>
      <c r="V253" s="29"/>
      <c r="CM253"/>
      <c r="CN253"/>
      <c r="CO253"/>
      <c r="CP253"/>
      <c r="CQ253"/>
      <c r="CR253"/>
      <c r="CS253"/>
      <c r="CT253"/>
      <c r="CU253"/>
      <c r="CV253"/>
      <c r="CW253"/>
      <c r="CX253"/>
      <c r="CY253"/>
    </row>
    <row r="254" spans="2:103" s="1" customFormat="1" ht="15.75" x14ac:dyDescent="0.25">
      <c r="B254" s="703">
        <v>44634</v>
      </c>
      <c r="C254" s="145">
        <v>0.97916666666666663</v>
      </c>
      <c r="D254" s="146">
        <v>52</v>
      </c>
      <c r="E254" s="147">
        <v>8.6</v>
      </c>
      <c r="F254" s="147">
        <v>17.2</v>
      </c>
      <c r="G254" s="147">
        <v>1193</v>
      </c>
      <c r="H254" s="147">
        <v>2170</v>
      </c>
      <c r="I254" s="147">
        <v>105.8</v>
      </c>
      <c r="J254" s="147">
        <v>113</v>
      </c>
      <c r="K254" s="147" t="s">
        <v>2359</v>
      </c>
      <c r="L254" s="147">
        <v>37.4</v>
      </c>
      <c r="M254" s="685">
        <v>39</v>
      </c>
      <c r="N254" s="147">
        <v>38.33</v>
      </c>
      <c r="O254" s="148" t="s">
        <v>142</v>
      </c>
      <c r="P254" s="148" t="s">
        <v>142</v>
      </c>
      <c r="Q254" s="148" t="s">
        <v>142</v>
      </c>
      <c r="R254" s="148" t="s">
        <v>2360</v>
      </c>
      <c r="S254" s="148">
        <v>66.900000000000006</v>
      </c>
      <c r="T254" s="149" t="s">
        <v>84</v>
      </c>
      <c r="U254" s="148" t="s">
        <v>928</v>
      </c>
      <c r="V254" s="29"/>
      <c r="CM254"/>
      <c r="CN254"/>
      <c r="CO254"/>
      <c r="CP254"/>
      <c r="CQ254"/>
      <c r="CR254"/>
      <c r="CS254"/>
      <c r="CT254"/>
      <c r="CU254"/>
      <c r="CV254"/>
      <c r="CW254"/>
      <c r="CX254"/>
      <c r="CY254"/>
    </row>
    <row r="255" spans="2:103" s="1" customFormat="1" ht="15.75" x14ac:dyDescent="0.25">
      <c r="B255" s="703">
        <v>44635</v>
      </c>
      <c r="C255" s="145">
        <v>0.95833333333333337</v>
      </c>
      <c r="D255" s="146">
        <v>52</v>
      </c>
      <c r="E255" s="147">
        <v>7.4</v>
      </c>
      <c r="F255" s="147">
        <v>16.899999999999999</v>
      </c>
      <c r="G255" s="147">
        <v>1193</v>
      </c>
      <c r="H255" s="147">
        <v>2170</v>
      </c>
      <c r="I255" s="147">
        <v>105.8</v>
      </c>
      <c r="J255" s="147">
        <v>113.4</v>
      </c>
      <c r="K255" s="147" t="s">
        <v>2359</v>
      </c>
      <c r="L255" s="147">
        <v>37.93</v>
      </c>
      <c r="M255" s="685">
        <v>39</v>
      </c>
      <c r="N255" s="147">
        <v>39.9</v>
      </c>
      <c r="O255" s="148" t="s">
        <v>142</v>
      </c>
      <c r="P255" s="148" t="s">
        <v>142</v>
      </c>
      <c r="Q255" s="148" t="s">
        <v>142</v>
      </c>
      <c r="R255" s="148" t="s">
        <v>2004</v>
      </c>
      <c r="S255" s="148">
        <v>65.7</v>
      </c>
      <c r="T255" s="149" t="s">
        <v>84</v>
      </c>
      <c r="U255" s="148" t="s">
        <v>928</v>
      </c>
      <c r="V255" s="24"/>
      <c r="CM255"/>
      <c r="CN255"/>
      <c r="CO255"/>
      <c r="CP255"/>
      <c r="CQ255"/>
      <c r="CR255"/>
      <c r="CS255"/>
      <c r="CT255"/>
      <c r="CU255"/>
      <c r="CV255"/>
      <c r="CW255"/>
      <c r="CX255"/>
      <c r="CY255"/>
    </row>
    <row r="256" spans="2:103" s="1" customFormat="1" ht="15.75" x14ac:dyDescent="0.25">
      <c r="B256" s="703">
        <v>44636</v>
      </c>
      <c r="C256" s="145">
        <v>0.95833333333333337</v>
      </c>
      <c r="D256" s="146">
        <v>52</v>
      </c>
      <c r="E256" s="147">
        <v>8.5</v>
      </c>
      <c r="F256" s="147">
        <v>17.100000000000001</v>
      </c>
      <c r="G256" s="147">
        <v>1193</v>
      </c>
      <c r="H256" s="147">
        <v>2170</v>
      </c>
      <c r="I256" s="147">
        <v>105.8</v>
      </c>
      <c r="J256" s="147">
        <v>113.4</v>
      </c>
      <c r="K256" s="147" t="s">
        <v>2359</v>
      </c>
      <c r="L256" s="147">
        <v>37.26</v>
      </c>
      <c r="M256" s="685">
        <v>39</v>
      </c>
      <c r="N256" s="147">
        <v>39.479999999999997</v>
      </c>
      <c r="O256" s="148" t="s">
        <v>142</v>
      </c>
      <c r="P256" s="148" t="s">
        <v>142</v>
      </c>
      <c r="Q256" s="148" t="s">
        <v>142</v>
      </c>
      <c r="R256" s="148" t="s">
        <v>2182</v>
      </c>
      <c r="S256" s="148">
        <v>66.5</v>
      </c>
      <c r="T256" s="149" t="s">
        <v>84</v>
      </c>
      <c r="U256" s="148" t="s">
        <v>928</v>
      </c>
      <c r="V256" s="24"/>
      <c r="CM256"/>
      <c r="CN256"/>
      <c r="CO256"/>
      <c r="CP256"/>
      <c r="CQ256"/>
      <c r="CR256"/>
      <c r="CS256"/>
      <c r="CT256"/>
      <c r="CU256"/>
      <c r="CV256"/>
      <c r="CW256"/>
      <c r="CX256"/>
      <c r="CY256"/>
    </row>
    <row r="257" spans="2:103" s="1" customFormat="1" ht="15.75" x14ac:dyDescent="0.25">
      <c r="B257" s="703">
        <v>44637</v>
      </c>
      <c r="C257" s="145">
        <v>0.95833333333333337</v>
      </c>
      <c r="D257" s="146">
        <v>52</v>
      </c>
      <c r="E257" s="147">
        <v>8.6</v>
      </c>
      <c r="F257" s="147">
        <v>17.2</v>
      </c>
      <c r="G257" s="147">
        <v>1193</v>
      </c>
      <c r="H257" s="147">
        <v>2170</v>
      </c>
      <c r="I257" s="147">
        <v>105.8</v>
      </c>
      <c r="J257" s="147">
        <v>113.4</v>
      </c>
      <c r="K257" s="147" t="s">
        <v>2359</v>
      </c>
      <c r="L257" s="147">
        <v>37.33</v>
      </c>
      <c r="M257" s="685">
        <v>39</v>
      </c>
      <c r="N257" s="147">
        <v>40.130000000000003</v>
      </c>
      <c r="O257" s="148" t="s">
        <v>142</v>
      </c>
      <c r="P257" s="148" t="s">
        <v>142</v>
      </c>
      <c r="Q257" s="148" t="s">
        <v>142</v>
      </c>
      <c r="R257" s="148" t="s">
        <v>2160</v>
      </c>
      <c r="S257" s="148">
        <v>66.900000000000006</v>
      </c>
      <c r="T257" s="149" t="s">
        <v>84</v>
      </c>
      <c r="U257" s="148" t="s">
        <v>928</v>
      </c>
      <c r="V257" s="24"/>
      <c r="CM257"/>
      <c r="CN257"/>
      <c r="CO257"/>
      <c r="CP257"/>
      <c r="CQ257"/>
      <c r="CR257"/>
      <c r="CS257"/>
      <c r="CT257"/>
      <c r="CU257"/>
      <c r="CV257"/>
      <c r="CW257"/>
      <c r="CX257"/>
      <c r="CY257"/>
    </row>
    <row r="258" spans="2:103" s="1" customFormat="1" ht="15.75" x14ac:dyDescent="0.25">
      <c r="B258" s="703">
        <v>44638</v>
      </c>
      <c r="C258" s="145">
        <v>0.95833333333333337</v>
      </c>
      <c r="D258" s="146">
        <v>52</v>
      </c>
      <c r="E258" s="147">
        <v>9.1</v>
      </c>
      <c r="F258" s="147">
        <v>17.399999999999999</v>
      </c>
      <c r="G258" s="147">
        <v>1193</v>
      </c>
      <c r="H258" s="147">
        <v>2170</v>
      </c>
      <c r="I258" s="147">
        <v>105.8</v>
      </c>
      <c r="J258" s="147">
        <v>113.4</v>
      </c>
      <c r="K258" s="147" t="s">
        <v>2359</v>
      </c>
      <c r="L258" s="147">
        <v>36.76</v>
      </c>
      <c r="M258" s="685">
        <v>39</v>
      </c>
      <c r="N258" s="147">
        <v>40.17</v>
      </c>
      <c r="O258" s="148" t="s">
        <v>142</v>
      </c>
      <c r="P258" s="148" t="s">
        <v>142</v>
      </c>
      <c r="Q258" s="148" t="s">
        <v>142</v>
      </c>
      <c r="R258" s="148" t="s">
        <v>2379</v>
      </c>
      <c r="S258" s="148">
        <v>67.7</v>
      </c>
      <c r="T258" s="149" t="s">
        <v>84</v>
      </c>
      <c r="U258" s="148" t="s">
        <v>928</v>
      </c>
      <c r="V258" s="24"/>
      <c r="CM258"/>
      <c r="CN258"/>
      <c r="CO258"/>
      <c r="CP258"/>
      <c r="CQ258"/>
      <c r="CR258"/>
      <c r="CS258"/>
      <c r="CT258"/>
      <c r="CU258"/>
      <c r="CV258"/>
      <c r="CW258"/>
      <c r="CX258"/>
      <c r="CY258"/>
    </row>
    <row r="259" spans="2:103" s="1" customFormat="1" ht="15.75" x14ac:dyDescent="0.25">
      <c r="B259" s="703">
        <v>44639</v>
      </c>
      <c r="C259" s="145">
        <v>0.95833333333333337</v>
      </c>
      <c r="D259" s="146">
        <v>52</v>
      </c>
      <c r="E259" s="147">
        <v>7.4</v>
      </c>
      <c r="F259" s="147">
        <v>16.8</v>
      </c>
      <c r="G259" s="147">
        <v>1193</v>
      </c>
      <c r="H259" s="147">
        <v>2170</v>
      </c>
      <c r="I259" s="147">
        <v>105.8</v>
      </c>
      <c r="J259" s="147">
        <v>113.4</v>
      </c>
      <c r="K259" s="147" t="s">
        <v>2359</v>
      </c>
      <c r="L259" s="147">
        <v>37.78</v>
      </c>
      <c r="M259" s="685">
        <v>39</v>
      </c>
      <c r="N259" s="147">
        <v>37.65</v>
      </c>
      <c r="O259" s="148" t="s">
        <v>142</v>
      </c>
      <c r="P259" s="148" t="s">
        <v>142</v>
      </c>
      <c r="Q259" s="148" t="s">
        <v>142</v>
      </c>
      <c r="R259" s="148" t="s">
        <v>2328</v>
      </c>
      <c r="S259" s="148">
        <v>65.3</v>
      </c>
      <c r="T259" s="149" t="s">
        <v>84</v>
      </c>
      <c r="U259" s="148" t="s">
        <v>928</v>
      </c>
      <c r="V259" s="24" t="s">
        <v>2387</v>
      </c>
      <c r="CM259"/>
      <c r="CN259"/>
      <c r="CO259"/>
      <c r="CP259"/>
      <c r="CQ259"/>
      <c r="CR259"/>
      <c r="CS259"/>
      <c r="CT259"/>
      <c r="CU259"/>
      <c r="CV259"/>
      <c r="CW259"/>
      <c r="CX259"/>
      <c r="CY259"/>
    </row>
    <row r="260" spans="2:103" s="1" customFormat="1" ht="15.75" x14ac:dyDescent="0.25">
      <c r="B260" s="703">
        <v>44640</v>
      </c>
      <c r="C260" s="145">
        <v>0.9375</v>
      </c>
      <c r="D260" s="146">
        <v>52</v>
      </c>
      <c r="E260" s="147">
        <v>7.5</v>
      </c>
      <c r="F260" s="147">
        <v>16.899999999999999</v>
      </c>
      <c r="G260" s="147">
        <v>1193</v>
      </c>
      <c r="H260" s="147">
        <v>2170</v>
      </c>
      <c r="I260" s="147">
        <v>105.8</v>
      </c>
      <c r="J260" s="147">
        <v>113.4</v>
      </c>
      <c r="K260" s="147" t="s">
        <v>2359</v>
      </c>
      <c r="L260" s="147">
        <v>36.69</v>
      </c>
      <c r="M260" s="685">
        <v>39</v>
      </c>
      <c r="N260" s="147">
        <v>41.09</v>
      </c>
      <c r="O260" s="148" t="s">
        <v>142</v>
      </c>
      <c r="P260" s="148" t="s">
        <v>142</v>
      </c>
      <c r="Q260" s="148" t="s">
        <v>142</v>
      </c>
      <c r="R260" s="148" t="s">
        <v>2109</v>
      </c>
      <c r="S260" s="148">
        <v>65.7</v>
      </c>
      <c r="T260" s="149" t="s">
        <v>84</v>
      </c>
      <c r="U260" s="148" t="s">
        <v>928</v>
      </c>
      <c r="V260" s="24"/>
      <c r="CM260"/>
      <c r="CN260"/>
      <c r="CO260"/>
      <c r="CP260"/>
      <c r="CQ260"/>
      <c r="CR260"/>
      <c r="CS260"/>
      <c r="CT260"/>
      <c r="CU260"/>
      <c r="CV260"/>
      <c r="CW260"/>
      <c r="CX260"/>
      <c r="CY260"/>
    </row>
    <row r="261" spans="2:103" s="1" customFormat="1" ht="15.75" x14ac:dyDescent="0.25">
      <c r="B261" s="703">
        <v>44641</v>
      </c>
      <c r="C261" s="145">
        <v>0.95833333333333337</v>
      </c>
      <c r="D261" s="146">
        <v>52</v>
      </c>
      <c r="E261" s="147">
        <v>7.6</v>
      </c>
      <c r="F261" s="147">
        <v>16.899999999999999</v>
      </c>
      <c r="G261" s="147">
        <v>1193</v>
      </c>
      <c r="H261" s="147">
        <v>2170</v>
      </c>
      <c r="I261" s="147">
        <v>105.8</v>
      </c>
      <c r="J261" s="147">
        <v>113.4</v>
      </c>
      <c r="K261" s="147" t="s">
        <v>2359</v>
      </c>
      <c r="L261" s="147">
        <v>35.83</v>
      </c>
      <c r="M261" s="685">
        <v>39</v>
      </c>
      <c r="N261" s="147">
        <v>38.33</v>
      </c>
      <c r="O261" s="148" t="s">
        <v>142</v>
      </c>
      <c r="P261" s="148" t="s">
        <v>142</v>
      </c>
      <c r="Q261" s="148" t="s">
        <v>142</v>
      </c>
      <c r="R261" s="148" t="s">
        <v>2216</v>
      </c>
      <c r="S261" s="148">
        <v>65.7</v>
      </c>
      <c r="T261" s="149" t="s">
        <v>84</v>
      </c>
      <c r="U261" s="148" t="s">
        <v>928</v>
      </c>
      <c r="V261" s="24"/>
      <c r="CM261"/>
      <c r="CN261"/>
      <c r="CO261"/>
      <c r="CP261"/>
      <c r="CQ261"/>
      <c r="CR261"/>
      <c r="CS261"/>
      <c r="CT261"/>
      <c r="CU261"/>
      <c r="CV261"/>
      <c r="CW261"/>
      <c r="CX261"/>
      <c r="CY261"/>
    </row>
    <row r="262" spans="2:103" s="1" customFormat="1" ht="15.75" x14ac:dyDescent="0.25">
      <c r="B262" s="703">
        <v>44642</v>
      </c>
      <c r="C262" s="145">
        <v>0.9375</v>
      </c>
      <c r="D262" s="146">
        <v>52</v>
      </c>
      <c r="E262" s="147">
        <v>8.3000000000000007</v>
      </c>
      <c r="F262" s="147">
        <v>17.100000000000001</v>
      </c>
      <c r="G262" s="147">
        <v>1193</v>
      </c>
      <c r="H262" s="147">
        <v>2170</v>
      </c>
      <c r="I262" s="147">
        <v>105.8</v>
      </c>
      <c r="J262" s="147">
        <v>113.4</v>
      </c>
      <c r="K262" s="147" t="s">
        <v>2359</v>
      </c>
      <c r="L262" s="147">
        <v>38.78</v>
      </c>
      <c r="M262" s="685">
        <v>39</v>
      </c>
      <c r="N262" s="147">
        <v>39.79</v>
      </c>
      <c r="O262" s="148" t="s">
        <v>142</v>
      </c>
      <c r="P262" s="148" t="s">
        <v>142</v>
      </c>
      <c r="Q262" s="148" t="s">
        <v>142</v>
      </c>
      <c r="R262" s="148" t="s">
        <v>2338</v>
      </c>
      <c r="S262" s="148">
        <v>66.5</v>
      </c>
      <c r="T262" s="149" t="s">
        <v>84</v>
      </c>
      <c r="U262" s="148" t="s">
        <v>928</v>
      </c>
      <c r="V262" s="24"/>
      <c r="CM262"/>
      <c r="CN262"/>
      <c r="CO262"/>
      <c r="CP262"/>
      <c r="CQ262"/>
      <c r="CR262"/>
      <c r="CS262"/>
      <c r="CT262"/>
      <c r="CU262"/>
      <c r="CV262"/>
      <c r="CW262"/>
      <c r="CX262"/>
      <c r="CY262"/>
    </row>
    <row r="263" spans="2:103" s="1" customFormat="1" ht="15.75" x14ac:dyDescent="0.25">
      <c r="B263" s="703">
        <v>44643</v>
      </c>
      <c r="C263" s="145">
        <v>0.9375</v>
      </c>
      <c r="D263" s="146">
        <v>52</v>
      </c>
      <c r="E263" s="147">
        <v>8.3000000000000007</v>
      </c>
      <c r="F263" s="147">
        <v>17.100000000000001</v>
      </c>
      <c r="G263" s="147">
        <v>1193</v>
      </c>
      <c r="H263" s="147">
        <v>2170</v>
      </c>
      <c r="I263" s="147">
        <v>105.8</v>
      </c>
      <c r="J263" s="147">
        <v>113.4</v>
      </c>
      <c r="K263" s="147" t="s">
        <v>2359</v>
      </c>
      <c r="L263" s="147">
        <v>38.78</v>
      </c>
      <c r="M263" s="685">
        <v>39</v>
      </c>
      <c r="N263" s="147">
        <v>39.79</v>
      </c>
      <c r="O263" s="148" t="s">
        <v>142</v>
      </c>
      <c r="P263" s="148" t="s">
        <v>142</v>
      </c>
      <c r="Q263" s="148" t="s">
        <v>142</v>
      </c>
      <c r="R263" s="148" t="s">
        <v>2338</v>
      </c>
      <c r="S263" s="148">
        <v>66.5</v>
      </c>
      <c r="T263" s="149" t="s">
        <v>84</v>
      </c>
      <c r="U263" s="148" t="s">
        <v>928</v>
      </c>
      <c r="V263" s="24"/>
      <c r="CM263"/>
      <c r="CN263"/>
      <c r="CO263"/>
      <c r="CP263"/>
      <c r="CQ263"/>
      <c r="CR263"/>
      <c r="CS263"/>
      <c r="CT263"/>
      <c r="CU263"/>
      <c r="CV263"/>
      <c r="CW263"/>
      <c r="CX263"/>
      <c r="CY263"/>
    </row>
    <row r="264" spans="2:103" s="1" customFormat="1" ht="15.75" x14ac:dyDescent="0.25">
      <c r="B264" s="703">
        <v>44644</v>
      </c>
      <c r="C264" s="145">
        <v>0.95833333333333337</v>
      </c>
      <c r="D264" s="146">
        <v>52</v>
      </c>
      <c r="E264" s="147">
        <v>7.5</v>
      </c>
      <c r="F264" s="147">
        <v>16.899999999999999</v>
      </c>
      <c r="G264" s="147">
        <v>1193</v>
      </c>
      <c r="H264" s="147">
        <v>2170</v>
      </c>
      <c r="I264" s="147">
        <v>105.8</v>
      </c>
      <c r="J264" s="147">
        <v>113.4</v>
      </c>
      <c r="K264" s="147" t="s">
        <v>2359</v>
      </c>
      <c r="L264" s="147">
        <v>37.340000000000003</v>
      </c>
      <c r="M264" s="685">
        <v>39</v>
      </c>
      <c r="N264" s="147">
        <v>38.1</v>
      </c>
      <c r="O264" s="148" t="s">
        <v>142</v>
      </c>
      <c r="P264" s="148" t="s">
        <v>142</v>
      </c>
      <c r="Q264" s="148" t="s">
        <v>142</v>
      </c>
      <c r="R264" s="148" t="s">
        <v>2402</v>
      </c>
      <c r="S264" s="148">
        <v>65.7</v>
      </c>
      <c r="T264" s="149" t="s">
        <v>84</v>
      </c>
      <c r="U264" s="148" t="s">
        <v>928</v>
      </c>
      <c r="V264" s="24"/>
      <c r="CM264"/>
      <c r="CN264"/>
      <c r="CO264"/>
      <c r="CP264"/>
      <c r="CQ264"/>
      <c r="CR264"/>
      <c r="CS264"/>
      <c r="CT264"/>
      <c r="CU264"/>
      <c r="CV264"/>
      <c r="CW264"/>
      <c r="CX264"/>
      <c r="CY264"/>
    </row>
    <row r="265" spans="2:103" s="1" customFormat="1" ht="15.75" x14ac:dyDescent="0.25">
      <c r="B265" s="703">
        <v>44645</v>
      </c>
      <c r="C265" s="145">
        <v>0.95833333333333337</v>
      </c>
      <c r="D265" s="146">
        <v>52</v>
      </c>
      <c r="E265" s="147">
        <v>7.4</v>
      </c>
      <c r="F265" s="147">
        <v>16.899999999999999</v>
      </c>
      <c r="G265" s="147">
        <v>1193</v>
      </c>
      <c r="H265" s="147">
        <v>2170</v>
      </c>
      <c r="I265" s="147">
        <v>105.8</v>
      </c>
      <c r="J265" s="147">
        <v>113.4</v>
      </c>
      <c r="K265" s="147" t="s">
        <v>2359</v>
      </c>
      <c r="L265" s="147">
        <v>37.43</v>
      </c>
      <c r="M265" s="685">
        <v>39</v>
      </c>
      <c r="N265" s="147">
        <v>39.17</v>
      </c>
      <c r="O265" s="148" t="s">
        <v>142</v>
      </c>
      <c r="P265" s="148" t="s">
        <v>142</v>
      </c>
      <c r="Q265" s="148" t="s">
        <v>142</v>
      </c>
      <c r="R265" s="148" t="s">
        <v>2004</v>
      </c>
      <c r="S265" s="148">
        <v>65.3</v>
      </c>
      <c r="T265" s="149" t="s">
        <v>84</v>
      </c>
      <c r="U265" s="148" t="s">
        <v>928</v>
      </c>
      <c r="V265" s="23"/>
      <c r="CM265"/>
      <c r="CN265"/>
      <c r="CO265"/>
      <c r="CP265"/>
      <c r="CQ265"/>
      <c r="CR265"/>
      <c r="CS265"/>
      <c r="CT265"/>
      <c r="CU265"/>
      <c r="CV265"/>
      <c r="CW265"/>
      <c r="CX265"/>
      <c r="CY265"/>
    </row>
    <row r="266" spans="2:103" s="1" customFormat="1" ht="15.75" x14ac:dyDescent="0.25">
      <c r="B266" s="703">
        <v>44646</v>
      </c>
      <c r="C266" s="145">
        <v>0.95833333333333337</v>
      </c>
      <c r="D266" s="146">
        <v>52</v>
      </c>
      <c r="E266" s="147">
        <v>7.4</v>
      </c>
      <c r="F266" s="147">
        <v>16.899999999999999</v>
      </c>
      <c r="G266" s="147">
        <v>1193</v>
      </c>
      <c r="H266" s="147">
        <v>2170</v>
      </c>
      <c r="I266" s="147">
        <v>105.8</v>
      </c>
      <c r="J266" s="147">
        <v>113.4</v>
      </c>
      <c r="K266" s="147" t="s">
        <v>2359</v>
      </c>
      <c r="L266" s="147">
        <v>37.43</v>
      </c>
      <c r="M266" s="685">
        <v>39</v>
      </c>
      <c r="N266" s="147">
        <v>39.17</v>
      </c>
      <c r="O266" s="148" t="s">
        <v>142</v>
      </c>
      <c r="P266" s="148" t="s">
        <v>142</v>
      </c>
      <c r="Q266" s="148" t="s">
        <v>142</v>
      </c>
      <c r="R266" s="148" t="s">
        <v>2004</v>
      </c>
      <c r="S266" s="148">
        <v>65.3</v>
      </c>
      <c r="T266" s="149" t="s">
        <v>84</v>
      </c>
      <c r="U266" s="148" t="s">
        <v>928</v>
      </c>
      <c r="V266" s="23"/>
      <c r="CM266"/>
      <c r="CN266"/>
      <c r="CO266"/>
      <c r="CP266"/>
      <c r="CQ266"/>
      <c r="CR266"/>
      <c r="CS266"/>
      <c r="CT266"/>
      <c r="CU266"/>
      <c r="CV266"/>
      <c r="CW266"/>
      <c r="CX266"/>
      <c r="CY266"/>
    </row>
    <row r="267" spans="2:103" s="1" customFormat="1" ht="15.75" x14ac:dyDescent="0.25">
      <c r="B267" s="703">
        <v>44647</v>
      </c>
      <c r="C267" s="145">
        <v>0.91666666666666663</v>
      </c>
      <c r="D267" s="146">
        <v>52</v>
      </c>
      <c r="E267" s="147">
        <v>8.8000000000000007</v>
      </c>
      <c r="F267" s="147">
        <v>17.3</v>
      </c>
      <c r="G267" s="147">
        <v>1193</v>
      </c>
      <c r="H267" s="147">
        <v>2170</v>
      </c>
      <c r="I267" s="147">
        <v>105.8</v>
      </c>
      <c r="J267" s="147">
        <v>113.4</v>
      </c>
      <c r="K267" s="147" t="s">
        <v>2359</v>
      </c>
      <c r="L267" s="147">
        <v>38.049999999999997</v>
      </c>
      <c r="M267" s="685">
        <v>39</v>
      </c>
      <c r="N267" s="147">
        <v>39.369999999999997</v>
      </c>
      <c r="O267" s="148" t="s">
        <v>142</v>
      </c>
      <c r="P267" s="148" t="s">
        <v>142</v>
      </c>
      <c r="Q267" s="148" t="s">
        <v>142</v>
      </c>
      <c r="R267" s="148" t="s">
        <v>2312</v>
      </c>
      <c r="S267" s="148">
        <v>67.3</v>
      </c>
      <c r="T267" s="149" t="s">
        <v>84</v>
      </c>
      <c r="U267" s="148" t="s">
        <v>928</v>
      </c>
      <c r="V267" s="24"/>
      <c r="CM267"/>
      <c r="CN267"/>
      <c r="CO267"/>
      <c r="CP267"/>
      <c r="CQ267"/>
      <c r="CR267"/>
      <c r="CS267"/>
      <c r="CT267"/>
      <c r="CU267"/>
      <c r="CV267"/>
      <c r="CW267"/>
      <c r="CX267"/>
      <c r="CY267"/>
    </row>
    <row r="268" spans="2:103" s="1" customFormat="1" ht="15.75" x14ac:dyDescent="0.25">
      <c r="B268" s="703">
        <v>44648</v>
      </c>
      <c r="C268" s="145">
        <v>0.91666666666666663</v>
      </c>
      <c r="D268" s="146">
        <v>52</v>
      </c>
      <c r="E268" s="147">
        <v>8.6</v>
      </c>
      <c r="F268" s="147">
        <v>17.2</v>
      </c>
      <c r="G268" s="147">
        <v>1193</v>
      </c>
      <c r="H268" s="147">
        <v>2170</v>
      </c>
      <c r="I268" s="147">
        <v>105.8</v>
      </c>
      <c r="J268" s="147">
        <v>113.4</v>
      </c>
      <c r="K268" s="147" t="s">
        <v>2359</v>
      </c>
      <c r="L268" s="147">
        <v>37.89</v>
      </c>
      <c r="M268" s="685">
        <v>39</v>
      </c>
      <c r="N268" s="147">
        <v>38.159999999999997</v>
      </c>
      <c r="O268" s="148" t="s">
        <v>142</v>
      </c>
      <c r="P268" s="148" t="s">
        <v>142</v>
      </c>
      <c r="Q268" s="148" t="s">
        <v>142</v>
      </c>
      <c r="R268" s="148" t="s">
        <v>2415</v>
      </c>
      <c r="S268" s="148">
        <v>66.5</v>
      </c>
      <c r="T268" s="149" t="s">
        <v>84</v>
      </c>
      <c r="U268" s="148" t="s">
        <v>928</v>
      </c>
      <c r="V268" s="24"/>
      <c r="CM268"/>
      <c r="CN268"/>
      <c r="CO268"/>
      <c r="CP268"/>
      <c r="CQ268"/>
      <c r="CR268"/>
      <c r="CS268"/>
      <c r="CT268"/>
      <c r="CU268"/>
      <c r="CV268"/>
      <c r="CW268"/>
      <c r="CX268"/>
      <c r="CY268"/>
    </row>
    <row r="269" spans="2:103" s="1" customFormat="1" ht="15.75" x14ac:dyDescent="0.25">
      <c r="B269" s="703">
        <v>44649</v>
      </c>
      <c r="C269" s="145">
        <v>0.91666666666666663</v>
      </c>
      <c r="D269" s="146">
        <v>52</v>
      </c>
      <c r="E269" s="147">
        <v>7.5</v>
      </c>
      <c r="F269" s="147">
        <v>16.8</v>
      </c>
      <c r="G269" s="147">
        <v>1193</v>
      </c>
      <c r="H269" s="147">
        <v>2170</v>
      </c>
      <c r="I269" s="147">
        <v>105.8</v>
      </c>
      <c r="J269" s="147">
        <v>113.4</v>
      </c>
      <c r="K269" s="147" t="s">
        <v>2359</v>
      </c>
      <c r="L269" s="147">
        <v>39.270000000000003</v>
      </c>
      <c r="M269" s="685">
        <v>39</v>
      </c>
      <c r="N269" s="147">
        <v>38.380000000000003</v>
      </c>
      <c r="O269" s="148" t="s">
        <v>142</v>
      </c>
      <c r="P269" s="148" t="s">
        <v>142</v>
      </c>
      <c r="Q269" s="148" t="s">
        <v>142</v>
      </c>
      <c r="R269" s="148" t="s">
        <v>2328</v>
      </c>
      <c r="S269" s="148">
        <v>65.3</v>
      </c>
      <c r="T269" s="149" t="s">
        <v>84</v>
      </c>
      <c r="U269" s="148" t="s">
        <v>928</v>
      </c>
      <c r="V269" s="24"/>
      <c r="CM269"/>
      <c r="CN269"/>
      <c r="CO269"/>
      <c r="CP269"/>
      <c r="CQ269"/>
      <c r="CR269"/>
      <c r="CS269"/>
      <c r="CT269"/>
      <c r="CU269"/>
      <c r="CV269"/>
      <c r="CW269"/>
      <c r="CX269"/>
      <c r="CY269"/>
    </row>
    <row r="270" spans="2:103" s="1" customFormat="1" ht="15.75" x14ac:dyDescent="0.25">
      <c r="B270" s="703">
        <v>44650</v>
      </c>
      <c r="C270" s="145">
        <v>0.91666666666666663</v>
      </c>
      <c r="D270" s="146">
        <v>52</v>
      </c>
      <c r="E270" s="147">
        <v>7.5</v>
      </c>
      <c r="F270" s="147">
        <v>16.8</v>
      </c>
      <c r="G270" s="147">
        <v>1193</v>
      </c>
      <c r="H270" s="147">
        <v>2170</v>
      </c>
      <c r="I270" s="147">
        <v>105.8</v>
      </c>
      <c r="J270" s="147">
        <v>113.4</v>
      </c>
      <c r="K270" s="147" t="s">
        <v>2359</v>
      </c>
      <c r="L270" s="147">
        <v>39.15</v>
      </c>
      <c r="M270" s="685">
        <v>39</v>
      </c>
      <c r="N270" s="147">
        <v>38.03</v>
      </c>
      <c r="O270" s="148" t="s">
        <v>142</v>
      </c>
      <c r="P270" s="148" t="s">
        <v>142</v>
      </c>
      <c r="Q270" s="148" t="s">
        <v>142</v>
      </c>
      <c r="R270" s="148" t="s">
        <v>2004</v>
      </c>
      <c r="S270" s="148">
        <v>65.3</v>
      </c>
      <c r="T270" s="149" t="s">
        <v>84</v>
      </c>
      <c r="U270" s="148" t="s">
        <v>928</v>
      </c>
      <c r="V270" s="24"/>
      <c r="CM270"/>
      <c r="CN270"/>
      <c r="CO270"/>
      <c r="CP270"/>
      <c r="CQ270"/>
      <c r="CR270"/>
      <c r="CS270"/>
      <c r="CT270"/>
      <c r="CU270"/>
      <c r="CV270"/>
      <c r="CW270"/>
      <c r="CX270"/>
      <c r="CY270"/>
    </row>
    <row r="271" spans="2:103" s="1" customFormat="1" ht="15.75" x14ac:dyDescent="0.25">
      <c r="B271" s="703">
        <v>44651</v>
      </c>
      <c r="C271" s="145">
        <v>0.97916666666666663</v>
      </c>
      <c r="D271" s="146">
        <v>52</v>
      </c>
      <c r="E271" s="147">
        <v>8.6</v>
      </c>
      <c r="F271" s="147">
        <v>17.2</v>
      </c>
      <c r="G271" s="147">
        <v>1271</v>
      </c>
      <c r="H271" s="147">
        <v>2248</v>
      </c>
      <c r="I271" s="147">
        <v>104.7</v>
      </c>
      <c r="J271" s="147">
        <v>118.5</v>
      </c>
      <c r="K271" s="147" t="s">
        <v>2434</v>
      </c>
      <c r="L271" s="147">
        <v>39.869999999999997</v>
      </c>
      <c r="M271" s="685">
        <v>39</v>
      </c>
      <c r="N271" s="147">
        <v>38.14</v>
      </c>
      <c r="O271" s="148" t="s">
        <v>142</v>
      </c>
      <c r="P271" s="148" t="s">
        <v>142</v>
      </c>
      <c r="Q271" s="148" t="s">
        <v>142</v>
      </c>
      <c r="R271" s="148" t="s">
        <v>2160</v>
      </c>
      <c r="S271" s="148">
        <v>66.900000000000006</v>
      </c>
      <c r="T271" s="149" t="s">
        <v>84</v>
      </c>
      <c r="U271" s="148" t="s">
        <v>928</v>
      </c>
      <c r="V271" s="24"/>
      <c r="CM271"/>
      <c r="CN271"/>
      <c r="CO271"/>
      <c r="CP271"/>
      <c r="CQ271"/>
      <c r="CR271"/>
      <c r="CS271"/>
      <c r="CT271"/>
      <c r="CU271"/>
      <c r="CV271"/>
      <c r="CW271"/>
      <c r="CX271"/>
      <c r="CY271"/>
    </row>
    <row r="272" spans="2:103" s="1" customFormat="1" ht="15.75" x14ac:dyDescent="0.25">
      <c r="B272" s="703">
        <v>44652</v>
      </c>
      <c r="C272" s="145">
        <v>0.97916666666666663</v>
      </c>
      <c r="D272" s="146">
        <v>52</v>
      </c>
      <c r="E272" s="147">
        <v>9</v>
      </c>
      <c r="F272" s="147">
        <v>17.399999999999999</v>
      </c>
      <c r="G272" s="147">
        <v>1248</v>
      </c>
      <c r="H272" s="147">
        <v>2249</v>
      </c>
      <c r="I272" s="147">
        <v>106.6</v>
      </c>
      <c r="J272" s="147">
        <v>111.3</v>
      </c>
      <c r="K272" s="147" t="s">
        <v>2454</v>
      </c>
      <c r="L272" s="147">
        <v>38.200000000000003</v>
      </c>
      <c r="M272" s="685">
        <v>39</v>
      </c>
      <c r="N272" s="147">
        <v>36.78</v>
      </c>
      <c r="O272" s="148" t="s">
        <v>142</v>
      </c>
      <c r="P272" s="148" t="s">
        <v>142</v>
      </c>
      <c r="Q272" s="148" t="s">
        <v>142</v>
      </c>
      <c r="R272" s="148" t="s">
        <v>2320</v>
      </c>
      <c r="S272" s="148">
        <v>67.7</v>
      </c>
      <c r="T272" s="149" t="s">
        <v>84</v>
      </c>
      <c r="U272" s="148" t="s">
        <v>928</v>
      </c>
      <c r="V272" s="24"/>
      <c r="CM272"/>
      <c r="CN272"/>
      <c r="CO272"/>
      <c r="CP272"/>
      <c r="CQ272"/>
      <c r="CR272"/>
      <c r="CS272"/>
      <c r="CT272"/>
      <c r="CU272"/>
      <c r="CV272"/>
      <c r="CW272"/>
      <c r="CX272"/>
      <c r="CY272"/>
    </row>
    <row r="273" spans="2:103" s="1" customFormat="1" ht="23.25" customHeight="1" x14ac:dyDescent="0.25">
      <c r="B273" s="728">
        <v>44653</v>
      </c>
      <c r="C273" s="145">
        <v>0.89583333333333337</v>
      </c>
      <c r="D273" s="146">
        <v>52</v>
      </c>
      <c r="E273" s="147">
        <v>7.4</v>
      </c>
      <c r="F273" s="147">
        <v>16.7</v>
      </c>
      <c r="G273" s="147">
        <v>1192</v>
      </c>
      <c r="H273" s="147">
        <v>2170</v>
      </c>
      <c r="I273" s="147">
        <v>105.5</v>
      </c>
      <c r="J273" s="147">
        <v>116.7</v>
      </c>
      <c r="K273" s="147" t="s">
        <v>2459</v>
      </c>
      <c r="L273" s="147">
        <v>36.81</v>
      </c>
      <c r="M273" s="685">
        <v>38.5</v>
      </c>
      <c r="N273" s="147">
        <v>40.630000000000003</v>
      </c>
      <c r="O273" s="148" t="s">
        <v>142</v>
      </c>
      <c r="P273" s="148" t="s">
        <v>142</v>
      </c>
      <c r="Q273" s="148" t="s">
        <v>142</v>
      </c>
      <c r="R273" s="148" t="s">
        <v>2004</v>
      </c>
      <c r="S273" s="148">
        <v>65.3</v>
      </c>
      <c r="T273" s="149" t="s">
        <v>84</v>
      </c>
      <c r="U273" s="148" t="s">
        <v>236</v>
      </c>
      <c r="V273" s="24"/>
      <c r="CM273"/>
      <c r="CN273"/>
      <c r="CO273"/>
      <c r="CP273"/>
      <c r="CQ273"/>
      <c r="CR273"/>
      <c r="CS273"/>
      <c r="CT273"/>
      <c r="CU273"/>
      <c r="CV273"/>
      <c r="CW273"/>
      <c r="CX273"/>
      <c r="CY273"/>
    </row>
    <row r="274" spans="2:103" s="1" customFormat="1" ht="23.25" customHeight="1" x14ac:dyDescent="0.25">
      <c r="B274" s="730">
        <v>44654</v>
      </c>
      <c r="C274" s="145">
        <v>0.89583333333333337</v>
      </c>
      <c r="D274" s="146">
        <v>52</v>
      </c>
      <c r="E274" s="147">
        <v>8.1</v>
      </c>
      <c r="F274" s="147">
        <v>17</v>
      </c>
      <c r="G274" s="147">
        <v>1197</v>
      </c>
      <c r="H274" s="147">
        <v>2189</v>
      </c>
      <c r="I274" s="147">
        <v>106</v>
      </c>
      <c r="J274" s="147">
        <v>111</v>
      </c>
      <c r="K274" s="147" t="s">
        <v>2472</v>
      </c>
      <c r="L274" s="147">
        <v>36.25</v>
      </c>
      <c r="M274" s="685">
        <v>38.5</v>
      </c>
      <c r="N274" s="147">
        <v>39.71</v>
      </c>
      <c r="O274" s="148" t="s">
        <v>142</v>
      </c>
      <c r="P274" s="148" t="s">
        <v>142</v>
      </c>
      <c r="Q274" s="148" t="s">
        <v>142</v>
      </c>
      <c r="R274" s="148" t="s">
        <v>2250</v>
      </c>
      <c r="S274" s="148">
        <v>65.3</v>
      </c>
      <c r="T274" s="149" t="s">
        <v>84</v>
      </c>
      <c r="U274" s="148" t="s">
        <v>236</v>
      </c>
      <c r="V274" s="24"/>
      <c r="CM274"/>
      <c r="CN274"/>
      <c r="CO274"/>
      <c r="CP274"/>
      <c r="CQ274"/>
      <c r="CR274"/>
      <c r="CS274"/>
      <c r="CT274"/>
      <c r="CU274"/>
      <c r="CV274"/>
      <c r="CW274"/>
      <c r="CX274"/>
      <c r="CY274"/>
    </row>
    <row r="275" spans="2:103" s="1" customFormat="1" ht="23.25" customHeight="1" x14ac:dyDescent="0.25">
      <c r="B275" s="736">
        <v>44655</v>
      </c>
      <c r="C275" s="145">
        <v>0.89583333333333337</v>
      </c>
      <c r="D275" s="146">
        <v>52</v>
      </c>
      <c r="E275" s="147">
        <v>8.6</v>
      </c>
      <c r="F275" s="147">
        <v>17.100000000000001</v>
      </c>
      <c r="G275" s="147">
        <v>1229</v>
      </c>
      <c r="H275" s="147">
        <v>2209</v>
      </c>
      <c r="I275" s="147">
        <v>105.1</v>
      </c>
      <c r="J275" s="147">
        <v>114.9</v>
      </c>
      <c r="K275" s="147" t="s">
        <v>2492</v>
      </c>
      <c r="L275" s="147">
        <v>35.08</v>
      </c>
      <c r="M275" s="685">
        <v>37.5</v>
      </c>
      <c r="N275" s="147">
        <v>41.3</v>
      </c>
      <c r="O275" s="148" t="s">
        <v>142</v>
      </c>
      <c r="P275" s="148" t="s">
        <v>142</v>
      </c>
      <c r="Q275" s="148" t="s">
        <v>142</v>
      </c>
      <c r="R275" s="148" t="s">
        <v>2338</v>
      </c>
      <c r="S275" s="148">
        <v>66.5</v>
      </c>
      <c r="T275" s="149" t="s">
        <v>84</v>
      </c>
      <c r="U275" s="148" t="s">
        <v>236</v>
      </c>
      <c r="V275" s="24"/>
      <c r="CM275"/>
      <c r="CN275"/>
      <c r="CO275"/>
      <c r="CP275"/>
      <c r="CQ275"/>
      <c r="CR275"/>
      <c r="CS275"/>
      <c r="CT275"/>
      <c r="CU275"/>
      <c r="CV275"/>
      <c r="CW275"/>
      <c r="CX275"/>
      <c r="CY275"/>
    </row>
    <row r="276" spans="2:103" s="1" customFormat="1" ht="23.25" customHeight="1" x14ac:dyDescent="0.25">
      <c r="B276" s="738">
        <v>44656</v>
      </c>
      <c r="C276" s="145">
        <v>0.95833333333333337</v>
      </c>
      <c r="D276" s="146">
        <v>52</v>
      </c>
      <c r="E276" s="147">
        <v>8.4</v>
      </c>
      <c r="F276" s="147">
        <v>17.100000000000001</v>
      </c>
      <c r="G276" s="147">
        <v>1223</v>
      </c>
      <c r="H276" s="147">
        <v>2218</v>
      </c>
      <c r="I276" s="147">
        <v>106</v>
      </c>
      <c r="J276" s="147">
        <v>111.6</v>
      </c>
      <c r="K276" s="147" t="s">
        <v>2497</v>
      </c>
      <c r="L276" s="147">
        <v>36.68</v>
      </c>
      <c r="M276" s="685">
        <v>39</v>
      </c>
      <c r="N276" s="147">
        <v>39.33</v>
      </c>
      <c r="O276" s="148" t="s">
        <v>142</v>
      </c>
      <c r="P276" s="148" t="s">
        <v>142</v>
      </c>
      <c r="Q276" s="148" t="s">
        <v>142</v>
      </c>
      <c r="R276" s="148" t="s">
        <v>2182</v>
      </c>
      <c r="S276" s="148">
        <v>66.099999999999994</v>
      </c>
      <c r="T276" s="149" t="s">
        <v>84</v>
      </c>
      <c r="U276" s="148" t="s">
        <v>236</v>
      </c>
      <c r="V276" s="24"/>
      <c r="CM276"/>
      <c r="CN276"/>
      <c r="CO276"/>
      <c r="CP276"/>
      <c r="CQ276"/>
      <c r="CR276"/>
      <c r="CS276"/>
      <c r="CT276"/>
      <c r="CU276"/>
      <c r="CV276"/>
      <c r="CW276"/>
      <c r="CX276"/>
      <c r="CY276"/>
    </row>
    <row r="277" spans="2:103" s="1" customFormat="1" ht="23.25" customHeight="1" x14ac:dyDescent="0.25">
      <c r="B277" s="740">
        <v>44657</v>
      </c>
      <c r="C277" s="145">
        <v>0.89583333333333337</v>
      </c>
      <c r="D277" s="146">
        <v>52</v>
      </c>
      <c r="E277" s="147">
        <v>8.9</v>
      </c>
      <c r="F277" s="147">
        <v>17.3</v>
      </c>
      <c r="G277" s="147">
        <v>1260</v>
      </c>
      <c r="H277" s="147">
        <v>2208</v>
      </c>
      <c r="I277" s="147">
        <v>105.5</v>
      </c>
      <c r="J277" s="147">
        <v>115</v>
      </c>
      <c r="K277" s="147" t="s">
        <v>2510</v>
      </c>
      <c r="L277" s="147">
        <v>38.369999999999997</v>
      </c>
      <c r="M277" s="685">
        <v>40</v>
      </c>
      <c r="N277" s="147">
        <v>38.33</v>
      </c>
      <c r="O277" s="148" t="s">
        <v>142</v>
      </c>
      <c r="P277" s="148" t="s">
        <v>142</v>
      </c>
      <c r="Q277" s="148" t="s">
        <v>142</v>
      </c>
      <c r="R277" s="148" t="s">
        <v>2320</v>
      </c>
      <c r="S277" s="148">
        <v>67.3</v>
      </c>
      <c r="T277" s="149" t="s">
        <v>84</v>
      </c>
      <c r="U277" s="148" t="s">
        <v>236</v>
      </c>
      <c r="V277" s="24"/>
      <c r="CM277"/>
      <c r="CN277"/>
      <c r="CO277"/>
      <c r="CP277"/>
      <c r="CQ277"/>
      <c r="CR277"/>
      <c r="CS277"/>
      <c r="CT277"/>
      <c r="CU277"/>
      <c r="CV277"/>
      <c r="CW277"/>
      <c r="CX277"/>
      <c r="CY277"/>
    </row>
    <row r="278" spans="2:103" s="1" customFormat="1" ht="23.25" customHeight="1" x14ac:dyDescent="0.25">
      <c r="B278" s="742">
        <v>44658</v>
      </c>
      <c r="C278" s="145">
        <v>0.95833333333333337</v>
      </c>
      <c r="D278" s="146">
        <v>52.5</v>
      </c>
      <c r="E278" s="147">
        <v>9.4</v>
      </c>
      <c r="F278" s="147">
        <v>17.600000000000001</v>
      </c>
      <c r="G278" s="147">
        <v>1217</v>
      </c>
      <c r="H278" s="147">
        <v>2205</v>
      </c>
      <c r="I278" s="147">
        <v>106.6</v>
      </c>
      <c r="J278" s="147">
        <v>111.6</v>
      </c>
      <c r="K278" s="147" t="s">
        <v>2517</v>
      </c>
      <c r="L278" s="147">
        <v>37.68</v>
      </c>
      <c r="M278" s="685">
        <v>39</v>
      </c>
      <c r="N278" s="147">
        <v>38.9</v>
      </c>
      <c r="O278" s="148" t="s">
        <v>142</v>
      </c>
      <c r="P278" s="148" t="s">
        <v>142</v>
      </c>
      <c r="Q278" s="148" t="s">
        <v>142</v>
      </c>
      <c r="R278" s="148" t="s">
        <v>2518</v>
      </c>
      <c r="S278" s="148">
        <v>68.400000000000006</v>
      </c>
      <c r="T278" s="149" t="s">
        <v>84</v>
      </c>
      <c r="U278" s="148" t="s">
        <v>236</v>
      </c>
      <c r="V278" s="24" t="s">
        <v>2524</v>
      </c>
      <c r="CM278"/>
      <c r="CN278"/>
      <c r="CO278"/>
      <c r="CP278"/>
      <c r="CQ278"/>
      <c r="CR278"/>
      <c r="CS278"/>
      <c r="CT278"/>
      <c r="CU278"/>
      <c r="CV278"/>
      <c r="CW278"/>
      <c r="CX278"/>
      <c r="CY278"/>
    </row>
    <row r="279" spans="2:103" s="1" customFormat="1" ht="23.25" customHeight="1" x14ac:dyDescent="0.25">
      <c r="B279" s="744">
        <v>44659</v>
      </c>
      <c r="C279" s="145">
        <v>0.95833333333333337</v>
      </c>
      <c r="D279" s="146">
        <v>52</v>
      </c>
      <c r="E279" s="147">
        <v>8.6999999999999993</v>
      </c>
      <c r="F279" s="147">
        <v>17.2</v>
      </c>
      <c r="G279" s="147">
        <v>1194</v>
      </c>
      <c r="H279" s="147">
        <v>2169</v>
      </c>
      <c r="I279" s="147">
        <v>105.2</v>
      </c>
      <c r="J279" s="147">
        <v>115.2</v>
      </c>
      <c r="K279" s="147" t="s">
        <v>2528</v>
      </c>
      <c r="L279" s="147">
        <v>37.67</v>
      </c>
      <c r="M279" s="685">
        <v>39.5</v>
      </c>
      <c r="N279" s="147">
        <v>40.5</v>
      </c>
      <c r="O279" s="148" t="s">
        <v>142</v>
      </c>
      <c r="P279" s="148" t="s">
        <v>142</v>
      </c>
      <c r="Q279" s="148" t="s">
        <v>142</v>
      </c>
      <c r="R279" s="148" t="s">
        <v>2529</v>
      </c>
      <c r="S279" s="148">
        <v>66.900000000000006</v>
      </c>
      <c r="T279" s="149" t="s">
        <v>84</v>
      </c>
      <c r="U279" s="148" t="s">
        <v>236</v>
      </c>
      <c r="V279" s="24" t="s">
        <v>2530</v>
      </c>
      <c r="CM279"/>
      <c r="CN279"/>
      <c r="CO279"/>
      <c r="CP279"/>
      <c r="CQ279"/>
      <c r="CR279"/>
      <c r="CS279"/>
      <c r="CT279"/>
      <c r="CU279"/>
      <c r="CV279"/>
      <c r="CW279"/>
      <c r="CX279"/>
      <c r="CY279"/>
    </row>
    <row r="280" spans="2:103" s="1" customFormat="1" ht="23.25" customHeight="1" x14ac:dyDescent="0.25">
      <c r="B280" s="746">
        <v>44660</v>
      </c>
      <c r="C280" s="145">
        <v>0.95833333333333337</v>
      </c>
      <c r="D280" s="146">
        <v>52</v>
      </c>
      <c r="E280" s="147">
        <v>9.4</v>
      </c>
      <c r="F280" s="147">
        <v>17.600000000000001</v>
      </c>
      <c r="G280" s="147">
        <v>1193</v>
      </c>
      <c r="H280" s="147">
        <v>2172</v>
      </c>
      <c r="I280" s="147">
        <v>106.2</v>
      </c>
      <c r="J280" s="147">
        <v>110.8</v>
      </c>
      <c r="K280" s="147" t="s">
        <v>2544</v>
      </c>
      <c r="L280" s="147">
        <v>38.049999999999997</v>
      </c>
      <c r="M280" s="685">
        <v>40.5</v>
      </c>
      <c r="N280" s="147">
        <v>39.200000000000003</v>
      </c>
      <c r="O280" s="148" t="s">
        <v>142</v>
      </c>
      <c r="P280" s="148" t="s">
        <v>142</v>
      </c>
      <c r="Q280" s="148" t="s">
        <v>142</v>
      </c>
      <c r="R280" s="148" t="s">
        <v>2545</v>
      </c>
      <c r="S280" s="148">
        <v>68.400000000000006</v>
      </c>
      <c r="T280" s="149" t="s">
        <v>84</v>
      </c>
      <c r="U280" s="148" t="s">
        <v>236</v>
      </c>
      <c r="V280" s="24"/>
      <c r="CM280"/>
      <c r="CN280"/>
      <c r="CO280"/>
      <c r="CP280"/>
      <c r="CQ280"/>
      <c r="CR280"/>
      <c r="CS280"/>
      <c r="CT280"/>
      <c r="CU280"/>
      <c r="CV280"/>
      <c r="CW280"/>
      <c r="CX280"/>
      <c r="CY280"/>
    </row>
    <row r="281" spans="2:103" s="1" customFormat="1" ht="23.25" customHeight="1" x14ac:dyDescent="0.25">
      <c r="B281" s="748">
        <v>44661</v>
      </c>
      <c r="C281" s="145">
        <v>0</v>
      </c>
      <c r="D281" s="146">
        <v>52</v>
      </c>
      <c r="E281" s="147">
        <v>9.1</v>
      </c>
      <c r="F281" s="147">
        <v>17.399999999999999</v>
      </c>
      <c r="G281" s="147">
        <v>1223</v>
      </c>
      <c r="H281" s="147">
        <v>2205</v>
      </c>
      <c r="I281" s="147">
        <v>105.8</v>
      </c>
      <c r="J281" s="147">
        <v>112.5</v>
      </c>
      <c r="K281" s="147" t="s">
        <v>2561</v>
      </c>
      <c r="L281" s="147">
        <v>37.76</v>
      </c>
      <c r="M281" s="685">
        <v>40.5</v>
      </c>
      <c r="N281" s="147">
        <v>38.9</v>
      </c>
      <c r="O281" s="148" t="s">
        <v>142</v>
      </c>
      <c r="P281" s="148" t="s">
        <v>142</v>
      </c>
      <c r="Q281" s="148" t="s">
        <v>142</v>
      </c>
      <c r="R281" s="148" t="s">
        <v>2379</v>
      </c>
      <c r="S281" s="148">
        <v>67.7</v>
      </c>
      <c r="T281" s="149" t="s">
        <v>84</v>
      </c>
      <c r="U281" s="148" t="s">
        <v>236</v>
      </c>
      <c r="V281" s="24"/>
      <c r="CM281"/>
      <c r="CN281"/>
      <c r="CO281"/>
      <c r="CP281"/>
      <c r="CQ281"/>
      <c r="CR281"/>
      <c r="CS281"/>
      <c r="CT281"/>
      <c r="CU281"/>
      <c r="CV281"/>
      <c r="CW281"/>
      <c r="CX281"/>
      <c r="CY281"/>
    </row>
    <row r="282" spans="2:103" s="1" customFormat="1" ht="23.25" customHeight="1" x14ac:dyDescent="0.25">
      <c r="B282" s="750">
        <v>44662</v>
      </c>
      <c r="C282" s="145">
        <v>0.75</v>
      </c>
      <c r="D282" s="146">
        <v>52</v>
      </c>
      <c r="E282" s="147">
        <v>8.8000000000000007</v>
      </c>
      <c r="F282" s="147">
        <v>17.3</v>
      </c>
      <c r="G282" s="147">
        <v>1279</v>
      </c>
      <c r="H282" s="147">
        <v>2252</v>
      </c>
      <c r="I282" s="147">
        <v>105.2</v>
      </c>
      <c r="J282" s="147">
        <v>119.2</v>
      </c>
      <c r="K282" s="147" t="s">
        <v>2585</v>
      </c>
      <c r="L282" s="147">
        <v>37.79</v>
      </c>
      <c r="M282" s="685">
        <v>40.5</v>
      </c>
      <c r="N282" s="147">
        <v>37.799999999999997</v>
      </c>
      <c r="O282" s="148" t="s">
        <v>142</v>
      </c>
      <c r="P282" s="148" t="s">
        <v>142</v>
      </c>
      <c r="Q282" s="148" t="s">
        <v>142</v>
      </c>
      <c r="R282" s="148" t="s">
        <v>2586</v>
      </c>
      <c r="S282" s="148">
        <v>67.3</v>
      </c>
      <c r="T282" s="149" t="s">
        <v>84</v>
      </c>
      <c r="U282" s="148" t="s">
        <v>236</v>
      </c>
      <c r="V282" s="24"/>
      <c r="CM282"/>
      <c r="CN282"/>
      <c r="CO282"/>
      <c r="CP282"/>
      <c r="CQ282"/>
      <c r="CR282"/>
      <c r="CS282"/>
      <c r="CT282"/>
      <c r="CU282"/>
      <c r="CV282"/>
      <c r="CW282"/>
      <c r="CX282"/>
      <c r="CY282"/>
    </row>
    <row r="283" spans="2:103" s="1" customFormat="1" ht="23.25" customHeight="1" x14ac:dyDescent="0.25">
      <c r="B283" s="752">
        <v>44663</v>
      </c>
      <c r="C283" s="145">
        <v>0.25</v>
      </c>
      <c r="D283" s="146">
        <v>52</v>
      </c>
      <c r="E283" s="147">
        <v>7.4</v>
      </c>
      <c r="F283" s="147">
        <v>16.8</v>
      </c>
      <c r="G283" s="147">
        <v>1222</v>
      </c>
      <c r="H283" s="147">
        <v>2217</v>
      </c>
      <c r="I283" s="147">
        <v>106.3</v>
      </c>
      <c r="J283" s="147">
        <v>112.8</v>
      </c>
      <c r="K283" s="147" t="s">
        <v>2592</v>
      </c>
      <c r="L283" s="147">
        <v>37.33</v>
      </c>
      <c r="M283" s="685">
        <v>39</v>
      </c>
      <c r="N283" s="147">
        <v>39</v>
      </c>
      <c r="O283" s="148" t="s">
        <v>142</v>
      </c>
      <c r="P283" s="148" t="s">
        <v>142</v>
      </c>
      <c r="Q283" s="148" t="s">
        <v>142</v>
      </c>
      <c r="R283" s="148" t="s">
        <v>2182</v>
      </c>
      <c r="S283" s="148">
        <v>65.3</v>
      </c>
      <c r="T283" s="149" t="s">
        <v>84</v>
      </c>
      <c r="U283" s="148" t="s">
        <v>236</v>
      </c>
      <c r="V283" s="24"/>
      <c r="CM283"/>
      <c r="CN283"/>
      <c r="CO283"/>
      <c r="CP283"/>
      <c r="CQ283"/>
      <c r="CR283"/>
      <c r="CS283"/>
      <c r="CT283"/>
      <c r="CU283"/>
      <c r="CV283"/>
      <c r="CW283"/>
      <c r="CX283"/>
      <c r="CY283"/>
    </row>
    <row r="284" spans="2:103" s="1" customFormat="1" ht="23.25" customHeight="1" x14ac:dyDescent="0.25">
      <c r="B284" s="754">
        <v>44664</v>
      </c>
      <c r="C284" s="145">
        <v>0.9375</v>
      </c>
      <c r="D284" s="146">
        <v>52</v>
      </c>
      <c r="E284" s="147">
        <v>8.6</v>
      </c>
      <c r="F284" s="147">
        <v>17.2</v>
      </c>
      <c r="G284" s="147">
        <v>1192</v>
      </c>
      <c r="H284" s="147">
        <v>2198</v>
      </c>
      <c r="I284" s="147">
        <v>106.3</v>
      </c>
      <c r="J284" s="147">
        <v>112.8</v>
      </c>
      <c r="K284" s="147" t="s">
        <v>2600</v>
      </c>
      <c r="L284" s="147">
        <v>37.130000000000003</v>
      </c>
      <c r="M284" s="685">
        <v>39</v>
      </c>
      <c r="N284" s="147">
        <v>38.5</v>
      </c>
      <c r="O284" s="148" t="s">
        <v>142</v>
      </c>
      <c r="P284" s="148" t="s">
        <v>142</v>
      </c>
      <c r="Q284" s="148" t="s">
        <v>142</v>
      </c>
      <c r="R284" s="148" t="s">
        <v>2601</v>
      </c>
      <c r="S284" s="148">
        <v>66.900000000000006</v>
      </c>
      <c r="T284" s="149" t="s">
        <v>84</v>
      </c>
      <c r="U284" s="148" t="s">
        <v>236</v>
      </c>
      <c r="V284" s="24"/>
      <c r="CM284"/>
      <c r="CN284"/>
      <c r="CO284"/>
      <c r="CP284"/>
      <c r="CQ284"/>
      <c r="CR284"/>
      <c r="CS284"/>
      <c r="CT284"/>
      <c r="CU284"/>
      <c r="CV284"/>
      <c r="CW284"/>
      <c r="CX284"/>
      <c r="CY284"/>
    </row>
    <row r="285" spans="2:103" s="1" customFormat="1" ht="23.25" customHeight="1" x14ac:dyDescent="0.25">
      <c r="B285" s="756">
        <v>44665</v>
      </c>
      <c r="C285" s="145">
        <v>0.9375</v>
      </c>
      <c r="D285" s="146">
        <v>53</v>
      </c>
      <c r="E285" s="147">
        <v>9.3000000000000007</v>
      </c>
      <c r="F285" s="147">
        <v>17.600000000000001</v>
      </c>
      <c r="G285" s="147">
        <v>1122</v>
      </c>
      <c r="H285" s="147">
        <v>2134</v>
      </c>
      <c r="I285" s="147">
        <v>105.1</v>
      </c>
      <c r="J285" s="147">
        <v>112.6</v>
      </c>
      <c r="K285" s="147" t="s">
        <v>2603</v>
      </c>
      <c r="L285" s="147">
        <v>34.43</v>
      </c>
      <c r="M285" s="685">
        <v>38</v>
      </c>
      <c r="N285" s="147">
        <v>41.12</v>
      </c>
      <c r="O285" s="148" t="s">
        <v>142</v>
      </c>
      <c r="P285" s="148" t="s">
        <v>142</v>
      </c>
      <c r="Q285" s="148" t="s">
        <v>142</v>
      </c>
      <c r="R285" s="148" t="s">
        <v>2604</v>
      </c>
      <c r="S285" s="148">
        <v>68.400000000000006</v>
      </c>
      <c r="T285" s="149" t="s">
        <v>84</v>
      </c>
      <c r="U285" s="148" t="s">
        <v>236</v>
      </c>
      <c r="V285" s="417" t="s">
        <v>2649</v>
      </c>
      <c r="CM285"/>
      <c r="CN285"/>
      <c r="CO285"/>
      <c r="CP285"/>
      <c r="CQ285"/>
      <c r="CR285"/>
      <c r="CS285"/>
      <c r="CT285"/>
      <c r="CU285"/>
      <c r="CV285"/>
      <c r="CW285"/>
      <c r="CX285"/>
      <c r="CY285"/>
    </row>
    <row r="286" spans="2:103" s="1" customFormat="1" ht="23.25" customHeight="1" x14ac:dyDescent="0.25">
      <c r="B286" s="758">
        <v>44666</v>
      </c>
      <c r="C286" s="145">
        <v>0.9375</v>
      </c>
      <c r="D286" s="146">
        <v>53</v>
      </c>
      <c r="E286" s="147">
        <v>7.5</v>
      </c>
      <c r="F286" s="147">
        <v>16.899999999999999</v>
      </c>
      <c r="G286" s="147">
        <v>1175</v>
      </c>
      <c r="H286" s="147">
        <v>2195</v>
      </c>
      <c r="I286" s="147">
        <v>106.1</v>
      </c>
      <c r="J286" s="147">
        <v>113.2</v>
      </c>
      <c r="K286" s="147" t="s">
        <v>2611</v>
      </c>
      <c r="L286" s="147" t="s">
        <v>2612</v>
      </c>
      <c r="M286" s="685">
        <v>39</v>
      </c>
      <c r="N286" s="147">
        <v>39.869999999999997</v>
      </c>
      <c r="O286" s="148" t="s">
        <v>142</v>
      </c>
      <c r="P286" s="148" t="s">
        <v>142</v>
      </c>
      <c r="Q286" s="148" t="s">
        <v>142</v>
      </c>
      <c r="R286" s="148" t="s">
        <v>2004</v>
      </c>
      <c r="S286" s="148">
        <v>65.3</v>
      </c>
      <c r="T286" s="149" t="s">
        <v>84</v>
      </c>
      <c r="U286" s="148" t="s">
        <v>236</v>
      </c>
      <c r="V286" s="24"/>
      <c r="CM286"/>
      <c r="CN286"/>
      <c r="CO286"/>
      <c r="CP286"/>
      <c r="CQ286"/>
      <c r="CR286"/>
      <c r="CS286"/>
      <c r="CT286"/>
      <c r="CU286"/>
      <c r="CV286"/>
      <c r="CW286"/>
      <c r="CX286"/>
      <c r="CY286"/>
    </row>
    <row r="287" spans="2:103" s="1" customFormat="1" ht="23.25" customHeight="1" x14ac:dyDescent="0.25">
      <c r="B287" s="760">
        <v>44667</v>
      </c>
      <c r="C287" s="145">
        <v>0.9375</v>
      </c>
      <c r="D287" s="146">
        <v>53</v>
      </c>
      <c r="E287" s="147">
        <v>7.6</v>
      </c>
      <c r="F287" s="147">
        <v>16.899999999999999</v>
      </c>
      <c r="G287" s="147">
        <v>1191</v>
      </c>
      <c r="H287" s="147">
        <v>2208</v>
      </c>
      <c r="I287" s="147">
        <v>106.9</v>
      </c>
      <c r="J287" s="147">
        <v>113</v>
      </c>
      <c r="K287" s="147" t="s">
        <v>2620</v>
      </c>
      <c r="L287" s="147">
        <v>39.97</v>
      </c>
      <c r="M287" s="685">
        <v>42.5</v>
      </c>
      <c r="N287" s="147">
        <v>38.67</v>
      </c>
      <c r="O287" s="148" t="s">
        <v>142</v>
      </c>
      <c r="P287" s="148" t="s">
        <v>142</v>
      </c>
      <c r="Q287" s="148" t="s">
        <v>142</v>
      </c>
      <c r="R287" s="148" t="s">
        <v>2216</v>
      </c>
      <c r="S287" s="148">
        <v>65.7</v>
      </c>
      <c r="T287" s="149" t="s">
        <v>84</v>
      </c>
      <c r="U287" s="148" t="s">
        <v>236</v>
      </c>
      <c r="V287" s="24"/>
      <c r="CM287"/>
      <c r="CN287"/>
      <c r="CO287"/>
      <c r="CP287"/>
      <c r="CQ287"/>
      <c r="CR287"/>
      <c r="CS287"/>
      <c r="CT287"/>
      <c r="CU287"/>
      <c r="CV287"/>
      <c r="CW287"/>
      <c r="CX287"/>
      <c r="CY287"/>
    </row>
    <row r="288" spans="2:103" s="1" customFormat="1" ht="23.25" customHeight="1" x14ac:dyDescent="0.25">
      <c r="B288" s="762">
        <v>44668</v>
      </c>
      <c r="C288" s="145">
        <v>0.97916666666666663</v>
      </c>
      <c r="D288" s="146">
        <v>53</v>
      </c>
      <c r="E288" s="147">
        <v>9.1</v>
      </c>
      <c r="F288" s="147">
        <v>17.399999999999999</v>
      </c>
      <c r="G288" s="147">
        <v>1117</v>
      </c>
      <c r="H288" s="147">
        <v>2133</v>
      </c>
      <c r="I288" s="147">
        <v>106.1</v>
      </c>
      <c r="J288" s="147">
        <v>114.3</v>
      </c>
      <c r="K288" s="147" t="s">
        <v>2631</v>
      </c>
      <c r="L288" s="147">
        <v>35.74</v>
      </c>
      <c r="M288" s="685">
        <v>39</v>
      </c>
      <c r="N288" s="147">
        <v>41.64</v>
      </c>
      <c r="O288" s="148" t="s">
        <v>142</v>
      </c>
      <c r="P288" s="148" t="s">
        <v>142</v>
      </c>
      <c r="Q288" s="148" t="s">
        <v>142</v>
      </c>
      <c r="R288" s="148" t="s">
        <v>2379</v>
      </c>
      <c r="S288" s="148">
        <v>65.7</v>
      </c>
      <c r="T288" s="149" t="s">
        <v>84</v>
      </c>
      <c r="U288" s="148" t="s">
        <v>236</v>
      </c>
      <c r="V288" s="24"/>
      <c r="CM288"/>
      <c r="CN288"/>
      <c r="CO288"/>
      <c r="CP288"/>
      <c r="CQ288"/>
      <c r="CR288"/>
      <c r="CS288"/>
      <c r="CT288"/>
      <c r="CU288"/>
      <c r="CV288"/>
      <c r="CW288"/>
      <c r="CX288"/>
      <c r="CY288"/>
    </row>
    <row r="289" spans="2:103" s="1" customFormat="1" ht="23.25" customHeight="1" x14ac:dyDescent="0.25">
      <c r="B289" s="764">
        <v>44669</v>
      </c>
      <c r="C289" s="145">
        <v>0.95833333333333337</v>
      </c>
      <c r="D289" s="146">
        <v>53</v>
      </c>
      <c r="E289" s="147">
        <v>9.1</v>
      </c>
      <c r="F289" s="147">
        <v>17.5</v>
      </c>
      <c r="G289" s="147">
        <v>1164</v>
      </c>
      <c r="H289" s="147">
        <v>2203</v>
      </c>
      <c r="I289" s="147">
        <v>106.2</v>
      </c>
      <c r="J289" s="147">
        <v>113</v>
      </c>
      <c r="K289" s="147" t="s">
        <v>2635</v>
      </c>
      <c r="L289" s="147">
        <v>37.18</v>
      </c>
      <c r="M289" s="685">
        <v>39.5</v>
      </c>
      <c r="N289" s="147">
        <v>39.369999999999997</v>
      </c>
      <c r="O289" s="148" t="s">
        <v>142</v>
      </c>
      <c r="P289" s="148" t="s">
        <v>142</v>
      </c>
      <c r="Q289" s="148" t="s">
        <v>142</v>
      </c>
      <c r="R289" s="148" t="s">
        <v>2636</v>
      </c>
      <c r="S289" s="148">
        <v>68</v>
      </c>
      <c r="T289" s="149" t="s">
        <v>84</v>
      </c>
      <c r="U289" s="148" t="s">
        <v>236</v>
      </c>
      <c r="V289" s="24"/>
      <c r="CM289"/>
      <c r="CN289"/>
      <c r="CO289"/>
      <c r="CP289"/>
      <c r="CQ289"/>
      <c r="CR289"/>
      <c r="CS289"/>
      <c r="CT289"/>
      <c r="CU289"/>
      <c r="CV289"/>
      <c r="CW289"/>
      <c r="CX289"/>
      <c r="CY289"/>
    </row>
    <row r="290" spans="2:103" s="1" customFormat="1" ht="23.25" customHeight="1" x14ac:dyDescent="0.25">
      <c r="B290" s="766">
        <v>44670</v>
      </c>
      <c r="C290" s="145">
        <v>0.85416666666666663</v>
      </c>
      <c r="D290" s="146">
        <v>53</v>
      </c>
      <c r="E290" s="147">
        <v>7.5</v>
      </c>
      <c r="F290" s="147">
        <v>16.8</v>
      </c>
      <c r="G290" s="147">
        <v>1181</v>
      </c>
      <c r="H290" s="147">
        <v>2192</v>
      </c>
      <c r="I290" s="147">
        <v>105.8</v>
      </c>
      <c r="J290" s="147">
        <v>120</v>
      </c>
      <c r="K290" s="147" t="s">
        <v>2648</v>
      </c>
      <c r="L290" s="147">
        <v>36.869999999999997</v>
      </c>
      <c r="M290" s="685">
        <v>39</v>
      </c>
      <c r="N290" s="147">
        <v>39.4</v>
      </c>
      <c r="O290" s="148" t="s">
        <v>142</v>
      </c>
      <c r="P290" s="148" t="s">
        <v>142</v>
      </c>
      <c r="Q290" s="148" t="s">
        <v>142</v>
      </c>
      <c r="R290" s="148" t="s">
        <v>2004</v>
      </c>
      <c r="S290" s="148">
        <v>65.2</v>
      </c>
      <c r="T290" s="149" t="s">
        <v>84</v>
      </c>
      <c r="U290" s="148" t="s">
        <v>236</v>
      </c>
      <c r="V290" s="24"/>
      <c r="CM290"/>
      <c r="CN290"/>
      <c r="CO290"/>
      <c r="CP290"/>
      <c r="CQ290"/>
      <c r="CR290"/>
      <c r="CS290"/>
      <c r="CT290"/>
      <c r="CU290"/>
      <c r="CV290"/>
      <c r="CW290"/>
      <c r="CX290"/>
      <c r="CY290"/>
    </row>
    <row r="291" spans="2:103" s="1" customFormat="1" ht="38.25" customHeight="1" x14ac:dyDescent="0.25">
      <c r="B291" s="769">
        <v>44671</v>
      </c>
      <c r="C291" s="145">
        <v>0.95833333333333337</v>
      </c>
      <c r="D291" s="146">
        <v>53</v>
      </c>
      <c r="E291" s="147">
        <v>7.7</v>
      </c>
      <c r="F291" s="147">
        <v>16.899999999999999</v>
      </c>
      <c r="G291" s="147">
        <v>1111</v>
      </c>
      <c r="H291" s="147">
        <v>2143</v>
      </c>
      <c r="I291" s="147">
        <v>106.2</v>
      </c>
      <c r="J291" s="147">
        <v>112</v>
      </c>
      <c r="K291" s="147">
        <v>1.81</v>
      </c>
      <c r="L291" s="147">
        <v>35.47</v>
      </c>
      <c r="M291" s="685">
        <v>39</v>
      </c>
      <c r="N291" s="147">
        <v>44.67</v>
      </c>
      <c r="O291" s="148" t="s">
        <v>142</v>
      </c>
      <c r="P291" s="148" t="s">
        <v>142</v>
      </c>
      <c r="Q291" s="148" t="s">
        <v>142</v>
      </c>
      <c r="R291" s="148" t="s">
        <v>2660</v>
      </c>
      <c r="S291" s="148">
        <v>65.7</v>
      </c>
      <c r="T291" s="149" t="s">
        <v>84</v>
      </c>
      <c r="U291" s="148" t="s">
        <v>236</v>
      </c>
      <c r="V291" s="24"/>
      <c r="CM291"/>
      <c r="CN291"/>
      <c r="CO291"/>
      <c r="CP291"/>
      <c r="CQ291"/>
      <c r="CR291"/>
      <c r="CS291"/>
      <c r="CT291"/>
      <c r="CU291"/>
      <c r="CV291"/>
      <c r="CW291"/>
      <c r="CX291"/>
      <c r="CY291"/>
    </row>
    <row r="292" spans="2:103" s="1" customFormat="1" ht="38.25" customHeight="1" x14ac:dyDescent="0.25">
      <c r="B292" s="771">
        <v>44672</v>
      </c>
      <c r="C292" s="145">
        <v>0</v>
      </c>
      <c r="D292" s="146">
        <v>53</v>
      </c>
      <c r="E292" s="147">
        <v>7.5</v>
      </c>
      <c r="F292" s="147">
        <v>16.8</v>
      </c>
      <c r="G292" s="147">
        <v>1151</v>
      </c>
      <c r="H292" s="147">
        <v>2175</v>
      </c>
      <c r="I292" s="147">
        <v>106.6</v>
      </c>
      <c r="J292" s="147">
        <v>112.9</v>
      </c>
      <c r="K292" s="147" t="s">
        <v>2665</v>
      </c>
      <c r="L292" s="147">
        <v>36.4</v>
      </c>
      <c r="M292" s="685">
        <v>38.5</v>
      </c>
      <c r="N292" s="147">
        <v>39.86</v>
      </c>
      <c r="O292" s="148" t="s">
        <v>142</v>
      </c>
      <c r="P292" s="148" t="s">
        <v>142</v>
      </c>
      <c r="Q292" s="148" t="s">
        <v>142</v>
      </c>
      <c r="R292" s="148" t="s">
        <v>2666</v>
      </c>
      <c r="S292" s="148">
        <v>65.3</v>
      </c>
      <c r="T292" s="149" t="s">
        <v>84</v>
      </c>
      <c r="U292" s="148" t="s">
        <v>236</v>
      </c>
      <c r="V292" s="24"/>
      <c r="CM292"/>
      <c r="CN292"/>
      <c r="CO292"/>
      <c r="CP292"/>
      <c r="CQ292"/>
      <c r="CR292"/>
      <c r="CS292"/>
      <c r="CT292"/>
      <c r="CU292"/>
      <c r="CV292"/>
      <c r="CW292"/>
      <c r="CX292"/>
      <c r="CY292"/>
    </row>
    <row r="293" spans="2:103" s="1" customFormat="1" ht="38.25" customHeight="1" x14ac:dyDescent="0.25">
      <c r="B293" s="773">
        <v>44673</v>
      </c>
      <c r="C293" s="145">
        <v>0.89583333333333337</v>
      </c>
      <c r="D293" s="146">
        <v>53</v>
      </c>
      <c r="E293" s="147">
        <v>7.8</v>
      </c>
      <c r="F293" s="147">
        <v>17</v>
      </c>
      <c r="G293" s="147">
        <v>1204</v>
      </c>
      <c r="H293" s="147">
        <v>2219</v>
      </c>
      <c r="I293" s="147">
        <v>106.2</v>
      </c>
      <c r="J293" s="147">
        <v>113.1</v>
      </c>
      <c r="K293" s="147" t="s">
        <v>2673</v>
      </c>
      <c r="L293" s="147">
        <v>35.369999999999997</v>
      </c>
      <c r="M293" s="685">
        <v>39</v>
      </c>
      <c r="N293" s="147">
        <v>40.17</v>
      </c>
      <c r="O293" s="148" t="s">
        <v>142</v>
      </c>
      <c r="P293" s="148" t="s">
        <v>142</v>
      </c>
      <c r="Q293" s="148" t="s">
        <v>142</v>
      </c>
      <c r="R293" s="148" t="s">
        <v>2660</v>
      </c>
      <c r="S293" s="148">
        <v>65.7</v>
      </c>
      <c r="T293" s="149" t="s">
        <v>84</v>
      </c>
      <c r="U293" s="148" t="s">
        <v>236</v>
      </c>
      <c r="V293" s="24"/>
      <c r="CM293"/>
      <c r="CN293"/>
      <c r="CO293"/>
      <c r="CP293"/>
      <c r="CQ293"/>
      <c r="CR293"/>
      <c r="CS293"/>
      <c r="CT293"/>
      <c r="CU293"/>
      <c r="CV293"/>
      <c r="CW293"/>
      <c r="CX293"/>
      <c r="CY293"/>
    </row>
    <row r="294" spans="2:103" s="1" customFormat="1" ht="38.25" customHeight="1" x14ac:dyDescent="0.25">
      <c r="B294" s="775">
        <v>44674</v>
      </c>
      <c r="C294" s="145">
        <v>0.97916666666666663</v>
      </c>
      <c r="D294" s="146">
        <v>53</v>
      </c>
      <c r="E294" s="147">
        <v>8.8000000000000007</v>
      </c>
      <c r="F294" s="147">
        <v>17.399999999999999</v>
      </c>
      <c r="G294" s="147">
        <v>1199</v>
      </c>
      <c r="H294" s="147">
        <v>2224</v>
      </c>
      <c r="I294" s="147">
        <v>105.6</v>
      </c>
      <c r="J294" s="147">
        <v>113.7</v>
      </c>
      <c r="K294" s="147" t="s">
        <v>2678</v>
      </c>
      <c r="L294" s="147">
        <v>36.35</v>
      </c>
      <c r="M294" s="685">
        <v>39</v>
      </c>
      <c r="N294" s="147">
        <v>40.93</v>
      </c>
      <c r="O294" s="148" t="s">
        <v>142</v>
      </c>
      <c r="P294" s="148" t="s">
        <v>142</v>
      </c>
      <c r="Q294" s="148" t="s">
        <v>142</v>
      </c>
      <c r="R294" s="148" t="s">
        <v>2679</v>
      </c>
      <c r="S294" s="148">
        <v>67.7</v>
      </c>
      <c r="T294" s="149" t="s">
        <v>84</v>
      </c>
      <c r="U294" s="148" t="s">
        <v>236</v>
      </c>
      <c r="V294" s="24"/>
      <c r="CM294"/>
      <c r="CN294"/>
      <c r="CO294"/>
      <c r="CP294"/>
      <c r="CQ294"/>
      <c r="CR294"/>
      <c r="CS294"/>
      <c r="CT294"/>
      <c r="CU294"/>
      <c r="CV294"/>
      <c r="CW294"/>
      <c r="CX294"/>
      <c r="CY294"/>
    </row>
    <row r="295" spans="2:103" s="1" customFormat="1" ht="38.25" customHeight="1" x14ac:dyDescent="0.25">
      <c r="B295" s="777">
        <v>44675</v>
      </c>
      <c r="C295" s="145">
        <v>0.97916666666666663</v>
      </c>
      <c r="D295" s="146">
        <v>53</v>
      </c>
      <c r="E295" s="147">
        <v>7.6</v>
      </c>
      <c r="F295" s="147">
        <v>16.899999999999999</v>
      </c>
      <c r="G295" s="147">
        <v>1187</v>
      </c>
      <c r="H295" s="147">
        <v>2218</v>
      </c>
      <c r="I295" s="147">
        <v>106.6</v>
      </c>
      <c r="J295" s="147">
        <v>112.9</v>
      </c>
      <c r="K295" s="147" t="s">
        <v>2683</v>
      </c>
      <c r="L295" s="147">
        <v>36.65</v>
      </c>
      <c r="M295" s="685">
        <v>39</v>
      </c>
      <c r="N295" s="147">
        <v>37.909999999999997</v>
      </c>
      <c r="O295" s="148" t="s">
        <v>142</v>
      </c>
      <c r="P295" s="148" t="s">
        <v>142</v>
      </c>
      <c r="Q295" s="148" t="s">
        <v>142</v>
      </c>
      <c r="R295" s="148" t="s">
        <v>2684</v>
      </c>
      <c r="S295" s="148">
        <v>65.7</v>
      </c>
      <c r="T295" s="149" t="s">
        <v>84</v>
      </c>
      <c r="U295" s="148" t="s">
        <v>236</v>
      </c>
      <c r="V295" s="24"/>
      <c r="CM295"/>
      <c r="CN295"/>
      <c r="CO295"/>
      <c r="CP295"/>
      <c r="CQ295"/>
      <c r="CR295"/>
      <c r="CS295"/>
      <c r="CT295"/>
      <c r="CU295"/>
      <c r="CV295"/>
      <c r="CW295"/>
      <c r="CX295"/>
      <c r="CY295"/>
    </row>
    <row r="296" spans="2:103" s="1" customFormat="1" ht="38.25" customHeight="1" x14ac:dyDescent="0.25">
      <c r="B296" s="779">
        <v>44676</v>
      </c>
      <c r="C296" s="145">
        <v>0.97916666666666663</v>
      </c>
      <c r="D296" s="146">
        <v>53</v>
      </c>
      <c r="E296" s="147">
        <v>7.8</v>
      </c>
      <c r="F296" s="147">
        <v>17</v>
      </c>
      <c r="G296" s="147">
        <v>1225</v>
      </c>
      <c r="H296" s="147">
        <v>2237</v>
      </c>
      <c r="I296" s="147">
        <v>105</v>
      </c>
      <c r="J296" s="147">
        <v>121.3</v>
      </c>
      <c r="K296" s="147" t="s">
        <v>2688</v>
      </c>
      <c r="L296" s="147">
        <v>36.5</v>
      </c>
      <c r="M296" s="685">
        <v>39</v>
      </c>
      <c r="N296" s="147">
        <v>40.21</v>
      </c>
      <c r="O296" s="148" t="s">
        <v>142</v>
      </c>
      <c r="P296" s="148" t="s">
        <v>142</v>
      </c>
      <c r="Q296" s="148" t="s">
        <v>142</v>
      </c>
      <c r="R296" s="148" t="s">
        <v>2216</v>
      </c>
      <c r="S296" s="148">
        <v>66.099999999999994</v>
      </c>
      <c r="T296" s="149" t="s">
        <v>84</v>
      </c>
      <c r="U296" s="148" t="s">
        <v>236</v>
      </c>
      <c r="V296" s="24"/>
      <c r="CM296"/>
      <c r="CN296"/>
      <c r="CO296"/>
      <c r="CP296"/>
      <c r="CQ296"/>
      <c r="CR296"/>
      <c r="CS296"/>
      <c r="CT296"/>
      <c r="CU296"/>
      <c r="CV296"/>
      <c r="CW296"/>
      <c r="CX296"/>
      <c r="CY296"/>
    </row>
    <row r="297" spans="2:103" s="1" customFormat="1" ht="38.25" customHeight="1" x14ac:dyDescent="0.25">
      <c r="B297" s="781">
        <v>44677</v>
      </c>
      <c r="C297" s="145">
        <v>0.91666666666666663</v>
      </c>
      <c r="D297" s="146">
        <v>53</v>
      </c>
      <c r="E297" s="147">
        <v>9</v>
      </c>
      <c r="F297" s="147">
        <v>17.399999999999999</v>
      </c>
      <c r="G297" s="147">
        <v>1200</v>
      </c>
      <c r="H297" s="147">
        <v>2210</v>
      </c>
      <c r="I297" s="147">
        <v>105.8</v>
      </c>
      <c r="J297" s="147">
        <v>120.4</v>
      </c>
      <c r="K297" s="147" t="s">
        <v>2696</v>
      </c>
      <c r="L297" s="147">
        <v>36.78</v>
      </c>
      <c r="M297" s="685">
        <v>39</v>
      </c>
      <c r="N297" s="147">
        <v>41.16</v>
      </c>
      <c r="O297" s="148" t="s">
        <v>142</v>
      </c>
      <c r="P297" s="148" t="s">
        <v>142</v>
      </c>
      <c r="Q297" s="148" t="s">
        <v>142</v>
      </c>
      <c r="R297" s="148" t="s">
        <v>2379</v>
      </c>
      <c r="S297" s="148">
        <v>67.7</v>
      </c>
      <c r="T297" s="149" t="s">
        <v>84</v>
      </c>
      <c r="U297" s="148" t="s">
        <v>236</v>
      </c>
      <c r="V297" s="24"/>
      <c r="CM297"/>
      <c r="CN297"/>
      <c r="CO297"/>
      <c r="CP297"/>
      <c r="CQ297"/>
      <c r="CR297"/>
      <c r="CS297"/>
      <c r="CT297"/>
      <c r="CU297"/>
      <c r="CV297"/>
      <c r="CW297"/>
      <c r="CX297"/>
      <c r="CY297"/>
    </row>
    <row r="298" spans="2:103" s="1" customFormat="1" ht="38.25" customHeight="1" x14ac:dyDescent="0.25">
      <c r="B298" s="783">
        <v>44678</v>
      </c>
      <c r="C298" s="145">
        <v>0.91666666666666663</v>
      </c>
      <c r="D298" s="146">
        <v>53</v>
      </c>
      <c r="E298" s="147">
        <v>8.5</v>
      </c>
      <c r="F298" s="147">
        <v>17.3</v>
      </c>
      <c r="G298" s="147">
        <v>1200</v>
      </c>
      <c r="H298" s="147">
        <v>2210</v>
      </c>
      <c r="I298" s="147">
        <v>105.8</v>
      </c>
      <c r="J298" s="147">
        <v>120.4</v>
      </c>
      <c r="K298" s="147" t="s">
        <v>2696</v>
      </c>
      <c r="L298" s="147">
        <v>36.450000000000003</v>
      </c>
      <c r="M298" s="685">
        <v>39</v>
      </c>
      <c r="N298" s="147">
        <v>39.869999999999997</v>
      </c>
      <c r="O298" s="148" t="s">
        <v>142</v>
      </c>
      <c r="P298" s="148" t="s">
        <v>142</v>
      </c>
      <c r="Q298" s="148" t="s">
        <v>142</v>
      </c>
      <c r="R298" s="148" t="s">
        <v>2379</v>
      </c>
      <c r="S298" s="148">
        <v>65.7</v>
      </c>
      <c r="T298" s="149" t="s">
        <v>84</v>
      </c>
      <c r="U298" s="148" t="s">
        <v>236</v>
      </c>
      <c r="V298" s="24"/>
      <c r="CM298"/>
      <c r="CN298"/>
      <c r="CO298"/>
      <c r="CP298"/>
      <c r="CQ298"/>
      <c r="CR298"/>
      <c r="CS298"/>
      <c r="CT298"/>
      <c r="CU298"/>
      <c r="CV298"/>
      <c r="CW298"/>
      <c r="CX298"/>
      <c r="CY298"/>
    </row>
    <row r="299" spans="2:103" s="1" customFormat="1" ht="38.25" customHeight="1" x14ac:dyDescent="0.25">
      <c r="B299" s="785">
        <v>44679</v>
      </c>
      <c r="C299" s="145">
        <v>0.66666666666666663</v>
      </c>
      <c r="D299" s="146">
        <v>53</v>
      </c>
      <c r="E299" s="147">
        <v>7.5</v>
      </c>
      <c r="F299" s="147">
        <v>16.899999999999999</v>
      </c>
      <c r="G299" s="147">
        <v>1200</v>
      </c>
      <c r="H299" s="147">
        <v>2210.6999999999998</v>
      </c>
      <c r="I299" s="147">
        <v>105.8</v>
      </c>
      <c r="J299" s="147">
        <v>120.4</v>
      </c>
      <c r="K299" s="147" t="s">
        <v>2696</v>
      </c>
      <c r="L299" s="147">
        <v>36.54</v>
      </c>
      <c r="M299" s="685">
        <v>39</v>
      </c>
      <c r="N299" s="147">
        <v>40.700000000000003</v>
      </c>
      <c r="O299" s="148" t="s">
        <v>142</v>
      </c>
      <c r="P299" s="148" t="s">
        <v>142</v>
      </c>
      <c r="Q299" s="148" t="s">
        <v>142</v>
      </c>
      <c r="R299" s="148" t="s">
        <v>2660</v>
      </c>
      <c r="S299" s="148">
        <v>65.7</v>
      </c>
      <c r="T299" s="149" t="s">
        <v>84</v>
      </c>
      <c r="U299" s="148" t="s">
        <v>236</v>
      </c>
      <c r="V299" s="24"/>
      <c r="CM299"/>
      <c r="CN299"/>
      <c r="CO299"/>
      <c r="CP299"/>
      <c r="CQ299"/>
      <c r="CR299"/>
      <c r="CS299"/>
      <c r="CT299"/>
      <c r="CU299"/>
      <c r="CV299"/>
      <c r="CW299"/>
      <c r="CX299"/>
      <c r="CY299"/>
    </row>
    <row r="300" spans="2:103" s="1" customFormat="1" ht="38.25" customHeight="1" x14ac:dyDescent="0.25">
      <c r="B300" s="787">
        <v>44680</v>
      </c>
      <c r="C300" s="145">
        <v>0.75</v>
      </c>
      <c r="D300" s="146">
        <v>53</v>
      </c>
      <c r="E300" s="147">
        <v>7.5</v>
      </c>
      <c r="F300" s="147">
        <v>16.899999999999999</v>
      </c>
      <c r="G300" s="147">
        <v>1200</v>
      </c>
      <c r="H300" s="147">
        <v>2210.6999999999998</v>
      </c>
      <c r="I300" s="147">
        <v>105.8</v>
      </c>
      <c r="J300" s="147">
        <v>120.4</v>
      </c>
      <c r="K300" s="147" t="s">
        <v>2696</v>
      </c>
      <c r="L300" s="147">
        <v>36.54</v>
      </c>
      <c r="M300" s="685">
        <v>39</v>
      </c>
      <c r="N300" s="147">
        <v>39.9</v>
      </c>
      <c r="O300" s="148" t="s">
        <v>142</v>
      </c>
      <c r="P300" s="148" t="s">
        <v>142</v>
      </c>
      <c r="Q300" s="148" t="s">
        <v>142</v>
      </c>
      <c r="R300" s="148" t="s">
        <v>2168</v>
      </c>
      <c r="S300" s="148">
        <v>65.7</v>
      </c>
      <c r="T300" s="149" t="s">
        <v>84</v>
      </c>
      <c r="U300" s="148" t="s">
        <v>236</v>
      </c>
      <c r="V300" s="24"/>
      <c r="CM300"/>
      <c r="CN300"/>
      <c r="CO300"/>
      <c r="CP300"/>
      <c r="CQ300"/>
      <c r="CR300"/>
      <c r="CS300"/>
      <c r="CT300"/>
      <c r="CU300"/>
      <c r="CV300"/>
      <c r="CW300"/>
      <c r="CX300"/>
      <c r="CY300"/>
    </row>
    <row r="301" spans="2:103" s="1" customFormat="1" ht="38.25" customHeight="1" x14ac:dyDescent="0.25">
      <c r="B301" s="789">
        <v>44681</v>
      </c>
      <c r="C301" s="145">
        <v>0.75</v>
      </c>
      <c r="D301" s="146">
        <v>53</v>
      </c>
      <c r="E301" s="147">
        <v>7.8</v>
      </c>
      <c r="F301" s="147">
        <v>16.899999999999999</v>
      </c>
      <c r="G301" s="147">
        <v>1200</v>
      </c>
      <c r="H301" s="147">
        <v>2210.6999999999998</v>
      </c>
      <c r="I301" s="147">
        <v>105.8</v>
      </c>
      <c r="J301" s="147">
        <v>120.4</v>
      </c>
      <c r="K301" s="147" t="s">
        <v>2696</v>
      </c>
      <c r="L301" s="147">
        <v>36.799999999999997</v>
      </c>
      <c r="M301" s="685">
        <v>39</v>
      </c>
      <c r="N301" s="147">
        <v>41.77</v>
      </c>
      <c r="O301" s="148" t="s">
        <v>142</v>
      </c>
      <c r="P301" s="148" t="s">
        <v>142</v>
      </c>
      <c r="Q301" s="148" t="s">
        <v>142</v>
      </c>
      <c r="R301" s="148" t="s">
        <v>2291</v>
      </c>
      <c r="S301" s="148">
        <v>65.7</v>
      </c>
      <c r="T301" s="149" t="s">
        <v>84</v>
      </c>
      <c r="U301" s="148" t="s">
        <v>236</v>
      </c>
      <c r="V301" s="24"/>
      <c r="CM301"/>
      <c r="CN301"/>
      <c r="CO301"/>
      <c r="CP301"/>
      <c r="CQ301"/>
      <c r="CR301"/>
      <c r="CS301"/>
      <c r="CT301"/>
      <c r="CU301"/>
      <c r="CV301"/>
      <c r="CW301"/>
      <c r="CX301"/>
      <c r="CY301"/>
    </row>
    <row r="302" spans="2:103" s="1" customFormat="1" ht="38.25" customHeight="1" x14ac:dyDescent="0.25">
      <c r="B302" s="791">
        <v>44682</v>
      </c>
      <c r="C302" s="145">
        <v>0.70833333333333337</v>
      </c>
      <c r="D302" s="146">
        <v>53</v>
      </c>
      <c r="E302" s="147">
        <v>7.6</v>
      </c>
      <c r="F302" s="147">
        <v>16.899999999999999</v>
      </c>
      <c r="G302" s="147">
        <v>1200</v>
      </c>
      <c r="H302" s="147">
        <v>2210.6999999999998</v>
      </c>
      <c r="I302" s="147">
        <v>105.8</v>
      </c>
      <c r="J302" s="147">
        <v>120.4</v>
      </c>
      <c r="K302" s="147" t="s">
        <v>2696</v>
      </c>
      <c r="L302" s="147">
        <v>37.33</v>
      </c>
      <c r="M302" s="685">
        <v>39</v>
      </c>
      <c r="N302" s="147">
        <v>39.06</v>
      </c>
      <c r="O302" s="148" t="s">
        <v>142</v>
      </c>
      <c r="P302" s="148" t="s">
        <v>142</v>
      </c>
      <c r="Q302" s="148" t="s">
        <v>142</v>
      </c>
      <c r="R302" s="148" t="s">
        <v>2056</v>
      </c>
      <c r="S302" s="148">
        <v>65.7</v>
      </c>
      <c r="T302" s="149" t="s">
        <v>84</v>
      </c>
      <c r="U302" s="148" t="s">
        <v>236</v>
      </c>
      <c r="V302" s="24"/>
      <c r="CM302"/>
      <c r="CN302"/>
      <c r="CO302"/>
      <c r="CP302"/>
      <c r="CQ302"/>
      <c r="CR302"/>
      <c r="CS302"/>
      <c r="CT302"/>
      <c r="CU302"/>
      <c r="CV302"/>
      <c r="CW302"/>
      <c r="CX302"/>
      <c r="CY302"/>
    </row>
    <row r="303" spans="2:103" s="1" customFormat="1" ht="38.25" customHeight="1" x14ac:dyDescent="0.25">
      <c r="B303" s="795">
        <v>44683</v>
      </c>
      <c r="C303" s="145">
        <v>0.77083333333333337</v>
      </c>
      <c r="D303" s="146">
        <v>53</v>
      </c>
      <c r="E303" s="147">
        <v>7.7</v>
      </c>
      <c r="F303" s="147">
        <v>17</v>
      </c>
      <c r="G303" s="147">
        <v>1200</v>
      </c>
      <c r="H303" s="147">
        <v>2210.6999999999998</v>
      </c>
      <c r="I303" s="147">
        <v>105.8</v>
      </c>
      <c r="J303" s="147">
        <v>120.4</v>
      </c>
      <c r="K303" s="147" t="s">
        <v>2696</v>
      </c>
      <c r="L303" s="147">
        <v>36.29</v>
      </c>
      <c r="M303" s="685">
        <v>38</v>
      </c>
      <c r="N303" s="147">
        <v>37.869999999999997</v>
      </c>
      <c r="O303" s="148" t="s">
        <v>142</v>
      </c>
      <c r="P303" s="148" t="s">
        <v>142</v>
      </c>
      <c r="Q303" s="148" t="s">
        <v>142</v>
      </c>
      <c r="R303" s="148" t="s">
        <v>2767</v>
      </c>
      <c r="S303" s="148">
        <v>65.7</v>
      </c>
      <c r="T303" s="149" t="s">
        <v>84</v>
      </c>
      <c r="U303" s="148" t="s">
        <v>236</v>
      </c>
      <c r="V303" s="24"/>
      <c r="CM303"/>
      <c r="CN303"/>
      <c r="CO303"/>
      <c r="CP303"/>
      <c r="CQ303"/>
      <c r="CR303"/>
      <c r="CS303"/>
      <c r="CT303"/>
      <c r="CU303"/>
      <c r="CV303"/>
      <c r="CW303"/>
      <c r="CX303"/>
      <c r="CY303"/>
    </row>
    <row r="304" spans="2:103" s="1" customFormat="1" ht="38.25" customHeight="1" x14ac:dyDescent="0.25">
      <c r="B304" s="797">
        <v>44684</v>
      </c>
      <c r="C304" s="145">
        <v>0.77083333333333337</v>
      </c>
      <c r="D304" s="146">
        <v>53</v>
      </c>
      <c r="E304" s="147">
        <v>9</v>
      </c>
      <c r="F304" s="147">
        <v>17.399999999999999</v>
      </c>
      <c r="G304" s="147">
        <v>1200.3</v>
      </c>
      <c r="H304" s="147">
        <v>2210.6999999999998</v>
      </c>
      <c r="I304" s="147">
        <v>105.8</v>
      </c>
      <c r="J304" s="147">
        <v>120</v>
      </c>
      <c r="K304" s="147" t="s">
        <v>2696</v>
      </c>
      <c r="L304" s="147">
        <v>38.42</v>
      </c>
      <c r="M304" s="685">
        <v>40</v>
      </c>
      <c r="N304" s="147">
        <v>40.43</v>
      </c>
      <c r="O304" s="148" t="s">
        <v>142</v>
      </c>
      <c r="P304" s="148" t="s">
        <v>142</v>
      </c>
      <c r="Q304" s="148" t="s">
        <v>142</v>
      </c>
      <c r="R304" s="148" t="s">
        <v>2379</v>
      </c>
      <c r="S304" s="148">
        <v>67.7</v>
      </c>
      <c r="T304" s="149" t="s">
        <v>84</v>
      </c>
      <c r="U304" s="148" t="s">
        <v>236</v>
      </c>
      <c r="V304" s="24"/>
      <c r="CM304"/>
      <c r="CN304"/>
      <c r="CO304"/>
      <c r="CP304"/>
      <c r="CQ304"/>
      <c r="CR304"/>
      <c r="CS304"/>
      <c r="CT304"/>
      <c r="CU304"/>
      <c r="CV304"/>
      <c r="CW304"/>
      <c r="CX304"/>
      <c r="CY304"/>
    </row>
    <row r="305" spans="2:103" s="1" customFormat="1" ht="38.25" customHeight="1" x14ac:dyDescent="0.25">
      <c r="B305" s="800">
        <v>44685</v>
      </c>
      <c r="C305" s="145">
        <v>0.75</v>
      </c>
      <c r="D305" s="146">
        <v>53</v>
      </c>
      <c r="E305" s="147">
        <v>8.6</v>
      </c>
      <c r="F305" s="147">
        <v>17.3</v>
      </c>
      <c r="G305" s="147">
        <v>1200.3</v>
      </c>
      <c r="H305" s="147">
        <v>2210.6999999999998</v>
      </c>
      <c r="I305" s="147">
        <v>105.8</v>
      </c>
      <c r="J305" s="147">
        <v>120</v>
      </c>
      <c r="K305" s="147" t="s">
        <v>2696</v>
      </c>
      <c r="L305" s="147">
        <v>36.119999999999997</v>
      </c>
      <c r="M305" s="685">
        <v>40</v>
      </c>
      <c r="N305" s="147">
        <v>43.15</v>
      </c>
      <c r="O305" s="148" t="s">
        <v>142</v>
      </c>
      <c r="P305" s="148" t="s">
        <v>142</v>
      </c>
      <c r="Q305" s="148" t="s">
        <v>142</v>
      </c>
      <c r="R305" s="148" t="s">
        <v>2351</v>
      </c>
      <c r="S305" s="148">
        <v>67.3</v>
      </c>
      <c r="T305" s="149" t="s">
        <v>84</v>
      </c>
      <c r="U305" s="148" t="s">
        <v>236</v>
      </c>
      <c r="V305" s="24"/>
      <c r="CM305"/>
      <c r="CN305"/>
      <c r="CO305"/>
      <c r="CP305"/>
      <c r="CQ305"/>
      <c r="CR305"/>
      <c r="CS305"/>
      <c r="CT305"/>
      <c r="CU305"/>
      <c r="CV305"/>
      <c r="CW305"/>
      <c r="CX305"/>
      <c r="CY305"/>
    </row>
    <row r="306" spans="2:103" s="1" customFormat="1" ht="38.25" customHeight="1" x14ac:dyDescent="0.25">
      <c r="B306" s="802">
        <v>44686</v>
      </c>
      <c r="C306" s="145">
        <v>0.79166666666666663</v>
      </c>
      <c r="D306" s="146">
        <v>53</v>
      </c>
      <c r="E306" s="147">
        <v>9.1999999999999993</v>
      </c>
      <c r="F306" s="147">
        <v>17.600000000000001</v>
      </c>
      <c r="G306" s="147">
        <v>1200.3</v>
      </c>
      <c r="H306" s="147">
        <v>2210.6999999999998</v>
      </c>
      <c r="I306" s="147">
        <v>105.8</v>
      </c>
      <c r="J306" s="147">
        <v>120</v>
      </c>
      <c r="K306" s="147" t="s">
        <v>2696</v>
      </c>
      <c r="L306" s="147">
        <v>35.880000000000003</v>
      </c>
      <c r="M306" s="685">
        <v>40</v>
      </c>
      <c r="N306" s="147">
        <v>39.51</v>
      </c>
      <c r="O306" s="148" t="s">
        <v>142</v>
      </c>
      <c r="P306" s="148" t="s">
        <v>142</v>
      </c>
      <c r="Q306" s="148" t="s">
        <v>142</v>
      </c>
      <c r="R306" s="148" t="s">
        <v>2518</v>
      </c>
      <c r="S306" s="148">
        <v>68.400000000000006</v>
      </c>
      <c r="T306" s="149" t="s">
        <v>84</v>
      </c>
      <c r="U306" s="148" t="s">
        <v>236</v>
      </c>
      <c r="V306" s="24"/>
      <c r="CM306"/>
      <c r="CN306"/>
      <c r="CO306"/>
      <c r="CP306"/>
      <c r="CQ306"/>
      <c r="CR306"/>
      <c r="CS306"/>
      <c r="CT306"/>
      <c r="CU306"/>
      <c r="CV306"/>
      <c r="CW306"/>
      <c r="CX306"/>
      <c r="CY306"/>
    </row>
    <row r="307" spans="2:103" s="1" customFormat="1" ht="38.25" customHeight="1" x14ac:dyDescent="0.25">
      <c r="B307" s="804">
        <v>44687</v>
      </c>
      <c r="C307" s="145">
        <v>0.77083333333333337</v>
      </c>
      <c r="D307" s="146">
        <v>53</v>
      </c>
      <c r="E307" s="147">
        <v>9.1999999999999993</v>
      </c>
      <c r="F307" s="147">
        <v>17.600000000000001</v>
      </c>
      <c r="G307" s="147">
        <v>1200.3</v>
      </c>
      <c r="H307" s="147">
        <v>2210.6999999999998</v>
      </c>
      <c r="I307" s="147">
        <v>105.8</v>
      </c>
      <c r="J307" s="147">
        <v>120</v>
      </c>
      <c r="K307" s="147" t="s">
        <v>2696</v>
      </c>
      <c r="L307" s="147">
        <v>36.200000000000003</v>
      </c>
      <c r="M307" s="685">
        <v>38</v>
      </c>
      <c r="N307" s="147">
        <v>40.520000000000003</v>
      </c>
      <c r="O307" s="148" t="s">
        <v>142</v>
      </c>
      <c r="P307" s="148" t="s">
        <v>142</v>
      </c>
      <c r="Q307" s="148" t="s">
        <v>142</v>
      </c>
      <c r="R307" s="148" t="s">
        <v>2518</v>
      </c>
      <c r="S307" s="148">
        <v>68.400000000000006</v>
      </c>
      <c r="T307" s="149" t="s">
        <v>84</v>
      </c>
      <c r="U307" s="148" t="s">
        <v>236</v>
      </c>
      <c r="V307" s="24"/>
      <c r="CM307"/>
      <c r="CN307"/>
      <c r="CO307"/>
      <c r="CP307"/>
      <c r="CQ307"/>
      <c r="CR307"/>
      <c r="CS307"/>
      <c r="CT307"/>
      <c r="CU307"/>
      <c r="CV307"/>
      <c r="CW307"/>
      <c r="CX307"/>
      <c r="CY307"/>
    </row>
    <row r="308" spans="2:103" s="1" customFormat="1" ht="38.25" customHeight="1" x14ac:dyDescent="0.25">
      <c r="B308" s="806">
        <v>44688</v>
      </c>
      <c r="C308" s="145">
        <v>0.8125</v>
      </c>
      <c r="D308" s="146">
        <v>53</v>
      </c>
      <c r="E308" s="147">
        <v>7.7</v>
      </c>
      <c r="F308" s="147">
        <v>16.899999999999999</v>
      </c>
      <c r="G308" s="147">
        <v>1200.3</v>
      </c>
      <c r="H308" s="147">
        <v>2210.6999999999998</v>
      </c>
      <c r="I308" s="147">
        <v>105.8</v>
      </c>
      <c r="J308" s="147">
        <v>120</v>
      </c>
      <c r="K308" s="147" t="s">
        <v>2696</v>
      </c>
      <c r="L308" s="147">
        <v>34.58</v>
      </c>
      <c r="M308" s="685">
        <v>38</v>
      </c>
      <c r="N308" s="147">
        <v>39.79</v>
      </c>
      <c r="O308" s="148" t="s">
        <v>142</v>
      </c>
      <c r="P308" s="148" t="s">
        <v>142</v>
      </c>
      <c r="Q308" s="148" t="s">
        <v>142</v>
      </c>
      <c r="R308" s="148" t="s">
        <v>2684</v>
      </c>
      <c r="S308" s="148">
        <v>65.7</v>
      </c>
      <c r="T308" s="149" t="s">
        <v>84</v>
      </c>
      <c r="U308" s="148" t="s">
        <v>236</v>
      </c>
      <c r="V308" s="24"/>
      <c r="CM308"/>
      <c r="CN308"/>
      <c r="CO308"/>
      <c r="CP308"/>
      <c r="CQ308"/>
      <c r="CR308"/>
      <c r="CS308"/>
      <c r="CT308"/>
      <c r="CU308"/>
      <c r="CV308"/>
      <c r="CW308"/>
      <c r="CX308"/>
      <c r="CY308"/>
    </row>
    <row r="309" spans="2:103" s="1" customFormat="1" ht="38.25" customHeight="1" x14ac:dyDescent="0.25">
      <c r="B309" s="808">
        <v>44689</v>
      </c>
      <c r="C309" s="809">
        <v>0.91666666666666663</v>
      </c>
      <c r="D309" s="810">
        <v>53</v>
      </c>
      <c r="E309" s="811">
        <v>8.9</v>
      </c>
      <c r="F309" s="811">
        <v>17.399999999999999</v>
      </c>
      <c r="G309" s="811">
        <v>1200</v>
      </c>
      <c r="H309" s="811">
        <v>2210</v>
      </c>
      <c r="I309" s="811">
        <v>105.8</v>
      </c>
      <c r="J309" s="811">
        <v>120.4</v>
      </c>
      <c r="K309" s="811" t="s">
        <v>2696</v>
      </c>
      <c r="L309" s="811">
        <v>33.22</v>
      </c>
      <c r="M309" s="812">
        <v>35.5</v>
      </c>
      <c r="N309" s="811">
        <v>43.23</v>
      </c>
      <c r="O309" s="813" t="s">
        <v>142</v>
      </c>
      <c r="P309" s="813" t="s">
        <v>142</v>
      </c>
      <c r="Q309" s="813" t="s">
        <v>142</v>
      </c>
      <c r="R309" s="813" t="s">
        <v>2379</v>
      </c>
      <c r="S309" s="813">
        <v>67.7</v>
      </c>
      <c r="T309" s="814" t="s">
        <v>84</v>
      </c>
      <c r="U309" s="813" t="s">
        <v>236</v>
      </c>
      <c r="V309" s="818" t="s">
        <v>2824</v>
      </c>
      <c r="CM309"/>
      <c r="CN309"/>
      <c r="CO309"/>
      <c r="CP309"/>
      <c r="CQ309"/>
      <c r="CR309"/>
      <c r="CS309"/>
      <c r="CT309"/>
      <c r="CU309"/>
      <c r="CV309"/>
      <c r="CW309"/>
      <c r="CX309"/>
      <c r="CY309"/>
    </row>
    <row r="310" spans="2:103" s="1" customFormat="1" ht="38.25" customHeight="1" x14ac:dyDescent="0.25">
      <c r="B310" s="808">
        <v>44690</v>
      </c>
      <c r="C310" s="809">
        <v>0.91666666666666663</v>
      </c>
      <c r="D310" s="810">
        <v>53</v>
      </c>
      <c r="E310" s="811">
        <v>9.1</v>
      </c>
      <c r="F310" s="811">
        <v>17.5</v>
      </c>
      <c r="G310" s="811">
        <v>1200</v>
      </c>
      <c r="H310" s="811">
        <v>2210</v>
      </c>
      <c r="I310" s="811">
        <v>105.8</v>
      </c>
      <c r="J310" s="811">
        <v>120.4</v>
      </c>
      <c r="K310" s="811" t="s">
        <v>2696</v>
      </c>
      <c r="L310" s="811">
        <v>33.909999999999997</v>
      </c>
      <c r="M310" s="812">
        <v>36</v>
      </c>
      <c r="N310" s="811">
        <v>39.799999999999997</v>
      </c>
      <c r="O310" s="813" t="s">
        <v>142</v>
      </c>
      <c r="P310" s="813" t="s">
        <v>142</v>
      </c>
      <c r="Q310" s="813" t="s">
        <v>142</v>
      </c>
      <c r="R310" s="813" t="s">
        <v>2379</v>
      </c>
      <c r="S310" s="813">
        <v>68.8</v>
      </c>
      <c r="T310" s="814" t="s">
        <v>84</v>
      </c>
      <c r="U310" s="813" t="s">
        <v>236</v>
      </c>
      <c r="V310" s="818" t="s">
        <v>2824</v>
      </c>
      <c r="CM310"/>
      <c r="CN310"/>
      <c r="CO310"/>
      <c r="CP310"/>
      <c r="CQ310"/>
      <c r="CR310"/>
      <c r="CS310"/>
      <c r="CT310"/>
      <c r="CU310"/>
      <c r="CV310"/>
      <c r="CW310"/>
      <c r="CX310"/>
      <c r="CY310"/>
    </row>
    <row r="311" spans="2:103" s="1" customFormat="1" ht="38.25" customHeight="1" x14ac:dyDescent="0.25">
      <c r="B311" s="808">
        <v>44691</v>
      </c>
      <c r="C311" s="809">
        <v>0.95833333333333337</v>
      </c>
      <c r="D311" s="810">
        <v>53</v>
      </c>
      <c r="E311" s="811">
        <v>8.9</v>
      </c>
      <c r="F311" s="811">
        <v>17.399999999999999</v>
      </c>
      <c r="G311" s="811">
        <v>1200</v>
      </c>
      <c r="H311" s="811">
        <v>2210</v>
      </c>
      <c r="I311" s="811">
        <v>105.8</v>
      </c>
      <c r="J311" s="811">
        <v>120.4</v>
      </c>
      <c r="K311" s="811" t="s">
        <v>2696</v>
      </c>
      <c r="L311" s="811">
        <v>36.28</v>
      </c>
      <c r="M311" s="812">
        <v>38.6</v>
      </c>
      <c r="N311" s="811">
        <v>37.11</v>
      </c>
      <c r="O311" s="813" t="s">
        <v>142</v>
      </c>
      <c r="P311" s="813" t="s">
        <v>142</v>
      </c>
      <c r="Q311" s="813" t="s">
        <v>142</v>
      </c>
      <c r="R311" s="813" t="s">
        <v>2379</v>
      </c>
      <c r="S311" s="813">
        <v>67.7</v>
      </c>
      <c r="T311" s="814" t="s">
        <v>84</v>
      </c>
      <c r="U311" s="813" t="s">
        <v>236</v>
      </c>
      <c r="V311" s="818" t="s">
        <v>2824</v>
      </c>
      <c r="CM311"/>
      <c r="CN311"/>
      <c r="CO311"/>
      <c r="CP311"/>
      <c r="CQ311"/>
      <c r="CR311"/>
      <c r="CS311"/>
      <c r="CT311"/>
      <c r="CU311"/>
      <c r="CV311"/>
      <c r="CW311"/>
      <c r="CX311"/>
      <c r="CY311"/>
    </row>
    <row r="312" spans="2:103" s="1" customFormat="1" ht="38.25" customHeight="1" x14ac:dyDescent="0.25">
      <c r="B312" s="808">
        <v>44692</v>
      </c>
      <c r="C312" s="809">
        <v>0.89583333333333337</v>
      </c>
      <c r="D312" s="810">
        <v>53</v>
      </c>
      <c r="E312" s="811">
        <v>9</v>
      </c>
      <c r="F312" s="811">
        <v>17.399999999999999</v>
      </c>
      <c r="G312" s="811">
        <v>1200.3</v>
      </c>
      <c r="H312" s="811">
        <v>2210.6999999999998</v>
      </c>
      <c r="I312" s="811">
        <v>105.8</v>
      </c>
      <c r="J312" s="811">
        <v>120.4</v>
      </c>
      <c r="K312" s="811" t="s">
        <v>2696</v>
      </c>
      <c r="L312" s="811">
        <v>35.99</v>
      </c>
      <c r="M312" s="812">
        <v>38.5</v>
      </c>
      <c r="N312" s="811">
        <v>40.93</v>
      </c>
      <c r="O312" s="813" t="s">
        <v>142</v>
      </c>
      <c r="P312" s="813" t="s">
        <v>142</v>
      </c>
      <c r="Q312" s="813" t="s">
        <v>142</v>
      </c>
      <c r="R312" s="813" t="s">
        <v>2830</v>
      </c>
      <c r="S312" s="813">
        <v>67.7</v>
      </c>
      <c r="T312" s="814" t="s">
        <v>84</v>
      </c>
      <c r="U312" s="813" t="s">
        <v>236</v>
      </c>
      <c r="V312" s="818" t="s">
        <v>2824</v>
      </c>
      <c r="CM312"/>
      <c r="CN312"/>
      <c r="CO312"/>
      <c r="CP312"/>
      <c r="CQ312"/>
      <c r="CR312"/>
      <c r="CS312"/>
      <c r="CT312"/>
      <c r="CU312"/>
      <c r="CV312"/>
      <c r="CW312"/>
      <c r="CX312"/>
      <c r="CY312"/>
    </row>
    <row r="313" spans="2:103" s="1" customFormat="1" ht="38.25" customHeight="1" x14ac:dyDescent="0.25">
      <c r="B313" s="808">
        <v>44693</v>
      </c>
      <c r="C313" s="809">
        <v>0.95833333333333337</v>
      </c>
      <c r="D313" s="810">
        <v>53</v>
      </c>
      <c r="E313" s="811">
        <v>7.6</v>
      </c>
      <c r="F313" s="811">
        <v>16.899999999999999</v>
      </c>
      <c r="G313" s="811">
        <v>1200.3</v>
      </c>
      <c r="H313" s="811">
        <v>2210.6999999999998</v>
      </c>
      <c r="I313" s="811">
        <v>105.8</v>
      </c>
      <c r="J313" s="811">
        <v>120.4</v>
      </c>
      <c r="K313" s="811" t="s">
        <v>2696</v>
      </c>
      <c r="L313" s="811">
        <v>36.020000000000003</v>
      </c>
      <c r="M313" s="812">
        <v>39</v>
      </c>
      <c r="N313" s="811">
        <v>39.86</v>
      </c>
      <c r="O313" s="813" t="s">
        <v>142</v>
      </c>
      <c r="P313" s="813" t="s">
        <v>142</v>
      </c>
      <c r="Q313" s="813" t="s">
        <v>142</v>
      </c>
      <c r="R313" s="813" t="s">
        <v>2684</v>
      </c>
      <c r="S313" s="813">
        <v>65.7</v>
      </c>
      <c r="T313" s="814" t="s">
        <v>84</v>
      </c>
      <c r="U313" s="813" t="s">
        <v>236</v>
      </c>
      <c r="V313" s="818" t="s">
        <v>2824</v>
      </c>
      <c r="CM313"/>
      <c r="CN313"/>
      <c r="CO313"/>
      <c r="CP313"/>
      <c r="CQ313"/>
      <c r="CR313"/>
      <c r="CS313"/>
      <c r="CT313"/>
      <c r="CU313"/>
      <c r="CV313"/>
      <c r="CW313"/>
      <c r="CX313"/>
      <c r="CY313"/>
    </row>
    <row r="314" spans="2:103" s="1" customFormat="1" ht="38.25" customHeight="1" x14ac:dyDescent="0.25">
      <c r="B314" s="808">
        <v>44694</v>
      </c>
      <c r="C314" s="809">
        <v>0.91666666666666663</v>
      </c>
      <c r="D314" s="810">
        <v>53</v>
      </c>
      <c r="E314" s="811">
        <v>8.8000000000000007</v>
      </c>
      <c r="F314" s="811">
        <v>17.399999999999999</v>
      </c>
      <c r="G314" s="811">
        <v>1200.3</v>
      </c>
      <c r="H314" s="811">
        <v>2210.6999999999998</v>
      </c>
      <c r="I314" s="811">
        <v>105.8</v>
      </c>
      <c r="J314" s="811">
        <v>120.4</v>
      </c>
      <c r="K314" s="811" t="s">
        <v>2696</v>
      </c>
      <c r="L314" s="811">
        <v>34.35</v>
      </c>
      <c r="M314" s="812">
        <v>36.5</v>
      </c>
      <c r="N314" s="811">
        <v>40.39</v>
      </c>
      <c r="O314" s="813" t="s">
        <v>142</v>
      </c>
      <c r="P314" s="813" t="s">
        <v>142</v>
      </c>
      <c r="Q314" s="813" t="s">
        <v>142</v>
      </c>
      <c r="R314" s="813" t="s">
        <v>2679</v>
      </c>
      <c r="S314" s="813">
        <v>67.7</v>
      </c>
      <c r="T314" s="814" t="s">
        <v>84</v>
      </c>
      <c r="U314" s="813" t="s">
        <v>236</v>
      </c>
      <c r="V314" s="818" t="s">
        <v>2824</v>
      </c>
      <c r="CM314"/>
      <c r="CN314"/>
      <c r="CO314"/>
      <c r="CP314"/>
      <c r="CQ314"/>
      <c r="CR314"/>
      <c r="CS314"/>
      <c r="CT314"/>
      <c r="CU314"/>
      <c r="CV314"/>
      <c r="CW314"/>
      <c r="CX314"/>
      <c r="CY314"/>
    </row>
    <row r="315" spans="2:103" s="1" customFormat="1" ht="38.25" customHeight="1" x14ac:dyDescent="0.25">
      <c r="B315" s="808">
        <v>44695</v>
      </c>
      <c r="C315" s="809">
        <v>0.75</v>
      </c>
      <c r="D315" s="810">
        <v>53</v>
      </c>
      <c r="E315" s="811">
        <v>7.5</v>
      </c>
      <c r="F315" s="811">
        <v>16.899999999999999</v>
      </c>
      <c r="G315" s="811">
        <v>1200.3</v>
      </c>
      <c r="H315" s="811">
        <v>2210.6999999999998</v>
      </c>
      <c r="I315" s="811">
        <v>105.8</v>
      </c>
      <c r="J315" s="811">
        <v>120.4</v>
      </c>
      <c r="K315" s="811" t="s">
        <v>2696</v>
      </c>
      <c r="L315" s="811">
        <v>35.25</v>
      </c>
      <c r="M315" s="812">
        <v>37</v>
      </c>
      <c r="N315" s="811">
        <v>40.43</v>
      </c>
      <c r="O315" s="813" t="s">
        <v>142</v>
      </c>
      <c r="P315" s="813" t="s">
        <v>142</v>
      </c>
      <c r="Q315" s="813" t="s">
        <v>142</v>
      </c>
      <c r="R315" s="813" t="s">
        <v>2857</v>
      </c>
      <c r="S315" s="813">
        <v>65.7</v>
      </c>
      <c r="T315" s="814" t="s">
        <v>84</v>
      </c>
      <c r="U315" s="813" t="s">
        <v>236</v>
      </c>
      <c r="V315" s="818" t="s">
        <v>2824</v>
      </c>
      <c r="CM315"/>
      <c r="CN315"/>
      <c r="CO315"/>
      <c r="CP315"/>
      <c r="CQ315"/>
      <c r="CR315"/>
      <c r="CS315"/>
      <c r="CT315"/>
      <c r="CU315"/>
      <c r="CV315"/>
      <c r="CW315"/>
      <c r="CX315"/>
      <c r="CY315"/>
    </row>
    <row r="316" spans="2:103" s="1" customFormat="1" ht="38.25" customHeight="1" x14ac:dyDescent="0.25">
      <c r="B316" s="808">
        <v>44696</v>
      </c>
      <c r="C316" s="809">
        <v>0.75</v>
      </c>
      <c r="D316" s="810">
        <v>53</v>
      </c>
      <c r="E316" s="811">
        <v>7.6</v>
      </c>
      <c r="F316" s="811">
        <v>16.899999999999999</v>
      </c>
      <c r="G316" s="811">
        <v>1200.3</v>
      </c>
      <c r="H316" s="811">
        <v>2210.6999999999998</v>
      </c>
      <c r="I316" s="811">
        <v>105.8</v>
      </c>
      <c r="J316" s="811">
        <v>120.4</v>
      </c>
      <c r="K316" s="811" t="s">
        <v>2696</v>
      </c>
      <c r="L316" s="811">
        <v>37.18</v>
      </c>
      <c r="M316" s="812">
        <v>39</v>
      </c>
      <c r="N316" s="811">
        <v>39.65</v>
      </c>
      <c r="O316" s="813" t="s">
        <v>142</v>
      </c>
      <c r="P316" s="813" t="s">
        <v>142</v>
      </c>
      <c r="Q316" s="813" t="s">
        <v>142</v>
      </c>
      <c r="R316" s="813" t="s">
        <v>2857</v>
      </c>
      <c r="S316" s="813">
        <v>65.7</v>
      </c>
      <c r="T316" s="814" t="s">
        <v>84</v>
      </c>
      <c r="U316" s="813" t="s">
        <v>236</v>
      </c>
      <c r="V316" s="818" t="s">
        <v>2824</v>
      </c>
      <c r="CM316"/>
      <c r="CN316"/>
      <c r="CO316"/>
      <c r="CP316"/>
      <c r="CQ316"/>
      <c r="CR316"/>
      <c r="CS316"/>
      <c r="CT316"/>
      <c r="CU316"/>
      <c r="CV316"/>
      <c r="CW316"/>
      <c r="CX316"/>
      <c r="CY316"/>
    </row>
    <row r="317" spans="2:103" s="1" customFormat="1" ht="38.25" customHeight="1" x14ac:dyDescent="0.25">
      <c r="B317" s="808">
        <v>44697</v>
      </c>
      <c r="C317" s="809">
        <v>0.75</v>
      </c>
      <c r="D317" s="810">
        <v>53</v>
      </c>
      <c r="E317" s="811">
        <v>8.1</v>
      </c>
      <c r="F317" s="811">
        <v>17.100000000000001</v>
      </c>
      <c r="G317" s="811">
        <v>1200.3</v>
      </c>
      <c r="H317" s="811">
        <v>2210.6999999999998</v>
      </c>
      <c r="I317" s="811">
        <v>105.8</v>
      </c>
      <c r="J317" s="811">
        <v>120.4</v>
      </c>
      <c r="K317" s="811" t="s">
        <v>2696</v>
      </c>
      <c r="L317" s="811">
        <v>34.78</v>
      </c>
      <c r="M317" s="812">
        <v>38</v>
      </c>
      <c r="N317" s="811">
        <v>38.9</v>
      </c>
      <c r="O317" s="813" t="s">
        <v>142</v>
      </c>
      <c r="P317" s="813" t="s">
        <v>142</v>
      </c>
      <c r="Q317" s="813" t="s">
        <v>142</v>
      </c>
      <c r="R317" s="813" t="s">
        <v>2861</v>
      </c>
      <c r="S317" s="813">
        <v>66.7</v>
      </c>
      <c r="T317" s="814" t="s">
        <v>84</v>
      </c>
      <c r="U317" s="813" t="s">
        <v>236</v>
      </c>
      <c r="V317" s="818" t="s">
        <v>2824</v>
      </c>
      <c r="CM317"/>
      <c r="CN317"/>
      <c r="CO317"/>
      <c r="CP317"/>
      <c r="CQ317"/>
      <c r="CR317"/>
      <c r="CS317"/>
      <c r="CT317"/>
      <c r="CU317"/>
      <c r="CV317"/>
      <c r="CW317"/>
      <c r="CX317"/>
      <c r="CY317"/>
    </row>
    <row r="318" spans="2:103" s="1" customFormat="1" ht="38.25" customHeight="1" x14ac:dyDescent="0.25">
      <c r="B318" s="808">
        <v>44698</v>
      </c>
      <c r="C318" s="809">
        <v>0.75</v>
      </c>
      <c r="D318" s="810">
        <v>53</v>
      </c>
      <c r="E318" s="811">
        <v>8.9</v>
      </c>
      <c r="F318" s="811">
        <v>17.399999999999999</v>
      </c>
      <c r="G318" s="811">
        <v>1200.3</v>
      </c>
      <c r="H318" s="811">
        <v>2210.6999999999998</v>
      </c>
      <c r="I318" s="811">
        <v>105.8</v>
      </c>
      <c r="J318" s="811">
        <v>120.4</v>
      </c>
      <c r="K318" s="811" t="s">
        <v>2696</v>
      </c>
      <c r="L318" s="811">
        <v>36.5</v>
      </c>
      <c r="M318" s="812">
        <v>38</v>
      </c>
      <c r="N318" s="811">
        <v>40.200000000000003</v>
      </c>
      <c r="O318" s="813" t="s">
        <v>142</v>
      </c>
      <c r="P318" s="813" t="s">
        <v>142</v>
      </c>
      <c r="Q318" s="813" t="s">
        <v>142</v>
      </c>
      <c r="R318" s="813" t="s">
        <v>2880</v>
      </c>
      <c r="S318" s="813">
        <v>65.7</v>
      </c>
      <c r="T318" s="814" t="s">
        <v>84</v>
      </c>
      <c r="U318" s="813" t="s">
        <v>236</v>
      </c>
      <c r="V318" s="818" t="s">
        <v>2824</v>
      </c>
      <c r="CM318"/>
      <c r="CN318"/>
      <c r="CO318"/>
      <c r="CP318"/>
      <c r="CQ318"/>
      <c r="CR318"/>
      <c r="CS318"/>
      <c r="CT318"/>
      <c r="CU318"/>
      <c r="CV318"/>
      <c r="CW318"/>
      <c r="CX318"/>
      <c r="CY318"/>
    </row>
    <row r="319" spans="2:103" s="1" customFormat="1" ht="38.25" customHeight="1" x14ac:dyDescent="0.25">
      <c r="B319" s="808">
        <v>44699</v>
      </c>
      <c r="C319" s="809">
        <v>0.75</v>
      </c>
      <c r="D319" s="810">
        <v>53</v>
      </c>
      <c r="E319" s="811">
        <v>8.8000000000000007</v>
      </c>
      <c r="F319" s="811">
        <v>17.2</v>
      </c>
      <c r="G319" s="811">
        <v>1200.3</v>
      </c>
      <c r="H319" s="811">
        <v>2210.6999999999998</v>
      </c>
      <c r="I319" s="811">
        <v>105.8</v>
      </c>
      <c r="J319" s="811">
        <v>120.4</v>
      </c>
      <c r="K319" s="811" t="s">
        <v>2696</v>
      </c>
      <c r="L319" s="811">
        <v>34.950000000000003</v>
      </c>
      <c r="M319" s="812">
        <v>37</v>
      </c>
      <c r="N319" s="811">
        <v>38.29</v>
      </c>
      <c r="O319" s="813" t="s">
        <v>142</v>
      </c>
      <c r="P319" s="813" t="s">
        <v>142</v>
      </c>
      <c r="Q319" s="813" t="s">
        <v>142</v>
      </c>
      <c r="R319" s="813" t="s">
        <v>2887</v>
      </c>
      <c r="S319" s="813">
        <v>67.3</v>
      </c>
      <c r="T319" s="814" t="s">
        <v>84</v>
      </c>
      <c r="U319" s="813" t="s">
        <v>236</v>
      </c>
      <c r="V319" s="818" t="s">
        <v>2824</v>
      </c>
      <c r="CM319"/>
      <c r="CN319"/>
      <c r="CO319"/>
      <c r="CP319"/>
      <c r="CQ319"/>
      <c r="CR319"/>
      <c r="CS319"/>
      <c r="CT319"/>
      <c r="CU319"/>
      <c r="CV319"/>
      <c r="CW319"/>
      <c r="CX319"/>
      <c r="CY319"/>
    </row>
    <row r="320" spans="2:103" s="1" customFormat="1" ht="38.25" customHeight="1" x14ac:dyDescent="0.25">
      <c r="B320" s="808">
        <v>44700</v>
      </c>
      <c r="C320" s="809">
        <v>0.75</v>
      </c>
      <c r="D320" s="810">
        <v>53</v>
      </c>
      <c r="E320" s="811">
        <v>7.6</v>
      </c>
      <c r="F320" s="811">
        <v>16.8</v>
      </c>
      <c r="G320" s="811">
        <v>1200.3</v>
      </c>
      <c r="H320" s="811">
        <v>2210.6999999999998</v>
      </c>
      <c r="I320" s="811">
        <v>105.8</v>
      </c>
      <c r="J320" s="811">
        <v>120.4</v>
      </c>
      <c r="K320" s="811" t="s">
        <v>2696</v>
      </c>
      <c r="L320" s="811">
        <v>35.15</v>
      </c>
      <c r="M320" s="812">
        <v>37</v>
      </c>
      <c r="N320" s="811">
        <v>39.25</v>
      </c>
      <c r="O320" s="813" t="s">
        <v>142</v>
      </c>
      <c r="P320" s="813" t="s">
        <v>142</v>
      </c>
      <c r="Q320" s="813" t="s">
        <v>142</v>
      </c>
      <c r="R320" s="813" t="s">
        <v>2893</v>
      </c>
      <c r="S320" s="813">
        <v>65.7</v>
      </c>
      <c r="T320" s="814" t="s">
        <v>84</v>
      </c>
      <c r="U320" s="813" t="s">
        <v>236</v>
      </c>
      <c r="V320" s="818" t="s">
        <v>2824</v>
      </c>
      <c r="CM320"/>
      <c r="CN320"/>
      <c r="CO320"/>
      <c r="CP320"/>
      <c r="CQ320"/>
      <c r="CR320"/>
      <c r="CS320"/>
      <c r="CT320"/>
      <c r="CU320"/>
      <c r="CV320"/>
      <c r="CW320"/>
      <c r="CX320"/>
      <c r="CY320"/>
    </row>
    <row r="321" spans="2:103" s="1" customFormat="1" ht="24.75" customHeight="1" x14ac:dyDescent="0.25">
      <c r="B321" s="808">
        <v>44701</v>
      </c>
      <c r="C321" s="809">
        <v>0.89583333333333337</v>
      </c>
      <c r="D321" s="810">
        <v>53</v>
      </c>
      <c r="E321" s="811">
        <v>7.5</v>
      </c>
      <c r="F321" s="811">
        <v>16.8</v>
      </c>
      <c r="G321" s="811">
        <v>1200.3</v>
      </c>
      <c r="H321" s="811">
        <v>2210.6999999999998</v>
      </c>
      <c r="I321" s="811">
        <v>105.8</v>
      </c>
      <c r="J321" s="811">
        <v>120.4</v>
      </c>
      <c r="K321" s="811" t="s">
        <v>2696</v>
      </c>
      <c r="L321" s="811">
        <v>34</v>
      </c>
      <c r="M321" s="812">
        <v>37</v>
      </c>
      <c r="N321" s="811">
        <v>41.05</v>
      </c>
      <c r="O321" s="813" t="s">
        <v>142</v>
      </c>
      <c r="P321" s="813" t="s">
        <v>142</v>
      </c>
      <c r="Q321" s="813" t="s">
        <v>142</v>
      </c>
      <c r="R321" s="813" t="s">
        <v>2004</v>
      </c>
      <c r="S321" s="813">
        <v>65.3</v>
      </c>
      <c r="T321" s="814" t="s">
        <v>84</v>
      </c>
      <c r="U321" s="813" t="s">
        <v>236</v>
      </c>
      <c r="V321" s="818" t="s">
        <v>2824</v>
      </c>
      <c r="CM321"/>
      <c r="CN321"/>
      <c r="CO321"/>
      <c r="CP321"/>
      <c r="CQ321"/>
      <c r="CR321"/>
      <c r="CS321"/>
      <c r="CT321"/>
      <c r="CU321"/>
      <c r="CV321"/>
      <c r="CW321"/>
      <c r="CX321"/>
      <c r="CY321"/>
    </row>
    <row r="322" spans="2:103" s="1" customFormat="1" ht="27" customHeight="1" x14ac:dyDescent="0.25">
      <c r="B322" s="808">
        <v>44702</v>
      </c>
      <c r="C322" s="809">
        <v>0.89583333333333337</v>
      </c>
      <c r="D322" s="810">
        <v>53</v>
      </c>
      <c r="E322" s="811">
        <v>7.5</v>
      </c>
      <c r="F322" s="811">
        <v>16.8</v>
      </c>
      <c r="G322" s="811">
        <v>1200.3</v>
      </c>
      <c r="H322" s="811">
        <v>2210.6999999999998</v>
      </c>
      <c r="I322" s="811">
        <v>105.8</v>
      </c>
      <c r="J322" s="811">
        <v>120.4</v>
      </c>
      <c r="K322" s="811" t="s">
        <v>2696</v>
      </c>
      <c r="L322" s="811">
        <v>33.6</v>
      </c>
      <c r="M322" s="812">
        <v>36</v>
      </c>
      <c r="N322" s="811">
        <v>40.549999999999997</v>
      </c>
      <c r="O322" s="813" t="s">
        <v>142</v>
      </c>
      <c r="P322" s="813" t="s">
        <v>142</v>
      </c>
      <c r="Q322" s="813" t="s">
        <v>142</v>
      </c>
      <c r="R322" s="813" t="s">
        <v>2004</v>
      </c>
      <c r="S322" s="813">
        <v>65.3</v>
      </c>
      <c r="T322" s="814" t="s">
        <v>84</v>
      </c>
      <c r="U322" s="813" t="s">
        <v>236</v>
      </c>
      <c r="V322" s="818" t="s">
        <v>2824</v>
      </c>
      <c r="CM322"/>
      <c r="CN322"/>
      <c r="CO322"/>
      <c r="CP322"/>
      <c r="CQ322"/>
      <c r="CR322"/>
      <c r="CS322"/>
      <c r="CT322"/>
      <c r="CU322"/>
      <c r="CV322"/>
      <c r="CW322"/>
      <c r="CX322"/>
      <c r="CY322"/>
    </row>
    <row r="323" spans="2:103" s="1" customFormat="1" ht="27" customHeight="1" x14ac:dyDescent="0.25">
      <c r="B323" s="808">
        <v>44703</v>
      </c>
      <c r="C323" s="809">
        <v>0.89583333333333337</v>
      </c>
      <c r="D323" s="810">
        <v>53</v>
      </c>
      <c r="E323" s="811">
        <v>8.6999999999999993</v>
      </c>
      <c r="F323" s="811">
        <v>17.3</v>
      </c>
      <c r="G323" s="811">
        <v>1200.3</v>
      </c>
      <c r="H323" s="811">
        <v>2210.6999999999998</v>
      </c>
      <c r="I323" s="811">
        <v>105.8</v>
      </c>
      <c r="J323" s="811">
        <v>120.4</v>
      </c>
      <c r="K323" s="811" t="s">
        <v>2696</v>
      </c>
      <c r="L323" s="811">
        <v>35.58</v>
      </c>
      <c r="M323" s="812">
        <v>37.5</v>
      </c>
      <c r="N323" s="811">
        <v>39.479999999999997</v>
      </c>
      <c r="O323" s="813" t="s">
        <v>142</v>
      </c>
      <c r="P323" s="813" t="s">
        <v>142</v>
      </c>
      <c r="Q323" s="813" t="s">
        <v>142</v>
      </c>
      <c r="R323" s="813" t="s">
        <v>2351</v>
      </c>
      <c r="S323" s="813">
        <v>67.8</v>
      </c>
      <c r="T323" s="814" t="s">
        <v>84</v>
      </c>
      <c r="U323" s="813" t="s">
        <v>236</v>
      </c>
      <c r="V323" s="818" t="s">
        <v>2824</v>
      </c>
      <c r="CM323"/>
      <c r="CN323"/>
      <c r="CO323"/>
      <c r="CP323"/>
      <c r="CQ323"/>
      <c r="CR323"/>
      <c r="CS323"/>
      <c r="CT323"/>
      <c r="CU323"/>
      <c r="CV323"/>
      <c r="CW323"/>
      <c r="CX323"/>
      <c r="CY323"/>
    </row>
    <row r="324" spans="2:103" s="1" customFormat="1" ht="27" customHeight="1" x14ac:dyDescent="0.25">
      <c r="B324" s="808">
        <v>44704</v>
      </c>
      <c r="C324" s="809">
        <v>0.875</v>
      </c>
      <c r="D324" s="810">
        <v>53</v>
      </c>
      <c r="E324" s="811">
        <v>7.3</v>
      </c>
      <c r="F324" s="811">
        <v>16.899999999999999</v>
      </c>
      <c r="G324" s="811">
        <v>1200.3</v>
      </c>
      <c r="H324" s="811">
        <v>2210.6999999999998</v>
      </c>
      <c r="I324" s="811">
        <v>105.8</v>
      </c>
      <c r="J324" s="811">
        <v>120.4</v>
      </c>
      <c r="K324" s="811" t="s">
        <v>2696</v>
      </c>
      <c r="L324" s="811">
        <v>33.630000000000003</v>
      </c>
      <c r="M324" s="812">
        <v>36</v>
      </c>
      <c r="N324" s="811">
        <v>41.77</v>
      </c>
      <c r="O324" s="813" t="s">
        <v>142</v>
      </c>
      <c r="P324" s="813" t="s">
        <v>142</v>
      </c>
      <c r="Q324" s="813" t="s">
        <v>142</v>
      </c>
      <c r="R324" s="813" t="s">
        <v>2660</v>
      </c>
      <c r="S324" s="813">
        <v>65.7</v>
      </c>
      <c r="T324" s="814" t="s">
        <v>84</v>
      </c>
      <c r="U324" s="813" t="s">
        <v>236</v>
      </c>
      <c r="V324" s="818" t="s">
        <v>2824</v>
      </c>
      <c r="CM324"/>
      <c r="CN324"/>
      <c r="CO324"/>
      <c r="CP324"/>
      <c r="CQ324"/>
      <c r="CR324"/>
      <c r="CS324"/>
      <c r="CT324"/>
      <c r="CU324"/>
      <c r="CV324"/>
      <c r="CW324"/>
      <c r="CX324"/>
      <c r="CY324"/>
    </row>
    <row r="325" spans="2:103" s="1" customFormat="1" ht="27" customHeight="1" x14ac:dyDescent="0.25">
      <c r="B325" s="808">
        <v>44705</v>
      </c>
      <c r="C325" s="809">
        <v>0.83333333333333337</v>
      </c>
      <c r="D325" s="810">
        <v>53</v>
      </c>
      <c r="E325" s="811">
        <v>7.7</v>
      </c>
      <c r="F325" s="811">
        <v>16.899999999999999</v>
      </c>
      <c r="G325" s="811">
        <v>1200.3</v>
      </c>
      <c r="H325" s="811">
        <v>2210.6999999999998</v>
      </c>
      <c r="I325" s="811">
        <v>105.8</v>
      </c>
      <c r="J325" s="811">
        <v>120.4</v>
      </c>
      <c r="K325" s="811" t="s">
        <v>2696</v>
      </c>
      <c r="L325" s="811">
        <v>34.75</v>
      </c>
      <c r="M325" s="812">
        <v>37</v>
      </c>
      <c r="N325" s="811">
        <v>41.51</v>
      </c>
      <c r="O325" s="813" t="s">
        <v>142</v>
      </c>
      <c r="P325" s="813" t="s">
        <v>142</v>
      </c>
      <c r="Q325" s="813" t="s">
        <v>142</v>
      </c>
      <c r="R325" s="813" t="s">
        <v>1517</v>
      </c>
      <c r="S325" s="813">
        <v>65.7</v>
      </c>
      <c r="T325" s="814" t="s">
        <v>84</v>
      </c>
      <c r="U325" s="813" t="s">
        <v>236</v>
      </c>
      <c r="V325" s="818" t="s">
        <v>2824</v>
      </c>
      <c r="CM325"/>
      <c r="CN325"/>
      <c r="CO325"/>
      <c r="CP325"/>
      <c r="CQ325"/>
      <c r="CR325"/>
      <c r="CS325"/>
      <c r="CT325"/>
      <c r="CU325"/>
      <c r="CV325"/>
      <c r="CW325"/>
      <c r="CX325"/>
      <c r="CY325"/>
    </row>
    <row r="326" spans="2:103" s="1" customFormat="1" ht="27" customHeight="1" x14ac:dyDescent="0.25">
      <c r="B326" s="808">
        <v>44706</v>
      </c>
      <c r="C326" s="809">
        <v>0.97916666666666663</v>
      </c>
      <c r="D326" s="810">
        <v>53</v>
      </c>
      <c r="E326" s="811">
        <v>7.6</v>
      </c>
      <c r="F326" s="811">
        <v>16.899999999999999</v>
      </c>
      <c r="G326" s="811">
        <v>1200.3</v>
      </c>
      <c r="H326" s="811">
        <v>2210.6999999999998</v>
      </c>
      <c r="I326" s="811">
        <v>105.8</v>
      </c>
      <c r="J326" s="811">
        <v>120.4</v>
      </c>
      <c r="K326" s="811" t="s">
        <v>2696</v>
      </c>
      <c r="L326" s="811">
        <v>36.89</v>
      </c>
      <c r="M326" s="812">
        <v>38.5</v>
      </c>
      <c r="N326" s="811">
        <v>42.34</v>
      </c>
      <c r="O326" s="813" t="s">
        <v>142</v>
      </c>
      <c r="P326" s="813" t="s">
        <v>142</v>
      </c>
      <c r="Q326" s="813" t="s">
        <v>142</v>
      </c>
      <c r="R326" s="813" t="s">
        <v>2767</v>
      </c>
      <c r="S326" s="813">
        <v>65.7</v>
      </c>
      <c r="T326" s="814" t="s">
        <v>84</v>
      </c>
      <c r="U326" s="813" t="s">
        <v>236</v>
      </c>
      <c r="V326" s="818" t="s">
        <v>2824</v>
      </c>
      <c r="CM326"/>
      <c r="CN326"/>
      <c r="CO326"/>
      <c r="CP326"/>
      <c r="CQ326"/>
      <c r="CR326"/>
      <c r="CS326"/>
      <c r="CT326"/>
      <c r="CU326"/>
      <c r="CV326"/>
      <c r="CW326"/>
      <c r="CX326"/>
      <c r="CY326"/>
    </row>
    <row r="327" spans="2:103" s="1" customFormat="1" ht="27" customHeight="1" x14ac:dyDescent="0.25">
      <c r="B327" s="808">
        <v>44707</v>
      </c>
      <c r="C327" s="809">
        <v>0.91666666666666663</v>
      </c>
      <c r="D327" s="810">
        <v>53</v>
      </c>
      <c r="E327" s="811">
        <v>8.9</v>
      </c>
      <c r="F327" s="811">
        <v>17.5</v>
      </c>
      <c r="G327" s="811">
        <v>1200.3</v>
      </c>
      <c r="H327" s="811">
        <v>2210.6999999999998</v>
      </c>
      <c r="I327" s="811">
        <v>105.8</v>
      </c>
      <c r="J327" s="811">
        <v>120.4</v>
      </c>
      <c r="K327" s="811" t="s">
        <v>2696</v>
      </c>
      <c r="L327" s="811">
        <v>33.57</v>
      </c>
      <c r="M327" s="812">
        <v>35.5</v>
      </c>
      <c r="N327" s="811">
        <v>39.97</v>
      </c>
      <c r="O327" s="813" t="s">
        <v>142</v>
      </c>
      <c r="P327" s="813" t="s">
        <v>142</v>
      </c>
      <c r="Q327" s="813" t="s">
        <v>142</v>
      </c>
      <c r="R327" s="813" t="s">
        <v>2379</v>
      </c>
      <c r="S327" s="813">
        <v>67.7</v>
      </c>
      <c r="T327" s="814" t="s">
        <v>84</v>
      </c>
      <c r="U327" s="813" t="s">
        <v>236</v>
      </c>
      <c r="V327" s="818" t="s">
        <v>2824</v>
      </c>
      <c r="CM327"/>
      <c r="CN327"/>
      <c r="CO327"/>
      <c r="CP327"/>
      <c r="CQ327"/>
      <c r="CR327"/>
      <c r="CS327"/>
      <c r="CT327"/>
      <c r="CU327"/>
      <c r="CV327"/>
      <c r="CW327"/>
      <c r="CX327"/>
      <c r="CY327"/>
    </row>
    <row r="328" spans="2:103" s="1" customFormat="1" ht="27" customHeight="1" x14ac:dyDescent="0.25">
      <c r="B328" s="808">
        <v>44708</v>
      </c>
      <c r="C328" s="809">
        <v>0.79166666666666663</v>
      </c>
      <c r="D328" s="810">
        <v>53</v>
      </c>
      <c r="E328" s="811">
        <v>8.9</v>
      </c>
      <c r="F328" s="811">
        <v>17.399999999999999</v>
      </c>
      <c r="G328" s="811">
        <v>1200.3</v>
      </c>
      <c r="H328" s="811">
        <v>2210.6999999999998</v>
      </c>
      <c r="I328" s="811">
        <v>105.8</v>
      </c>
      <c r="J328" s="811">
        <v>120.4</v>
      </c>
      <c r="K328" s="811" t="s">
        <v>2696</v>
      </c>
      <c r="L328" s="811">
        <v>35.25</v>
      </c>
      <c r="M328" s="812">
        <v>37.5</v>
      </c>
      <c r="N328" s="811">
        <v>40.36</v>
      </c>
      <c r="O328" s="813" t="s">
        <v>142</v>
      </c>
      <c r="P328" s="813" t="s">
        <v>142</v>
      </c>
      <c r="Q328" s="813" t="s">
        <v>142</v>
      </c>
      <c r="R328" s="813" t="s">
        <v>2951</v>
      </c>
      <c r="S328" s="813">
        <v>68</v>
      </c>
      <c r="T328" s="814" t="s">
        <v>84</v>
      </c>
      <c r="U328" s="813" t="s">
        <v>236</v>
      </c>
      <c r="V328" s="818" t="s">
        <v>2824</v>
      </c>
      <c r="CM328"/>
      <c r="CN328"/>
      <c r="CO328"/>
      <c r="CP328"/>
      <c r="CQ328"/>
      <c r="CR328"/>
      <c r="CS328"/>
      <c r="CT328"/>
      <c r="CU328"/>
      <c r="CV328"/>
      <c r="CW328"/>
      <c r="CX328"/>
      <c r="CY328"/>
    </row>
    <row r="329" spans="2:103" s="1" customFormat="1" ht="27" customHeight="1" x14ac:dyDescent="0.25">
      <c r="B329" s="808">
        <v>44709</v>
      </c>
      <c r="C329" s="809">
        <v>0.89583333333333337</v>
      </c>
      <c r="D329" s="810">
        <v>53</v>
      </c>
      <c r="E329" s="811">
        <v>7.4</v>
      </c>
      <c r="F329" s="811">
        <v>16.8</v>
      </c>
      <c r="G329" s="811">
        <v>1200.3</v>
      </c>
      <c r="H329" s="811">
        <v>2210.6999999999998</v>
      </c>
      <c r="I329" s="811">
        <v>105.8</v>
      </c>
      <c r="J329" s="811">
        <v>120.4</v>
      </c>
      <c r="K329" s="811" t="s">
        <v>2696</v>
      </c>
      <c r="L329" s="811">
        <v>35.32</v>
      </c>
      <c r="M329" s="812">
        <v>37.5</v>
      </c>
      <c r="N329" s="811">
        <v>40.81</v>
      </c>
      <c r="O329" s="813" t="s">
        <v>142</v>
      </c>
      <c r="P329" s="813" t="s">
        <v>142</v>
      </c>
      <c r="Q329" s="813" t="s">
        <v>142</v>
      </c>
      <c r="R329" s="813" t="s">
        <v>2004</v>
      </c>
      <c r="S329" s="813">
        <v>65.3</v>
      </c>
      <c r="T329" s="814" t="s">
        <v>84</v>
      </c>
      <c r="U329" s="813" t="s">
        <v>236</v>
      </c>
      <c r="V329" s="818" t="s">
        <v>2824</v>
      </c>
      <c r="CM329"/>
      <c r="CN329"/>
      <c r="CO329"/>
      <c r="CP329"/>
      <c r="CQ329"/>
      <c r="CR329"/>
      <c r="CS329"/>
      <c r="CT329"/>
      <c r="CU329"/>
      <c r="CV329"/>
      <c r="CW329"/>
      <c r="CX329"/>
      <c r="CY329"/>
    </row>
    <row r="330" spans="2:103" s="1" customFormat="1" ht="27" customHeight="1" x14ac:dyDescent="0.25">
      <c r="B330" s="808">
        <v>44710</v>
      </c>
      <c r="C330" s="809">
        <v>0.8125</v>
      </c>
      <c r="D330" s="810">
        <v>53</v>
      </c>
      <c r="E330" s="811">
        <v>8.3000000000000007</v>
      </c>
      <c r="F330" s="811">
        <v>17.2</v>
      </c>
      <c r="G330" s="811">
        <v>1200.3</v>
      </c>
      <c r="H330" s="811">
        <v>2210.6999999999998</v>
      </c>
      <c r="I330" s="811">
        <v>105.8</v>
      </c>
      <c r="J330" s="811">
        <v>120.4</v>
      </c>
      <c r="K330" s="811" t="s">
        <v>2696</v>
      </c>
      <c r="L330" s="811">
        <v>34.840000000000003</v>
      </c>
      <c r="M330" s="812">
        <v>37</v>
      </c>
      <c r="N330" s="811">
        <v>39.479999999999997</v>
      </c>
      <c r="O330" s="813" t="s">
        <v>142</v>
      </c>
      <c r="P330" s="813" t="s">
        <v>142</v>
      </c>
      <c r="Q330" s="813" t="s">
        <v>142</v>
      </c>
      <c r="R330" s="813" t="s">
        <v>2360</v>
      </c>
      <c r="S330" s="813">
        <v>66.900000000000006</v>
      </c>
      <c r="T330" s="814" t="s">
        <v>84</v>
      </c>
      <c r="U330" s="813" t="s">
        <v>236</v>
      </c>
      <c r="V330" s="818" t="s">
        <v>2824</v>
      </c>
      <c r="CM330"/>
      <c r="CN330"/>
      <c r="CO330"/>
      <c r="CP330"/>
      <c r="CQ330"/>
      <c r="CR330"/>
      <c r="CS330"/>
      <c r="CT330"/>
      <c r="CU330"/>
      <c r="CV330"/>
      <c r="CW330"/>
      <c r="CX330"/>
      <c r="CY330"/>
    </row>
    <row r="331" spans="2:103" s="1" customFormat="1" ht="27" customHeight="1" x14ac:dyDescent="0.25">
      <c r="B331" s="808">
        <v>44711</v>
      </c>
      <c r="C331" s="809">
        <v>0.91666666666666663</v>
      </c>
      <c r="D331" s="810">
        <v>53</v>
      </c>
      <c r="E331" s="811">
        <v>7.4</v>
      </c>
      <c r="F331" s="811">
        <v>16.899999999999999</v>
      </c>
      <c r="G331" s="811">
        <v>1200.3</v>
      </c>
      <c r="H331" s="811">
        <v>2210.6999999999998</v>
      </c>
      <c r="I331" s="811">
        <v>105.8</v>
      </c>
      <c r="J331" s="811">
        <v>120.4</v>
      </c>
      <c r="K331" s="811" t="s">
        <v>2696</v>
      </c>
      <c r="L331" s="811">
        <v>35.15</v>
      </c>
      <c r="M331" s="812">
        <v>37.5</v>
      </c>
      <c r="N331" s="811">
        <v>40.17</v>
      </c>
      <c r="O331" s="813" t="s">
        <v>142</v>
      </c>
      <c r="P331" s="813" t="s">
        <v>142</v>
      </c>
      <c r="Q331" s="813" t="s">
        <v>142</v>
      </c>
      <c r="R331" s="813" t="s">
        <v>2216</v>
      </c>
      <c r="S331" s="813">
        <v>65.7</v>
      </c>
      <c r="T331" s="814" t="s">
        <v>84</v>
      </c>
      <c r="U331" s="813" t="s">
        <v>236</v>
      </c>
      <c r="V331" s="818" t="s">
        <v>2824</v>
      </c>
      <c r="CM331"/>
      <c r="CN331"/>
      <c r="CO331"/>
      <c r="CP331"/>
      <c r="CQ331"/>
      <c r="CR331"/>
      <c r="CS331"/>
      <c r="CT331"/>
      <c r="CU331"/>
      <c r="CV331"/>
      <c r="CW331"/>
      <c r="CX331"/>
      <c r="CY331"/>
    </row>
    <row r="332" spans="2:103" s="1" customFormat="1" ht="27" customHeight="1" x14ac:dyDescent="0.25">
      <c r="B332" s="808">
        <v>44712</v>
      </c>
      <c r="C332" s="809">
        <v>0.91666666666666663</v>
      </c>
      <c r="D332" s="810">
        <v>53</v>
      </c>
      <c r="E332" s="811">
        <v>8.8000000000000007</v>
      </c>
      <c r="F332" s="811">
        <v>17.399999999999999</v>
      </c>
      <c r="G332" s="811">
        <v>1200.3</v>
      </c>
      <c r="H332" s="811">
        <v>2210.6999999999998</v>
      </c>
      <c r="I332" s="811">
        <v>105.8</v>
      </c>
      <c r="J332" s="811">
        <v>120.4</v>
      </c>
      <c r="K332" s="811" t="s">
        <v>2696</v>
      </c>
      <c r="L332" s="811">
        <v>35.909999999999997</v>
      </c>
      <c r="M332" s="812">
        <v>37.5</v>
      </c>
      <c r="N332" s="811">
        <v>39.81</v>
      </c>
      <c r="O332" s="813" t="s">
        <v>142</v>
      </c>
      <c r="P332" s="813" t="s">
        <v>142</v>
      </c>
      <c r="Q332" s="813" t="s">
        <v>142</v>
      </c>
      <c r="R332" s="813" t="s">
        <v>2982</v>
      </c>
      <c r="S332" s="813">
        <v>67.7</v>
      </c>
      <c r="T332" s="814" t="s">
        <v>84</v>
      </c>
      <c r="U332" s="813" t="s">
        <v>236</v>
      </c>
      <c r="V332" s="818" t="s">
        <v>2824</v>
      </c>
      <c r="CM332"/>
      <c r="CN332"/>
      <c r="CO332"/>
      <c r="CP332"/>
      <c r="CQ332"/>
      <c r="CR332"/>
      <c r="CS332"/>
      <c r="CT332"/>
      <c r="CU332"/>
      <c r="CV332"/>
      <c r="CW332"/>
      <c r="CX332"/>
      <c r="CY332"/>
    </row>
    <row r="333" spans="2:103" s="1" customFormat="1" ht="27" customHeight="1" x14ac:dyDescent="0.25">
      <c r="B333" s="808">
        <v>44713</v>
      </c>
      <c r="C333" s="809">
        <v>0.91666666666666663</v>
      </c>
      <c r="D333" s="810">
        <v>53</v>
      </c>
      <c r="E333" s="811">
        <v>9.6</v>
      </c>
      <c r="F333" s="811">
        <v>17.8</v>
      </c>
      <c r="G333" s="811">
        <v>1200.3</v>
      </c>
      <c r="H333" s="811">
        <v>2210.6999999999998</v>
      </c>
      <c r="I333" s="811">
        <v>105.8</v>
      </c>
      <c r="J333" s="811">
        <v>120.4</v>
      </c>
      <c r="K333" s="811" t="s">
        <v>2696</v>
      </c>
      <c r="L333" s="811">
        <v>37.33</v>
      </c>
      <c r="M333" s="812">
        <v>39.5</v>
      </c>
      <c r="N333" s="811">
        <v>40.67</v>
      </c>
      <c r="O333" s="813" t="s">
        <v>142</v>
      </c>
      <c r="P333" s="813" t="s">
        <v>142</v>
      </c>
      <c r="Q333" s="813" t="s">
        <v>142</v>
      </c>
      <c r="R333" s="813" t="s">
        <v>2996</v>
      </c>
      <c r="S333" s="813">
        <v>69.2</v>
      </c>
      <c r="T333" s="814" t="s">
        <v>84</v>
      </c>
      <c r="U333" s="813" t="s">
        <v>236</v>
      </c>
      <c r="V333" s="818" t="s">
        <v>2824</v>
      </c>
      <c r="CM333"/>
      <c r="CN333"/>
      <c r="CO333"/>
      <c r="CP333"/>
      <c r="CQ333"/>
      <c r="CR333"/>
      <c r="CS333"/>
      <c r="CT333"/>
      <c r="CU333"/>
      <c r="CV333"/>
      <c r="CW333"/>
      <c r="CX333"/>
      <c r="CY333"/>
    </row>
    <row r="334" spans="2:103" s="1" customFormat="1" ht="27" customHeight="1" x14ac:dyDescent="0.25">
      <c r="B334" s="808">
        <v>44714</v>
      </c>
      <c r="C334" s="809">
        <v>0.79166666666666663</v>
      </c>
      <c r="D334" s="810">
        <v>53</v>
      </c>
      <c r="E334" s="811">
        <v>7.4</v>
      </c>
      <c r="F334" s="811">
        <v>16.899999999999999</v>
      </c>
      <c r="G334" s="811">
        <v>1200.3</v>
      </c>
      <c r="H334" s="811">
        <v>2210.6999999999998</v>
      </c>
      <c r="I334" s="811">
        <v>105.8</v>
      </c>
      <c r="J334" s="811">
        <v>120.4</v>
      </c>
      <c r="K334" s="811" t="s">
        <v>2696</v>
      </c>
      <c r="L334" s="811">
        <v>36.200000000000003</v>
      </c>
      <c r="M334" s="812">
        <v>39</v>
      </c>
      <c r="N334" s="811">
        <v>40.520000000000003</v>
      </c>
      <c r="O334" s="813" t="s">
        <v>142</v>
      </c>
      <c r="P334" s="813" t="s">
        <v>142</v>
      </c>
      <c r="Q334" s="813" t="s">
        <v>142</v>
      </c>
      <c r="R334" s="813" t="s">
        <v>2056</v>
      </c>
      <c r="S334" s="813">
        <v>65.7</v>
      </c>
      <c r="T334" s="814" t="s">
        <v>84</v>
      </c>
      <c r="U334" s="813" t="s">
        <v>236</v>
      </c>
      <c r="V334" s="818" t="s">
        <v>2824</v>
      </c>
      <c r="CM334"/>
      <c r="CN334"/>
      <c r="CO334"/>
      <c r="CP334"/>
      <c r="CQ334"/>
      <c r="CR334"/>
      <c r="CS334"/>
      <c r="CT334"/>
      <c r="CU334"/>
      <c r="CV334"/>
      <c r="CW334"/>
      <c r="CX334"/>
      <c r="CY334"/>
    </row>
    <row r="335" spans="2:103" s="1" customFormat="1" ht="27" customHeight="1" x14ac:dyDescent="0.25">
      <c r="B335" s="808">
        <v>44715</v>
      </c>
      <c r="C335" s="809">
        <v>0.79166666666666663</v>
      </c>
      <c r="D335" s="810">
        <v>53</v>
      </c>
      <c r="E335" s="811">
        <v>7.4</v>
      </c>
      <c r="F335" s="811">
        <v>16.8</v>
      </c>
      <c r="G335" s="811">
        <v>1200.3</v>
      </c>
      <c r="H335" s="811">
        <v>2210.6999999999998</v>
      </c>
      <c r="I335" s="811">
        <v>105.8</v>
      </c>
      <c r="J335" s="811">
        <v>120.4</v>
      </c>
      <c r="K335" s="811" t="s">
        <v>2696</v>
      </c>
      <c r="L335" s="811">
        <v>36.92</v>
      </c>
      <c r="M335" s="812">
        <v>39.5</v>
      </c>
      <c r="N335" s="811">
        <v>39.82</v>
      </c>
      <c r="O335" s="813" t="s">
        <v>142</v>
      </c>
      <c r="P335" s="813" t="s">
        <v>142</v>
      </c>
      <c r="Q335" s="813" t="s">
        <v>142</v>
      </c>
      <c r="R335" s="813" t="s">
        <v>2004</v>
      </c>
      <c r="S335" s="813">
        <v>65.3</v>
      </c>
      <c r="T335" s="814" t="s">
        <v>84</v>
      </c>
      <c r="U335" s="813" t="s">
        <v>236</v>
      </c>
      <c r="V335" s="818" t="s">
        <v>2824</v>
      </c>
      <c r="CM335"/>
      <c r="CN335"/>
      <c r="CO335"/>
      <c r="CP335"/>
      <c r="CQ335"/>
      <c r="CR335"/>
      <c r="CS335"/>
      <c r="CT335"/>
      <c r="CU335"/>
      <c r="CV335"/>
      <c r="CW335"/>
      <c r="CX335"/>
      <c r="CY335"/>
    </row>
    <row r="336" spans="2:103" s="1" customFormat="1" ht="27" customHeight="1" x14ac:dyDescent="0.25">
      <c r="B336" s="808">
        <v>44716</v>
      </c>
      <c r="C336" s="809">
        <v>0.89583333333333337</v>
      </c>
      <c r="D336" s="810">
        <v>53</v>
      </c>
      <c r="E336" s="811">
        <v>9.1999999999999993</v>
      </c>
      <c r="F336" s="811">
        <v>17.600000000000001</v>
      </c>
      <c r="G336" s="811">
        <v>1200.3</v>
      </c>
      <c r="H336" s="811">
        <v>2210.6999999999998</v>
      </c>
      <c r="I336" s="811">
        <v>105.8</v>
      </c>
      <c r="J336" s="811">
        <v>120.4</v>
      </c>
      <c r="K336" s="811" t="s">
        <v>2696</v>
      </c>
      <c r="L336" s="811">
        <v>33.369999999999997</v>
      </c>
      <c r="M336" s="812">
        <v>37</v>
      </c>
      <c r="N336" s="811">
        <v>44.84</v>
      </c>
      <c r="O336" s="813" t="s">
        <v>142</v>
      </c>
      <c r="P336" s="813" t="s">
        <v>142</v>
      </c>
      <c r="Q336" s="813" t="s">
        <v>142</v>
      </c>
      <c r="R336" s="813" t="s">
        <v>3018</v>
      </c>
      <c r="S336" s="813">
        <v>68.400000000000006</v>
      </c>
      <c r="T336" s="814" t="s">
        <v>84</v>
      </c>
      <c r="U336" s="813" t="s">
        <v>236</v>
      </c>
      <c r="V336" s="818" t="s">
        <v>2824</v>
      </c>
      <c r="CM336"/>
      <c r="CN336"/>
      <c r="CO336"/>
      <c r="CP336"/>
      <c r="CQ336"/>
      <c r="CR336"/>
      <c r="CS336"/>
      <c r="CT336"/>
      <c r="CU336"/>
      <c r="CV336"/>
      <c r="CW336"/>
      <c r="CX336"/>
      <c r="CY336"/>
    </row>
    <row r="337" spans="2:103" s="1" customFormat="1" ht="27" customHeight="1" x14ac:dyDescent="0.25">
      <c r="B337" s="808">
        <v>44717</v>
      </c>
      <c r="C337" s="809">
        <v>0.83333333333333337</v>
      </c>
      <c r="D337" s="810">
        <v>53</v>
      </c>
      <c r="E337" s="811">
        <v>8.8000000000000007</v>
      </c>
      <c r="F337" s="811">
        <v>17.399999999999999</v>
      </c>
      <c r="G337" s="811">
        <v>1200.3</v>
      </c>
      <c r="H337" s="811">
        <v>2210.6999999999998</v>
      </c>
      <c r="I337" s="811">
        <v>105.8</v>
      </c>
      <c r="J337" s="811">
        <v>120.4</v>
      </c>
      <c r="K337" s="811" t="s">
        <v>2696</v>
      </c>
      <c r="L337" s="811">
        <v>36.28</v>
      </c>
      <c r="M337" s="812">
        <v>39</v>
      </c>
      <c r="N337" s="811">
        <v>37.840000000000003</v>
      </c>
      <c r="O337" s="813" t="s">
        <v>142</v>
      </c>
      <c r="P337" s="813" t="s">
        <v>142</v>
      </c>
      <c r="Q337" s="813" t="s">
        <v>142</v>
      </c>
      <c r="R337" s="813" t="s">
        <v>2379</v>
      </c>
      <c r="S337" s="813">
        <v>67.7</v>
      </c>
      <c r="T337" s="814" t="s">
        <v>84</v>
      </c>
      <c r="U337" s="813" t="s">
        <v>236</v>
      </c>
      <c r="V337" s="818" t="s">
        <v>2824</v>
      </c>
      <c r="CM337"/>
      <c r="CN337"/>
      <c r="CO337"/>
      <c r="CP337"/>
      <c r="CQ337"/>
      <c r="CR337"/>
      <c r="CS337"/>
      <c r="CT337"/>
      <c r="CU337"/>
      <c r="CV337"/>
      <c r="CW337"/>
      <c r="CX337"/>
      <c r="CY337"/>
    </row>
    <row r="338" spans="2:103" s="1" customFormat="1" ht="27" customHeight="1" x14ac:dyDescent="0.25">
      <c r="B338" s="808">
        <v>44718</v>
      </c>
      <c r="C338" s="809">
        <v>0.91666666666666663</v>
      </c>
      <c r="D338" s="810">
        <v>53</v>
      </c>
      <c r="E338" s="811">
        <v>7.5</v>
      </c>
      <c r="F338" s="811">
        <v>16.899999999999999</v>
      </c>
      <c r="G338" s="811">
        <v>1200.3</v>
      </c>
      <c r="H338" s="811">
        <v>2210.6999999999998</v>
      </c>
      <c r="I338" s="811">
        <v>105.8</v>
      </c>
      <c r="J338" s="811">
        <v>120.4</v>
      </c>
      <c r="K338" s="811" t="s">
        <v>2696</v>
      </c>
      <c r="L338" s="811">
        <v>35.64</v>
      </c>
      <c r="M338" s="812">
        <v>39</v>
      </c>
      <c r="N338" s="811">
        <v>39.82</v>
      </c>
      <c r="O338" s="813" t="s">
        <v>142</v>
      </c>
      <c r="P338" s="813" t="s">
        <v>142</v>
      </c>
      <c r="Q338" s="813" t="s">
        <v>142</v>
      </c>
      <c r="R338" s="813" t="s">
        <v>2216</v>
      </c>
      <c r="S338" s="813">
        <v>65.7</v>
      </c>
      <c r="T338" s="814" t="s">
        <v>84</v>
      </c>
      <c r="U338" s="813" t="s">
        <v>236</v>
      </c>
      <c r="V338" s="818" t="s">
        <v>2824</v>
      </c>
      <c r="CM338"/>
      <c r="CN338"/>
      <c r="CO338"/>
      <c r="CP338"/>
      <c r="CQ338"/>
      <c r="CR338"/>
      <c r="CS338"/>
      <c r="CT338"/>
      <c r="CU338"/>
      <c r="CV338"/>
      <c r="CW338"/>
      <c r="CX338"/>
      <c r="CY338"/>
    </row>
    <row r="339" spans="2:103" s="1" customFormat="1" ht="27" customHeight="1" x14ac:dyDescent="0.25">
      <c r="B339" s="808">
        <v>44719</v>
      </c>
      <c r="C339" s="809">
        <v>0.875</v>
      </c>
      <c r="D339" s="810">
        <v>53</v>
      </c>
      <c r="E339" s="811">
        <v>8.8000000000000007</v>
      </c>
      <c r="F339" s="811">
        <v>17.399999999999999</v>
      </c>
      <c r="G339" s="811">
        <v>1200.3</v>
      </c>
      <c r="H339" s="811">
        <v>2210.6999999999998</v>
      </c>
      <c r="I339" s="811">
        <v>105.8</v>
      </c>
      <c r="J339" s="811">
        <v>120.4</v>
      </c>
      <c r="K339" s="811" t="s">
        <v>2696</v>
      </c>
      <c r="L339" s="811">
        <v>37.729999999999997</v>
      </c>
      <c r="M339" s="812">
        <v>40</v>
      </c>
      <c r="N339" s="811">
        <v>40.1</v>
      </c>
      <c r="O339" s="813" t="s">
        <v>142</v>
      </c>
      <c r="P339" s="813" t="s">
        <v>142</v>
      </c>
      <c r="Q339" s="813" t="s">
        <v>142</v>
      </c>
      <c r="R339" s="813" t="s">
        <v>2379</v>
      </c>
      <c r="S339" s="813">
        <v>67.7</v>
      </c>
      <c r="T339" s="814" t="s">
        <v>84</v>
      </c>
      <c r="U339" s="813" t="s">
        <v>236</v>
      </c>
      <c r="V339" s="818" t="s">
        <v>2824</v>
      </c>
      <c r="CM339"/>
      <c r="CN339"/>
      <c r="CO339"/>
      <c r="CP339"/>
      <c r="CQ339"/>
      <c r="CR339"/>
      <c r="CS339"/>
      <c r="CT339"/>
      <c r="CU339"/>
      <c r="CV339"/>
      <c r="CW339"/>
      <c r="CX339"/>
      <c r="CY339"/>
    </row>
    <row r="340" spans="2:103" s="1" customFormat="1" ht="18.75" x14ac:dyDescent="0.25">
      <c r="B340" s="808">
        <v>44720</v>
      </c>
      <c r="C340" s="809">
        <v>0.91666666666666663</v>
      </c>
      <c r="D340" s="810">
        <v>53</v>
      </c>
      <c r="E340" s="811">
        <v>7.5</v>
      </c>
      <c r="F340" s="811">
        <v>16.8</v>
      </c>
      <c r="G340" s="811">
        <v>1200.3</v>
      </c>
      <c r="H340" s="811">
        <v>2210.6999999999998</v>
      </c>
      <c r="I340" s="811">
        <v>105.8</v>
      </c>
      <c r="J340" s="811">
        <v>120.4</v>
      </c>
      <c r="K340" s="811" t="s">
        <v>2696</v>
      </c>
      <c r="L340" s="811">
        <v>36.700000000000003</v>
      </c>
      <c r="M340" s="812">
        <v>40</v>
      </c>
      <c r="N340" s="811">
        <v>41.09</v>
      </c>
      <c r="O340" s="813" t="s">
        <v>142</v>
      </c>
      <c r="P340" s="813" t="s">
        <v>142</v>
      </c>
      <c r="Q340" s="813" t="s">
        <v>142</v>
      </c>
      <c r="R340" s="813" t="s">
        <v>2004</v>
      </c>
      <c r="S340" s="813">
        <v>65.3</v>
      </c>
      <c r="T340" s="814" t="s">
        <v>84</v>
      </c>
      <c r="U340" s="813" t="s">
        <v>928</v>
      </c>
      <c r="V340" s="818" t="s">
        <v>2824</v>
      </c>
      <c r="CM340"/>
      <c r="CN340"/>
      <c r="CO340"/>
      <c r="CP340"/>
      <c r="CQ340"/>
      <c r="CR340"/>
      <c r="CS340"/>
      <c r="CT340"/>
      <c r="CU340"/>
      <c r="CV340"/>
      <c r="CW340"/>
      <c r="CX340"/>
      <c r="CY340"/>
    </row>
    <row r="341" spans="2:103" s="1" customFormat="1" ht="18.75" x14ac:dyDescent="0.25">
      <c r="B341" s="808">
        <v>44721</v>
      </c>
      <c r="C341" s="809">
        <v>0.89236111111111116</v>
      </c>
      <c r="D341" s="1522" t="s">
        <v>3050</v>
      </c>
      <c r="E341" s="1523"/>
      <c r="F341" s="1523"/>
      <c r="G341" s="1523"/>
      <c r="H341" s="1523"/>
      <c r="I341" s="1523"/>
      <c r="J341" s="1523"/>
      <c r="K341" s="1523"/>
      <c r="L341" s="1523"/>
      <c r="M341" s="1523"/>
      <c r="N341" s="1523"/>
      <c r="O341" s="1523"/>
      <c r="P341" s="1523"/>
      <c r="Q341" s="1523"/>
      <c r="R341" s="1523"/>
      <c r="S341" s="1524"/>
      <c r="T341" s="814" t="s">
        <v>84</v>
      </c>
      <c r="U341" s="813" t="s">
        <v>928</v>
      </c>
      <c r="V341" s="36"/>
      <c r="CM341"/>
      <c r="CN341"/>
      <c r="CO341"/>
      <c r="CP341"/>
      <c r="CQ341"/>
      <c r="CR341"/>
      <c r="CS341"/>
      <c r="CT341"/>
      <c r="CU341"/>
      <c r="CV341"/>
      <c r="CW341"/>
      <c r="CX341"/>
      <c r="CY341"/>
    </row>
    <row r="342" spans="2:103" s="1" customFormat="1" ht="18.75" x14ac:dyDescent="0.25">
      <c r="B342" s="808">
        <v>44722</v>
      </c>
      <c r="C342" s="809">
        <v>0.88541666666666663</v>
      </c>
      <c r="D342" s="810">
        <v>50</v>
      </c>
      <c r="E342" s="811">
        <v>8.6</v>
      </c>
      <c r="F342" s="811">
        <v>17.100000000000001</v>
      </c>
      <c r="G342" s="811">
        <v>1128</v>
      </c>
      <c r="H342" s="811">
        <v>2073</v>
      </c>
      <c r="I342" s="811">
        <v>105.1</v>
      </c>
      <c r="J342" s="811">
        <v>111.4</v>
      </c>
      <c r="K342" s="811" t="s">
        <v>3057</v>
      </c>
      <c r="L342" s="811">
        <v>35.700000000000003</v>
      </c>
      <c r="M342" s="812">
        <v>40</v>
      </c>
      <c r="N342" s="811">
        <v>42</v>
      </c>
      <c r="O342" s="813" t="s">
        <v>142</v>
      </c>
      <c r="P342" s="813" t="s">
        <v>142</v>
      </c>
      <c r="Q342" s="813" t="s">
        <v>142</v>
      </c>
      <c r="R342" s="813" t="s">
        <v>2338</v>
      </c>
      <c r="S342" s="813">
        <v>66.5</v>
      </c>
      <c r="T342" s="814" t="s">
        <v>84</v>
      </c>
      <c r="U342" s="813" t="s">
        <v>928</v>
      </c>
      <c r="V342" s="36" t="s">
        <v>3056</v>
      </c>
      <c r="CM342"/>
      <c r="CN342"/>
      <c r="CO342"/>
      <c r="CP342"/>
      <c r="CQ342"/>
      <c r="CR342"/>
      <c r="CS342"/>
      <c r="CT342"/>
      <c r="CU342"/>
      <c r="CV342"/>
      <c r="CW342"/>
      <c r="CX342"/>
      <c r="CY342"/>
    </row>
    <row r="343" spans="2:103" s="1" customFormat="1" ht="18.75" x14ac:dyDescent="0.25">
      <c r="B343" s="808">
        <v>44723</v>
      </c>
      <c r="C343" s="809">
        <v>0.92708333333333337</v>
      </c>
      <c r="D343" s="810">
        <v>51</v>
      </c>
      <c r="E343" s="811">
        <v>7.1</v>
      </c>
      <c r="F343" s="811">
        <v>16.8</v>
      </c>
      <c r="G343" s="811">
        <v>1176</v>
      </c>
      <c r="H343" s="811">
        <v>2128</v>
      </c>
      <c r="I343" s="811">
        <v>106.6</v>
      </c>
      <c r="J343" s="811">
        <v>112.8</v>
      </c>
      <c r="K343" s="811" t="s">
        <v>3068</v>
      </c>
      <c r="L343" s="811">
        <v>30.23</v>
      </c>
      <c r="M343" s="812">
        <v>40</v>
      </c>
      <c r="N343" s="811">
        <v>40</v>
      </c>
      <c r="O343" s="813" t="s">
        <v>142</v>
      </c>
      <c r="P343" s="813" t="s">
        <v>142</v>
      </c>
      <c r="Q343" s="813" t="s">
        <v>142</v>
      </c>
      <c r="R343" s="813" t="s">
        <v>2328</v>
      </c>
      <c r="S343" s="813">
        <v>65.3</v>
      </c>
      <c r="T343" s="814" t="s">
        <v>84</v>
      </c>
      <c r="U343" s="813" t="s">
        <v>928</v>
      </c>
      <c r="V343" s="36"/>
      <c r="CM343"/>
      <c r="CN343"/>
      <c r="CO343"/>
      <c r="CP343"/>
      <c r="CQ343"/>
      <c r="CR343"/>
      <c r="CS343"/>
      <c r="CT343"/>
      <c r="CU343"/>
      <c r="CV343"/>
      <c r="CW343"/>
      <c r="CX343"/>
      <c r="CY343"/>
    </row>
    <row r="344" spans="2:103" s="1" customFormat="1" ht="18.75" x14ac:dyDescent="0.25">
      <c r="B344" s="808">
        <v>44724</v>
      </c>
      <c r="C344" s="809">
        <v>0.93055555555555547</v>
      </c>
      <c r="D344" s="810">
        <v>53</v>
      </c>
      <c r="E344" s="811">
        <v>7.4</v>
      </c>
      <c r="F344" s="811">
        <v>16.899999999999999</v>
      </c>
      <c r="G344" s="811">
        <v>1046</v>
      </c>
      <c r="H344" s="811">
        <v>2069</v>
      </c>
      <c r="I344" s="811">
        <v>105.9</v>
      </c>
      <c r="J344" s="811">
        <v>112.8</v>
      </c>
      <c r="K344" s="811" t="s">
        <v>3079</v>
      </c>
      <c r="L344" s="811">
        <v>34.119999999999997</v>
      </c>
      <c r="M344" s="812">
        <v>40</v>
      </c>
      <c r="N344" s="811">
        <v>42.19</v>
      </c>
      <c r="O344" s="813" t="s">
        <v>142</v>
      </c>
      <c r="P344" s="813" t="s">
        <v>142</v>
      </c>
      <c r="Q344" s="813" t="s">
        <v>142</v>
      </c>
      <c r="R344" s="813" t="s">
        <v>2660</v>
      </c>
      <c r="S344" s="813">
        <v>65.7</v>
      </c>
      <c r="T344" s="814" t="s">
        <v>84</v>
      </c>
      <c r="U344" s="813" t="s">
        <v>928</v>
      </c>
      <c r="V344" s="36" t="s">
        <v>3081</v>
      </c>
      <c r="CM344"/>
      <c r="CN344"/>
      <c r="CO344"/>
      <c r="CP344"/>
      <c r="CQ344"/>
      <c r="CR344"/>
      <c r="CS344"/>
      <c r="CT344"/>
      <c r="CU344"/>
      <c r="CV344"/>
      <c r="CW344"/>
      <c r="CX344"/>
      <c r="CY344"/>
    </row>
    <row r="345" spans="2:103" s="1" customFormat="1" ht="18.75" x14ac:dyDescent="0.25">
      <c r="B345" s="808">
        <v>44725</v>
      </c>
      <c r="C345" s="809">
        <v>0.88541666666666663</v>
      </c>
      <c r="D345" s="810">
        <v>53</v>
      </c>
      <c r="E345" s="811">
        <v>8.9</v>
      </c>
      <c r="F345" s="811">
        <v>17.399999999999999</v>
      </c>
      <c r="G345" s="811">
        <v>1120</v>
      </c>
      <c r="H345" s="811">
        <v>2141</v>
      </c>
      <c r="I345" s="811">
        <v>104.5</v>
      </c>
      <c r="J345" s="811">
        <v>119.5</v>
      </c>
      <c r="K345" s="811" t="s">
        <v>3080</v>
      </c>
      <c r="L345" s="811">
        <v>34.270000000000003</v>
      </c>
      <c r="M345" s="812">
        <v>40</v>
      </c>
      <c r="N345" s="811">
        <v>38.71</v>
      </c>
      <c r="O345" s="813" t="s">
        <v>142</v>
      </c>
      <c r="P345" s="813" t="s">
        <v>142</v>
      </c>
      <c r="Q345" s="813" t="s">
        <v>142</v>
      </c>
      <c r="R345" s="813" t="s">
        <v>2320</v>
      </c>
      <c r="S345" s="813">
        <v>67.7</v>
      </c>
      <c r="T345" s="814" t="s">
        <v>84</v>
      </c>
      <c r="U345" s="813" t="s">
        <v>928</v>
      </c>
      <c r="V345" s="36"/>
      <c r="CM345"/>
      <c r="CN345"/>
      <c r="CO345"/>
      <c r="CP345"/>
      <c r="CQ345"/>
      <c r="CR345"/>
      <c r="CS345"/>
      <c r="CT345"/>
      <c r="CU345"/>
      <c r="CV345"/>
      <c r="CW345"/>
      <c r="CX345"/>
      <c r="CY345"/>
    </row>
    <row r="346" spans="2:103" s="1" customFormat="1" ht="18.75" x14ac:dyDescent="0.25">
      <c r="B346" s="808">
        <v>44726</v>
      </c>
      <c r="C346" s="809">
        <v>0.89583333333333337</v>
      </c>
      <c r="D346" s="810">
        <v>53</v>
      </c>
      <c r="E346" s="811">
        <v>7.6</v>
      </c>
      <c r="F346" s="811">
        <v>16.899999999999999</v>
      </c>
      <c r="G346" s="811">
        <v>1154</v>
      </c>
      <c r="H346" s="811">
        <v>2182</v>
      </c>
      <c r="I346" s="811">
        <v>106.8</v>
      </c>
      <c r="J346" s="811">
        <v>114.3</v>
      </c>
      <c r="K346" s="811" t="s">
        <v>3098</v>
      </c>
      <c r="L346" s="811">
        <v>33.46</v>
      </c>
      <c r="M346" s="812">
        <v>40</v>
      </c>
      <c r="N346" s="811">
        <v>38.6</v>
      </c>
      <c r="O346" s="813" t="s">
        <v>142</v>
      </c>
      <c r="P346" s="813" t="s">
        <v>142</v>
      </c>
      <c r="Q346" s="813" t="s">
        <v>142</v>
      </c>
      <c r="R346" s="813" t="s">
        <v>2056</v>
      </c>
      <c r="S346" s="813">
        <v>65.7</v>
      </c>
      <c r="T346" s="814" t="s">
        <v>84</v>
      </c>
      <c r="U346" s="813" t="s">
        <v>928</v>
      </c>
      <c r="V346" s="36"/>
      <c r="CM346"/>
      <c r="CN346"/>
      <c r="CO346"/>
      <c r="CP346"/>
      <c r="CQ346"/>
      <c r="CR346"/>
      <c r="CS346"/>
      <c r="CT346"/>
      <c r="CU346"/>
      <c r="CV346"/>
      <c r="CW346"/>
      <c r="CX346"/>
      <c r="CY346"/>
    </row>
    <row r="347" spans="2:103" s="1" customFormat="1" ht="18.75" x14ac:dyDescent="0.25">
      <c r="B347" s="808">
        <v>44727</v>
      </c>
      <c r="C347" s="809">
        <v>0.90625</v>
      </c>
      <c r="D347" s="810">
        <v>53</v>
      </c>
      <c r="E347" s="811">
        <v>9.1999999999999993</v>
      </c>
      <c r="F347" s="811">
        <v>17.5</v>
      </c>
      <c r="G347" s="811">
        <v>1141</v>
      </c>
      <c r="H347" s="811">
        <v>2159</v>
      </c>
      <c r="I347" s="811">
        <v>106</v>
      </c>
      <c r="J347" s="811">
        <v>113.6</v>
      </c>
      <c r="K347" s="811" t="s">
        <v>3103</v>
      </c>
      <c r="L347" s="811">
        <v>32.07</v>
      </c>
      <c r="M347" s="812">
        <v>40</v>
      </c>
      <c r="N347" s="811">
        <v>42.31</v>
      </c>
      <c r="O347" s="813" t="s">
        <v>142</v>
      </c>
      <c r="P347" s="813" t="s">
        <v>142</v>
      </c>
      <c r="Q347" s="813" t="s">
        <v>142</v>
      </c>
      <c r="R347" s="813" t="s">
        <v>2951</v>
      </c>
      <c r="S347" s="813">
        <v>68</v>
      </c>
      <c r="T347" s="814" t="s">
        <v>84</v>
      </c>
      <c r="U347" s="813" t="s">
        <v>928</v>
      </c>
      <c r="V347" s="36"/>
      <c r="CM347"/>
      <c r="CN347"/>
      <c r="CO347"/>
      <c r="CP347"/>
      <c r="CQ347"/>
      <c r="CR347"/>
      <c r="CS347"/>
      <c r="CT347"/>
      <c r="CU347"/>
      <c r="CV347"/>
      <c r="CW347"/>
      <c r="CX347"/>
      <c r="CY347"/>
    </row>
    <row r="348" spans="2:103" s="1" customFormat="1" ht="18.75" x14ac:dyDescent="0.25">
      <c r="B348" s="808">
        <v>44728</v>
      </c>
      <c r="C348" s="809">
        <v>0.89583333333333337</v>
      </c>
      <c r="D348" s="810">
        <v>53</v>
      </c>
      <c r="E348" s="811">
        <v>7.3</v>
      </c>
      <c r="F348" s="811">
        <v>16.8</v>
      </c>
      <c r="G348" s="811">
        <v>1127</v>
      </c>
      <c r="H348" s="811">
        <v>2173</v>
      </c>
      <c r="I348" s="811">
        <v>106.6</v>
      </c>
      <c r="J348" s="811">
        <v>114.1</v>
      </c>
      <c r="K348" s="811" t="s">
        <v>3110</v>
      </c>
      <c r="L348" s="811">
        <v>34.119999999999997</v>
      </c>
      <c r="M348" s="812">
        <v>40</v>
      </c>
      <c r="N348" s="811">
        <v>38.03</v>
      </c>
      <c r="O348" s="813" t="s">
        <v>142</v>
      </c>
      <c r="P348" s="813" t="s">
        <v>142</v>
      </c>
      <c r="Q348" s="813" t="s">
        <v>142</v>
      </c>
      <c r="R348" s="813" t="s">
        <v>2004</v>
      </c>
      <c r="S348" s="813">
        <v>65.3</v>
      </c>
      <c r="T348" s="814" t="s">
        <v>84</v>
      </c>
      <c r="U348" s="813" t="s">
        <v>928</v>
      </c>
      <c r="V348" s="36"/>
      <c r="CM348"/>
      <c r="CN348"/>
      <c r="CO348"/>
      <c r="CP348"/>
      <c r="CQ348"/>
      <c r="CR348"/>
      <c r="CS348"/>
      <c r="CT348"/>
      <c r="CU348"/>
      <c r="CV348"/>
      <c r="CW348"/>
      <c r="CX348"/>
      <c r="CY348"/>
    </row>
    <row r="349" spans="2:103" s="1" customFormat="1" ht="18.75" x14ac:dyDescent="0.25">
      <c r="B349" s="808">
        <v>44729</v>
      </c>
      <c r="C349" s="809">
        <v>0.89583333333333337</v>
      </c>
      <c r="D349" s="810">
        <v>53</v>
      </c>
      <c r="E349" s="811">
        <v>7.2</v>
      </c>
      <c r="F349" s="811">
        <v>16.8</v>
      </c>
      <c r="G349" s="811">
        <v>1148</v>
      </c>
      <c r="H349" s="811">
        <v>2160</v>
      </c>
      <c r="I349" s="811">
        <v>105.5</v>
      </c>
      <c r="J349" s="811">
        <v>121.3</v>
      </c>
      <c r="K349" s="811" t="s">
        <v>3110</v>
      </c>
      <c r="L349" s="811">
        <v>34.31</v>
      </c>
      <c r="M349" s="812">
        <v>40</v>
      </c>
      <c r="N349" s="811">
        <v>38.03</v>
      </c>
      <c r="O349" s="813" t="s">
        <v>142</v>
      </c>
      <c r="P349" s="813" t="s">
        <v>142</v>
      </c>
      <c r="Q349" s="813" t="s">
        <v>142</v>
      </c>
      <c r="R349" s="813" t="s">
        <v>2004</v>
      </c>
      <c r="S349" s="813">
        <v>65.3</v>
      </c>
      <c r="T349" s="814" t="s">
        <v>84</v>
      </c>
      <c r="U349" s="813" t="s">
        <v>928</v>
      </c>
      <c r="V349" s="28"/>
      <c r="CM349"/>
      <c r="CN349"/>
      <c r="CO349"/>
      <c r="CP349"/>
      <c r="CQ349"/>
      <c r="CR349"/>
      <c r="CS349"/>
      <c r="CT349"/>
      <c r="CU349"/>
      <c r="CV349"/>
      <c r="CW349"/>
      <c r="CX349"/>
      <c r="CY349"/>
    </row>
    <row r="350" spans="2:103" s="1" customFormat="1" ht="18.75" x14ac:dyDescent="0.25">
      <c r="B350" s="808">
        <v>44730</v>
      </c>
      <c r="C350" s="809">
        <v>0.89583333333333337</v>
      </c>
      <c r="D350" s="810">
        <v>53</v>
      </c>
      <c r="E350" s="811">
        <v>7.4</v>
      </c>
      <c r="F350" s="811">
        <v>16.899999999999999</v>
      </c>
      <c r="G350" s="811">
        <v>1163</v>
      </c>
      <c r="H350" s="811">
        <v>2185</v>
      </c>
      <c r="I350" s="811">
        <v>106.6</v>
      </c>
      <c r="J350" s="811">
        <v>113.7</v>
      </c>
      <c r="K350" s="811" t="s">
        <v>3124</v>
      </c>
      <c r="L350" s="811">
        <v>33.090000000000003</v>
      </c>
      <c r="M350" s="812">
        <v>40</v>
      </c>
      <c r="N350" s="811">
        <v>41.47</v>
      </c>
      <c r="O350" s="813" t="s">
        <v>142</v>
      </c>
      <c r="P350" s="813" t="s">
        <v>142</v>
      </c>
      <c r="Q350" s="813" t="s">
        <v>142</v>
      </c>
      <c r="R350" s="813" t="s">
        <v>2216</v>
      </c>
      <c r="S350" s="813">
        <v>65.7</v>
      </c>
      <c r="T350" s="814" t="s">
        <v>84</v>
      </c>
      <c r="U350" s="813" t="s">
        <v>928</v>
      </c>
      <c r="V350" s="28"/>
      <c r="CM350"/>
      <c r="CN350"/>
      <c r="CO350"/>
      <c r="CP350"/>
      <c r="CQ350"/>
      <c r="CR350"/>
      <c r="CS350"/>
      <c r="CT350"/>
      <c r="CU350"/>
      <c r="CV350"/>
      <c r="CW350"/>
      <c r="CX350"/>
      <c r="CY350"/>
    </row>
    <row r="351" spans="2:103" s="1" customFormat="1" ht="18.75" x14ac:dyDescent="0.25">
      <c r="B351" s="808">
        <v>44731</v>
      </c>
      <c r="C351" s="809">
        <v>0.89583333333333337</v>
      </c>
      <c r="D351" s="810">
        <v>53</v>
      </c>
      <c r="E351" s="811">
        <v>7.4</v>
      </c>
      <c r="F351" s="811">
        <v>16.899999999999999</v>
      </c>
      <c r="G351" s="811">
        <v>1163</v>
      </c>
      <c r="H351" s="811">
        <v>2185</v>
      </c>
      <c r="I351" s="811">
        <v>106.6</v>
      </c>
      <c r="J351" s="811">
        <v>113.7</v>
      </c>
      <c r="K351" s="811" t="s">
        <v>3124</v>
      </c>
      <c r="L351" s="811">
        <v>33.090000000000003</v>
      </c>
      <c r="M351" s="812">
        <v>40</v>
      </c>
      <c r="N351" s="811">
        <v>41.47</v>
      </c>
      <c r="O351" s="813" t="s">
        <v>142</v>
      </c>
      <c r="P351" s="813" t="s">
        <v>142</v>
      </c>
      <c r="Q351" s="813" t="s">
        <v>142</v>
      </c>
      <c r="R351" s="813" t="s">
        <v>2216</v>
      </c>
      <c r="S351" s="813">
        <v>65.7</v>
      </c>
      <c r="T351" s="814" t="s">
        <v>84</v>
      </c>
      <c r="U351" s="813" t="s">
        <v>928</v>
      </c>
      <c r="V351" s="28"/>
      <c r="CM351"/>
      <c r="CN351"/>
      <c r="CO351"/>
      <c r="CP351"/>
      <c r="CQ351"/>
      <c r="CR351"/>
      <c r="CS351"/>
      <c r="CT351"/>
      <c r="CU351"/>
      <c r="CV351"/>
      <c r="CW351"/>
      <c r="CX351"/>
      <c r="CY351"/>
    </row>
    <row r="352" spans="2:103" s="1" customFormat="1" ht="18.75" x14ac:dyDescent="0.25">
      <c r="B352" s="808">
        <v>44732</v>
      </c>
      <c r="C352" s="809">
        <v>0.91666666666666663</v>
      </c>
      <c r="D352" s="810">
        <v>53</v>
      </c>
      <c r="E352" s="811">
        <v>9.4</v>
      </c>
      <c r="F352" s="811">
        <v>17.7</v>
      </c>
      <c r="G352" s="811">
        <v>1096</v>
      </c>
      <c r="H352" s="811">
        <v>2115</v>
      </c>
      <c r="I352" s="811">
        <v>106</v>
      </c>
      <c r="J352" s="811">
        <v>114.2</v>
      </c>
      <c r="K352" s="811" t="s">
        <v>3126</v>
      </c>
      <c r="L352" s="811">
        <v>34.26</v>
      </c>
      <c r="M352" s="812">
        <v>40</v>
      </c>
      <c r="N352" s="811">
        <v>40.049999999999997</v>
      </c>
      <c r="O352" s="813" t="s">
        <v>142</v>
      </c>
      <c r="P352" s="813" t="s">
        <v>142</v>
      </c>
      <c r="Q352" s="813" t="s">
        <v>142</v>
      </c>
      <c r="R352" s="813" t="s">
        <v>3127</v>
      </c>
      <c r="S352" s="813">
        <v>68.8</v>
      </c>
      <c r="T352" s="814" t="s">
        <v>84</v>
      </c>
      <c r="U352" s="813" t="s">
        <v>928</v>
      </c>
      <c r="V352" s="28"/>
      <c r="CM352"/>
      <c r="CN352"/>
      <c r="CO352"/>
      <c r="CP352"/>
      <c r="CQ352"/>
      <c r="CR352"/>
      <c r="CS352"/>
      <c r="CT352"/>
      <c r="CU352"/>
      <c r="CV352"/>
      <c r="CW352"/>
      <c r="CX352"/>
      <c r="CY352"/>
    </row>
    <row r="353" spans="2:103" s="1" customFormat="1" ht="18.75" x14ac:dyDescent="0.25">
      <c r="B353" s="808">
        <v>44733</v>
      </c>
      <c r="C353" s="809">
        <v>0.92708333333333337</v>
      </c>
      <c r="D353" s="810">
        <v>53</v>
      </c>
      <c r="E353" s="811">
        <v>7.4</v>
      </c>
      <c r="F353" s="811">
        <v>16.899999999999999</v>
      </c>
      <c r="G353" s="811">
        <v>1107</v>
      </c>
      <c r="H353" s="811">
        <v>2122</v>
      </c>
      <c r="I353" s="811">
        <v>105.5</v>
      </c>
      <c r="J353" s="811">
        <v>122.6</v>
      </c>
      <c r="K353" s="811" t="s">
        <v>3126</v>
      </c>
      <c r="L353" s="811">
        <v>34.17</v>
      </c>
      <c r="M353" s="812">
        <v>40</v>
      </c>
      <c r="N353" s="811">
        <v>39.9</v>
      </c>
      <c r="O353" s="813" t="s">
        <v>142</v>
      </c>
      <c r="P353" s="813" t="s">
        <v>142</v>
      </c>
      <c r="Q353" s="813" t="s">
        <v>142</v>
      </c>
      <c r="R353" s="813" t="s">
        <v>2004</v>
      </c>
      <c r="S353" s="813">
        <v>65.7</v>
      </c>
      <c r="T353" s="814" t="s">
        <v>84</v>
      </c>
      <c r="U353" s="813" t="s">
        <v>928</v>
      </c>
      <c r="V353" s="28"/>
      <c r="CM353"/>
      <c r="CN353"/>
      <c r="CO353"/>
      <c r="CP353"/>
      <c r="CQ353"/>
      <c r="CR353"/>
      <c r="CS353"/>
      <c r="CT353"/>
      <c r="CU353"/>
      <c r="CV353"/>
      <c r="CW353"/>
      <c r="CX353"/>
      <c r="CY353"/>
    </row>
    <row r="354" spans="2:103" s="1" customFormat="1" ht="18.75" x14ac:dyDescent="0.25">
      <c r="B354" s="808">
        <v>44734</v>
      </c>
      <c r="C354" s="809">
        <v>0.91666666666666663</v>
      </c>
      <c r="D354" s="810">
        <v>53</v>
      </c>
      <c r="E354" s="811">
        <v>7.2</v>
      </c>
      <c r="F354" s="811">
        <v>16.899999999999999</v>
      </c>
      <c r="G354" s="811">
        <v>1116</v>
      </c>
      <c r="H354" s="811">
        <v>2136</v>
      </c>
      <c r="I354" s="811">
        <v>105.9</v>
      </c>
      <c r="J354" s="811">
        <v>117.4</v>
      </c>
      <c r="K354" s="811" t="s">
        <v>3151</v>
      </c>
      <c r="L354" s="811">
        <v>34.799999999999997</v>
      </c>
      <c r="M354" s="812">
        <v>40</v>
      </c>
      <c r="N354" s="811">
        <v>40.89</v>
      </c>
      <c r="O354" s="813" t="s">
        <v>142</v>
      </c>
      <c r="P354" s="813" t="s">
        <v>142</v>
      </c>
      <c r="Q354" s="813" t="s">
        <v>142</v>
      </c>
      <c r="R354" s="813" t="s">
        <v>2004</v>
      </c>
      <c r="S354" s="813">
        <v>65.3</v>
      </c>
      <c r="T354" s="814" t="s">
        <v>84</v>
      </c>
      <c r="U354" s="813" t="s">
        <v>928</v>
      </c>
      <c r="V354" s="36"/>
      <c r="CM354"/>
      <c r="CN354"/>
      <c r="CO354"/>
      <c r="CP354"/>
      <c r="CQ354"/>
      <c r="CR354"/>
      <c r="CS354"/>
      <c r="CT354"/>
      <c r="CU354"/>
      <c r="CV354"/>
      <c r="CW354"/>
      <c r="CX354"/>
      <c r="CY354"/>
    </row>
    <row r="355" spans="2:103" s="1" customFormat="1" ht="18.75" x14ac:dyDescent="0.25">
      <c r="B355" s="808">
        <v>44735</v>
      </c>
      <c r="C355" s="809">
        <v>0.85416666666666663</v>
      </c>
      <c r="D355" s="810">
        <v>53</v>
      </c>
      <c r="E355" s="811">
        <v>7.4</v>
      </c>
      <c r="F355" s="811">
        <v>16.8</v>
      </c>
      <c r="G355" s="811">
        <v>1150</v>
      </c>
      <c r="H355" s="811">
        <v>2175</v>
      </c>
      <c r="I355" s="811">
        <v>106.6</v>
      </c>
      <c r="J355" s="811">
        <v>114</v>
      </c>
      <c r="K355" s="811" t="s">
        <v>3163</v>
      </c>
      <c r="L355" s="811">
        <v>32.32</v>
      </c>
      <c r="M355" s="812">
        <v>40</v>
      </c>
      <c r="N355" s="811">
        <v>38.29</v>
      </c>
      <c r="O355" s="813" t="s">
        <v>142</v>
      </c>
      <c r="P355" s="813" t="s">
        <v>142</v>
      </c>
      <c r="Q355" s="813" t="s">
        <v>142</v>
      </c>
      <c r="R355" s="813" t="s">
        <v>3164</v>
      </c>
      <c r="S355" s="813">
        <v>65.3</v>
      </c>
      <c r="T355" s="814" t="s">
        <v>84</v>
      </c>
      <c r="U355" s="813" t="s">
        <v>928</v>
      </c>
      <c r="V355" s="36"/>
      <c r="CM355"/>
      <c r="CN355"/>
      <c r="CO355"/>
      <c r="CP355"/>
      <c r="CQ355"/>
      <c r="CR355"/>
      <c r="CS355"/>
      <c r="CT355"/>
      <c r="CU355"/>
      <c r="CV355"/>
      <c r="CW355"/>
      <c r="CX355"/>
      <c r="CY355"/>
    </row>
    <row r="356" spans="2:103" s="1" customFormat="1" ht="18.75" x14ac:dyDescent="0.25">
      <c r="B356" s="808">
        <v>44736</v>
      </c>
      <c r="C356" s="809">
        <v>0.88541666666666663</v>
      </c>
      <c r="D356" s="810">
        <v>53</v>
      </c>
      <c r="E356" s="811">
        <v>7.2</v>
      </c>
      <c r="F356" s="811">
        <v>16.8</v>
      </c>
      <c r="G356" s="811">
        <v>1063</v>
      </c>
      <c r="H356" s="811">
        <v>2075</v>
      </c>
      <c r="I356" s="811">
        <v>106</v>
      </c>
      <c r="J356" s="811">
        <v>115.3</v>
      </c>
      <c r="K356" s="811" t="s">
        <v>3166</v>
      </c>
      <c r="L356" s="811">
        <v>33.46</v>
      </c>
      <c r="M356" s="812">
        <v>40</v>
      </c>
      <c r="N356" s="811">
        <v>40</v>
      </c>
      <c r="O356" s="813" t="s">
        <v>142</v>
      </c>
      <c r="P356" s="813" t="s">
        <v>142</v>
      </c>
      <c r="Q356" s="813" t="s">
        <v>142</v>
      </c>
      <c r="R356" s="813" t="s">
        <v>2328</v>
      </c>
      <c r="S356" s="813">
        <v>65.7</v>
      </c>
      <c r="T356" s="814" t="s">
        <v>84</v>
      </c>
      <c r="U356" s="813" t="s">
        <v>928</v>
      </c>
      <c r="V356" s="36"/>
      <c r="CM356"/>
      <c r="CN356"/>
      <c r="CO356"/>
      <c r="CP356"/>
      <c r="CQ356"/>
      <c r="CR356"/>
      <c r="CS356"/>
      <c r="CT356"/>
      <c r="CU356"/>
      <c r="CV356"/>
      <c r="CW356"/>
      <c r="CX356"/>
      <c r="CY356"/>
    </row>
    <row r="357" spans="2:103" s="1" customFormat="1" ht="18.75" x14ac:dyDescent="0.25">
      <c r="B357" s="808">
        <v>44737</v>
      </c>
      <c r="C357" s="809">
        <v>0.90625</v>
      </c>
      <c r="D357" s="810">
        <v>53</v>
      </c>
      <c r="E357" s="811">
        <v>7.3</v>
      </c>
      <c r="F357" s="811">
        <v>16.899999999999999</v>
      </c>
      <c r="G357" s="811">
        <v>1123</v>
      </c>
      <c r="H357" s="811">
        <v>2136</v>
      </c>
      <c r="I357" s="811">
        <v>106.2</v>
      </c>
      <c r="J357" s="811">
        <v>122</v>
      </c>
      <c r="K357" s="811" t="s">
        <v>3178</v>
      </c>
      <c r="L357" s="811">
        <v>33.799999999999997</v>
      </c>
      <c r="M357" s="812">
        <v>40</v>
      </c>
      <c r="N357" s="811">
        <v>38.03</v>
      </c>
      <c r="O357" s="813" t="s">
        <v>142</v>
      </c>
      <c r="P357" s="813" t="s">
        <v>142</v>
      </c>
      <c r="Q357" s="813" t="s">
        <v>142</v>
      </c>
      <c r="R357" s="813" t="s">
        <v>2660</v>
      </c>
      <c r="S357" s="813">
        <v>65.7</v>
      </c>
      <c r="T357" s="814" t="s">
        <v>84</v>
      </c>
      <c r="U357" s="813" t="s">
        <v>928</v>
      </c>
      <c r="V357" s="36"/>
      <c r="CM357"/>
      <c r="CN357"/>
      <c r="CO357"/>
      <c r="CP357"/>
      <c r="CQ357"/>
      <c r="CR357"/>
      <c r="CS357"/>
      <c r="CT357"/>
      <c r="CU357"/>
      <c r="CV357"/>
      <c r="CW357"/>
      <c r="CX357"/>
      <c r="CY357"/>
    </row>
    <row r="358" spans="2:103" s="1" customFormat="1" ht="18.75" x14ac:dyDescent="0.25">
      <c r="B358" s="808">
        <v>44738</v>
      </c>
      <c r="C358" s="809">
        <v>0.90625</v>
      </c>
      <c r="D358" s="810">
        <v>53</v>
      </c>
      <c r="E358" s="811">
        <v>7.6</v>
      </c>
      <c r="F358" s="811">
        <v>16.899999999999999</v>
      </c>
      <c r="G358" s="811">
        <v>1118</v>
      </c>
      <c r="H358" s="811">
        <v>2133</v>
      </c>
      <c r="I358" s="811">
        <v>105.7</v>
      </c>
      <c r="J358" s="811">
        <v>117.1</v>
      </c>
      <c r="K358" s="811" t="s">
        <v>3185</v>
      </c>
      <c r="L358" s="811">
        <v>33.9</v>
      </c>
      <c r="M358" s="812">
        <v>40</v>
      </c>
      <c r="N358" s="811">
        <v>39.4</v>
      </c>
      <c r="O358" s="813" t="s">
        <v>142</v>
      </c>
      <c r="P358" s="813" t="s">
        <v>142</v>
      </c>
      <c r="Q358" s="813" t="s">
        <v>142</v>
      </c>
      <c r="R358" s="813" t="s">
        <v>2291</v>
      </c>
      <c r="S358" s="813">
        <v>65.7</v>
      </c>
      <c r="T358" s="814" t="s">
        <v>84</v>
      </c>
      <c r="U358" s="813" t="s">
        <v>928</v>
      </c>
      <c r="V358" s="36"/>
      <c r="CM358"/>
      <c r="CN358"/>
      <c r="CO358"/>
      <c r="CP358"/>
      <c r="CQ358"/>
      <c r="CR358"/>
      <c r="CS358"/>
      <c r="CT358"/>
      <c r="CU358"/>
      <c r="CV358"/>
      <c r="CW358"/>
      <c r="CX358"/>
      <c r="CY358"/>
    </row>
    <row r="359" spans="2:103" s="1" customFormat="1" ht="18.75" x14ac:dyDescent="0.25">
      <c r="B359" s="808">
        <v>44739</v>
      </c>
      <c r="C359" s="809">
        <v>0.91666666666666663</v>
      </c>
      <c r="D359" s="810">
        <v>53</v>
      </c>
      <c r="E359" s="811">
        <v>8.8000000000000007</v>
      </c>
      <c r="F359" s="811">
        <v>17.399999999999999</v>
      </c>
      <c r="G359" s="811">
        <v>1119</v>
      </c>
      <c r="H359" s="811">
        <v>2144</v>
      </c>
      <c r="I359" s="811">
        <v>106.4</v>
      </c>
      <c r="J359" s="811">
        <v>117.4</v>
      </c>
      <c r="K359" s="811" t="s">
        <v>3194</v>
      </c>
      <c r="L359" s="811">
        <v>31.31</v>
      </c>
      <c r="M359" s="812">
        <v>40</v>
      </c>
      <c r="N359" s="811">
        <v>36.57</v>
      </c>
      <c r="O359" s="813" t="s">
        <v>142</v>
      </c>
      <c r="P359" s="813" t="s">
        <v>142</v>
      </c>
      <c r="Q359" s="813" t="s">
        <v>142</v>
      </c>
      <c r="R359" s="813" t="s">
        <v>2951</v>
      </c>
      <c r="S359" s="813">
        <v>68</v>
      </c>
      <c r="T359" s="814" t="s">
        <v>84</v>
      </c>
      <c r="U359" s="813" t="s">
        <v>928</v>
      </c>
      <c r="V359" s="36"/>
      <c r="CM359"/>
      <c r="CN359"/>
      <c r="CO359"/>
      <c r="CP359"/>
      <c r="CQ359"/>
      <c r="CR359"/>
      <c r="CS359"/>
      <c r="CT359"/>
      <c r="CU359"/>
      <c r="CV359"/>
      <c r="CW359"/>
      <c r="CX359"/>
      <c r="CY359"/>
    </row>
    <row r="360" spans="2:103" s="1" customFormat="1" ht="18.75" x14ac:dyDescent="0.25">
      <c r="B360" s="808">
        <v>44740</v>
      </c>
      <c r="C360" s="809">
        <v>0.9375</v>
      </c>
      <c r="D360" s="810">
        <v>53</v>
      </c>
      <c r="E360" s="811">
        <v>9.1</v>
      </c>
      <c r="F360" s="811">
        <v>17.5</v>
      </c>
      <c r="G360" s="811">
        <v>1156</v>
      </c>
      <c r="H360" s="811">
        <v>2197</v>
      </c>
      <c r="I360" s="811">
        <v>105.9</v>
      </c>
      <c r="J360" s="811">
        <v>115.5</v>
      </c>
      <c r="K360" s="811" t="s">
        <v>3200</v>
      </c>
      <c r="L360" s="811">
        <v>33.15</v>
      </c>
      <c r="M360" s="812">
        <v>40</v>
      </c>
      <c r="N360" s="811">
        <v>39.94</v>
      </c>
      <c r="O360" s="813" t="s">
        <v>142</v>
      </c>
      <c r="P360" s="813" t="s">
        <v>142</v>
      </c>
      <c r="Q360" s="813" t="s">
        <v>142</v>
      </c>
      <c r="R360" s="813" t="s">
        <v>3201</v>
      </c>
      <c r="S360" s="813">
        <v>68</v>
      </c>
      <c r="T360" s="814" t="s">
        <v>84</v>
      </c>
      <c r="U360" s="813" t="s">
        <v>928</v>
      </c>
      <c r="V360" s="36"/>
      <c r="CM360"/>
      <c r="CN360"/>
      <c r="CO360"/>
      <c r="CP360"/>
      <c r="CQ360"/>
      <c r="CR360"/>
      <c r="CS360"/>
      <c r="CT360"/>
      <c r="CU360"/>
      <c r="CV360"/>
      <c r="CW360"/>
      <c r="CX360"/>
      <c r="CY360"/>
    </row>
    <row r="361" spans="2:103" s="1" customFormat="1" ht="18.75" x14ac:dyDescent="0.25">
      <c r="B361" s="808">
        <v>44741</v>
      </c>
      <c r="C361" s="809">
        <v>0.88541666666666663</v>
      </c>
      <c r="D361" s="810">
        <v>53</v>
      </c>
      <c r="E361" s="811">
        <v>7.2</v>
      </c>
      <c r="F361" s="811">
        <v>16.899999999999999</v>
      </c>
      <c r="G361" s="811">
        <v>1130</v>
      </c>
      <c r="H361" s="811">
        <v>2146</v>
      </c>
      <c r="I361" s="811">
        <v>106.7</v>
      </c>
      <c r="J361" s="811">
        <v>114.1</v>
      </c>
      <c r="K361" s="811" t="s">
        <v>3209</v>
      </c>
      <c r="L361" s="811">
        <v>34.35</v>
      </c>
      <c r="M361" s="812">
        <v>40</v>
      </c>
      <c r="N361" s="811">
        <v>39.06</v>
      </c>
      <c r="O361" s="813" t="s">
        <v>142</v>
      </c>
      <c r="P361" s="813" t="s">
        <v>142</v>
      </c>
      <c r="Q361" s="813" t="s">
        <v>142</v>
      </c>
      <c r="R361" s="813" t="s">
        <v>2004</v>
      </c>
      <c r="S361" s="813">
        <v>65.3</v>
      </c>
      <c r="T361" s="814" t="s">
        <v>84</v>
      </c>
      <c r="U361" s="813" t="s">
        <v>928</v>
      </c>
      <c r="V361" s="36"/>
      <c r="CM361"/>
      <c r="CN361"/>
      <c r="CO361"/>
      <c r="CP361"/>
      <c r="CQ361"/>
      <c r="CR361"/>
      <c r="CS361"/>
      <c r="CT361"/>
      <c r="CU361"/>
      <c r="CV361"/>
      <c r="CW361"/>
      <c r="CX361"/>
      <c r="CY361"/>
    </row>
    <row r="362" spans="2:103" s="1" customFormat="1" ht="18.75" x14ac:dyDescent="0.25">
      <c r="B362" s="808">
        <v>44742</v>
      </c>
      <c r="C362" s="809">
        <v>0.875</v>
      </c>
      <c r="D362" s="810">
        <v>53</v>
      </c>
      <c r="E362" s="811">
        <v>7.6</v>
      </c>
      <c r="F362" s="811">
        <v>16.899999999999999</v>
      </c>
      <c r="G362" s="811">
        <v>1162</v>
      </c>
      <c r="H362" s="811">
        <v>2179</v>
      </c>
      <c r="I362" s="811">
        <v>105.8</v>
      </c>
      <c r="J362" s="811">
        <v>123.4</v>
      </c>
      <c r="K362" s="811" t="s">
        <v>3217</v>
      </c>
      <c r="L362" s="811">
        <v>34.69</v>
      </c>
      <c r="M362" s="812">
        <v>40</v>
      </c>
      <c r="N362" s="811">
        <v>38.67</v>
      </c>
      <c r="O362" s="813" t="s">
        <v>142</v>
      </c>
      <c r="P362" s="813" t="s">
        <v>142</v>
      </c>
      <c r="Q362" s="813" t="s">
        <v>142</v>
      </c>
      <c r="R362" s="813" t="s">
        <v>2216</v>
      </c>
      <c r="S362" s="813">
        <v>65.7</v>
      </c>
      <c r="T362" s="814" t="s">
        <v>84</v>
      </c>
      <c r="U362" s="813" t="s">
        <v>928</v>
      </c>
      <c r="V362" s="36"/>
      <c r="CM362"/>
      <c r="CN362"/>
      <c r="CO362"/>
      <c r="CP362"/>
      <c r="CQ362"/>
      <c r="CR362"/>
      <c r="CS362"/>
      <c r="CT362"/>
      <c r="CU362"/>
      <c r="CV362"/>
      <c r="CW362"/>
      <c r="CX362"/>
      <c r="CY362"/>
    </row>
    <row r="363" spans="2:103" s="1" customFormat="1" ht="18.75" x14ac:dyDescent="0.25">
      <c r="B363" s="808">
        <v>44743</v>
      </c>
      <c r="C363" s="809">
        <v>0.89583333333333337</v>
      </c>
      <c r="D363" s="810">
        <v>53</v>
      </c>
      <c r="E363" s="811">
        <v>8.9</v>
      </c>
      <c r="F363" s="811">
        <v>17.399999999999999</v>
      </c>
      <c r="G363" s="811">
        <v>1198</v>
      </c>
      <c r="H363" s="811">
        <v>2208</v>
      </c>
      <c r="I363" s="811">
        <v>105.1</v>
      </c>
      <c r="J363" s="811">
        <v>125.1</v>
      </c>
      <c r="K363" s="811" t="s">
        <v>3222</v>
      </c>
      <c r="L363" s="811">
        <v>35.35</v>
      </c>
      <c r="M363" s="812">
        <v>40</v>
      </c>
      <c r="N363" s="811">
        <v>38.380000000000003</v>
      </c>
      <c r="O363" s="813" t="s">
        <v>142</v>
      </c>
      <c r="P363" s="813" t="s">
        <v>142</v>
      </c>
      <c r="Q363" s="813" t="s">
        <v>142</v>
      </c>
      <c r="R363" s="813" t="s">
        <v>2379</v>
      </c>
      <c r="S363" s="813">
        <v>67.7</v>
      </c>
      <c r="T363" s="814" t="s">
        <v>84</v>
      </c>
      <c r="U363" s="813" t="s">
        <v>928</v>
      </c>
      <c r="V363" s="36"/>
      <c r="CM363"/>
      <c r="CN363"/>
      <c r="CO363"/>
      <c r="CP363"/>
      <c r="CQ363"/>
      <c r="CR363"/>
      <c r="CS363"/>
      <c r="CT363"/>
      <c r="CU363"/>
      <c r="CV363"/>
      <c r="CW363"/>
      <c r="CX363"/>
      <c r="CY363"/>
    </row>
    <row r="364" spans="2:103" s="1" customFormat="1" ht="18.75" x14ac:dyDescent="0.25">
      <c r="B364" s="808">
        <v>44744</v>
      </c>
      <c r="C364" s="809">
        <v>0.89583333333333337</v>
      </c>
      <c r="D364" s="810">
        <v>53</v>
      </c>
      <c r="E364" s="811">
        <v>7.5</v>
      </c>
      <c r="F364" s="811">
        <v>16.899999999999999</v>
      </c>
      <c r="G364" s="811">
        <v>1084</v>
      </c>
      <c r="H364" s="811">
        <v>2113</v>
      </c>
      <c r="I364" s="811">
        <v>106.6</v>
      </c>
      <c r="J364" s="811">
        <v>115</v>
      </c>
      <c r="K364" s="811" t="s">
        <v>3233</v>
      </c>
      <c r="L364" s="811">
        <v>35.51</v>
      </c>
      <c r="M364" s="812">
        <v>40</v>
      </c>
      <c r="N364" s="811">
        <v>38.25</v>
      </c>
      <c r="O364" s="813" t="s">
        <v>142</v>
      </c>
      <c r="P364" s="813" t="s">
        <v>142</v>
      </c>
      <c r="Q364" s="813" t="s">
        <v>142</v>
      </c>
      <c r="R364" s="813" t="s">
        <v>2660</v>
      </c>
      <c r="S364" s="813">
        <v>65.7</v>
      </c>
      <c r="T364" s="814" t="s">
        <v>84</v>
      </c>
      <c r="U364" s="813" t="s">
        <v>928</v>
      </c>
      <c r="V364" s="36"/>
      <c r="CM364"/>
      <c r="CN364"/>
      <c r="CO364"/>
      <c r="CP364"/>
      <c r="CQ364"/>
      <c r="CR364"/>
      <c r="CS364"/>
      <c r="CT364"/>
      <c r="CU364"/>
      <c r="CV364"/>
      <c r="CW364"/>
      <c r="CX364"/>
      <c r="CY364"/>
    </row>
    <row r="365" spans="2:103" s="1" customFormat="1" ht="18.75" x14ac:dyDescent="0.25">
      <c r="B365" s="808">
        <v>44745</v>
      </c>
      <c r="C365" s="809">
        <v>0.89583333333333337</v>
      </c>
      <c r="D365" s="810">
        <v>53</v>
      </c>
      <c r="E365" s="811">
        <v>7.4</v>
      </c>
      <c r="F365" s="811">
        <v>16.899999999999999</v>
      </c>
      <c r="G365" s="811">
        <v>1110</v>
      </c>
      <c r="H365" s="811">
        <v>2144</v>
      </c>
      <c r="I365" s="811">
        <v>106.2</v>
      </c>
      <c r="J365" s="811">
        <v>114.9</v>
      </c>
      <c r="K365" s="811" t="s">
        <v>3238</v>
      </c>
      <c r="L365" s="811">
        <v>34.33</v>
      </c>
      <c r="M365" s="812">
        <v>40</v>
      </c>
      <c r="N365" s="811">
        <v>37.909999999999997</v>
      </c>
      <c r="O365" s="813" t="s">
        <v>142</v>
      </c>
      <c r="P365" s="813" t="s">
        <v>142</v>
      </c>
      <c r="Q365" s="813" t="s">
        <v>142</v>
      </c>
      <c r="R365" s="813" t="s">
        <v>2056</v>
      </c>
      <c r="S365" s="813">
        <v>65.7</v>
      </c>
      <c r="T365" s="814" t="s">
        <v>84</v>
      </c>
      <c r="U365" s="813" t="s">
        <v>928</v>
      </c>
      <c r="V365" s="36"/>
      <c r="CM365"/>
      <c r="CN365"/>
      <c r="CO365"/>
      <c r="CP365"/>
      <c r="CQ365"/>
      <c r="CR365"/>
      <c r="CS365"/>
      <c r="CT365"/>
      <c r="CU365"/>
      <c r="CV365"/>
      <c r="CW365"/>
      <c r="CX365"/>
      <c r="CY365"/>
    </row>
    <row r="366" spans="2:103" ht="18.75" x14ac:dyDescent="0.25">
      <c r="B366" s="808">
        <v>44746</v>
      </c>
      <c r="C366" s="809">
        <v>0.875</v>
      </c>
      <c r="D366" s="810">
        <v>53</v>
      </c>
      <c r="E366" s="811">
        <v>7.3</v>
      </c>
      <c r="F366" s="811">
        <v>16.899999999999999</v>
      </c>
      <c r="G366" s="811">
        <v>1144</v>
      </c>
      <c r="H366" s="811">
        <v>2176</v>
      </c>
      <c r="I366" s="811">
        <v>106.2</v>
      </c>
      <c r="J366" s="811">
        <v>113.9</v>
      </c>
      <c r="K366" s="811" t="s">
        <v>3243</v>
      </c>
      <c r="L366" s="811">
        <v>34.06</v>
      </c>
      <c r="M366" s="812">
        <v>40</v>
      </c>
      <c r="N366" s="811">
        <v>36.6</v>
      </c>
      <c r="O366" s="813" t="s">
        <v>142</v>
      </c>
      <c r="P366" s="813" t="s">
        <v>142</v>
      </c>
      <c r="Q366" s="813" t="s">
        <v>142</v>
      </c>
      <c r="R366" s="813" t="s">
        <v>2004</v>
      </c>
      <c r="S366" s="813">
        <v>65.7</v>
      </c>
      <c r="T366" s="814" t="s">
        <v>84</v>
      </c>
      <c r="U366" s="813" t="s">
        <v>928</v>
      </c>
      <c r="V366" s="36"/>
    </row>
    <row r="367" spans="2:103" ht="18.75" x14ac:dyDescent="0.25">
      <c r="B367" s="808">
        <v>44747</v>
      </c>
      <c r="C367" s="809">
        <v>0.89583333333333337</v>
      </c>
      <c r="D367" s="810">
        <v>53</v>
      </c>
      <c r="E367" s="811">
        <v>8.6999999999999993</v>
      </c>
      <c r="F367" s="811">
        <v>17.3</v>
      </c>
      <c r="G367" s="811">
        <v>1159</v>
      </c>
      <c r="H367" s="811">
        <v>2203</v>
      </c>
      <c r="I367" s="811">
        <v>107.1</v>
      </c>
      <c r="J367" s="811">
        <v>115.9</v>
      </c>
      <c r="K367" s="811" t="s">
        <v>3254</v>
      </c>
      <c r="L367" s="811">
        <v>34.380000000000003</v>
      </c>
      <c r="M367" s="812">
        <v>40</v>
      </c>
      <c r="N367" s="811">
        <v>37.79</v>
      </c>
      <c r="O367" s="813" t="s">
        <v>142</v>
      </c>
      <c r="P367" s="813" t="s">
        <v>142</v>
      </c>
      <c r="Q367" s="813" t="s">
        <v>142</v>
      </c>
      <c r="R367" s="813" t="s">
        <v>2320</v>
      </c>
      <c r="S367" s="813">
        <v>67.3</v>
      </c>
      <c r="T367" s="814" t="s">
        <v>84</v>
      </c>
      <c r="U367" s="813" t="s">
        <v>928</v>
      </c>
      <c r="V367" s="36"/>
    </row>
    <row r="368" spans="2:103" ht="18.75" x14ac:dyDescent="0.25">
      <c r="B368" s="808">
        <v>44748</v>
      </c>
      <c r="C368" s="809">
        <v>0.89583333333333337</v>
      </c>
      <c r="D368" s="810">
        <v>53</v>
      </c>
      <c r="E368" s="811">
        <v>7.4</v>
      </c>
      <c r="F368" s="811">
        <v>16.899999999999999</v>
      </c>
      <c r="G368" s="811">
        <v>1195</v>
      </c>
      <c r="H368" s="811">
        <v>2213</v>
      </c>
      <c r="I368" s="811">
        <v>105.9</v>
      </c>
      <c r="J368" s="811">
        <v>122.6</v>
      </c>
      <c r="K368" s="811" t="s">
        <v>3254</v>
      </c>
      <c r="L368" s="811">
        <v>35.53</v>
      </c>
      <c r="M368" s="812">
        <v>40</v>
      </c>
      <c r="N368" s="811">
        <v>36.53</v>
      </c>
      <c r="O368" s="813" t="s">
        <v>142</v>
      </c>
      <c r="P368" s="813" t="s">
        <v>142</v>
      </c>
      <c r="Q368" s="813" t="s">
        <v>142</v>
      </c>
      <c r="R368" s="813" t="s">
        <v>2216</v>
      </c>
      <c r="S368" s="813">
        <v>65.7</v>
      </c>
      <c r="T368" s="814" t="s">
        <v>84</v>
      </c>
      <c r="U368" s="813" t="s">
        <v>928</v>
      </c>
      <c r="V368" s="36"/>
    </row>
    <row r="369" spans="2:103" ht="18.75" x14ac:dyDescent="0.25">
      <c r="B369" s="808">
        <v>44749</v>
      </c>
      <c r="C369" s="809">
        <v>0.89583333333333337</v>
      </c>
      <c r="D369" s="810">
        <v>53</v>
      </c>
      <c r="E369" s="811">
        <v>8.6</v>
      </c>
      <c r="F369" s="811">
        <v>17.3</v>
      </c>
      <c r="G369" s="811">
        <v>1156</v>
      </c>
      <c r="H369" s="811">
        <v>2187</v>
      </c>
      <c r="I369" s="811">
        <v>106.5</v>
      </c>
      <c r="J369" s="811">
        <v>115.5</v>
      </c>
      <c r="K369" s="811" t="s">
        <v>3273</v>
      </c>
      <c r="L369" s="811">
        <v>36.26</v>
      </c>
      <c r="M369" s="812">
        <v>40</v>
      </c>
      <c r="N369" s="811">
        <v>39.44</v>
      </c>
      <c r="O369" s="813" t="s">
        <v>142</v>
      </c>
      <c r="P369" s="813" t="s">
        <v>142</v>
      </c>
      <c r="Q369" s="813" t="s">
        <v>142</v>
      </c>
      <c r="R369" s="813" t="s">
        <v>2160</v>
      </c>
      <c r="S369" s="813">
        <v>67.3</v>
      </c>
      <c r="T369" s="814" t="s">
        <v>84</v>
      </c>
      <c r="U369" s="813" t="s">
        <v>928</v>
      </c>
      <c r="V369" s="36"/>
    </row>
    <row r="370" spans="2:103" ht="18.75" x14ac:dyDescent="0.25">
      <c r="B370" s="808">
        <v>44750</v>
      </c>
      <c r="C370" s="809">
        <v>0.89583333333333337</v>
      </c>
      <c r="D370" s="810">
        <v>53</v>
      </c>
      <c r="E370" s="811">
        <v>7.4</v>
      </c>
      <c r="F370" s="811">
        <v>16.899999999999999</v>
      </c>
      <c r="G370" s="811">
        <v>1184</v>
      </c>
      <c r="H370" s="811">
        <v>2205</v>
      </c>
      <c r="I370" s="811">
        <v>106.6</v>
      </c>
      <c r="J370" s="811">
        <v>114.4</v>
      </c>
      <c r="K370" s="811" t="s">
        <v>3293</v>
      </c>
      <c r="L370" s="811">
        <v>35.549999999999997</v>
      </c>
      <c r="M370" s="812">
        <v>40</v>
      </c>
      <c r="N370" s="811">
        <v>35.96</v>
      </c>
      <c r="O370" s="813" t="s">
        <v>142</v>
      </c>
      <c r="P370" s="813" t="s">
        <v>142</v>
      </c>
      <c r="Q370" s="813" t="s">
        <v>142</v>
      </c>
      <c r="R370" s="813" t="s">
        <v>2004</v>
      </c>
      <c r="S370" s="813">
        <v>65.7</v>
      </c>
      <c r="T370" s="814" t="s">
        <v>84</v>
      </c>
      <c r="U370" s="813" t="s">
        <v>928</v>
      </c>
      <c r="V370" s="36"/>
    </row>
    <row r="371" spans="2:103" ht="18.75" x14ac:dyDescent="0.25">
      <c r="B371" s="808">
        <v>44751</v>
      </c>
      <c r="C371" s="809">
        <v>0.89583333333333337</v>
      </c>
      <c r="D371" s="810">
        <v>53</v>
      </c>
      <c r="E371" s="811">
        <v>7.7</v>
      </c>
      <c r="F371" s="811">
        <v>16.899999999999999</v>
      </c>
      <c r="G371" s="811">
        <v>1180</v>
      </c>
      <c r="H371" s="811">
        <v>2203</v>
      </c>
      <c r="I371" s="811">
        <v>106.8</v>
      </c>
      <c r="J371" s="811">
        <v>115.2</v>
      </c>
      <c r="K371" s="811" t="s">
        <v>3316</v>
      </c>
      <c r="L371" s="811">
        <v>35.159999999999997</v>
      </c>
      <c r="M371" s="812">
        <v>39</v>
      </c>
      <c r="N371" s="811">
        <v>37.369999999999997</v>
      </c>
      <c r="O371" s="813" t="s">
        <v>142</v>
      </c>
      <c r="P371" s="813" t="s">
        <v>142</v>
      </c>
      <c r="Q371" s="813" t="s">
        <v>142</v>
      </c>
      <c r="R371" s="813" t="s">
        <v>2660</v>
      </c>
      <c r="S371" s="813">
        <v>65.7</v>
      </c>
      <c r="T371" s="814" t="s">
        <v>84</v>
      </c>
      <c r="U371" s="813" t="s">
        <v>928</v>
      </c>
      <c r="V371" s="36"/>
    </row>
    <row r="372" spans="2:103" ht="18.75" x14ac:dyDescent="0.25">
      <c r="B372" s="808">
        <v>44752</v>
      </c>
      <c r="C372" s="32"/>
      <c r="D372" s="1673" t="s">
        <v>3307</v>
      </c>
      <c r="E372" s="1674"/>
      <c r="F372" s="1674"/>
      <c r="G372" s="1674"/>
      <c r="H372" s="1674"/>
      <c r="I372" s="1674"/>
      <c r="J372" s="1674"/>
      <c r="K372" s="1674"/>
      <c r="L372" s="1674"/>
      <c r="M372" s="1674"/>
      <c r="N372" s="1674"/>
      <c r="O372" s="1674"/>
      <c r="P372" s="1674"/>
      <c r="Q372" s="1674"/>
      <c r="R372" s="1674"/>
      <c r="S372" s="1675"/>
      <c r="T372" s="35"/>
      <c r="U372" s="20"/>
      <c r="V372" s="36"/>
    </row>
    <row r="373" spans="2:103" ht="18.75" x14ac:dyDescent="0.25">
      <c r="B373" s="808">
        <v>44753</v>
      </c>
      <c r="C373" s="809">
        <v>0.875</v>
      </c>
      <c r="D373" s="810">
        <v>53</v>
      </c>
      <c r="E373" s="811">
        <v>7</v>
      </c>
      <c r="F373" s="811">
        <v>16.7</v>
      </c>
      <c r="G373" s="811">
        <v>1101</v>
      </c>
      <c r="H373" s="811">
        <v>2112</v>
      </c>
      <c r="I373" s="811">
        <v>106.3</v>
      </c>
      <c r="J373" s="811">
        <v>113.4</v>
      </c>
      <c r="K373" s="811" t="s">
        <v>3315</v>
      </c>
      <c r="L373" s="811">
        <v>33.74</v>
      </c>
      <c r="M373" s="812">
        <v>39</v>
      </c>
      <c r="N373" s="811">
        <v>40.35</v>
      </c>
      <c r="O373" s="813" t="s">
        <v>142</v>
      </c>
      <c r="P373" s="813" t="s">
        <v>142</v>
      </c>
      <c r="Q373" s="813" t="s">
        <v>142</v>
      </c>
      <c r="R373" s="813" t="s">
        <v>2175</v>
      </c>
      <c r="S373" s="813">
        <v>64.900000000000006</v>
      </c>
      <c r="T373" s="814" t="s">
        <v>84</v>
      </c>
      <c r="U373" s="813" t="s">
        <v>928</v>
      </c>
      <c r="V373" s="36"/>
    </row>
    <row r="374" spans="2:103" ht="18.75" x14ac:dyDescent="0.25">
      <c r="B374" s="808">
        <v>44754</v>
      </c>
      <c r="C374" s="809">
        <v>0.875</v>
      </c>
      <c r="D374" s="810">
        <v>53</v>
      </c>
      <c r="E374" s="811">
        <v>7.3</v>
      </c>
      <c r="F374" s="811">
        <v>16.8</v>
      </c>
      <c r="G374" s="811">
        <v>1158</v>
      </c>
      <c r="H374" s="811">
        <v>2178</v>
      </c>
      <c r="I374" s="811">
        <v>105.9</v>
      </c>
      <c r="J374" s="811">
        <v>120.1</v>
      </c>
      <c r="K374" s="811" t="s">
        <v>3315</v>
      </c>
      <c r="L374" s="811">
        <v>33.36</v>
      </c>
      <c r="M374" s="812">
        <v>39</v>
      </c>
      <c r="N374" s="811">
        <v>39.26</v>
      </c>
      <c r="O374" s="813" t="s">
        <v>142</v>
      </c>
      <c r="P374" s="813" t="s">
        <v>142</v>
      </c>
      <c r="Q374" s="813" t="s">
        <v>142</v>
      </c>
      <c r="R374" s="813" t="s">
        <v>2004</v>
      </c>
      <c r="S374" s="813">
        <v>65.3</v>
      </c>
      <c r="T374" s="814" t="s">
        <v>84</v>
      </c>
      <c r="U374" s="813" t="s">
        <v>928</v>
      </c>
      <c r="V374" s="36"/>
    </row>
    <row r="375" spans="2:103" ht="18.75" x14ac:dyDescent="0.25">
      <c r="B375" s="808">
        <v>44755</v>
      </c>
      <c r="C375" s="809">
        <v>0.875</v>
      </c>
      <c r="D375" s="810">
        <v>53</v>
      </c>
      <c r="E375" s="811">
        <v>7.2</v>
      </c>
      <c r="F375" s="811">
        <v>16.8</v>
      </c>
      <c r="G375" s="811">
        <v>1194</v>
      </c>
      <c r="H375" s="811">
        <v>2214</v>
      </c>
      <c r="I375" s="811">
        <v>106.2</v>
      </c>
      <c r="J375" s="811">
        <v>119.5</v>
      </c>
      <c r="K375" s="811" t="s">
        <v>3339</v>
      </c>
      <c r="L375" s="811">
        <v>33.36</v>
      </c>
      <c r="M375" s="812">
        <v>39</v>
      </c>
      <c r="N375" s="811">
        <v>39.26</v>
      </c>
      <c r="O375" s="813" t="s">
        <v>142</v>
      </c>
      <c r="P375" s="813" t="s">
        <v>142</v>
      </c>
      <c r="Q375" s="813" t="s">
        <v>142</v>
      </c>
      <c r="R375" s="813" t="s">
        <v>2004</v>
      </c>
      <c r="S375" s="813">
        <v>65.3</v>
      </c>
      <c r="T375" s="814" t="s">
        <v>84</v>
      </c>
      <c r="U375" s="813" t="s">
        <v>928</v>
      </c>
      <c r="V375" s="36"/>
    </row>
    <row r="376" spans="2:103" ht="39" customHeight="1" x14ac:dyDescent="0.25">
      <c r="B376" s="808">
        <v>44756</v>
      </c>
      <c r="C376" s="809">
        <v>0.875</v>
      </c>
      <c r="D376" s="1660" t="s">
        <v>3342</v>
      </c>
      <c r="E376" s="1661"/>
      <c r="F376" s="1661"/>
      <c r="G376" s="1661"/>
      <c r="H376" s="1661"/>
      <c r="I376" s="1661"/>
      <c r="J376" s="1661"/>
      <c r="K376" s="1661"/>
      <c r="L376" s="1661"/>
      <c r="M376" s="1661"/>
      <c r="N376" s="1661"/>
      <c r="O376" s="1661"/>
      <c r="P376" s="1661"/>
      <c r="Q376" s="1661"/>
      <c r="R376" s="1661"/>
      <c r="S376" s="1662"/>
      <c r="T376" s="814" t="s">
        <v>84</v>
      </c>
      <c r="U376" s="813" t="s">
        <v>928</v>
      </c>
      <c r="V376" s="36"/>
    </row>
    <row r="377" spans="2:103" ht="18.75" x14ac:dyDescent="0.25">
      <c r="B377" s="808">
        <v>44757</v>
      </c>
      <c r="C377" s="809">
        <v>0.88541666666666663</v>
      </c>
      <c r="D377" s="810">
        <v>53</v>
      </c>
      <c r="E377" s="811">
        <v>10.1</v>
      </c>
      <c r="F377" s="811">
        <v>18</v>
      </c>
      <c r="G377" s="811">
        <v>1100</v>
      </c>
      <c r="H377" s="811">
        <v>1974</v>
      </c>
      <c r="I377" s="811">
        <v>102.5</v>
      </c>
      <c r="J377" s="811">
        <v>120.6</v>
      </c>
      <c r="K377" s="886" t="s">
        <v>3347</v>
      </c>
      <c r="L377" s="811">
        <v>33.36</v>
      </c>
      <c r="M377" s="812">
        <v>39</v>
      </c>
      <c r="N377" s="811">
        <v>39.26</v>
      </c>
      <c r="O377" s="813" t="s">
        <v>142</v>
      </c>
      <c r="P377" s="813" t="s">
        <v>142</v>
      </c>
      <c r="Q377" s="813" t="s">
        <v>142</v>
      </c>
      <c r="R377" s="813" t="s">
        <v>3348</v>
      </c>
      <c r="S377" s="813">
        <v>70</v>
      </c>
      <c r="T377" s="814" t="s">
        <v>84</v>
      </c>
      <c r="U377" s="813" t="s">
        <v>928</v>
      </c>
      <c r="V377" s="36"/>
    </row>
    <row r="378" spans="2:103" ht="18.75" x14ac:dyDescent="0.25">
      <c r="B378" s="808">
        <v>44758</v>
      </c>
      <c r="C378" s="809">
        <v>0.88541666666666663</v>
      </c>
      <c r="D378" s="810">
        <v>53</v>
      </c>
      <c r="E378" s="811">
        <v>9.3000000000000007</v>
      </c>
      <c r="F378" s="811">
        <v>17.600000000000001</v>
      </c>
      <c r="G378" s="811">
        <v>1074</v>
      </c>
      <c r="H378" s="811">
        <v>2087</v>
      </c>
      <c r="I378" s="811">
        <v>106.3</v>
      </c>
      <c r="J378" s="811">
        <v>115.1</v>
      </c>
      <c r="K378" s="886" t="s">
        <v>3347</v>
      </c>
      <c r="L378" s="811">
        <v>32.15</v>
      </c>
      <c r="M378" s="812">
        <v>39</v>
      </c>
      <c r="N378" s="811">
        <v>46.75</v>
      </c>
      <c r="O378" s="813" t="s">
        <v>142</v>
      </c>
      <c r="P378" s="813" t="s">
        <v>142</v>
      </c>
      <c r="Q378" s="813" t="s">
        <v>142</v>
      </c>
      <c r="R378" s="813" t="s">
        <v>2604</v>
      </c>
      <c r="S378" s="813">
        <v>68.400000000000006</v>
      </c>
      <c r="T378" s="814" t="s">
        <v>84</v>
      </c>
      <c r="U378" s="813" t="s">
        <v>928</v>
      </c>
      <c r="V378" s="36"/>
    </row>
    <row r="379" spans="2:103" s="42" customFormat="1" ht="18.75" x14ac:dyDescent="0.25">
      <c r="B379" s="808">
        <v>44759</v>
      </c>
      <c r="C379" s="809">
        <v>0.91666666666666663</v>
      </c>
      <c r="D379" s="810">
        <v>53</v>
      </c>
      <c r="E379" s="811">
        <v>7</v>
      </c>
      <c r="F379" s="811">
        <v>16.8</v>
      </c>
      <c r="G379" s="811">
        <v>1139</v>
      </c>
      <c r="H379" s="811">
        <v>2066</v>
      </c>
      <c r="I379" s="811">
        <v>103.6</v>
      </c>
      <c r="J379" s="811">
        <v>121.3</v>
      </c>
      <c r="K379" s="886" t="s">
        <v>3360</v>
      </c>
      <c r="L379" s="811">
        <v>34.29</v>
      </c>
      <c r="M379" s="812">
        <v>39</v>
      </c>
      <c r="N379" s="811">
        <v>37.76</v>
      </c>
      <c r="O379" s="813" t="s">
        <v>142</v>
      </c>
      <c r="P379" s="813" t="s">
        <v>142</v>
      </c>
      <c r="Q379" s="813" t="s">
        <v>142</v>
      </c>
      <c r="R379" s="813" t="s">
        <v>3164</v>
      </c>
      <c r="S379" s="813">
        <v>65.3</v>
      </c>
      <c r="T379" s="814" t="s">
        <v>84</v>
      </c>
      <c r="U379" s="813" t="s">
        <v>928</v>
      </c>
      <c r="V379" s="40"/>
      <c r="W379" s="41"/>
      <c r="X379" s="41"/>
      <c r="Y379" s="41"/>
      <c r="Z379" s="41"/>
      <c r="AA379" s="41"/>
      <c r="AB379" s="41"/>
      <c r="AC379" s="41"/>
      <c r="AD379" s="41"/>
      <c r="AE379" s="41"/>
      <c r="AF379" s="41"/>
      <c r="AG379" s="41"/>
      <c r="AH379" s="41"/>
      <c r="AI379" s="41"/>
      <c r="AJ379" s="41"/>
      <c r="AK379" s="41"/>
      <c r="AL379" s="41"/>
      <c r="AM379" s="41"/>
      <c r="AN379" s="41"/>
      <c r="AO379" s="41"/>
      <c r="AP379" s="41"/>
      <c r="AQ379" s="41"/>
      <c r="AR379" s="41"/>
      <c r="AS379" s="41"/>
      <c r="AT379" s="41"/>
      <c r="AU379" s="41"/>
      <c r="AV379" s="41"/>
      <c r="AW379" s="41"/>
      <c r="AX379" s="41"/>
      <c r="AY379" s="41"/>
      <c r="AZ379" s="41"/>
      <c r="BA379" s="41"/>
      <c r="BB379" s="41"/>
      <c r="BC379" s="41"/>
      <c r="BD379" s="41"/>
      <c r="BE379" s="41"/>
      <c r="BF379" s="41"/>
      <c r="BG379" s="41"/>
      <c r="BH379" s="41"/>
      <c r="BI379" s="41"/>
      <c r="BJ379" s="41"/>
      <c r="BK379" s="41"/>
      <c r="BL379" s="41"/>
      <c r="BM379" s="41"/>
      <c r="BN379" s="41"/>
      <c r="BO379" s="41"/>
      <c r="BP379" s="41"/>
      <c r="BQ379" s="41"/>
      <c r="BR379" s="41"/>
      <c r="BS379" s="41"/>
      <c r="BT379" s="41"/>
      <c r="BU379" s="41"/>
      <c r="BV379" s="41"/>
      <c r="BW379" s="41"/>
      <c r="BX379" s="41"/>
      <c r="BY379" s="41"/>
      <c r="BZ379" s="41"/>
      <c r="CA379" s="41"/>
      <c r="CB379" s="41"/>
      <c r="CC379" s="41"/>
      <c r="CD379" s="41"/>
      <c r="CE379" s="41"/>
      <c r="CF379" s="41"/>
      <c r="CG379" s="41"/>
      <c r="CH379" s="41"/>
      <c r="CI379" s="41"/>
      <c r="CJ379" s="41"/>
      <c r="CK379" s="41"/>
      <c r="CL379" s="41"/>
    </row>
    <row r="380" spans="2:103" ht="18.75" x14ac:dyDescent="0.25">
      <c r="B380" s="808">
        <v>44760</v>
      </c>
      <c r="C380" s="809">
        <v>0.875</v>
      </c>
      <c r="D380" s="810">
        <v>53</v>
      </c>
      <c r="E380" s="811">
        <v>9.1</v>
      </c>
      <c r="F380" s="811">
        <v>17.5</v>
      </c>
      <c r="G380" s="811">
        <v>1112</v>
      </c>
      <c r="H380" s="811">
        <v>2094</v>
      </c>
      <c r="I380" s="811">
        <v>104.7</v>
      </c>
      <c r="J380" s="811">
        <v>121.1</v>
      </c>
      <c r="K380" s="886" t="s">
        <v>3370</v>
      </c>
      <c r="L380" s="811">
        <v>34.72</v>
      </c>
      <c r="M380" s="812">
        <v>39</v>
      </c>
      <c r="N380" s="811">
        <v>42.12</v>
      </c>
      <c r="O380" s="813" t="s">
        <v>142</v>
      </c>
      <c r="P380" s="813" t="s">
        <v>142</v>
      </c>
      <c r="Q380" s="813" t="s">
        <v>142</v>
      </c>
      <c r="R380" s="813" t="s">
        <v>2636</v>
      </c>
      <c r="S380" s="813">
        <v>68</v>
      </c>
      <c r="T380" s="814" t="s">
        <v>84</v>
      </c>
      <c r="U380" s="813" t="s">
        <v>928</v>
      </c>
      <c r="V380" s="40"/>
    </row>
    <row r="381" spans="2:103" s="42" customFormat="1" ht="18.75" x14ac:dyDescent="0.25">
      <c r="B381" s="808">
        <v>44761</v>
      </c>
      <c r="C381" s="809">
        <v>0.875</v>
      </c>
      <c r="D381" s="810">
        <v>53</v>
      </c>
      <c r="E381" s="811">
        <v>8.9</v>
      </c>
      <c r="F381" s="811">
        <v>17.399999999999999</v>
      </c>
      <c r="G381" s="811">
        <v>1101</v>
      </c>
      <c r="H381" s="811">
        <v>2140</v>
      </c>
      <c r="I381" s="811">
        <v>105.9</v>
      </c>
      <c r="J381" s="811">
        <v>114.1</v>
      </c>
      <c r="K381" s="886" t="s">
        <v>3372</v>
      </c>
      <c r="L381" s="811">
        <v>35.28</v>
      </c>
      <c r="M381" s="812">
        <v>39</v>
      </c>
      <c r="N381" s="811">
        <v>36.770000000000003</v>
      </c>
      <c r="O381" s="813" t="s">
        <v>142</v>
      </c>
      <c r="P381" s="813" t="s">
        <v>142</v>
      </c>
      <c r="Q381" s="813" t="s">
        <v>142</v>
      </c>
      <c r="R381" s="813" t="s">
        <v>2679</v>
      </c>
      <c r="S381" s="813">
        <v>67.7</v>
      </c>
      <c r="T381" s="814" t="s">
        <v>84</v>
      </c>
      <c r="U381" s="813" t="s">
        <v>928</v>
      </c>
      <c r="V381" s="40"/>
      <c r="W381" s="1"/>
      <c r="X381" s="41"/>
      <c r="Y381" s="41"/>
      <c r="Z381" s="41"/>
      <c r="AA381" s="41"/>
      <c r="AB381" s="41"/>
      <c r="AC381" s="41"/>
      <c r="AD381" s="41"/>
      <c r="AE381" s="41"/>
      <c r="AF381" s="41"/>
      <c r="AG381" s="41"/>
      <c r="AH381" s="41"/>
      <c r="AI381" s="41"/>
      <c r="AJ381" s="41"/>
      <c r="AK381" s="41"/>
      <c r="AL381" s="41"/>
      <c r="AM381" s="41"/>
      <c r="AN381" s="41"/>
      <c r="AO381" s="41"/>
      <c r="AP381" s="41"/>
      <c r="AQ381" s="41"/>
      <c r="AR381" s="41"/>
      <c r="AS381" s="41"/>
      <c r="AT381" s="41"/>
      <c r="AU381" s="41"/>
      <c r="AV381" s="41"/>
      <c r="AW381" s="41"/>
      <c r="AX381" s="41"/>
      <c r="AY381" s="41"/>
      <c r="AZ381" s="41"/>
      <c r="BA381" s="41"/>
      <c r="BB381" s="41"/>
      <c r="BC381" s="41"/>
      <c r="BD381" s="41"/>
      <c r="BE381" s="41"/>
      <c r="BF381" s="41"/>
      <c r="BG381" s="41"/>
      <c r="BH381" s="41"/>
      <c r="BI381" s="41"/>
      <c r="BJ381" s="41"/>
      <c r="BK381" s="41"/>
      <c r="BL381" s="41"/>
      <c r="BM381" s="41"/>
      <c r="BN381" s="41"/>
      <c r="BO381" s="41"/>
      <c r="BP381" s="41"/>
      <c r="BQ381" s="41"/>
      <c r="BR381" s="41"/>
      <c r="BS381" s="41"/>
      <c r="BT381" s="41"/>
      <c r="BU381" s="41"/>
      <c r="BV381" s="41"/>
      <c r="BW381" s="41"/>
      <c r="BX381" s="41"/>
      <c r="BY381" s="41"/>
      <c r="BZ381" s="41"/>
      <c r="CA381" s="41"/>
      <c r="CB381" s="41"/>
      <c r="CC381" s="41"/>
      <c r="CD381" s="41"/>
      <c r="CE381" s="41"/>
      <c r="CF381" s="41"/>
      <c r="CG381" s="41"/>
      <c r="CH381" s="41"/>
      <c r="CI381" s="41"/>
      <c r="CJ381" s="41"/>
      <c r="CK381" s="41"/>
      <c r="CL381" s="41"/>
    </row>
    <row r="382" spans="2:103" s="1" customFormat="1" ht="18.75" x14ac:dyDescent="0.25">
      <c r="B382" s="808">
        <v>44762</v>
      </c>
      <c r="C382" s="809">
        <v>0.875</v>
      </c>
      <c r="D382" s="810">
        <v>53</v>
      </c>
      <c r="E382" s="811">
        <v>8.5</v>
      </c>
      <c r="F382" s="811">
        <v>17.2</v>
      </c>
      <c r="G382" s="811">
        <v>1134</v>
      </c>
      <c r="H382" s="811">
        <v>2170</v>
      </c>
      <c r="I382" s="811">
        <v>106.7</v>
      </c>
      <c r="J382" s="811">
        <v>114.7</v>
      </c>
      <c r="K382" s="886" t="s">
        <v>3375</v>
      </c>
      <c r="L382" s="811">
        <v>34.409999999999997</v>
      </c>
      <c r="M382" s="812">
        <v>39</v>
      </c>
      <c r="N382" s="811">
        <v>39.71</v>
      </c>
      <c r="O382" s="813" t="s">
        <v>142</v>
      </c>
      <c r="P382" s="813" t="s">
        <v>142</v>
      </c>
      <c r="Q382" s="813" t="s">
        <v>142</v>
      </c>
      <c r="R382" s="813" t="s">
        <v>2160</v>
      </c>
      <c r="S382" s="813">
        <v>66.900000000000006</v>
      </c>
      <c r="T382" s="814" t="s">
        <v>84</v>
      </c>
      <c r="U382" s="813" t="s">
        <v>928</v>
      </c>
      <c r="V382" s="44"/>
      <c r="CM382"/>
      <c r="CN382"/>
      <c r="CO382"/>
      <c r="CP382"/>
      <c r="CQ382"/>
      <c r="CR382"/>
      <c r="CS382"/>
      <c r="CT382"/>
      <c r="CU382"/>
      <c r="CV382"/>
      <c r="CW382"/>
      <c r="CX382"/>
      <c r="CY382"/>
    </row>
    <row r="383" spans="2:103" s="1" customFormat="1" ht="18.75" x14ac:dyDescent="0.25">
      <c r="B383" s="808">
        <v>44763</v>
      </c>
      <c r="C383" s="809">
        <v>0.875</v>
      </c>
      <c r="D383" s="810">
        <v>53</v>
      </c>
      <c r="E383" s="811">
        <v>8.5</v>
      </c>
      <c r="F383" s="811">
        <v>17.3</v>
      </c>
      <c r="G383" s="811">
        <v>1169</v>
      </c>
      <c r="H383" s="811">
        <v>2190</v>
      </c>
      <c r="I383" s="811">
        <v>107.2</v>
      </c>
      <c r="J383" s="811">
        <v>115.2</v>
      </c>
      <c r="K383" s="886" t="s">
        <v>3381</v>
      </c>
      <c r="L383" s="811">
        <v>34.74</v>
      </c>
      <c r="M383" s="812">
        <v>39</v>
      </c>
      <c r="N383" s="811">
        <v>38.07</v>
      </c>
      <c r="O383" s="813" t="s">
        <v>142</v>
      </c>
      <c r="P383" s="813" t="s">
        <v>142</v>
      </c>
      <c r="Q383" s="813" t="s">
        <v>142</v>
      </c>
      <c r="R383" s="813" t="s">
        <v>2312</v>
      </c>
      <c r="S383" s="813">
        <v>67.3</v>
      </c>
      <c r="T383" s="814" t="s">
        <v>84</v>
      </c>
      <c r="U383" s="813" t="s">
        <v>928</v>
      </c>
      <c r="V383" s="43"/>
      <c r="CM383"/>
      <c r="CN383"/>
      <c r="CO383"/>
      <c r="CP383"/>
      <c r="CQ383"/>
      <c r="CR383"/>
      <c r="CS383"/>
      <c r="CT383"/>
      <c r="CU383"/>
      <c r="CV383"/>
      <c r="CW383"/>
      <c r="CX383"/>
      <c r="CY383"/>
    </row>
    <row r="384" spans="2:103" s="1" customFormat="1" ht="18.75" x14ac:dyDescent="0.25">
      <c r="B384" s="808">
        <v>44764</v>
      </c>
      <c r="C384" s="809">
        <v>0.89583333333333337</v>
      </c>
      <c r="D384" s="810">
        <v>53</v>
      </c>
      <c r="E384" s="811">
        <v>7.2</v>
      </c>
      <c r="F384" s="811">
        <v>16.8</v>
      </c>
      <c r="G384" s="811">
        <v>1173</v>
      </c>
      <c r="H384" s="811">
        <v>2211</v>
      </c>
      <c r="I384" s="811">
        <v>107.1</v>
      </c>
      <c r="J384" s="811">
        <v>114.7</v>
      </c>
      <c r="K384" s="886" t="s">
        <v>3385</v>
      </c>
      <c r="L384" s="811">
        <v>33.89</v>
      </c>
      <c r="M384" s="812">
        <v>39</v>
      </c>
      <c r="N384" s="811">
        <v>37.49</v>
      </c>
      <c r="O384" s="813" t="s">
        <v>142</v>
      </c>
      <c r="P384" s="813" t="s">
        <v>142</v>
      </c>
      <c r="Q384" s="813" t="s">
        <v>142</v>
      </c>
      <c r="R384" s="813" t="s">
        <v>3386</v>
      </c>
      <c r="S384" s="813">
        <v>65.3</v>
      </c>
      <c r="T384" s="814" t="s">
        <v>84</v>
      </c>
      <c r="U384" s="813" t="s">
        <v>928</v>
      </c>
      <c r="V384" s="43"/>
      <c r="CM384"/>
      <c r="CN384"/>
      <c r="CO384"/>
      <c r="CP384"/>
      <c r="CQ384"/>
      <c r="CR384"/>
      <c r="CS384"/>
      <c r="CT384"/>
      <c r="CU384"/>
      <c r="CV384"/>
      <c r="CW384"/>
      <c r="CX384"/>
      <c r="CY384"/>
    </row>
    <row r="385" spans="2:103" s="1" customFormat="1" ht="18.75" x14ac:dyDescent="0.25">
      <c r="B385" s="808">
        <v>44765</v>
      </c>
      <c r="C385" s="809">
        <v>0.89583333333333337</v>
      </c>
      <c r="D385" s="810">
        <v>53</v>
      </c>
      <c r="E385" s="811">
        <v>7.2</v>
      </c>
      <c r="F385" s="811">
        <v>16.8</v>
      </c>
      <c r="G385" s="811">
        <v>1183</v>
      </c>
      <c r="H385" s="811">
        <v>2201</v>
      </c>
      <c r="I385" s="811">
        <v>106.2</v>
      </c>
      <c r="J385" s="811">
        <v>123.3</v>
      </c>
      <c r="K385" s="886" t="s">
        <v>3390</v>
      </c>
      <c r="L385" s="811">
        <v>36.090000000000003</v>
      </c>
      <c r="M385" s="812">
        <v>39</v>
      </c>
      <c r="N385" s="811">
        <v>38.450000000000003</v>
      </c>
      <c r="O385" s="813" t="s">
        <v>142</v>
      </c>
      <c r="P385" s="813" t="s">
        <v>142</v>
      </c>
      <c r="Q385" s="813" t="s">
        <v>142</v>
      </c>
      <c r="R385" s="813" t="s">
        <v>2004</v>
      </c>
      <c r="S385" s="813">
        <v>65.3</v>
      </c>
      <c r="T385" s="814" t="s">
        <v>84</v>
      </c>
      <c r="U385" s="813" t="s">
        <v>928</v>
      </c>
      <c r="V385" s="43"/>
      <c r="CM385"/>
      <c r="CN385"/>
      <c r="CO385"/>
      <c r="CP385"/>
      <c r="CQ385"/>
      <c r="CR385"/>
      <c r="CS385"/>
      <c r="CT385"/>
      <c r="CU385"/>
      <c r="CV385"/>
      <c r="CW385"/>
      <c r="CX385"/>
      <c r="CY385"/>
    </row>
    <row r="386" spans="2:103" s="1" customFormat="1" ht="18.75" x14ac:dyDescent="0.25">
      <c r="B386" s="808">
        <v>44766</v>
      </c>
      <c r="C386" s="809">
        <v>0.85416666666666663</v>
      </c>
      <c r="D386" s="810">
        <v>53</v>
      </c>
      <c r="E386" s="811">
        <v>8.6</v>
      </c>
      <c r="F386" s="811">
        <v>17.3</v>
      </c>
      <c r="G386" s="811">
        <v>1182</v>
      </c>
      <c r="H386" s="811">
        <v>2201</v>
      </c>
      <c r="I386" s="811">
        <v>105.9</v>
      </c>
      <c r="J386" s="811">
        <v>115.3</v>
      </c>
      <c r="K386" s="886" t="s">
        <v>3399</v>
      </c>
      <c r="L386" s="811">
        <v>35.82</v>
      </c>
      <c r="M386" s="812">
        <v>39</v>
      </c>
      <c r="N386" s="811">
        <v>40.1</v>
      </c>
      <c r="O386" s="813" t="s">
        <v>142</v>
      </c>
      <c r="P386" s="813" t="s">
        <v>142</v>
      </c>
      <c r="Q386" s="813" t="s">
        <v>142</v>
      </c>
      <c r="R386" s="813" t="s">
        <v>2312</v>
      </c>
      <c r="S386" s="813">
        <v>67.3</v>
      </c>
      <c r="T386" s="814" t="s">
        <v>84</v>
      </c>
      <c r="U386" s="813" t="s">
        <v>928</v>
      </c>
      <c r="V386" s="43"/>
      <c r="CM386"/>
      <c r="CN386"/>
      <c r="CO386"/>
      <c r="CP386"/>
      <c r="CQ386"/>
      <c r="CR386"/>
      <c r="CS386"/>
      <c r="CT386"/>
      <c r="CU386"/>
      <c r="CV386"/>
      <c r="CW386"/>
      <c r="CX386"/>
      <c r="CY386"/>
    </row>
    <row r="387" spans="2:103" s="1" customFormat="1" ht="18.75" x14ac:dyDescent="0.25">
      <c r="B387" s="808">
        <v>44767</v>
      </c>
      <c r="C387" s="809">
        <v>0.875</v>
      </c>
      <c r="D387" s="810">
        <v>53</v>
      </c>
      <c r="E387" s="811">
        <v>8.6999999999999993</v>
      </c>
      <c r="F387" s="811">
        <v>17.3</v>
      </c>
      <c r="G387" s="811">
        <v>1200</v>
      </c>
      <c r="H387" s="811">
        <v>2203</v>
      </c>
      <c r="I387" s="811">
        <v>106.4</v>
      </c>
      <c r="J387" s="811">
        <v>119.8</v>
      </c>
      <c r="K387" s="886" t="s">
        <v>3399</v>
      </c>
      <c r="L387" s="811">
        <v>34.9</v>
      </c>
      <c r="M387" s="812">
        <v>39</v>
      </c>
      <c r="N387" s="811">
        <v>40</v>
      </c>
      <c r="O387" s="813" t="s">
        <v>142</v>
      </c>
      <c r="P387" s="813" t="s">
        <v>142</v>
      </c>
      <c r="Q387" s="813" t="s">
        <v>142</v>
      </c>
      <c r="R387" s="813" t="s">
        <v>2351</v>
      </c>
      <c r="S387" s="813">
        <v>67.3</v>
      </c>
      <c r="T387" s="814" t="s">
        <v>84</v>
      </c>
      <c r="U387" s="813" t="s">
        <v>928</v>
      </c>
      <c r="V387" s="43"/>
      <c r="CM387"/>
      <c r="CN387"/>
      <c r="CO387"/>
      <c r="CP387"/>
      <c r="CQ387"/>
      <c r="CR387"/>
      <c r="CS387"/>
      <c r="CT387"/>
      <c r="CU387"/>
      <c r="CV387"/>
      <c r="CW387"/>
      <c r="CX387"/>
      <c r="CY387"/>
    </row>
    <row r="388" spans="2:103" s="1" customFormat="1" ht="18.75" x14ac:dyDescent="0.25">
      <c r="B388" s="808">
        <v>44768</v>
      </c>
      <c r="C388" s="809">
        <v>0.875</v>
      </c>
      <c r="D388" s="810">
        <v>54</v>
      </c>
      <c r="E388" s="811">
        <v>8.5</v>
      </c>
      <c r="F388" s="811">
        <v>17.3</v>
      </c>
      <c r="G388" s="811">
        <v>1198</v>
      </c>
      <c r="H388" s="811">
        <v>2214</v>
      </c>
      <c r="I388" s="811">
        <v>105.7</v>
      </c>
      <c r="J388" s="811">
        <v>121</v>
      </c>
      <c r="K388" s="886" t="s">
        <v>3415</v>
      </c>
      <c r="L388" s="811">
        <v>35.450000000000003</v>
      </c>
      <c r="M388" s="812">
        <v>39</v>
      </c>
      <c r="N388" s="811">
        <v>40.049999999999997</v>
      </c>
      <c r="O388" s="813" t="s">
        <v>142</v>
      </c>
      <c r="P388" s="813" t="s">
        <v>142</v>
      </c>
      <c r="Q388" s="813" t="s">
        <v>142</v>
      </c>
      <c r="R388" s="813" t="s">
        <v>3416</v>
      </c>
      <c r="S388" s="813">
        <v>67.3</v>
      </c>
      <c r="T388" s="814" t="s">
        <v>84</v>
      </c>
      <c r="U388" s="813" t="s">
        <v>928</v>
      </c>
      <c r="V388" s="43" t="s">
        <v>3421</v>
      </c>
      <c r="CM388"/>
      <c r="CN388"/>
      <c r="CO388"/>
      <c r="CP388"/>
      <c r="CQ388"/>
      <c r="CR388"/>
      <c r="CS388"/>
      <c r="CT388"/>
      <c r="CU388"/>
      <c r="CV388"/>
      <c r="CW388"/>
      <c r="CX388"/>
      <c r="CY388"/>
    </row>
    <row r="389" spans="2:103" s="1" customFormat="1" ht="18.75" x14ac:dyDescent="0.25">
      <c r="B389" s="808">
        <v>44769</v>
      </c>
      <c r="C389" s="809">
        <v>0.91666666666666663</v>
      </c>
      <c r="D389" s="810">
        <v>55</v>
      </c>
      <c r="E389" s="811">
        <v>9.9</v>
      </c>
      <c r="F389" s="811">
        <v>18</v>
      </c>
      <c r="G389" s="811">
        <v>1110</v>
      </c>
      <c r="H389" s="811">
        <v>2198</v>
      </c>
      <c r="I389" s="811">
        <v>106.7</v>
      </c>
      <c r="J389" s="811">
        <v>116</v>
      </c>
      <c r="K389" s="886" t="s">
        <v>3423</v>
      </c>
      <c r="L389" s="811">
        <v>35.74</v>
      </c>
      <c r="M389" s="812">
        <v>39</v>
      </c>
      <c r="N389" s="811">
        <v>42</v>
      </c>
      <c r="O389" s="813" t="s">
        <v>142</v>
      </c>
      <c r="P389" s="813" t="s">
        <v>142</v>
      </c>
      <c r="Q389" s="813" t="s">
        <v>142</v>
      </c>
      <c r="R389" s="813" t="s">
        <v>3424</v>
      </c>
      <c r="S389" s="813">
        <v>70</v>
      </c>
      <c r="T389" s="814" t="s">
        <v>84</v>
      </c>
      <c r="U389" s="813" t="s">
        <v>928</v>
      </c>
      <c r="V389" s="43" t="s">
        <v>3422</v>
      </c>
      <c r="CM389"/>
      <c r="CN389"/>
      <c r="CO389"/>
      <c r="CP389"/>
      <c r="CQ389"/>
      <c r="CR389"/>
      <c r="CS389"/>
      <c r="CT389"/>
      <c r="CU389"/>
      <c r="CV389"/>
      <c r="CW389"/>
      <c r="CX389"/>
      <c r="CY389"/>
    </row>
    <row r="390" spans="2:103" s="1" customFormat="1" ht="18.75" x14ac:dyDescent="0.25">
      <c r="B390" s="808">
        <v>44770</v>
      </c>
      <c r="C390" s="809">
        <v>0.91666666666666663</v>
      </c>
      <c r="D390" s="810">
        <v>55</v>
      </c>
      <c r="E390" s="811">
        <v>8.3000000000000007</v>
      </c>
      <c r="F390" s="811">
        <v>17.2</v>
      </c>
      <c r="G390" s="811">
        <v>1080</v>
      </c>
      <c r="H390" s="811">
        <v>2197</v>
      </c>
      <c r="I390" s="811">
        <v>106.5</v>
      </c>
      <c r="J390" s="811">
        <v>114.5</v>
      </c>
      <c r="K390" s="886" t="s">
        <v>3435</v>
      </c>
      <c r="L390" s="811">
        <v>35.68</v>
      </c>
      <c r="M390" s="812">
        <v>39</v>
      </c>
      <c r="N390" s="811">
        <v>39.33</v>
      </c>
      <c r="O390" s="813" t="s">
        <v>142</v>
      </c>
      <c r="P390" s="813" t="s">
        <v>142</v>
      </c>
      <c r="Q390" s="813" t="s">
        <v>142</v>
      </c>
      <c r="R390" s="813" t="s">
        <v>2312</v>
      </c>
      <c r="S390" s="813">
        <v>66.900000000000006</v>
      </c>
      <c r="T390" s="814" t="s">
        <v>84</v>
      </c>
      <c r="U390" s="813" t="s">
        <v>928</v>
      </c>
      <c r="V390" s="36"/>
      <c r="CM390"/>
      <c r="CN390"/>
      <c r="CO390"/>
      <c r="CP390"/>
      <c r="CQ390"/>
      <c r="CR390"/>
      <c r="CS390"/>
      <c r="CT390"/>
      <c r="CU390"/>
      <c r="CV390"/>
      <c r="CW390"/>
      <c r="CX390"/>
      <c r="CY390"/>
    </row>
    <row r="391" spans="2:103" s="1" customFormat="1" ht="18.75" x14ac:dyDescent="0.25">
      <c r="B391" s="808">
        <v>44771</v>
      </c>
      <c r="C391" s="809">
        <v>0.91666666666666663</v>
      </c>
      <c r="D391" s="810">
        <v>55</v>
      </c>
      <c r="E391" s="811">
        <v>7.7</v>
      </c>
      <c r="F391" s="811">
        <v>17.100000000000001</v>
      </c>
      <c r="G391" s="811">
        <v>1135</v>
      </c>
      <c r="H391" s="811">
        <v>2215</v>
      </c>
      <c r="I391" s="811">
        <v>106.1</v>
      </c>
      <c r="J391" s="811">
        <v>108</v>
      </c>
      <c r="K391" s="886" t="s">
        <v>3446</v>
      </c>
      <c r="L391" s="811">
        <v>35.96</v>
      </c>
      <c r="M391" s="812">
        <v>39</v>
      </c>
      <c r="N391" s="811">
        <v>37.770000000000003</v>
      </c>
      <c r="O391" s="813" t="s">
        <v>142</v>
      </c>
      <c r="P391" s="813" t="s">
        <v>142</v>
      </c>
      <c r="Q391" s="813" t="s">
        <v>142</v>
      </c>
      <c r="R391" s="813" t="s">
        <v>2312</v>
      </c>
      <c r="S391" s="813">
        <v>66.900000000000006</v>
      </c>
      <c r="T391" s="814" t="s">
        <v>84</v>
      </c>
      <c r="U391" s="813" t="s">
        <v>928</v>
      </c>
      <c r="V391" s="36"/>
      <c r="CM391"/>
      <c r="CN391"/>
      <c r="CO391"/>
      <c r="CP391"/>
      <c r="CQ391"/>
      <c r="CR391"/>
      <c r="CS391"/>
      <c r="CT391"/>
      <c r="CU391"/>
      <c r="CV391"/>
      <c r="CW391"/>
      <c r="CX391"/>
      <c r="CY391"/>
    </row>
    <row r="392" spans="2:103" s="1" customFormat="1" ht="18.75" x14ac:dyDescent="0.25">
      <c r="B392" s="808">
        <v>44772</v>
      </c>
      <c r="C392" s="809">
        <v>0.89583333333333337</v>
      </c>
      <c r="D392" s="810">
        <v>55</v>
      </c>
      <c r="E392" s="811">
        <v>8.3000000000000007</v>
      </c>
      <c r="F392" s="811">
        <v>17.3</v>
      </c>
      <c r="G392" s="811">
        <v>1100</v>
      </c>
      <c r="H392" s="811">
        <v>2208</v>
      </c>
      <c r="I392" s="811">
        <v>107</v>
      </c>
      <c r="J392" s="811">
        <v>115.1</v>
      </c>
      <c r="K392" s="886" t="s">
        <v>3449</v>
      </c>
      <c r="L392" s="811">
        <v>35.96</v>
      </c>
      <c r="M392" s="812">
        <v>39</v>
      </c>
      <c r="N392" s="811">
        <v>37.770000000000003</v>
      </c>
      <c r="O392" s="813" t="s">
        <v>142</v>
      </c>
      <c r="P392" s="813" t="s">
        <v>142</v>
      </c>
      <c r="Q392" s="813" t="s">
        <v>142</v>
      </c>
      <c r="R392" s="813" t="s">
        <v>3450</v>
      </c>
      <c r="S392" s="813">
        <v>67.3</v>
      </c>
      <c r="T392" s="814" t="s">
        <v>84</v>
      </c>
      <c r="U392" s="813" t="s">
        <v>928</v>
      </c>
      <c r="V392" s="24"/>
      <c r="CM392"/>
      <c r="CN392"/>
      <c r="CO392"/>
      <c r="CP392"/>
      <c r="CQ392"/>
      <c r="CR392"/>
      <c r="CS392"/>
      <c r="CT392"/>
      <c r="CU392"/>
      <c r="CV392"/>
      <c r="CW392"/>
      <c r="CX392"/>
      <c r="CY392"/>
    </row>
    <row r="393" spans="2:103" s="1" customFormat="1" ht="18.75" x14ac:dyDescent="0.25">
      <c r="B393" s="808">
        <v>44773</v>
      </c>
      <c r="C393" s="809">
        <v>0.85416666666666663</v>
      </c>
      <c r="D393" s="810">
        <v>55</v>
      </c>
      <c r="E393" s="811">
        <v>9.1</v>
      </c>
      <c r="F393" s="811">
        <v>17.3</v>
      </c>
      <c r="G393" s="811">
        <v>1111</v>
      </c>
      <c r="H393" s="811">
        <v>2214</v>
      </c>
      <c r="I393" s="811">
        <v>106.8</v>
      </c>
      <c r="J393" s="811">
        <v>114.6</v>
      </c>
      <c r="K393" s="886" t="s">
        <v>3449</v>
      </c>
      <c r="L393" s="811">
        <v>36.369999999999997</v>
      </c>
      <c r="M393" s="812">
        <v>39</v>
      </c>
      <c r="N393" s="811">
        <v>39.82</v>
      </c>
      <c r="O393" s="813" t="s">
        <v>142</v>
      </c>
      <c r="P393" s="813" t="s">
        <v>142</v>
      </c>
      <c r="Q393" s="813" t="s">
        <v>142</v>
      </c>
      <c r="R393" s="813" t="s">
        <v>3458</v>
      </c>
      <c r="S393" s="813">
        <v>68.8</v>
      </c>
      <c r="T393" s="814" t="s">
        <v>84</v>
      </c>
      <c r="U393" s="813" t="s">
        <v>928</v>
      </c>
      <c r="V393" s="24"/>
      <c r="CM393"/>
      <c r="CN393"/>
      <c r="CO393"/>
      <c r="CP393"/>
      <c r="CQ393"/>
      <c r="CR393"/>
      <c r="CS393"/>
      <c r="CT393"/>
      <c r="CU393"/>
      <c r="CV393"/>
      <c r="CW393"/>
      <c r="CX393"/>
      <c r="CY393"/>
    </row>
    <row r="394" spans="2:103" s="1" customFormat="1" ht="18.75" x14ac:dyDescent="0.25">
      <c r="B394" s="808">
        <v>44774</v>
      </c>
      <c r="C394" s="809">
        <v>0.92708333333333337</v>
      </c>
      <c r="D394" s="810">
        <v>55</v>
      </c>
      <c r="E394" s="811">
        <v>7.4</v>
      </c>
      <c r="F394" s="811">
        <v>16.899999999999999</v>
      </c>
      <c r="G394" s="811">
        <v>1096</v>
      </c>
      <c r="H394" s="811">
        <v>2219</v>
      </c>
      <c r="I394" s="811">
        <v>106.7</v>
      </c>
      <c r="J394" s="811">
        <v>115</v>
      </c>
      <c r="K394" s="886" t="s">
        <v>3466</v>
      </c>
      <c r="L394" s="811">
        <v>35.99</v>
      </c>
      <c r="M394" s="812">
        <v>39</v>
      </c>
      <c r="N394" s="811">
        <v>40.78</v>
      </c>
      <c r="O394" s="813" t="s">
        <v>142</v>
      </c>
      <c r="P394" s="813" t="s">
        <v>142</v>
      </c>
      <c r="Q394" s="813" t="s">
        <v>142</v>
      </c>
      <c r="R394" s="813" t="s">
        <v>3467</v>
      </c>
      <c r="S394" s="813">
        <v>65.7</v>
      </c>
      <c r="T394" s="814" t="s">
        <v>84</v>
      </c>
      <c r="U394" s="813" t="s">
        <v>928</v>
      </c>
      <c r="V394" s="24"/>
      <c r="CM394"/>
      <c r="CN394"/>
      <c r="CO394"/>
      <c r="CP394"/>
      <c r="CQ394"/>
      <c r="CR394"/>
      <c r="CS394"/>
      <c r="CT394"/>
      <c r="CU394"/>
      <c r="CV394"/>
      <c r="CW394"/>
      <c r="CX394"/>
      <c r="CY394"/>
    </row>
    <row r="395" spans="2:103" s="1" customFormat="1" ht="18.75" x14ac:dyDescent="0.25">
      <c r="B395" s="808">
        <v>44775</v>
      </c>
      <c r="C395" s="809">
        <v>0.91666666666666663</v>
      </c>
      <c r="D395" s="810">
        <v>55</v>
      </c>
      <c r="E395" s="811">
        <v>9.1</v>
      </c>
      <c r="F395" s="811">
        <v>17.600000000000001</v>
      </c>
      <c r="G395" s="811">
        <v>1123</v>
      </c>
      <c r="H395" s="811">
        <v>2218</v>
      </c>
      <c r="I395" s="811">
        <v>106.2</v>
      </c>
      <c r="J395" s="811">
        <v>115.3</v>
      </c>
      <c r="K395" s="886" t="s">
        <v>3474</v>
      </c>
      <c r="L395" s="811">
        <v>36.57</v>
      </c>
      <c r="M395" s="812">
        <v>39</v>
      </c>
      <c r="N395" s="811">
        <v>37.869999999999997</v>
      </c>
      <c r="O395" s="813" t="s">
        <v>142</v>
      </c>
      <c r="P395" s="813" t="s">
        <v>142</v>
      </c>
      <c r="Q395" s="813" t="s">
        <v>142</v>
      </c>
      <c r="R395" s="813" t="s">
        <v>1427</v>
      </c>
      <c r="S395" s="813">
        <v>68.400000000000006</v>
      </c>
      <c r="T395" s="814" t="s">
        <v>84</v>
      </c>
      <c r="U395" s="813" t="s">
        <v>928</v>
      </c>
      <c r="V395" s="24"/>
      <c r="CM395"/>
      <c r="CN395"/>
      <c r="CO395"/>
      <c r="CP395"/>
      <c r="CQ395"/>
      <c r="CR395"/>
      <c r="CS395"/>
      <c r="CT395"/>
      <c r="CU395"/>
      <c r="CV395"/>
      <c r="CW395"/>
      <c r="CX395"/>
      <c r="CY395"/>
    </row>
    <row r="396" spans="2:103" s="1" customFormat="1" ht="18.75" x14ac:dyDescent="0.25">
      <c r="B396" s="808">
        <v>44776</v>
      </c>
      <c r="C396" s="809">
        <v>0.89583333333333337</v>
      </c>
      <c r="D396" s="810">
        <v>55</v>
      </c>
      <c r="E396" s="811">
        <v>7.2</v>
      </c>
      <c r="F396" s="811">
        <v>16.899999999999999</v>
      </c>
      <c r="G396" s="811">
        <v>1125</v>
      </c>
      <c r="H396" s="811">
        <v>2207</v>
      </c>
      <c r="I396" s="811">
        <v>107.2</v>
      </c>
      <c r="J396" s="811">
        <v>114.5</v>
      </c>
      <c r="K396" s="886" t="s">
        <v>3474</v>
      </c>
      <c r="L396" s="811">
        <v>38.36</v>
      </c>
      <c r="M396" s="812">
        <v>39</v>
      </c>
      <c r="N396" s="811">
        <v>35.65</v>
      </c>
      <c r="O396" s="813" t="s">
        <v>142</v>
      </c>
      <c r="P396" s="813" t="s">
        <v>142</v>
      </c>
      <c r="Q396" s="813" t="s">
        <v>142</v>
      </c>
      <c r="R396" s="813" t="s">
        <v>3487</v>
      </c>
      <c r="S396" s="813">
        <v>65.7</v>
      </c>
      <c r="T396" s="814" t="s">
        <v>84</v>
      </c>
      <c r="U396" s="813" t="s">
        <v>928</v>
      </c>
      <c r="V396" s="322" t="s">
        <v>415</v>
      </c>
      <c r="CM396"/>
      <c r="CN396"/>
      <c r="CO396"/>
      <c r="CP396"/>
      <c r="CQ396"/>
      <c r="CR396"/>
      <c r="CS396"/>
      <c r="CT396"/>
      <c r="CU396"/>
      <c r="CV396"/>
      <c r="CW396"/>
      <c r="CX396"/>
      <c r="CY396"/>
    </row>
    <row r="397" spans="2:103" s="1" customFormat="1" ht="18.75" x14ac:dyDescent="0.25">
      <c r="B397" s="808">
        <v>44777</v>
      </c>
      <c r="C397" s="809">
        <v>0.91666666666666663</v>
      </c>
      <c r="D397" s="810">
        <v>55</v>
      </c>
      <c r="E397" s="811">
        <v>7.3</v>
      </c>
      <c r="F397" s="811">
        <v>17</v>
      </c>
      <c r="G397" s="811">
        <v>1103</v>
      </c>
      <c r="H397" s="811">
        <v>2214</v>
      </c>
      <c r="I397" s="811">
        <v>107</v>
      </c>
      <c r="J397" s="811">
        <v>115.1</v>
      </c>
      <c r="K397" s="886" t="s">
        <v>3474</v>
      </c>
      <c r="L397" s="811">
        <v>36.68</v>
      </c>
      <c r="M397" s="812">
        <v>39</v>
      </c>
      <c r="N397" s="811">
        <v>40.630000000000003</v>
      </c>
      <c r="O397" s="813" t="s">
        <v>142</v>
      </c>
      <c r="P397" s="813" t="s">
        <v>142</v>
      </c>
      <c r="Q397" s="813" t="s">
        <v>142</v>
      </c>
      <c r="R397" s="813" t="s">
        <v>3503</v>
      </c>
      <c r="S397" s="813">
        <v>66.099999999999994</v>
      </c>
      <c r="T397" s="814" t="s">
        <v>84</v>
      </c>
      <c r="U397" s="813" t="s">
        <v>928</v>
      </c>
      <c r="V397" s="322" t="s">
        <v>415</v>
      </c>
      <c r="CM397"/>
      <c r="CN397"/>
      <c r="CO397"/>
      <c r="CP397"/>
      <c r="CQ397"/>
      <c r="CR397"/>
      <c r="CS397"/>
      <c r="CT397"/>
      <c r="CU397"/>
      <c r="CV397"/>
      <c r="CW397"/>
      <c r="CX397"/>
      <c r="CY397"/>
    </row>
    <row r="398" spans="2:103" s="1" customFormat="1" ht="18.75" x14ac:dyDescent="0.25">
      <c r="B398" s="808">
        <v>44778</v>
      </c>
      <c r="C398" s="809">
        <v>0.95833333333333337</v>
      </c>
      <c r="D398" s="810">
        <v>55</v>
      </c>
      <c r="E398" s="811">
        <v>9.5</v>
      </c>
      <c r="F398" s="811">
        <v>17.899999999999999</v>
      </c>
      <c r="G398" s="811">
        <v>1152</v>
      </c>
      <c r="H398" s="811">
        <v>2298</v>
      </c>
      <c r="I398" s="811">
        <v>107</v>
      </c>
      <c r="J398" s="811">
        <v>115</v>
      </c>
      <c r="K398" s="886" t="s">
        <v>3507</v>
      </c>
      <c r="L398" s="811">
        <v>40</v>
      </c>
      <c r="M398" s="812">
        <v>39</v>
      </c>
      <c r="N398" s="811">
        <v>40.36</v>
      </c>
      <c r="O398" s="813" t="s">
        <v>142</v>
      </c>
      <c r="P398" s="813" t="s">
        <v>142</v>
      </c>
      <c r="Q398" s="813" t="s">
        <v>142</v>
      </c>
      <c r="R398" s="813" t="s">
        <v>3508</v>
      </c>
      <c r="S398" s="813">
        <v>69.599999999999994</v>
      </c>
      <c r="T398" s="814" t="s">
        <v>84</v>
      </c>
      <c r="U398" s="813" t="s">
        <v>928</v>
      </c>
      <c r="V398" s="322" t="s">
        <v>415</v>
      </c>
      <c r="CM398"/>
      <c r="CN398"/>
      <c r="CO398"/>
      <c r="CP398"/>
      <c r="CQ398"/>
      <c r="CR398"/>
      <c r="CS398"/>
      <c r="CT398"/>
      <c r="CU398"/>
      <c r="CV398"/>
      <c r="CW398"/>
      <c r="CX398"/>
      <c r="CY398"/>
    </row>
    <row r="399" spans="2:103" s="1" customFormat="1" ht="18.75" x14ac:dyDescent="0.25">
      <c r="B399" s="808">
        <v>44779</v>
      </c>
      <c r="C399" s="809">
        <v>0.91666666666666663</v>
      </c>
      <c r="D399" s="810">
        <v>55</v>
      </c>
      <c r="E399" s="811">
        <v>7.1</v>
      </c>
      <c r="F399" s="811">
        <v>16.899999999999999</v>
      </c>
      <c r="G399" s="811">
        <v>1032</v>
      </c>
      <c r="H399" s="811">
        <v>2135</v>
      </c>
      <c r="I399" s="811">
        <v>105.8</v>
      </c>
      <c r="J399" s="811">
        <v>113.7</v>
      </c>
      <c r="K399" s="886" t="s">
        <v>3515</v>
      </c>
      <c r="L399" s="811">
        <v>36.85</v>
      </c>
      <c r="M399" s="812">
        <v>39</v>
      </c>
      <c r="N399" s="811">
        <v>40.29</v>
      </c>
      <c r="O399" s="813" t="s">
        <v>142</v>
      </c>
      <c r="P399" s="813" t="s">
        <v>142</v>
      </c>
      <c r="Q399" s="813" t="s">
        <v>142</v>
      </c>
      <c r="R399" s="813" t="s">
        <v>3503</v>
      </c>
      <c r="S399" s="813">
        <v>65.3</v>
      </c>
      <c r="T399" s="814" t="s">
        <v>84</v>
      </c>
      <c r="U399" s="813" t="s">
        <v>928</v>
      </c>
      <c r="V399" s="322"/>
      <c r="CM399"/>
      <c r="CN399"/>
      <c r="CO399"/>
      <c r="CP399"/>
      <c r="CQ399"/>
      <c r="CR399"/>
      <c r="CS399"/>
      <c r="CT399"/>
      <c r="CU399"/>
      <c r="CV399"/>
      <c r="CW399"/>
      <c r="CX399"/>
      <c r="CY399"/>
    </row>
    <row r="400" spans="2:103" s="1" customFormat="1" ht="18.75" x14ac:dyDescent="0.25">
      <c r="B400" s="808">
        <v>44780</v>
      </c>
      <c r="C400" s="809">
        <v>0.91666666666666663</v>
      </c>
      <c r="D400" s="810">
        <v>53</v>
      </c>
      <c r="E400" s="811">
        <v>9.3000000000000007</v>
      </c>
      <c r="F400" s="811">
        <v>17.8</v>
      </c>
      <c r="G400" s="811">
        <v>1022</v>
      </c>
      <c r="H400" s="811">
        <v>2130</v>
      </c>
      <c r="I400" s="811">
        <v>106.2</v>
      </c>
      <c r="J400" s="811">
        <v>114.7</v>
      </c>
      <c r="K400" s="886" t="s">
        <v>3521</v>
      </c>
      <c r="L400" s="811">
        <v>33.79</v>
      </c>
      <c r="M400" s="812">
        <v>39</v>
      </c>
      <c r="N400" s="811">
        <v>39</v>
      </c>
      <c r="O400" s="813" t="s">
        <v>142</v>
      </c>
      <c r="P400" s="813" t="s">
        <v>142</v>
      </c>
      <c r="Q400" s="813" t="s">
        <v>142</v>
      </c>
      <c r="R400" s="813" t="s">
        <v>3522</v>
      </c>
      <c r="S400" s="813">
        <v>69.2</v>
      </c>
      <c r="T400" s="814" t="s">
        <v>84</v>
      </c>
      <c r="U400" s="813" t="s">
        <v>928</v>
      </c>
      <c r="V400" s="28"/>
      <c r="CM400"/>
      <c r="CN400"/>
      <c r="CO400"/>
      <c r="CP400"/>
      <c r="CQ400"/>
      <c r="CR400"/>
      <c r="CS400"/>
      <c r="CT400"/>
      <c r="CU400"/>
      <c r="CV400"/>
      <c r="CW400"/>
      <c r="CX400"/>
      <c r="CY400"/>
    </row>
    <row r="401" spans="2:103" s="1" customFormat="1" ht="18.75" x14ac:dyDescent="0.25">
      <c r="B401" s="808">
        <v>44781</v>
      </c>
      <c r="C401" s="809">
        <v>0.91666666666666663</v>
      </c>
      <c r="D401" s="810">
        <v>53</v>
      </c>
      <c r="E401" s="811">
        <v>8.6</v>
      </c>
      <c r="F401" s="811">
        <v>17.3</v>
      </c>
      <c r="G401" s="811">
        <v>1137</v>
      </c>
      <c r="H401" s="811">
        <v>2150</v>
      </c>
      <c r="I401" s="811">
        <v>106.1</v>
      </c>
      <c r="J401" s="811">
        <v>116.6</v>
      </c>
      <c r="K401" s="886" t="s">
        <v>3538</v>
      </c>
      <c r="L401" s="811">
        <v>34.119999999999997</v>
      </c>
      <c r="M401" s="812">
        <v>39</v>
      </c>
      <c r="N401" s="811">
        <v>38.78</v>
      </c>
      <c r="O401" s="813" t="s">
        <v>142</v>
      </c>
      <c r="P401" s="813" t="s">
        <v>142</v>
      </c>
      <c r="Q401" s="813" t="s">
        <v>142</v>
      </c>
      <c r="R401" s="813" t="s">
        <v>3296</v>
      </c>
      <c r="S401" s="813">
        <v>69</v>
      </c>
      <c r="T401" s="814" t="s">
        <v>84</v>
      </c>
      <c r="U401" s="813" t="s">
        <v>928</v>
      </c>
      <c r="V401" s="28"/>
      <c r="CM401"/>
      <c r="CN401"/>
      <c r="CO401"/>
      <c r="CP401"/>
      <c r="CQ401"/>
      <c r="CR401"/>
      <c r="CS401"/>
      <c r="CT401"/>
      <c r="CU401"/>
      <c r="CV401"/>
      <c r="CW401"/>
      <c r="CX401"/>
      <c r="CY401"/>
    </row>
    <row r="402" spans="2:103" s="1" customFormat="1" ht="18.75" x14ac:dyDescent="0.25">
      <c r="B402" s="808">
        <v>44782</v>
      </c>
      <c r="C402" s="809">
        <v>0.91666666666666663</v>
      </c>
      <c r="D402" s="810">
        <v>53</v>
      </c>
      <c r="E402" s="811">
        <v>7.2</v>
      </c>
      <c r="F402" s="811">
        <v>16.899999999999999</v>
      </c>
      <c r="G402" s="811">
        <v>1179</v>
      </c>
      <c r="H402" s="811">
        <v>2191</v>
      </c>
      <c r="I402" s="811">
        <v>105.5</v>
      </c>
      <c r="J402" s="811">
        <v>122.7</v>
      </c>
      <c r="K402" s="886" t="s">
        <v>3543</v>
      </c>
      <c r="L402" s="811">
        <v>35.119999999999997</v>
      </c>
      <c r="M402" s="812">
        <v>39</v>
      </c>
      <c r="N402" s="811">
        <v>39</v>
      </c>
      <c r="O402" s="813" t="s">
        <v>142</v>
      </c>
      <c r="P402" s="813" t="s">
        <v>142</v>
      </c>
      <c r="Q402" s="813" t="s">
        <v>142</v>
      </c>
      <c r="R402" s="813" t="s">
        <v>3544</v>
      </c>
      <c r="S402" s="813">
        <v>65.7</v>
      </c>
      <c r="T402" s="814" t="s">
        <v>84</v>
      </c>
      <c r="U402" s="813" t="s">
        <v>928</v>
      </c>
      <c r="V402" s="28"/>
      <c r="CM402"/>
      <c r="CN402"/>
      <c r="CO402"/>
      <c r="CP402"/>
      <c r="CQ402"/>
      <c r="CR402"/>
      <c r="CS402"/>
      <c r="CT402"/>
      <c r="CU402"/>
      <c r="CV402"/>
      <c r="CW402"/>
      <c r="CX402"/>
      <c r="CY402"/>
    </row>
    <row r="403" spans="2:103" s="1" customFormat="1" ht="18.75" x14ac:dyDescent="0.25">
      <c r="B403" s="808">
        <v>44783</v>
      </c>
      <c r="C403" s="809">
        <v>0.89583333333333337</v>
      </c>
      <c r="D403" s="810">
        <v>53</v>
      </c>
      <c r="E403" s="811">
        <v>7.2</v>
      </c>
      <c r="F403" s="811">
        <v>16.8</v>
      </c>
      <c r="G403" s="811">
        <v>1209</v>
      </c>
      <c r="H403" s="811">
        <v>2221</v>
      </c>
      <c r="I403" s="811">
        <v>106</v>
      </c>
      <c r="J403" s="811">
        <v>120.4</v>
      </c>
      <c r="K403" s="886" t="s">
        <v>3552</v>
      </c>
      <c r="L403" s="811">
        <v>35.47</v>
      </c>
      <c r="M403" s="812">
        <v>39</v>
      </c>
      <c r="N403" s="811">
        <v>37</v>
      </c>
      <c r="O403" s="813" t="s">
        <v>142</v>
      </c>
      <c r="P403" s="813" t="s">
        <v>142</v>
      </c>
      <c r="Q403" s="813" t="s">
        <v>142</v>
      </c>
      <c r="R403" s="813" t="s">
        <v>3553</v>
      </c>
      <c r="S403" s="813">
        <v>65.3</v>
      </c>
      <c r="T403" s="814" t="s">
        <v>84</v>
      </c>
      <c r="U403" s="813" t="s">
        <v>928</v>
      </c>
      <c r="V403" s="28"/>
      <c r="CM403"/>
      <c r="CN403"/>
      <c r="CO403"/>
      <c r="CP403"/>
      <c r="CQ403"/>
      <c r="CR403"/>
      <c r="CS403"/>
      <c r="CT403"/>
      <c r="CU403"/>
      <c r="CV403"/>
      <c r="CW403"/>
      <c r="CX403"/>
      <c r="CY403"/>
    </row>
    <row r="404" spans="2:103" s="1" customFormat="1" ht="18.75" x14ac:dyDescent="0.25">
      <c r="B404" s="808">
        <v>44784</v>
      </c>
      <c r="C404" s="809">
        <v>0.875</v>
      </c>
      <c r="D404" s="810">
        <v>53</v>
      </c>
      <c r="E404" s="811">
        <v>6.9</v>
      </c>
      <c r="F404" s="811">
        <v>16.8</v>
      </c>
      <c r="G404" s="811">
        <v>1112</v>
      </c>
      <c r="H404" s="811">
        <v>2123</v>
      </c>
      <c r="I404" s="811">
        <v>106.5</v>
      </c>
      <c r="J404" s="811">
        <v>113.9</v>
      </c>
      <c r="K404" s="886" t="s">
        <v>3557</v>
      </c>
      <c r="L404" s="811">
        <v>34.04</v>
      </c>
      <c r="M404" s="812">
        <v>39</v>
      </c>
      <c r="N404" s="811">
        <v>38.9</v>
      </c>
      <c r="O404" s="813" t="s">
        <v>142</v>
      </c>
      <c r="P404" s="813" t="s">
        <v>142</v>
      </c>
      <c r="Q404" s="813" t="s">
        <v>142</v>
      </c>
      <c r="R404" s="813" t="s">
        <v>2004</v>
      </c>
      <c r="S404" s="813">
        <v>65.3</v>
      </c>
      <c r="T404" s="814" t="s">
        <v>84</v>
      </c>
      <c r="U404" s="813" t="s">
        <v>236</v>
      </c>
      <c r="V404" s="28"/>
      <c r="CM404"/>
      <c r="CN404"/>
      <c r="CO404"/>
      <c r="CP404"/>
      <c r="CQ404"/>
      <c r="CR404"/>
      <c r="CS404"/>
      <c r="CT404"/>
      <c r="CU404"/>
      <c r="CV404"/>
      <c r="CW404"/>
      <c r="CX404"/>
      <c r="CY404"/>
    </row>
    <row r="405" spans="2:103" s="1" customFormat="1" ht="18.75" x14ac:dyDescent="0.25">
      <c r="B405" s="808">
        <v>44785</v>
      </c>
      <c r="C405" s="809">
        <v>0.85416666666666663</v>
      </c>
      <c r="D405" s="810">
        <v>53</v>
      </c>
      <c r="E405" s="811">
        <v>7</v>
      </c>
      <c r="F405" s="811">
        <v>16.7</v>
      </c>
      <c r="G405" s="811">
        <v>1149</v>
      </c>
      <c r="H405" s="811">
        <v>2163</v>
      </c>
      <c r="I405" s="811">
        <v>106.6</v>
      </c>
      <c r="J405" s="811">
        <v>116.7</v>
      </c>
      <c r="K405" s="886" t="s">
        <v>3565</v>
      </c>
      <c r="L405" s="811">
        <v>34.46</v>
      </c>
      <c r="M405" s="812">
        <v>37.5</v>
      </c>
      <c r="N405" s="811">
        <v>38.56</v>
      </c>
      <c r="O405" s="813" t="s">
        <v>142</v>
      </c>
      <c r="P405" s="813" t="s">
        <v>142</v>
      </c>
      <c r="Q405" s="813" t="s">
        <v>142</v>
      </c>
      <c r="R405" s="813" t="s">
        <v>2175</v>
      </c>
      <c r="S405" s="813">
        <v>64.900000000000006</v>
      </c>
      <c r="T405" s="814" t="s">
        <v>84</v>
      </c>
      <c r="U405" s="813" t="s">
        <v>236</v>
      </c>
      <c r="V405" s="28"/>
      <c r="CM405"/>
      <c r="CN405"/>
      <c r="CO405"/>
      <c r="CP405"/>
      <c r="CQ405"/>
      <c r="CR405"/>
      <c r="CS405"/>
      <c r="CT405"/>
      <c r="CU405"/>
      <c r="CV405"/>
      <c r="CW405"/>
      <c r="CX405"/>
      <c r="CY405"/>
    </row>
    <row r="406" spans="2:103" s="1" customFormat="1" ht="18.75" x14ac:dyDescent="0.25">
      <c r="B406" s="808">
        <v>44786</v>
      </c>
      <c r="C406" s="809">
        <v>0.85416666666666663</v>
      </c>
      <c r="D406" s="810">
        <v>53</v>
      </c>
      <c r="E406" s="811">
        <v>8.9</v>
      </c>
      <c r="F406" s="811">
        <v>17.5</v>
      </c>
      <c r="G406" s="811">
        <v>1109</v>
      </c>
      <c r="H406" s="811">
        <v>2166</v>
      </c>
      <c r="I406" s="811">
        <v>108.7</v>
      </c>
      <c r="J406" s="811">
        <v>114.7</v>
      </c>
      <c r="K406" s="886" t="s">
        <v>3569</v>
      </c>
      <c r="L406" s="811">
        <v>33.770000000000003</v>
      </c>
      <c r="M406" s="812">
        <v>37.5</v>
      </c>
      <c r="N406" s="811">
        <v>39.83</v>
      </c>
      <c r="O406" s="813" t="s">
        <v>142</v>
      </c>
      <c r="P406" s="813" t="s">
        <v>142</v>
      </c>
      <c r="Q406" s="813" t="s">
        <v>142</v>
      </c>
      <c r="R406" s="813" t="s">
        <v>2830</v>
      </c>
      <c r="S406" s="813">
        <v>68</v>
      </c>
      <c r="T406" s="814" t="s">
        <v>84</v>
      </c>
      <c r="U406" s="813" t="s">
        <v>236</v>
      </c>
      <c r="V406" s="28"/>
      <c r="CM406"/>
      <c r="CN406"/>
      <c r="CO406"/>
      <c r="CP406"/>
      <c r="CQ406"/>
      <c r="CR406"/>
      <c r="CS406"/>
      <c r="CT406"/>
      <c r="CU406"/>
      <c r="CV406"/>
      <c r="CW406"/>
      <c r="CX406"/>
      <c r="CY406"/>
    </row>
    <row r="407" spans="2:103" s="1" customFormat="1" ht="18.75" x14ac:dyDescent="0.25">
      <c r="B407" s="808">
        <v>44787</v>
      </c>
      <c r="C407" s="809">
        <v>0.875</v>
      </c>
      <c r="D407" s="810">
        <v>53</v>
      </c>
      <c r="E407" s="811">
        <v>8.4</v>
      </c>
      <c r="F407" s="811">
        <v>17.2</v>
      </c>
      <c r="G407" s="811">
        <v>1178</v>
      </c>
      <c r="H407" s="811">
        <v>2196</v>
      </c>
      <c r="I407" s="811">
        <v>106.1</v>
      </c>
      <c r="J407" s="811">
        <v>116.7</v>
      </c>
      <c r="K407" s="886" t="s">
        <v>3581</v>
      </c>
      <c r="L407" s="811">
        <v>35.07</v>
      </c>
      <c r="M407" s="812">
        <v>37.5</v>
      </c>
      <c r="N407" s="811">
        <v>37.96</v>
      </c>
      <c r="O407" s="813" t="s">
        <v>142</v>
      </c>
      <c r="P407" s="813" t="s">
        <v>142</v>
      </c>
      <c r="Q407" s="813" t="s">
        <v>142</v>
      </c>
      <c r="R407" s="813" t="s">
        <v>2160</v>
      </c>
      <c r="S407" s="813">
        <v>66.900000000000006</v>
      </c>
      <c r="T407" s="814" t="s">
        <v>84</v>
      </c>
      <c r="U407" s="813" t="s">
        <v>236</v>
      </c>
      <c r="V407" s="28"/>
      <c r="CM407"/>
      <c r="CN407"/>
      <c r="CO407"/>
      <c r="CP407"/>
      <c r="CQ407"/>
      <c r="CR407"/>
      <c r="CS407"/>
      <c r="CT407"/>
      <c r="CU407"/>
      <c r="CV407"/>
      <c r="CW407"/>
      <c r="CX407"/>
      <c r="CY407"/>
    </row>
    <row r="408" spans="2:103" s="1" customFormat="1" ht="18.75" x14ac:dyDescent="0.25">
      <c r="B408" s="808">
        <v>44788</v>
      </c>
      <c r="C408" s="809">
        <v>0.83333333333333337</v>
      </c>
      <c r="D408" s="810">
        <v>53</v>
      </c>
      <c r="E408" s="811">
        <v>8.4</v>
      </c>
      <c r="F408" s="811">
        <v>17.2</v>
      </c>
      <c r="G408" s="811">
        <v>1173</v>
      </c>
      <c r="H408" s="811">
        <v>2192</v>
      </c>
      <c r="I408" s="811">
        <v>106.3</v>
      </c>
      <c r="J408" s="811">
        <v>117.6</v>
      </c>
      <c r="K408" s="886" t="s">
        <v>3584</v>
      </c>
      <c r="L408" s="811">
        <v>34.729999999999997</v>
      </c>
      <c r="M408" s="812">
        <v>37.5</v>
      </c>
      <c r="N408" s="811">
        <v>37.18</v>
      </c>
      <c r="O408" s="813" t="s">
        <v>142</v>
      </c>
      <c r="P408" s="813" t="s">
        <v>142</v>
      </c>
      <c r="Q408" s="813" t="s">
        <v>142</v>
      </c>
      <c r="R408" s="813" t="s">
        <v>2312</v>
      </c>
      <c r="S408" s="813">
        <v>66.900000000000006</v>
      </c>
      <c r="T408" s="814" t="s">
        <v>84</v>
      </c>
      <c r="U408" s="813" t="s">
        <v>236</v>
      </c>
      <c r="V408" s="28"/>
      <c r="CM408"/>
      <c r="CN408"/>
      <c r="CO408"/>
      <c r="CP408"/>
      <c r="CQ408"/>
      <c r="CR408"/>
      <c r="CS408"/>
      <c r="CT408"/>
      <c r="CU408"/>
      <c r="CV408"/>
      <c r="CW408"/>
      <c r="CX408"/>
      <c r="CY408"/>
    </row>
    <row r="409" spans="2:103" s="1" customFormat="1" ht="18.75" x14ac:dyDescent="0.25">
      <c r="B409" s="808">
        <v>44789</v>
      </c>
      <c r="C409" s="809">
        <v>0.9375</v>
      </c>
      <c r="D409" s="810">
        <v>53</v>
      </c>
      <c r="E409" s="811">
        <v>7.2</v>
      </c>
      <c r="F409" s="811">
        <v>16.899999999999999</v>
      </c>
      <c r="G409" s="811">
        <v>1199</v>
      </c>
      <c r="H409" s="811">
        <v>2209</v>
      </c>
      <c r="I409" s="811">
        <v>105.3</v>
      </c>
      <c r="J409" s="811">
        <v>122.5</v>
      </c>
      <c r="K409" s="886" t="s">
        <v>3590</v>
      </c>
      <c r="L409" s="811">
        <v>35.15</v>
      </c>
      <c r="M409" s="812">
        <v>37.5</v>
      </c>
      <c r="N409" s="811">
        <v>39.93</v>
      </c>
      <c r="O409" s="813" t="s">
        <v>142</v>
      </c>
      <c r="P409" s="813" t="s">
        <v>142</v>
      </c>
      <c r="Q409" s="813" t="s">
        <v>142</v>
      </c>
      <c r="R409" s="813" t="s">
        <v>2684</v>
      </c>
      <c r="S409" s="813">
        <v>65.7</v>
      </c>
      <c r="T409" s="814" t="s">
        <v>84</v>
      </c>
      <c r="U409" s="813" t="s">
        <v>236</v>
      </c>
      <c r="V409" s="28"/>
      <c r="CM409"/>
      <c r="CN409"/>
      <c r="CO409"/>
      <c r="CP409"/>
      <c r="CQ409"/>
      <c r="CR409"/>
      <c r="CS409"/>
      <c r="CT409"/>
      <c r="CU409"/>
      <c r="CV409"/>
      <c r="CW409"/>
      <c r="CX409"/>
      <c r="CY409"/>
    </row>
    <row r="410" spans="2:103" s="1" customFormat="1" ht="18.75" x14ac:dyDescent="0.25">
      <c r="B410" s="808">
        <v>44790</v>
      </c>
      <c r="C410" s="809">
        <v>0.89583333333333337</v>
      </c>
      <c r="D410" s="810">
        <v>53</v>
      </c>
      <c r="E410" s="811">
        <v>8.3000000000000007</v>
      </c>
      <c r="F410" s="811">
        <v>17.2</v>
      </c>
      <c r="G410" s="811">
        <v>1172</v>
      </c>
      <c r="H410" s="811">
        <v>2206</v>
      </c>
      <c r="I410" s="811">
        <v>107.1</v>
      </c>
      <c r="J410" s="811">
        <v>115.2</v>
      </c>
      <c r="K410" s="886" t="s">
        <v>3595</v>
      </c>
      <c r="L410" s="811">
        <v>35.049999999999997</v>
      </c>
      <c r="M410" s="812">
        <v>38</v>
      </c>
      <c r="N410" s="811">
        <v>38.32</v>
      </c>
      <c r="O410" s="813" t="s">
        <v>142</v>
      </c>
      <c r="P410" s="813" t="s">
        <v>142</v>
      </c>
      <c r="Q410" s="813" t="s">
        <v>142</v>
      </c>
      <c r="R410" s="813" t="s">
        <v>3596</v>
      </c>
      <c r="S410" s="813">
        <v>66.900000000000006</v>
      </c>
      <c r="T410" s="814" t="s">
        <v>84</v>
      </c>
      <c r="U410" s="813" t="s">
        <v>236</v>
      </c>
      <c r="V410" s="28"/>
      <c r="CM410"/>
      <c r="CN410"/>
      <c r="CO410"/>
      <c r="CP410"/>
      <c r="CQ410"/>
      <c r="CR410"/>
      <c r="CS410"/>
      <c r="CT410"/>
      <c r="CU410"/>
      <c r="CV410"/>
      <c r="CW410"/>
      <c r="CX410"/>
      <c r="CY410"/>
    </row>
    <row r="411" spans="2:103" s="1" customFormat="1" ht="18.75" x14ac:dyDescent="0.25">
      <c r="B411" s="808">
        <v>44791</v>
      </c>
      <c r="C411" s="809">
        <v>0.95833333333333337</v>
      </c>
      <c r="D411" s="810">
        <v>53</v>
      </c>
      <c r="E411" s="811">
        <v>8.6999999999999993</v>
      </c>
      <c r="F411" s="811">
        <v>17.3</v>
      </c>
      <c r="G411" s="811">
        <v>1139</v>
      </c>
      <c r="H411" s="811">
        <v>2149</v>
      </c>
      <c r="I411" s="811">
        <v>105.6</v>
      </c>
      <c r="J411" s="811">
        <v>121.8</v>
      </c>
      <c r="K411" s="886" t="s">
        <v>3603</v>
      </c>
      <c r="L411" s="811">
        <v>33.86</v>
      </c>
      <c r="M411" s="812">
        <v>37.5</v>
      </c>
      <c r="N411" s="811">
        <v>40.47</v>
      </c>
      <c r="O411" s="813" t="s">
        <v>142</v>
      </c>
      <c r="P411" s="813" t="s">
        <v>142</v>
      </c>
      <c r="Q411" s="813" t="s">
        <v>142</v>
      </c>
      <c r="R411" s="813" t="s">
        <v>2320</v>
      </c>
      <c r="S411" s="813">
        <v>67.3</v>
      </c>
      <c r="T411" s="814" t="s">
        <v>84</v>
      </c>
      <c r="U411" s="813" t="s">
        <v>236</v>
      </c>
      <c r="V411" s="28"/>
      <c r="CM411"/>
      <c r="CN411"/>
      <c r="CO411"/>
      <c r="CP411"/>
      <c r="CQ411"/>
      <c r="CR411"/>
      <c r="CS411"/>
      <c r="CT411"/>
      <c r="CU411"/>
      <c r="CV411"/>
      <c r="CW411"/>
      <c r="CX411"/>
      <c r="CY411"/>
    </row>
    <row r="412" spans="2:103" s="1" customFormat="1" ht="18.75" x14ac:dyDescent="0.25">
      <c r="B412" s="808">
        <v>44792</v>
      </c>
      <c r="C412" s="809">
        <v>0.91666666666666663</v>
      </c>
      <c r="D412" s="810">
        <v>53</v>
      </c>
      <c r="E412" s="811">
        <v>8.9</v>
      </c>
      <c r="F412" s="811">
        <v>17.399999999999999</v>
      </c>
      <c r="G412" s="811">
        <v>1138.5999999999999</v>
      </c>
      <c r="H412" s="811">
        <v>2162</v>
      </c>
      <c r="I412" s="811">
        <v>107.1</v>
      </c>
      <c r="J412" s="811">
        <v>115.2</v>
      </c>
      <c r="K412" s="886" t="s">
        <v>3615</v>
      </c>
      <c r="L412" s="811">
        <v>34.11</v>
      </c>
      <c r="M412" s="812">
        <v>37.5</v>
      </c>
      <c r="N412" s="811">
        <v>36.5</v>
      </c>
      <c r="O412" s="813" t="s">
        <v>142</v>
      </c>
      <c r="P412" s="813" t="s">
        <v>142</v>
      </c>
      <c r="Q412" s="813" t="s">
        <v>142</v>
      </c>
      <c r="R412" s="813" t="s">
        <v>2379</v>
      </c>
      <c r="S412" s="813">
        <v>67.7</v>
      </c>
      <c r="T412" s="814" t="s">
        <v>84</v>
      </c>
      <c r="U412" s="813" t="s">
        <v>236</v>
      </c>
      <c r="V412" s="28"/>
      <c r="CM412"/>
      <c r="CN412"/>
      <c r="CO412"/>
      <c r="CP412"/>
      <c r="CQ412"/>
      <c r="CR412"/>
      <c r="CS412"/>
      <c r="CT412"/>
      <c r="CU412"/>
      <c r="CV412"/>
      <c r="CW412"/>
      <c r="CX412"/>
      <c r="CY412"/>
    </row>
    <row r="413" spans="2:103" s="1" customFormat="1" ht="18.75" x14ac:dyDescent="0.25">
      <c r="B413" s="808">
        <v>44793</v>
      </c>
      <c r="C413" s="809">
        <v>0.91666666666666663</v>
      </c>
      <c r="D413" s="810">
        <v>53</v>
      </c>
      <c r="E413" s="811">
        <v>7.1</v>
      </c>
      <c r="F413" s="811">
        <v>16.8</v>
      </c>
      <c r="G413" s="811">
        <v>1175</v>
      </c>
      <c r="H413" s="811">
        <v>2188</v>
      </c>
      <c r="I413" s="811">
        <v>107.1</v>
      </c>
      <c r="J413" s="811">
        <v>116.3</v>
      </c>
      <c r="K413" s="886" t="s">
        <v>3617</v>
      </c>
      <c r="L413" s="811">
        <v>34.64</v>
      </c>
      <c r="M413" s="812">
        <v>38</v>
      </c>
      <c r="N413" s="811">
        <v>37.869999999999997</v>
      </c>
      <c r="O413" s="813" t="s">
        <v>142</v>
      </c>
      <c r="P413" s="813" t="s">
        <v>142</v>
      </c>
      <c r="Q413" s="813" t="s">
        <v>142</v>
      </c>
      <c r="R413" s="813" t="s">
        <v>2004</v>
      </c>
      <c r="S413" s="813">
        <v>65.3</v>
      </c>
      <c r="T413" s="814" t="s">
        <v>84</v>
      </c>
      <c r="U413" s="813" t="s">
        <v>236</v>
      </c>
      <c r="V413" s="28"/>
      <c r="CM413"/>
      <c r="CN413"/>
      <c r="CO413"/>
      <c r="CP413"/>
      <c r="CQ413"/>
      <c r="CR413"/>
      <c r="CS413"/>
      <c r="CT413"/>
      <c r="CU413"/>
      <c r="CV413"/>
      <c r="CW413"/>
      <c r="CX413"/>
      <c r="CY413"/>
    </row>
    <row r="414" spans="2:103" s="1" customFormat="1" ht="18.75" x14ac:dyDescent="0.25">
      <c r="B414" s="808">
        <v>44794</v>
      </c>
      <c r="C414" s="809">
        <v>0.9375</v>
      </c>
      <c r="D414" s="810">
        <v>53</v>
      </c>
      <c r="E414" s="811">
        <v>7.7</v>
      </c>
      <c r="F414" s="811">
        <v>17</v>
      </c>
      <c r="G414" s="811">
        <v>1160</v>
      </c>
      <c r="H414" s="811">
        <v>2184</v>
      </c>
      <c r="I414" s="811">
        <v>107.1</v>
      </c>
      <c r="J414" s="811">
        <v>114.8</v>
      </c>
      <c r="K414" s="886" t="s">
        <v>3623</v>
      </c>
      <c r="L414" s="811">
        <v>33.42</v>
      </c>
      <c r="M414" s="812">
        <v>37.5</v>
      </c>
      <c r="N414" s="811">
        <v>40.25</v>
      </c>
      <c r="O414" s="813" t="s">
        <v>142</v>
      </c>
      <c r="P414" s="813" t="s">
        <v>142</v>
      </c>
      <c r="Q414" s="813" t="s">
        <v>142</v>
      </c>
      <c r="R414" s="813" t="s">
        <v>2291</v>
      </c>
      <c r="S414" s="813">
        <v>66.099999999999994</v>
      </c>
      <c r="T414" s="814" t="s">
        <v>84</v>
      </c>
      <c r="U414" s="813" t="s">
        <v>236</v>
      </c>
      <c r="V414" s="28"/>
      <c r="CM414"/>
      <c r="CN414"/>
      <c r="CO414"/>
      <c r="CP414"/>
      <c r="CQ414"/>
      <c r="CR414"/>
      <c r="CS414"/>
      <c r="CT414"/>
      <c r="CU414"/>
      <c r="CV414"/>
      <c r="CW414"/>
      <c r="CX414"/>
      <c r="CY414"/>
    </row>
    <row r="415" spans="2:103" s="1" customFormat="1" ht="18.75" x14ac:dyDescent="0.25">
      <c r="B415" s="808">
        <v>44795</v>
      </c>
      <c r="C415" s="809">
        <v>0.9375</v>
      </c>
      <c r="D415" s="810">
        <v>53</v>
      </c>
      <c r="E415" s="811">
        <v>7.2</v>
      </c>
      <c r="F415" s="811">
        <v>16.899999999999999</v>
      </c>
      <c r="G415" s="811">
        <v>1204</v>
      </c>
      <c r="H415" s="811">
        <v>2219</v>
      </c>
      <c r="I415" s="811">
        <v>107.2</v>
      </c>
      <c r="J415" s="811">
        <v>115.3</v>
      </c>
      <c r="K415" s="886" t="s">
        <v>3631</v>
      </c>
      <c r="L415" s="811">
        <v>35.75</v>
      </c>
      <c r="M415" s="812">
        <v>37.5</v>
      </c>
      <c r="N415" s="811">
        <v>36.11</v>
      </c>
      <c r="O415" s="813" t="s">
        <v>142</v>
      </c>
      <c r="P415" s="813" t="s">
        <v>142</v>
      </c>
      <c r="Q415" s="813" t="s">
        <v>142</v>
      </c>
      <c r="R415" s="813" t="s">
        <v>2660</v>
      </c>
      <c r="S415" s="813">
        <v>65.7</v>
      </c>
      <c r="T415" s="814" t="s">
        <v>84</v>
      </c>
      <c r="U415" s="813" t="s">
        <v>236</v>
      </c>
      <c r="V415" s="28"/>
      <c r="CM415"/>
      <c r="CN415"/>
      <c r="CO415"/>
      <c r="CP415"/>
      <c r="CQ415"/>
      <c r="CR415"/>
      <c r="CS415"/>
      <c r="CT415"/>
      <c r="CU415"/>
      <c r="CV415"/>
      <c r="CW415"/>
      <c r="CX415"/>
      <c r="CY415"/>
    </row>
    <row r="416" spans="2:103" s="1" customFormat="1" ht="18.75" x14ac:dyDescent="0.25">
      <c r="B416" s="808">
        <v>44796</v>
      </c>
      <c r="C416" s="809">
        <v>0.9375</v>
      </c>
      <c r="D416" s="810">
        <v>53</v>
      </c>
      <c r="E416" s="811">
        <v>8.6</v>
      </c>
      <c r="F416" s="811">
        <v>17.3</v>
      </c>
      <c r="G416" s="811">
        <v>1174.5</v>
      </c>
      <c r="H416" s="811">
        <v>2190</v>
      </c>
      <c r="I416" s="811">
        <v>106.6</v>
      </c>
      <c r="J416" s="811">
        <v>114.5</v>
      </c>
      <c r="K416" s="886" t="s">
        <v>3638</v>
      </c>
      <c r="L416" s="811">
        <v>33.46</v>
      </c>
      <c r="M416" s="812">
        <v>37.5</v>
      </c>
      <c r="N416" s="811">
        <v>38.83</v>
      </c>
      <c r="O416" s="813" t="s">
        <v>142</v>
      </c>
      <c r="P416" s="813" t="s">
        <v>142</v>
      </c>
      <c r="Q416" s="813" t="s">
        <v>142</v>
      </c>
      <c r="R416" s="813" t="s">
        <v>2351</v>
      </c>
      <c r="S416" s="813">
        <v>67.3</v>
      </c>
      <c r="T416" s="814" t="s">
        <v>84</v>
      </c>
      <c r="U416" s="813" t="s">
        <v>236</v>
      </c>
      <c r="V416" s="28"/>
      <c r="CM416"/>
      <c r="CN416"/>
      <c r="CO416"/>
      <c r="CP416"/>
      <c r="CQ416"/>
      <c r="CR416"/>
      <c r="CS416"/>
      <c r="CT416"/>
      <c r="CU416"/>
      <c r="CV416"/>
      <c r="CW416"/>
      <c r="CX416"/>
      <c r="CY416"/>
    </row>
    <row r="417" spans="2:103" s="1" customFormat="1" ht="18.75" x14ac:dyDescent="0.25">
      <c r="B417" s="808">
        <v>44797</v>
      </c>
      <c r="C417" s="809">
        <v>0.95833333333333337</v>
      </c>
      <c r="D417" s="810">
        <v>53</v>
      </c>
      <c r="E417" s="811">
        <v>9</v>
      </c>
      <c r="F417" s="811">
        <v>17.5</v>
      </c>
      <c r="G417" s="811">
        <v>1136</v>
      </c>
      <c r="H417" s="811">
        <v>2167</v>
      </c>
      <c r="I417" s="811">
        <v>108.2</v>
      </c>
      <c r="J417" s="811">
        <v>114.7</v>
      </c>
      <c r="K417" s="886" t="s">
        <v>3646</v>
      </c>
      <c r="L417" s="811">
        <v>35.479999999999997</v>
      </c>
      <c r="M417" s="812">
        <v>38</v>
      </c>
      <c r="N417" s="811">
        <v>40.1</v>
      </c>
      <c r="O417" s="813" t="s">
        <v>142</v>
      </c>
      <c r="P417" s="813" t="s">
        <v>142</v>
      </c>
      <c r="Q417" s="813" t="s">
        <v>142</v>
      </c>
      <c r="R417" s="813" t="s">
        <v>2636</v>
      </c>
      <c r="S417" s="813">
        <v>68</v>
      </c>
      <c r="T417" s="814" t="s">
        <v>84</v>
      </c>
      <c r="U417" s="813" t="s">
        <v>236</v>
      </c>
      <c r="V417" s="28"/>
      <c r="CM417"/>
      <c r="CN417"/>
      <c r="CO417"/>
      <c r="CP417"/>
      <c r="CQ417"/>
      <c r="CR417"/>
      <c r="CS417"/>
      <c r="CT417"/>
      <c r="CU417"/>
      <c r="CV417"/>
      <c r="CW417"/>
      <c r="CX417"/>
      <c r="CY417"/>
    </row>
    <row r="418" spans="2:103" s="1" customFormat="1" ht="18.75" x14ac:dyDescent="0.25">
      <c r="B418" s="808">
        <v>44798</v>
      </c>
      <c r="C418" s="809">
        <v>0.9375</v>
      </c>
      <c r="D418" s="810">
        <v>53</v>
      </c>
      <c r="E418" s="811">
        <v>8.6</v>
      </c>
      <c r="F418" s="811">
        <v>17.3</v>
      </c>
      <c r="G418" s="811">
        <v>1217</v>
      </c>
      <c r="H418" s="811">
        <v>2213</v>
      </c>
      <c r="I418" s="811">
        <v>106.6</v>
      </c>
      <c r="J418" s="811">
        <v>109.3</v>
      </c>
      <c r="K418" s="886" t="s">
        <v>3650</v>
      </c>
      <c r="L418" s="811">
        <v>34.11</v>
      </c>
      <c r="M418" s="812">
        <v>37</v>
      </c>
      <c r="N418" s="811">
        <v>37.53</v>
      </c>
      <c r="O418" s="813" t="s">
        <v>142</v>
      </c>
      <c r="P418" s="813" t="s">
        <v>142</v>
      </c>
      <c r="Q418" s="813" t="s">
        <v>142</v>
      </c>
      <c r="R418" s="813" t="s">
        <v>2320</v>
      </c>
      <c r="S418" s="813">
        <v>67.3</v>
      </c>
      <c r="T418" s="814" t="s">
        <v>84</v>
      </c>
      <c r="U418" s="813" t="s">
        <v>236</v>
      </c>
      <c r="V418" s="28"/>
      <c r="CM418"/>
      <c r="CN418"/>
      <c r="CO418"/>
      <c r="CP418"/>
      <c r="CQ418"/>
      <c r="CR418"/>
      <c r="CS418"/>
      <c r="CT418"/>
      <c r="CU418"/>
      <c r="CV418"/>
      <c r="CW418"/>
      <c r="CX418"/>
      <c r="CY418"/>
    </row>
    <row r="419" spans="2:103" s="1" customFormat="1" ht="18.75" x14ac:dyDescent="0.25">
      <c r="B419" s="808">
        <v>44799</v>
      </c>
      <c r="C419" s="809">
        <v>0.91666666666666663</v>
      </c>
      <c r="D419" s="810">
        <v>53</v>
      </c>
      <c r="E419" s="811">
        <v>7.6</v>
      </c>
      <c r="F419" s="811">
        <v>16.899999999999999</v>
      </c>
      <c r="G419" s="811">
        <v>1207</v>
      </c>
      <c r="H419" s="811">
        <v>2232</v>
      </c>
      <c r="I419" s="811">
        <v>106.9</v>
      </c>
      <c r="J419" s="811">
        <v>115.2</v>
      </c>
      <c r="K419" s="886" t="s">
        <v>3657</v>
      </c>
      <c r="L419" s="811">
        <v>36.020000000000003</v>
      </c>
      <c r="M419" s="812">
        <v>38.5</v>
      </c>
      <c r="N419" s="811">
        <v>37.229999999999997</v>
      </c>
      <c r="O419" s="813" t="s">
        <v>142</v>
      </c>
      <c r="P419" s="813" t="s">
        <v>142</v>
      </c>
      <c r="Q419" s="813" t="s">
        <v>142</v>
      </c>
      <c r="R419" s="813" t="s">
        <v>2216</v>
      </c>
      <c r="S419" s="813">
        <v>65.7</v>
      </c>
      <c r="T419" s="814" t="s">
        <v>84</v>
      </c>
      <c r="U419" s="813" t="s">
        <v>236</v>
      </c>
      <c r="V419" s="28"/>
      <c r="CM419"/>
      <c r="CN419"/>
      <c r="CO419"/>
      <c r="CP419"/>
      <c r="CQ419"/>
      <c r="CR419"/>
      <c r="CS419"/>
      <c r="CT419"/>
      <c r="CU419"/>
      <c r="CV419"/>
      <c r="CW419"/>
      <c r="CX419"/>
      <c r="CY419"/>
    </row>
    <row r="420" spans="2:103" s="1" customFormat="1" ht="18.75" x14ac:dyDescent="0.25">
      <c r="B420" s="808">
        <v>44800</v>
      </c>
      <c r="C420" s="809">
        <v>0.9375</v>
      </c>
      <c r="D420" s="810">
        <v>53</v>
      </c>
      <c r="E420" s="811">
        <v>7.1</v>
      </c>
      <c r="F420" s="811">
        <v>16.7</v>
      </c>
      <c r="G420" s="811">
        <v>1171</v>
      </c>
      <c r="H420" s="811">
        <v>2214</v>
      </c>
      <c r="I420" s="811">
        <v>106.9</v>
      </c>
      <c r="J420" s="811">
        <v>114.2</v>
      </c>
      <c r="K420" s="886" t="s">
        <v>3662</v>
      </c>
      <c r="L420" s="811">
        <v>35.54</v>
      </c>
      <c r="M420" s="812">
        <v>38.5</v>
      </c>
      <c r="N420" s="811">
        <v>39.86</v>
      </c>
      <c r="O420" s="813" t="s">
        <v>142</v>
      </c>
      <c r="P420" s="813" t="s">
        <v>142</v>
      </c>
      <c r="Q420" s="813" t="s">
        <v>142</v>
      </c>
      <c r="R420" s="813" t="s">
        <v>3663</v>
      </c>
      <c r="S420" s="813">
        <v>64.900000000000006</v>
      </c>
      <c r="T420" s="814" t="s">
        <v>84</v>
      </c>
      <c r="U420" s="813" t="s">
        <v>236</v>
      </c>
      <c r="V420" s="28"/>
      <c r="CM420"/>
      <c r="CN420"/>
      <c r="CO420"/>
      <c r="CP420"/>
      <c r="CQ420"/>
      <c r="CR420"/>
      <c r="CS420"/>
      <c r="CT420"/>
      <c r="CU420"/>
      <c r="CV420"/>
      <c r="CW420"/>
      <c r="CX420"/>
      <c r="CY420"/>
    </row>
    <row r="421" spans="2:103" s="1" customFormat="1" ht="18.75" x14ac:dyDescent="0.25">
      <c r="B421" s="808">
        <v>44801</v>
      </c>
      <c r="C421" s="809">
        <v>0.91666666666666663</v>
      </c>
      <c r="D421" s="810">
        <v>53</v>
      </c>
      <c r="E421" s="811">
        <v>7.1</v>
      </c>
      <c r="F421" s="811">
        <v>16.8</v>
      </c>
      <c r="G421" s="811">
        <v>1200</v>
      </c>
      <c r="H421" s="811">
        <v>2221</v>
      </c>
      <c r="I421" s="811">
        <v>107.1</v>
      </c>
      <c r="J421" s="811">
        <v>114.8</v>
      </c>
      <c r="K421" s="886" t="s">
        <v>3669</v>
      </c>
      <c r="L421" s="811">
        <v>36.11</v>
      </c>
      <c r="M421" s="812">
        <v>38.5</v>
      </c>
      <c r="N421" s="811">
        <v>37.799999999999997</v>
      </c>
      <c r="O421" s="813" t="s">
        <v>142</v>
      </c>
      <c r="P421" s="813" t="s">
        <v>142</v>
      </c>
      <c r="Q421" s="813" t="s">
        <v>142</v>
      </c>
      <c r="R421" s="813" t="s">
        <v>3670</v>
      </c>
      <c r="S421" s="813">
        <v>65.3</v>
      </c>
      <c r="T421" s="814" t="s">
        <v>84</v>
      </c>
      <c r="U421" s="813" t="s">
        <v>236</v>
      </c>
      <c r="V421" s="28"/>
      <c r="CM421"/>
      <c r="CN421"/>
      <c r="CO421"/>
      <c r="CP421"/>
      <c r="CQ421"/>
      <c r="CR421"/>
      <c r="CS421"/>
      <c r="CT421"/>
      <c r="CU421"/>
      <c r="CV421"/>
      <c r="CW421"/>
      <c r="CX421"/>
      <c r="CY421"/>
    </row>
    <row r="422" spans="2:103" s="1" customFormat="1" ht="18.75" x14ac:dyDescent="0.25">
      <c r="B422" s="808">
        <v>44802</v>
      </c>
      <c r="C422" s="809">
        <v>0.89583333333333337</v>
      </c>
      <c r="D422" s="810">
        <v>53</v>
      </c>
      <c r="E422" s="811">
        <v>8.1999999999999993</v>
      </c>
      <c r="F422" s="811">
        <v>17.100000000000001</v>
      </c>
      <c r="G422" s="811">
        <v>1207</v>
      </c>
      <c r="H422" s="811">
        <v>2229</v>
      </c>
      <c r="I422" s="811">
        <v>106.8</v>
      </c>
      <c r="J422" s="811">
        <v>114.9</v>
      </c>
      <c r="K422" s="886" t="s">
        <v>3675</v>
      </c>
      <c r="L422" s="811">
        <v>36.020000000000003</v>
      </c>
      <c r="M422" s="812">
        <v>39</v>
      </c>
      <c r="N422" s="811">
        <v>38.049999999999997</v>
      </c>
      <c r="O422" s="813" t="s">
        <v>142</v>
      </c>
      <c r="P422" s="813" t="s">
        <v>142</v>
      </c>
      <c r="Q422" s="813" t="s">
        <v>142</v>
      </c>
      <c r="R422" s="813" t="s">
        <v>2280</v>
      </c>
      <c r="S422" s="813">
        <v>66.5</v>
      </c>
      <c r="T422" s="814" t="s">
        <v>84</v>
      </c>
      <c r="U422" s="813" t="s">
        <v>236</v>
      </c>
      <c r="V422" s="28"/>
      <c r="CM422"/>
      <c r="CN422"/>
      <c r="CO422"/>
      <c r="CP422"/>
      <c r="CQ422"/>
      <c r="CR422"/>
      <c r="CS422"/>
      <c r="CT422"/>
      <c r="CU422"/>
      <c r="CV422"/>
      <c r="CW422"/>
      <c r="CX422"/>
      <c r="CY422"/>
    </row>
    <row r="423" spans="2:103" s="1" customFormat="1" ht="18.75" x14ac:dyDescent="0.25">
      <c r="B423" s="808">
        <v>44803</v>
      </c>
      <c r="C423" s="809">
        <v>0.91666666666666663</v>
      </c>
      <c r="D423" s="810">
        <v>53</v>
      </c>
      <c r="E423" s="811">
        <v>7.9</v>
      </c>
      <c r="F423" s="811">
        <v>17</v>
      </c>
      <c r="G423" s="811">
        <v>1236</v>
      </c>
      <c r="H423" s="811">
        <v>2263</v>
      </c>
      <c r="I423" s="811">
        <v>105.5</v>
      </c>
      <c r="J423" s="811">
        <v>115.1</v>
      </c>
      <c r="K423" s="886" t="s">
        <v>3682</v>
      </c>
      <c r="L423" s="811">
        <v>39.47</v>
      </c>
      <c r="M423" s="812">
        <v>42</v>
      </c>
      <c r="N423" s="811">
        <v>36.57</v>
      </c>
      <c r="O423" s="813" t="s">
        <v>142</v>
      </c>
      <c r="P423" s="813" t="s">
        <v>142</v>
      </c>
      <c r="Q423" s="813" t="s">
        <v>142</v>
      </c>
      <c r="R423" s="813" t="s">
        <v>3683</v>
      </c>
      <c r="S423" s="813">
        <v>66.099999999999994</v>
      </c>
      <c r="T423" s="814" t="s">
        <v>84</v>
      </c>
      <c r="U423" s="813" t="s">
        <v>236</v>
      </c>
      <c r="V423" s="28"/>
      <c r="CM423"/>
      <c r="CN423"/>
      <c r="CO423"/>
      <c r="CP423"/>
      <c r="CQ423"/>
      <c r="CR423"/>
      <c r="CS423"/>
      <c r="CT423"/>
      <c r="CU423"/>
      <c r="CV423"/>
      <c r="CW423"/>
      <c r="CX423"/>
      <c r="CY423"/>
    </row>
    <row r="424" spans="2:103" s="1" customFormat="1" ht="18.75" x14ac:dyDescent="0.25">
      <c r="B424" s="808">
        <v>44804</v>
      </c>
      <c r="C424" s="809">
        <v>0.91666666666666663</v>
      </c>
      <c r="D424" s="810">
        <v>53</v>
      </c>
      <c r="E424" s="811">
        <v>7.4</v>
      </c>
      <c r="F424" s="811">
        <v>16.899999999999999</v>
      </c>
      <c r="G424" s="811">
        <v>1233</v>
      </c>
      <c r="H424" s="811">
        <v>2249</v>
      </c>
      <c r="I424" s="811">
        <v>105.9</v>
      </c>
      <c r="J424" s="811">
        <v>122.9</v>
      </c>
      <c r="K424" s="886" t="s">
        <v>3692</v>
      </c>
      <c r="L424" s="811">
        <v>36.54</v>
      </c>
      <c r="M424" s="812">
        <v>38</v>
      </c>
      <c r="N424" s="811">
        <v>37.369999999999997</v>
      </c>
      <c r="O424" s="813" t="s">
        <v>142</v>
      </c>
      <c r="P424" s="813" t="s">
        <v>142</v>
      </c>
      <c r="Q424" s="813" t="s">
        <v>142</v>
      </c>
      <c r="R424" s="813" t="s">
        <v>2660</v>
      </c>
      <c r="S424" s="813">
        <v>65.7</v>
      </c>
      <c r="T424" s="814" t="s">
        <v>84</v>
      </c>
      <c r="U424" s="813" t="s">
        <v>236</v>
      </c>
      <c r="V424" s="28"/>
      <c r="CM424"/>
      <c r="CN424"/>
      <c r="CO424"/>
      <c r="CP424"/>
      <c r="CQ424"/>
      <c r="CR424"/>
      <c r="CS424"/>
      <c r="CT424"/>
      <c r="CU424"/>
      <c r="CV424"/>
      <c r="CW424"/>
      <c r="CX424"/>
      <c r="CY424"/>
    </row>
    <row r="425" spans="2:103" s="1" customFormat="1" ht="18.75" x14ac:dyDescent="0.25">
      <c r="B425" s="808">
        <v>44805</v>
      </c>
      <c r="C425" s="809">
        <v>0.91666666666666663</v>
      </c>
      <c r="D425" s="810">
        <v>53</v>
      </c>
      <c r="E425" s="811">
        <v>8.1</v>
      </c>
      <c r="F425" s="811">
        <v>17.100000000000001</v>
      </c>
      <c r="G425" s="811">
        <v>1179</v>
      </c>
      <c r="H425" s="811">
        <v>2207</v>
      </c>
      <c r="I425" s="811">
        <v>107.2</v>
      </c>
      <c r="J425" s="811">
        <v>115.1</v>
      </c>
      <c r="K425" s="886" t="s">
        <v>3705</v>
      </c>
      <c r="L425" s="811">
        <v>34.67</v>
      </c>
      <c r="M425" s="812">
        <v>37</v>
      </c>
      <c r="N425" s="811">
        <v>39.369999999999997</v>
      </c>
      <c r="O425" s="813" t="s">
        <v>142</v>
      </c>
      <c r="P425" s="813" t="s">
        <v>142</v>
      </c>
      <c r="Q425" s="813" t="s">
        <v>142</v>
      </c>
      <c r="R425" s="813" t="s">
        <v>2415</v>
      </c>
      <c r="S425" s="813">
        <v>66.5</v>
      </c>
      <c r="T425" s="814" t="s">
        <v>84</v>
      </c>
      <c r="U425" s="813" t="s">
        <v>236</v>
      </c>
      <c r="V425" s="28"/>
      <c r="CM425"/>
      <c r="CN425"/>
      <c r="CO425"/>
      <c r="CP425"/>
      <c r="CQ425"/>
      <c r="CR425"/>
      <c r="CS425"/>
      <c r="CT425"/>
      <c r="CU425"/>
      <c r="CV425"/>
      <c r="CW425"/>
      <c r="CX425"/>
      <c r="CY425"/>
    </row>
    <row r="426" spans="2:103" s="1" customFormat="1" ht="18.75" x14ac:dyDescent="0.25">
      <c r="B426" s="808">
        <v>44806</v>
      </c>
      <c r="C426" s="809">
        <v>0.9375</v>
      </c>
      <c r="D426" s="810">
        <v>53</v>
      </c>
      <c r="E426" s="811">
        <v>7.1</v>
      </c>
      <c r="F426" s="811">
        <v>16.8</v>
      </c>
      <c r="G426" s="811">
        <v>1229</v>
      </c>
      <c r="H426" s="811">
        <v>2240</v>
      </c>
      <c r="I426" s="811">
        <v>106.8</v>
      </c>
      <c r="J426" s="811">
        <v>123.5</v>
      </c>
      <c r="K426" s="886" t="s">
        <v>3709</v>
      </c>
      <c r="L426" s="811">
        <v>35.67</v>
      </c>
      <c r="M426" s="812">
        <v>37.5</v>
      </c>
      <c r="N426" s="811">
        <v>38.14</v>
      </c>
      <c r="O426" s="813" t="s">
        <v>142</v>
      </c>
      <c r="P426" s="813" t="s">
        <v>142</v>
      </c>
      <c r="Q426" s="813" t="s">
        <v>142</v>
      </c>
      <c r="R426" s="813" t="s">
        <v>3164</v>
      </c>
      <c r="S426" s="813">
        <v>65.2</v>
      </c>
      <c r="T426" s="814" t="s">
        <v>84</v>
      </c>
      <c r="U426" s="813" t="s">
        <v>236</v>
      </c>
      <c r="V426" s="28"/>
      <c r="CM426"/>
      <c r="CN426"/>
      <c r="CO426"/>
      <c r="CP426"/>
      <c r="CQ426"/>
      <c r="CR426"/>
      <c r="CS426"/>
      <c r="CT426"/>
      <c r="CU426"/>
      <c r="CV426"/>
      <c r="CW426"/>
      <c r="CX426"/>
      <c r="CY426"/>
    </row>
    <row r="427" spans="2:103" s="1" customFormat="1" ht="18.75" x14ac:dyDescent="0.25">
      <c r="B427" s="808">
        <v>44807</v>
      </c>
      <c r="C427" s="809">
        <v>0.89583333333333337</v>
      </c>
      <c r="D427" s="810">
        <v>53</v>
      </c>
      <c r="E427" s="811">
        <v>7.7</v>
      </c>
      <c r="F427" s="811">
        <v>16.899999999999999</v>
      </c>
      <c r="G427" s="811">
        <v>1219</v>
      </c>
      <c r="H427" s="811">
        <v>2235</v>
      </c>
      <c r="I427" s="811">
        <v>105.3</v>
      </c>
      <c r="J427" s="811">
        <v>116.7</v>
      </c>
      <c r="K427" s="886" t="s">
        <v>3719</v>
      </c>
      <c r="L427" s="811">
        <v>35.11</v>
      </c>
      <c r="M427" s="812">
        <v>37.5</v>
      </c>
      <c r="N427" s="811">
        <v>37.340000000000003</v>
      </c>
      <c r="O427" s="813" t="s">
        <v>142</v>
      </c>
      <c r="P427" s="813" t="s">
        <v>142</v>
      </c>
      <c r="Q427" s="813" t="s">
        <v>142</v>
      </c>
      <c r="R427" s="813" t="s">
        <v>2660</v>
      </c>
      <c r="S427" s="813">
        <v>65.7</v>
      </c>
      <c r="T427" s="814" t="s">
        <v>84</v>
      </c>
      <c r="U427" s="813" t="s">
        <v>236</v>
      </c>
      <c r="V427" s="28"/>
      <c r="CM427"/>
      <c r="CN427"/>
      <c r="CO427"/>
      <c r="CP427"/>
      <c r="CQ427"/>
      <c r="CR427"/>
      <c r="CS427"/>
      <c r="CT427"/>
      <c r="CU427"/>
      <c r="CV427"/>
      <c r="CW427"/>
      <c r="CX427"/>
      <c r="CY427"/>
    </row>
    <row r="428" spans="2:103" s="1" customFormat="1" ht="18.75" x14ac:dyDescent="0.25">
      <c r="B428" s="808">
        <v>44808</v>
      </c>
      <c r="C428" s="809">
        <v>0.97916666666666663</v>
      </c>
      <c r="D428" s="810">
        <v>53</v>
      </c>
      <c r="E428" s="811">
        <v>7</v>
      </c>
      <c r="F428" s="811">
        <v>16.7</v>
      </c>
      <c r="G428" s="811">
        <v>1160</v>
      </c>
      <c r="H428" s="811">
        <v>2190</v>
      </c>
      <c r="I428" s="811">
        <v>107.3</v>
      </c>
      <c r="J428" s="811">
        <v>114.9</v>
      </c>
      <c r="K428" s="886" t="s">
        <v>3727</v>
      </c>
      <c r="L428" s="811">
        <v>34.21</v>
      </c>
      <c r="M428" s="812">
        <v>37</v>
      </c>
      <c r="N428" s="811">
        <v>39.26</v>
      </c>
      <c r="O428" s="813" t="s">
        <v>142</v>
      </c>
      <c r="P428" s="813" t="s">
        <v>142</v>
      </c>
      <c r="Q428" s="813" t="s">
        <v>142</v>
      </c>
      <c r="R428" s="813" t="s">
        <v>2175</v>
      </c>
      <c r="S428" s="813">
        <v>64.900000000000006</v>
      </c>
      <c r="T428" s="814" t="s">
        <v>84</v>
      </c>
      <c r="U428" s="813" t="s">
        <v>236</v>
      </c>
      <c r="V428" s="28"/>
      <c r="CM428"/>
      <c r="CN428"/>
      <c r="CO428"/>
      <c r="CP428"/>
      <c r="CQ428"/>
      <c r="CR428"/>
      <c r="CS428"/>
      <c r="CT428"/>
      <c r="CU428"/>
      <c r="CV428"/>
      <c r="CW428"/>
      <c r="CX428"/>
      <c r="CY428"/>
    </row>
    <row r="429" spans="2:103" s="1" customFormat="1" ht="18.75" x14ac:dyDescent="0.25">
      <c r="B429" s="808">
        <v>44809</v>
      </c>
      <c r="C429" s="809">
        <v>0.9375</v>
      </c>
      <c r="D429" s="810">
        <v>53</v>
      </c>
      <c r="E429" s="811">
        <v>8.6</v>
      </c>
      <c r="F429" s="811">
        <v>17.3</v>
      </c>
      <c r="G429" s="811">
        <v>1176</v>
      </c>
      <c r="H429" s="811">
        <v>2186</v>
      </c>
      <c r="I429" s="811">
        <v>107.3</v>
      </c>
      <c r="J429" s="811">
        <v>116</v>
      </c>
      <c r="K429" s="886" t="s">
        <v>3734</v>
      </c>
      <c r="L429" s="811">
        <v>34.82</v>
      </c>
      <c r="M429" s="812">
        <v>37</v>
      </c>
      <c r="N429" s="811">
        <v>38.450000000000003</v>
      </c>
      <c r="O429" s="813" t="s">
        <v>142</v>
      </c>
      <c r="P429" s="813" t="s">
        <v>142</v>
      </c>
      <c r="Q429" s="813" t="s">
        <v>142</v>
      </c>
      <c r="R429" s="813" t="s">
        <v>2312</v>
      </c>
      <c r="S429" s="813">
        <v>67.3</v>
      </c>
      <c r="T429" s="814" t="s">
        <v>84</v>
      </c>
      <c r="U429" s="813" t="s">
        <v>236</v>
      </c>
      <c r="V429" s="28"/>
      <c r="CM429"/>
      <c r="CN429"/>
      <c r="CO429"/>
      <c r="CP429"/>
      <c r="CQ429"/>
      <c r="CR429"/>
      <c r="CS429"/>
      <c r="CT429"/>
      <c r="CU429"/>
      <c r="CV429"/>
      <c r="CW429"/>
      <c r="CX429"/>
      <c r="CY429"/>
    </row>
    <row r="430" spans="2:103" s="1" customFormat="1" ht="18.75" x14ac:dyDescent="0.25">
      <c r="B430" s="808">
        <v>44810</v>
      </c>
      <c r="C430" s="809">
        <v>0.91666666666666663</v>
      </c>
      <c r="D430" s="810">
        <v>53</v>
      </c>
      <c r="E430" s="811">
        <v>8.3000000000000007</v>
      </c>
      <c r="F430" s="811">
        <v>17.2</v>
      </c>
      <c r="G430" s="811">
        <v>1194</v>
      </c>
      <c r="H430" s="811">
        <v>2219</v>
      </c>
      <c r="I430" s="811">
        <v>107.3</v>
      </c>
      <c r="J430" s="811">
        <v>115.1</v>
      </c>
      <c r="K430" s="886" t="s">
        <v>3738</v>
      </c>
      <c r="L430" s="811">
        <v>35.72</v>
      </c>
      <c r="M430" s="812">
        <v>37.5</v>
      </c>
      <c r="N430" s="811">
        <v>36.159999999999997</v>
      </c>
      <c r="O430" s="813" t="s">
        <v>142</v>
      </c>
      <c r="P430" s="813" t="s">
        <v>142</v>
      </c>
      <c r="Q430" s="813" t="s">
        <v>142</v>
      </c>
      <c r="R430" s="813" t="s">
        <v>3739</v>
      </c>
      <c r="S430" s="813">
        <v>66.900000000000006</v>
      </c>
      <c r="T430" s="814" t="s">
        <v>84</v>
      </c>
      <c r="U430" s="813" t="s">
        <v>236</v>
      </c>
      <c r="V430" s="28"/>
      <c r="CM430"/>
      <c r="CN430"/>
      <c r="CO430"/>
      <c r="CP430"/>
      <c r="CQ430"/>
      <c r="CR430"/>
      <c r="CS430"/>
      <c r="CT430"/>
      <c r="CU430"/>
      <c r="CV430"/>
      <c r="CW430"/>
      <c r="CX430"/>
      <c r="CY430"/>
    </row>
    <row r="431" spans="2:103" s="1" customFormat="1" ht="18.75" x14ac:dyDescent="0.25">
      <c r="B431" s="808">
        <v>44811</v>
      </c>
      <c r="C431" s="809">
        <v>0.95833333333333337</v>
      </c>
      <c r="D431" s="810">
        <v>53</v>
      </c>
      <c r="E431" s="811">
        <v>7.3</v>
      </c>
      <c r="F431" s="811">
        <v>16.899999999999999</v>
      </c>
      <c r="G431" s="811">
        <v>1240</v>
      </c>
      <c r="H431" s="811">
        <v>2270</v>
      </c>
      <c r="I431" s="811">
        <v>107.2</v>
      </c>
      <c r="J431" s="811">
        <v>114.9</v>
      </c>
      <c r="K431" s="886" t="s">
        <v>3748</v>
      </c>
      <c r="L431" s="811">
        <v>37.33</v>
      </c>
      <c r="M431" s="812">
        <v>39</v>
      </c>
      <c r="N431" s="811">
        <v>37.299999999999997</v>
      </c>
      <c r="O431" s="813" t="s">
        <v>142</v>
      </c>
      <c r="P431" s="813" t="s">
        <v>142</v>
      </c>
      <c r="Q431" s="813" t="s">
        <v>142</v>
      </c>
      <c r="R431" s="813" t="s">
        <v>2013</v>
      </c>
      <c r="S431" s="813">
        <v>65.7</v>
      </c>
      <c r="T431" s="814" t="s">
        <v>84</v>
      </c>
      <c r="U431" s="813" t="s">
        <v>236</v>
      </c>
      <c r="V431" s="28"/>
      <c r="CM431"/>
      <c r="CN431"/>
      <c r="CO431"/>
      <c r="CP431"/>
      <c r="CQ431"/>
      <c r="CR431"/>
      <c r="CS431"/>
      <c r="CT431"/>
      <c r="CU431"/>
      <c r="CV431"/>
      <c r="CW431"/>
      <c r="CX431"/>
      <c r="CY431"/>
    </row>
    <row r="432" spans="2:103" s="1" customFormat="1" ht="18.75" x14ac:dyDescent="0.25">
      <c r="B432" s="808">
        <v>44812</v>
      </c>
      <c r="C432" s="809">
        <v>0.9375</v>
      </c>
      <c r="D432" s="810">
        <v>53</v>
      </c>
      <c r="E432" s="811">
        <v>7.1</v>
      </c>
      <c r="F432" s="811">
        <v>16.899999999999999</v>
      </c>
      <c r="G432" s="811">
        <v>1199</v>
      </c>
      <c r="H432" s="811">
        <v>2236</v>
      </c>
      <c r="I432" s="811">
        <v>107.3</v>
      </c>
      <c r="J432" s="811">
        <v>117.2</v>
      </c>
      <c r="K432" s="886" t="s">
        <v>3752</v>
      </c>
      <c r="L432" s="811">
        <v>34.47</v>
      </c>
      <c r="M432" s="812">
        <v>37</v>
      </c>
      <c r="N432" s="811">
        <v>40.590000000000003</v>
      </c>
      <c r="O432" s="813" t="s">
        <v>142</v>
      </c>
      <c r="P432" s="813" t="s">
        <v>142</v>
      </c>
      <c r="Q432" s="813" t="s">
        <v>142</v>
      </c>
      <c r="R432" s="813" t="s">
        <v>2684</v>
      </c>
      <c r="S432" s="813">
        <v>65.7</v>
      </c>
      <c r="T432" s="814" t="s">
        <v>84</v>
      </c>
      <c r="U432" s="813" t="s">
        <v>236</v>
      </c>
      <c r="V432" s="28"/>
      <c r="CM432"/>
      <c r="CN432"/>
      <c r="CO432"/>
      <c r="CP432"/>
      <c r="CQ432"/>
      <c r="CR432"/>
      <c r="CS432"/>
      <c r="CT432"/>
      <c r="CU432"/>
      <c r="CV432"/>
      <c r="CW432"/>
      <c r="CX432"/>
      <c r="CY432"/>
    </row>
    <row r="433" spans="2:103" s="1" customFormat="1" ht="18.75" x14ac:dyDescent="0.25">
      <c r="B433" s="808">
        <v>44813</v>
      </c>
      <c r="C433" s="809">
        <v>0.95833333333333337</v>
      </c>
      <c r="D433" s="810">
        <v>53</v>
      </c>
      <c r="E433" s="811">
        <v>7.2</v>
      </c>
      <c r="F433" s="811">
        <v>16.8</v>
      </c>
      <c r="G433" s="811">
        <v>1216</v>
      </c>
      <c r="H433" s="811">
        <v>2248</v>
      </c>
      <c r="I433" s="811">
        <v>106.6</v>
      </c>
      <c r="J433" s="811">
        <v>114.5</v>
      </c>
      <c r="K433" s="886" t="s">
        <v>3762</v>
      </c>
      <c r="L433" s="811">
        <v>38.4</v>
      </c>
      <c r="M433" s="812">
        <v>40</v>
      </c>
      <c r="N433" s="811">
        <v>37.56</v>
      </c>
      <c r="O433" s="813" t="s">
        <v>142</v>
      </c>
      <c r="P433" s="813" t="s">
        <v>142</v>
      </c>
      <c r="Q433" s="813" t="s">
        <v>142</v>
      </c>
      <c r="R433" s="813" t="s">
        <v>2004</v>
      </c>
      <c r="S433" s="813">
        <v>65.3</v>
      </c>
      <c r="T433" s="814" t="s">
        <v>84</v>
      </c>
      <c r="U433" s="813" t="s">
        <v>236</v>
      </c>
      <c r="V433" s="28"/>
      <c r="CM433"/>
      <c r="CN433"/>
      <c r="CO433"/>
      <c r="CP433"/>
      <c r="CQ433"/>
      <c r="CR433"/>
      <c r="CS433"/>
      <c r="CT433"/>
      <c r="CU433"/>
      <c r="CV433"/>
      <c r="CW433"/>
      <c r="CX433"/>
      <c r="CY433"/>
    </row>
    <row r="434" spans="2:103" s="1" customFormat="1" ht="18.75" x14ac:dyDescent="0.25">
      <c r="B434" s="808">
        <v>44814</v>
      </c>
      <c r="C434" s="809">
        <v>0.97916666666666663</v>
      </c>
      <c r="D434" s="810">
        <v>53</v>
      </c>
      <c r="E434" s="811">
        <v>8.5</v>
      </c>
      <c r="F434" s="811">
        <v>17.3</v>
      </c>
      <c r="G434" s="811">
        <v>1231</v>
      </c>
      <c r="H434" s="811">
        <v>2234</v>
      </c>
      <c r="I434" s="811">
        <v>106.9</v>
      </c>
      <c r="J434" s="811">
        <v>121.5</v>
      </c>
      <c r="K434" s="886" t="s">
        <v>3770</v>
      </c>
      <c r="L434" s="811">
        <v>35.54</v>
      </c>
      <c r="M434" s="812">
        <v>38.5</v>
      </c>
      <c r="N434" s="811">
        <v>38.14</v>
      </c>
      <c r="O434" s="813" t="s">
        <v>142</v>
      </c>
      <c r="P434" s="813" t="s">
        <v>142</v>
      </c>
      <c r="Q434" s="813" t="s">
        <v>142</v>
      </c>
      <c r="R434" s="813" t="s">
        <v>2160</v>
      </c>
      <c r="S434" s="813">
        <v>67.3</v>
      </c>
      <c r="T434" s="814" t="s">
        <v>84</v>
      </c>
      <c r="U434" s="813" t="s">
        <v>236</v>
      </c>
      <c r="V434" s="28"/>
      <c r="CM434"/>
      <c r="CN434"/>
      <c r="CO434"/>
      <c r="CP434"/>
      <c r="CQ434"/>
      <c r="CR434"/>
      <c r="CS434"/>
      <c r="CT434"/>
      <c r="CU434"/>
      <c r="CV434"/>
      <c r="CW434"/>
      <c r="CX434"/>
      <c r="CY434"/>
    </row>
    <row r="435" spans="2:103" s="1" customFormat="1" ht="18.75" x14ac:dyDescent="0.25">
      <c r="B435" s="808">
        <v>44815</v>
      </c>
      <c r="C435" s="809">
        <v>0.95138888888888884</v>
      </c>
      <c r="D435" s="810">
        <v>53</v>
      </c>
      <c r="E435" s="811">
        <v>8.3000000000000007</v>
      </c>
      <c r="F435" s="811">
        <v>17.2</v>
      </c>
      <c r="G435" s="811">
        <v>1201</v>
      </c>
      <c r="H435" s="811">
        <v>2222</v>
      </c>
      <c r="I435" s="811">
        <v>107.2</v>
      </c>
      <c r="J435" s="811">
        <v>115.6</v>
      </c>
      <c r="K435" s="886" t="s">
        <v>3779</v>
      </c>
      <c r="L435" s="811">
        <v>35.56</v>
      </c>
      <c r="M435" s="812">
        <v>38.5</v>
      </c>
      <c r="N435" s="811">
        <v>36.81</v>
      </c>
      <c r="O435" s="813" t="s">
        <v>142</v>
      </c>
      <c r="P435" s="813" t="s">
        <v>142</v>
      </c>
      <c r="Q435" s="813" t="s">
        <v>142</v>
      </c>
      <c r="R435" s="813" t="s">
        <v>2360</v>
      </c>
      <c r="S435" s="813">
        <v>66.900000000000006</v>
      </c>
      <c r="T435" s="814" t="s">
        <v>84</v>
      </c>
      <c r="U435" s="813" t="s">
        <v>236</v>
      </c>
      <c r="V435" s="28"/>
      <c r="CM435"/>
      <c r="CN435"/>
      <c r="CO435"/>
      <c r="CP435"/>
      <c r="CQ435"/>
      <c r="CR435"/>
      <c r="CS435"/>
      <c r="CT435"/>
      <c r="CU435"/>
      <c r="CV435"/>
      <c r="CW435"/>
      <c r="CX435"/>
      <c r="CY435"/>
    </row>
    <row r="436" spans="2:103" s="1" customFormat="1" ht="18.75" x14ac:dyDescent="0.25">
      <c r="B436" s="808">
        <v>44816</v>
      </c>
      <c r="C436" s="809">
        <v>0.9375</v>
      </c>
      <c r="D436" s="810">
        <v>53</v>
      </c>
      <c r="E436" s="811">
        <v>7.3</v>
      </c>
      <c r="F436" s="811">
        <v>12.8</v>
      </c>
      <c r="G436" s="811">
        <v>1188</v>
      </c>
      <c r="H436" s="811">
        <v>2218</v>
      </c>
      <c r="I436" s="811">
        <v>106</v>
      </c>
      <c r="J436" s="811">
        <v>111.5</v>
      </c>
      <c r="K436" s="886" t="s">
        <v>3787</v>
      </c>
      <c r="L436" s="811">
        <v>35.25</v>
      </c>
      <c r="M436" s="812">
        <v>38.5</v>
      </c>
      <c r="N436" s="811">
        <v>36.880000000000003</v>
      </c>
      <c r="O436" s="813" t="s">
        <v>142</v>
      </c>
      <c r="P436" s="813" t="s">
        <v>142</v>
      </c>
      <c r="Q436" s="813" t="s">
        <v>142</v>
      </c>
      <c r="R436" s="813" t="s">
        <v>3788</v>
      </c>
      <c r="S436" s="813">
        <v>49.8</v>
      </c>
      <c r="T436" s="814" t="s">
        <v>84</v>
      </c>
      <c r="U436" s="813" t="s">
        <v>236</v>
      </c>
      <c r="V436" s="28"/>
      <c r="CM436"/>
      <c r="CN436"/>
      <c r="CO436"/>
      <c r="CP436"/>
      <c r="CQ436"/>
      <c r="CR436"/>
      <c r="CS436"/>
      <c r="CT436"/>
      <c r="CU436"/>
      <c r="CV436"/>
      <c r="CW436"/>
      <c r="CX436"/>
      <c r="CY436"/>
    </row>
    <row r="437" spans="2:103" s="18" customFormat="1" ht="240" x14ac:dyDescent="0.25">
      <c r="B437" s="808">
        <v>44817</v>
      </c>
      <c r="C437" s="809">
        <v>0.58333333333333337</v>
      </c>
      <c r="D437" s="810">
        <v>55</v>
      </c>
      <c r="E437" s="811">
        <v>9.1999999999999993</v>
      </c>
      <c r="F437" s="811">
        <v>14.1</v>
      </c>
      <c r="G437" s="811">
        <v>1085</v>
      </c>
      <c r="H437" s="811">
        <v>2118</v>
      </c>
      <c r="I437" s="811">
        <v>105.1</v>
      </c>
      <c r="J437" s="811">
        <v>112</v>
      </c>
      <c r="K437" s="886" t="s">
        <v>3797</v>
      </c>
      <c r="L437" s="811">
        <v>34.72</v>
      </c>
      <c r="M437" s="812">
        <v>38.5</v>
      </c>
      <c r="N437" s="811">
        <v>39.17</v>
      </c>
      <c r="O437" s="813" t="s">
        <v>142</v>
      </c>
      <c r="P437" s="813" t="s">
        <v>142</v>
      </c>
      <c r="Q437" s="813" t="s">
        <v>142</v>
      </c>
      <c r="R437" s="813" t="s">
        <v>3798</v>
      </c>
      <c r="S437" s="813">
        <v>54.8</v>
      </c>
      <c r="T437" s="814" t="s">
        <v>84</v>
      </c>
      <c r="U437" s="813" t="s">
        <v>236</v>
      </c>
      <c r="V437" s="961" t="s">
        <v>3800</v>
      </c>
      <c r="CM437" s="19"/>
      <c r="CN437" s="19"/>
      <c r="CO437" s="19"/>
      <c r="CP437" s="19"/>
      <c r="CQ437" s="19"/>
      <c r="CR437" s="19"/>
      <c r="CS437" s="19"/>
      <c r="CT437" s="19"/>
      <c r="CU437" s="19"/>
      <c r="CV437" s="19"/>
      <c r="CW437" s="19"/>
      <c r="CX437" s="19"/>
      <c r="CY437" s="19"/>
    </row>
    <row r="438" spans="2:103" s="1" customFormat="1" ht="18.75" x14ac:dyDescent="0.25">
      <c r="B438" s="808">
        <v>44818</v>
      </c>
      <c r="C438" s="809">
        <v>0.9375</v>
      </c>
      <c r="D438" s="810">
        <v>55</v>
      </c>
      <c r="E438" s="811">
        <v>8.4</v>
      </c>
      <c r="F438" s="811">
        <v>13.6</v>
      </c>
      <c r="G438" s="811">
        <v>1169</v>
      </c>
      <c r="H438" s="811">
        <v>2184</v>
      </c>
      <c r="I438" s="811">
        <v>106.5</v>
      </c>
      <c r="J438" s="811">
        <v>113.2</v>
      </c>
      <c r="K438" s="886" t="s">
        <v>3807</v>
      </c>
      <c r="L438" s="811">
        <v>35.020000000000003</v>
      </c>
      <c r="M438" s="812">
        <v>38.5</v>
      </c>
      <c r="N438" s="811">
        <v>35.76</v>
      </c>
      <c r="O438" s="813" t="s">
        <v>142</v>
      </c>
      <c r="P438" s="813" t="s">
        <v>142</v>
      </c>
      <c r="Q438" s="813" t="s">
        <v>142</v>
      </c>
      <c r="R438" s="813" t="s">
        <v>3808</v>
      </c>
      <c r="S438" s="813">
        <v>53.3</v>
      </c>
      <c r="T438" s="814" t="s">
        <v>84</v>
      </c>
      <c r="U438" s="813" t="s">
        <v>236</v>
      </c>
      <c r="V438" s="28"/>
      <c r="CM438"/>
      <c r="CN438"/>
      <c r="CO438"/>
      <c r="CP438"/>
      <c r="CQ438"/>
      <c r="CR438"/>
      <c r="CS438"/>
      <c r="CT438"/>
      <c r="CU438"/>
      <c r="CV438"/>
      <c r="CW438"/>
      <c r="CX438"/>
      <c r="CY438"/>
    </row>
    <row r="439" spans="2:103" s="1" customFormat="1" ht="18.75" x14ac:dyDescent="0.25">
      <c r="B439" s="808">
        <v>44819</v>
      </c>
      <c r="C439" s="809">
        <v>0.8125</v>
      </c>
      <c r="D439" s="810">
        <v>55</v>
      </c>
      <c r="E439" s="811">
        <v>9</v>
      </c>
      <c r="F439" s="811">
        <v>13.9</v>
      </c>
      <c r="G439" s="811">
        <v>1204</v>
      </c>
      <c r="H439" s="811">
        <v>2204</v>
      </c>
      <c r="I439" s="811">
        <v>106.5</v>
      </c>
      <c r="J439" s="811">
        <v>113.7</v>
      </c>
      <c r="K439" s="886" t="s">
        <v>3814</v>
      </c>
      <c r="L439" s="811">
        <v>36.06</v>
      </c>
      <c r="M439" s="812">
        <v>38.5</v>
      </c>
      <c r="N439" s="811">
        <v>36.15</v>
      </c>
      <c r="O439" s="813" t="s">
        <v>142</v>
      </c>
      <c r="P439" s="813" t="s">
        <v>142</v>
      </c>
      <c r="Q439" s="813" t="s">
        <v>142</v>
      </c>
      <c r="R439" s="813" t="s">
        <v>3815</v>
      </c>
      <c r="S439" s="813">
        <v>54</v>
      </c>
      <c r="T439" s="814" t="s">
        <v>84</v>
      </c>
      <c r="U439" s="813" t="s">
        <v>236</v>
      </c>
      <c r="V439" s="28"/>
      <c r="CM439"/>
      <c r="CN439"/>
      <c r="CO439"/>
      <c r="CP439"/>
      <c r="CQ439"/>
      <c r="CR439"/>
      <c r="CS439"/>
      <c r="CT439"/>
      <c r="CU439"/>
      <c r="CV439"/>
      <c r="CW439"/>
      <c r="CX439"/>
      <c r="CY439"/>
    </row>
    <row r="440" spans="2:103" s="1" customFormat="1" ht="18.75" x14ac:dyDescent="0.25">
      <c r="B440" s="808">
        <v>44820</v>
      </c>
      <c r="C440" s="809">
        <v>0.75</v>
      </c>
      <c r="D440" s="810">
        <v>55</v>
      </c>
      <c r="E440" s="811">
        <v>8.6999999999999993</v>
      </c>
      <c r="F440" s="811">
        <v>13.7</v>
      </c>
      <c r="G440" s="811">
        <v>1199</v>
      </c>
      <c r="H440" s="811">
        <v>2225</v>
      </c>
      <c r="I440" s="811">
        <v>106.8</v>
      </c>
      <c r="J440" s="811">
        <v>108.3</v>
      </c>
      <c r="K440" s="886" t="s">
        <v>3820</v>
      </c>
      <c r="L440" s="811">
        <v>35.01</v>
      </c>
      <c r="M440" s="812">
        <v>38.5</v>
      </c>
      <c r="N440" s="811">
        <v>35.200000000000003</v>
      </c>
      <c r="O440" s="813" t="s">
        <v>142</v>
      </c>
      <c r="P440" s="813" t="s">
        <v>142</v>
      </c>
      <c r="Q440" s="813" t="s">
        <v>142</v>
      </c>
      <c r="R440" s="813" t="s">
        <v>3821</v>
      </c>
      <c r="S440" s="813">
        <v>53.3</v>
      </c>
      <c r="T440" s="814" t="s">
        <v>84</v>
      </c>
      <c r="U440" s="813" t="s">
        <v>236</v>
      </c>
      <c r="V440" s="28"/>
      <c r="CM440"/>
      <c r="CN440"/>
      <c r="CO440"/>
      <c r="CP440"/>
      <c r="CQ440"/>
      <c r="CR440"/>
      <c r="CS440"/>
      <c r="CT440"/>
      <c r="CU440"/>
      <c r="CV440"/>
      <c r="CW440"/>
      <c r="CX440"/>
      <c r="CY440"/>
    </row>
    <row r="441" spans="2:103" s="1" customFormat="1" ht="18.75" x14ac:dyDescent="0.25">
      <c r="B441" s="808">
        <v>44821</v>
      </c>
      <c r="C441" s="809">
        <v>0.75</v>
      </c>
      <c r="D441" s="810">
        <v>55</v>
      </c>
      <c r="E441" s="811">
        <v>8.6999999999999993</v>
      </c>
      <c r="F441" s="811">
        <v>13.7</v>
      </c>
      <c r="G441" s="811">
        <v>1199</v>
      </c>
      <c r="H441" s="811">
        <v>2225</v>
      </c>
      <c r="I441" s="811">
        <v>106.8</v>
      </c>
      <c r="J441" s="811">
        <v>108.3</v>
      </c>
      <c r="K441" s="886" t="s">
        <v>3820</v>
      </c>
      <c r="L441" s="811">
        <v>36.06</v>
      </c>
      <c r="M441" s="812">
        <v>38.5</v>
      </c>
      <c r="N441" s="811">
        <v>35</v>
      </c>
      <c r="O441" s="813" t="s">
        <v>142</v>
      </c>
      <c r="P441" s="813" t="s">
        <v>142</v>
      </c>
      <c r="Q441" s="813" t="s">
        <v>142</v>
      </c>
      <c r="R441" s="813" t="s">
        <v>3821</v>
      </c>
      <c r="S441" s="813">
        <v>53.3</v>
      </c>
      <c r="T441" s="814" t="s">
        <v>84</v>
      </c>
      <c r="U441" s="813" t="s">
        <v>236</v>
      </c>
      <c r="V441" s="28"/>
      <c r="CM441"/>
      <c r="CN441"/>
      <c r="CO441"/>
      <c r="CP441"/>
      <c r="CQ441"/>
      <c r="CR441"/>
      <c r="CS441"/>
      <c r="CT441"/>
      <c r="CU441"/>
      <c r="CV441"/>
      <c r="CW441"/>
      <c r="CX441"/>
      <c r="CY441"/>
    </row>
    <row r="442" spans="2:103" s="1" customFormat="1" ht="18.75" x14ac:dyDescent="0.25">
      <c r="B442" s="808">
        <v>44822</v>
      </c>
      <c r="C442" s="809">
        <v>0.75</v>
      </c>
      <c r="D442" s="1660" t="s">
        <v>3833</v>
      </c>
      <c r="E442" s="1661"/>
      <c r="F442" s="1661"/>
      <c r="G442" s="1661"/>
      <c r="H442" s="1661"/>
      <c r="I442" s="1661"/>
      <c r="J442" s="1661"/>
      <c r="K442" s="1661"/>
      <c r="L442" s="1661"/>
      <c r="M442" s="1661"/>
      <c r="N442" s="1661"/>
      <c r="O442" s="1661"/>
      <c r="P442" s="1661"/>
      <c r="Q442" s="1661"/>
      <c r="R442" s="1662"/>
      <c r="S442" s="813">
        <v>53.3</v>
      </c>
      <c r="T442" s="814" t="s">
        <v>84</v>
      </c>
      <c r="U442" s="813" t="s">
        <v>236</v>
      </c>
      <c r="V442" s="28"/>
      <c r="CM442"/>
      <c r="CN442"/>
      <c r="CO442"/>
      <c r="CP442"/>
      <c r="CQ442"/>
      <c r="CR442"/>
      <c r="CS442"/>
      <c r="CT442"/>
      <c r="CU442"/>
      <c r="CV442"/>
      <c r="CW442"/>
      <c r="CX442"/>
      <c r="CY442"/>
    </row>
    <row r="443" spans="2:103" s="1" customFormat="1" ht="18.75" x14ac:dyDescent="0.25">
      <c r="B443" s="808">
        <v>44823</v>
      </c>
      <c r="C443" s="809">
        <v>0.95833333333333337</v>
      </c>
      <c r="D443" s="810">
        <v>55</v>
      </c>
      <c r="E443" s="811">
        <v>9.6</v>
      </c>
      <c r="F443" s="811">
        <v>15</v>
      </c>
      <c r="G443" s="811">
        <v>1094</v>
      </c>
      <c r="H443" s="811">
        <v>2122</v>
      </c>
      <c r="I443" s="811">
        <v>104.1</v>
      </c>
      <c r="J443" s="811">
        <v>109.1</v>
      </c>
      <c r="K443" s="886" t="s">
        <v>3839</v>
      </c>
      <c r="L443" s="811">
        <v>34.29</v>
      </c>
      <c r="M443" s="812">
        <v>38</v>
      </c>
      <c r="N443" s="811">
        <v>44.45</v>
      </c>
      <c r="O443" s="813" t="s">
        <v>142</v>
      </c>
      <c r="P443" s="813" t="s">
        <v>142</v>
      </c>
      <c r="Q443" s="813" t="s">
        <v>142</v>
      </c>
      <c r="R443" s="813" t="s">
        <v>3840</v>
      </c>
      <c r="S443" s="813">
        <v>58.3</v>
      </c>
      <c r="T443" s="814" t="s">
        <v>84</v>
      </c>
      <c r="U443" s="813" t="s">
        <v>236</v>
      </c>
      <c r="V443" s="28"/>
      <c r="CM443"/>
      <c r="CN443"/>
      <c r="CO443"/>
      <c r="CP443"/>
      <c r="CQ443"/>
      <c r="CR443"/>
      <c r="CS443"/>
      <c r="CT443"/>
      <c r="CU443"/>
      <c r="CV443"/>
      <c r="CW443"/>
      <c r="CX443"/>
      <c r="CY443"/>
    </row>
    <row r="444" spans="2:103" s="1" customFormat="1" ht="18.75" x14ac:dyDescent="0.25">
      <c r="B444" s="808">
        <v>44824</v>
      </c>
      <c r="C444" s="809">
        <v>0.91666666666666663</v>
      </c>
      <c r="D444" s="810">
        <v>56</v>
      </c>
      <c r="E444" s="811">
        <v>9.1999999999999993</v>
      </c>
      <c r="F444" s="811">
        <v>14.7</v>
      </c>
      <c r="G444" s="811">
        <v>1082</v>
      </c>
      <c r="H444" s="811">
        <v>2207</v>
      </c>
      <c r="I444" s="811">
        <v>105.8</v>
      </c>
      <c r="J444" s="811">
        <v>111.4</v>
      </c>
      <c r="K444" s="886" t="s">
        <v>3851</v>
      </c>
      <c r="L444" s="811">
        <v>36.700000000000003</v>
      </c>
      <c r="M444" s="812">
        <v>38.5</v>
      </c>
      <c r="N444" s="811">
        <v>40.86</v>
      </c>
      <c r="O444" s="813" t="s">
        <v>142</v>
      </c>
      <c r="P444" s="813" t="s">
        <v>142</v>
      </c>
      <c r="Q444" s="813" t="s">
        <v>142</v>
      </c>
      <c r="R444" s="813" t="s">
        <v>3852</v>
      </c>
      <c r="S444" s="813">
        <v>57.1</v>
      </c>
      <c r="T444" s="814" t="s">
        <v>84</v>
      </c>
      <c r="U444" s="813" t="s">
        <v>236</v>
      </c>
      <c r="V444" s="28"/>
      <c r="CM444"/>
      <c r="CN444"/>
      <c r="CO444"/>
      <c r="CP444"/>
      <c r="CQ444"/>
      <c r="CR444"/>
      <c r="CS444"/>
      <c r="CT444"/>
      <c r="CU444"/>
      <c r="CV444"/>
      <c r="CW444"/>
      <c r="CX444"/>
      <c r="CY444"/>
    </row>
    <row r="445" spans="2:103" s="1" customFormat="1" ht="18.75" x14ac:dyDescent="0.25">
      <c r="B445" s="808">
        <v>44825</v>
      </c>
      <c r="C445" s="809">
        <v>0.79166666666666663</v>
      </c>
      <c r="D445" s="810">
        <v>56</v>
      </c>
      <c r="E445" s="811">
        <v>8.6</v>
      </c>
      <c r="F445" s="811">
        <v>14.3</v>
      </c>
      <c r="G445" s="811">
        <v>1045</v>
      </c>
      <c r="H445" s="811">
        <v>2175</v>
      </c>
      <c r="I445" s="811">
        <v>105.6</v>
      </c>
      <c r="J445" s="811">
        <v>111.8</v>
      </c>
      <c r="K445" s="886" t="s">
        <v>3859</v>
      </c>
      <c r="L445" s="811">
        <v>34.520000000000003</v>
      </c>
      <c r="M445" s="812">
        <v>37</v>
      </c>
      <c r="N445" s="811">
        <v>39.44</v>
      </c>
      <c r="O445" s="813" t="s">
        <v>142</v>
      </c>
      <c r="P445" s="813" t="s">
        <v>142</v>
      </c>
      <c r="Q445" s="813" t="s">
        <v>142</v>
      </c>
      <c r="R445" s="813" t="s">
        <v>3860</v>
      </c>
      <c r="S445" s="813">
        <v>55.6</v>
      </c>
      <c r="T445" s="814" t="s">
        <v>84</v>
      </c>
      <c r="U445" s="813" t="s">
        <v>236</v>
      </c>
      <c r="V445" s="28"/>
      <c r="CM445"/>
      <c r="CN445"/>
      <c r="CO445"/>
      <c r="CP445"/>
      <c r="CQ445"/>
      <c r="CR445"/>
      <c r="CS445"/>
      <c r="CT445"/>
      <c r="CU445"/>
      <c r="CV445"/>
      <c r="CW445"/>
      <c r="CX445"/>
      <c r="CY445"/>
    </row>
    <row r="446" spans="2:103" s="1" customFormat="1" ht="18.75" x14ac:dyDescent="0.25">
      <c r="B446" s="808">
        <v>44826</v>
      </c>
      <c r="C446" s="809">
        <v>0.83333333333333337</v>
      </c>
      <c r="D446" s="810">
        <v>56</v>
      </c>
      <c r="E446" s="811">
        <v>9.3000000000000007</v>
      </c>
      <c r="F446" s="811">
        <v>14.8</v>
      </c>
      <c r="G446" s="811">
        <v>1090</v>
      </c>
      <c r="H446" s="811">
        <v>2192</v>
      </c>
      <c r="I446" s="811">
        <v>106.2</v>
      </c>
      <c r="J446" s="811">
        <v>111.5</v>
      </c>
      <c r="K446" s="886" t="s">
        <v>3870</v>
      </c>
      <c r="L446" s="811">
        <v>33.21</v>
      </c>
      <c r="M446" s="812">
        <v>37</v>
      </c>
      <c r="N446" s="811">
        <v>36.799999999999997</v>
      </c>
      <c r="O446" s="813" t="s">
        <v>142</v>
      </c>
      <c r="P446" s="813" t="s">
        <v>142</v>
      </c>
      <c r="Q446" s="813" t="s">
        <v>142</v>
      </c>
      <c r="R446" s="813" t="s">
        <v>3871</v>
      </c>
      <c r="S446" s="813">
        <v>57.5</v>
      </c>
      <c r="T446" s="814" t="s">
        <v>84</v>
      </c>
      <c r="U446" s="813" t="s">
        <v>236</v>
      </c>
      <c r="V446" s="28"/>
      <c r="CM446"/>
      <c r="CN446"/>
      <c r="CO446"/>
      <c r="CP446"/>
      <c r="CQ446"/>
      <c r="CR446"/>
      <c r="CS446"/>
      <c r="CT446"/>
      <c r="CU446"/>
      <c r="CV446"/>
      <c r="CW446"/>
      <c r="CX446"/>
      <c r="CY446"/>
    </row>
    <row r="447" spans="2:103" s="1" customFormat="1" ht="18.75" x14ac:dyDescent="0.25">
      <c r="B447" s="808">
        <v>44827</v>
      </c>
      <c r="C447" s="809">
        <v>0.91666666666666663</v>
      </c>
      <c r="D447" s="810">
        <v>56</v>
      </c>
      <c r="E447" s="811">
        <v>8.8000000000000007</v>
      </c>
      <c r="F447" s="811">
        <v>14.4</v>
      </c>
      <c r="G447" s="811">
        <v>1122</v>
      </c>
      <c r="H447" s="811">
        <v>2235</v>
      </c>
      <c r="I447" s="811">
        <v>106.6</v>
      </c>
      <c r="J447" s="811">
        <v>112</v>
      </c>
      <c r="K447" s="886" t="s">
        <v>3876</v>
      </c>
      <c r="L447" s="811">
        <v>36</v>
      </c>
      <c r="M447" s="812">
        <v>38.5</v>
      </c>
      <c r="N447" s="811">
        <v>36.880000000000003</v>
      </c>
      <c r="O447" s="813" t="s">
        <v>142</v>
      </c>
      <c r="P447" s="813" t="s">
        <v>142</v>
      </c>
      <c r="Q447" s="813" t="s">
        <v>142</v>
      </c>
      <c r="R447" s="813" t="s">
        <v>2417</v>
      </c>
      <c r="S447" s="813">
        <v>56</v>
      </c>
      <c r="T447" s="814" t="s">
        <v>84</v>
      </c>
      <c r="U447" s="813" t="s">
        <v>236</v>
      </c>
      <c r="V447" s="28"/>
      <c r="CM447"/>
      <c r="CN447"/>
      <c r="CO447"/>
      <c r="CP447"/>
      <c r="CQ447"/>
      <c r="CR447"/>
      <c r="CS447"/>
      <c r="CT447"/>
      <c r="CU447"/>
      <c r="CV447"/>
      <c r="CW447"/>
      <c r="CX447"/>
      <c r="CY447"/>
    </row>
    <row r="448" spans="2:103" s="1" customFormat="1" ht="18.75" x14ac:dyDescent="0.25">
      <c r="B448" s="808">
        <v>44828</v>
      </c>
      <c r="C448" s="809">
        <v>0.91666666666666663</v>
      </c>
      <c r="D448" s="810">
        <v>56</v>
      </c>
      <c r="E448" s="811">
        <v>9.3000000000000007</v>
      </c>
      <c r="F448" s="811">
        <v>14.8</v>
      </c>
      <c r="G448" s="811">
        <v>1099</v>
      </c>
      <c r="H448" s="811">
        <v>2226</v>
      </c>
      <c r="I448" s="811">
        <v>106.2</v>
      </c>
      <c r="J448" s="811">
        <v>111.8</v>
      </c>
      <c r="K448" s="886" t="s">
        <v>3876</v>
      </c>
      <c r="L448" s="811">
        <v>34.03</v>
      </c>
      <c r="M448" s="812">
        <v>37</v>
      </c>
      <c r="N448" s="811">
        <v>38.18</v>
      </c>
      <c r="O448" s="813" t="s">
        <v>142</v>
      </c>
      <c r="P448" s="813" t="s">
        <v>142</v>
      </c>
      <c r="Q448" s="813" t="s">
        <v>142</v>
      </c>
      <c r="R448" s="813" t="s">
        <v>3885</v>
      </c>
      <c r="S448" s="813">
        <v>56</v>
      </c>
      <c r="T448" s="814" t="s">
        <v>84</v>
      </c>
      <c r="U448" s="813" t="s">
        <v>236</v>
      </c>
      <c r="V448" s="28"/>
      <c r="CM448"/>
      <c r="CN448"/>
      <c r="CO448"/>
      <c r="CP448"/>
      <c r="CQ448"/>
      <c r="CR448"/>
      <c r="CS448"/>
      <c r="CT448"/>
      <c r="CU448"/>
      <c r="CV448"/>
      <c r="CW448"/>
      <c r="CX448"/>
      <c r="CY448"/>
    </row>
    <row r="449" spans="2:103" s="1" customFormat="1" ht="18.75" x14ac:dyDescent="0.25">
      <c r="B449" s="808">
        <v>44829</v>
      </c>
      <c r="C449" s="809">
        <v>0.91666666666666663</v>
      </c>
      <c r="D449" s="810">
        <v>56</v>
      </c>
      <c r="E449" s="811">
        <v>8.6999999999999993</v>
      </c>
      <c r="F449" s="811">
        <v>14.4</v>
      </c>
      <c r="G449" s="811">
        <v>1079</v>
      </c>
      <c r="H449" s="811">
        <v>2203</v>
      </c>
      <c r="I449" s="811">
        <v>106.2</v>
      </c>
      <c r="J449" s="811">
        <v>112</v>
      </c>
      <c r="K449" s="886" t="s">
        <v>3893</v>
      </c>
      <c r="L449" s="811">
        <v>34.81</v>
      </c>
      <c r="M449" s="812">
        <v>37.5</v>
      </c>
      <c r="N449" s="811">
        <v>37.68</v>
      </c>
      <c r="O449" s="813" t="s">
        <v>142</v>
      </c>
      <c r="P449" s="813" t="s">
        <v>142</v>
      </c>
      <c r="Q449" s="813" t="s">
        <v>142</v>
      </c>
      <c r="R449" s="813" t="s">
        <v>3894</v>
      </c>
      <c r="S449" s="813">
        <v>56</v>
      </c>
      <c r="T449" s="814" t="s">
        <v>84</v>
      </c>
      <c r="U449" s="813" t="s">
        <v>236</v>
      </c>
      <c r="V449" s="28"/>
      <c r="CM449"/>
      <c r="CN449"/>
      <c r="CO449"/>
      <c r="CP449"/>
      <c r="CQ449"/>
      <c r="CR449"/>
      <c r="CS449"/>
      <c r="CT449"/>
      <c r="CU449"/>
      <c r="CV449"/>
      <c r="CW449"/>
      <c r="CX449"/>
      <c r="CY449"/>
    </row>
    <row r="450" spans="2:103" s="1" customFormat="1" ht="18.75" x14ac:dyDescent="0.25">
      <c r="B450" s="808">
        <v>44830</v>
      </c>
      <c r="C450" s="809">
        <v>0.89583333333333337</v>
      </c>
      <c r="D450" s="810">
        <v>56</v>
      </c>
      <c r="E450" s="811">
        <v>8.6999999999999993</v>
      </c>
      <c r="F450" s="811">
        <v>14.4</v>
      </c>
      <c r="G450" s="811">
        <v>1115</v>
      </c>
      <c r="H450" s="811">
        <v>2228</v>
      </c>
      <c r="I450" s="811">
        <v>106.5</v>
      </c>
      <c r="J450" s="811">
        <v>111.8</v>
      </c>
      <c r="K450" s="886" t="s">
        <v>3904</v>
      </c>
      <c r="L450" s="811">
        <v>34.82</v>
      </c>
      <c r="M450" s="812">
        <v>37</v>
      </c>
      <c r="N450" s="811">
        <v>36.729999999999997</v>
      </c>
      <c r="O450" s="813" t="s">
        <v>142</v>
      </c>
      <c r="P450" s="813" t="s">
        <v>142</v>
      </c>
      <c r="Q450" s="813" t="s">
        <v>142</v>
      </c>
      <c r="R450" s="813" t="s">
        <v>3894</v>
      </c>
      <c r="S450" s="813">
        <v>56</v>
      </c>
      <c r="T450" s="814" t="s">
        <v>84</v>
      </c>
      <c r="U450" s="813" t="s">
        <v>236</v>
      </c>
      <c r="V450" s="28"/>
      <c r="CM450"/>
      <c r="CN450"/>
      <c r="CO450"/>
      <c r="CP450"/>
      <c r="CQ450"/>
      <c r="CR450"/>
      <c r="CS450"/>
      <c r="CT450"/>
      <c r="CU450"/>
      <c r="CV450"/>
      <c r="CW450"/>
      <c r="CX450"/>
      <c r="CY450"/>
    </row>
    <row r="451" spans="2:103" s="1" customFormat="1" ht="18.75" x14ac:dyDescent="0.25">
      <c r="B451" s="808">
        <v>44831</v>
      </c>
      <c r="C451" s="809">
        <v>0.91666666666666663</v>
      </c>
      <c r="D451" s="810">
        <v>56</v>
      </c>
      <c r="E451" s="811">
        <v>8.8000000000000007</v>
      </c>
      <c r="F451" s="811">
        <v>14.5</v>
      </c>
      <c r="G451" s="811">
        <v>1126</v>
      </c>
      <c r="H451" s="811">
        <v>2240</v>
      </c>
      <c r="I451" s="811">
        <v>106.6</v>
      </c>
      <c r="J451" s="811">
        <v>112</v>
      </c>
      <c r="K451" s="886" t="s">
        <v>3913</v>
      </c>
      <c r="L451" s="811">
        <v>35.76</v>
      </c>
      <c r="M451" s="812">
        <v>38</v>
      </c>
      <c r="N451" s="811">
        <v>36.950000000000003</v>
      </c>
      <c r="O451" s="813" t="s">
        <v>142</v>
      </c>
      <c r="P451" s="813" t="s">
        <v>142</v>
      </c>
      <c r="Q451" s="813" t="s">
        <v>142</v>
      </c>
      <c r="R451" s="813" t="s">
        <v>3914</v>
      </c>
      <c r="S451" s="813">
        <v>56.4</v>
      </c>
      <c r="T451" s="814" t="s">
        <v>84</v>
      </c>
      <c r="U451" s="813" t="s">
        <v>236</v>
      </c>
      <c r="V451" s="28"/>
      <c r="CM451"/>
      <c r="CN451"/>
      <c r="CO451"/>
      <c r="CP451"/>
      <c r="CQ451"/>
      <c r="CR451"/>
      <c r="CS451"/>
      <c r="CT451"/>
      <c r="CU451"/>
      <c r="CV451"/>
      <c r="CW451"/>
      <c r="CX451"/>
      <c r="CY451"/>
    </row>
    <row r="452" spans="2:103" s="1" customFormat="1" ht="18.75" x14ac:dyDescent="0.25">
      <c r="B452" s="808">
        <v>44832</v>
      </c>
      <c r="C452" s="809">
        <v>0.91666666666666663</v>
      </c>
      <c r="D452" s="810">
        <v>56</v>
      </c>
      <c r="E452" s="811">
        <v>8.6</v>
      </c>
      <c r="F452" s="811">
        <v>14.3</v>
      </c>
      <c r="G452" s="811">
        <v>1123</v>
      </c>
      <c r="H452" s="811">
        <v>2239</v>
      </c>
      <c r="I452" s="811">
        <v>106.6</v>
      </c>
      <c r="J452" s="811">
        <v>112.1</v>
      </c>
      <c r="K452" s="886" t="s">
        <v>3925</v>
      </c>
      <c r="L452" s="811">
        <v>36.700000000000003</v>
      </c>
      <c r="M452" s="812">
        <v>38.6</v>
      </c>
      <c r="N452" s="811">
        <v>36.24</v>
      </c>
      <c r="O452" s="813" t="s">
        <v>142</v>
      </c>
      <c r="P452" s="813" t="s">
        <v>142</v>
      </c>
      <c r="Q452" s="813" t="s">
        <v>142</v>
      </c>
      <c r="R452" s="813" t="s">
        <v>3860</v>
      </c>
      <c r="S452" s="813">
        <v>55.6</v>
      </c>
      <c r="T452" s="814" t="s">
        <v>84</v>
      </c>
      <c r="U452" s="813" t="s">
        <v>236</v>
      </c>
      <c r="V452" s="28"/>
      <c r="CM452"/>
      <c r="CN452"/>
      <c r="CO452"/>
      <c r="CP452"/>
      <c r="CQ452"/>
      <c r="CR452"/>
      <c r="CS452"/>
      <c r="CT452"/>
      <c r="CU452"/>
      <c r="CV452"/>
      <c r="CW452"/>
      <c r="CX452"/>
      <c r="CY452"/>
    </row>
    <row r="453" spans="2:103" s="1" customFormat="1" ht="45" x14ac:dyDescent="0.25">
      <c r="B453" s="808">
        <v>44833</v>
      </c>
      <c r="C453" s="809">
        <v>0.9375</v>
      </c>
      <c r="D453" s="810">
        <v>56.5</v>
      </c>
      <c r="E453" s="811">
        <v>8.8000000000000007</v>
      </c>
      <c r="F453" s="811">
        <v>14.4</v>
      </c>
      <c r="G453" s="811">
        <v>1144</v>
      </c>
      <c r="H453" s="811">
        <v>2273</v>
      </c>
      <c r="I453" s="811">
        <v>106.7</v>
      </c>
      <c r="J453" s="811">
        <v>112.1</v>
      </c>
      <c r="K453" s="886" t="s">
        <v>3931</v>
      </c>
      <c r="L453" s="811">
        <v>36.86</v>
      </c>
      <c r="M453" s="812">
        <v>39</v>
      </c>
      <c r="N453" s="811">
        <v>37.869999999999997</v>
      </c>
      <c r="O453" s="813" t="s">
        <v>142</v>
      </c>
      <c r="P453" s="813" t="s">
        <v>142</v>
      </c>
      <c r="Q453" s="813" t="s">
        <v>142</v>
      </c>
      <c r="R453" s="813" t="s">
        <v>2417</v>
      </c>
      <c r="S453" s="813">
        <v>56</v>
      </c>
      <c r="T453" s="814" t="s">
        <v>84</v>
      </c>
      <c r="U453" s="813" t="s">
        <v>236</v>
      </c>
      <c r="V453" s="981" t="s">
        <v>3934</v>
      </c>
      <c r="CM453"/>
      <c r="CN453"/>
      <c r="CO453"/>
      <c r="CP453"/>
      <c r="CQ453"/>
      <c r="CR453"/>
      <c r="CS453"/>
      <c r="CT453"/>
      <c r="CU453"/>
      <c r="CV453"/>
      <c r="CW453"/>
      <c r="CX453"/>
      <c r="CY453"/>
    </row>
    <row r="454" spans="2:103" s="1" customFormat="1" ht="18.75" x14ac:dyDescent="0.25">
      <c r="B454" s="808">
        <v>44834</v>
      </c>
      <c r="C454" s="809">
        <v>0.9375</v>
      </c>
      <c r="D454" s="810">
        <v>56.5</v>
      </c>
      <c r="E454" s="811">
        <v>8.8000000000000007</v>
      </c>
      <c r="F454" s="811">
        <v>14.5</v>
      </c>
      <c r="G454" s="811">
        <v>1160</v>
      </c>
      <c r="H454" s="811">
        <v>2283</v>
      </c>
      <c r="I454" s="811">
        <v>108.6</v>
      </c>
      <c r="J454" s="811">
        <v>111.8</v>
      </c>
      <c r="K454" s="886" t="s">
        <v>3938</v>
      </c>
      <c r="L454" s="811">
        <v>38.020000000000003</v>
      </c>
      <c r="M454" s="812">
        <v>40</v>
      </c>
      <c r="N454" s="811">
        <v>36.799999999999997</v>
      </c>
      <c r="O454" s="813" t="s">
        <v>142</v>
      </c>
      <c r="P454" s="813" t="s">
        <v>142</v>
      </c>
      <c r="Q454" s="813" t="s">
        <v>142</v>
      </c>
      <c r="R454" s="813" t="s">
        <v>3914</v>
      </c>
      <c r="S454" s="813">
        <v>56.4</v>
      </c>
      <c r="T454" s="814" t="s">
        <v>84</v>
      </c>
      <c r="U454" s="813" t="s">
        <v>236</v>
      </c>
      <c r="V454" s="981"/>
      <c r="CM454"/>
      <c r="CN454"/>
      <c r="CO454"/>
      <c r="CP454"/>
      <c r="CQ454"/>
      <c r="CR454"/>
      <c r="CS454"/>
      <c r="CT454"/>
      <c r="CU454"/>
      <c r="CV454"/>
      <c r="CW454"/>
      <c r="CX454"/>
      <c r="CY454"/>
    </row>
    <row r="455" spans="2:103" s="1" customFormat="1" ht="18.75" x14ac:dyDescent="0.25">
      <c r="B455" s="808">
        <v>44835</v>
      </c>
      <c r="C455" s="809">
        <v>0.9375</v>
      </c>
      <c r="D455" s="810">
        <v>56.5</v>
      </c>
      <c r="E455" s="811">
        <v>8.4</v>
      </c>
      <c r="F455" s="811">
        <v>14.3</v>
      </c>
      <c r="G455" s="811">
        <v>1142</v>
      </c>
      <c r="H455" s="811">
        <v>2274</v>
      </c>
      <c r="I455" s="811">
        <v>106.7</v>
      </c>
      <c r="J455" s="811">
        <v>112</v>
      </c>
      <c r="K455" s="886" t="s">
        <v>3949</v>
      </c>
      <c r="L455" s="811">
        <v>38.270000000000003</v>
      </c>
      <c r="M455" s="812">
        <v>40</v>
      </c>
      <c r="N455" s="811">
        <v>36.380000000000003</v>
      </c>
      <c r="O455" s="813" t="s">
        <v>142</v>
      </c>
      <c r="P455" s="813" t="s">
        <v>142</v>
      </c>
      <c r="Q455" s="813" t="s">
        <v>142</v>
      </c>
      <c r="R455" s="813" t="s">
        <v>3950</v>
      </c>
      <c r="S455" s="813">
        <v>55.2</v>
      </c>
      <c r="T455" s="814" t="s">
        <v>84</v>
      </c>
      <c r="U455" s="813" t="s">
        <v>236</v>
      </c>
      <c r="V455" s="981"/>
      <c r="CM455"/>
      <c r="CN455"/>
      <c r="CO455"/>
      <c r="CP455"/>
      <c r="CQ455"/>
      <c r="CR455"/>
      <c r="CS455"/>
      <c r="CT455"/>
      <c r="CU455"/>
      <c r="CV455"/>
      <c r="CW455"/>
      <c r="CX455"/>
      <c r="CY455"/>
    </row>
    <row r="456" spans="2:103" s="1" customFormat="1" ht="18.75" x14ac:dyDescent="0.25">
      <c r="B456" s="808">
        <v>44836</v>
      </c>
      <c r="C456" s="809">
        <v>0.95833333333333337</v>
      </c>
      <c r="D456" s="810">
        <v>56.5</v>
      </c>
      <c r="E456" s="811">
        <v>8.8000000000000007</v>
      </c>
      <c r="F456" s="811">
        <v>14.5</v>
      </c>
      <c r="G456" s="811">
        <v>1128</v>
      </c>
      <c r="H456" s="811">
        <v>2250</v>
      </c>
      <c r="I456" s="811">
        <v>106.6</v>
      </c>
      <c r="J456" s="811">
        <v>112.7</v>
      </c>
      <c r="K456" s="886" t="s">
        <v>3959</v>
      </c>
      <c r="L456" s="811">
        <v>36.14</v>
      </c>
      <c r="M456" s="812">
        <v>39.5</v>
      </c>
      <c r="N456" s="811">
        <v>36.840000000000003</v>
      </c>
      <c r="O456" s="813" t="s">
        <v>142</v>
      </c>
      <c r="P456" s="813" t="s">
        <v>142</v>
      </c>
      <c r="Q456" s="813" t="s">
        <v>142</v>
      </c>
      <c r="R456" s="813" t="s">
        <v>3960</v>
      </c>
      <c r="S456" s="813">
        <v>56.4</v>
      </c>
      <c r="T456" s="814" t="s">
        <v>84</v>
      </c>
      <c r="U456" s="813" t="s">
        <v>236</v>
      </c>
      <c r="V456" s="981"/>
      <c r="CM456"/>
      <c r="CN456"/>
      <c r="CO456"/>
      <c r="CP456"/>
      <c r="CQ456"/>
      <c r="CR456"/>
      <c r="CS456"/>
      <c r="CT456"/>
      <c r="CU456"/>
      <c r="CV456"/>
      <c r="CW456"/>
      <c r="CX456"/>
      <c r="CY456"/>
    </row>
    <row r="457" spans="2:103" s="1" customFormat="1" ht="18.75" x14ac:dyDescent="0.25">
      <c r="B457" s="808">
        <v>44837</v>
      </c>
      <c r="C457" s="809">
        <v>0.89583333333333337</v>
      </c>
      <c r="D457" s="810">
        <v>56.5</v>
      </c>
      <c r="E457" s="811">
        <v>8</v>
      </c>
      <c r="F457" s="811">
        <v>13.9</v>
      </c>
      <c r="G457" s="811">
        <v>1149</v>
      </c>
      <c r="H457" s="811">
        <v>2296</v>
      </c>
      <c r="I457" s="811">
        <v>107</v>
      </c>
      <c r="J457" s="811">
        <v>113</v>
      </c>
      <c r="K457" s="886" t="s">
        <v>3965</v>
      </c>
      <c r="L457" s="811">
        <v>37.22</v>
      </c>
      <c r="M457" s="812">
        <v>39.5</v>
      </c>
      <c r="N457" s="811">
        <v>35.01</v>
      </c>
      <c r="O457" s="813" t="s">
        <v>142</v>
      </c>
      <c r="P457" s="813" t="s">
        <v>142</v>
      </c>
      <c r="Q457" s="813" t="s">
        <v>142</v>
      </c>
      <c r="R457" s="813" t="s">
        <v>3966</v>
      </c>
      <c r="S457" s="813">
        <v>54</v>
      </c>
      <c r="T457" s="814" t="s">
        <v>84</v>
      </c>
      <c r="U457" s="813" t="s">
        <v>236</v>
      </c>
      <c r="V457" s="981"/>
      <c r="CM457"/>
      <c r="CN457"/>
      <c r="CO457"/>
      <c r="CP457"/>
      <c r="CQ457"/>
      <c r="CR457"/>
      <c r="CS457"/>
      <c r="CT457"/>
      <c r="CU457"/>
      <c r="CV457"/>
      <c r="CW457"/>
      <c r="CX457"/>
      <c r="CY457"/>
    </row>
    <row r="458" spans="2:103" s="1" customFormat="1" ht="18.75" x14ac:dyDescent="0.25">
      <c r="B458" s="808">
        <v>44838</v>
      </c>
      <c r="C458" s="809">
        <v>0</v>
      </c>
      <c r="D458" s="810">
        <v>56.5</v>
      </c>
      <c r="E458" s="811">
        <v>8.9</v>
      </c>
      <c r="F458" s="811">
        <v>14.5</v>
      </c>
      <c r="G458" s="811">
        <v>1144</v>
      </c>
      <c r="H458" s="811">
        <v>2257</v>
      </c>
      <c r="I458" s="811">
        <v>106.6</v>
      </c>
      <c r="J458" s="811">
        <v>113</v>
      </c>
      <c r="K458" s="886" t="s">
        <v>3974</v>
      </c>
      <c r="L458" s="811">
        <v>37.409999999999997</v>
      </c>
      <c r="M458" s="812">
        <v>39.5</v>
      </c>
      <c r="N458" s="811">
        <v>36.770000000000003</v>
      </c>
      <c r="O458" s="813" t="s">
        <v>142</v>
      </c>
      <c r="P458" s="813" t="s">
        <v>142</v>
      </c>
      <c r="Q458" s="813" t="s">
        <v>142</v>
      </c>
      <c r="R458" s="813" t="s">
        <v>3914</v>
      </c>
      <c r="S458" s="813">
        <v>56.4</v>
      </c>
      <c r="T458" s="814" t="s">
        <v>84</v>
      </c>
      <c r="U458" s="813" t="s">
        <v>236</v>
      </c>
      <c r="V458" s="981"/>
      <c r="CM458"/>
      <c r="CN458"/>
      <c r="CO458"/>
      <c r="CP458"/>
      <c r="CQ458"/>
      <c r="CR458"/>
      <c r="CS458"/>
      <c r="CT458"/>
      <c r="CU458"/>
      <c r="CV458"/>
      <c r="CW458"/>
      <c r="CX458"/>
      <c r="CY458"/>
    </row>
    <row r="459" spans="2:103" s="1" customFormat="1" ht="18.75" x14ac:dyDescent="0.25">
      <c r="B459" s="808">
        <v>44839</v>
      </c>
      <c r="C459" s="809">
        <v>0.9375</v>
      </c>
      <c r="D459" s="810">
        <v>56.5</v>
      </c>
      <c r="E459" s="811">
        <v>9.1</v>
      </c>
      <c r="F459" s="811">
        <v>14.7</v>
      </c>
      <c r="G459" s="811">
        <v>1196</v>
      </c>
      <c r="H459" s="811">
        <v>2308</v>
      </c>
      <c r="I459" s="811">
        <v>107.3</v>
      </c>
      <c r="J459" s="811">
        <v>113.4</v>
      </c>
      <c r="K459" s="886" t="s">
        <v>3979</v>
      </c>
      <c r="L459" s="811">
        <v>39.86</v>
      </c>
      <c r="M459" s="812">
        <v>41.5</v>
      </c>
      <c r="N459" s="811">
        <v>36.46</v>
      </c>
      <c r="O459" s="813" t="s">
        <v>142</v>
      </c>
      <c r="P459" s="813" t="s">
        <v>142</v>
      </c>
      <c r="Q459" s="813" t="s">
        <v>142</v>
      </c>
      <c r="R459" s="813" t="s">
        <v>3980</v>
      </c>
      <c r="S459" s="813">
        <v>57.1</v>
      </c>
      <c r="T459" s="814" t="s">
        <v>84</v>
      </c>
      <c r="U459" s="813" t="s">
        <v>236</v>
      </c>
      <c r="V459" s="981"/>
      <c r="CM459"/>
      <c r="CN459"/>
      <c r="CO459"/>
      <c r="CP459"/>
      <c r="CQ459"/>
      <c r="CR459"/>
      <c r="CS459"/>
      <c r="CT459"/>
      <c r="CU459"/>
      <c r="CV459"/>
      <c r="CW459"/>
      <c r="CX459"/>
      <c r="CY459"/>
    </row>
    <row r="460" spans="2:103" s="1" customFormat="1" ht="18.75" x14ac:dyDescent="0.25">
      <c r="B460" s="808">
        <v>44840</v>
      </c>
      <c r="C460" s="809">
        <v>0.95833333333333337</v>
      </c>
      <c r="D460" s="810">
        <v>56.5</v>
      </c>
      <c r="E460" s="811">
        <v>8.6999999999999993</v>
      </c>
      <c r="F460" s="811">
        <v>14.4</v>
      </c>
      <c r="G460" s="811">
        <v>1213</v>
      </c>
      <c r="H460" s="811">
        <v>2323</v>
      </c>
      <c r="I460" s="811">
        <v>107.3</v>
      </c>
      <c r="J460" s="811">
        <v>113.4</v>
      </c>
      <c r="K460" s="886" t="s">
        <v>3989</v>
      </c>
      <c r="L460" s="811">
        <v>40</v>
      </c>
      <c r="M460" s="812">
        <v>42.5</v>
      </c>
      <c r="N460" s="811">
        <v>35.200000000000003</v>
      </c>
      <c r="O460" s="813" t="s">
        <v>142</v>
      </c>
      <c r="P460" s="813" t="s">
        <v>142</v>
      </c>
      <c r="Q460" s="813" t="s">
        <v>142</v>
      </c>
      <c r="R460" s="813" t="s">
        <v>3894</v>
      </c>
      <c r="S460" s="813">
        <v>56</v>
      </c>
      <c r="T460" s="814" t="s">
        <v>84</v>
      </c>
      <c r="U460" s="813" t="s">
        <v>236</v>
      </c>
      <c r="V460" s="981"/>
      <c r="CM460"/>
      <c r="CN460"/>
      <c r="CO460"/>
      <c r="CP460"/>
      <c r="CQ460"/>
      <c r="CR460"/>
      <c r="CS460"/>
      <c r="CT460"/>
      <c r="CU460"/>
      <c r="CV460"/>
      <c r="CW460"/>
      <c r="CX460"/>
      <c r="CY460"/>
    </row>
    <row r="461" spans="2:103" s="1" customFormat="1" ht="18.75" x14ac:dyDescent="0.25">
      <c r="B461" s="808">
        <v>44842</v>
      </c>
      <c r="C461" s="809">
        <v>0.97916666666666663</v>
      </c>
      <c r="D461" s="810">
        <v>56.5</v>
      </c>
      <c r="E461" s="811">
        <v>9</v>
      </c>
      <c r="F461" s="811">
        <v>14.7</v>
      </c>
      <c r="G461" s="811">
        <v>1147</v>
      </c>
      <c r="H461" s="811">
        <v>2252</v>
      </c>
      <c r="I461" s="811">
        <v>106.4</v>
      </c>
      <c r="J461" s="811">
        <v>112.5</v>
      </c>
      <c r="K461" s="886" t="s">
        <v>4003</v>
      </c>
      <c r="L461" s="811">
        <v>37.29</v>
      </c>
      <c r="M461" s="812">
        <v>40</v>
      </c>
      <c r="N461" s="811">
        <v>36.880000000000003</v>
      </c>
      <c r="O461" s="813" t="s">
        <v>142</v>
      </c>
      <c r="P461" s="813" t="s">
        <v>142</v>
      </c>
      <c r="Q461" s="813" t="s">
        <v>142</v>
      </c>
      <c r="R461" s="813" t="s">
        <v>4004</v>
      </c>
      <c r="S461" s="813">
        <v>57.1</v>
      </c>
      <c r="T461" s="814" t="s">
        <v>84</v>
      </c>
      <c r="U461" s="813" t="s">
        <v>236</v>
      </c>
      <c r="V461" s="981"/>
      <c r="CM461"/>
      <c r="CN461"/>
      <c r="CO461"/>
      <c r="CP461"/>
      <c r="CQ461"/>
      <c r="CR461"/>
      <c r="CS461"/>
      <c r="CT461"/>
      <c r="CU461"/>
      <c r="CV461"/>
      <c r="CW461"/>
      <c r="CX461"/>
      <c r="CY461"/>
    </row>
    <row r="462" spans="2:103" s="1" customFormat="1" ht="18.75" x14ac:dyDescent="0.25">
      <c r="B462" s="808">
        <v>44843</v>
      </c>
      <c r="C462" s="809">
        <v>0.9375</v>
      </c>
      <c r="D462" s="810">
        <v>56.5</v>
      </c>
      <c r="E462" s="811">
        <v>8.8000000000000007</v>
      </c>
      <c r="F462" s="811">
        <v>14.4</v>
      </c>
      <c r="G462" s="811">
        <v>1174</v>
      </c>
      <c r="H462" s="811">
        <v>2283</v>
      </c>
      <c r="I462" s="811">
        <v>106.8</v>
      </c>
      <c r="J462" s="811">
        <v>112.4</v>
      </c>
      <c r="K462" s="886" t="s">
        <v>4012</v>
      </c>
      <c r="L462" s="811">
        <v>37.81</v>
      </c>
      <c r="M462" s="812">
        <v>40</v>
      </c>
      <c r="N462" s="811">
        <v>36.700000000000003</v>
      </c>
      <c r="O462" s="813" t="s">
        <v>142</v>
      </c>
      <c r="P462" s="813" t="s">
        <v>142</v>
      </c>
      <c r="Q462" s="813" t="s">
        <v>142</v>
      </c>
      <c r="R462" s="813" t="s">
        <v>3960</v>
      </c>
      <c r="S462" s="813">
        <v>56</v>
      </c>
      <c r="T462" s="814" t="s">
        <v>84</v>
      </c>
      <c r="U462" s="813" t="s">
        <v>236</v>
      </c>
      <c r="V462" s="981"/>
      <c r="CM462"/>
      <c r="CN462"/>
      <c r="CO462"/>
      <c r="CP462"/>
      <c r="CQ462"/>
      <c r="CR462"/>
      <c r="CS462"/>
      <c r="CT462"/>
      <c r="CU462"/>
      <c r="CV462"/>
      <c r="CW462"/>
      <c r="CX462"/>
      <c r="CY462"/>
    </row>
    <row r="463" spans="2:103" s="1" customFormat="1" ht="18.75" x14ac:dyDescent="0.25">
      <c r="B463" s="808">
        <v>44844</v>
      </c>
      <c r="C463" s="809">
        <v>0.91666666666666663</v>
      </c>
      <c r="D463" s="810">
        <v>56.5</v>
      </c>
      <c r="E463" s="811">
        <v>8.6999999999999993</v>
      </c>
      <c r="F463" s="811">
        <v>14.4</v>
      </c>
      <c r="G463" s="811">
        <v>1164</v>
      </c>
      <c r="H463" s="811">
        <v>2268</v>
      </c>
      <c r="I463" s="811">
        <v>107</v>
      </c>
      <c r="J463" s="811">
        <v>122.8</v>
      </c>
      <c r="K463" s="886" t="s">
        <v>4019</v>
      </c>
      <c r="L463" s="811">
        <v>35.07</v>
      </c>
      <c r="M463" s="812">
        <v>39</v>
      </c>
      <c r="N463" s="811">
        <v>36.380000000000003</v>
      </c>
      <c r="O463" s="813" t="s">
        <v>142</v>
      </c>
      <c r="P463" s="813" t="s">
        <v>142</v>
      </c>
      <c r="Q463" s="813" t="s">
        <v>142</v>
      </c>
      <c r="R463" s="813" t="s">
        <v>2417</v>
      </c>
      <c r="S463" s="813">
        <v>56</v>
      </c>
      <c r="T463" s="814" t="s">
        <v>84</v>
      </c>
      <c r="U463" s="813" t="s">
        <v>236</v>
      </c>
      <c r="V463" s="981"/>
      <c r="CM463"/>
      <c r="CN463"/>
      <c r="CO463"/>
      <c r="CP463"/>
      <c r="CQ463"/>
      <c r="CR463"/>
      <c r="CS463"/>
      <c r="CT463"/>
      <c r="CU463"/>
      <c r="CV463"/>
      <c r="CW463"/>
      <c r="CX463"/>
      <c r="CY463"/>
    </row>
    <row r="464" spans="2:103" s="1" customFormat="1" ht="18.75" x14ac:dyDescent="0.25">
      <c r="B464" s="808">
        <v>44845</v>
      </c>
      <c r="C464" s="809">
        <v>0.9375</v>
      </c>
      <c r="D464" s="810">
        <v>56.5</v>
      </c>
      <c r="E464" s="811">
        <v>8.6999999999999993</v>
      </c>
      <c r="F464" s="811">
        <v>14.4</v>
      </c>
      <c r="G464" s="811">
        <v>1198</v>
      </c>
      <c r="H464" s="811">
        <v>2302</v>
      </c>
      <c r="I464" s="811">
        <v>107.3</v>
      </c>
      <c r="J464" s="811">
        <v>113</v>
      </c>
      <c r="K464" s="886" t="s">
        <v>4026</v>
      </c>
      <c r="L464" s="811">
        <v>38.67</v>
      </c>
      <c r="M464" s="812">
        <v>40</v>
      </c>
      <c r="N464" s="811">
        <v>35.69</v>
      </c>
      <c r="O464" s="813" t="s">
        <v>142</v>
      </c>
      <c r="P464" s="813" t="s">
        <v>142</v>
      </c>
      <c r="Q464" s="813" t="s">
        <v>142</v>
      </c>
      <c r="R464" s="813" t="s">
        <v>3894</v>
      </c>
      <c r="S464" s="813">
        <v>56</v>
      </c>
      <c r="T464" s="814" t="s">
        <v>84</v>
      </c>
      <c r="U464" s="813" t="s">
        <v>236</v>
      </c>
      <c r="V464" s="981"/>
      <c r="CM464"/>
      <c r="CN464"/>
      <c r="CO464"/>
      <c r="CP464"/>
      <c r="CQ464"/>
      <c r="CR464"/>
      <c r="CS464"/>
      <c r="CT464"/>
      <c r="CU464"/>
      <c r="CV464"/>
      <c r="CW464"/>
      <c r="CX464"/>
      <c r="CY464"/>
    </row>
    <row r="465" spans="2:103" s="1" customFormat="1" ht="18.75" x14ac:dyDescent="0.25">
      <c r="B465" s="808">
        <v>44846</v>
      </c>
      <c r="C465" s="809">
        <v>0.97916666666666663</v>
      </c>
      <c r="D465" s="810">
        <v>56.5</v>
      </c>
      <c r="E465" s="811">
        <v>8.9</v>
      </c>
      <c r="F465" s="811">
        <v>14.5</v>
      </c>
      <c r="G465" s="811">
        <v>1173</v>
      </c>
      <c r="H465" s="811">
        <v>2271</v>
      </c>
      <c r="I465" s="811">
        <v>108.5</v>
      </c>
      <c r="J465" s="811">
        <v>112.9</v>
      </c>
      <c r="K465" s="886" t="s">
        <v>4036</v>
      </c>
      <c r="L465" s="811">
        <v>36.700000000000003</v>
      </c>
      <c r="M465" s="812">
        <v>39</v>
      </c>
      <c r="N465" s="811">
        <v>36.6</v>
      </c>
      <c r="O465" s="813" t="s">
        <v>142</v>
      </c>
      <c r="P465" s="813" t="s">
        <v>142</v>
      </c>
      <c r="Q465" s="813" t="s">
        <v>142</v>
      </c>
      <c r="R465" s="813" t="s">
        <v>4037</v>
      </c>
      <c r="S465" s="813">
        <v>56.4</v>
      </c>
      <c r="T465" s="814" t="s">
        <v>84</v>
      </c>
      <c r="U465" s="813" t="s">
        <v>236</v>
      </c>
      <c r="V465" s="981"/>
      <c r="CM465"/>
      <c r="CN465"/>
      <c r="CO465"/>
      <c r="CP465"/>
      <c r="CQ465"/>
      <c r="CR465"/>
      <c r="CS465"/>
      <c r="CT465"/>
      <c r="CU465"/>
      <c r="CV465"/>
      <c r="CW465"/>
      <c r="CX465"/>
      <c r="CY465"/>
    </row>
    <row r="466" spans="2:103" s="1" customFormat="1" ht="18.75" x14ac:dyDescent="0.25">
      <c r="B466" s="808">
        <v>44847</v>
      </c>
      <c r="C466" s="809">
        <v>0</v>
      </c>
      <c r="D466" s="810">
        <v>56.5</v>
      </c>
      <c r="E466" s="811">
        <v>9</v>
      </c>
      <c r="F466" s="811">
        <v>14.2</v>
      </c>
      <c r="G466" s="811">
        <v>1195</v>
      </c>
      <c r="H466" s="811">
        <v>2354</v>
      </c>
      <c r="I466" s="811">
        <v>108.3</v>
      </c>
      <c r="J466" s="811">
        <v>114</v>
      </c>
      <c r="K466" s="886" t="s">
        <v>4053</v>
      </c>
      <c r="L466" s="811">
        <v>37.799999999999997</v>
      </c>
      <c r="M466" s="812">
        <v>40</v>
      </c>
      <c r="N466" s="811">
        <v>35.9</v>
      </c>
      <c r="O466" s="813" t="s">
        <v>142</v>
      </c>
      <c r="P466" s="813" t="s">
        <v>142</v>
      </c>
      <c r="Q466" s="813" t="s">
        <v>142</v>
      </c>
      <c r="R466" s="813" t="s">
        <v>4037</v>
      </c>
      <c r="S466" s="813">
        <v>56.3</v>
      </c>
      <c r="T466" s="814" t="s">
        <v>84</v>
      </c>
      <c r="U466" s="813" t="s">
        <v>236</v>
      </c>
      <c r="V466" s="981"/>
      <c r="CM466"/>
      <c r="CN466"/>
      <c r="CO466"/>
      <c r="CP466"/>
      <c r="CQ466"/>
      <c r="CR466"/>
      <c r="CS466"/>
      <c r="CT466"/>
      <c r="CU466"/>
      <c r="CV466"/>
      <c r="CW466"/>
      <c r="CX466"/>
      <c r="CY466"/>
    </row>
    <row r="467" spans="2:103" s="1" customFormat="1" ht="18.75" x14ac:dyDescent="0.25">
      <c r="B467" s="808">
        <v>44848</v>
      </c>
      <c r="C467" s="809">
        <v>0.75</v>
      </c>
      <c r="D467" s="810">
        <v>56.5</v>
      </c>
      <c r="E467" s="811">
        <v>9</v>
      </c>
      <c r="F467" s="811">
        <v>14.2</v>
      </c>
      <c r="G467" s="811">
        <v>1195</v>
      </c>
      <c r="H467" s="811">
        <v>2354</v>
      </c>
      <c r="I467" s="811">
        <v>108.3</v>
      </c>
      <c r="J467" s="811">
        <v>114</v>
      </c>
      <c r="K467" s="886" t="s">
        <v>4053</v>
      </c>
      <c r="L467" s="811">
        <v>37.799999999999997</v>
      </c>
      <c r="M467" s="812">
        <v>40</v>
      </c>
      <c r="N467" s="811">
        <v>35.9</v>
      </c>
      <c r="O467" s="813" t="s">
        <v>142</v>
      </c>
      <c r="P467" s="813" t="s">
        <v>142</v>
      </c>
      <c r="Q467" s="813" t="s">
        <v>142</v>
      </c>
      <c r="R467" s="813" t="s">
        <v>4055</v>
      </c>
      <c r="S467" s="813">
        <v>56</v>
      </c>
      <c r="T467" s="814" t="s">
        <v>84</v>
      </c>
      <c r="U467" s="813" t="s">
        <v>236</v>
      </c>
      <c r="V467" s="981"/>
      <c r="CM467"/>
      <c r="CN467"/>
      <c r="CO467"/>
      <c r="CP467"/>
      <c r="CQ467"/>
      <c r="CR467"/>
      <c r="CS467"/>
      <c r="CT467"/>
      <c r="CU467"/>
      <c r="CV467"/>
      <c r="CW467"/>
      <c r="CX467"/>
      <c r="CY467"/>
    </row>
    <row r="468" spans="2:103" s="1" customFormat="1" ht="18.75" x14ac:dyDescent="0.25">
      <c r="B468" s="808">
        <v>44849</v>
      </c>
      <c r="C468" s="809">
        <v>0.75</v>
      </c>
      <c r="D468" s="810">
        <v>56.5</v>
      </c>
      <c r="E468" s="811">
        <v>8.6</v>
      </c>
      <c r="F468" s="811">
        <v>14.4</v>
      </c>
      <c r="G468" s="811">
        <v>1176</v>
      </c>
      <c r="H468" s="811">
        <v>2284</v>
      </c>
      <c r="I468" s="811">
        <v>108.6</v>
      </c>
      <c r="J468" s="811">
        <v>114</v>
      </c>
      <c r="K468" s="886" t="s">
        <v>4060</v>
      </c>
      <c r="L468" s="811">
        <v>37.6</v>
      </c>
      <c r="M468" s="812">
        <v>40</v>
      </c>
      <c r="N468" s="811">
        <v>36.4</v>
      </c>
      <c r="O468" s="813" t="s">
        <v>142</v>
      </c>
      <c r="P468" s="813" t="s">
        <v>142</v>
      </c>
      <c r="Q468" s="813" t="s">
        <v>142</v>
      </c>
      <c r="R468" s="813" t="s">
        <v>4061</v>
      </c>
      <c r="S468" s="813">
        <v>56</v>
      </c>
      <c r="T468" s="814" t="s">
        <v>84</v>
      </c>
      <c r="U468" s="813" t="s">
        <v>236</v>
      </c>
      <c r="V468" s="981"/>
      <c r="CM468"/>
      <c r="CN468"/>
      <c r="CO468"/>
      <c r="CP468"/>
      <c r="CQ468"/>
      <c r="CR468"/>
      <c r="CS468"/>
      <c r="CT468"/>
      <c r="CU468"/>
      <c r="CV468"/>
      <c r="CW468"/>
      <c r="CX468"/>
      <c r="CY468"/>
    </row>
    <row r="469" spans="2:103" s="1" customFormat="1" ht="18.75" x14ac:dyDescent="0.25">
      <c r="B469" s="808">
        <v>44850</v>
      </c>
      <c r="C469" s="809">
        <v>0.97916666666666663</v>
      </c>
      <c r="D469" s="810">
        <v>57.5</v>
      </c>
      <c r="E469" s="811">
        <v>8</v>
      </c>
      <c r="F469" s="811">
        <v>14</v>
      </c>
      <c r="G469" s="811">
        <v>1234</v>
      </c>
      <c r="H469" s="811">
        <v>2308</v>
      </c>
      <c r="I469" s="811">
        <v>106.6</v>
      </c>
      <c r="J469" s="811">
        <v>120</v>
      </c>
      <c r="K469" s="886" t="s">
        <v>4065</v>
      </c>
      <c r="L469" s="811">
        <v>40</v>
      </c>
      <c r="M469" s="812">
        <v>42.5</v>
      </c>
      <c r="N469" s="811">
        <v>35.9</v>
      </c>
      <c r="O469" s="813" t="s">
        <v>142</v>
      </c>
      <c r="P469" s="813" t="s">
        <v>142</v>
      </c>
      <c r="Q469" s="813" t="s">
        <v>142</v>
      </c>
      <c r="R469" s="813" t="s">
        <v>4066</v>
      </c>
      <c r="S469" s="813">
        <v>54.4</v>
      </c>
      <c r="T469" s="814" t="s">
        <v>84</v>
      </c>
      <c r="U469" s="813" t="s">
        <v>236</v>
      </c>
      <c r="V469" s="981" t="s">
        <v>4074</v>
      </c>
      <c r="CM469"/>
      <c r="CN469"/>
      <c r="CO469"/>
      <c r="CP469"/>
      <c r="CQ469"/>
      <c r="CR469"/>
      <c r="CS469"/>
      <c r="CT469"/>
      <c r="CU469"/>
      <c r="CV469"/>
      <c r="CW469"/>
      <c r="CX469"/>
      <c r="CY469"/>
    </row>
    <row r="470" spans="2:103" s="1" customFormat="1" ht="18.75" x14ac:dyDescent="0.25">
      <c r="B470" s="808">
        <v>44851</v>
      </c>
      <c r="C470" s="809">
        <v>0.54166666666666663</v>
      </c>
      <c r="D470" s="810">
        <v>57.5</v>
      </c>
      <c r="E470" s="811">
        <v>8.9</v>
      </c>
      <c r="F470" s="811">
        <v>14.6</v>
      </c>
      <c r="G470" s="811">
        <v>1162</v>
      </c>
      <c r="H470" s="811">
        <v>2289</v>
      </c>
      <c r="I470" s="811">
        <v>107.2</v>
      </c>
      <c r="J470" s="811">
        <v>113.1</v>
      </c>
      <c r="K470" s="886" t="s">
        <v>4077</v>
      </c>
      <c r="L470" s="811">
        <v>38.86</v>
      </c>
      <c r="M470" s="812">
        <v>41</v>
      </c>
      <c r="N470" s="811">
        <v>37.03</v>
      </c>
      <c r="O470" s="813" t="s">
        <v>142</v>
      </c>
      <c r="P470" s="813" t="s">
        <v>142</v>
      </c>
      <c r="Q470" s="813" t="s">
        <v>142</v>
      </c>
      <c r="R470" s="813" t="s">
        <v>4078</v>
      </c>
      <c r="S470" s="813">
        <v>56.8</v>
      </c>
      <c r="T470" s="814" t="s">
        <v>84</v>
      </c>
      <c r="U470" s="813" t="s">
        <v>236</v>
      </c>
      <c r="V470" s="981"/>
      <c r="CM470"/>
      <c r="CN470"/>
      <c r="CO470"/>
      <c r="CP470"/>
      <c r="CQ470"/>
      <c r="CR470"/>
      <c r="CS470"/>
      <c r="CT470"/>
      <c r="CU470"/>
      <c r="CV470"/>
      <c r="CW470"/>
      <c r="CX470"/>
      <c r="CY470"/>
    </row>
    <row r="471" spans="2:103" s="1" customFormat="1" ht="18.75" x14ac:dyDescent="0.25">
      <c r="B471" s="808">
        <v>44852</v>
      </c>
      <c r="C471" s="809">
        <v>0.54166666666666663</v>
      </c>
      <c r="D471" s="810">
        <v>57.5</v>
      </c>
      <c r="E471" s="811">
        <v>8.9</v>
      </c>
      <c r="F471" s="811">
        <v>14.6</v>
      </c>
      <c r="G471" s="811">
        <v>1174</v>
      </c>
      <c r="H471" s="811">
        <v>2302</v>
      </c>
      <c r="I471" s="811">
        <v>107.2</v>
      </c>
      <c r="J471" s="811">
        <v>113.1</v>
      </c>
      <c r="K471" s="886" t="s">
        <v>4084</v>
      </c>
      <c r="L471" s="811">
        <v>38.1</v>
      </c>
      <c r="M471" s="812">
        <v>41</v>
      </c>
      <c r="N471" s="811">
        <v>35.9</v>
      </c>
      <c r="O471" s="813" t="s">
        <v>142</v>
      </c>
      <c r="P471" s="813" t="s">
        <v>142</v>
      </c>
      <c r="Q471" s="813" t="s">
        <v>142</v>
      </c>
      <c r="R471" s="813" t="s">
        <v>4004</v>
      </c>
      <c r="S471" s="813">
        <v>56.8</v>
      </c>
      <c r="T471" s="814" t="s">
        <v>84</v>
      </c>
      <c r="U471" s="813" t="s">
        <v>236</v>
      </c>
      <c r="V471" s="981"/>
      <c r="CM471"/>
      <c r="CN471"/>
      <c r="CO471"/>
      <c r="CP471"/>
      <c r="CQ471"/>
      <c r="CR471"/>
      <c r="CS471"/>
      <c r="CT471"/>
      <c r="CU471"/>
      <c r="CV471"/>
      <c r="CW471"/>
      <c r="CX471"/>
      <c r="CY471"/>
    </row>
    <row r="472" spans="2:103" s="1" customFormat="1" ht="18.75" x14ac:dyDescent="0.25">
      <c r="B472" s="808">
        <v>44853</v>
      </c>
      <c r="C472" s="809">
        <v>0.95833333333333337</v>
      </c>
      <c r="D472" s="810">
        <v>57.5</v>
      </c>
      <c r="E472" s="811">
        <v>9.4</v>
      </c>
      <c r="F472" s="811">
        <v>14.9</v>
      </c>
      <c r="G472" s="811">
        <v>1190</v>
      </c>
      <c r="H472" s="811">
        <v>2320</v>
      </c>
      <c r="I472" s="811">
        <v>107.5</v>
      </c>
      <c r="J472" s="811">
        <v>113.6</v>
      </c>
      <c r="K472" s="886" t="s">
        <v>4088</v>
      </c>
      <c r="L472" s="811">
        <v>39.94</v>
      </c>
      <c r="M472" s="812">
        <v>43</v>
      </c>
      <c r="N472" s="811">
        <v>36.270000000000003</v>
      </c>
      <c r="O472" s="813" t="s">
        <v>142</v>
      </c>
      <c r="P472" s="813" t="s">
        <v>142</v>
      </c>
      <c r="Q472" s="813" t="s">
        <v>142</v>
      </c>
      <c r="R472" s="813" t="s">
        <v>4089</v>
      </c>
      <c r="S472" s="813">
        <v>57.9</v>
      </c>
      <c r="T472" s="814" t="s">
        <v>84</v>
      </c>
      <c r="U472" s="813" t="s">
        <v>236</v>
      </c>
      <c r="V472" s="981"/>
      <c r="CM472"/>
      <c r="CN472"/>
      <c r="CO472"/>
      <c r="CP472"/>
      <c r="CQ472"/>
      <c r="CR472"/>
      <c r="CS472"/>
      <c r="CT472"/>
      <c r="CU472"/>
      <c r="CV472"/>
      <c r="CW472"/>
      <c r="CX472"/>
      <c r="CY472"/>
    </row>
    <row r="473" spans="2:103" s="1" customFormat="1" ht="18.75" x14ac:dyDescent="0.25">
      <c r="B473" s="808">
        <v>44854</v>
      </c>
      <c r="C473" s="809">
        <v>0.60416666666666663</v>
      </c>
      <c r="D473" s="810">
        <v>57.5</v>
      </c>
      <c r="E473" s="811">
        <v>8.6999999999999993</v>
      </c>
      <c r="F473" s="811">
        <v>14.5</v>
      </c>
      <c r="G473" s="811">
        <v>1181</v>
      </c>
      <c r="H473" s="811">
        <v>2300</v>
      </c>
      <c r="I473" s="811">
        <v>107.2</v>
      </c>
      <c r="J473" s="811">
        <v>113.3</v>
      </c>
      <c r="K473" s="886" t="s">
        <v>4099</v>
      </c>
      <c r="L473" s="811">
        <v>38.31</v>
      </c>
      <c r="M473" s="812">
        <v>43</v>
      </c>
      <c r="N473" s="811">
        <v>36.11</v>
      </c>
      <c r="O473" s="813" t="s">
        <v>142</v>
      </c>
      <c r="P473" s="813" t="s">
        <v>142</v>
      </c>
      <c r="Q473" s="813" t="s">
        <v>142</v>
      </c>
      <c r="R473" s="813" t="s">
        <v>3960</v>
      </c>
      <c r="S473" s="813">
        <v>56.4</v>
      </c>
      <c r="T473" s="814" t="s">
        <v>84</v>
      </c>
      <c r="U473" s="813" t="s">
        <v>236</v>
      </c>
      <c r="V473" s="981"/>
      <c r="CM473"/>
      <c r="CN473"/>
      <c r="CO473"/>
      <c r="CP473"/>
      <c r="CQ473"/>
      <c r="CR473"/>
      <c r="CS473"/>
      <c r="CT473"/>
      <c r="CU473"/>
      <c r="CV473"/>
      <c r="CW473"/>
      <c r="CX473"/>
      <c r="CY473"/>
    </row>
    <row r="474" spans="2:103" s="1" customFormat="1" ht="18.75" x14ac:dyDescent="0.25">
      <c r="B474" s="808">
        <v>44855</v>
      </c>
      <c r="C474" s="809">
        <v>0.60416666666666663</v>
      </c>
      <c r="D474" s="810">
        <v>57.5</v>
      </c>
      <c r="E474" s="811">
        <v>8.8000000000000007</v>
      </c>
      <c r="F474" s="811">
        <v>14.6</v>
      </c>
      <c r="G474" s="811">
        <v>1198</v>
      </c>
      <c r="H474" s="811">
        <v>2328</v>
      </c>
      <c r="I474" s="811">
        <v>107.5</v>
      </c>
      <c r="J474" s="811">
        <v>113.6</v>
      </c>
      <c r="K474" s="886" t="s">
        <v>4109</v>
      </c>
      <c r="L474" s="811">
        <v>39.74</v>
      </c>
      <c r="M474" s="812">
        <v>43</v>
      </c>
      <c r="N474" s="811">
        <v>35.39</v>
      </c>
      <c r="O474" s="813" t="s">
        <v>142</v>
      </c>
      <c r="P474" s="813" t="s">
        <v>142</v>
      </c>
      <c r="Q474" s="813" t="s">
        <v>142</v>
      </c>
      <c r="R474" s="813" t="s">
        <v>4110</v>
      </c>
      <c r="S474" s="813">
        <v>56.8</v>
      </c>
      <c r="T474" s="814" t="s">
        <v>84</v>
      </c>
      <c r="U474" s="813" t="s">
        <v>236</v>
      </c>
      <c r="V474" s="981"/>
      <c r="CM474"/>
      <c r="CN474"/>
      <c r="CO474"/>
      <c r="CP474"/>
      <c r="CQ474"/>
      <c r="CR474"/>
      <c r="CS474"/>
      <c r="CT474"/>
      <c r="CU474"/>
      <c r="CV474"/>
      <c r="CW474"/>
      <c r="CX474"/>
      <c r="CY474"/>
    </row>
    <row r="475" spans="2:103" s="1" customFormat="1" ht="18.75" x14ac:dyDescent="0.25">
      <c r="B475" s="808">
        <v>44856</v>
      </c>
      <c r="C475" s="809">
        <v>0.75</v>
      </c>
      <c r="D475" s="810">
        <v>57.5</v>
      </c>
      <c r="E475" s="811">
        <v>9.6999999999999993</v>
      </c>
      <c r="F475" s="811">
        <v>14.7</v>
      </c>
      <c r="G475" s="811">
        <v>1245</v>
      </c>
      <c r="H475" s="811">
        <v>2336</v>
      </c>
      <c r="I475" s="811">
        <v>108</v>
      </c>
      <c r="J475" s="811">
        <v>110</v>
      </c>
      <c r="K475" s="886" t="s">
        <v>4112</v>
      </c>
      <c r="L475" s="811">
        <v>39.799999999999997</v>
      </c>
      <c r="M475" s="812">
        <v>42</v>
      </c>
      <c r="N475" s="811">
        <v>36.6</v>
      </c>
      <c r="O475" s="813" t="s">
        <v>142</v>
      </c>
      <c r="P475" s="813" t="s">
        <v>142</v>
      </c>
      <c r="Q475" s="813" t="s">
        <v>142</v>
      </c>
      <c r="R475" s="813" t="s">
        <v>4110</v>
      </c>
      <c r="S475" s="813">
        <v>57.4</v>
      </c>
      <c r="T475" s="814" t="s">
        <v>84</v>
      </c>
      <c r="U475" s="813" t="s">
        <v>236</v>
      </c>
      <c r="V475" s="981"/>
      <c r="CM475"/>
      <c r="CN475"/>
      <c r="CO475"/>
      <c r="CP475"/>
      <c r="CQ475"/>
      <c r="CR475"/>
      <c r="CS475"/>
      <c r="CT475"/>
      <c r="CU475"/>
      <c r="CV475"/>
      <c r="CW475"/>
      <c r="CX475"/>
      <c r="CY475"/>
    </row>
    <row r="476" spans="2:103" s="1" customFormat="1" ht="18.75" x14ac:dyDescent="0.25">
      <c r="B476" s="808">
        <v>44857</v>
      </c>
      <c r="C476" s="809">
        <v>0.75</v>
      </c>
      <c r="D476" s="810">
        <v>57.5</v>
      </c>
      <c r="E476" s="811">
        <v>9.4</v>
      </c>
      <c r="F476" s="811">
        <v>14.4</v>
      </c>
      <c r="G476" s="811">
        <v>1188</v>
      </c>
      <c r="H476" s="811">
        <v>2349</v>
      </c>
      <c r="I476" s="811">
        <v>107.4</v>
      </c>
      <c r="J476" s="811">
        <v>108.3</v>
      </c>
      <c r="K476" s="886" t="s">
        <v>4118</v>
      </c>
      <c r="L476" s="811">
        <v>38.700000000000003</v>
      </c>
      <c r="M476" s="812">
        <v>41</v>
      </c>
      <c r="N476" s="811">
        <v>36</v>
      </c>
      <c r="O476" s="813" t="s">
        <v>142</v>
      </c>
      <c r="P476" s="813" t="s">
        <v>142</v>
      </c>
      <c r="Q476" s="813" t="s">
        <v>142</v>
      </c>
      <c r="R476" s="813" t="s">
        <v>4110</v>
      </c>
      <c r="S476" s="813">
        <v>55.4</v>
      </c>
      <c r="T476" s="814" t="s">
        <v>84</v>
      </c>
      <c r="U476" s="813" t="s">
        <v>236</v>
      </c>
      <c r="V476" s="981"/>
      <c r="CM476"/>
      <c r="CN476"/>
      <c r="CO476"/>
      <c r="CP476"/>
      <c r="CQ476"/>
      <c r="CR476"/>
      <c r="CS476"/>
      <c r="CT476"/>
      <c r="CU476"/>
      <c r="CV476"/>
      <c r="CW476"/>
      <c r="CX476"/>
      <c r="CY476"/>
    </row>
    <row r="477" spans="2:103" s="1" customFormat="1" ht="18.75" x14ac:dyDescent="0.25">
      <c r="B477" s="808">
        <v>44858</v>
      </c>
      <c r="C477" s="809">
        <v>0.75</v>
      </c>
      <c r="D477" s="810">
        <v>57.5</v>
      </c>
      <c r="E477" s="811">
        <v>8.4</v>
      </c>
      <c r="F477" s="811">
        <v>14.2</v>
      </c>
      <c r="G477" s="811">
        <v>1271</v>
      </c>
      <c r="H477" s="811">
        <v>2309</v>
      </c>
      <c r="I477" s="811">
        <v>106.4</v>
      </c>
      <c r="J477" s="811">
        <v>109.3</v>
      </c>
      <c r="K477" s="886" t="s">
        <v>4122</v>
      </c>
      <c r="L477" s="811">
        <v>38.5</v>
      </c>
      <c r="M477" s="812">
        <v>40.5</v>
      </c>
      <c r="N477" s="811">
        <v>34.700000000000003</v>
      </c>
      <c r="O477" s="813" t="s">
        <v>142</v>
      </c>
      <c r="P477" s="813" t="s">
        <v>142</v>
      </c>
      <c r="Q477" s="813" t="s">
        <v>142</v>
      </c>
      <c r="R477" s="813" t="s">
        <v>4110</v>
      </c>
      <c r="S477" s="813">
        <v>54.8</v>
      </c>
      <c r="T477" s="814" t="s">
        <v>84</v>
      </c>
      <c r="U477" s="813" t="s">
        <v>236</v>
      </c>
      <c r="V477" s="981"/>
      <c r="CM477"/>
      <c r="CN477"/>
      <c r="CO477"/>
      <c r="CP477"/>
      <c r="CQ477"/>
      <c r="CR477"/>
      <c r="CS477"/>
      <c r="CT477"/>
      <c r="CU477"/>
      <c r="CV477"/>
      <c r="CW477"/>
      <c r="CX477"/>
      <c r="CY477"/>
    </row>
    <row r="478" spans="2:103" s="1" customFormat="1" ht="18.75" x14ac:dyDescent="0.25">
      <c r="B478" s="808">
        <v>44859</v>
      </c>
      <c r="C478" s="809">
        <v>0.95833333333333337</v>
      </c>
      <c r="D478" s="810">
        <v>57.5</v>
      </c>
      <c r="E478" s="811">
        <v>8.4</v>
      </c>
      <c r="F478" s="811">
        <v>14.3</v>
      </c>
      <c r="G478" s="811">
        <v>1274</v>
      </c>
      <c r="H478" s="811">
        <v>2301</v>
      </c>
      <c r="I478" s="811">
        <v>108</v>
      </c>
      <c r="J478" s="811">
        <v>114.2</v>
      </c>
      <c r="K478" s="886" t="s">
        <v>4124</v>
      </c>
      <c r="L478" s="811">
        <v>37.26</v>
      </c>
      <c r="M478" s="812">
        <v>40</v>
      </c>
      <c r="N478" s="811">
        <v>35.159999999999997</v>
      </c>
      <c r="O478" s="813" t="s">
        <v>142</v>
      </c>
      <c r="P478" s="813" t="s">
        <v>142</v>
      </c>
      <c r="Q478" s="813" t="s">
        <v>142</v>
      </c>
      <c r="R478" s="813" t="s">
        <v>3860</v>
      </c>
      <c r="S478" s="813">
        <v>55.6</v>
      </c>
      <c r="T478" s="814" t="s">
        <v>84</v>
      </c>
      <c r="U478" s="813" t="s">
        <v>236</v>
      </c>
      <c r="V478" s="981"/>
      <c r="CM478"/>
      <c r="CN478"/>
      <c r="CO478"/>
      <c r="CP478"/>
      <c r="CQ478"/>
      <c r="CR478"/>
      <c r="CS478"/>
      <c r="CT478"/>
      <c r="CU478"/>
      <c r="CV478"/>
      <c r="CW478"/>
      <c r="CX478"/>
      <c r="CY478"/>
    </row>
    <row r="479" spans="2:103" s="1" customFormat="1" ht="60" x14ac:dyDescent="0.25">
      <c r="B479" s="808">
        <v>44860</v>
      </c>
      <c r="C479" s="809">
        <v>0.95833333333333337</v>
      </c>
      <c r="D479" s="810">
        <v>57.5</v>
      </c>
      <c r="E479" s="811">
        <v>8.4</v>
      </c>
      <c r="F479" s="811">
        <v>14.3</v>
      </c>
      <c r="G479" s="811">
        <v>1321</v>
      </c>
      <c r="H479" s="811">
        <v>2326</v>
      </c>
      <c r="I479" s="811">
        <v>103.8</v>
      </c>
      <c r="J479" s="811">
        <v>117.2</v>
      </c>
      <c r="K479" s="886" t="s">
        <v>4135</v>
      </c>
      <c r="L479" s="811">
        <v>38.89</v>
      </c>
      <c r="M479" s="812">
        <v>40</v>
      </c>
      <c r="N479" s="811">
        <v>34.32</v>
      </c>
      <c r="O479" s="813" t="s">
        <v>142</v>
      </c>
      <c r="P479" s="813" t="s">
        <v>142</v>
      </c>
      <c r="Q479" s="813" t="s">
        <v>142</v>
      </c>
      <c r="R479" s="813" t="s">
        <v>4136</v>
      </c>
      <c r="S479" s="813">
        <v>55.2</v>
      </c>
      <c r="T479" s="814" t="s">
        <v>84</v>
      </c>
      <c r="U479" s="813" t="s">
        <v>236</v>
      </c>
      <c r="V479" s="981" t="s">
        <v>4141</v>
      </c>
      <c r="CM479"/>
      <c r="CN479"/>
      <c r="CO479"/>
      <c r="CP479"/>
      <c r="CQ479"/>
      <c r="CR479"/>
      <c r="CS479"/>
      <c r="CT479"/>
      <c r="CU479"/>
      <c r="CV479"/>
      <c r="CW479"/>
      <c r="CX479"/>
      <c r="CY479"/>
    </row>
    <row r="480" spans="2:103" s="1" customFormat="1" ht="18.75" x14ac:dyDescent="0.25">
      <c r="B480" s="808">
        <v>44861</v>
      </c>
      <c r="C480" s="809">
        <v>0.91666666666666663</v>
      </c>
      <c r="D480" s="810">
        <v>58</v>
      </c>
      <c r="E480" s="811">
        <v>8.6999999999999993</v>
      </c>
      <c r="F480" s="811">
        <v>14.4</v>
      </c>
      <c r="G480" s="811">
        <v>1262</v>
      </c>
      <c r="H480" s="811">
        <v>2339</v>
      </c>
      <c r="I480" s="811">
        <v>107.8</v>
      </c>
      <c r="J480" s="811">
        <v>114.7</v>
      </c>
      <c r="K480" s="886" t="s">
        <v>4145</v>
      </c>
      <c r="L480" s="811">
        <v>38.72</v>
      </c>
      <c r="M480" s="812">
        <v>40</v>
      </c>
      <c r="N480" s="811">
        <v>34.97</v>
      </c>
      <c r="O480" s="813" t="s">
        <v>142</v>
      </c>
      <c r="P480" s="813" t="s">
        <v>142</v>
      </c>
      <c r="Q480" s="813" t="s">
        <v>142</v>
      </c>
      <c r="R480" s="813" t="s">
        <v>4146</v>
      </c>
      <c r="S480" s="813">
        <v>56</v>
      </c>
      <c r="T480" s="814" t="s">
        <v>84</v>
      </c>
      <c r="U480" s="813" t="s">
        <v>236</v>
      </c>
      <c r="V480" s="981" t="s">
        <v>4149</v>
      </c>
      <c r="CM480"/>
      <c r="CN480"/>
      <c r="CO480"/>
      <c r="CP480"/>
      <c r="CQ480"/>
      <c r="CR480"/>
      <c r="CS480"/>
      <c r="CT480"/>
      <c r="CU480"/>
      <c r="CV480"/>
      <c r="CW480"/>
      <c r="CX480"/>
      <c r="CY480"/>
    </row>
    <row r="481" spans="2:103" s="1" customFormat="1" ht="18.75" x14ac:dyDescent="0.25">
      <c r="B481" s="808">
        <v>44862</v>
      </c>
      <c r="C481" s="809">
        <v>0.95833333333333337</v>
      </c>
      <c r="D481" s="810">
        <v>58</v>
      </c>
      <c r="E481" s="811">
        <v>8.6</v>
      </c>
      <c r="F481" s="811">
        <v>14.4</v>
      </c>
      <c r="G481" s="811">
        <v>1249</v>
      </c>
      <c r="H481" s="811">
        <v>2339</v>
      </c>
      <c r="I481" s="811">
        <v>107.8</v>
      </c>
      <c r="J481" s="811">
        <v>114.2</v>
      </c>
      <c r="K481" s="886" t="s">
        <v>4151</v>
      </c>
      <c r="L481" s="811">
        <v>38.450000000000003</v>
      </c>
      <c r="M481" s="812">
        <v>40.5</v>
      </c>
      <c r="N481" s="811">
        <v>34.32</v>
      </c>
      <c r="O481" s="813" t="s">
        <v>142</v>
      </c>
      <c r="P481" s="813" t="s">
        <v>142</v>
      </c>
      <c r="Q481" s="813" t="s">
        <v>142</v>
      </c>
      <c r="R481" s="813" t="s">
        <v>3894</v>
      </c>
      <c r="S481" s="813">
        <v>56</v>
      </c>
      <c r="T481" s="814" t="s">
        <v>84</v>
      </c>
      <c r="U481" s="813" t="s">
        <v>236</v>
      </c>
      <c r="V481" s="981"/>
      <c r="CM481"/>
      <c r="CN481"/>
      <c r="CO481"/>
      <c r="CP481"/>
      <c r="CQ481"/>
      <c r="CR481"/>
      <c r="CS481"/>
      <c r="CT481"/>
      <c r="CU481"/>
      <c r="CV481"/>
      <c r="CW481"/>
      <c r="CX481"/>
      <c r="CY481"/>
    </row>
    <row r="482" spans="2:103" s="1" customFormat="1" ht="18.75" x14ac:dyDescent="0.25">
      <c r="B482" s="808">
        <v>44863</v>
      </c>
      <c r="C482" s="809">
        <v>0.97916666666666663</v>
      </c>
      <c r="D482" s="810">
        <v>58</v>
      </c>
      <c r="E482" s="811">
        <v>8.6</v>
      </c>
      <c r="F482" s="811">
        <v>14.4</v>
      </c>
      <c r="G482" s="811">
        <v>1259</v>
      </c>
      <c r="H482" s="811">
        <v>2340</v>
      </c>
      <c r="I482" s="811">
        <v>107.9</v>
      </c>
      <c r="J482" s="811">
        <v>114.3</v>
      </c>
      <c r="K482" s="886" t="s">
        <v>4162</v>
      </c>
      <c r="L482" s="811">
        <v>39.130000000000003</v>
      </c>
      <c r="M482" s="812">
        <v>42</v>
      </c>
      <c r="N482" s="811">
        <v>34.659999999999997</v>
      </c>
      <c r="O482" s="813" t="s">
        <v>142</v>
      </c>
      <c r="P482" s="813" t="s">
        <v>142</v>
      </c>
      <c r="Q482" s="813" t="s">
        <v>142</v>
      </c>
      <c r="R482" s="813" t="s">
        <v>3894</v>
      </c>
      <c r="S482" s="813">
        <v>56</v>
      </c>
      <c r="T482" s="814" t="s">
        <v>84</v>
      </c>
      <c r="U482" s="813" t="s">
        <v>236</v>
      </c>
      <c r="V482" s="981"/>
      <c r="CM482"/>
      <c r="CN482"/>
      <c r="CO482"/>
      <c r="CP482"/>
      <c r="CQ482"/>
      <c r="CR482"/>
      <c r="CS482"/>
      <c r="CT482"/>
      <c r="CU482"/>
      <c r="CV482"/>
      <c r="CW482"/>
      <c r="CX482"/>
      <c r="CY482"/>
    </row>
    <row r="483" spans="2:103" s="1" customFormat="1" ht="18.75" x14ac:dyDescent="0.25">
      <c r="B483" s="808">
        <v>44864</v>
      </c>
      <c r="C483" s="809">
        <v>0.97916666666666663</v>
      </c>
      <c r="D483" s="810">
        <v>58</v>
      </c>
      <c r="E483" s="811">
        <v>8.4</v>
      </c>
      <c r="F483" s="811">
        <v>14.4</v>
      </c>
      <c r="G483" s="811">
        <v>1270</v>
      </c>
      <c r="H483" s="811">
        <v>2342</v>
      </c>
      <c r="I483" s="811">
        <v>108.1</v>
      </c>
      <c r="J483" s="811">
        <v>114.4</v>
      </c>
      <c r="K483" s="886" t="s">
        <v>4170</v>
      </c>
      <c r="L483" s="811">
        <v>38.380000000000003</v>
      </c>
      <c r="M483" s="812">
        <v>41</v>
      </c>
      <c r="N483" s="811">
        <v>34.35</v>
      </c>
      <c r="O483" s="813" t="s">
        <v>142</v>
      </c>
      <c r="P483" s="813" t="s">
        <v>142</v>
      </c>
      <c r="Q483" s="813" t="s">
        <v>142</v>
      </c>
      <c r="R483" s="813" t="s">
        <v>3894</v>
      </c>
      <c r="S483" s="813">
        <v>56</v>
      </c>
      <c r="T483" s="814" t="s">
        <v>84</v>
      </c>
      <c r="U483" s="813" t="s">
        <v>236</v>
      </c>
      <c r="V483" s="981"/>
      <c r="CM483"/>
      <c r="CN483"/>
      <c r="CO483"/>
      <c r="CP483"/>
      <c r="CQ483"/>
      <c r="CR483"/>
      <c r="CS483"/>
      <c r="CT483"/>
      <c r="CU483"/>
      <c r="CV483"/>
      <c r="CW483"/>
      <c r="CX483"/>
      <c r="CY483"/>
    </row>
    <row r="484" spans="2:103" s="1" customFormat="1" ht="18.75" x14ac:dyDescent="0.25">
      <c r="B484" s="808">
        <v>44865</v>
      </c>
      <c r="C484" s="809">
        <v>0.875</v>
      </c>
      <c r="D484" s="810">
        <v>58</v>
      </c>
      <c r="E484" s="811">
        <v>8.6</v>
      </c>
      <c r="F484" s="811">
        <v>14.5</v>
      </c>
      <c r="G484" s="811">
        <v>1261</v>
      </c>
      <c r="H484" s="811">
        <v>2331</v>
      </c>
      <c r="I484" s="811">
        <v>108</v>
      </c>
      <c r="J484" s="811">
        <v>114.3</v>
      </c>
      <c r="K484" s="886" t="s">
        <v>4171</v>
      </c>
      <c r="L484" s="811">
        <v>37.799999999999997</v>
      </c>
      <c r="M484" s="812">
        <v>41</v>
      </c>
      <c r="N484" s="811">
        <v>34.18</v>
      </c>
      <c r="O484" s="813" t="s">
        <v>142</v>
      </c>
      <c r="P484" s="813" t="s">
        <v>142</v>
      </c>
      <c r="Q484" s="813" t="s">
        <v>142</v>
      </c>
      <c r="R484" s="813" t="s">
        <v>4025</v>
      </c>
      <c r="S484" s="813">
        <v>56.4</v>
      </c>
      <c r="T484" s="814" t="s">
        <v>84</v>
      </c>
      <c r="U484" s="813" t="s">
        <v>236</v>
      </c>
      <c r="V484" s="981"/>
      <c r="CM484"/>
      <c r="CN484"/>
      <c r="CO484"/>
      <c r="CP484"/>
      <c r="CQ484"/>
      <c r="CR484"/>
      <c r="CS484"/>
      <c r="CT484"/>
      <c r="CU484"/>
      <c r="CV484"/>
      <c r="CW484"/>
      <c r="CX484"/>
      <c r="CY484"/>
    </row>
    <row r="485" spans="2:103" s="1" customFormat="1" ht="18.75" x14ac:dyDescent="0.25">
      <c r="B485" s="808">
        <v>44866</v>
      </c>
      <c r="C485" s="809">
        <v>0.95833333333333337</v>
      </c>
      <c r="D485" s="1660"/>
      <c r="E485" s="1661"/>
      <c r="F485" s="1661"/>
      <c r="G485" s="1661"/>
      <c r="H485" s="1661"/>
      <c r="I485" s="1661"/>
      <c r="J485" s="1661"/>
      <c r="K485" s="1661"/>
      <c r="L485" s="1661"/>
      <c r="M485" s="1661"/>
      <c r="N485" s="1661"/>
      <c r="O485" s="1661"/>
      <c r="P485" s="1661"/>
      <c r="Q485" s="1661"/>
      <c r="R485" s="1661"/>
      <c r="S485" s="1662"/>
      <c r="T485" s="814" t="s">
        <v>84</v>
      </c>
      <c r="U485" s="813" t="s">
        <v>236</v>
      </c>
      <c r="V485" s="981"/>
      <c r="CM485"/>
      <c r="CN485"/>
      <c r="CO485"/>
      <c r="CP485"/>
      <c r="CQ485"/>
      <c r="CR485"/>
      <c r="CS485"/>
      <c r="CT485"/>
      <c r="CU485"/>
      <c r="CV485"/>
      <c r="CW485"/>
      <c r="CX485"/>
      <c r="CY485"/>
    </row>
    <row r="486" spans="2:103" s="1" customFormat="1" ht="18.75" x14ac:dyDescent="0.25">
      <c r="B486" s="808">
        <v>44867</v>
      </c>
      <c r="C486" s="809">
        <v>0.97916666666666663</v>
      </c>
      <c r="D486" s="1660" t="s">
        <v>4186</v>
      </c>
      <c r="E486" s="1661"/>
      <c r="F486" s="1661"/>
      <c r="G486" s="1661"/>
      <c r="H486" s="1661"/>
      <c r="I486" s="1661"/>
      <c r="J486" s="1661"/>
      <c r="K486" s="1661"/>
      <c r="L486" s="1661"/>
      <c r="M486" s="1661"/>
      <c r="N486" s="1661"/>
      <c r="O486" s="1661"/>
      <c r="P486" s="1661"/>
      <c r="Q486" s="1661"/>
      <c r="R486" s="1661"/>
      <c r="S486" s="1662"/>
      <c r="T486" s="814" t="s">
        <v>84</v>
      </c>
      <c r="U486" s="813" t="s">
        <v>236</v>
      </c>
      <c r="V486" s="981"/>
      <c r="CM486"/>
      <c r="CN486"/>
      <c r="CO486"/>
      <c r="CP486"/>
      <c r="CQ486"/>
      <c r="CR486"/>
      <c r="CS486"/>
      <c r="CT486"/>
      <c r="CU486"/>
      <c r="CV486"/>
      <c r="CW486"/>
      <c r="CX486"/>
      <c r="CY486"/>
    </row>
    <row r="487" spans="2:103" s="1" customFormat="1" ht="18.75" x14ac:dyDescent="0.25">
      <c r="B487" s="808">
        <v>44868</v>
      </c>
      <c r="C487" s="809">
        <v>0.97916666666666663</v>
      </c>
      <c r="D487" s="810">
        <v>55</v>
      </c>
      <c r="E487" s="811">
        <v>7.9</v>
      </c>
      <c r="F487" s="811">
        <v>13.6</v>
      </c>
      <c r="G487" s="811">
        <v>1231</v>
      </c>
      <c r="H487" s="811">
        <v>2270</v>
      </c>
      <c r="I487" s="811">
        <v>106.5</v>
      </c>
      <c r="J487" s="811">
        <v>112.8</v>
      </c>
      <c r="K487" s="886" t="s">
        <v>4187</v>
      </c>
      <c r="L487" s="811">
        <v>39.9</v>
      </c>
      <c r="M487" s="812">
        <v>41</v>
      </c>
      <c r="N487" s="811">
        <v>36.380000000000003</v>
      </c>
      <c r="O487" s="813" t="s">
        <v>142</v>
      </c>
      <c r="P487" s="813" t="s">
        <v>142</v>
      </c>
      <c r="Q487" s="813" t="s">
        <v>142</v>
      </c>
      <c r="R487" s="813" t="s">
        <v>4188</v>
      </c>
      <c r="S487" s="813">
        <v>52.9</v>
      </c>
      <c r="T487" s="814" t="s">
        <v>84</v>
      </c>
      <c r="U487" s="813" t="s">
        <v>236</v>
      </c>
      <c r="V487" s="981"/>
      <c r="CM487"/>
      <c r="CN487"/>
      <c r="CO487"/>
      <c r="CP487"/>
      <c r="CQ487"/>
      <c r="CR487"/>
      <c r="CS487"/>
      <c r="CT487"/>
      <c r="CU487"/>
      <c r="CV487"/>
      <c r="CW487"/>
      <c r="CX487"/>
      <c r="CY487"/>
    </row>
    <row r="488" spans="2:103" s="1" customFormat="1" ht="18.75" x14ac:dyDescent="0.25">
      <c r="B488" s="808">
        <v>44869</v>
      </c>
      <c r="C488" s="809">
        <v>4.1666666666666664E-2</v>
      </c>
      <c r="D488" s="810">
        <v>57</v>
      </c>
      <c r="E488" s="811">
        <v>8</v>
      </c>
      <c r="F488" s="811">
        <v>13.6</v>
      </c>
      <c r="G488" s="811">
        <v>1242</v>
      </c>
      <c r="H488" s="811">
        <v>2360</v>
      </c>
      <c r="I488" s="811">
        <v>107.1</v>
      </c>
      <c r="J488" s="811">
        <v>113.8</v>
      </c>
      <c r="K488" s="886" t="s">
        <v>4205</v>
      </c>
      <c r="L488" s="811">
        <v>39.64</v>
      </c>
      <c r="M488" s="812">
        <v>41</v>
      </c>
      <c r="N488" s="811">
        <v>36.68</v>
      </c>
      <c r="O488" s="813" t="s">
        <v>142</v>
      </c>
      <c r="P488" s="813" t="s">
        <v>142</v>
      </c>
      <c r="Q488" s="813" t="s">
        <v>142</v>
      </c>
      <c r="R488" s="813" t="s">
        <v>4206</v>
      </c>
      <c r="S488" s="813">
        <v>52.9</v>
      </c>
      <c r="T488" s="814" t="s">
        <v>84</v>
      </c>
      <c r="U488" s="813" t="s">
        <v>236</v>
      </c>
      <c r="V488" s="981"/>
      <c r="CM488"/>
      <c r="CN488"/>
      <c r="CO488"/>
      <c r="CP488"/>
      <c r="CQ488"/>
      <c r="CR488"/>
      <c r="CS488"/>
      <c r="CT488"/>
      <c r="CU488"/>
      <c r="CV488"/>
      <c r="CW488"/>
      <c r="CX488"/>
      <c r="CY488"/>
    </row>
    <row r="489" spans="2:103" s="1" customFormat="1" ht="18.75" x14ac:dyDescent="0.25">
      <c r="B489" s="808">
        <v>44870</v>
      </c>
      <c r="C489" s="809">
        <v>0.97916666666666663</v>
      </c>
      <c r="D489" s="810">
        <v>58</v>
      </c>
      <c r="E489" s="811">
        <v>9.1</v>
      </c>
      <c r="F489" s="811">
        <v>14.4</v>
      </c>
      <c r="G489" s="811">
        <v>1240</v>
      </c>
      <c r="H489" s="811">
        <v>2349</v>
      </c>
      <c r="I489" s="811">
        <v>107.3</v>
      </c>
      <c r="J489" s="811">
        <v>113.7</v>
      </c>
      <c r="K489" s="886" t="s">
        <v>4210</v>
      </c>
      <c r="L489" s="811">
        <v>39.659999999999997</v>
      </c>
      <c r="M489" s="812">
        <v>41</v>
      </c>
      <c r="N489" s="811">
        <v>34.89</v>
      </c>
      <c r="O489" s="813" t="s">
        <v>142</v>
      </c>
      <c r="P489" s="813" t="s">
        <v>142</v>
      </c>
      <c r="Q489" s="813" t="s">
        <v>142</v>
      </c>
      <c r="R489" s="813" t="s">
        <v>3894</v>
      </c>
      <c r="S489" s="813">
        <v>56</v>
      </c>
      <c r="T489" s="814" t="s">
        <v>84</v>
      </c>
      <c r="U489" s="813" t="s">
        <v>236</v>
      </c>
      <c r="V489" s="981" t="s">
        <v>4149</v>
      </c>
      <c r="CM489"/>
      <c r="CN489"/>
      <c r="CO489"/>
      <c r="CP489"/>
      <c r="CQ489"/>
      <c r="CR489"/>
      <c r="CS489"/>
      <c r="CT489"/>
      <c r="CU489"/>
      <c r="CV489"/>
      <c r="CW489"/>
      <c r="CX489"/>
      <c r="CY489"/>
    </row>
    <row r="490" spans="2:103" s="1" customFormat="1" ht="18.75" x14ac:dyDescent="0.25">
      <c r="B490" s="808">
        <v>44871</v>
      </c>
      <c r="C490" s="809">
        <v>2.0833333333333332E-2</v>
      </c>
      <c r="D490" s="810">
        <v>58</v>
      </c>
      <c r="E490" s="811">
        <v>8.9</v>
      </c>
      <c r="F490" s="811">
        <v>14.3</v>
      </c>
      <c r="G490" s="811">
        <v>1214</v>
      </c>
      <c r="H490" s="811">
        <v>2338</v>
      </c>
      <c r="I490" s="811">
        <v>107.5</v>
      </c>
      <c r="J490" s="811">
        <v>114.3</v>
      </c>
      <c r="K490" s="886" t="s">
        <v>4219</v>
      </c>
      <c r="L490" s="811">
        <v>39.9</v>
      </c>
      <c r="M490" s="812">
        <v>41</v>
      </c>
      <c r="N490" s="811">
        <v>36.200000000000003</v>
      </c>
      <c r="O490" s="813" t="s">
        <v>142</v>
      </c>
      <c r="P490" s="813" t="s">
        <v>142</v>
      </c>
      <c r="Q490" s="813" t="s">
        <v>142</v>
      </c>
      <c r="R490" s="813" t="s">
        <v>4220</v>
      </c>
      <c r="S490" s="813">
        <v>55.6</v>
      </c>
      <c r="T490" s="814" t="s">
        <v>84</v>
      </c>
      <c r="U490" s="813" t="s">
        <v>236</v>
      </c>
      <c r="V490" s="981"/>
      <c r="CM490"/>
      <c r="CN490"/>
      <c r="CO490"/>
      <c r="CP490"/>
      <c r="CQ490"/>
      <c r="CR490"/>
      <c r="CS490"/>
      <c r="CT490"/>
      <c r="CU490"/>
      <c r="CV490"/>
      <c r="CW490"/>
      <c r="CX490"/>
      <c r="CY490"/>
    </row>
    <row r="491" spans="2:103" s="1" customFormat="1" ht="18.75" x14ac:dyDescent="0.25">
      <c r="B491" s="808">
        <v>44872</v>
      </c>
      <c r="C491" s="809">
        <v>0.97916666666666663</v>
      </c>
      <c r="D491" s="810">
        <v>58</v>
      </c>
      <c r="E491" s="811">
        <v>8.8000000000000007</v>
      </c>
      <c r="F491" s="811">
        <v>14.2</v>
      </c>
      <c r="G491" s="811">
        <v>1198</v>
      </c>
      <c r="H491" s="811">
        <v>2317</v>
      </c>
      <c r="I491" s="811">
        <v>107</v>
      </c>
      <c r="J491" s="811">
        <v>113.7</v>
      </c>
      <c r="K491" s="886" t="s">
        <v>4231</v>
      </c>
      <c r="L491" s="811">
        <v>37.799999999999997</v>
      </c>
      <c r="M491" s="812">
        <v>41</v>
      </c>
      <c r="N491" s="811">
        <v>36.24</v>
      </c>
      <c r="O491" s="813" t="s">
        <v>142</v>
      </c>
      <c r="P491" s="813" t="s">
        <v>142</v>
      </c>
      <c r="Q491" s="813" t="s">
        <v>142</v>
      </c>
      <c r="R491" s="813" t="s">
        <v>4136</v>
      </c>
      <c r="S491" s="813">
        <v>55.2</v>
      </c>
      <c r="T491" s="814" t="s">
        <v>84</v>
      </c>
      <c r="U491" s="813" t="s">
        <v>236</v>
      </c>
      <c r="V491" s="981"/>
      <c r="CM491"/>
      <c r="CN491"/>
      <c r="CO491"/>
      <c r="CP491"/>
      <c r="CQ491"/>
      <c r="CR491"/>
      <c r="CS491"/>
      <c r="CT491"/>
      <c r="CU491"/>
      <c r="CV491"/>
      <c r="CW491"/>
      <c r="CX491"/>
      <c r="CY491"/>
    </row>
    <row r="492" spans="2:103" s="1" customFormat="1" ht="18.75" x14ac:dyDescent="0.25">
      <c r="B492" s="808">
        <v>44873</v>
      </c>
      <c r="C492" s="809">
        <v>0</v>
      </c>
      <c r="D492" s="810">
        <v>58</v>
      </c>
      <c r="E492" s="811">
        <v>8.8000000000000007</v>
      </c>
      <c r="F492" s="811">
        <v>14.2</v>
      </c>
      <c r="G492" s="811">
        <v>1202</v>
      </c>
      <c r="H492" s="811">
        <v>2316</v>
      </c>
      <c r="I492" s="811">
        <v>107.2</v>
      </c>
      <c r="J492" s="811">
        <v>114.1</v>
      </c>
      <c r="K492" s="886" t="s">
        <v>4233</v>
      </c>
      <c r="L492" s="811">
        <v>38.22</v>
      </c>
      <c r="M492" s="812">
        <v>41</v>
      </c>
      <c r="N492" s="811">
        <v>35.229999999999997</v>
      </c>
      <c r="O492" s="813" t="s">
        <v>142</v>
      </c>
      <c r="P492" s="813" t="s">
        <v>142</v>
      </c>
      <c r="Q492" s="813" t="s">
        <v>142</v>
      </c>
      <c r="R492" s="813" t="s">
        <v>4136</v>
      </c>
      <c r="S492" s="813">
        <v>55.2</v>
      </c>
      <c r="T492" s="814" t="s">
        <v>84</v>
      </c>
      <c r="U492" s="813" t="s">
        <v>236</v>
      </c>
      <c r="V492" s="981"/>
      <c r="CM492"/>
      <c r="CN492"/>
      <c r="CO492"/>
      <c r="CP492"/>
      <c r="CQ492"/>
      <c r="CR492"/>
      <c r="CS492"/>
      <c r="CT492"/>
      <c r="CU492"/>
      <c r="CV492"/>
      <c r="CW492"/>
      <c r="CX492"/>
      <c r="CY492"/>
    </row>
    <row r="493" spans="2:103" s="1" customFormat="1" ht="18.75" x14ac:dyDescent="0.25">
      <c r="B493" s="808">
        <v>44874</v>
      </c>
      <c r="C493" s="809">
        <v>0.9375</v>
      </c>
      <c r="D493" s="810">
        <v>58</v>
      </c>
      <c r="E493" s="811">
        <v>8.6999999999999993</v>
      </c>
      <c r="F493" s="811">
        <v>14.2</v>
      </c>
      <c r="G493" s="811">
        <v>1199</v>
      </c>
      <c r="H493" s="811">
        <v>2291</v>
      </c>
      <c r="I493" s="811">
        <v>107.2</v>
      </c>
      <c r="J493" s="811">
        <v>113.8</v>
      </c>
      <c r="K493" s="886" t="s">
        <v>4237</v>
      </c>
      <c r="L493" s="811">
        <v>36.33</v>
      </c>
      <c r="M493" s="812">
        <v>39.5</v>
      </c>
      <c r="N493" s="811">
        <v>34.97</v>
      </c>
      <c r="O493" s="813" t="s">
        <v>142</v>
      </c>
      <c r="P493" s="813" t="s">
        <v>142</v>
      </c>
      <c r="Q493" s="813" t="s">
        <v>142</v>
      </c>
      <c r="R493" s="813" t="s">
        <v>4238</v>
      </c>
      <c r="S493" s="813">
        <v>55.2</v>
      </c>
      <c r="T493" s="814" t="s">
        <v>84</v>
      </c>
      <c r="U493" s="813" t="s">
        <v>236</v>
      </c>
      <c r="V493" s="981"/>
      <c r="CM493"/>
      <c r="CN493"/>
      <c r="CO493"/>
      <c r="CP493"/>
      <c r="CQ493"/>
      <c r="CR493"/>
      <c r="CS493"/>
      <c r="CT493"/>
      <c r="CU493"/>
      <c r="CV493"/>
      <c r="CW493"/>
      <c r="CX493"/>
      <c r="CY493"/>
    </row>
    <row r="494" spans="2:103" s="1" customFormat="1" ht="18.75" x14ac:dyDescent="0.25">
      <c r="B494" s="808">
        <v>44875</v>
      </c>
      <c r="C494" s="809">
        <v>0.97916666666666663</v>
      </c>
      <c r="D494" s="810">
        <v>58</v>
      </c>
      <c r="E494" s="811">
        <v>8.6</v>
      </c>
      <c r="F494" s="811">
        <v>14.1</v>
      </c>
      <c r="G494" s="811">
        <v>1242</v>
      </c>
      <c r="H494" s="811">
        <v>2323</v>
      </c>
      <c r="I494" s="811">
        <v>107.7</v>
      </c>
      <c r="J494" s="811">
        <v>114.6</v>
      </c>
      <c r="K494" s="886" t="s">
        <v>4242</v>
      </c>
      <c r="L494" s="811">
        <v>38.58</v>
      </c>
      <c r="M494" s="812">
        <v>41.5</v>
      </c>
      <c r="N494" s="811">
        <v>34.5</v>
      </c>
      <c r="O494" s="813" t="s">
        <v>142</v>
      </c>
      <c r="P494" s="813" t="s">
        <v>142</v>
      </c>
      <c r="Q494" s="813" t="s">
        <v>142</v>
      </c>
      <c r="R494" s="813" t="s">
        <v>4243</v>
      </c>
      <c r="S494" s="813">
        <v>54.8</v>
      </c>
      <c r="T494" s="814" t="s">
        <v>84</v>
      </c>
      <c r="U494" s="813" t="s">
        <v>236</v>
      </c>
      <c r="V494" s="981"/>
      <c r="CM494"/>
      <c r="CN494"/>
      <c r="CO494"/>
      <c r="CP494"/>
      <c r="CQ494"/>
      <c r="CR494"/>
      <c r="CS494"/>
      <c r="CT494"/>
      <c r="CU494"/>
      <c r="CV494"/>
      <c r="CW494"/>
      <c r="CX494"/>
      <c r="CY494"/>
    </row>
    <row r="495" spans="2:103" s="1" customFormat="1" ht="18.75" x14ac:dyDescent="0.25">
      <c r="B495" s="808">
        <v>44876</v>
      </c>
      <c r="C495" s="809">
        <v>0.95833333333333337</v>
      </c>
      <c r="D495" s="810">
        <v>58</v>
      </c>
      <c r="E495" s="811">
        <v>8.5</v>
      </c>
      <c r="F495" s="811">
        <v>14.1</v>
      </c>
      <c r="G495" s="811">
        <v>1256</v>
      </c>
      <c r="H495" s="811">
        <v>2330</v>
      </c>
      <c r="I495" s="811">
        <v>107.7</v>
      </c>
      <c r="J495" s="811">
        <v>114.7</v>
      </c>
      <c r="K495" s="886" t="s">
        <v>4248</v>
      </c>
      <c r="L495" s="811">
        <v>40.01</v>
      </c>
      <c r="M495" s="812">
        <v>42.5</v>
      </c>
      <c r="N495" s="811">
        <v>34.81</v>
      </c>
      <c r="O495" s="813" t="s">
        <v>142</v>
      </c>
      <c r="P495" s="813" t="s">
        <v>142</v>
      </c>
      <c r="Q495" s="813" t="s">
        <v>142</v>
      </c>
      <c r="R495" s="813" t="s">
        <v>4249</v>
      </c>
      <c r="S495" s="813">
        <v>54.8</v>
      </c>
      <c r="T495" s="814" t="s">
        <v>84</v>
      </c>
      <c r="U495" s="813" t="s">
        <v>236</v>
      </c>
      <c r="V495" s="981"/>
      <c r="CM495"/>
      <c r="CN495"/>
      <c r="CO495"/>
      <c r="CP495"/>
      <c r="CQ495"/>
      <c r="CR495"/>
      <c r="CS495"/>
      <c r="CT495"/>
      <c r="CU495"/>
      <c r="CV495"/>
      <c r="CW495"/>
      <c r="CX495"/>
      <c r="CY495"/>
    </row>
    <row r="496" spans="2:103" s="1" customFormat="1" ht="18.75" x14ac:dyDescent="0.25">
      <c r="B496" s="808">
        <v>44877</v>
      </c>
      <c r="C496" s="809">
        <v>0.97916666666666663</v>
      </c>
      <c r="D496" s="810">
        <v>58</v>
      </c>
      <c r="E496" s="811">
        <v>8.6999999999999993</v>
      </c>
      <c r="F496" s="811">
        <v>14.2</v>
      </c>
      <c r="G496" s="811">
        <v>1262</v>
      </c>
      <c r="H496" s="811">
        <v>2390</v>
      </c>
      <c r="I496" s="811">
        <v>108</v>
      </c>
      <c r="J496" s="811">
        <v>114.7</v>
      </c>
      <c r="K496" s="886" t="s">
        <v>4252</v>
      </c>
      <c r="L496" s="811">
        <v>39.11</v>
      </c>
      <c r="M496" s="812">
        <v>43</v>
      </c>
      <c r="N496" s="811">
        <v>34.1</v>
      </c>
      <c r="O496" s="813" t="s">
        <v>142</v>
      </c>
      <c r="P496" s="813" t="s">
        <v>142</v>
      </c>
      <c r="Q496" s="813" t="s">
        <v>142</v>
      </c>
      <c r="R496" s="813" t="s">
        <v>3798</v>
      </c>
      <c r="S496" s="813">
        <v>55.2</v>
      </c>
      <c r="T496" s="814" t="s">
        <v>84</v>
      </c>
      <c r="U496" s="813" t="s">
        <v>236</v>
      </c>
      <c r="V496" s="981"/>
      <c r="CM496"/>
      <c r="CN496"/>
      <c r="CO496"/>
      <c r="CP496"/>
      <c r="CQ496"/>
      <c r="CR496"/>
      <c r="CS496"/>
      <c r="CT496"/>
      <c r="CU496"/>
      <c r="CV496"/>
      <c r="CW496"/>
      <c r="CX496"/>
      <c r="CY496"/>
    </row>
    <row r="497" spans="2:103" s="1" customFormat="1" ht="18.75" x14ac:dyDescent="0.25">
      <c r="B497" s="808">
        <v>44878</v>
      </c>
      <c r="C497" s="809">
        <v>0.9375</v>
      </c>
      <c r="D497" s="810">
        <v>58</v>
      </c>
      <c r="E497" s="811">
        <v>8.5</v>
      </c>
      <c r="F497" s="811">
        <v>14</v>
      </c>
      <c r="G497" s="811">
        <v>1243</v>
      </c>
      <c r="H497" s="811">
        <v>2378</v>
      </c>
      <c r="I497" s="811">
        <v>108</v>
      </c>
      <c r="J497" s="811">
        <v>114.6</v>
      </c>
      <c r="K497" s="886" t="s">
        <v>4255</v>
      </c>
      <c r="L497" s="811">
        <v>41.8</v>
      </c>
      <c r="M497" s="812">
        <v>43</v>
      </c>
      <c r="N497" s="811">
        <v>34.130000000000003</v>
      </c>
      <c r="O497" s="813" t="s">
        <v>142</v>
      </c>
      <c r="P497" s="813" t="s">
        <v>142</v>
      </c>
      <c r="Q497" s="813" t="s">
        <v>142</v>
      </c>
      <c r="R497" s="813" t="s">
        <v>3798</v>
      </c>
      <c r="S497" s="813">
        <v>55.3</v>
      </c>
      <c r="T497" s="814" t="s">
        <v>84</v>
      </c>
      <c r="U497" s="813" t="s">
        <v>236</v>
      </c>
      <c r="V497" s="981"/>
      <c r="CM497"/>
      <c r="CN497"/>
      <c r="CO497"/>
      <c r="CP497"/>
      <c r="CQ497"/>
      <c r="CR497"/>
      <c r="CS497"/>
      <c r="CT497"/>
      <c r="CU497"/>
      <c r="CV497"/>
      <c r="CW497"/>
      <c r="CX497"/>
      <c r="CY497"/>
    </row>
    <row r="498" spans="2:103" s="1" customFormat="1" ht="18.75" x14ac:dyDescent="0.25">
      <c r="B498" s="808">
        <v>44879</v>
      </c>
      <c r="C498" s="809">
        <v>0.77083333333333337</v>
      </c>
      <c r="D498" s="810">
        <v>58</v>
      </c>
      <c r="E498" s="811">
        <v>8.4</v>
      </c>
      <c r="F498" s="811">
        <v>14</v>
      </c>
      <c r="G498" s="811">
        <v>1315</v>
      </c>
      <c r="H498" s="811">
        <v>2375</v>
      </c>
      <c r="I498" s="811">
        <v>108.6</v>
      </c>
      <c r="J498" s="811">
        <v>115.3</v>
      </c>
      <c r="K498" s="886" t="s">
        <v>4258</v>
      </c>
      <c r="L498" s="811">
        <v>39.799999999999997</v>
      </c>
      <c r="M498" s="812">
        <v>42</v>
      </c>
      <c r="N498" s="811">
        <v>35.119999999999997</v>
      </c>
      <c r="O498" s="813" t="s">
        <v>142</v>
      </c>
      <c r="P498" s="813" t="s">
        <v>142</v>
      </c>
      <c r="Q498" s="813" t="s">
        <v>142</v>
      </c>
      <c r="R498" s="813" t="s">
        <v>4066</v>
      </c>
      <c r="S498" s="813">
        <v>54.4</v>
      </c>
      <c r="T498" s="814" t="s">
        <v>84</v>
      </c>
      <c r="U498" s="813" t="s">
        <v>236</v>
      </c>
      <c r="V498" s="981"/>
      <c r="CM498"/>
      <c r="CN498"/>
      <c r="CO498"/>
      <c r="CP498"/>
      <c r="CQ498"/>
      <c r="CR498"/>
      <c r="CS498"/>
      <c r="CT498"/>
      <c r="CU498"/>
      <c r="CV498"/>
      <c r="CW498"/>
      <c r="CX498"/>
      <c r="CY498"/>
    </row>
    <row r="499" spans="2:103" s="1" customFormat="1" ht="18.75" x14ac:dyDescent="0.25">
      <c r="B499" s="808">
        <v>44880</v>
      </c>
      <c r="C499" s="809">
        <v>0.91666666666666663</v>
      </c>
      <c r="D499" s="810">
        <v>58</v>
      </c>
      <c r="E499" s="811">
        <v>8.5</v>
      </c>
      <c r="F499" s="811">
        <v>14</v>
      </c>
      <c r="G499" s="811">
        <v>1334</v>
      </c>
      <c r="H499" s="811">
        <v>2369</v>
      </c>
      <c r="I499" s="811">
        <v>109</v>
      </c>
      <c r="J499" s="811">
        <v>115.9</v>
      </c>
      <c r="K499" s="886" t="s">
        <v>4283</v>
      </c>
      <c r="L499" s="811">
        <v>40.770000000000003</v>
      </c>
      <c r="M499" s="812">
        <v>42.5</v>
      </c>
      <c r="N499" s="811">
        <v>34.6</v>
      </c>
      <c r="O499" s="813" t="s">
        <v>142</v>
      </c>
      <c r="P499" s="813" t="s">
        <v>142</v>
      </c>
      <c r="Q499" s="813" t="s">
        <v>142</v>
      </c>
      <c r="R499" s="813" t="s">
        <v>4284</v>
      </c>
      <c r="S499" s="813">
        <v>54.4</v>
      </c>
      <c r="T499" s="814" t="s">
        <v>84</v>
      </c>
      <c r="U499" s="813" t="s">
        <v>236</v>
      </c>
      <c r="V499" s="981"/>
      <c r="CM499"/>
      <c r="CN499"/>
      <c r="CO499"/>
      <c r="CP499"/>
      <c r="CQ499"/>
      <c r="CR499"/>
      <c r="CS499"/>
      <c r="CT499"/>
      <c r="CU499"/>
      <c r="CV499"/>
      <c r="CW499"/>
      <c r="CX499"/>
      <c r="CY499"/>
    </row>
    <row r="500" spans="2:103" s="1" customFormat="1" ht="18.75" x14ac:dyDescent="0.25">
      <c r="B500" s="808">
        <v>44881</v>
      </c>
      <c r="C500" s="809">
        <v>0.97916666666666663</v>
      </c>
      <c r="D500" s="810">
        <v>58</v>
      </c>
      <c r="E500" s="811">
        <v>8.4</v>
      </c>
      <c r="F500" s="811">
        <v>13.9</v>
      </c>
      <c r="G500" s="811">
        <v>1326</v>
      </c>
      <c r="H500" s="811">
        <v>2368</v>
      </c>
      <c r="I500" s="811">
        <v>108.5</v>
      </c>
      <c r="J500" s="811">
        <v>115.5</v>
      </c>
      <c r="K500" s="886" t="s">
        <v>4300</v>
      </c>
      <c r="L500" s="811">
        <v>39.96</v>
      </c>
      <c r="M500" s="812">
        <v>42.5</v>
      </c>
      <c r="N500" s="811">
        <v>35.08</v>
      </c>
      <c r="O500" s="813" t="s">
        <v>142</v>
      </c>
      <c r="P500" s="813" t="s">
        <v>142</v>
      </c>
      <c r="Q500" s="813" t="s">
        <v>142</v>
      </c>
      <c r="R500" s="813" t="s">
        <v>4066</v>
      </c>
      <c r="S500" s="813">
        <v>54</v>
      </c>
      <c r="T500" s="814" t="s">
        <v>84</v>
      </c>
      <c r="U500" s="813" t="s">
        <v>236</v>
      </c>
      <c r="V500" s="981"/>
      <c r="CM500"/>
      <c r="CN500"/>
      <c r="CO500"/>
      <c r="CP500"/>
      <c r="CQ500"/>
      <c r="CR500"/>
      <c r="CS500"/>
      <c r="CT500"/>
      <c r="CU500"/>
      <c r="CV500"/>
      <c r="CW500"/>
      <c r="CX500"/>
      <c r="CY500"/>
    </row>
    <row r="501" spans="2:103" s="1" customFormat="1" ht="18.75" x14ac:dyDescent="0.25">
      <c r="B501" s="808">
        <v>44882</v>
      </c>
      <c r="C501" s="809">
        <v>0.95833333333333337</v>
      </c>
      <c r="D501" s="810">
        <v>58</v>
      </c>
      <c r="E501" s="811">
        <v>8.4</v>
      </c>
      <c r="F501" s="811">
        <v>14</v>
      </c>
      <c r="G501" s="811">
        <v>1332</v>
      </c>
      <c r="H501" s="811">
        <v>2375</v>
      </c>
      <c r="I501" s="811">
        <v>108.7</v>
      </c>
      <c r="J501" s="811">
        <v>115.9</v>
      </c>
      <c r="K501" s="886" t="s">
        <v>4302</v>
      </c>
      <c r="L501" s="811">
        <v>39.75</v>
      </c>
      <c r="M501" s="812">
        <v>42.5</v>
      </c>
      <c r="N501" s="811">
        <v>34.5</v>
      </c>
      <c r="O501" s="813" t="s">
        <v>142</v>
      </c>
      <c r="P501" s="813" t="s">
        <v>142</v>
      </c>
      <c r="Q501" s="813" t="s">
        <v>142</v>
      </c>
      <c r="R501" s="813" t="s">
        <v>4303</v>
      </c>
      <c r="S501" s="813">
        <v>54.4</v>
      </c>
      <c r="T501" s="814" t="s">
        <v>84</v>
      </c>
      <c r="U501" s="813" t="s">
        <v>236</v>
      </c>
      <c r="V501" s="981"/>
      <c r="CM501"/>
      <c r="CN501"/>
      <c r="CO501"/>
      <c r="CP501"/>
      <c r="CQ501"/>
      <c r="CR501"/>
      <c r="CS501"/>
      <c r="CT501"/>
      <c r="CU501"/>
      <c r="CV501"/>
      <c r="CW501"/>
      <c r="CX501"/>
      <c r="CY501"/>
    </row>
    <row r="502" spans="2:103" s="1" customFormat="1" ht="18.75" x14ac:dyDescent="0.25">
      <c r="B502" s="808">
        <v>44883</v>
      </c>
      <c r="C502" s="809">
        <v>0.75</v>
      </c>
      <c r="D502" s="810">
        <v>58</v>
      </c>
      <c r="E502" s="811">
        <v>8.4</v>
      </c>
      <c r="F502" s="811">
        <v>13.9</v>
      </c>
      <c r="G502" s="811">
        <v>1341</v>
      </c>
      <c r="H502" s="811">
        <v>2376</v>
      </c>
      <c r="I502" s="811">
        <v>109.8</v>
      </c>
      <c r="J502" s="811">
        <v>116.1</v>
      </c>
      <c r="K502" s="886" t="s">
        <v>4308</v>
      </c>
      <c r="L502" s="811">
        <v>38.06</v>
      </c>
      <c r="M502" s="812">
        <v>43</v>
      </c>
      <c r="N502" s="811">
        <v>35.200000000000003</v>
      </c>
      <c r="O502" s="813" t="s">
        <v>142</v>
      </c>
      <c r="P502" s="813" t="s">
        <v>142</v>
      </c>
      <c r="Q502" s="813" t="s">
        <v>142</v>
      </c>
      <c r="R502" s="813" t="s">
        <v>4303</v>
      </c>
      <c r="S502" s="813">
        <v>54</v>
      </c>
      <c r="T502" s="814" t="s">
        <v>84</v>
      </c>
      <c r="U502" s="813" t="s">
        <v>236</v>
      </c>
      <c r="V502" s="981"/>
      <c r="CM502"/>
      <c r="CN502"/>
      <c r="CO502"/>
      <c r="CP502"/>
      <c r="CQ502"/>
      <c r="CR502"/>
      <c r="CS502"/>
      <c r="CT502"/>
      <c r="CU502"/>
      <c r="CV502"/>
      <c r="CW502"/>
      <c r="CX502"/>
      <c r="CY502"/>
    </row>
    <row r="503" spans="2:103" s="1" customFormat="1" ht="18.75" x14ac:dyDescent="0.25">
      <c r="B503" s="808">
        <v>44884</v>
      </c>
      <c r="C503" s="809">
        <v>0.97916666666666663</v>
      </c>
      <c r="D503" s="810">
        <v>58</v>
      </c>
      <c r="E503" s="811">
        <v>8.4</v>
      </c>
      <c r="F503" s="811">
        <v>14</v>
      </c>
      <c r="G503" s="811">
        <v>1337</v>
      </c>
      <c r="H503" s="811">
        <v>2387</v>
      </c>
      <c r="I503" s="811">
        <v>108.4</v>
      </c>
      <c r="J503" s="811">
        <v>115.3</v>
      </c>
      <c r="K503" s="886" t="s">
        <v>4311</v>
      </c>
      <c r="L503" s="811">
        <v>40.19</v>
      </c>
      <c r="M503" s="812">
        <v>43</v>
      </c>
      <c r="N503" s="811">
        <v>34.1</v>
      </c>
      <c r="O503" s="813" t="s">
        <v>142</v>
      </c>
      <c r="P503" s="813" t="s">
        <v>142</v>
      </c>
      <c r="Q503" s="813" t="s">
        <v>142</v>
      </c>
      <c r="R503" s="813" t="s">
        <v>4303</v>
      </c>
      <c r="S503" s="813">
        <v>54</v>
      </c>
      <c r="T503" s="814" t="s">
        <v>84</v>
      </c>
      <c r="U503" s="813" t="s">
        <v>4310</v>
      </c>
      <c r="V503" s="981"/>
      <c r="CM503"/>
      <c r="CN503"/>
      <c r="CO503"/>
      <c r="CP503"/>
      <c r="CQ503"/>
      <c r="CR503"/>
      <c r="CS503"/>
      <c r="CT503"/>
      <c r="CU503"/>
      <c r="CV503"/>
      <c r="CW503"/>
      <c r="CX503"/>
      <c r="CY503"/>
    </row>
    <row r="504" spans="2:103" s="1" customFormat="1" ht="18.75" x14ac:dyDescent="0.25">
      <c r="B504" s="808">
        <v>44885</v>
      </c>
      <c r="C504" s="809">
        <v>0.95833333333333337</v>
      </c>
      <c r="D504" s="810">
        <v>58</v>
      </c>
      <c r="E504" s="811">
        <v>8.3000000000000007</v>
      </c>
      <c r="F504" s="811">
        <v>13.9</v>
      </c>
      <c r="G504" s="811">
        <v>1351</v>
      </c>
      <c r="H504" s="811">
        <v>2404</v>
      </c>
      <c r="I504" s="811">
        <v>109</v>
      </c>
      <c r="J504" s="811">
        <v>116</v>
      </c>
      <c r="K504" s="886" t="s">
        <v>4311</v>
      </c>
      <c r="L504" s="811">
        <v>41.08</v>
      </c>
      <c r="M504" s="812">
        <v>43</v>
      </c>
      <c r="N504" s="811">
        <v>34.6</v>
      </c>
      <c r="O504" s="813" t="s">
        <v>142</v>
      </c>
      <c r="P504" s="813" t="s">
        <v>142</v>
      </c>
      <c r="Q504" s="813" t="s">
        <v>142</v>
      </c>
      <c r="R504" s="813" t="s">
        <v>4323</v>
      </c>
      <c r="S504" s="813">
        <v>54</v>
      </c>
      <c r="T504" s="814" t="s">
        <v>84</v>
      </c>
      <c r="U504" s="813" t="s">
        <v>4320</v>
      </c>
      <c r="V504" s="981"/>
      <c r="CM504"/>
      <c r="CN504"/>
      <c r="CO504"/>
      <c r="CP504"/>
      <c r="CQ504"/>
      <c r="CR504"/>
      <c r="CS504"/>
      <c r="CT504"/>
      <c r="CU504"/>
      <c r="CV504"/>
      <c r="CW504"/>
      <c r="CX504"/>
      <c r="CY504"/>
    </row>
    <row r="505" spans="2:103" s="1" customFormat="1" ht="18.75" x14ac:dyDescent="0.25">
      <c r="B505" s="808">
        <v>44886</v>
      </c>
      <c r="C505" s="809">
        <v>0.96875</v>
      </c>
      <c r="D505" s="810">
        <v>58</v>
      </c>
      <c r="E505" s="811">
        <v>8.3000000000000007</v>
      </c>
      <c r="F505" s="811">
        <v>13.9</v>
      </c>
      <c r="G505" s="811">
        <v>1367</v>
      </c>
      <c r="H505" s="811">
        <v>2401</v>
      </c>
      <c r="I505" s="811">
        <v>109</v>
      </c>
      <c r="J505" s="811">
        <v>116.6</v>
      </c>
      <c r="K505" s="886" t="s">
        <v>4332</v>
      </c>
      <c r="L505" s="811">
        <v>41.08</v>
      </c>
      <c r="M505" s="812">
        <v>43</v>
      </c>
      <c r="N505" s="811">
        <v>33.43</v>
      </c>
      <c r="O505" s="813" t="s">
        <v>142</v>
      </c>
      <c r="P505" s="813" t="s">
        <v>142</v>
      </c>
      <c r="Q505" s="813" t="s">
        <v>142</v>
      </c>
      <c r="R505" s="813" t="s">
        <v>4333</v>
      </c>
      <c r="S505" s="813">
        <v>54</v>
      </c>
      <c r="T505" s="814" t="s">
        <v>84</v>
      </c>
      <c r="U505" s="813" t="s">
        <v>4320</v>
      </c>
      <c r="V505" s="981"/>
      <c r="CM505"/>
      <c r="CN505"/>
      <c r="CO505"/>
      <c r="CP505"/>
      <c r="CQ505"/>
      <c r="CR505"/>
      <c r="CS505"/>
      <c r="CT505"/>
      <c r="CU505"/>
      <c r="CV505"/>
      <c r="CW505"/>
      <c r="CX505"/>
      <c r="CY505"/>
    </row>
    <row r="506" spans="2:103" s="1" customFormat="1" ht="18.75" x14ac:dyDescent="0.25">
      <c r="B506" s="808">
        <v>44887</v>
      </c>
      <c r="C506" s="809">
        <v>0.96875</v>
      </c>
      <c r="D506" s="810">
        <v>58</v>
      </c>
      <c r="E506" s="811">
        <v>8.1</v>
      </c>
      <c r="F506" s="811">
        <v>13.8</v>
      </c>
      <c r="G506" s="811">
        <v>1368</v>
      </c>
      <c r="H506" s="811">
        <v>2450</v>
      </c>
      <c r="I506" s="811">
        <v>109</v>
      </c>
      <c r="J506" s="811">
        <v>116.6</v>
      </c>
      <c r="K506" s="886" t="s">
        <v>4342</v>
      </c>
      <c r="L506" s="811">
        <v>42.18</v>
      </c>
      <c r="M506" s="812">
        <v>43</v>
      </c>
      <c r="N506" s="811">
        <v>32.83</v>
      </c>
      <c r="O506" s="813" t="s">
        <v>142</v>
      </c>
      <c r="P506" s="813" t="s">
        <v>142</v>
      </c>
      <c r="Q506" s="813" t="s">
        <v>142</v>
      </c>
      <c r="R506" s="813" t="s">
        <v>4343</v>
      </c>
      <c r="S506" s="813">
        <v>53.6</v>
      </c>
      <c r="T506" s="814" t="s">
        <v>84</v>
      </c>
      <c r="U506" s="813" t="s">
        <v>4320</v>
      </c>
      <c r="V506" s="981"/>
      <c r="CM506"/>
      <c r="CN506"/>
      <c r="CO506"/>
      <c r="CP506"/>
      <c r="CQ506"/>
      <c r="CR506"/>
      <c r="CS506"/>
      <c r="CT506"/>
      <c r="CU506"/>
      <c r="CV506"/>
      <c r="CW506"/>
      <c r="CX506"/>
      <c r="CY506"/>
    </row>
    <row r="507" spans="2:103" s="1" customFormat="1" ht="18.75" x14ac:dyDescent="0.25">
      <c r="B507" s="808">
        <v>44888</v>
      </c>
      <c r="C507" s="809">
        <v>0.96875</v>
      </c>
      <c r="D507" s="810">
        <v>58</v>
      </c>
      <c r="E507" s="811">
        <v>8.3000000000000007</v>
      </c>
      <c r="F507" s="811">
        <v>13.8</v>
      </c>
      <c r="G507" s="811">
        <v>1367</v>
      </c>
      <c r="H507" s="811">
        <v>2430</v>
      </c>
      <c r="I507" s="811">
        <v>109</v>
      </c>
      <c r="J507" s="811">
        <v>116.4</v>
      </c>
      <c r="K507" s="886" t="s">
        <v>4352</v>
      </c>
      <c r="L507" s="811">
        <v>40.19</v>
      </c>
      <c r="M507" s="812">
        <v>42</v>
      </c>
      <c r="N507" s="811">
        <v>33.130000000000003</v>
      </c>
      <c r="O507" s="813" t="s">
        <v>142</v>
      </c>
      <c r="P507" s="813" t="s">
        <v>142</v>
      </c>
      <c r="Q507" s="813" t="s">
        <v>142</v>
      </c>
      <c r="R507" s="813" t="s">
        <v>1901</v>
      </c>
      <c r="S507" s="813">
        <v>53.6</v>
      </c>
      <c r="T507" s="814" t="s">
        <v>84</v>
      </c>
      <c r="U507" s="813" t="s">
        <v>4320</v>
      </c>
      <c r="V507" s="981"/>
      <c r="CM507"/>
      <c r="CN507"/>
      <c r="CO507"/>
      <c r="CP507"/>
      <c r="CQ507"/>
      <c r="CR507"/>
      <c r="CS507"/>
      <c r="CT507"/>
      <c r="CU507"/>
      <c r="CV507"/>
      <c r="CW507"/>
      <c r="CX507"/>
      <c r="CY507"/>
    </row>
    <row r="508" spans="2:103" s="1" customFormat="1" ht="18.75" x14ac:dyDescent="0.25">
      <c r="B508" s="808">
        <v>44889</v>
      </c>
      <c r="C508" s="809">
        <v>0.96875</v>
      </c>
      <c r="D508" s="810">
        <v>58</v>
      </c>
      <c r="E508" s="811">
        <v>8.4</v>
      </c>
      <c r="F508" s="811">
        <v>14</v>
      </c>
      <c r="G508" s="811">
        <v>1385</v>
      </c>
      <c r="H508" s="811">
        <v>2416</v>
      </c>
      <c r="I508" s="811">
        <v>109.9</v>
      </c>
      <c r="J508" s="811">
        <v>117.3</v>
      </c>
      <c r="K508" s="886" t="s">
        <v>4358</v>
      </c>
      <c r="L508" s="811">
        <v>41.02</v>
      </c>
      <c r="M508" s="812">
        <v>42</v>
      </c>
      <c r="N508" s="811">
        <v>33.049999999999997</v>
      </c>
      <c r="O508" s="813" t="s">
        <v>142</v>
      </c>
      <c r="P508" s="813" t="s">
        <v>142</v>
      </c>
      <c r="Q508" s="813" t="s">
        <v>142</v>
      </c>
      <c r="R508" s="813" t="s">
        <v>4359</v>
      </c>
      <c r="S508" s="813">
        <v>54.4</v>
      </c>
      <c r="T508" s="814" t="s">
        <v>84</v>
      </c>
      <c r="U508" s="813" t="s">
        <v>4320</v>
      </c>
      <c r="V508" s="981"/>
      <c r="CM508"/>
      <c r="CN508"/>
      <c r="CO508"/>
      <c r="CP508"/>
      <c r="CQ508"/>
      <c r="CR508"/>
      <c r="CS508"/>
      <c r="CT508"/>
      <c r="CU508"/>
      <c r="CV508"/>
      <c r="CW508"/>
      <c r="CX508"/>
      <c r="CY508"/>
    </row>
    <row r="509" spans="2:103" s="1" customFormat="1" ht="18.75" x14ac:dyDescent="0.25">
      <c r="B509" s="808">
        <v>44890</v>
      </c>
      <c r="C509" s="809">
        <v>0.875</v>
      </c>
      <c r="D509" s="810">
        <v>58</v>
      </c>
      <c r="E509" s="811">
        <v>8.4</v>
      </c>
      <c r="F509" s="811">
        <v>14</v>
      </c>
      <c r="G509" s="811">
        <v>1350</v>
      </c>
      <c r="H509" s="811">
        <v>2357</v>
      </c>
      <c r="I509" s="811">
        <v>109.9</v>
      </c>
      <c r="J509" s="811">
        <v>116</v>
      </c>
      <c r="K509" s="886" t="s">
        <v>4366</v>
      </c>
      <c r="L509" s="811">
        <v>38</v>
      </c>
      <c r="M509" s="812">
        <v>44</v>
      </c>
      <c r="N509" s="811">
        <v>33.43</v>
      </c>
      <c r="O509" s="813" t="s">
        <v>142</v>
      </c>
      <c r="P509" s="813" t="s">
        <v>142</v>
      </c>
      <c r="Q509" s="813" t="s">
        <v>142</v>
      </c>
      <c r="R509" s="813" t="s">
        <v>4367</v>
      </c>
      <c r="S509" s="813">
        <v>54.4</v>
      </c>
      <c r="T509" s="814" t="s">
        <v>84</v>
      </c>
      <c r="U509" s="813" t="s">
        <v>4320</v>
      </c>
      <c r="V509" s="981"/>
      <c r="CM509"/>
      <c r="CN509"/>
      <c r="CO509"/>
      <c r="CP509"/>
      <c r="CQ509"/>
      <c r="CR509"/>
      <c r="CS509"/>
      <c r="CT509"/>
      <c r="CU509"/>
      <c r="CV509"/>
      <c r="CW509"/>
      <c r="CX509"/>
      <c r="CY509"/>
    </row>
    <row r="510" spans="2:103" s="1" customFormat="1" ht="18.75" x14ac:dyDescent="0.25">
      <c r="B510" s="808">
        <v>44891</v>
      </c>
      <c r="C510" s="809">
        <v>0.875</v>
      </c>
      <c r="D510" s="810">
        <v>58</v>
      </c>
      <c r="E510" s="811">
        <v>8.3000000000000007</v>
      </c>
      <c r="F510" s="811">
        <v>13.9</v>
      </c>
      <c r="G510" s="811">
        <v>1380</v>
      </c>
      <c r="H510" s="811">
        <v>2410</v>
      </c>
      <c r="I510" s="811">
        <v>109.9</v>
      </c>
      <c r="J510" s="811">
        <v>117</v>
      </c>
      <c r="K510" s="886" t="s">
        <v>4372</v>
      </c>
      <c r="L510" s="811">
        <v>40.92</v>
      </c>
      <c r="M510" s="812">
        <v>44</v>
      </c>
      <c r="N510" s="811">
        <v>33.4</v>
      </c>
      <c r="O510" s="813" t="s">
        <v>142</v>
      </c>
      <c r="P510" s="813" t="s">
        <v>142</v>
      </c>
      <c r="Q510" s="813" t="s">
        <v>142</v>
      </c>
      <c r="R510" s="813" t="s">
        <v>4373</v>
      </c>
      <c r="S510" s="813">
        <v>54</v>
      </c>
      <c r="T510" s="814" t="s">
        <v>84</v>
      </c>
      <c r="U510" s="813" t="s">
        <v>4320</v>
      </c>
      <c r="V510" s="981"/>
      <c r="CM510"/>
      <c r="CN510"/>
      <c r="CO510"/>
      <c r="CP510"/>
      <c r="CQ510"/>
      <c r="CR510"/>
      <c r="CS510"/>
      <c r="CT510"/>
      <c r="CU510"/>
      <c r="CV510"/>
      <c r="CW510"/>
      <c r="CX510"/>
      <c r="CY510"/>
    </row>
    <row r="511" spans="2:103" s="1" customFormat="1" ht="18.75" x14ac:dyDescent="0.25">
      <c r="B511" s="808">
        <v>44892</v>
      </c>
      <c r="C511" s="809">
        <v>0.91666666666666663</v>
      </c>
      <c r="D511" s="810">
        <v>58</v>
      </c>
      <c r="E511" s="811">
        <v>8.4</v>
      </c>
      <c r="F511" s="811">
        <v>14</v>
      </c>
      <c r="G511" s="811">
        <v>1376</v>
      </c>
      <c r="H511" s="811">
        <v>2391</v>
      </c>
      <c r="I511" s="811">
        <v>109.9</v>
      </c>
      <c r="J511" s="811">
        <v>117</v>
      </c>
      <c r="K511" s="886" t="s">
        <v>4377</v>
      </c>
      <c r="L511" s="811">
        <v>38.65</v>
      </c>
      <c r="M511" s="812">
        <v>44</v>
      </c>
      <c r="N511" s="811">
        <v>33.549999999999997</v>
      </c>
      <c r="O511" s="813" t="s">
        <v>142</v>
      </c>
      <c r="P511" s="813" t="s">
        <v>142</v>
      </c>
      <c r="Q511" s="813" t="s">
        <v>142</v>
      </c>
      <c r="R511" s="813" t="s">
        <v>4359</v>
      </c>
      <c r="S511" s="813">
        <v>54.4</v>
      </c>
      <c r="T511" s="814" t="s">
        <v>84</v>
      </c>
      <c r="U511" s="813" t="s">
        <v>4320</v>
      </c>
      <c r="V511" s="981"/>
      <c r="CM511"/>
      <c r="CN511"/>
      <c r="CO511"/>
      <c r="CP511"/>
      <c r="CQ511"/>
      <c r="CR511"/>
      <c r="CS511"/>
      <c r="CT511"/>
      <c r="CU511"/>
      <c r="CV511"/>
      <c r="CW511"/>
      <c r="CX511"/>
      <c r="CY511"/>
    </row>
    <row r="512" spans="2:103" s="1" customFormat="1" ht="18.75" x14ac:dyDescent="0.25">
      <c r="B512" s="808">
        <v>44893</v>
      </c>
      <c r="C512" s="809">
        <v>0.79166666666666663</v>
      </c>
      <c r="D512" s="810">
        <v>58</v>
      </c>
      <c r="E512" s="811">
        <v>8.4</v>
      </c>
      <c r="F512" s="811">
        <v>13.9</v>
      </c>
      <c r="G512" s="811">
        <v>1375</v>
      </c>
      <c r="H512" s="811">
        <v>2377</v>
      </c>
      <c r="I512" s="811">
        <v>109.9</v>
      </c>
      <c r="J512" s="811">
        <v>117</v>
      </c>
      <c r="K512" s="886" t="s">
        <v>4392</v>
      </c>
      <c r="L512" s="811">
        <v>38.950000000000003</v>
      </c>
      <c r="M512" s="812">
        <v>44</v>
      </c>
      <c r="N512" s="811">
        <v>33.9</v>
      </c>
      <c r="O512" s="813" t="s">
        <v>142</v>
      </c>
      <c r="P512" s="813" t="s">
        <v>142</v>
      </c>
      <c r="Q512" s="813" t="s">
        <v>142</v>
      </c>
      <c r="R512" s="813" t="s">
        <v>4389</v>
      </c>
      <c r="S512" s="813">
        <v>54</v>
      </c>
      <c r="T512" s="814" t="s">
        <v>84</v>
      </c>
      <c r="U512" s="813" t="s">
        <v>4320</v>
      </c>
      <c r="V512" s="981"/>
      <c r="CM512"/>
      <c r="CN512"/>
      <c r="CO512"/>
      <c r="CP512"/>
      <c r="CQ512"/>
      <c r="CR512"/>
      <c r="CS512"/>
      <c r="CT512"/>
      <c r="CU512"/>
      <c r="CV512"/>
      <c r="CW512"/>
      <c r="CX512"/>
      <c r="CY512"/>
    </row>
    <row r="513" spans="2:103" s="1" customFormat="1" ht="18.75" x14ac:dyDescent="0.25">
      <c r="B513" s="808">
        <v>44894</v>
      </c>
      <c r="C513" s="809">
        <v>0.89583333333333337</v>
      </c>
      <c r="D513" s="810">
        <v>58</v>
      </c>
      <c r="E513" s="811">
        <v>8.3000000000000007</v>
      </c>
      <c r="F513" s="811">
        <v>13.9</v>
      </c>
      <c r="G513" s="811">
        <v>1376</v>
      </c>
      <c r="H513" s="811">
        <v>2411</v>
      </c>
      <c r="I513" s="811">
        <v>109.9</v>
      </c>
      <c r="J513" s="811">
        <v>116.8</v>
      </c>
      <c r="K513" s="886" t="s">
        <v>4393</v>
      </c>
      <c r="L513" s="811">
        <v>39.799999999999997</v>
      </c>
      <c r="M513" s="812">
        <v>44</v>
      </c>
      <c r="N513" s="811">
        <v>32.979999999999997</v>
      </c>
      <c r="O513" s="813" t="s">
        <v>142</v>
      </c>
      <c r="P513" s="813" t="s">
        <v>142</v>
      </c>
      <c r="Q513" s="813" t="s">
        <v>142</v>
      </c>
      <c r="R513" s="813" t="s">
        <v>4394</v>
      </c>
      <c r="S513" s="813">
        <v>54</v>
      </c>
      <c r="T513" s="814" t="s">
        <v>84</v>
      </c>
      <c r="U513" s="813" t="s">
        <v>4320</v>
      </c>
      <c r="V513" s="981"/>
      <c r="CM513"/>
      <c r="CN513"/>
      <c r="CO513"/>
      <c r="CP513"/>
      <c r="CQ513"/>
      <c r="CR513"/>
      <c r="CS513"/>
      <c r="CT513"/>
      <c r="CU513"/>
      <c r="CV513"/>
      <c r="CW513"/>
      <c r="CX513"/>
      <c r="CY513"/>
    </row>
    <row r="514" spans="2:103" s="1" customFormat="1" ht="18.75" x14ac:dyDescent="0.25">
      <c r="B514" s="808">
        <v>44895</v>
      </c>
      <c r="C514" s="809">
        <v>0.83333333333333337</v>
      </c>
      <c r="D514" s="810">
        <v>58</v>
      </c>
      <c r="E514" s="811">
        <v>8.1999999999999993</v>
      </c>
      <c r="F514" s="811">
        <v>13.8</v>
      </c>
      <c r="G514" s="811">
        <v>1376</v>
      </c>
      <c r="H514" s="811">
        <v>2408</v>
      </c>
      <c r="I514" s="811">
        <v>109.9</v>
      </c>
      <c r="J514" s="811">
        <v>116.8</v>
      </c>
      <c r="K514" s="886" t="s">
        <v>4400</v>
      </c>
      <c r="L514" s="811">
        <v>39.700000000000003</v>
      </c>
      <c r="M514" s="812">
        <v>44</v>
      </c>
      <c r="N514" s="811">
        <v>33.17</v>
      </c>
      <c r="O514" s="813" t="s">
        <v>142</v>
      </c>
      <c r="P514" s="813" t="s">
        <v>142</v>
      </c>
      <c r="Q514" s="813" t="s">
        <v>142</v>
      </c>
      <c r="R514" s="813" t="s">
        <v>4323</v>
      </c>
      <c r="S514" s="813">
        <v>54</v>
      </c>
      <c r="T514" s="814" t="s">
        <v>84</v>
      </c>
      <c r="U514" s="813" t="s">
        <v>4320</v>
      </c>
      <c r="V514" s="981"/>
      <c r="CM514"/>
      <c r="CN514"/>
      <c r="CO514"/>
      <c r="CP514"/>
      <c r="CQ514"/>
      <c r="CR514"/>
      <c r="CS514"/>
      <c r="CT514"/>
      <c r="CU514"/>
      <c r="CV514"/>
      <c r="CW514"/>
      <c r="CX514"/>
      <c r="CY514"/>
    </row>
    <row r="515" spans="2:103" s="1" customFormat="1" ht="18.75" x14ac:dyDescent="0.25">
      <c r="B515" s="808">
        <v>44896</v>
      </c>
      <c r="C515" s="809">
        <v>0.875</v>
      </c>
      <c r="D515" s="810">
        <v>58</v>
      </c>
      <c r="E515" s="811">
        <v>8.1999999999999993</v>
      </c>
      <c r="F515" s="811">
        <v>13.8</v>
      </c>
      <c r="G515" s="811">
        <v>1372</v>
      </c>
      <c r="H515" s="811">
        <v>2407</v>
      </c>
      <c r="I515" s="811">
        <v>109.9</v>
      </c>
      <c r="J515" s="811">
        <v>116.7</v>
      </c>
      <c r="K515" s="886" t="s">
        <v>4406</v>
      </c>
      <c r="L515" s="811">
        <v>38.880000000000003</v>
      </c>
      <c r="M515" s="812">
        <v>44</v>
      </c>
      <c r="N515" s="811">
        <v>35.549999999999997</v>
      </c>
      <c r="O515" s="813" t="s">
        <v>142</v>
      </c>
      <c r="P515" s="813" t="s">
        <v>142</v>
      </c>
      <c r="Q515" s="813" t="s">
        <v>142</v>
      </c>
      <c r="R515" s="813" t="s">
        <v>4343</v>
      </c>
      <c r="S515" s="813">
        <v>53.6</v>
      </c>
      <c r="T515" s="814" t="s">
        <v>84</v>
      </c>
      <c r="U515" s="813" t="s">
        <v>4320</v>
      </c>
      <c r="V515" s="981"/>
      <c r="CM515"/>
      <c r="CN515"/>
      <c r="CO515"/>
      <c r="CP515"/>
      <c r="CQ515"/>
      <c r="CR515"/>
      <c r="CS515"/>
      <c r="CT515"/>
      <c r="CU515"/>
      <c r="CV515"/>
      <c r="CW515"/>
      <c r="CX515"/>
      <c r="CY515"/>
    </row>
    <row r="516" spans="2:103" s="1" customFormat="1" ht="18.75" x14ac:dyDescent="0.25">
      <c r="B516" s="808">
        <v>44897</v>
      </c>
      <c r="C516" s="809">
        <v>0.875</v>
      </c>
      <c r="D516" s="810">
        <v>58</v>
      </c>
      <c r="E516" s="811">
        <v>8</v>
      </c>
      <c r="F516" s="811">
        <v>13.7</v>
      </c>
      <c r="G516" s="811">
        <v>1404</v>
      </c>
      <c r="H516" s="811">
        <v>2400</v>
      </c>
      <c r="I516" s="811">
        <v>110</v>
      </c>
      <c r="J516" s="811">
        <v>117</v>
      </c>
      <c r="K516" s="886" t="s">
        <v>4409</v>
      </c>
      <c r="L516" s="811">
        <v>41.27</v>
      </c>
      <c r="M516" s="812">
        <v>45</v>
      </c>
      <c r="N516" s="811">
        <v>32.979999999999997</v>
      </c>
      <c r="O516" s="813" t="s">
        <v>142</v>
      </c>
      <c r="P516" s="813" t="s">
        <v>142</v>
      </c>
      <c r="Q516" s="813" t="s">
        <v>142</v>
      </c>
      <c r="R516" s="813" t="s">
        <v>3808</v>
      </c>
      <c r="S516" s="813">
        <v>53.3</v>
      </c>
      <c r="T516" s="814" t="s">
        <v>84</v>
      </c>
      <c r="U516" s="813" t="s">
        <v>4320</v>
      </c>
      <c r="V516" s="981"/>
      <c r="CM516"/>
      <c r="CN516"/>
      <c r="CO516"/>
      <c r="CP516"/>
      <c r="CQ516"/>
      <c r="CR516"/>
      <c r="CS516"/>
      <c r="CT516"/>
      <c r="CU516"/>
      <c r="CV516"/>
      <c r="CW516"/>
      <c r="CX516"/>
      <c r="CY516"/>
    </row>
    <row r="517" spans="2:103" s="1" customFormat="1" ht="18.75" x14ac:dyDescent="0.25">
      <c r="B517" s="808">
        <v>44898</v>
      </c>
      <c r="C517" s="809">
        <v>0.875</v>
      </c>
      <c r="D517" s="810">
        <v>58</v>
      </c>
      <c r="E517" s="811">
        <v>8.1</v>
      </c>
      <c r="F517" s="811">
        <v>13.8</v>
      </c>
      <c r="G517" s="811">
        <v>1421</v>
      </c>
      <c r="H517" s="811">
        <v>2393</v>
      </c>
      <c r="I517" s="811">
        <v>111</v>
      </c>
      <c r="J517" s="811">
        <v>118</v>
      </c>
      <c r="K517" s="886" t="s">
        <v>4419</v>
      </c>
      <c r="L517" s="811">
        <v>39.520000000000003</v>
      </c>
      <c r="M517" s="812">
        <v>44</v>
      </c>
      <c r="N517" s="811">
        <v>33.29</v>
      </c>
      <c r="O517" s="813" t="s">
        <v>142</v>
      </c>
      <c r="P517" s="813" t="s">
        <v>142</v>
      </c>
      <c r="Q517" s="813" t="s">
        <v>142</v>
      </c>
      <c r="R517" s="813" t="s">
        <v>4343</v>
      </c>
      <c r="S517" s="813">
        <v>53.6</v>
      </c>
      <c r="T517" s="814" t="s">
        <v>84</v>
      </c>
      <c r="U517" s="813" t="s">
        <v>4320</v>
      </c>
      <c r="V517" s="981"/>
      <c r="CM517"/>
      <c r="CN517"/>
      <c r="CO517"/>
      <c r="CP517"/>
      <c r="CQ517"/>
      <c r="CR517"/>
      <c r="CS517"/>
      <c r="CT517"/>
      <c r="CU517"/>
      <c r="CV517"/>
      <c r="CW517"/>
      <c r="CX517"/>
      <c r="CY517"/>
    </row>
    <row r="518" spans="2:103" s="1" customFormat="1" ht="18.75" x14ac:dyDescent="0.25">
      <c r="B518" s="808">
        <v>44899</v>
      </c>
      <c r="C518" s="809">
        <v>0.79166666666666663</v>
      </c>
      <c r="D518" s="810">
        <v>58</v>
      </c>
      <c r="E518" s="811">
        <v>8</v>
      </c>
      <c r="F518" s="811">
        <v>13.7</v>
      </c>
      <c r="G518" s="811">
        <v>1430</v>
      </c>
      <c r="H518" s="811">
        <v>2427</v>
      </c>
      <c r="I518" s="811">
        <v>111</v>
      </c>
      <c r="J518" s="811">
        <v>118</v>
      </c>
      <c r="K518" s="886" t="s">
        <v>4438</v>
      </c>
      <c r="L518" s="811">
        <v>40.68</v>
      </c>
      <c r="M518" s="812">
        <v>45</v>
      </c>
      <c r="N518" s="811">
        <v>33.43</v>
      </c>
      <c r="O518" s="813" t="s">
        <v>142</v>
      </c>
      <c r="P518" s="813" t="s">
        <v>142</v>
      </c>
      <c r="Q518" s="813" t="s">
        <v>142</v>
      </c>
      <c r="R518" s="813" t="s">
        <v>4439</v>
      </c>
      <c r="S518" s="813">
        <v>53.3</v>
      </c>
      <c r="T518" s="814" t="s">
        <v>84</v>
      </c>
      <c r="U518" s="813" t="s">
        <v>4320</v>
      </c>
      <c r="V518" s="981"/>
      <c r="CM518"/>
      <c r="CN518"/>
      <c r="CO518"/>
      <c r="CP518"/>
      <c r="CQ518"/>
      <c r="CR518"/>
      <c r="CS518"/>
      <c r="CT518"/>
      <c r="CU518"/>
      <c r="CV518"/>
      <c r="CW518"/>
      <c r="CX518"/>
      <c r="CY518"/>
    </row>
    <row r="519" spans="2:103" s="1" customFormat="1" ht="18.75" x14ac:dyDescent="0.25">
      <c r="B519" s="808">
        <v>44900</v>
      </c>
      <c r="C519" s="809">
        <v>0.79166666666666663</v>
      </c>
      <c r="D519" s="810">
        <v>58</v>
      </c>
      <c r="E519" s="811">
        <v>8.1</v>
      </c>
      <c r="F519" s="811">
        <v>13.7</v>
      </c>
      <c r="G519" s="811">
        <v>1431</v>
      </c>
      <c r="H519" s="811">
        <v>2394</v>
      </c>
      <c r="I519" s="811">
        <v>111.2</v>
      </c>
      <c r="J519" s="811">
        <v>118.3</v>
      </c>
      <c r="K519" s="886" t="s">
        <v>2450</v>
      </c>
      <c r="L519" s="811">
        <v>38.119999999999997</v>
      </c>
      <c r="M519" s="812">
        <v>44</v>
      </c>
      <c r="N519" s="811">
        <v>33.4</v>
      </c>
      <c r="O519" s="813" t="s">
        <v>142</v>
      </c>
      <c r="P519" s="813" t="s">
        <v>142</v>
      </c>
      <c r="Q519" s="813" t="s">
        <v>142</v>
      </c>
      <c r="R519" s="813" t="s">
        <v>4452</v>
      </c>
      <c r="S519" s="813">
        <v>53.3</v>
      </c>
      <c r="T519" s="814" t="s">
        <v>84</v>
      </c>
      <c r="U519" s="813" t="s">
        <v>4320</v>
      </c>
      <c r="V519" s="981"/>
      <c r="CM519"/>
      <c r="CN519"/>
      <c r="CO519"/>
      <c r="CP519"/>
      <c r="CQ519"/>
      <c r="CR519"/>
      <c r="CS519"/>
      <c r="CT519"/>
      <c r="CU519"/>
      <c r="CV519"/>
      <c r="CW519"/>
      <c r="CX519"/>
      <c r="CY519"/>
    </row>
    <row r="520" spans="2:103" s="1" customFormat="1" ht="18.75" x14ac:dyDescent="0.25">
      <c r="B520" s="808">
        <v>44901</v>
      </c>
      <c r="C520" s="809">
        <v>0.83333333333333337</v>
      </c>
      <c r="D520" s="810">
        <v>58</v>
      </c>
      <c r="E520" s="811">
        <v>8.1</v>
      </c>
      <c r="F520" s="811">
        <v>13.8</v>
      </c>
      <c r="G520" s="811">
        <v>1441</v>
      </c>
      <c r="H520" s="811">
        <v>2397</v>
      </c>
      <c r="I520" s="811">
        <v>111.6</v>
      </c>
      <c r="J520" s="811">
        <v>119</v>
      </c>
      <c r="K520" s="886" t="s">
        <v>4455</v>
      </c>
      <c r="L520" s="811">
        <v>37.99</v>
      </c>
      <c r="M520" s="812">
        <v>44</v>
      </c>
      <c r="N520" s="811">
        <v>33.549999999999997</v>
      </c>
      <c r="O520" s="813" t="s">
        <v>142</v>
      </c>
      <c r="P520" s="813" t="s">
        <v>142</v>
      </c>
      <c r="Q520" s="813" t="s">
        <v>142</v>
      </c>
      <c r="R520" s="813" t="s">
        <v>4343</v>
      </c>
      <c r="S520" s="813">
        <v>53.6</v>
      </c>
      <c r="T520" s="814" t="s">
        <v>84</v>
      </c>
      <c r="U520" s="813" t="s">
        <v>4320</v>
      </c>
      <c r="V520" s="981"/>
      <c r="CM520"/>
      <c r="CN520"/>
      <c r="CO520"/>
      <c r="CP520"/>
      <c r="CQ520"/>
      <c r="CR520"/>
      <c r="CS520"/>
      <c r="CT520"/>
      <c r="CU520"/>
      <c r="CV520"/>
      <c r="CW520"/>
      <c r="CX520"/>
      <c r="CY520"/>
    </row>
    <row r="521" spans="2:103" s="1" customFormat="1" ht="18.75" x14ac:dyDescent="0.25">
      <c r="B521" s="808">
        <v>44902</v>
      </c>
      <c r="C521" s="809">
        <v>0.83333333333333337</v>
      </c>
      <c r="D521" s="810">
        <v>58</v>
      </c>
      <c r="E521" s="811">
        <v>8.1</v>
      </c>
      <c r="F521" s="811">
        <v>13.7</v>
      </c>
      <c r="G521" s="811">
        <v>1447</v>
      </c>
      <c r="H521" s="811">
        <v>2390</v>
      </c>
      <c r="I521" s="811">
        <v>111.6</v>
      </c>
      <c r="J521" s="811">
        <v>118</v>
      </c>
      <c r="K521" s="886" t="s">
        <v>4462</v>
      </c>
      <c r="L521" s="811">
        <v>38.28</v>
      </c>
      <c r="M521" s="812">
        <v>44</v>
      </c>
      <c r="N521" s="811">
        <v>33.590000000000003</v>
      </c>
      <c r="O521" s="813" t="s">
        <v>142</v>
      </c>
      <c r="P521" s="813" t="s">
        <v>142</v>
      </c>
      <c r="Q521" s="813" t="s">
        <v>142</v>
      </c>
      <c r="R521" s="813" t="s">
        <v>4463</v>
      </c>
      <c r="S521" s="813">
        <v>53.3</v>
      </c>
      <c r="T521" s="814" t="s">
        <v>84</v>
      </c>
      <c r="U521" s="813" t="s">
        <v>4320</v>
      </c>
      <c r="V521" s="981"/>
      <c r="CM521"/>
      <c r="CN521"/>
      <c r="CO521"/>
      <c r="CP521"/>
      <c r="CQ521"/>
      <c r="CR521"/>
      <c r="CS521"/>
      <c r="CT521"/>
      <c r="CU521"/>
      <c r="CV521"/>
      <c r="CW521"/>
      <c r="CX521"/>
      <c r="CY521"/>
    </row>
    <row r="522" spans="2:103" s="1" customFormat="1" ht="18.75" x14ac:dyDescent="0.25">
      <c r="B522" s="808">
        <v>44903</v>
      </c>
      <c r="C522" s="809">
        <v>0.83333333333333337</v>
      </c>
      <c r="D522" s="810">
        <v>58</v>
      </c>
      <c r="E522" s="811">
        <v>7.9</v>
      </c>
      <c r="F522" s="811">
        <v>13.7</v>
      </c>
      <c r="G522" s="811">
        <v>1411</v>
      </c>
      <c r="H522" s="811">
        <v>2398</v>
      </c>
      <c r="I522" s="811">
        <v>109.4</v>
      </c>
      <c r="J522" s="811">
        <v>117</v>
      </c>
      <c r="K522" s="886" t="s">
        <v>4470</v>
      </c>
      <c r="L522" s="811">
        <v>36.75</v>
      </c>
      <c r="M522" s="812">
        <v>43</v>
      </c>
      <c r="N522" s="811">
        <v>35.46</v>
      </c>
      <c r="O522" s="813" t="s">
        <v>142</v>
      </c>
      <c r="P522" s="813" t="s">
        <v>142</v>
      </c>
      <c r="Q522" s="813" t="s">
        <v>142</v>
      </c>
      <c r="R522" s="813" t="s">
        <v>4471</v>
      </c>
      <c r="S522" s="813">
        <v>53.3</v>
      </c>
      <c r="T522" s="814" t="s">
        <v>84</v>
      </c>
      <c r="U522" s="813" t="s">
        <v>4320</v>
      </c>
      <c r="V522" s="981"/>
      <c r="CM522"/>
      <c r="CN522"/>
      <c r="CO522"/>
      <c r="CP522"/>
      <c r="CQ522"/>
      <c r="CR522"/>
      <c r="CS522"/>
      <c r="CT522"/>
      <c r="CU522"/>
      <c r="CV522"/>
      <c r="CW522"/>
      <c r="CX522"/>
      <c r="CY522"/>
    </row>
    <row r="523" spans="2:103" s="1" customFormat="1" ht="18.75" x14ac:dyDescent="0.25">
      <c r="B523" s="808">
        <v>44904</v>
      </c>
      <c r="C523" s="809">
        <v>0.83333333333333337</v>
      </c>
      <c r="D523" s="810">
        <v>58</v>
      </c>
      <c r="E523" s="811">
        <v>8</v>
      </c>
      <c r="F523" s="811">
        <v>13.7</v>
      </c>
      <c r="G523" s="811">
        <v>1390</v>
      </c>
      <c r="H523" s="811">
        <v>2395</v>
      </c>
      <c r="I523" s="811">
        <v>109</v>
      </c>
      <c r="J523" s="811">
        <v>116.4</v>
      </c>
      <c r="K523" s="886" t="s">
        <v>4474</v>
      </c>
      <c r="L523" s="811">
        <v>36.06</v>
      </c>
      <c r="M523" s="812">
        <v>40</v>
      </c>
      <c r="N523" s="811">
        <v>33.93</v>
      </c>
      <c r="O523" s="813" t="s">
        <v>142</v>
      </c>
      <c r="P523" s="813" t="s">
        <v>142</v>
      </c>
      <c r="Q523" s="813" t="s">
        <v>142</v>
      </c>
      <c r="R523" s="813" t="s">
        <v>3808</v>
      </c>
      <c r="S523" s="813">
        <v>53.3</v>
      </c>
      <c r="T523" s="814" t="s">
        <v>84</v>
      </c>
      <c r="U523" s="813" t="s">
        <v>4320</v>
      </c>
      <c r="V523" s="981"/>
      <c r="CM523"/>
      <c r="CN523"/>
      <c r="CO523"/>
      <c r="CP523"/>
      <c r="CQ523"/>
      <c r="CR523"/>
      <c r="CS523"/>
      <c r="CT523"/>
      <c r="CU523"/>
      <c r="CV523"/>
      <c r="CW523"/>
      <c r="CX523"/>
      <c r="CY523"/>
    </row>
    <row r="524" spans="2:103" s="1" customFormat="1" ht="18.75" x14ac:dyDescent="0.25">
      <c r="B524" s="808">
        <v>44905</v>
      </c>
      <c r="C524" s="809">
        <v>0.83333333333333337</v>
      </c>
      <c r="D524" s="810">
        <v>58</v>
      </c>
      <c r="E524" s="811">
        <v>8</v>
      </c>
      <c r="F524" s="811">
        <v>13.7</v>
      </c>
      <c r="G524" s="811">
        <v>1403</v>
      </c>
      <c r="H524" s="811">
        <v>2401</v>
      </c>
      <c r="I524" s="811">
        <v>109.7</v>
      </c>
      <c r="J524" s="811">
        <v>117.2</v>
      </c>
      <c r="K524" s="886" t="s">
        <v>4488</v>
      </c>
      <c r="L524" s="811">
        <v>37.590000000000003</v>
      </c>
      <c r="M524" s="812">
        <v>39</v>
      </c>
      <c r="N524" s="811">
        <v>33.74</v>
      </c>
      <c r="O524" s="813" t="s">
        <v>142</v>
      </c>
      <c r="P524" s="813" t="s">
        <v>142</v>
      </c>
      <c r="Q524" s="813" t="s">
        <v>142</v>
      </c>
      <c r="R524" s="813" t="s">
        <v>3808</v>
      </c>
      <c r="S524" s="813">
        <v>53.3</v>
      </c>
      <c r="T524" s="814" t="s">
        <v>84</v>
      </c>
      <c r="U524" s="813" t="s">
        <v>4320</v>
      </c>
      <c r="V524" s="981"/>
      <c r="CM524"/>
      <c r="CN524"/>
      <c r="CO524"/>
      <c r="CP524"/>
      <c r="CQ524"/>
      <c r="CR524"/>
      <c r="CS524"/>
      <c r="CT524"/>
      <c r="CU524"/>
      <c r="CV524"/>
      <c r="CW524"/>
      <c r="CX524"/>
      <c r="CY524"/>
    </row>
    <row r="525" spans="2:103" s="1" customFormat="1" ht="18.75" x14ac:dyDescent="0.25">
      <c r="B525" s="808">
        <v>44906</v>
      </c>
      <c r="C525" s="809">
        <v>0.83333333333333337</v>
      </c>
      <c r="D525" s="810">
        <v>58</v>
      </c>
      <c r="E525" s="811">
        <v>8.1</v>
      </c>
      <c r="F525" s="811">
        <v>13.8</v>
      </c>
      <c r="G525" s="811">
        <v>1434</v>
      </c>
      <c r="H525" s="811">
        <v>2397</v>
      </c>
      <c r="I525" s="811">
        <v>111.1</v>
      </c>
      <c r="J525" s="811">
        <v>118.8</v>
      </c>
      <c r="K525" s="886" t="s">
        <v>4492</v>
      </c>
      <c r="L525" s="811">
        <v>36.47</v>
      </c>
      <c r="M525" s="812">
        <v>39</v>
      </c>
      <c r="N525" s="811">
        <v>33.36</v>
      </c>
      <c r="O525" s="813" t="s">
        <v>142</v>
      </c>
      <c r="P525" s="813" t="s">
        <v>142</v>
      </c>
      <c r="Q525" s="813" t="s">
        <v>142</v>
      </c>
      <c r="R525" s="813" t="s">
        <v>4493</v>
      </c>
      <c r="S525" s="813">
        <v>53.6</v>
      </c>
      <c r="T525" s="814" t="s">
        <v>84</v>
      </c>
      <c r="U525" s="813" t="s">
        <v>4320</v>
      </c>
      <c r="V525" s="981"/>
      <c r="CM525"/>
      <c r="CN525"/>
      <c r="CO525"/>
      <c r="CP525"/>
      <c r="CQ525"/>
      <c r="CR525"/>
      <c r="CS525"/>
      <c r="CT525"/>
      <c r="CU525"/>
      <c r="CV525"/>
      <c r="CW525"/>
      <c r="CX525"/>
      <c r="CY525"/>
    </row>
    <row r="526" spans="2:103" s="1" customFormat="1" ht="18.75" x14ac:dyDescent="0.25">
      <c r="B526" s="808">
        <v>44907</v>
      </c>
      <c r="C526" s="809">
        <v>0.875</v>
      </c>
      <c r="D526" s="810">
        <v>58</v>
      </c>
      <c r="E526" s="811">
        <v>8</v>
      </c>
      <c r="F526" s="811">
        <v>13.7</v>
      </c>
      <c r="G526" s="811">
        <v>1447</v>
      </c>
      <c r="H526" s="811">
        <v>2394</v>
      </c>
      <c r="I526" s="811">
        <v>111.5</v>
      </c>
      <c r="J526" s="811">
        <v>119</v>
      </c>
      <c r="K526" s="886" t="s">
        <v>4498</v>
      </c>
      <c r="L526" s="811">
        <v>37.64</v>
      </c>
      <c r="M526" s="812">
        <v>39</v>
      </c>
      <c r="N526" s="811">
        <v>33.25</v>
      </c>
      <c r="O526" s="813" t="s">
        <v>142</v>
      </c>
      <c r="P526" s="813" t="s">
        <v>142</v>
      </c>
      <c r="Q526" s="813" t="s">
        <v>142</v>
      </c>
      <c r="R526" s="813" t="s">
        <v>4439</v>
      </c>
      <c r="S526" s="813">
        <v>53.3</v>
      </c>
      <c r="T526" s="814" t="s">
        <v>84</v>
      </c>
      <c r="U526" s="813" t="s">
        <v>4320</v>
      </c>
      <c r="V526" s="981"/>
      <c r="CM526"/>
      <c r="CN526"/>
      <c r="CO526"/>
      <c r="CP526"/>
      <c r="CQ526"/>
      <c r="CR526"/>
      <c r="CS526"/>
      <c r="CT526"/>
      <c r="CU526"/>
      <c r="CV526"/>
      <c r="CW526"/>
      <c r="CX526"/>
      <c r="CY526"/>
    </row>
    <row r="527" spans="2:103" s="1" customFormat="1" ht="18.75" x14ac:dyDescent="0.25">
      <c r="B527" s="808">
        <v>44908</v>
      </c>
      <c r="C527" s="809">
        <v>0.875</v>
      </c>
      <c r="D527" s="810">
        <v>58</v>
      </c>
      <c r="E527" s="811">
        <v>8</v>
      </c>
      <c r="F527" s="811">
        <v>13.7</v>
      </c>
      <c r="G527" s="811">
        <v>1463</v>
      </c>
      <c r="H527" s="811">
        <v>2416</v>
      </c>
      <c r="I527" s="811">
        <v>112.4</v>
      </c>
      <c r="J527" s="811">
        <v>119.8</v>
      </c>
      <c r="K527" s="886" t="s">
        <v>4501</v>
      </c>
      <c r="L527" s="811">
        <v>38.51</v>
      </c>
      <c r="M527" s="812">
        <v>40</v>
      </c>
      <c r="N527" s="811">
        <v>33.200000000000003</v>
      </c>
      <c r="O527" s="813" t="s">
        <v>142</v>
      </c>
      <c r="P527" s="813" t="s">
        <v>142</v>
      </c>
      <c r="Q527" s="813" t="s">
        <v>142</v>
      </c>
      <c r="R527" s="813" t="s">
        <v>4471</v>
      </c>
      <c r="S527" s="813">
        <v>53.3</v>
      </c>
      <c r="T527" s="814" t="s">
        <v>84</v>
      </c>
      <c r="U527" s="813" t="s">
        <v>4320</v>
      </c>
      <c r="V527" s="981"/>
      <c r="CM527"/>
      <c r="CN527"/>
      <c r="CO527"/>
      <c r="CP527"/>
      <c r="CQ527"/>
      <c r="CR527"/>
      <c r="CS527"/>
      <c r="CT527"/>
      <c r="CU527"/>
      <c r="CV527"/>
      <c r="CW527"/>
      <c r="CX527"/>
      <c r="CY527"/>
    </row>
    <row r="528" spans="2:103" s="1" customFormat="1" ht="18.75" x14ac:dyDescent="0.25">
      <c r="B528" s="808">
        <v>44909</v>
      </c>
      <c r="C528" s="809">
        <v>0.91666666666666663</v>
      </c>
      <c r="D528" s="810">
        <v>58</v>
      </c>
      <c r="E528" s="811">
        <v>8.1</v>
      </c>
      <c r="F528" s="811">
        <v>13.7</v>
      </c>
      <c r="G528" s="811">
        <v>1465</v>
      </c>
      <c r="H528" s="811">
        <v>2420</v>
      </c>
      <c r="I528" s="811">
        <v>112.3</v>
      </c>
      <c r="J528" s="811">
        <v>119.7</v>
      </c>
      <c r="K528" s="886" t="s">
        <v>4507</v>
      </c>
      <c r="L528" s="811">
        <v>38.24</v>
      </c>
      <c r="M528" s="812">
        <v>40</v>
      </c>
      <c r="N528" s="811">
        <v>33.4</v>
      </c>
      <c r="O528" s="813" t="s">
        <v>142</v>
      </c>
      <c r="P528" s="813" t="s">
        <v>142</v>
      </c>
      <c r="Q528" s="813" t="s">
        <v>142</v>
      </c>
      <c r="R528" s="813" t="s">
        <v>3808</v>
      </c>
      <c r="S528" s="813">
        <v>53.3</v>
      </c>
      <c r="T528" s="814" t="s">
        <v>84</v>
      </c>
      <c r="U528" s="813" t="s">
        <v>4320</v>
      </c>
      <c r="V528" s="981"/>
      <c r="CM528"/>
      <c r="CN528"/>
      <c r="CO528"/>
      <c r="CP528"/>
      <c r="CQ528"/>
      <c r="CR528"/>
      <c r="CS528"/>
      <c r="CT528"/>
      <c r="CU528"/>
      <c r="CV528"/>
      <c r="CW528"/>
      <c r="CX528"/>
      <c r="CY528"/>
    </row>
    <row r="529" spans="2:103" s="1" customFormat="1" ht="18.75" x14ac:dyDescent="0.25">
      <c r="B529" s="808">
        <v>44910</v>
      </c>
      <c r="C529" s="809">
        <v>0.91666666666666663</v>
      </c>
      <c r="D529" s="810">
        <v>58</v>
      </c>
      <c r="E529" s="811">
        <v>8</v>
      </c>
      <c r="F529" s="811">
        <v>13.7</v>
      </c>
      <c r="G529" s="811">
        <v>1468</v>
      </c>
      <c r="H529" s="811">
        <v>2389</v>
      </c>
      <c r="I529" s="811">
        <v>112.3</v>
      </c>
      <c r="J529" s="811">
        <v>119.8</v>
      </c>
      <c r="K529" s="886" t="s">
        <v>4514</v>
      </c>
      <c r="L529" s="811">
        <v>38.86</v>
      </c>
      <c r="M529" s="812">
        <v>40</v>
      </c>
      <c r="N529" s="811">
        <v>33.619999999999997</v>
      </c>
      <c r="O529" s="813" t="s">
        <v>142</v>
      </c>
      <c r="P529" s="813" t="s">
        <v>142</v>
      </c>
      <c r="Q529" s="813" t="s">
        <v>142</v>
      </c>
      <c r="R529" s="813" t="s">
        <v>3808</v>
      </c>
      <c r="S529" s="813">
        <v>53.3</v>
      </c>
      <c r="T529" s="814" t="s">
        <v>84</v>
      </c>
      <c r="U529" s="813" t="s">
        <v>4320</v>
      </c>
      <c r="V529" s="981"/>
      <c r="CM529"/>
      <c r="CN529"/>
      <c r="CO529"/>
      <c r="CP529"/>
      <c r="CQ529"/>
      <c r="CR529"/>
      <c r="CS529"/>
      <c r="CT529"/>
      <c r="CU529"/>
      <c r="CV529"/>
      <c r="CW529"/>
      <c r="CX529"/>
      <c r="CY529"/>
    </row>
    <row r="530" spans="2:103" s="1" customFormat="1" ht="18.75" x14ac:dyDescent="0.25">
      <c r="B530" s="808">
        <v>44911</v>
      </c>
      <c r="C530" s="809">
        <v>0.91666666666666663</v>
      </c>
      <c r="D530" s="810">
        <v>58</v>
      </c>
      <c r="E530" s="811">
        <v>8</v>
      </c>
      <c r="F530" s="811">
        <v>13.6</v>
      </c>
      <c r="G530" s="811">
        <v>1475</v>
      </c>
      <c r="H530" s="811">
        <v>2419</v>
      </c>
      <c r="I530" s="811">
        <v>112.3</v>
      </c>
      <c r="J530" s="811">
        <v>120</v>
      </c>
      <c r="K530" s="886" t="s">
        <v>4530</v>
      </c>
      <c r="L530" s="811">
        <v>37.159999999999997</v>
      </c>
      <c r="M530" s="812">
        <v>39</v>
      </c>
      <c r="N530" s="811">
        <v>33.479999999999997</v>
      </c>
      <c r="O530" s="813" t="s">
        <v>142</v>
      </c>
      <c r="P530" s="813" t="s">
        <v>142</v>
      </c>
      <c r="Q530" s="813" t="s">
        <v>142</v>
      </c>
      <c r="R530" s="813" t="s">
        <v>3808</v>
      </c>
      <c r="S530" s="813">
        <v>53.3</v>
      </c>
      <c r="T530" s="814" t="s">
        <v>84</v>
      </c>
      <c r="U530" s="813" t="s">
        <v>4320</v>
      </c>
      <c r="V530" s="981"/>
      <c r="CM530"/>
      <c r="CN530"/>
      <c r="CO530"/>
      <c r="CP530"/>
      <c r="CQ530"/>
      <c r="CR530"/>
      <c r="CS530"/>
      <c r="CT530"/>
      <c r="CU530"/>
      <c r="CV530"/>
      <c r="CW530"/>
      <c r="CX530"/>
      <c r="CY530"/>
    </row>
    <row r="531" spans="2:103" s="1" customFormat="1" ht="18.75" x14ac:dyDescent="0.25">
      <c r="B531" s="808">
        <v>44912</v>
      </c>
      <c r="C531" s="809">
        <v>0.91666666666666663</v>
      </c>
      <c r="D531" s="810">
        <v>58</v>
      </c>
      <c r="E531" s="811">
        <v>8</v>
      </c>
      <c r="F531" s="811">
        <v>13.7</v>
      </c>
      <c r="G531" s="811">
        <v>1478</v>
      </c>
      <c r="H531" s="811">
        <v>2430</v>
      </c>
      <c r="I531" s="811">
        <v>112.6</v>
      </c>
      <c r="J531" s="811">
        <v>119.8</v>
      </c>
      <c r="K531" s="886" t="s">
        <v>4539</v>
      </c>
      <c r="L531" s="811">
        <v>34.090000000000003</v>
      </c>
      <c r="M531" s="812">
        <v>37</v>
      </c>
      <c r="N531" s="811">
        <v>33.479999999999997</v>
      </c>
      <c r="O531" s="813" t="s">
        <v>142</v>
      </c>
      <c r="P531" s="813" t="s">
        <v>142</v>
      </c>
      <c r="Q531" s="813" t="s">
        <v>142</v>
      </c>
      <c r="R531" s="813" t="s">
        <v>3808</v>
      </c>
      <c r="S531" s="813">
        <v>53.3</v>
      </c>
      <c r="T531" s="814" t="s">
        <v>84</v>
      </c>
      <c r="U531" s="813" t="s">
        <v>4320</v>
      </c>
      <c r="V531" s="981"/>
      <c r="CM531"/>
      <c r="CN531"/>
      <c r="CO531"/>
      <c r="CP531"/>
      <c r="CQ531"/>
      <c r="CR531"/>
      <c r="CS531"/>
      <c r="CT531"/>
      <c r="CU531"/>
      <c r="CV531"/>
      <c r="CW531"/>
      <c r="CX531"/>
      <c r="CY531"/>
    </row>
    <row r="532" spans="2:103" s="1" customFormat="1" ht="18.75" x14ac:dyDescent="0.25">
      <c r="B532" s="808">
        <v>44913</v>
      </c>
      <c r="C532" s="809">
        <v>0.91666666666666663</v>
      </c>
      <c r="D532" s="1660" t="s">
        <v>4559</v>
      </c>
      <c r="E532" s="1661"/>
      <c r="F532" s="1661"/>
      <c r="G532" s="1661"/>
      <c r="H532" s="1661"/>
      <c r="I532" s="1661"/>
      <c r="J532" s="1661"/>
      <c r="K532" s="1661"/>
      <c r="L532" s="1661"/>
      <c r="M532" s="1661"/>
      <c r="N532" s="1661"/>
      <c r="O532" s="1661"/>
      <c r="P532" s="1661"/>
      <c r="Q532" s="1661"/>
      <c r="R532" s="1661"/>
      <c r="S532" s="1662"/>
      <c r="T532" s="814" t="s">
        <v>84</v>
      </c>
      <c r="U532" s="813" t="s">
        <v>4320</v>
      </c>
      <c r="V532" s="981" t="s">
        <v>4547</v>
      </c>
      <c r="CM532"/>
      <c r="CN532"/>
      <c r="CO532"/>
      <c r="CP532"/>
      <c r="CQ532"/>
      <c r="CR532"/>
      <c r="CS532"/>
      <c r="CT532"/>
      <c r="CU532"/>
      <c r="CV532"/>
      <c r="CW532"/>
      <c r="CX532"/>
      <c r="CY532"/>
    </row>
    <row r="533" spans="2:103" s="1" customFormat="1" ht="65.25" customHeight="1" x14ac:dyDescent="0.25">
      <c r="B533" s="808">
        <v>44914</v>
      </c>
      <c r="C533" s="809">
        <v>0.91666666666666663</v>
      </c>
      <c r="D533" s="810">
        <v>58</v>
      </c>
      <c r="E533" s="811">
        <v>8.4</v>
      </c>
      <c r="F533" s="811">
        <v>13.9</v>
      </c>
      <c r="G533" s="811">
        <v>1430</v>
      </c>
      <c r="H533" s="811">
        <v>2271</v>
      </c>
      <c r="I533" s="811">
        <v>107.5</v>
      </c>
      <c r="J533" s="811">
        <v>114.4</v>
      </c>
      <c r="K533" s="886" t="s">
        <v>4551</v>
      </c>
      <c r="L533" s="811">
        <v>35.92</v>
      </c>
      <c r="M533" s="812">
        <v>37</v>
      </c>
      <c r="N533" s="811">
        <v>33.67</v>
      </c>
      <c r="O533" s="813" t="s">
        <v>142</v>
      </c>
      <c r="P533" s="813" t="s">
        <v>142</v>
      </c>
      <c r="Q533" s="813" t="s">
        <v>142</v>
      </c>
      <c r="R533" s="813" t="s">
        <v>3808</v>
      </c>
      <c r="S533" s="813">
        <v>53.3</v>
      </c>
      <c r="T533" s="814" t="s">
        <v>84</v>
      </c>
      <c r="U533" s="813" t="s">
        <v>4320</v>
      </c>
      <c r="V533" s="981" t="s">
        <v>4560</v>
      </c>
      <c r="CM533"/>
      <c r="CN533"/>
      <c r="CO533"/>
      <c r="CP533"/>
      <c r="CQ533"/>
      <c r="CR533"/>
      <c r="CS533"/>
      <c r="CT533"/>
      <c r="CU533"/>
      <c r="CV533"/>
      <c r="CW533"/>
      <c r="CX533"/>
      <c r="CY533"/>
    </row>
    <row r="534" spans="2:103" s="1" customFormat="1" ht="20.25" customHeight="1" x14ac:dyDescent="0.25">
      <c r="B534" s="808">
        <v>44915</v>
      </c>
      <c r="C534" s="809">
        <v>0.875</v>
      </c>
      <c r="D534" s="810">
        <v>58</v>
      </c>
      <c r="E534" s="811">
        <v>7.9</v>
      </c>
      <c r="F534" s="811">
        <v>13.7</v>
      </c>
      <c r="G534" s="811">
        <v>1408</v>
      </c>
      <c r="H534" s="811">
        <v>2324</v>
      </c>
      <c r="I534" s="811">
        <v>109</v>
      </c>
      <c r="J534" s="811">
        <v>116.3</v>
      </c>
      <c r="K534" s="886" t="s">
        <v>4570</v>
      </c>
      <c r="L534" s="811">
        <v>35.39</v>
      </c>
      <c r="M534" s="812">
        <v>37</v>
      </c>
      <c r="N534" s="811">
        <v>32.479999999999997</v>
      </c>
      <c r="O534" s="813" t="s">
        <v>142</v>
      </c>
      <c r="P534" s="813" t="s">
        <v>142</v>
      </c>
      <c r="Q534" s="813" t="s">
        <v>142</v>
      </c>
      <c r="R534" s="813" t="s">
        <v>4206</v>
      </c>
      <c r="S534" s="813">
        <v>53.3</v>
      </c>
      <c r="T534" s="814" t="s">
        <v>84</v>
      </c>
      <c r="U534" s="813" t="s">
        <v>4320</v>
      </c>
      <c r="V534" s="981"/>
      <c r="CM534"/>
      <c r="CN534"/>
      <c r="CO534"/>
      <c r="CP534"/>
      <c r="CQ534"/>
      <c r="CR534"/>
      <c r="CS534"/>
      <c r="CT534"/>
      <c r="CU534"/>
      <c r="CV534"/>
      <c r="CW534"/>
      <c r="CX534"/>
      <c r="CY534"/>
    </row>
    <row r="535" spans="2:103" s="1" customFormat="1" ht="20.25" customHeight="1" x14ac:dyDescent="0.25">
      <c r="B535" s="808">
        <v>44916</v>
      </c>
      <c r="C535" s="809">
        <v>0.91666666666666663</v>
      </c>
      <c r="D535" s="810">
        <v>58</v>
      </c>
      <c r="E535" s="811">
        <v>7.8</v>
      </c>
      <c r="F535" s="811">
        <v>13.5</v>
      </c>
      <c r="G535" s="811">
        <v>1439</v>
      </c>
      <c r="H535" s="811">
        <v>2356</v>
      </c>
      <c r="I535" s="811">
        <v>110</v>
      </c>
      <c r="J535" s="811">
        <v>117</v>
      </c>
      <c r="K535" s="886" t="s">
        <v>4574</v>
      </c>
      <c r="L535" s="811">
        <v>36.979999999999997</v>
      </c>
      <c r="M535" s="812">
        <v>38</v>
      </c>
      <c r="N535" s="811">
        <v>31.83</v>
      </c>
      <c r="O535" s="813" t="s">
        <v>142</v>
      </c>
      <c r="P535" s="813" t="s">
        <v>142</v>
      </c>
      <c r="Q535" s="813" t="s">
        <v>142</v>
      </c>
      <c r="R535" s="813" t="s">
        <v>3444</v>
      </c>
      <c r="S535" s="813">
        <v>52.5</v>
      </c>
      <c r="T535" s="814" t="s">
        <v>84</v>
      </c>
      <c r="U535" s="813" t="s">
        <v>4320</v>
      </c>
      <c r="V535" s="981"/>
      <c r="CM535"/>
      <c r="CN535"/>
      <c r="CO535"/>
      <c r="CP535"/>
      <c r="CQ535"/>
      <c r="CR535"/>
      <c r="CS535"/>
      <c r="CT535"/>
      <c r="CU535"/>
      <c r="CV535"/>
      <c r="CW535"/>
      <c r="CX535"/>
      <c r="CY535"/>
    </row>
    <row r="536" spans="2:103" s="1" customFormat="1" ht="20.25" customHeight="1" x14ac:dyDescent="0.25">
      <c r="B536" s="808">
        <v>44917</v>
      </c>
      <c r="C536" s="809">
        <v>0.91666666666666663</v>
      </c>
      <c r="D536" s="810">
        <v>58</v>
      </c>
      <c r="E536" s="811">
        <v>7.7</v>
      </c>
      <c r="F536" s="811">
        <v>13.5</v>
      </c>
      <c r="G536" s="811">
        <v>1477</v>
      </c>
      <c r="H536" s="811">
        <v>2371</v>
      </c>
      <c r="I536" s="811">
        <v>112</v>
      </c>
      <c r="J536" s="811">
        <v>119.9</v>
      </c>
      <c r="K536" s="886" t="s">
        <v>4581</v>
      </c>
      <c r="L536" s="811">
        <v>37.549999999999997</v>
      </c>
      <c r="M536" s="812">
        <v>38</v>
      </c>
      <c r="N536" s="811">
        <v>31.83</v>
      </c>
      <c r="O536" s="813" t="s">
        <v>142</v>
      </c>
      <c r="P536" s="813" t="s">
        <v>142</v>
      </c>
      <c r="Q536" s="813" t="s">
        <v>142</v>
      </c>
      <c r="R536" s="813" t="s">
        <v>4582</v>
      </c>
      <c r="S536" s="813">
        <v>52.5</v>
      </c>
      <c r="T536" s="814" t="s">
        <v>84</v>
      </c>
      <c r="U536" s="813" t="s">
        <v>4320</v>
      </c>
      <c r="V536" s="981"/>
      <c r="CM536"/>
      <c r="CN536"/>
      <c r="CO536"/>
      <c r="CP536"/>
      <c r="CQ536"/>
      <c r="CR536"/>
      <c r="CS536"/>
      <c r="CT536"/>
      <c r="CU536"/>
      <c r="CV536"/>
      <c r="CW536"/>
      <c r="CX536"/>
      <c r="CY536"/>
    </row>
    <row r="537" spans="2:103" s="1" customFormat="1" ht="20.25" customHeight="1" x14ac:dyDescent="0.25">
      <c r="B537" s="808">
        <v>44918</v>
      </c>
      <c r="C537" s="809">
        <v>0.875</v>
      </c>
      <c r="D537" s="810">
        <v>58</v>
      </c>
      <c r="E537" s="811">
        <v>7.6</v>
      </c>
      <c r="F537" s="811">
        <v>13.5</v>
      </c>
      <c r="G537" s="811">
        <v>1480</v>
      </c>
      <c r="H537" s="811">
        <v>2366</v>
      </c>
      <c r="I537" s="811">
        <v>112</v>
      </c>
      <c r="J537" s="811">
        <v>119.4</v>
      </c>
      <c r="K537" s="886" t="s">
        <v>4587</v>
      </c>
      <c r="L537" s="811">
        <v>35.14</v>
      </c>
      <c r="M537" s="812">
        <v>37</v>
      </c>
      <c r="N537" s="811">
        <v>30.34</v>
      </c>
      <c r="O537" s="813" t="s">
        <v>142</v>
      </c>
      <c r="P537" s="813" t="s">
        <v>142</v>
      </c>
      <c r="Q537" s="813" t="s">
        <v>142</v>
      </c>
      <c r="R537" s="813" t="s">
        <v>4582</v>
      </c>
      <c r="S537" s="813">
        <v>52.5</v>
      </c>
      <c r="T537" s="814" t="s">
        <v>84</v>
      </c>
      <c r="U537" s="813" t="s">
        <v>4320</v>
      </c>
      <c r="V537" s="981"/>
      <c r="CM537"/>
      <c r="CN537"/>
      <c r="CO537"/>
      <c r="CP537"/>
      <c r="CQ537"/>
      <c r="CR537"/>
      <c r="CS537"/>
      <c r="CT537"/>
      <c r="CU537"/>
      <c r="CV537"/>
      <c r="CW537"/>
      <c r="CX537"/>
      <c r="CY537"/>
    </row>
    <row r="538" spans="2:103" s="1" customFormat="1" ht="20.25" customHeight="1" x14ac:dyDescent="0.25">
      <c r="B538" s="808">
        <v>44919</v>
      </c>
      <c r="C538" s="809">
        <v>0.875</v>
      </c>
      <c r="D538" s="810">
        <v>58</v>
      </c>
      <c r="E538" s="811">
        <v>7.7</v>
      </c>
      <c r="F538" s="811">
        <v>13.5</v>
      </c>
      <c r="G538" s="811">
        <v>1481</v>
      </c>
      <c r="H538" s="811">
        <v>2358</v>
      </c>
      <c r="I538" s="811">
        <v>112</v>
      </c>
      <c r="J538" s="811">
        <v>119.4</v>
      </c>
      <c r="K538" s="886" t="s">
        <v>4594</v>
      </c>
      <c r="L538" s="811">
        <v>36.29</v>
      </c>
      <c r="M538" s="812">
        <v>37</v>
      </c>
      <c r="N538" s="811">
        <v>29.96</v>
      </c>
      <c r="O538" s="813" t="s">
        <v>142</v>
      </c>
      <c r="P538" s="813" t="s">
        <v>142</v>
      </c>
      <c r="Q538" s="813" t="s">
        <v>142</v>
      </c>
      <c r="R538" s="813" t="s">
        <v>4595</v>
      </c>
      <c r="S538" s="813">
        <v>52.5</v>
      </c>
      <c r="T538" s="814" t="s">
        <v>84</v>
      </c>
      <c r="U538" s="813" t="s">
        <v>4320</v>
      </c>
      <c r="V538" s="981"/>
      <c r="CM538"/>
      <c r="CN538"/>
      <c r="CO538"/>
      <c r="CP538"/>
      <c r="CQ538"/>
      <c r="CR538"/>
      <c r="CS538"/>
      <c r="CT538"/>
      <c r="CU538"/>
      <c r="CV538"/>
      <c r="CW538"/>
      <c r="CX538"/>
      <c r="CY538"/>
    </row>
    <row r="539" spans="2:103" s="1" customFormat="1" ht="20.25" customHeight="1" x14ac:dyDescent="0.25">
      <c r="B539" s="808">
        <v>44920</v>
      </c>
      <c r="C539" s="809">
        <v>0.875</v>
      </c>
      <c r="D539" s="810">
        <v>58</v>
      </c>
      <c r="E539" s="811">
        <v>7.9</v>
      </c>
      <c r="F539" s="811">
        <v>13.6</v>
      </c>
      <c r="G539" s="811">
        <v>1492</v>
      </c>
      <c r="H539" s="811">
        <v>2349</v>
      </c>
      <c r="I539" s="811">
        <v>112.9</v>
      </c>
      <c r="J539" s="811">
        <v>120.3</v>
      </c>
      <c r="K539" s="886" t="s">
        <v>4600</v>
      </c>
      <c r="L539" s="811">
        <v>34.61</v>
      </c>
      <c r="M539" s="812">
        <v>36</v>
      </c>
      <c r="N539" s="811">
        <v>29.81</v>
      </c>
      <c r="O539" s="813" t="s">
        <v>142</v>
      </c>
      <c r="P539" s="813" t="s">
        <v>142</v>
      </c>
      <c r="Q539" s="813" t="s">
        <v>142</v>
      </c>
      <c r="R539" s="813" t="s">
        <v>4582</v>
      </c>
      <c r="S539" s="813">
        <v>52.5</v>
      </c>
      <c r="T539" s="814" t="s">
        <v>84</v>
      </c>
      <c r="U539" s="813" t="s">
        <v>4320</v>
      </c>
      <c r="V539" s="981"/>
      <c r="CM539"/>
      <c r="CN539"/>
      <c r="CO539"/>
      <c r="CP539"/>
      <c r="CQ539"/>
      <c r="CR539"/>
      <c r="CS539"/>
      <c r="CT539"/>
      <c r="CU539"/>
      <c r="CV539"/>
      <c r="CW539"/>
      <c r="CX539"/>
      <c r="CY539"/>
    </row>
    <row r="540" spans="2:103" s="1" customFormat="1" ht="20.25" customHeight="1" x14ac:dyDescent="0.25">
      <c r="B540" s="808">
        <v>44921</v>
      </c>
      <c r="C540" s="809">
        <v>0.91666666666666663</v>
      </c>
      <c r="D540" s="810">
        <v>58</v>
      </c>
      <c r="E540" s="811">
        <v>7.7</v>
      </c>
      <c r="F540" s="811">
        <v>13.5</v>
      </c>
      <c r="G540" s="811">
        <v>1504</v>
      </c>
      <c r="H540" s="811">
        <v>2387</v>
      </c>
      <c r="I540" s="811">
        <v>113.5</v>
      </c>
      <c r="J540" s="811">
        <v>120.7</v>
      </c>
      <c r="K540" s="886" t="s">
        <v>4607</v>
      </c>
      <c r="L540" s="811">
        <v>36.29</v>
      </c>
      <c r="M540" s="812">
        <v>38</v>
      </c>
      <c r="N540" s="811">
        <v>29.65</v>
      </c>
      <c r="O540" s="813" t="s">
        <v>142</v>
      </c>
      <c r="P540" s="813" t="s">
        <v>142</v>
      </c>
      <c r="Q540" s="813" t="s">
        <v>142</v>
      </c>
      <c r="R540" s="813" t="s">
        <v>4582</v>
      </c>
      <c r="S540" s="813">
        <v>52.5</v>
      </c>
      <c r="T540" s="814" t="s">
        <v>84</v>
      </c>
      <c r="U540" s="813" t="s">
        <v>4320</v>
      </c>
      <c r="V540" s="981"/>
      <c r="CM540"/>
      <c r="CN540"/>
      <c r="CO540"/>
      <c r="CP540"/>
      <c r="CQ540"/>
      <c r="CR540"/>
      <c r="CS540"/>
      <c r="CT540"/>
      <c r="CU540"/>
      <c r="CV540"/>
      <c r="CW540"/>
      <c r="CX540"/>
      <c r="CY540"/>
    </row>
    <row r="541" spans="2:103" s="1" customFormat="1" ht="20.25" customHeight="1" x14ac:dyDescent="0.25">
      <c r="B541" s="808">
        <v>44922</v>
      </c>
      <c r="C541" s="809">
        <v>0.91666666666666663</v>
      </c>
      <c r="D541" s="810">
        <v>58</v>
      </c>
      <c r="E541" s="811">
        <v>7.7</v>
      </c>
      <c r="F541" s="811">
        <v>13.5</v>
      </c>
      <c r="G541" s="811">
        <v>1504</v>
      </c>
      <c r="H541" s="811">
        <v>2369</v>
      </c>
      <c r="I541" s="811">
        <v>113.2</v>
      </c>
      <c r="J541" s="811">
        <v>120.5</v>
      </c>
      <c r="K541" s="886" t="s">
        <v>4613</v>
      </c>
      <c r="L541" s="811">
        <v>36.4</v>
      </c>
      <c r="M541" s="812">
        <v>38</v>
      </c>
      <c r="N541" s="811">
        <v>30.27</v>
      </c>
      <c r="O541" s="813" t="s">
        <v>142</v>
      </c>
      <c r="P541" s="813" t="s">
        <v>142</v>
      </c>
      <c r="Q541" s="813" t="s">
        <v>142</v>
      </c>
      <c r="R541" s="813" t="s">
        <v>4582</v>
      </c>
      <c r="S541" s="813">
        <v>52.5</v>
      </c>
      <c r="T541" s="814" t="s">
        <v>84</v>
      </c>
      <c r="U541" s="813" t="s">
        <v>4320</v>
      </c>
      <c r="V541" s="981"/>
      <c r="CM541"/>
      <c r="CN541"/>
      <c r="CO541"/>
      <c r="CP541"/>
      <c r="CQ541"/>
      <c r="CR541"/>
      <c r="CS541"/>
      <c r="CT541"/>
      <c r="CU541"/>
      <c r="CV541"/>
      <c r="CW541"/>
      <c r="CX541"/>
      <c r="CY541"/>
    </row>
    <row r="542" spans="2:103" s="1" customFormat="1" ht="20.25" customHeight="1" x14ac:dyDescent="0.25">
      <c r="B542" s="808">
        <v>44923</v>
      </c>
      <c r="C542" s="809">
        <v>0.91666666666666663</v>
      </c>
      <c r="D542" s="810">
        <v>58</v>
      </c>
      <c r="E542" s="811">
        <v>7.7</v>
      </c>
      <c r="F542" s="811">
        <v>13.5</v>
      </c>
      <c r="G542" s="811">
        <v>1514</v>
      </c>
      <c r="H542" s="811">
        <v>2438</v>
      </c>
      <c r="I542" s="811">
        <v>114.2</v>
      </c>
      <c r="J542" s="811">
        <v>121.6</v>
      </c>
      <c r="K542" s="886" t="s">
        <v>4631</v>
      </c>
      <c r="L542" s="811">
        <v>40.9</v>
      </c>
      <c r="M542" s="812">
        <v>39</v>
      </c>
      <c r="N542" s="811">
        <v>30.3</v>
      </c>
      <c r="O542" s="813" t="s">
        <v>142</v>
      </c>
      <c r="P542" s="813" t="s">
        <v>142</v>
      </c>
      <c r="Q542" s="813" t="s">
        <v>142</v>
      </c>
      <c r="R542" s="813" t="s">
        <v>4582</v>
      </c>
      <c r="S542" s="813">
        <v>52.5</v>
      </c>
      <c r="T542" s="814" t="s">
        <v>84</v>
      </c>
      <c r="U542" s="813" t="s">
        <v>4320</v>
      </c>
      <c r="V542" s="981" t="s">
        <v>4632</v>
      </c>
      <c r="CM542"/>
      <c r="CN542"/>
      <c r="CO542"/>
      <c r="CP542"/>
      <c r="CQ542"/>
      <c r="CR542"/>
      <c r="CS542"/>
      <c r="CT542"/>
      <c r="CU542"/>
      <c r="CV542"/>
      <c r="CW542"/>
      <c r="CX542"/>
      <c r="CY542"/>
    </row>
    <row r="543" spans="2:103" s="1" customFormat="1" ht="20.25" customHeight="1" x14ac:dyDescent="0.25">
      <c r="B543" s="808">
        <v>44924</v>
      </c>
      <c r="C543" s="809">
        <v>0.91666666666666663</v>
      </c>
      <c r="D543" s="810">
        <v>58</v>
      </c>
      <c r="E543" s="811">
        <v>7.6</v>
      </c>
      <c r="F543" s="811">
        <v>13.4</v>
      </c>
      <c r="G543" s="811">
        <v>1516</v>
      </c>
      <c r="H543" s="811">
        <v>2444</v>
      </c>
      <c r="I543" s="811">
        <v>114</v>
      </c>
      <c r="J543" s="811">
        <v>121.3</v>
      </c>
      <c r="K543" s="886" t="s">
        <v>4638</v>
      </c>
      <c r="L543" s="811">
        <v>39.770000000000003</v>
      </c>
      <c r="M543" s="812">
        <v>38</v>
      </c>
      <c r="N543" s="811">
        <v>30.49</v>
      </c>
      <c r="O543" s="813" t="s">
        <v>142</v>
      </c>
      <c r="P543" s="813" t="s">
        <v>142</v>
      </c>
      <c r="Q543" s="813" t="s">
        <v>142</v>
      </c>
      <c r="R543" s="813" t="s">
        <v>4582</v>
      </c>
      <c r="S543" s="813">
        <v>52.5</v>
      </c>
      <c r="T543" s="814" t="s">
        <v>84</v>
      </c>
      <c r="U543" s="813" t="s">
        <v>4320</v>
      </c>
      <c r="V543" s="981" t="s">
        <v>4639</v>
      </c>
      <c r="CM543"/>
      <c r="CN543"/>
      <c r="CO543"/>
      <c r="CP543"/>
      <c r="CQ543"/>
      <c r="CR543"/>
      <c r="CS543"/>
      <c r="CT543"/>
      <c r="CU543"/>
      <c r="CV543"/>
      <c r="CW543"/>
      <c r="CX543"/>
      <c r="CY543"/>
    </row>
    <row r="544" spans="2:103" s="1" customFormat="1" ht="20.25" customHeight="1" x14ac:dyDescent="0.25">
      <c r="B544" s="808">
        <v>44925</v>
      </c>
      <c r="C544" s="809">
        <v>0.91666666666666663</v>
      </c>
      <c r="D544" s="810">
        <v>58</v>
      </c>
      <c r="E544" s="811">
        <v>7.7</v>
      </c>
      <c r="F544" s="811">
        <v>13.5</v>
      </c>
      <c r="G544" s="811">
        <v>1514</v>
      </c>
      <c r="H544" s="811">
        <v>2395</v>
      </c>
      <c r="I544" s="811">
        <v>112.8</v>
      </c>
      <c r="J544" s="811">
        <v>120</v>
      </c>
      <c r="K544" s="886" t="s">
        <v>4645</v>
      </c>
      <c r="L544" s="811">
        <v>36.590000000000003</v>
      </c>
      <c r="M544" s="812">
        <v>36</v>
      </c>
      <c r="N544" s="811">
        <v>30.41</v>
      </c>
      <c r="O544" s="813" t="s">
        <v>142</v>
      </c>
      <c r="P544" s="813" t="s">
        <v>142</v>
      </c>
      <c r="Q544" s="813" t="s">
        <v>142</v>
      </c>
      <c r="R544" s="813" t="s">
        <v>4582</v>
      </c>
      <c r="S544" s="813">
        <v>52.5</v>
      </c>
      <c r="T544" s="814" t="s">
        <v>84</v>
      </c>
      <c r="U544" s="813" t="s">
        <v>4320</v>
      </c>
      <c r="V544" s="981"/>
      <c r="CM544"/>
      <c r="CN544"/>
      <c r="CO544"/>
      <c r="CP544"/>
      <c r="CQ544"/>
      <c r="CR544"/>
      <c r="CS544"/>
      <c r="CT544"/>
      <c r="CU544"/>
      <c r="CV544"/>
      <c r="CW544"/>
      <c r="CX544"/>
      <c r="CY544"/>
    </row>
    <row r="545" spans="1:103" s="1" customFormat="1" ht="20.25" customHeight="1" x14ac:dyDescent="0.25">
      <c r="B545" s="808">
        <v>44926</v>
      </c>
      <c r="C545" s="809">
        <v>0</v>
      </c>
      <c r="D545" s="810">
        <v>58</v>
      </c>
      <c r="E545" s="811">
        <v>7.7</v>
      </c>
      <c r="F545" s="811">
        <v>13.4</v>
      </c>
      <c r="G545" s="811">
        <v>1514</v>
      </c>
      <c r="H545" s="811">
        <v>2395</v>
      </c>
      <c r="I545" s="811">
        <v>112.8</v>
      </c>
      <c r="J545" s="811">
        <v>120</v>
      </c>
      <c r="K545" s="886" t="s">
        <v>4645</v>
      </c>
      <c r="L545" s="811">
        <v>37.020000000000003</v>
      </c>
      <c r="M545" s="812">
        <v>36</v>
      </c>
      <c r="N545" s="811">
        <v>29.92</v>
      </c>
      <c r="O545" s="813" t="s">
        <v>142</v>
      </c>
      <c r="P545" s="813" t="s">
        <v>142</v>
      </c>
      <c r="Q545" s="813" t="s">
        <v>142</v>
      </c>
      <c r="R545" s="813" t="s">
        <v>4661</v>
      </c>
      <c r="S545" s="813">
        <v>52.1</v>
      </c>
      <c r="T545" s="814" t="s">
        <v>84</v>
      </c>
      <c r="U545" s="813" t="s">
        <v>4320</v>
      </c>
      <c r="V545" s="981"/>
      <c r="CM545"/>
      <c r="CN545"/>
      <c r="CO545"/>
      <c r="CP545"/>
      <c r="CQ545"/>
      <c r="CR545"/>
      <c r="CS545"/>
      <c r="CT545"/>
      <c r="CU545"/>
      <c r="CV545"/>
      <c r="CW545"/>
      <c r="CX545"/>
      <c r="CY545"/>
    </row>
    <row r="546" spans="1:103" s="1" customFormat="1" ht="20.25" customHeight="1" x14ac:dyDescent="0.25">
      <c r="B546" s="808">
        <v>44927</v>
      </c>
      <c r="C546" s="809">
        <v>0.875</v>
      </c>
      <c r="D546" s="810">
        <v>58</v>
      </c>
      <c r="E546" s="811">
        <v>7.5</v>
      </c>
      <c r="F546" s="811">
        <v>13.4</v>
      </c>
      <c r="G546" s="811">
        <v>1514</v>
      </c>
      <c r="H546" s="811">
        <v>2395</v>
      </c>
      <c r="I546" s="811">
        <v>112.8</v>
      </c>
      <c r="J546" s="811">
        <v>120</v>
      </c>
      <c r="K546" s="886" t="s">
        <v>4645</v>
      </c>
      <c r="L546" s="811">
        <v>36.57</v>
      </c>
      <c r="M546" s="812">
        <v>36</v>
      </c>
      <c r="N546" s="811">
        <v>29.57</v>
      </c>
      <c r="O546" s="813" t="s">
        <v>142</v>
      </c>
      <c r="P546" s="813" t="s">
        <v>142</v>
      </c>
      <c r="Q546" s="813" t="s">
        <v>142</v>
      </c>
      <c r="R546" s="813" t="s">
        <v>4661</v>
      </c>
      <c r="S546" s="813">
        <v>52.1</v>
      </c>
      <c r="T546" s="814" t="s">
        <v>84</v>
      </c>
      <c r="U546" s="813" t="s">
        <v>4320</v>
      </c>
      <c r="V546" s="981"/>
      <c r="CM546"/>
      <c r="CN546"/>
      <c r="CO546"/>
      <c r="CP546"/>
      <c r="CQ546"/>
      <c r="CR546"/>
      <c r="CS546"/>
      <c r="CT546"/>
      <c r="CU546"/>
      <c r="CV546"/>
      <c r="CW546"/>
      <c r="CX546"/>
      <c r="CY546"/>
    </row>
    <row r="547" spans="1:103" s="1" customFormat="1" ht="20.25" customHeight="1" x14ac:dyDescent="0.25">
      <c r="B547" s="808">
        <v>44928</v>
      </c>
      <c r="C547" s="809">
        <v>0.875</v>
      </c>
      <c r="D547" s="810">
        <v>58</v>
      </c>
      <c r="E547" s="811">
        <v>7.6</v>
      </c>
      <c r="F547" s="811">
        <v>13.5</v>
      </c>
      <c r="G547" s="811">
        <v>1514</v>
      </c>
      <c r="H547" s="811">
        <v>2395</v>
      </c>
      <c r="I547" s="811">
        <v>112.8</v>
      </c>
      <c r="J547" s="811">
        <v>120</v>
      </c>
      <c r="K547" s="886" t="s">
        <v>4645</v>
      </c>
      <c r="L547" s="811">
        <v>36.08</v>
      </c>
      <c r="M547" s="812">
        <v>36</v>
      </c>
      <c r="N547" s="811">
        <v>28.81</v>
      </c>
      <c r="O547" s="813" t="s">
        <v>142</v>
      </c>
      <c r="P547" s="813" t="s">
        <v>142</v>
      </c>
      <c r="Q547" s="813" t="s">
        <v>142</v>
      </c>
      <c r="R547" s="813" t="s">
        <v>4582</v>
      </c>
      <c r="S547" s="813">
        <v>52.5</v>
      </c>
      <c r="T547" s="814" t="s">
        <v>84</v>
      </c>
      <c r="U547" s="813" t="s">
        <v>4320</v>
      </c>
      <c r="V547" s="981"/>
      <c r="CM547"/>
      <c r="CN547"/>
      <c r="CO547"/>
      <c r="CP547"/>
      <c r="CQ547"/>
      <c r="CR547"/>
      <c r="CS547"/>
      <c r="CT547"/>
      <c r="CU547"/>
      <c r="CV547"/>
      <c r="CW547"/>
      <c r="CX547"/>
      <c r="CY547"/>
    </row>
    <row r="548" spans="1:103" s="1" customFormat="1" ht="20.25" customHeight="1" x14ac:dyDescent="0.25">
      <c r="B548" s="808">
        <v>44929</v>
      </c>
      <c r="C548" s="809">
        <v>0.91666666666666663</v>
      </c>
      <c r="D548" s="810">
        <v>58</v>
      </c>
      <c r="E548" s="811">
        <v>7.6</v>
      </c>
      <c r="F548" s="811">
        <v>13.5</v>
      </c>
      <c r="G548" s="811">
        <v>1514</v>
      </c>
      <c r="H548" s="811">
        <v>2395</v>
      </c>
      <c r="I548" s="811">
        <v>112.8</v>
      </c>
      <c r="J548" s="811">
        <v>120</v>
      </c>
      <c r="K548" s="886" t="s">
        <v>4645</v>
      </c>
      <c r="L548" s="811">
        <v>36.08</v>
      </c>
      <c r="M548" s="812">
        <v>36</v>
      </c>
      <c r="N548" s="811">
        <v>29.5</v>
      </c>
      <c r="O548" s="813" t="s">
        <v>142</v>
      </c>
      <c r="P548" s="813" t="s">
        <v>142</v>
      </c>
      <c r="Q548" s="813" t="s">
        <v>142</v>
      </c>
      <c r="R548" s="813" t="s">
        <v>4582</v>
      </c>
      <c r="S548" s="813">
        <v>52.5</v>
      </c>
      <c r="T548" s="814" t="s">
        <v>84</v>
      </c>
      <c r="U548" s="813" t="s">
        <v>4320</v>
      </c>
      <c r="V548" s="981"/>
      <c r="CM548"/>
      <c r="CN548"/>
      <c r="CO548"/>
      <c r="CP548"/>
      <c r="CQ548"/>
      <c r="CR548"/>
      <c r="CS548"/>
      <c r="CT548"/>
      <c r="CU548"/>
      <c r="CV548"/>
      <c r="CW548"/>
      <c r="CX548"/>
      <c r="CY548"/>
    </row>
    <row r="549" spans="1:103" s="1" customFormat="1" ht="20.25" customHeight="1" x14ac:dyDescent="0.25">
      <c r="B549" s="808">
        <v>44930</v>
      </c>
      <c r="C549" s="809">
        <v>0.91666666666666663</v>
      </c>
      <c r="D549" s="810">
        <v>58</v>
      </c>
      <c r="E549" s="811">
        <v>7.6</v>
      </c>
      <c r="F549" s="811">
        <v>13.4</v>
      </c>
      <c r="G549" s="1648" t="s">
        <v>4686</v>
      </c>
      <c r="H549" s="1649"/>
      <c r="I549" s="1649"/>
      <c r="J549" s="1649"/>
      <c r="K549" s="1650"/>
      <c r="L549" s="811">
        <v>36.08</v>
      </c>
      <c r="M549" s="812">
        <v>36</v>
      </c>
      <c r="N549" s="811">
        <v>29.5</v>
      </c>
      <c r="O549" s="813" t="s">
        <v>142</v>
      </c>
      <c r="P549" s="813" t="s">
        <v>142</v>
      </c>
      <c r="Q549" s="813" t="s">
        <v>142</v>
      </c>
      <c r="R549" s="813" t="s">
        <v>4661</v>
      </c>
      <c r="S549" s="813">
        <v>52.1</v>
      </c>
      <c r="T549" s="814" t="s">
        <v>84</v>
      </c>
      <c r="U549" s="813" t="s">
        <v>4320</v>
      </c>
      <c r="V549" s="981" t="s">
        <v>4687</v>
      </c>
      <c r="CM549"/>
      <c r="CN549"/>
      <c r="CO549"/>
      <c r="CP549"/>
      <c r="CQ549"/>
      <c r="CR549"/>
      <c r="CS549"/>
      <c r="CT549"/>
      <c r="CU549"/>
      <c r="CV549"/>
      <c r="CW549"/>
      <c r="CX549"/>
      <c r="CY549"/>
    </row>
    <row r="550" spans="1:103" s="1" customFormat="1" ht="20.25" customHeight="1" x14ac:dyDescent="0.25">
      <c r="B550" s="808">
        <v>44931</v>
      </c>
      <c r="C550" s="809">
        <v>0.91666666666666663</v>
      </c>
      <c r="D550" s="810">
        <v>58</v>
      </c>
      <c r="E550" s="811">
        <v>7.5</v>
      </c>
      <c r="F550" s="811">
        <v>13.4</v>
      </c>
      <c r="G550" s="1648" t="s">
        <v>4686</v>
      </c>
      <c r="H550" s="1649"/>
      <c r="I550" s="1649"/>
      <c r="J550" s="1649"/>
      <c r="K550" s="1650"/>
      <c r="L550" s="811">
        <v>37.799999999999997</v>
      </c>
      <c r="M550" s="812">
        <v>36</v>
      </c>
      <c r="N550" s="811">
        <v>30.1</v>
      </c>
      <c r="O550" s="813" t="s">
        <v>142</v>
      </c>
      <c r="P550" s="813" t="s">
        <v>142</v>
      </c>
      <c r="Q550" s="813" t="s">
        <v>142</v>
      </c>
      <c r="R550" s="813" t="s">
        <v>4661</v>
      </c>
      <c r="S550" s="813">
        <v>52.1</v>
      </c>
      <c r="T550" s="814" t="s">
        <v>84</v>
      </c>
      <c r="U550" s="813" t="s">
        <v>4320</v>
      </c>
      <c r="V550" s="981" t="s">
        <v>4687</v>
      </c>
      <c r="CM550"/>
      <c r="CN550"/>
      <c r="CO550"/>
      <c r="CP550"/>
      <c r="CQ550"/>
      <c r="CR550"/>
      <c r="CS550"/>
      <c r="CT550"/>
      <c r="CU550"/>
      <c r="CV550"/>
      <c r="CW550"/>
      <c r="CX550"/>
      <c r="CY550"/>
    </row>
    <row r="551" spans="1:103" s="1" customFormat="1" ht="20.25" customHeight="1" x14ac:dyDescent="0.25">
      <c r="A551" s="1">
        <v>6</v>
      </c>
      <c r="B551" s="808">
        <v>44932</v>
      </c>
      <c r="C551" s="809">
        <v>0.91666666666666663</v>
      </c>
      <c r="D551" s="810">
        <v>58</v>
      </c>
      <c r="E551" s="811">
        <v>7.5</v>
      </c>
      <c r="F551" s="811">
        <v>13.4</v>
      </c>
      <c r="G551" s="1648" t="s">
        <v>4686</v>
      </c>
      <c r="H551" s="1649"/>
      <c r="I551" s="1649"/>
      <c r="J551" s="1649"/>
      <c r="K551" s="1650"/>
      <c r="L551" s="811">
        <v>38.54</v>
      </c>
      <c r="M551" s="812">
        <v>36</v>
      </c>
      <c r="N551" s="811">
        <v>30.6</v>
      </c>
      <c r="O551" s="813" t="s">
        <v>142</v>
      </c>
      <c r="P551" s="813" t="s">
        <v>142</v>
      </c>
      <c r="Q551" s="813" t="s">
        <v>142</v>
      </c>
      <c r="R551" s="813" t="s">
        <v>4661</v>
      </c>
      <c r="S551" s="813">
        <v>52.1</v>
      </c>
      <c r="T551" s="814" t="s">
        <v>84</v>
      </c>
      <c r="U551" s="813" t="s">
        <v>4703</v>
      </c>
      <c r="V551" s="981" t="s">
        <v>4687</v>
      </c>
      <c r="CM551"/>
      <c r="CN551"/>
      <c r="CO551"/>
      <c r="CP551"/>
      <c r="CQ551"/>
      <c r="CR551"/>
      <c r="CS551"/>
      <c r="CT551"/>
      <c r="CU551"/>
      <c r="CV551"/>
      <c r="CW551"/>
      <c r="CX551"/>
      <c r="CY551"/>
    </row>
    <row r="552" spans="1:103" s="1" customFormat="1" ht="20.25" customHeight="1" x14ac:dyDescent="0.25">
      <c r="B552" s="808">
        <v>44933</v>
      </c>
      <c r="C552" s="809">
        <v>0.91666666666666663</v>
      </c>
      <c r="D552" s="810">
        <v>58</v>
      </c>
      <c r="E552" s="811">
        <v>7.6</v>
      </c>
      <c r="F552" s="811">
        <v>13.4</v>
      </c>
      <c r="G552" s="811">
        <v>1544</v>
      </c>
      <c r="H552" s="811">
        <v>2414</v>
      </c>
      <c r="I552" s="811">
        <v>115.3</v>
      </c>
      <c r="J552" s="811">
        <v>122.5</v>
      </c>
      <c r="K552" s="886" t="s">
        <v>4708</v>
      </c>
      <c r="L552" s="811">
        <v>39.06</v>
      </c>
      <c r="M552" s="812">
        <v>36</v>
      </c>
      <c r="N552" s="811">
        <v>30.6</v>
      </c>
      <c r="O552" s="813" t="s">
        <v>142</v>
      </c>
      <c r="P552" s="813" t="s">
        <v>142</v>
      </c>
      <c r="Q552" s="813" t="s">
        <v>142</v>
      </c>
      <c r="R552" s="813" t="s">
        <v>4661</v>
      </c>
      <c r="S552" s="813">
        <v>52.1</v>
      </c>
      <c r="T552" s="814" t="s">
        <v>84</v>
      </c>
      <c r="U552" s="813" t="s">
        <v>4703</v>
      </c>
      <c r="V552" s="981" t="s">
        <v>4709</v>
      </c>
      <c r="CM552"/>
      <c r="CN552"/>
      <c r="CO552"/>
      <c r="CP552"/>
      <c r="CQ552"/>
      <c r="CR552"/>
      <c r="CS552"/>
      <c r="CT552"/>
      <c r="CU552"/>
      <c r="CV552"/>
      <c r="CW552"/>
      <c r="CX552"/>
      <c r="CY552"/>
    </row>
    <row r="553" spans="1:103" s="1" customFormat="1" ht="20.25" customHeight="1" x14ac:dyDescent="0.25">
      <c r="B553" s="808">
        <v>44934</v>
      </c>
      <c r="C553" s="809">
        <v>0.875</v>
      </c>
      <c r="D553" s="810">
        <v>58</v>
      </c>
      <c r="E553" s="811">
        <v>7.6</v>
      </c>
      <c r="F553" s="811">
        <v>13.4</v>
      </c>
      <c r="G553" s="811">
        <v>1546</v>
      </c>
      <c r="H553" s="811">
        <v>2417</v>
      </c>
      <c r="I553" s="811">
        <v>115.2</v>
      </c>
      <c r="J553" s="811">
        <v>112.6</v>
      </c>
      <c r="K553" s="886" t="s">
        <v>4720</v>
      </c>
      <c r="L553" s="811">
        <v>39.729999999999997</v>
      </c>
      <c r="M553" s="812">
        <v>36</v>
      </c>
      <c r="N553" s="811">
        <v>30.6</v>
      </c>
      <c r="O553" s="813" t="s">
        <v>142</v>
      </c>
      <c r="P553" s="813" t="s">
        <v>142</v>
      </c>
      <c r="Q553" s="813" t="s">
        <v>142</v>
      </c>
      <c r="R553" s="813" t="s">
        <v>4721</v>
      </c>
      <c r="S553" s="813">
        <v>52.1</v>
      </c>
      <c r="T553" s="814" t="s">
        <v>84</v>
      </c>
      <c r="U553" s="813" t="s">
        <v>4703</v>
      </c>
      <c r="V553" s="981"/>
      <c r="CM553"/>
      <c r="CN553"/>
      <c r="CO553"/>
      <c r="CP553"/>
      <c r="CQ553"/>
      <c r="CR553"/>
      <c r="CS553"/>
      <c r="CT553"/>
      <c r="CU553"/>
      <c r="CV553"/>
      <c r="CW553"/>
      <c r="CX553"/>
      <c r="CY553"/>
    </row>
    <row r="554" spans="1:103" s="1" customFormat="1" ht="20.25" customHeight="1" x14ac:dyDescent="0.25">
      <c r="B554" s="808">
        <v>44935</v>
      </c>
      <c r="C554" s="809">
        <v>0.91666666666666663</v>
      </c>
      <c r="D554" s="810">
        <v>58</v>
      </c>
      <c r="E554" s="811">
        <v>7.5</v>
      </c>
      <c r="F554" s="811">
        <v>13.4</v>
      </c>
      <c r="G554" s="811">
        <v>1547</v>
      </c>
      <c r="H554" s="811">
        <v>2423</v>
      </c>
      <c r="I554" s="811">
        <v>115.3</v>
      </c>
      <c r="J554" s="811">
        <v>122.7</v>
      </c>
      <c r="K554" s="886" t="s">
        <v>4725</v>
      </c>
      <c r="L554" s="811">
        <v>34.82</v>
      </c>
      <c r="M554" s="812">
        <v>35</v>
      </c>
      <c r="N554" s="811">
        <v>30.38</v>
      </c>
      <c r="O554" s="813" t="s">
        <v>142</v>
      </c>
      <c r="P554" s="813" t="s">
        <v>142</v>
      </c>
      <c r="Q554" s="813" t="s">
        <v>142</v>
      </c>
      <c r="R554" s="813" t="s">
        <v>4661</v>
      </c>
      <c r="S554" s="813">
        <v>52.1</v>
      </c>
      <c r="T554" s="814" t="s">
        <v>84</v>
      </c>
      <c r="U554" s="813" t="s">
        <v>4703</v>
      </c>
      <c r="V554" s="981"/>
      <c r="CM554"/>
      <c r="CN554"/>
      <c r="CO554"/>
      <c r="CP554"/>
      <c r="CQ554"/>
      <c r="CR554"/>
      <c r="CS554"/>
      <c r="CT554"/>
      <c r="CU554"/>
      <c r="CV554"/>
      <c r="CW554"/>
      <c r="CX554"/>
      <c r="CY554"/>
    </row>
    <row r="555" spans="1:103" s="1" customFormat="1" ht="20.25" customHeight="1" x14ac:dyDescent="0.25">
      <c r="B555" s="808">
        <v>44936</v>
      </c>
      <c r="C555" s="809">
        <v>0.91666666666666663</v>
      </c>
      <c r="D555" s="810">
        <v>58</v>
      </c>
      <c r="E555" s="811">
        <v>7.5</v>
      </c>
      <c r="F555" s="811">
        <v>13.4</v>
      </c>
      <c r="G555" s="811">
        <v>1553</v>
      </c>
      <c r="H555" s="811">
        <v>2442</v>
      </c>
      <c r="I555" s="811">
        <v>110.3</v>
      </c>
      <c r="J555" s="811">
        <v>122.8</v>
      </c>
      <c r="K555" s="886" t="s">
        <v>4725</v>
      </c>
      <c r="L555" s="811">
        <v>37.78</v>
      </c>
      <c r="M555" s="812">
        <v>35.5</v>
      </c>
      <c r="N555" s="811">
        <v>30.38</v>
      </c>
      <c r="O555" s="813" t="s">
        <v>142</v>
      </c>
      <c r="P555" s="813" t="s">
        <v>142</v>
      </c>
      <c r="Q555" s="813" t="s">
        <v>142</v>
      </c>
      <c r="R555" s="813" t="s">
        <v>4732</v>
      </c>
      <c r="S555" s="813">
        <v>51.7</v>
      </c>
      <c r="T555" s="814" t="s">
        <v>84</v>
      </c>
      <c r="U555" s="813" t="s">
        <v>4703</v>
      </c>
      <c r="V555" s="981"/>
      <c r="CM555"/>
      <c r="CN555"/>
      <c r="CO555"/>
      <c r="CP555"/>
      <c r="CQ555"/>
      <c r="CR555"/>
      <c r="CS555"/>
      <c r="CT555"/>
      <c r="CU555"/>
      <c r="CV555"/>
      <c r="CW555"/>
      <c r="CX555"/>
      <c r="CY555"/>
    </row>
    <row r="556" spans="1:103" s="1" customFormat="1" ht="20.25" customHeight="1" x14ac:dyDescent="0.25">
      <c r="B556" s="808">
        <v>44937</v>
      </c>
      <c r="C556" s="809">
        <v>0.91666666666666663</v>
      </c>
      <c r="D556" s="810">
        <v>58</v>
      </c>
      <c r="E556" s="811">
        <v>7.5</v>
      </c>
      <c r="F556" s="811">
        <v>13.4</v>
      </c>
      <c r="G556" s="811">
        <v>1557</v>
      </c>
      <c r="H556" s="811">
        <v>2485</v>
      </c>
      <c r="I556" s="811">
        <v>108.2</v>
      </c>
      <c r="J556" s="811">
        <v>122</v>
      </c>
      <c r="K556" s="886" t="s">
        <v>4737</v>
      </c>
      <c r="L556" s="811">
        <v>38.03</v>
      </c>
      <c r="M556" s="812">
        <v>35.5</v>
      </c>
      <c r="N556" s="811">
        <v>30.41</v>
      </c>
      <c r="O556" s="813" t="s">
        <v>142</v>
      </c>
      <c r="P556" s="813" t="s">
        <v>142</v>
      </c>
      <c r="Q556" s="813" t="s">
        <v>142</v>
      </c>
      <c r="R556" s="813" t="s">
        <v>4661</v>
      </c>
      <c r="S556" s="813">
        <v>52.1</v>
      </c>
      <c r="T556" s="814" t="s">
        <v>84</v>
      </c>
      <c r="U556" s="813" t="s">
        <v>4736</v>
      </c>
      <c r="V556" s="981"/>
      <c r="CM556"/>
      <c r="CN556"/>
      <c r="CO556"/>
      <c r="CP556"/>
      <c r="CQ556"/>
      <c r="CR556"/>
      <c r="CS556"/>
      <c r="CT556"/>
      <c r="CU556"/>
      <c r="CV556"/>
      <c r="CW556"/>
      <c r="CX556"/>
      <c r="CY556"/>
    </row>
    <row r="557" spans="1:103" s="1" customFormat="1" ht="20.25" customHeight="1" x14ac:dyDescent="0.25">
      <c r="B557" s="808">
        <v>44938</v>
      </c>
      <c r="C557" s="809">
        <v>0.91666666666666663</v>
      </c>
      <c r="D557" s="810">
        <v>58</v>
      </c>
      <c r="E557" s="811">
        <v>7.4</v>
      </c>
      <c r="F557" s="811">
        <v>13.3</v>
      </c>
      <c r="G557" s="811">
        <v>1575</v>
      </c>
      <c r="H557" s="811">
        <v>2535</v>
      </c>
      <c r="I557" s="811">
        <v>102</v>
      </c>
      <c r="J557" s="811">
        <v>122.8</v>
      </c>
      <c r="K557" s="886" t="s">
        <v>4746</v>
      </c>
      <c r="L557" s="811">
        <v>37.44</v>
      </c>
      <c r="M557" s="812">
        <v>35.5</v>
      </c>
      <c r="N557" s="811">
        <v>29.15</v>
      </c>
      <c r="O557" s="813" t="s">
        <v>142</v>
      </c>
      <c r="P557" s="813" t="s">
        <v>142</v>
      </c>
      <c r="Q557" s="813" t="s">
        <v>142</v>
      </c>
      <c r="R557" s="813" t="s">
        <v>4747</v>
      </c>
      <c r="S557" s="813">
        <v>51.7</v>
      </c>
      <c r="T557" s="814" t="s">
        <v>84</v>
      </c>
      <c r="U557" s="813" t="s">
        <v>4736</v>
      </c>
      <c r="V557" s="981"/>
      <c r="CM557"/>
      <c r="CN557"/>
      <c r="CO557"/>
      <c r="CP557"/>
      <c r="CQ557"/>
      <c r="CR557"/>
      <c r="CS557"/>
      <c r="CT557"/>
      <c r="CU557"/>
      <c r="CV557"/>
      <c r="CW557"/>
      <c r="CX557"/>
      <c r="CY557"/>
    </row>
    <row r="558" spans="1:103" s="1" customFormat="1" ht="20.25" customHeight="1" x14ac:dyDescent="0.25">
      <c r="B558" s="808">
        <v>44939</v>
      </c>
      <c r="C558" s="809">
        <v>0.91666666666666663</v>
      </c>
      <c r="D558" s="810">
        <v>58</v>
      </c>
      <c r="E558" s="811">
        <v>7.2</v>
      </c>
      <c r="F558" s="811">
        <v>13.2</v>
      </c>
      <c r="G558" s="811">
        <v>1589</v>
      </c>
      <c r="H558" s="811">
        <v>2566</v>
      </c>
      <c r="I558" s="811">
        <v>101.9</v>
      </c>
      <c r="J558" s="811">
        <v>123.7</v>
      </c>
      <c r="K558" s="886" t="s">
        <v>4758</v>
      </c>
      <c r="L558" s="811">
        <v>38.42</v>
      </c>
      <c r="M558" s="812">
        <v>35.5</v>
      </c>
      <c r="N558" s="811">
        <v>28.62</v>
      </c>
      <c r="O558" s="813" t="s">
        <v>142</v>
      </c>
      <c r="P558" s="813" t="s">
        <v>142</v>
      </c>
      <c r="Q558" s="813" t="s">
        <v>142</v>
      </c>
      <c r="R558" s="813" t="s">
        <v>4759</v>
      </c>
      <c r="S558" s="813">
        <v>51.3</v>
      </c>
      <c r="T558" s="814" t="s">
        <v>84</v>
      </c>
      <c r="U558" s="813" t="s">
        <v>4736</v>
      </c>
      <c r="V558" s="981"/>
      <c r="CM558"/>
      <c r="CN558"/>
      <c r="CO558"/>
      <c r="CP558"/>
      <c r="CQ558"/>
      <c r="CR558"/>
      <c r="CS558"/>
      <c r="CT558"/>
      <c r="CU558"/>
      <c r="CV558"/>
      <c r="CW558"/>
      <c r="CX558"/>
      <c r="CY558"/>
    </row>
    <row r="559" spans="1:103" s="1" customFormat="1" ht="20.25" customHeight="1" x14ac:dyDescent="0.25">
      <c r="B559" s="808">
        <v>44940</v>
      </c>
      <c r="C559" s="809">
        <v>0.91666666666666663</v>
      </c>
      <c r="D559" s="810">
        <v>58</v>
      </c>
      <c r="E559" s="811">
        <v>7.2</v>
      </c>
      <c r="F559" s="811">
        <v>13.2</v>
      </c>
      <c r="G559" s="811">
        <v>1605</v>
      </c>
      <c r="H559" s="811">
        <v>2567</v>
      </c>
      <c r="I559" s="811">
        <v>101.6</v>
      </c>
      <c r="J559" s="811">
        <v>125.8</v>
      </c>
      <c r="K559" s="886" t="s">
        <v>4764</v>
      </c>
      <c r="L559" s="811">
        <v>35.270000000000003</v>
      </c>
      <c r="M559" s="812">
        <v>35</v>
      </c>
      <c r="N559" s="811">
        <v>27.43</v>
      </c>
      <c r="O559" s="813" t="s">
        <v>142</v>
      </c>
      <c r="P559" s="813" t="s">
        <v>142</v>
      </c>
      <c r="Q559" s="813" t="s">
        <v>142</v>
      </c>
      <c r="R559" s="813" t="s">
        <v>4759</v>
      </c>
      <c r="S559" s="813">
        <v>51.3</v>
      </c>
      <c r="T559" s="814" t="s">
        <v>84</v>
      </c>
      <c r="U559" s="813" t="s">
        <v>4736</v>
      </c>
      <c r="V559" s="981"/>
      <c r="CM559"/>
      <c r="CN559"/>
      <c r="CO559"/>
      <c r="CP559"/>
      <c r="CQ559"/>
      <c r="CR559"/>
      <c r="CS559"/>
      <c r="CT559"/>
      <c r="CU559"/>
      <c r="CV559"/>
      <c r="CW559"/>
      <c r="CX559"/>
      <c r="CY559"/>
    </row>
    <row r="560" spans="1:103" s="1" customFormat="1" ht="20.25" customHeight="1" x14ac:dyDescent="0.25">
      <c r="B560" s="808">
        <v>44941</v>
      </c>
      <c r="C560" s="809">
        <v>0.91666666666666663</v>
      </c>
      <c r="D560" s="810">
        <v>58</v>
      </c>
      <c r="E560" s="811">
        <v>7.1</v>
      </c>
      <c r="F560" s="811">
        <v>13.2</v>
      </c>
      <c r="G560" s="811">
        <v>1621</v>
      </c>
      <c r="H560" s="811">
        <v>2566</v>
      </c>
      <c r="I560" s="811">
        <v>101.5</v>
      </c>
      <c r="J560" s="811">
        <v>126.8</v>
      </c>
      <c r="K560" s="886" t="s">
        <v>4772</v>
      </c>
      <c r="L560" s="811">
        <v>35.46</v>
      </c>
      <c r="M560" s="812">
        <v>35</v>
      </c>
      <c r="N560" s="811">
        <v>27.25</v>
      </c>
      <c r="O560" s="813" t="s">
        <v>142</v>
      </c>
      <c r="P560" s="813" t="s">
        <v>142</v>
      </c>
      <c r="Q560" s="813" t="s">
        <v>142</v>
      </c>
      <c r="R560" s="813" t="s">
        <v>4759</v>
      </c>
      <c r="S560" s="813">
        <v>51.3</v>
      </c>
      <c r="T560" s="814" t="s">
        <v>84</v>
      </c>
      <c r="U560" s="813" t="s">
        <v>4736</v>
      </c>
      <c r="V560" s="981"/>
      <c r="CM560"/>
      <c r="CN560"/>
      <c r="CO560"/>
      <c r="CP560"/>
      <c r="CQ560"/>
      <c r="CR560"/>
      <c r="CS560"/>
      <c r="CT560"/>
      <c r="CU560"/>
      <c r="CV560"/>
      <c r="CW560"/>
      <c r="CX560"/>
      <c r="CY560"/>
    </row>
    <row r="561" spans="2:103" s="1" customFormat="1" ht="20.25" customHeight="1" x14ac:dyDescent="0.25">
      <c r="B561" s="808">
        <v>44942</v>
      </c>
      <c r="C561" s="809">
        <v>0.91666666666666663</v>
      </c>
      <c r="D561" s="810">
        <v>58</v>
      </c>
      <c r="E561" s="811">
        <v>7</v>
      </c>
      <c r="F561" s="811">
        <v>13.1</v>
      </c>
      <c r="G561" s="811">
        <v>1621</v>
      </c>
      <c r="H561" s="811">
        <v>2578</v>
      </c>
      <c r="I561" s="811">
        <v>101.5</v>
      </c>
      <c r="J561" s="811">
        <v>129.69999999999999</v>
      </c>
      <c r="K561" s="886" t="s">
        <v>4784</v>
      </c>
      <c r="L561" s="811">
        <v>37.130000000000003</v>
      </c>
      <c r="M561" s="812">
        <v>35</v>
      </c>
      <c r="N561" s="811">
        <v>27.05</v>
      </c>
      <c r="O561" s="813" t="s">
        <v>142</v>
      </c>
      <c r="P561" s="813" t="s">
        <v>142</v>
      </c>
      <c r="Q561" s="813" t="s">
        <v>142</v>
      </c>
      <c r="R561" s="813" t="s">
        <v>1024</v>
      </c>
      <c r="S561" s="813">
        <v>50.9</v>
      </c>
      <c r="T561" s="814" t="s">
        <v>84</v>
      </c>
      <c r="U561" s="813" t="s">
        <v>4736</v>
      </c>
      <c r="V561" s="981"/>
      <c r="CM561"/>
      <c r="CN561"/>
      <c r="CO561"/>
      <c r="CP561"/>
      <c r="CQ561"/>
      <c r="CR561"/>
      <c r="CS561"/>
      <c r="CT561"/>
      <c r="CU561"/>
      <c r="CV561"/>
      <c r="CW561"/>
      <c r="CX561"/>
      <c r="CY561"/>
    </row>
    <row r="562" spans="2:103" s="1" customFormat="1" ht="20.25" customHeight="1" x14ac:dyDescent="0.25">
      <c r="B562" s="808">
        <v>44943</v>
      </c>
      <c r="C562" s="809">
        <v>0.91666666666666663</v>
      </c>
      <c r="D562" s="810">
        <v>58</v>
      </c>
      <c r="E562" s="811">
        <v>7</v>
      </c>
      <c r="F562" s="811">
        <v>13</v>
      </c>
      <c r="G562" s="811">
        <v>1621</v>
      </c>
      <c r="H562" s="811">
        <v>2578</v>
      </c>
      <c r="I562" s="811">
        <v>101.5</v>
      </c>
      <c r="J562" s="811">
        <v>129.69999999999999</v>
      </c>
      <c r="K562" s="886" t="s">
        <v>4784</v>
      </c>
      <c r="L562" s="811">
        <v>36.840000000000003</v>
      </c>
      <c r="M562" s="812">
        <v>34</v>
      </c>
      <c r="N562" s="811">
        <v>26.02</v>
      </c>
      <c r="O562" s="813" t="s">
        <v>142</v>
      </c>
      <c r="P562" s="813" t="s">
        <v>142</v>
      </c>
      <c r="Q562" s="813" t="s">
        <v>142</v>
      </c>
      <c r="R562" s="813" t="s">
        <v>1024</v>
      </c>
      <c r="S562" s="813">
        <v>50.5</v>
      </c>
      <c r="T562" s="814" t="s">
        <v>84</v>
      </c>
      <c r="U562" s="813" t="s">
        <v>4736</v>
      </c>
      <c r="V562" s="981"/>
      <c r="CM562"/>
      <c r="CN562"/>
      <c r="CO562"/>
      <c r="CP562"/>
      <c r="CQ562"/>
      <c r="CR562"/>
      <c r="CS562"/>
      <c r="CT562"/>
      <c r="CU562"/>
      <c r="CV562"/>
      <c r="CW562"/>
      <c r="CX562"/>
      <c r="CY562"/>
    </row>
    <row r="563" spans="2:103" s="1" customFormat="1" ht="20.25" customHeight="1" x14ac:dyDescent="0.25">
      <c r="B563" s="808">
        <v>44944</v>
      </c>
      <c r="C563" s="809">
        <v>0.91666666666666663</v>
      </c>
      <c r="D563" s="1660" t="s">
        <v>4797</v>
      </c>
      <c r="E563" s="1661"/>
      <c r="F563" s="1661"/>
      <c r="G563" s="1661"/>
      <c r="H563" s="1661"/>
      <c r="I563" s="1661"/>
      <c r="J563" s="1661"/>
      <c r="K563" s="1661"/>
      <c r="L563" s="1661"/>
      <c r="M563" s="1661"/>
      <c r="N563" s="1661"/>
      <c r="O563" s="1661"/>
      <c r="P563" s="1661"/>
      <c r="Q563" s="1661"/>
      <c r="R563" s="1661"/>
      <c r="S563" s="1662"/>
      <c r="T563" s="814" t="s">
        <v>84</v>
      </c>
      <c r="U563" s="813" t="s">
        <v>4736</v>
      </c>
      <c r="V563" s="981"/>
      <c r="CM563"/>
      <c r="CN563"/>
      <c r="CO563"/>
      <c r="CP563"/>
      <c r="CQ563"/>
      <c r="CR563"/>
      <c r="CS563"/>
      <c r="CT563"/>
      <c r="CU563"/>
      <c r="CV563"/>
      <c r="CW563"/>
      <c r="CX563"/>
      <c r="CY563"/>
    </row>
    <row r="564" spans="2:103" s="1" customFormat="1" ht="20.25" customHeight="1" x14ac:dyDescent="0.25">
      <c r="B564" s="808">
        <v>44945</v>
      </c>
      <c r="C564" s="809">
        <v>0.91666666666666663</v>
      </c>
      <c r="D564" s="810">
        <v>58</v>
      </c>
      <c r="E564" s="811">
        <v>9.3000000000000007</v>
      </c>
      <c r="F564" s="811">
        <v>14.6</v>
      </c>
      <c r="G564" s="1648" t="s">
        <v>4839</v>
      </c>
      <c r="H564" s="1649"/>
      <c r="I564" s="1649"/>
      <c r="J564" s="1649"/>
      <c r="K564" s="1650"/>
      <c r="L564" s="811">
        <v>38.54</v>
      </c>
      <c r="M564" s="812">
        <v>34</v>
      </c>
      <c r="N564" s="811">
        <v>34.130000000000003</v>
      </c>
      <c r="O564" s="813" t="s">
        <v>142</v>
      </c>
      <c r="P564" s="813" t="s">
        <v>142</v>
      </c>
      <c r="Q564" s="813" t="s">
        <v>142</v>
      </c>
      <c r="R564" s="813" t="s">
        <v>4078</v>
      </c>
      <c r="S564" s="813">
        <v>56.8</v>
      </c>
      <c r="T564" s="814" t="s">
        <v>84</v>
      </c>
      <c r="U564" s="813" t="s">
        <v>4736</v>
      </c>
      <c r="V564" s="981"/>
      <c r="CM564"/>
      <c r="CN564"/>
      <c r="CO564"/>
      <c r="CP564"/>
      <c r="CQ564"/>
      <c r="CR564"/>
      <c r="CS564"/>
      <c r="CT564"/>
      <c r="CU564"/>
      <c r="CV564"/>
      <c r="CW564"/>
      <c r="CX564"/>
      <c r="CY564"/>
    </row>
    <row r="565" spans="2:103" s="1" customFormat="1" ht="20.25" customHeight="1" x14ac:dyDescent="0.25">
      <c r="B565" s="808">
        <v>44946</v>
      </c>
      <c r="C565" s="809">
        <v>0.91666666666666663</v>
      </c>
      <c r="D565" s="810">
        <v>58</v>
      </c>
      <c r="E565" s="811">
        <v>9</v>
      </c>
      <c r="F565" s="811">
        <v>14.3</v>
      </c>
      <c r="G565" s="1648" t="s">
        <v>4839</v>
      </c>
      <c r="H565" s="1649"/>
      <c r="I565" s="1649"/>
      <c r="J565" s="1649"/>
      <c r="K565" s="1650"/>
      <c r="L565" s="811">
        <v>38.119999999999997</v>
      </c>
      <c r="M565" s="812">
        <v>34</v>
      </c>
      <c r="N565" s="811">
        <v>32.71</v>
      </c>
      <c r="O565" s="813" t="s">
        <v>142</v>
      </c>
      <c r="P565" s="813" t="s">
        <v>142</v>
      </c>
      <c r="Q565" s="813" t="s">
        <v>142</v>
      </c>
      <c r="R565" s="813" t="s">
        <v>3860</v>
      </c>
      <c r="S565" s="813">
        <v>55.6</v>
      </c>
      <c r="T565" s="814" t="s">
        <v>84</v>
      </c>
      <c r="U565" s="813" t="s">
        <v>4736</v>
      </c>
      <c r="V565" s="981"/>
      <c r="CM565"/>
      <c r="CN565"/>
      <c r="CO565"/>
      <c r="CP565"/>
      <c r="CQ565"/>
      <c r="CR565"/>
      <c r="CS565"/>
      <c r="CT565"/>
      <c r="CU565"/>
      <c r="CV565"/>
      <c r="CW565"/>
      <c r="CX565"/>
      <c r="CY565"/>
    </row>
    <row r="566" spans="2:103" s="1" customFormat="1" ht="20.25" customHeight="1" x14ac:dyDescent="0.25">
      <c r="B566" s="808">
        <v>44947</v>
      </c>
      <c r="C566" s="809">
        <v>0.91666666666666663</v>
      </c>
      <c r="D566" s="810">
        <v>58</v>
      </c>
      <c r="E566" s="811">
        <v>9</v>
      </c>
      <c r="F566" s="811">
        <v>14.4</v>
      </c>
      <c r="G566" s="1648" t="s">
        <v>4839</v>
      </c>
      <c r="H566" s="1649"/>
      <c r="I566" s="1649"/>
      <c r="J566" s="1649"/>
      <c r="K566" s="1650"/>
      <c r="L566" s="811">
        <v>40.71</v>
      </c>
      <c r="M566" s="812">
        <v>34</v>
      </c>
      <c r="N566" s="811">
        <v>32.21</v>
      </c>
      <c r="O566" s="813" t="s">
        <v>142</v>
      </c>
      <c r="P566" s="813" t="s">
        <v>142</v>
      </c>
      <c r="Q566" s="813" t="s">
        <v>142</v>
      </c>
      <c r="R566" s="813" t="s">
        <v>4146</v>
      </c>
      <c r="S566" s="813">
        <v>56</v>
      </c>
      <c r="T566" s="814" t="s">
        <v>84</v>
      </c>
      <c r="U566" s="813" t="s">
        <v>4736</v>
      </c>
      <c r="V566" s="981"/>
      <c r="CM566"/>
      <c r="CN566"/>
      <c r="CO566"/>
      <c r="CP566"/>
      <c r="CQ566"/>
      <c r="CR566"/>
      <c r="CS566"/>
      <c r="CT566"/>
      <c r="CU566"/>
      <c r="CV566"/>
      <c r="CW566"/>
      <c r="CX566"/>
      <c r="CY566"/>
    </row>
    <row r="567" spans="2:103" s="1" customFormat="1" ht="20.25" customHeight="1" x14ac:dyDescent="0.25">
      <c r="B567" s="808">
        <v>44948</v>
      </c>
      <c r="C567" s="809">
        <v>0.91666666666666663</v>
      </c>
      <c r="D567" s="810">
        <v>58</v>
      </c>
      <c r="E567" s="811">
        <v>9.1999999999999993</v>
      </c>
      <c r="F567" s="811">
        <v>14.5</v>
      </c>
      <c r="G567" s="1648" t="s">
        <v>4839</v>
      </c>
      <c r="H567" s="1649"/>
      <c r="I567" s="1649"/>
      <c r="J567" s="1649"/>
      <c r="K567" s="1650"/>
      <c r="L567" s="811">
        <v>37.619999999999997</v>
      </c>
      <c r="M567" s="812">
        <v>34</v>
      </c>
      <c r="N567" s="811">
        <v>32.01</v>
      </c>
      <c r="O567" s="813" t="s">
        <v>142</v>
      </c>
      <c r="P567" s="813" t="s">
        <v>142</v>
      </c>
      <c r="Q567" s="813" t="s">
        <v>142</v>
      </c>
      <c r="R567" s="813" t="s">
        <v>4822</v>
      </c>
      <c r="S567" s="813">
        <v>56.4</v>
      </c>
      <c r="T567" s="814" t="s">
        <v>84</v>
      </c>
      <c r="U567" s="813" t="s">
        <v>4736</v>
      </c>
      <c r="V567" s="981"/>
      <c r="CM567"/>
      <c r="CN567"/>
      <c r="CO567"/>
      <c r="CP567"/>
      <c r="CQ567"/>
      <c r="CR567"/>
      <c r="CS567"/>
      <c r="CT567"/>
      <c r="CU567"/>
      <c r="CV567"/>
      <c r="CW567"/>
      <c r="CX567"/>
      <c r="CY567"/>
    </row>
    <row r="568" spans="2:103" s="1" customFormat="1" ht="20.25" customHeight="1" x14ac:dyDescent="0.25">
      <c r="B568" s="808">
        <v>44949</v>
      </c>
      <c r="C568" s="809">
        <v>0.91666666666666663</v>
      </c>
      <c r="D568" s="810">
        <v>58</v>
      </c>
      <c r="E568" s="811">
        <v>8.9</v>
      </c>
      <c r="F568" s="811">
        <v>14.3</v>
      </c>
      <c r="G568" s="1648" t="s">
        <v>4839</v>
      </c>
      <c r="H568" s="1649"/>
      <c r="I568" s="1649"/>
      <c r="J568" s="1649"/>
      <c r="K568" s="1650"/>
      <c r="L568" s="811">
        <v>37.270000000000003</v>
      </c>
      <c r="M568" s="812">
        <v>34</v>
      </c>
      <c r="N568" s="811">
        <v>30.69</v>
      </c>
      <c r="O568" s="813" t="s">
        <v>142</v>
      </c>
      <c r="P568" s="813" t="s">
        <v>142</v>
      </c>
      <c r="Q568" s="813" t="s">
        <v>142</v>
      </c>
      <c r="R568" s="813" t="s">
        <v>3860</v>
      </c>
      <c r="S568" s="813">
        <v>55.6</v>
      </c>
      <c r="T568" s="814" t="s">
        <v>84</v>
      </c>
      <c r="U568" s="813" t="s">
        <v>4736</v>
      </c>
      <c r="V568" s="981"/>
      <c r="CM568"/>
      <c r="CN568"/>
      <c r="CO568"/>
      <c r="CP568"/>
      <c r="CQ568"/>
      <c r="CR568"/>
      <c r="CS568"/>
      <c r="CT568"/>
      <c r="CU568"/>
      <c r="CV568"/>
      <c r="CW568"/>
      <c r="CX568"/>
      <c r="CY568"/>
    </row>
    <row r="569" spans="2:103" s="1" customFormat="1" ht="20.25" customHeight="1" x14ac:dyDescent="0.25">
      <c r="B569" s="808">
        <v>44950</v>
      </c>
      <c r="C569" s="809">
        <v>0.91666666666666663</v>
      </c>
      <c r="D569" s="810">
        <v>58</v>
      </c>
      <c r="E569" s="811">
        <v>8.9</v>
      </c>
      <c r="F569" s="811">
        <v>14.3</v>
      </c>
      <c r="G569" s="1648" t="s">
        <v>4839</v>
      </c>
      <c r="H569" s="1649"/>
      <c r="I569" s="1649"/>
      <c r="J569" s="1649"/>
      <c r="K569" s="1650"/>
      <c r="L569" s="811">
        <v>37.270000000000003</v>
      </c>
      <c r="M569" s="812">
        <v>34</v>
      </c>
      <c r="N569" s="811">
        <v>31.18</v>
      </c>
      <c r="O569" s="813" t="s">
        <v>142</v>
      </c>
      <c r="P569" s="813" t="s">
        <v>142</v>
      </c>
      <c r="Q569" s="813" t="s">
        <v>142</v>
      </c>
      <c r="R569" s="813" t="s">
        <v>3860</v>
      </c>
      <c r="S569" s="813">
        <v>55.6</v>
      </c>
      <c r="T569" s="814" t="s">
        <v>84</v>
      </c>
      <c r="U569" s="813" t="s">
        <v>4736</v>
      </c>
      <c r="V569" s="981"/>
      <c r="CM569"/>
      <c r="CN569"/>
      <c r="CO569"/>
      <c r="CP569"/>
      <c r="CQ569"/>
      <c r="CR569"/>
      <c r="CS569"/>
      <c r="CT569"/>
      <c r="CU569"/>
      <c r="CV569"/>
      <c r="CW569"/>
      <c r="CX569"/>
      <c r="CY569"/>
    </row>
    <row r="570" spans="2:103" s="1" customFormat="1" ht="20.25" customHeight="1" x14ac:dyDescent="0.25">
      <c r="B570" s="808">
        <v>44951</v>
      </c>
      <c r="C570" s="809">
        <v>0.91666666666666663</v>
      </c>
      <c r="D570" s="810">
        <v>58</v>
      </c>
      <c r="E570" s="811">
        <v>8.5</v>
      </c>
      <c r="F570" s="811">
        <v>14</v>
      </c>
      <c r="G570" s="1648" t="s">
        <v>4839</v>
      </c>
      <c r="H570" s="1649"/>
      <c r="I570" s="1649"/>
      <c r="J570" s="1649"/>
      <c r="K570" s="1650"/>
      <c r="L570" s="811">
        <v>37.25</v>
      </c>
      <c r="M570" s="812">
        <v>34</v>
      </c>
      <c r="N570" s="811">
        <v>30.64</v>
      </c>
      <c r="O570" s="813" t="s">
        <v>142</v>
      </c>
      <c r="P570" s="813" t="s">
        <v>142</v>
      </c>
      <c r="Q570" s="813" t="s">
        <v>142</v>
      </c>
      <c r="R570" s="813" t="s">
        <v>4359</v>
      </c>
      <c r="S570" s="813">
        <v>54.4</v>
      </c>
      <c r="T570" s="814" t="s">
        <v>84</v>
      </c>
      <c r="U570" s="813" t="s">
        <v>4736</v>
      </c>
      <c r="V570" s="981"/>
      <c r="CM570"/>
      <c r="CN570"/>
      <c r="CO570"/>
      <c r="CP570"/>
      <c r="CQ570"/>
      <c r="CR570"/>
      <c r="CS570"/>
      <c r="CT570"/>
      <c r="CU570"/>
      <c r="CV570"/>
      <c r="CW570"/>
      <c r="CX570"/>
      <c r="CY570"/>
    </row>
    <row r="571" spans="2:103" s="1" customFormat="1" ht="20.25" customHeight="1" x14ac:dyDescent="0.25">
      <c r="B571" s="808">
        <v>44952</v>
      </c>
      <c r="C571" s="809">
        <v>0.91666666666666663</v>
      </c>
      <c r="D571" s="810">
        <v>58</v>
      </c>
      <c r="E571" s="811">
        <v>8.6</v>
      </c>
      <c r="F571" s="811">
        <v>14</v>
      </c>
      <c r="G571" s="1648" t="s">
        <v>4839</v>
      </c>
      <c r="H571" s="1649"/>
      <c r="I571" s="1649"/>
      <c r="J571" s="1649"/>
      <c r="K571" s="1650"/>
      <c r="L571" s="811">
        <v>36.56</v>
      </c>
      <c r="M571" s="812">
        <v>34</v>
      </c>
      <c r="N571" s="811">
        <v>30.81</v>
      </c>
      <c r="O571" s="813" t="s">
        <v>142</v>
      </c>
      <c r="P571" s="813" t="s">
        <v>142</v>
      </c>
      <c r="Q571" s="813" t="s">
        <v>142</v>
      </c>
      <c r="R571" s="813" t="s">
        <v>4359</v>
      </c>
      <c r="S571" s="813">
        <v>54.4</v>
      </c>
      <c r="T571" s="814" t="s">
        <v>84</v>
      </c>
      <c r="U571" s="813" t="s">
        <v>4736</v>
      </c>
      <c r="V571" s="981"/>
      <c r="CM571"/>
      <c r="CN571"/>
      <c r="CO571"/>
      <c r="CP571"/>
      <c r="CQ571"/>
      <c r="CR571"/>
      <c r="CS571"/>
      <c r="CT571"/>
      <c r="CU571"/>
      <c r="CV571"/>
      <c r="CW571"/>
      <c r="CX571"/>
      <c r="CY571"/>
    </row>
    <row r="572" spans="2:103" s="1" customFormat="1" ht="20.25" customHeight="1" x14ac:dyDescent="0.25">
      <c r="B572" s="808">
        <v>44953</v>
      </c>
      <c r="C572" s="809">
        <v>0.91666666666666663</v>
      </c>
      <c r="D572" s="810">
        <v>58</v>
      </c>
      <c r="E572" s="811">
        <v>8.1999999999999993</v>
      </c>
      <c r="F572" s="811">
        <v>13.8</v>
      </c>
      <c r="G572" s="1648" t="s">
        <v>4839</v>
      </c>
      <c r="H572" s="1649"/>
      <c r="I572" s="1649"/>
      <c r="J572" s="1649"/>
      <c r="K572" s="1650"/>
      <c r="L572" s="811">
        <v>36.200000000000003</v>
      </c>
      <c r="M572" s="812">
        <v>34</v>
      </c>
      <c r="N572" s="811">
        <v>31.29</v>
      </c>
      <c r="O572" s="813" t="s">
        <v>142</v>
      </c>
      <c r="P572" s="813" t="s">
        <v>142</v>
      </c>
      <c r="Q572" s="813" t="s">
        <v>142</v>
      </c>
      <c r="R572" s="813" t="s">
        <v>4323</v>
      </c>
      <c r="S572" s="813">
        <v>53.6</v>
      </c>
      <c r="T572" s="814" t="s">
        <v>84</v>
      </c>
      <c r="U572" s="813" t="s">
        <v>4736</v>
      </c>
      <c r="V572" s="981"/>
      <c r="CM572"/>
      <c r="CN572"/>
      <c r="CO572"/>
      <c r="CP572"/>
      <c r="CQ572"/>
      <c r="CR572"/>
      <c r="CS572"/>
      <c r="CT572"/>
      <c r="CU572"/>
      <c r="CV572"/>
      <c r="CW572"/>
      <c r="CX572"/>
      <c r="CY572"/>
    </row>
    <row r="573" spans="2:103" s="1" customFormat="1" ht="20.25" customHeight="1" x14ac:dyDescent="0.25">
      <c r="B573" s="808">
        <v>44954</v>
      </c>
      <c r="C573" s="809">
        <v>0.91666666666666663</v>
      </c>
      <c r="D573" s="810">
        <v>58</v>
      </c>
      <c r="E573" s="811">
        <v>8.4</v>
      </c>
      <c r="F573" s="811">
        <v>13.9</v>
      </c>
      <c r="G573" s="1648" t="s">
        <v>4839</v>
      </c>
      <c r="H573" s="1649"/>
      <c r="I573" s="1649"/>
      <c r="J573" s="1649"/>
      <c r="K573" s="1650"/>
      <c r="L573" s="811">
        <v>39.090000000000003</v>
      </c>
      <c r="M573" s="812">
        <v>34</v>
      </c>
      <c r="N573" s="811">
        <v>31.53</v>
      </c>
      <c r="O573" s="813" t="s">
        <v>142</v>
      </c>
      <c r="P573" s="813" t="s">
        <v>142</v>
      </c>
      <c r="Q573" s="813" t="s">
        <v>142</v>
      </c>
      <c r="R573" s="813" t="s">
        <v>4333</v>
      </c>
      <c r="S573" s="813">
        <v>54</v>
      </c>
      <c r="T573" s="814" t="s">
        <v>84</v>
      </c>
      <c r="U573" s="813" t="s">
        <v>4736</v>
      </c>
      <c r="V573" s="981"/>
      <c r="CM573"/>
      <c r="CN573"/>
      <c r="CO573"/>
      <c r="CP573"/>
      <c r="CQ573"/>
      <c r="CR573"/>
      <c r="CS573"/>
      <c r="CT573"/>
      <c r="CU573"/>
      <c r="CV573"/>
      <c r="CW573"/>
      <c r="CX573"/>
      <c r="CY573"/>
    </row>
    <row r="574" spans="2:103" s="1" customFormat="1" ht="20.25" customHeight="1" x14ac:dyDescent="0.25">
      <c r="B574" s="808">
        <v>44955</v>
      </c>
      <c r="C574" s="809">
        <v>0.91666666666666663</v>
      </c>
      <c r="D574" s="810">
        <v>58</v>
      </c>
      <c r="E574" s="811">
        <v>8.3000000000000007</v>
      </c>
      <c r="F574" s="811">
        <v>13.9</v>
      </c>
      <c r="G574" s="1648" t="s">
        <v>4839</v>
      </c>
      <c r="H574" s="1649"/>
      <c r="I574" s="1649"/>
      <c r="J574" s="1649"/>
      <c r="K574" s="1650"/>
      <c r="L574" s="811">
        <v>34.270000000000003</v>
      </c>
      <c r="M574" s="812">
        <v>34</v>
      </c>
      <c r="N574" s="811">
        <v>31.22</v>
      </c>
      <c r="O574" s="813" t="s">
        <v>142</v>
      </c>
      <c r="P574" s="813" t="s">
        <v>142</v>
      </c>
      <c r="Q574" s="813" t="s">
        <v>142</v>
      </c>
      <c r="R574" s="813" t="s">
        <v>4333</v>
      </c>
      <c r="S574" s="813">
        <v>54</v>
      </c>
      <c r="T574" s="814" t="s">
        <v>84</v>
      </c>
      <c r="U574" s="813" t="s">
        <v>4736</v>
      </c>
      <c r="V574" s="981"/>
      <c r="CM574"/>
      <c r="CN574"/>
      <c r="CO574"/>
      <c r="CP574"/>
      <c r="CQ574"/>
      <c r="CR574"/>
      <c r="CS574"/>
      <c r="CT574"/>
      <c r="CU574"/>
      <c r="CV574"/>
      <c r="CW574"/>
      <c r="CX574"/>
      <c r="CY574"/>
    </row>
    <row r="575" spans="2:103" s="1" customFormat="1" ht="20.25" customHeight="1" x14ac:dyDescent="0.25">
      <c r="B575" s="808">
        <v>44956</v>
      </c>
      <c r="C575" s="809">
        <v>0.91666666666666663</v>
      </c>
      <c r="D575" s="810">
        <v>58</v>
      </c>
      <c r="E575" s="811">
        <v>8.3000000000000007</v>
      </c>
      <c r="F575" s="811">
        <v>13.9</v>
      </c>
      <c r="G575" s="1648" t="s">
        <v>4839</v>
      </c>
      <c r="H575" s="1649"/>
      <c r="I575" s="1649"/>
      <c r="J575" s="1649"/>
      <c r="K575" s="1650"/>
      <c r="L575" s="811">
        <v>36.03</v>
      </c>
      <c r="M575" s="812">
        <v>34</v>
      </c>
      <c r="N575" s="811">
        <v>30.95</v>
      </c>
      <c r="O575" s="813" t="s">
        <v>142</v>
      </c>
      <c r="P575" s="813" t="s">
        <v>142</v>
      </c>
      <c r="Q575" s="813" t="s">
        <v>142</v>
      </c>
      <c r="R575" s="813" t="s">
        <v>4333</v>
      </c>
      <c r="S575" s="813">
        <v>54</v>
      </c>
      <c r="T575" s="814" t="s">
        <v>84</v>
      </c>
      <c r="U575" s="813" t="s">
        <v>4736</v>
      </c>
      <c r="V575" s="981"/>
      <c r="CM575"/>
      <c r="CN575"/>
      <c r="CO575"/>
      <c r="CP575"/>
      <c r="CQ575"/>
      <c r="CR575"/>
      <c r="CS575"/>
      <c r="CT575"/>
      <c r="CU575"/>
      <c r="CV575"/>
      <c r="CW575"/>
      <c r="CX575"/>
      <c r="CY575"/>
    </row>
    <row r="576" spans="2:103" s="1" customFormat="1" ht="20.25" customHeight="1" x14ac:dyDescent="0.25">
      <c r="B576" s="808">
        <v>44957</v>
      </c>
      <c r="C576" s="809">
        <v>0.91666666666666663</v>
      </c>
      <c r="D576" s="810">
        <v>58</v>
      </c>
      <c r="E576" s="811">
        <v>8.1999999999999993</v>
      </c>
      <c r="F576" s="811">
        <v>13.8</v>
      </c>
      <c r="G576" s="1648" t="s">
        <v>4839</v>
      </c>
      <c r="H576" s="1649"/>
      <c r="I576" s="1649"/>
      <c r="J576" s="1649"/>
      <c r="K576" s="1650"/>
      <c r="L576" s="811">
        <v>36.049999999999997</v>
      </c>
      <c r="M576" s="812">
        <v>34</v>
      </c>
      <c r="N576" s="811">
        <v>30.88</v>
      </c>
      <c r="O576" s="813" t="s">
        <v>142</v>
      </c>
      <c r="P576" s="813" t="s">
        <v>142</v>
      </c>
      <c r="Q576" s="813" t="s">
        <v>142</v>
      </c>
      <c r="R576" s="813" t="s">
        <v>4875</v>
      </c>
      <c r="S576" s="813">
        <v>53.6</v>
      </c>
      <c r="T576" s="814" t="s">
        <v>84</v>
      </c>
      <c r="U576" s="813" t="s">
        <v>4736</v>
      </c>
      <c r="V576" s="981"/>
      <c r="CM576"/>
      <c r="CN576"/>
      <c r="CO576"/>
      <c r="CP576"/>
      <c r="CQ576"/>
      <c r="CR576"/>
      <c r="CS576"/>
      <c r="CT576"/>
      <c r="CU576"/>
      <c r="CV576"/>
      <c r="CW576"/>
      <c r="CX576"/>
      <c r="CY576"/>
    </row>
    <row r="577" spans="2:103" s="1" customFormat="1" ht="20.25" customHeight="1" x14ac:dyDescent="0.25">
      <c r="B577" s="808">
        <v>44958</v>
      </c>
      <c r="C577" s="809">
        <v>0.91666666666666663</v>
      </c>
      <c r="D577" s="810">
        <v>58</v>
      </c>
      <c r="E577" s="811">
        <v>8</v>
      </c>
      <c r="F577" s="811">
        <v>13.7</v>
      </c>
      <c r="G577" s="1648" t="s">
        <v>4839</v>
      </c>
      <c r="H577" s="1649"/>
      <c r="I577" s="1649"/>
      <c r="J577" s="1649"/>
      <c r="K577" s="1650"/>
      <c r="L577" s="811">
        <v>34.659999999999997</v>
      </c>
      <c r="M577" s="812">
        <v>34</v>
      </c>
      <c r="N577" s="811">
        <v>30.72</v>
      </c>
      <c r="O577" s="813" t="s">
        <v>142</v>
      </c>
      <c r="P577" s="813" t="s">
        <v>142</v>
      </c>
      <c r="Q577" s="813" t="s">
        <v>142</v>
      </c>
      <c r="R577" s="813" t="s">
        <v>3808</v>
      </c>
      <c r="S577" s="813">
        <v>53.3</v>
      </c>
      <c r="T577" s="814" t="s">
        <v>84</v>
      </c>
      <c r="U577" s="813" t="s">
        <v>4736</v>
      </c>
      <c r="V577" s="981"/>
      <c r="CM577"/>
      <c r="CN577"/>
      <c r="CO577"/>
      <c r="CP577"/>
      <c r="CQ577"/>
      <c r="CR577"/>
      <c r="CS577"/>
      <c r="CT577"/>
      <c r="CU577"/>
      <c r="CV577"/>
      <c r="CW577"/>
      <c r="CX577"/>
      <c r="CY577"/>
    </row>
    <row r="578" spans="2:103" s="1" customFormat="1" ht="20.25" customHeight="1" x14ac:dyDescent="0.25">
      <c r="B578" s="808">
        <v>44959</v>
      </c>
      <c r="C578" s="809">
        <v>0.91666666666666663</v>
      </c>
      <c r="D578" s="810">
        <v>58</v>
      </c>
      <c r="E578" s="811" t="s">
        <v>4888</v>
      </c>
      <c r="F578" s="811">
        <v>13.8</v>
      </c>
      <c r="G578" s="1648" t="s">
        <v>4839</v>
      </c>
      <c r="H578" s="1649"/>
      <c r="I578" s="1649"/>
      <c r="J578" s="1649"/>
      <c r="K578" s="1650"/>
      <c r="L578" s="811">
        <v>36.79</v>
      </c>
      <c r="M578" s="812">
        <v>34</v>
      </c>
      <c r="N578" s="811">
        <v>31.29</v>
      </c>
      <c r="O578" s="813" t="s">
        <v>142</v>
      </c>
      <c r="P578" s="813" t="s">
        <v>142</v>
      </c>
      <c r="Q578" s="813" t="s">
        <v>142</v>
      </c>
      <c r="R578" s="813" t="s">
        <v>4343</v>
      </c>
      <c r="S578" s="813">
        <v>53.6</v>
      </c>
      <c r="T578" s="814" t="s">
        <v>84</v>
      </c>
      <c r="U578" s="813" t="s">
        <v>4736</v>
      </c>
      <c r="V578" s="981"/>
      <c r="CM578"/>
      <c r="CN578"/>
      <c r="CO578"/>
      <c r="CP578"/>
      <c r="CQ578"/>
      <c r="CR578"/>
      <c r="CS578"/>
      <c r="CT578"/>
      <c r="CU578"/>
      <c r="CV578"/>
      <c r="CW578"/>
      <c r="CX578"/>
      <c r="CY578"/>
    </row>
    <row r="579" spans="2:103" s="1" customFormat="1" ht="20.25" customHeight="1" x14ac:dyDescent="0.25">
      <c r="B579" s="808">
        <v>44960</v>
      </c>
      <c r="C579" s="809">
        <v>0.91666666666666663</v>
      </c>
      <c r="D579" s="810">
        <v>58</v>
      </c>
      <c r="E579" s="811">
        <v>8.1999999999999993</v>
      </c>
      <c r="F579" s="811">
        <v>13.8</v>
      </c>
      <c r="G579" s="1648" t="s">
        <v>4839</v>
      </c>
      <c r="H579" s="1649"/>
      <c r="I579" s="1649"/>
      <c r="J579" s="1649"/>
      <c r="K579" s="1650"/>
      <c r="L579" s="811">
        <v>37.479999999999997</v>
      </c>
      <c r="M579" s="812">
        <v>34</v>
      </c>
      <c r="N579" s="811">
        <v>31.53</v>
      </c>
      <c r="O579" s="813" t="s">
        <v>142</v>
      </c>
      <c r="P579" s="813" t="s">
        <v>142</v>
      </c>
      <c r="Q579" s="813" t="s">
        <v>142</v>
      </c>
      <c r="R579" s="813" t="s">
        <v>4343</v>
      </c>
      <c r="S579" s="813">
        <v>53.6</v>
      </c>
      <c r="T579" s="814" t="s">
        <v>84</v>
      </c>
      <c r="U579" s="813" t="s">
        <v>4736</v>
      </c>
      <c r="V579" s="981"/>
      <c r="CM579"/>
      <c r="CN579"/>
      <c r="CO579"/>
      <c r="CP579"/>
      <c r="CQ579"/>
      <c r="CR579"/>
      <c r="CS579"/>
      <c r="CT579"/>
      <c r="CU579"/>
      <c r="CV579"/>
      <c r="CW579"/>
      <c r="CX579"/>
      <c r="CY579"/>
    </row>
    <row r="580" spans="2:103" s="1" customFormat="1" ht="20.25" customHeight="1" x14ac:dyDescent="0.25">
      <c r="B580" s="808">
        <v>44961</v>
      </c>
      <c r="C580" s="809">
        <v>0.91666666666666663</v>
      </c>
      <c r="D580" s="810">
        <v>58</v>
      </c>
      <c r="E580" s="811">
        <v>8</v>
      </c>
      <c r="F580" s="811">
        <v>13.7</v>
      </c>
      <c r="G580" s="1648" t="s">
        <v>4839</v>
      </c>
      <c r="H580" s="1649"/>
      <c r="I580" s="1649"/>
      <c r="J580" s="1649"/>
      <c r="K580" s="1650"/>
      <c r="L580" s="811">
        <v>36.79</v>
      </c>
      <c r="M580" s="812">
        <v>34</v>
      </c>
      <c r="N580" s="811">
        <v>30.99</v>
      </c>
      <c r="O580" s="813" t="s">
        <v>142</v>
      </c>
      <c r="P580" s="813" t="s">
        <v>142</v>
      </c>
      <c r="Q580" s="813" t="s">
        <v>142</v>
      </c>
      <c r="R580" s="813" t="s">
        <v>3808</v>
      </c>
      <c r="S580" s="813">
        <v>53.3</v>
      </c>
      <c r="T580" s="814" t="s">
        <v>84</v>
      </c>
      <c r="U580" s="813" t="s">
        <v>4736</v>
      </c>
      <c r="V580" s="981"/>
      <c r="CM580"/>
      <c r="CN580"/>
      <c r="CO580"/>
      <c r="CP580"/>
      <c r="CQ580"/>
      <c r="CR580"/>
      <c r="CS580"/>
      <c r="CT580"/>
      <c r="CU580"/>
      <c r="CV580"/>
      <c r="CW580"/>
      <c r="CX580"/>
      <c r="CY580"/>
    </row>
    <row r="581" spans="2:103" s="1" customFormat="1" ht="20.25" customHeight="1" x14ac:dyDescent="0.25">
      <c r="B581" s="808">
        <v>44962</v>
      </c>
      <c r="C581" s="809">
        <v>0.91666666666666663</v>
      </c>
      <c r="D581" s="810">
        <v>58</v>
      </c>
      <c r="E581" s="811">
        <v>8</v>
      </c>
      <c r="F581" s="811">
        <v>13.7</v>
      </c>
      <c r="G581" s="1648" t="s">
        <v>4839</v>
      </c>
      <c r="H581" s="1649"/>
      <c r="I581" s="1649"/>
      <c r="J581" s="1649"/>
      <c r="K581" s="1650"/>
      <c r="L581" s="811">
        <v>37.94</v>
      </c>
      <c r="M581" s="812">
        <v>34</v>
      </c>
      <c r="N581" s="811">
        <v>30.72</v>
      </c>
      <c r="O581" s="813" t="s">
        <v>142</v>
      </c>
      <c r="P581" s="813" t="s">
        <v>142</v>
      </c>
      <c r="Q581" s="813" t="s">
        <v>142</v>
      </c>
      <c r="R581" s="813" t="s">
        <v>4471</v>
      </c>
      <c r="S581" s="813">
        <v>53.3</v>
      </c>
      <c r="T581" s="814" t="s">
        <v>84</v>
      </c>
      <c r="U581" s="813" t="s">
        <v>4736</v>
      </c>
      <c r="V581" s="981"/>
      <c r="CM581"/>
      <c r="CN581"/>
      <c r="CO581"/>
      <c r="CP581"/>
      <c r="CQ581"/>
      <c r="CR581"/>
      <c r="CS581"/>
      <c r="CT581"/>
      <c r="CU581"/>
      <c r="CV581"/>
      <c r="CW581"/>
      <c r="CX581"/>
      <c r="CY581"/>
    </row>
    <row r="582" spans="2:103" s="1" customFormat="1" ht="20.25" customHeight="1" x14ac:dyDescent="0.25">
      <c r="B582" s="808">
        <v>44963</v>
      </c>
      <c r="C582" s="809">
        <v>0.91666666666666663</v>
      </c>
      <c r="D582" s="810">
        <v>58</v>
      </c>
      <c r="E582" s="811">
        <v>7.9</v>
      </c>
      <c r="F582" s="811">
        <v>13.6</v>
      </c>
      <c r="G582" s="1648" t="s">
        <v>4839</v>
      </c>
      <c r="H582" s="1649"/>
      <c r="I582" s="1649"/>
      <c r="J582" s="1649"/>
      <c r="K582" s="1650"/>
      <c r="L582" s="811">
        <v>35.6</v>
      </c>
      <c r="M582" s="812">
        <v>34</v>
      </c>
      <c r="N582" s="811">
        <v>30.34</v>
      </c>
      <c r="O582" s="813" t="s">
        <v>142</v>
      </c>
      <c r="P582" s="813" t="s">
        <v>142</v>
      </c>
      <c r="Q582" s="813" t="s">
        <v>142</v>
      </c>
      <c r="R582" s="813" t="s">
        <v>4917</v>
      </c>
      <c r="S582" s="813">
        <v>52.9</v>
      </c>
      <c r="T582" s="814" t="s">
        <v>84</v>
      </c>
      <c r="U582" s="813" t="s">
        <v>4736</v>
      </c>
      <c r="V582" s="981"/>
      <c r="CM582"/>
      <c r="CN582"/>
      <c r="CO582"/>
      <c r="CP582"/>
      <c r="CQ582"/>
      <c r="CR582"/>
      <c r="CS582"/>
      <c r="CT582"/>
      <c r="CU582"/>
      <c r="CV582"/>
      <c r="CW582"/>
      <c r="CX582"/>
      <c r="CY582"/>
    </row>
    <row r="583" spans="2:103" s="1" customFormat="1" ht="20.25" customHeight="1" x14ac:dyDescent="0.25">
      <c r="B583" s="808">
        <v>44964</v>
      </c>
      <c r="C583" s="809">
        <v>0.91666666666666663</v>
      </c>
      <c r="D583" s="810">
        <v>58</v>
      </c>
      <c r="E583" s="811">
        <v>7.9</v>
      </c>
      <c r="F583" s="811">
        <v>13.6</v>
      </c>
      <c r="G583" s="1648" t="s">
        <v>4839</v>
      </c>
      <c r="H583" s="1649"/>
      <c r="I583" s="1649"/>
      <c r="J583" s="1649"/>
      <c r="K583" s="1650"/>
      <c r="L583" s="811">
        <v>36.130000000000003</v>
      </c>
      <c r="M583" s="812">
        <v>34</v>
      </c>
      <c r="N583" s="811">
        <v>29.57</v>
      </c>
      <c r="O583" s="813" t="s">
        <v>142</v>
      </c>
      <c r="P583" s="813" t="s">
        <v>142</v>
      </c>
      <c r="Q583" s="813" t="s">
        <v>142</v>
      </c>
      <c r="R583" s="813" t="s">
        <v>4921</v>
      </c>
      <c r="S583" s="813">
        <v>52.9</v>
      </c>
      <c r="T583" s="814" t="s">
        <v>84</v>
      </c>
      <c r="U583" s="813" t="s">
        <v>4736</v>
      </c>
      <c r="V583" s="981"/>
      <c r="CM583"/>
      <c r="CN583"/>
      <c r="CO583"/>
      <c r="CP583"/>
      <c r="CQ583"/>
      <c r="CR583"/>
      <c r="CS583"/>
      <c r="CT583"/>
      <c r="CU583"/>
      <c r="CV583"/>
      <c r="CW583"/>
      <c r="CX583"/>
      <c r="CY583"/>
    </row>
    <row r="584" spans="2:103" s="1" customFormat="1" ht="20.25" customHeight="1" x14ac:dyDescent="0.25">
      <c r="B584" s="808">
        <v>44965</v>
      </c>
      <c r="C584" s="809">
        <v>0.91666666666666663</v>
      </c>
      <c r="D584" s="810">
        <v>58</v>
      </c>
      <c r="E584" s="811">
        <v>7.9</v>
      </c>
      <c r="F584" s="811">
        <v>13.6</v>
      </c>
      <c r="G584" s="1648" t="s">
        <v>4839</v>
      </c>
      <c r="H584" s="1649"/>
      <c r="I584" s="1649"/>
      <c r="J584" s="1649"/>
      <c r="K584" s="1650"/>
      <c r="L584" s="811">
        <v>39.36</v>
      </c>
      <c r="M584" s="812">
        <v>34</v>
      </c>
      <c r="N584" s="811">
        <v>29.61</v>
      </c>
      <c r="O584" s="813" t="s">
        <v>142</v>
      </c>
      <c r="P584" s="813" t="s">
        <v>142</v>
      </c>
      <c r="Q584" s="813" t="s">
        <v>142</v>
      </c>
      <c r="R584" s="813" t="s">
        <v>4206</v>
      </c>
      <c r="S584" s="813">
        <v>52.9</v>
      </c>
      <c r="T584" s="814" t="s">
        <v>84</v>
      </c>
      <c r="U584" s="813" t="s">
        <v>4736</v>
      </c>
      <c r="V584" s="981"/>
      <c r="CM584"/>
      <c r="CN584"/>
      <c r="CO584"/>
      <c r="CP584"/>
      <c r="CQ584"/>
      <c r="CR584"/>
      <c r="CS584"/>
      <c r="CT584"/>
      <c r="CU584"/>
      <c r="CV584"/>
      <c r="CW584"/>
      <c r="CX584"/>
      <c r="CY584"/>
    </row>
    <row r="585" spans="2:103" s="1" customFormat="1" ht="141" customHeight="1" x14ac:dyDescent="0.25">
      <c r="B585" s="808">
        <v>44966</v>
      </c>
      <c r="C585" s="809">
        <v>0.9375</v>
      </c>
      <c r="D585" s="810">
        <v>55</v>
      </c>
      <c r="E585" s="811">
        <v>7.9</v>
      </c>
      <c r="F585" s="811">
        <v>13.8</v>
      </c>
      <c r="G585" s="1648" t="s">
        <v>4839</v>
      </c>
      <c r="H585" s="1649"/>
      <c r="I585" s="1649"/>
      <c r="J585" s="1649"/>
      <c r="K585" s="1650"/>
      <c r="L585" s="811">
        <v>38.1</v>
      </c>
      <c r="M585" s="812">
        <v>40</v>
      </c>
      <c r="N585" s="811">
        <v>33.6</v>
      </c>
      <c r="O585" s="813" t="s">
        <v>142</v>
      </c>
      <c r="P585" s="813" t="s">
        <v>142</v>
      </c>
      <c r="Q585" s="813" t="s">
        <v>142</v>
      </c>
      <c r="R585" s="813" t="s">
        <v>4875</v>
      </c>
      <c r="S585" s="813">
        <v>53.6</v>
      </c>
      <c r="T585" s="814" t="s">
        <v>84</v>
      </c>
      <c r="U585" s="813" t="s">
        <v>236</v>
      </c>
      <c r="V585" s="981" t="s">
        <v>4943</v>
      </c>
      <c r="CM585"/>
      <c r="CN585"/>
      <c r="CO585"/>
      <c r="CP585"/>
      <c r="CQ585"/>
      <c r="CR585"/>
      <c r="CS585"/>
      <c r="CT585"/>
      <c r="CU585"/>
      <c r="CV585"/>
      <c r="CW585"/>
      <c r="CX585"/>
      <c r="CY585"/>
    </row>
    <row r="586" spans="2:103" s="1" customFormat="1" ht="20.25" customHeight="1" x14ac:dyDescent="0.25">
      <c r="B586" s="808">
        <v>44967</v>
      </c>
      <c r="C586" s="809">
        <v>0.91666666666666663</v>
      </c>
      <c r="D586" s="810">
        <v>56</v>
      </c>
      <c r="E586" s="811">
        <v>7.8</v>
      </c>
      <c r="F586" s="811">
        <v>13.8</v>
      </c>
      <c r="G586" s="1648" t="s">
        <v>4839</v>
      </c>
      <c r="H586" s="1649"/>
      <c r="I586" s="1649"/>
      <c r="J586" s="1649"/>
      <c r="K586" s="1650"/>
      <c r="L586" s="811">
        <v>39.1</v>
      </c>
      <c r="M586" s="812">
        <v>41.5</v>
      </c>
      <c r="N586" s="811">
        <v>33.32</v>
      </c>
      <c r="O586" s="813" t="s">
        <v>142</v>
      </c>
      <c r="P586" s="813" t="s">
        <v>142</v>
      </c>
      <c r="Q586" s="813" t="s">
        <v>142</v>
      </c>
      <c r="R586" s="813" t="s">
        <v>4949</v>
      </c>
      <c r="S586" s="813">
        <v>53.6</v>
      </c>
      <c r="T586" s="814" t="s">
        <v>84</v>
      </c>
      <c r="U586" s="813" t="s">
        <v>236</v>
      </c>
      <c r="V586" s="981"/>
      <c r="CM586"/>
      <c r="CN586"/>
      <c r="CO586"/>
      <c r="CP586"/>
      <c r="CQ586"/>
      <c r="CR586"/>
      <c r="CS586"/>
      <c r="CT586"/>
      <c r="CU586"/>
      <c r="CV586"/>
      <c r="CW586"/>
      <c r="CX586"/>
      <c r="CY586"/>
    </row>
    <row r="587" spans="2:103" s="1" customFormat="1" ht="20.25" customHeight="1" x14ac:dyDescent="0.25">
      <c r="B587" s="808">
        <v>44968</v>
      </c>
      <c r="C587" s="809">
        <v>0.89583333333333337</v>
      </c>
      <c r="D587" s="810">
        <v>56</v>
      </c>
      <c r="E587" s="811">
        <v>8</v>
      </c>
      <c r="F587" s="811">
        <v>13.9</v>
      </c>
      <c r="G587" s="1648" t="s">
        <v>4839</v>
      </c>
      <c r="H587" s="1649"/>
      <c r="I587" s="1649"/>
      <c r="J587" s="1649"/>
      <c r="K587" s="1650"/>
      <c r="L587" s="811">
        <v>35.409999999999997</v>
      </c>
      <c r="M587" s="812">
        <v>37.5</v>
      </c>
      <c r="N587" s="811">
        <v>33.049999999999997</v>
      </c>
      <c r="O587" s="813" t="s">
        <v>142</v>
      </c>
      <c r="P587" s="813" t="s">
        <v>142</v>
      </c>
      <c r="Q587" s="813" t="s">
        <v>142</v>
      </c>
      <c r="R587" s="813" t="s">
        <v>3966</v>
      </c>
      <c r="S587" s="813">
        <v>54</v>
      </c>
      <c r="T587" s="814" t="s">
        <v>84</v>
      </c>
      <c r="U587" s="813" t="s">
        <v>236</v>
      </c>
      <c r="V587" s="981"/>
      <c r="CM587"/>
      <c r="CN587"/>
      <c r="CO587"/>
      <c r="CP587"/>
      <c r="CQ587"/>
      <c r="CR587"/>
      <c r="CS587"/>
      <c r="CT587"/>
      <c r="CU587"/>
      <c r="CV587"/>
      <c r="CW587"/>
      <c r="CX587"/>
      <c r="CY587"/>
    </row>
    <row r="588" spans="2:103" s="1" customFormat="1" ht="20.25" customHeight="1" x14ac:dyDescent="0.25">
      <c r="B588" s="808">
        <v>44969</v>
      </c>
      <c r="C588" s="809">
        <v>0.9375</v>
      </c>
      <c r="D588" s="810">
        <v>56</v>
      </c>
      <c r="E588" s="811">
        <v>7.7</v>
      </c>
      <c r="F588" s="811">
        <v>13.7</v>
      </c>
      <c r="G588" s="1648" t="s">
        <v>4839</v>
      </c>
      <c r="H588" s="1649"/>
      <c r="I588" s="1649"/>
      <c r="J588" s="1649"/>
      <c r="K588" s="1650"/>
      <c r="L588" s="811">
        <v>38.19</v>
      </c>
      <c r="M588" s="812">
        <v>39.5</v>
      </c>
      <c r="N588" s="811">
        <v>32.67</v>
      </c>
      <c r="O588" s="813" t="s">
        <v>142</v>
      </c>
      <c r="P588" s="813" t="s">
        <v>142</v>
      </c>
      <c r="Q588" s="813" t="s">
        <v>142</v>
      </c>
      <c r="R588" s="813" t="s">
        <v>4493</v>
      </c>
      <c r="S588" s="813">
        <v>53.3</v>
      </c>
      <c r="T588" s="814" t="s">
        <v>84</v>
      </c>
      <c r="U588" s="813" t="s">
        <v>236</v>
      </c>
      <c r="V588" s="981"/>
      <c r="CM588"/>
      <c r="CN588"/>
      <c r="CO588"/>
      <c r="CP588"/>
      <c r="CQ588"/>
      <c r="CR588"/>
      <c r="CS588"/>
      <c r="CT588"/>
      <c r="CU588"/>
      <c r="CV588"/>
      <c r="CW588"/>
      <c r="CX588"/>
      <c r="CY588"/>
    </row>
    <row r="589" spans="2:103" s="1" customFormat="1" ht="20.25" customHeight="1" x14ac:dyDescent="0.25">
      <c r="B589" s="808">
        <v>44970</v>
      </c>
      <c r="C589" s="809">
        <v>0.8125</v>
      </c>
      <c r="D589" s="810">
        <v>56</v>
      </c>
      <c r="E589" s="811">
        <v>7.8</v>
      </c>
      <c r="F589" s="811">
        <v>13.8</v>
      </c>
      <c r="G589" s="1648" t="s">
        <v>4839</v>
      </c>
      <c r="H589" s="1649"/>
      <c r="I589" s="1649"/>
      <c r="J589" s="1649"/>
      <c r="K589" s="1650"/>
      <c r="L589" s="811">
        <v>36.14</v>
      </c>
      <c r="M589" s="812">
        <v>39</v>
      </c>
      <c r="N589" s="811">
        <v>32.67</v>
      </c>
      <c r="O589" s="813" t="s">
        <v>142</v>
      </c>
      <c r="P589" s="813" t="s">
        <v>142</v>
      </c>
      <c r="Q589" s="813" t="s">
        <v>142</v>
      </c>
      <c r="R589" s="813" t="s">
        <v>4343</v>
      </c>
      <c r="S589" s="813">
        <v>53.6</v>
      </c>
      <c r="T589" s="814" t="s">
        <v>84</v>
      </c>
      <c r="U589" s="813" t="s">
        <v>236</v>
      </c>
      <c r="V589" s="981"/>
      <c r="CM589"/>
      <c r="CN589"/>
      <c r="CO589"/>
      <c r="CP589"/>
      <c r="CQ589"/>
      <c r="CR589"/>
      <c r="CS589"/>
      <c r="CT589"/>
      <c r="CU589"/>
      <c r="CV589"/>
      <c r="CW589"/>
      <c r="CX589"/>
      <c r="CY589"/>
    </row>
    <row r="590" spans="2:103" s="1" customFormat="1" ht="20.25" customHeight="1" x14ac:dyDescent="0.25">
      <c r="B590" s="808">
        <v>44971</v>
      </c>
      <c r="C590" s="809">
        <v>0.89583333333333337</v>
      </c>
      <c r="D590" s="810">
        <v>57</v>
      </c>
      <c r="E590" s="811">
        <v>7.9</v>
      </c>
      <c r="F590" s="811">
        <v>14</v>
      </c>
      <c r="G590" s="1648" t="s">
        <v>4839</v>
      </c>
      <c r="H590" s="1649"/>
      <c r="I590" s="1649"/>
      <c r="J590" s="1649"/>
      <c r="K590" s="1650"/>
      <c r="L590" s="811">
        <v>36.01</v>
      </c>
      <c r="M590" s="812">
        <v>39</v>
      </c>
      <c r="N590" s="811">
        <v>30.78</v>
      </c>
      <c r="O590" s="813" t="s">
        <v>142</v>
      </c>
      <c r="P590" s="813" t="s">
        <v>142</v>
      </c>
      <c r="Q590" s="813" t="s">
        <v>142</v>
      </c>
      <c r="R590" s="813" t="s">
        <v>4066</v>
      </c>
      <c r="S590" s="813">
        <v>54.4</v>
      </c>
      <c r="T590" s="814" t="s">
        <v>84</v>
      </c>
      <c r="U590" s="813" t="s">
        <v>236</v>
      </c>
      <c r="V590" s="981" t="s">
        <v>4969</v>
      </c>
      <c r="CM590"/>
      <c r="CN590"/>
      <c r="CO590"/>
      <c r="CP590"/>
      <c r="CQ590"/>
      <c r="CR590"/>
      <c r="CS590"/>
      <c r="CT590"/>
      <c r="CU590"/>
      <c r="CV590"/>
      <c r="CW590"/>
      <c r="CX590"/>
      <c r="CY590"/>
    </row>
    <row r="591" spans="2:103" s="1" customFormat="1" ht="20.25" customHeight="1" x14ac:dyDescent="0.25">
      <c r="B591" s="808">
        <v>44972</v>
      </c>
      <c r="C591" s="809">
        <v>0.9375</v>
      </c>
      <c r="D591" s="810">
        <v>57</v>
      </c>
      <c r="E591" s="811">
        <v>8.1</v>
      </c>
      <c r="F591" s="811">
        <v>14</v>
      </c>
      <c r="G591" s="1648" t="s">
        <v>4839</v>
      </c>
      <c r="H591" s="1649"/>
      <c r="I591" s="1649"/>
      <c r="J591" s="1649"/>
      <c r="K591" s="1650"/>
      <c r="L591" s="811">
        <v>36.24</v>
      </c>
      <c r="M591" s="812">
        <v>39</v>
      </c>
      <c r="N591" s="811">
        <v>31.48</v>
      </c>
      <c r="O591" s="813" t="s">
        <v>142</v>
      </c>
      <c r="P591" s="813" t="s">
        <v>142</v>
      </c>
      <c r="Q591" s="813" t="s">
        <v>142</v>
      </c>
      <c r="R591" s="813" t="s">
        <v>4066</v>
      </c>
      <c r="S591" s="813">
        <v>54.4</v>
      </c>
      <c r="T591" s="814" t="s">
        <v>84</v>
      </c>
      <c r="U591" s="813" t="s">
        <v>236</v>
      </c>
      <c r="V591" s="981"/>
      <c r="CM591"/>
      <c r="CN591"/>
      <c r="CO591"/>
      <c r="CP591"/>
      <c r="CQ591"/>
      <c r="CR591"/>
      <c r="CS591"/>
      <c r="CT591"/>
      <c r="CU591"/>
      <c r="CV591"/>
      <c r="CW591"/>
      <c r="CX591"/>
      <c r="CY591"/>
    </row>
    <row r="592" spans="2:103" s="1" customFormat="1" ht="20.25" customHeight="1" x14ac:dyDescent="0.25">
      <c r="B592" s="808">
        <v>44973</v>
      </c>
      <c r="C592" s="809">
        <v>0.91666666666666663</v>
      </c>
      <c r="D592" s="810">
        <v>57</v>
      </c>
      <c r="E592" s="811">
        <v>8.1</v>
      </c>
      <c r="F592" s="811">
        <v>14.1</v>
      </c>
      <c r="G592" s="1648" t="s">
        <v>4839</v>
      </c>
      <c r="H592" s="1649"/>
      <c r="I592" s="1649"/>
      <c r="J592" s="1649"/>
      <c r="K592" s="1650"/>
      <c r="L592" s="811">
        <v>35.57</v>
      </c>
      <c r="M592" s="812">
        <v>38</v>
      </c>
      <c r="N592" s="811">
        <v>31.41</v>
      </c>
      <c r="O592" s="813" t="s">
        <v>142</v>
      </c>
      <c r="P592" s="813" t="s">
        <v>142</v>
      </c>
      <c r="Q592" s="813" t="s">
        <v>142</v>
      </c>
      <c r="R592" s="813" t="s">
        <v>4243</v>
      </c>
      <c r="S592" s="813">
        <v>54.8</v>
      </c>
      <c r="T592" s="814" t="s">
        <v>84</v>
      </c>
      <c r="U592" s="813" t="s">
        <v>236</v>
      </c>
      <c r="V592" s="981"/>
      <c r="CM592"/>
      <c r="CN592"/>
      <c r="CO592"/>
      <c r="CP592"/>
      <c r="CQ592"/>
      <c r="CR592"/>
      <c r="CS592"/>
      <c r="CT592"/>
      <c r="CU592"/>
      <c r="CV592"/>
      <c r="CW592"/>
      <c r="CX592"/>
      <c r="CY592"/>
    </row>
    <row r="593" spans="2:103" s="1" customFormat="1" ht="20.25" customHeight="1" x14ac:dyDescent="0.25">
      <c r="B593" s="808">
        <v>44974</v>
      </c>
      <c r="C593" s="809">
        <v>0.8125</v>
      </c>
      <c r="D593" s="810">
        <v>57</v>
      </c>
      <c r="E593" s="811">
        <v>8.1999999999999993</v>
      </c>
      <c r="F593" s="811">
        <v>14.1</v>
      </c>
      <c r="G593" s="1648" t="s">
        <v>4839</v>
      </c>
      <c r="H593" s="1649"/>
      <c r="I593" s="1649"/>
      <c r="J593" s="1649"/>
      <c r="K593" s="1650"/>
      <c r="L593" s="811">
        <v>30.78</v>
      </c>
      <c r="M593" s="812">
        <v>34</v>
      </c>
      <c r="N593" s="811">
        <v>31.9</v>
      </c>
      <c r="O593" s="813" t="s">
        <v>142</v>
      </c>
      <c r="P593" s="813" t="s">
        <v>142</v>
      </c>
      <c r="Q593" s="813" t="s">
        <v>142</v>
      </c>
      <c r="R593" s="813" t="s">
        <v>4984</v>
      </c>
      <c r="S593" s="813">
        <v>54.8</v>
      </c>
      <c r="T593" s="814" t="s">
        <v>84</v>
      </c>
      <c r="U593" s="813" t="s">
        <v>236</v>
      </c>
      <c r="V593" s="981"/>
      <c r="CM593"/>
      <c r="CN593"/>
      <c r="CO593"/>
      <c r="CP593"/>
      <c r="CQ593"/>
      <c r="CR593"/>
      <c r="CS593"/>
      <c r="CT593"/>
      <c r="CU593"/>
      <c r="CV593"/>
      <c r="CW593"/>
      <c r="CX593"/>
      <c r="CY593"/>
    </row>
    <row r="594" spans="2:103" s="1" customFormat="1" ht="20.25" customHeight="1" x14ac:dyDescent="0.25">
      <c r="B594" s="808">
        <v>44975</v>
      </c>
      <c r="C594" s="809">
        <v>0.75</v>
      </c>
      <c r="D594" s="810">
        <v>57</v>
      </c>
      <c r="E594" s="811">
        <v>8</v>
      </c>
      <c r="F594" s="811">
        <v>14</v>
      </c>
      <c r="G594" s="1171"/>
      <c r="H594" s="1172"/>
      <c r="I594" s="1172"/>
      <c r="J594" s="1172"/>
      <c r="K594" s="1173"/>
      <c r="L594" s="811">
        <v>38.31</v>
      </c>
      <c r="M594" s="812">
        <v>41</v>
      </c>
      <c r="N594" s="811">
        <v>31.3</v>
      </c>
      <c r="O594" s="813"/>
      <c r="P594" s="813"/>
      <c r="Q594" s="813"/>
      <c r="R594" s="813" t="s">
        <v>4373</v>
      </c>
      <c r="S594" s="813">
        <v>52.3</v>
      </c>
      <c r="T594" s="814" t="s">
        <v>84</v>
      </c>
      <c r="U594" s="813" t="s">
        <v>236</v>
      </c>
      <c r="V594" s="981"/>
      <c r="CM594"/>
      <c r="CN594"/>
      <c r="CO594"/>
      <c r="CP594"/>
      <c r="CQ594"/>
      <c r="CR594"/>
      <c r="CS594"/>
      <c r="CT594"/>
      <c r="CU594"/>
      <c r="CV594"/>
      <c r="CW594"/>
      <c r="CX594"/>
      <c r="CY594"/>
    </row>
    <row r="595" spans="2:103" s="1" customFormat="1" ht="30" customHeight="1" x14ac:dyDescent="0.25">
      <c r="B595" s="808">
        <v>44976</v>
      </c>
      <c r="C595" s="809">
        <v>0.89583333333333337</v>
      </c>
      <c r="D595" s="810">
        <v>57</v>
      </c>
      <c r="E595" s="811">
        <v>7.8</v>
      </c>
      <c r="F595" s="811">
        <v>13.8</v>
      </c>
      <c r="G595" s="1648" t="s">
        <v>4839</v>
      </c>
      <c r="H595" s="1649"/>
      <c r="I595" s="1649"/>
      <c r="J595" s="1649"/>
      <c r="K595" s="1650"/>
      <c r="L595" s="811">
        <v>39.659999999999997</v>
      </c>
      <c r="M595" s="812">
        <v>42</v>
      </c>
      <c r="N595" s="811">
        <v>30.8</v>
      </c>
      <c r="O595" s="813" t="s">
        <v>142</v>
      </c>
      <c r="P595" s="813" t="s">
        <v>142</v>
      </c>
      <c r="Q595" s="813" t="s">
        <v>142</v>
      </c>
      <c r="R595" s="813" t="s">
        <v>5005</v>
      </c>
      <c r="S595" s="813">
        <v>52.5</v>
      </c>
      <c r="T595" s="814" t="s">
        <v>84</v>
      </c>
      <c r="U595" s="813" t="s">
        <v>236</v>
      </c>
      <c r="V595" s="981" t="s">
        <v>5007</v>
      </c>
      <c r="CM595"/>
      <c r="CN595"/>
      <c r="CO595"/>
      <c r="CP595"/>
      <c r="CQ595"/>
      <c r="CR595"/>
      <c r="CS595"/>
      <c r="CT595"/>
      <c r="CU595"/>
      <c r="CV595"/>
      <c r="CW595"/>
      <c r="CX595"/>
      <c r="CY595"/>
    </row>
    <row r="596" spans="2:103" s="1" customFormat="1" ht="30" customHeight="1" x14ac:dyDescent="0.25">
      <c r="B596" s="808">
        <v>44977</v>
      </c>
      <c r="C596" s="809">
        <v>0.91666666666666663</v>
      </c>
      <c r="D596" s="810">
        <v>58</v>
      </c>
      <c r="E596" s="811">
        <v>8.1</v>
      </c>
      <c r="F596" s="811">
        <v>14.1</v>
      </c>
      <c r="G596" s="1648" t="s">
        <v>4839</v>
      </c>
      <c r="H596" s="1649"/>
      <c r="I596" s="1649"/>
      <c r="J596" s="1649"/>
      <c r="K596" s="1650"/>
      <c r="L596" s="811">
        <v>40.21</v>
      </c>
      <c r="M596" s="812">
        <v>43</v>
      </c>
      <c r="N596" s="811">
        <v>33.130000000000003</v>
      </c>
      <c r="O596" s="813" t="s">
        <v>142</v>
      </c>
      <c r="P596" s="813" t="s">
        <v>142</v>
      </c>
      <c r="Q596" s="813" t="s">
        <v>142</v>
      </c>
      <c r="R596" s="813" t="s">
        <v>4249</v>
      </c>
      <c r="S596" s="813">
        <v>54.8</v>
      </c>
      <c r="T596" s="814" t="s">
        <v>84</v>
      </c>
      <c r="U596" s="813" t="s">
        <v>236</v>
      </c>
      <c r="V596" s="981"/>
      <c r="CM596"/>
      <c r="CN596"/>
      <c r="CO596"/>
      <c r="CP596"/>
      <c r="CQ596"/>
      <c r="CR596"/>
      <c r="CS596"/>
      <c r="CT596"/>
      <c r="CU596"/>
      <c r="CV596"/>
      <c r="CW596"/>
      <c r="CX596"/>
      <c r="CY596"/>
    </row>
    <row r="597" spans="2:103" s="1" customFormat="1" ht="30" customHeight="1" x14ac:dyDescent="0.25">
      <c r="B597" s="808">
        <v>44978</v>
      </c>
      <c r="C597" s="809">
        <v>0.85416666666666663</v>
      </c>
      <c r="D597" s="810">
        <v>58</v>
      </c>
      <c r="E597" s="811">
        <v>7.8</v>
      </c>
      <c r="F597" s="811">
        <v>13.8</v>
      </c>
      <c r="G597" s="1648" t="s">
        <v>4839</v>
      </c>
      <c r="H597" s="1649"/>
      <c r="I597" s="1649"/>
      <c r="J597" s="1649"/>
      <c r="K597" s="1650"/>
      <c r="L597" s="811">
        <v>37.200000000000003</v>
      </c>
      <c r="M597" s="812">
        <v>40</v>
      </c>
      <c r="N597" s="811">
        <v>31.48</v>
      </c>
      <c r="O597" s="813" t="s">
        <v>142</v>
      </c>
      <c r="P597" s="813" t="s">
        <v>142</v>
      </c>
      <c r="Q597" s="813" t="s">
        <v>142</v>
      </c>
      <c r="R597" s="813" t="s">
        <v>5017</v>
      </c>
      <c r="S597" s="813">
        <v>53.6</v>
      </c>
      <c r="T597" s="814" t="s">
        <v>84</v>
      </c>
      <c r="U597" s="813" t="s">
        <v>236</v>
      </c>
      <c r="V597" s="981"/>
      <c r="CM597"/>
      <c r="CN597"/>
      <c r="CO597"/>
      <c r="CP597"/>
      <c r="CQ597"/>
      <c r="CR597"/>
      <c r="CS597"/>
      <c r="CT597"/>
      <c r="CU597"/>
      <c r="CV597"/>
      <c r="CW597"/>
      <c r="CX597"/>
      <c r="CY597"/>
    </row>
    <row r="598" spans="2:103" s="1" customFormat="1" ht="30" customHeight="1" x14ac:dyDescent="0.25">
      <c r="B598" s="808">
        <v>44979</v>
      </c>
      <c r="C598" s="809">
        <v>0.89583333333333337</v>
      </c>
      <c r="D598" s="810">
        <v>58</v>
      </c>
      <c r="E598" s="811">
        <v>7.8</v>
      </c>
      <c r="F598" s="811">
        <v>13.9</v>
      </c>
      <c r="G598" s="1648" t="s">
        <v>4839</v>
      </c>
      <c r="H598" s="1649"/>
      <c r="I598" s="1649"/>
      <c r="J598" s="1649"/>
      <c r="K598" s="1650"/>
      <c r="L598" s="811">
        <v>37.94</v>
      </c>
      <c r="M598" s="812">
        <v>40</v>
      </c>
      <c r="N598" s="811">
        <v>31.56</v>
      </c>
      <c r="O598" s="813" t="s">
        <v>142</v>
      </c>
      <c r="P598" s="813" t="s">
        <v>142</v>
      </c>
      <c r="Q598" s="813" t="s">
        <v>142</v>
      </c>
      <c r="R598" s="813" t="s">
        <v>5027</v>
      </c>
      <c r="S598" s="813">
        <v>54</v>
      </c>
      <c r="T598" s="814" t="s">
        <v>84</v>
      </c>
      <c r="U598" s="813" t="s">
        <v>236</v>
      </c>
      <c r="V598" s="981"/>
      <c r="CM598"/>
      <c r="CN598"/>
      <c r="CO598"/>
      <c r="CP598"/>
      <c r="CQ598"/>
      <c r="CR598"/>
      <c r="CS598"/>
      <c r="CT598"/>
      <c r="CU598"/>
      <c r="CV598"/>
      <c r="CW598"/>
      <c r="CX598"/>
      <c r="CY598"/>
    </row>
    <row r="599" spans="2:103" s="1" customFormat="1" ht="30" customHeight="1" x14ac:dyDescent="0.25">
      <c r="B599" s="808">
        <v>44980</v>
      </c>
      <c r="C599" s="809">
        <v>0.75</v>
      </c>
      <c r="D599" s="810">
        <v>58</v>
      </c>
      <c r="E599" s="811">
        <v>7.7</v>
      </c>
      <c r="F599" s="811">
        <v>13.8</v>
      </c>
      <c r="G599" s="1648" t="s">
        <v>4839</v>
      </c>
      <c r="H599" s="1649"/>
      <c r="I599" s="1649"/>
      <c r="J599" s="1649"/>
      <c r="K599" s="1650"/>
      <c r="L599" s="811">
        <v>39.29</v>
      </c>
      <c r="M599" s="812">
        <v>41</v>
      </c>
      <c r="N599" s="811">
        <v>31.02</v>
      </c>
      <c r="O599" s="813" t="s">
        <v>142</v>
      </c>
      <c r="P599" s="813" t="s">
        <v>142</v>
      </c>
      <c r="Q599" s="813" t="s">
        <v>142</v>
      </c>
      <c r="R599" s="813" t="s">
        <v>4343</v>
      </c>
      <c r="S599" s="813">
        <v>53.6</v>
      </c>
      <c r="T599" s="814" t="s">
        <v>84</v>
      </c>
      <c r="U599" s="813" t="s">
        <v>236</v>
      </c>
      <c r="V599" s="981"/>
      <c r="CM599"/>
      <c r="CN599"/>
      <c r="CO599"/>
      <c r="CP599"/>
      <c r="CQ599"/>
      <c r="CR599"/>
      <c r="CS599"/>
      <c r="CT599"/>
      <c r="CU599"/>
      <c r="CV599"/>
      <c r="CW599"/>
      <c r="CX599"/>
      <c r="CY599"/>
    </row>
    <row r="600" spans="2:103" s="1" customFormat="1" ht="30" customHeight="1" x14ac:dyDescent="0.25">
      <c r="B600" s="808">
        <v>44981</v>
      </c>
      <c r="C600" s="809">
        <v>0.6875</v>
      </c>
      <c r="D600" s="810">
        <v>58</v>
      </c>
      <c r="E600" s="811">
        <v>8.1</v>
      </c>
      <c r="F600" s="811">
        <v>14.1</v>
      </c>
      <c r="G600" s="1648" t="s">
        <v>4839</v>
      </c>
      <c r="H600" s="1649"/>
      <c r="I600" s="1649"/>
      <c r="J600" s="1649"/>
      <c r="K600" s="1650"/>
      <c r="L600" s="811">
        <v>37.5</v>
      </c>
      <c r="M600" s="812">
        <v>40</v>
      </c>
      <c r="N600" s="811">
        <v>32.56</v>
      </c>
      <c r="O600" s="813" t="s">
        <v>142</v>
      </c>
      <c r="P600" s="813" t="s">
        <v>142</v>
      </c>
      <c r="Q600" s="813" t="s">
        <v>142</v>
      </c>
      <c r="R600" s="813" t="s">
        <v>4243</v>
      </c>
      <c r="S600" s="813">
        <v>54.8</v>
      </c>
      <c r="T600" s="814" t="s">
        <v>84</v>
      </c>
      <c r="U600" s="813" t="s">
        <v>236</v>
      </c>
      <c r="V600" s="981"/>
      <c r="CM600"/>
      <c r="CN600"/>
      <c r="CO600"/>
      <c r="CP600"/>
      <c r="CQ600"/>
      <c r="CR600"/>
      <c r="CS600"/>
      <c r="CT600"/>
      <c r="CU600"/>
      <c r="CV600"/>
      <c r="CW600"/>
      <c r="CX600"/>
      <c r="CY600"/>
    </row>
    <row r="601" spans="2:103" s="1" customFormat="1" ht="30" customHeight="1" x14ac:dyDescent="0.25">
      <c r="B601" s="808">
        <v>44982</v>
      </c>
      <c r="C601" s="809">
        <v>0.6875</v>
      </c>
      <c r="D601" s="810">
        <v>58</v>
      </c>
      <c r="E601" s="811">
        <v>7.6</v>
      </c>
      <c r="F601" s="811">
        <v>13.8</v>
      </c>
      <c r="G601" s="1648" t="s">
        <v>4839</v>
      </c>
      <c r="H601" s="1649"/>
      <c r="I601" s="1649"/>
      <c r="J601" s="1649"/>
      <c r="K601" s="1650"/>
      <c r="L601" s="811">
        <v>38.590000000000003</v>
      </c>
      <c r="M601" s="812">
        <v>40</v>
      </c>
      <c r="N601" s="811">
        <v>31.53</v>
      </c>
      <c r="O601" s="813" t="s">
        <v>142</v>
      </c>
      <c r="P601" s="813" t="s">
        <v>142</v>
      </c>
      <c r="Q601" s="813" t="s">
        <v>142</v>
      </c>
      <c r="R601" s="813" t="s">
        <v>4439</v>
      </c>
      <c r="S601" s="813">
        <v>53.6</v>
      </c>
      <c r="T601" s="814" t="s">
        <v>84</v>
      </c>
      <c r="U601" s="813" t="s">
        <v>236</v>
      </c>
      <c r="V601" s="981"/>
      <c r="CM601"/>
      <c r="CN601"/>
      <c r="CO601"/>
      <c r="CP601"/>
      <c r="CQ601"/>
      <c r="CR601"/>
      <c r="CS601"/>
      <c r="CT601"/>
      <c r="CU601"/>
      <c r="CV601"/>
      <c r="CW601"/>
      <c r="CX601"/>
      <c r="CY601"/>
    </row>
    <row r="602" spans="2:103" s="1" customFormat="1" ht="30" customHeight="1" x14ac:dyDescent="0.25">
      <c r="B602" s="808">
        <v>44983</v>
      </c>
      <c r="C602" s="809">
        <v>0.70833333333333337</v>
      </c>
      <c r="D602" s="810">
        <v>58</v>
      </c>
      <c r="E602" s="811">
        <v>7.6</v>
      </c>
      <c r="F602" s="811">
        <v>13.8</v>
      </c>
      <c r="G602" s="1648" t="s">
        <v>4839</v>
      </c>
      <c r="H602" s="1649"/>
      <c r="I602" s="1649"/>
      <c r="J602" s="1649"/>
      <c r="K602" s="1650"/>
      <c r="L602" s="811">
        <v>39.36</v>
      </c>
      <c r="M602" s="812">
        <v>41</v>
      </c>
      <c r="N602" s="811">
        <v>31.72</v>
      </c>
      <c r="O602" s="813" t="s">
        <v>142</v>
      </c>
      <c r="P602" s="813" t="s">
        <v>142</v>
      </c>
      <c r="Q602" s="813" t="s">
        <v>142</v>
      </c>
      <c r="R602" s="813" t="s">
        <v>4343</v>
      </c>
      <c r="S602" s="813">
        <v>53.6</v>
      </c>
      <c r="T602" s="814" t="s">
        <v>84</v>
      </c>
      <c r="U602" s="813" t="s">
        <v>236</v>
      </c>
      <c r="V602" s="981"/>
      <c r="CM602"/>
      <c r="CN602"/>
      <c r="CO602"/>
      <c r="CP602"/>
      <c r="CQ602"/>
      <c r="CR602"/>
      <c r="CS602"/>
      <c r="CT602"/>
      <c r="CU602"/>
      <c r="CV602"/>
      <c r="CW602"/>
      <c r="CX602"/>
      <c r="CY602"/>
    </row>
    <row r="603" spans="2:103" s="1" customFormat="1" ht="30" customHeight="1" x14ac:dyDescent="0.25">
      <c r="B603" s="808">
        <v>44984</v>
      </c>
      <c r="C603" s="809">
        <v>0.72916666666666663</v>
      </c>
      <c r="D603" s="810">
        <v>58</v>
      </c>
      <c r="E603" s="811">
        <v>7.7</v>
      </c>
      <c r="F603" s="811">
        <v>13.8</v>
      </c>
      <c r="G603" s="1648" t="s">
        <v>4839</v>
      </c>
      <c r="H603" s="1649"/>
      <c r="I603" s="1649"/>
      <c r="J603" s="1649"/>
      <c r="K603" s="1650"/>
      <c r="L603" s="811">
        <v>37.69</v>
      </c>
      <c r="M603" s="812">
        <v>39.6</v>
      </c>
      <c r="N603" s="811">
        <v>31.76</v>
      </c>
      <c r="O603" s="813" t="s">
        <v>142</v>
      </c>
      <c r="P603" s="813" t="s">
        <v>142</v>
      </c>
      <c r="Q603" s="813" t="s">
        <v>142</v>
      </c>
      <c r="R603" s="813" t="s">
        <v>4343</v>
      </c>
      <c r="S603" s="813">
        <v>53.6</v>
      </c>
      <c r="T603" s="814" t="s">
        <v>84</v>
      </c>
      <c r="U603" s="813" t="s">
        <v>236</v>
      </c>
      <c r="V603" s="981"/>
      <c r="CM603"/>
      <c r="CN603"/>
      <c r="CO603"/>
      <c r="CP603"/>
      <c r="CQ603"/>
      <c r="CR603"/>
      <c r="CS603"/>
      <c r="CT603"/>
      <c r="CU603"/>
      <c r="CV603"/>
      <c r="CW603"/>
      <c r="CX603"/>
      <c r="CY603"/>
    </row>
    <row r="604" spans="2:103" s="1" customFormat="1" ht="30" customHeight="1" x14ac:dyDescent="0.25">
      <c r="B604" s="808">
        <v>44985</v>
      </c>
      <c r="C604" s="809">
        <v>0.75</v>
      </c>
      <c r="D604" s="810">
        <v>58</v>
      </c>
      <c r="E604" s="811">
        <v>7.4</v>
      </c>
      <c r="F604" s="811">
        <v>13.7</v>
      </c>
      <c r="G604" s="1648" t="s">
        <v>4839</v>
      </c>
      <c r="H604" s="1649"/>
      <c r="I604" s="1649"/>
      <c r="J604" s="1649"/>
      <c r="K604" s="1650"/>
      <c r="L604" s="811">
        <v>41.21</v>
      </c>
      <c r="M604" s="812">
        <v>42.5</v>
      </c>
      <c r="N604" s="811">
        <v>31.53</v>
      </c>
      <c r="O604" s="813" t="s">
        <v>142</v>
      </c>
      <c r="P604" s="813" t="s">
        <v>142</v>
      </c>
      <c r="Q604" s="813" t="s">
        <v>142</v>
      </c>
      <c r="R604" s="813" t="s">
        <v>4471</v>
      </c>
      <c r="S604" s="813">
        <v>53.3</v>
      </c>
      <c r="T604" s="814" t="s">
        <v>84</v>
      </c>
      <c r="U604" s="813" t="s">
        <v>236</v>
      </c>
      <c r="V604" s="981" t="s">
        <v>415</v>
      </c>
      <c r="CM604"/>
      <c r="CN604"/>
      <c r="CO604"/>
      <c r="CP604"/>
      <c r="CQ604"/>
      <c r="CR604"/>
      <c r="CS604"/>
      <c r="CT604"/>
      <c r="CU604"/>
      <c r="CV604"/>
      <c r="CW604"/>
      <c r="CX604"/>
      <c r="CY604"/>
    </row>
    <row r="605" spans="2:103" s="1" customFormat="1" ht="30" customHeight="1" x14ac:dyDescent="0.25">
      <c r="B605" s="808">
        <v>44986</v>
      </c>
      <c r="C605" s="809">
        <v>0.72916666666666663</v>
      </c>
      <c r="D605" s="810">
        <v>58</v>
      </c>
      <c r="E605" s="811">
        <v>7.2</v>
      </c>
      <c r="F605" s="811">
        <v>13.5</v>
      </c>
      <c r="G605" s="1648" t="s">
        <v>4839</v>
      </c>
      <c r="H605" s="1649"/>
      <c r="I605" s="1649"/>
      <c r="J605" s="1649"/>
      <c r="K605" s="1650"/>
      <c r="L605" s="811">
        <v>37.590000000000003</v>
      </c>
      <c r="M605" s="812">
        <v>40</v>
      </c>
      <c r="N605" s="811">
        <v>30.8</v>
      </c>
      <c r="O605" s="813" t="s">
        <v>142</v>
      </c>
      <c r="P605" s="813" t="s">
        <v>142</v>
      </c>
      <c r="Q605" s="813" t="s">
        <v>142</v>
      </c>
      <c r="R605" s="813" t="s">
        <v>4917</v>
      </c>
      <c r="S605" s="813">
        <v>52.5</v>
      </c>
      <c r="T605" s="814" t="s">
        <v>84</v>
      </c>
      <c r="U605" s="813" t="s">
        <v>236</v>
      </c>
      <c r="V605" s="981" t="s">
        <v>415</v>
      </c>
      <c r="CM605"/>
      <c r="CN605"/>
      <c r="CO605"/>
      <c r="CP605"/>
      <c r="CQ605"/>
      <c r="CR605"/>
      <c r="CS605"/>
      <c r="CT605"/>
      <c r="CU605"/>
      <c r="CV605"/>
      <c r="CW605"/>
      <c r="CX605"/>
      <c r="CY605"/>
    </row>
    <row r="606" spans="2:103" s="1" customFormat="1" ht="30" customHeight="1" x14ac:dyDescent="0.25">
      <c r="B606" s="808">
        <v>44987</v>
      </c>
      <c r="C606" s="809">
        <v>0.8125</v>
      </c>
      <c r="D606" s="810">
        <v>58</v>
      </c>
      <c r="E606" s="811">
        <v>7.4</v>
      </c>
      <c r="F606" s="811">
        <v>13.7</v>
      </c>
      <c r="G606" s="1648" t="s">
        <v>4839</v>
      </c>
      <c r="H606" s="1649"/>
      <c r="I606" s="1649"/>
      <c r="J606" s="1649"/>
      <c r="K606" s="1650"/>
      <c r="L606" s="811">
        <v>38.299999999999997</v>
      </c>
      <c r="M606" s="812">
        <v>40</v>
      </c>
      <c r="N606" s="811">
        <v>30.65</v>
      </c>
      <c r="O606" s="813" t="s">
        <v>142</v>
      </c>
      <c r="P606" s="813" t="s">
        <v>142</v>
      </c>
      <c r="Q606" s="813" t="s">
        <v>142</v>
      </c>
      <c r="R606" s="813" t="s">
        <v>4471</v>
      </c>
      <c r="S606" s="813">
        <v>53.3</v>
      </c>
      <c r="T606" s="814" t="s">
        <v>84</v>
      </c>
      <c r="U606" s="813" t="s">
        <v>236</v>
      </c>
      <c r="V606" s="981"/>
      <c r="CM606"/>
      <c r="CN606"/>
      <c r="CO606"/>
      <c r="CP606"/>
      <c r="CQ606"/>
      <c r="CR606"/>
      <c r="CS606"/>
      <c r="CT606"/>
      <c r="CU606"/>
      <c r="CV606"/>
      <c r="CW606"/>
      <c r="CX606"/>
      <c r="CY606"/>
    </row>
    <row r="607" spans="2:103" s="1" customFormat="1" ht="30" customHeight="1" x14ac:dyDescent="0.25">
      <c r="B607" s="808">
        <v>44988</v>
      </c>
      <c r="C607" s="809">
        <v>0.89583333333333337</v>
      </c>
      <c r="D607" s="810">
        <v>58</v>
      </c>
      <c r="E607" s="811">
        <v>6.8</v>
      </c>
      <c r="F607" s="811">
        <v>13.4</v>
      </c>
      <c r="G607" s="1648" t="s">
        <v>4839</v>
      </c>
      <c r="H607" s="1649"/>
      <c r="I607" s="1649"/>
      <c r="J607" s="1649"/>
      <c r="K607" s="1650"/>
      <c r="L607" s="811">
        <v>34.68</v>
      </c>
      <c r="M607" s="812">
        <v>37</v>
      </c>
      <c r="N607" s="811">
        <v>30.1</v>
      </c>
      <c r="O607" s="813" t="s">
        <v>142</v>
      </c>
      <c r="P607" s="813" t="s">
        <v>142</v>
      </c>
      <c r="Q607" s="813" t="s">
        <v>142</v>
      </c>
      <c r="R607" s="813" t="s">
        <v>4661</v>
      </c>
      <c r="S607" s="813">
        <v>52.1</v>
      </c>
      <c r="T607" s="814" t="s">
        <v>84</v>
      </c>
      <c r="U607" s="813" t="s">
        <v>236</v>
      </c>
      <c r="V607" s="981"/>
      <c r="CM607"/>
      <c r="CN607"/>
      <c r="CO607"/>
      <c r="CP607"/>
      <c r="CQ607"/>
      <c r="CR607"/>
      <c r="CS607"/>
      <c r="CT607"/>
      <c r="CU607"/>
      <c r="CV607"/>
      <c r="CW607"/>
      <c r="CX607"/>
      <c r="CY607"/>
    </row>
    <row r="608" spans="2:103" s="1" customFormat="1" ht="30" customHeight="1" x14ac:dyDescent="0.25">
      <c r="B608" s="808">
        <v>44989</v>
      </c>
      <c r="C608" s="809">
        <v>0.75</v>
      </c>
      <c r="D608" s="810">
        <v>58</v>
      </c>
      <c r="E608" s="811">
        <v>6.8</v>
      </c>
      <c r="F608" s="811">
        <v>13.1</v>
      </c>
      <c r="G608" s="1648" t="s">
        <v>4839</v>
      </c>
      <c r="H608" s="1649"/>
      <c r="I608" s="1649"/>
      <c r="J608" s="1649"/>
      <c r="K608" s="1650"/>
      <c r="L608" s="811">
        <v>38.72</v>
      </c>
      <c r="M608" s="812">
        <v>40</v>
      </c>
      <c r="N608" s="811">
        <v>29.88</v>
      </c>
      <c r="O608" s="813" t="s">
        <v>142</v>
      </c>
      <c r="P608" s="813" t="s">
        <v>142</v>
      </c>
      <c r="Q608" s="813" t="s">
        <v>142</v>
      </c>
      <c r="R608" s="813" t="s">
        <v>5090</v>
      </c>
      <c r="S608" s="813">
        <v>50.5</v>
      </c>
      <c r="T608" s="814" t="s">
        <v>84</v>
      </c>
      <c r="U608" s="813" t="s">
        <v>236</v>
      </c>
      <c r="V608" s="981"/>
      <c r="CM608"/>
      <c r="CN608"/>
      <c r="CO608"/>
      <c r="CP608"/>
      <c r="CQ608"/>
      <c r="CR608"/>
      <c r="CS608"/>
      <c r="CT608"/>
      <c r="CU608"/>
      <c r="CV608"/>
      <c r="CW608"/>
      <c r="CX608"/>
      <c r="CY608"/>
    </row>
    <row r="609" spans="2:103" s="1" customFormat="1" ht="30" customHeight="1" x14ac:dyDescent="0.25">
      <c r="B609" s="808">
        <v>44990</v>
      </c>
      <c r="C609" s="809">
        <v>0.875</v>
      </c>
      <c r="D609" s="810">
        <v>58</v>
      </c>
      <c r="E609" s="811">
        <v>8.5</v>
      </c>
      <c r="F609" s="811">
        <v>14.3</v>
      </c>
      <c r="G609" s="1648" t="s">
        <v>4839</v>
      </c>
      <c r="H609" s="1649"/>
      <c r="I609" s="1649"/>
      <c r="J609" s="1649"/>
      <c r="K609" s="1650"/>
      <c r="L609" s="811">
        <v>37.909999999999997</v>
      </c>
      <c r="M609" s="812">
        <v>40</v>
      </c>
      <c r="N609" s="811">
        <v>34.5</v>
      </c>
      <c r="O609" s="813" t="s">
        <v>142</v>
      </c>
      <c r="P609" s="813" t="s">
        <v>142</v>
      </c>
      <c r="Q609" s="813" t="s">
        <v>142</v>
      </c>
      <c r="R609" s="813" t="s">
        <v>5093</v>
      </c>
      <c r="S609" s="813">
        <v>55.6</v>
      </c>
      <c r="T609" s="814" t="s">
        <v>84</v>
      </c>
      <c r="U609" s="813" t="s">
        <v>236</v>
      </c>
      <c r="V609" s="981"/>
      <c r="CM609"/>
      <c r="CN609"/>
      <c r="CO609"/>
      <c r="CP609"/>
      <c r="CQ609"/>
      <c r="CR609"/>
      <c r="CS609"/>
      <c r="CT609"/>
      <c r="CU609"/>
      <c r="CV609"/>
      <c r="CW609"/>
      <c r="CX609"/>
      <c r="CY609"/>
    </row>
    <row r="610" spans="2:103" s="1" customFormat="1" ht="30" customHeight="1" x14ac:dyDescent="0.25">
      <c r="B610" s="808">
        <v>44991</v>
      </c>
      <c r="C610" s="809">
        <v>0.91666666666666663</v>
      </c>
      <c r="D610" s="810">
        <v>58</v>
      </c>
      <c r="E610" s="811">
        <v>8</v>
      </c>
      <c r="F610" s="811">
        <v>14</v>
      </c>
      <c r="G610" s="1648" t="s">
        <v>4839</v>
      </c>
      <c r="H610" s="1649"/>
      <c r="I610" s="1649"/>
      <c r="J610" s="1649"/>
      <c r="K610" s="1650"/>
      <c r="L610" s="811">
        <v>37.590000000000003</v>
      </c>
      <c r="M610" s="812">
        <v>40</v>
      </c>
      <c r="N610" s="811">
        <v>33.590000000000003</v>
      </c>
      <c r="O610" s="813" t="s">
        <v>142</v>
      </c>
      <c r="P610" s="813" t="s">
        <v>142</v>
      </c>
      <c r="Q610" s="813" t="s">
        <v>142</v>
      </c>
      <c r="R610" s="813" t="s">
        <v>4066</v>
      </c>
      <c r="S610" s="813">
        <v>54.4</v>
      </c>
      <c r="T610" s="814" t="s">
        <v>84</v>
      </c>
      <c r="U610" s="813" t="s">
        <v>236</v>
      </c>
      <c r="V610" s="981"/>
      <c r="CM610"/>
      <c r="CN610"/>
      <c r="CO610"/>
      <c r="CP610"/>
      <c r="CQ610"/>
      <c r="CR610"/>
      <c r="CS610"/>
      <c r="CT610"/>
      <c r="CU610"/>
      <c r="CV610"/>
      <c r="CW610"/>
      <c r="CX610"/>
      <c r="CY610"/>
    </row>
    <row r="611" spans="2:103" s="1" customFormat="1" ht="30" customHeight="1" x14ac:dyDescent="0.25">
      <c r="B611" s="808">
        <v>44992</v>
      </c>
      <c r="C611" s="809">
        <v>0.75</v>
      </c>
      <c r="D611" s="810">
        <v>58</v>
      </c>
      <c r="E611" s="811">
        <v>7.8</v>
      </c>
      <c r="F611" s="811">
        <v>13.9</v>
      </c>
      <c r="G611" s="1648" t="s">
        <v>4839</v>
      </c>
      <c r="H611" s="1649"/>
      <c r="I611" s="1649"/>
      <c r="J611" s="1649"/>
      <c r="K611" s="1650"/>
      <c r="L611" s="811">
        <v>36.15</v>
      </c>
      <c r="M611" s="812">
        <v>38.5</v>
      </c>
      <c r="N611" s="811">
        <v>33.869999999999997</v>
      </c>
      <c r="O611" s="813" t="s">
        <v>142</v>
      </c>
      <c r="P611" s="813" t="s">
        <v>142</v>
      </c>
      <c r="Q611" s="813" t="s">
        <v>142</v>
      </c>
      <c r="R611" s="813" t="s">
        <v>4066</v>
      </c>
      <c r="S611" s="813">
        <v>54.4</v>
      </c>
      <c r="T611" s="814" t="s">
        <v>84</v>
      </c>
      <c r="U611" s="813" t="s">
        <v>236</v>
      </c>
      <c r="V611" s="981"/>
      <c r="CM611"/>
      <c r="CN611"/>
      <c r="CO611"/>
      <c r="CP611"/>
      <c r="CQ611"/>
      <c r="CR611"/>
      <c r="CS611"/>
      <c r="CT611"/>
      <c r="CU611"/>
      <c r="CV611"/>
      <c r="CW611"/>
      <c r="CX611"/>
      <c r="CY611"/>
    </row>
    <row r="612" spans="2:103" s="1" customFormat="1" ht="30" customHeight="1" x14ac:dyDescent="0.25">
      <c r="B612" s="808">
        <v>44993</v>
      </c>
      <c r="C612" s="809">
        <v>0.75</v>
      </c>
      <c r="D612" s="810">
        <v>58</v>
      </c>
      <c r="E612" s="811">
        <v>8.3000000000000007</v>
      </c>
      <c r="F612" s="811">
        <v>14.2</v>
      </c>
      <c r="G612" s="1648" t="s">
        <v>4839</v>
      </c>
      <c r="H612" s="1649"/>
      <c r="I612" s="1649"/>
      <c r="J612" s="1649"/>
      <c r="K612" s="1650"/>
      <c r="L612" s="811">
        <v>38</v>
      </c>
      <c r="M612" s="812">
        <v>40</v>
      </c>
      <c r="N612" s="811">
        <v>32.67</v>
      </c>
      <c r="O612" s="813" t="s">
        <v>142</v>
      </c>
      <c r="P612" s="813" t="s">
        <v>142</v>
      </c>
      <c r="Q612" s="813" t="s">
        <v>142</v>
      </c>
      <c r="R612" s="813" t="s">
        <v>4136</v>
      </c>
      <c r="S612" s="813">
        <v>54.4</v>
      </c>
      <c r="T612" s="814" t="s">
        <v>84</v>
      </c>
      <c r="U612" s="813" t="s">
        <v>236</v>
      </c>
      <c r="V612" s="981"/>
      <c r="CM612"/>
      <c r="CN612"/>
      <c r="CO612"/>
      <c r="CP612"/>
      <c r="CQ612"/>
      <c r="CR612"/>
      <c r="CS612"/>
      <c r="CT612"/>
      <c r="CU612"/>
      <c r="CV612"/>
      <c r="CW612"/>
      <c r="CX612"/>
      <c r="CY612"/>
    </row>
    <row r="613" spans="2:103" s="1" customFormat="1" ht="30" customHeight="1" x14ac:dyDescent="0.25">
      <c r="B613" s="808">
        <v>44994</v>
      </c>
      <c r="C613" s="809">
        <v>0.95833333333333337</v>
      </c>
      <c r="D613" s="810">
        <v>58</v>
      </c>
      <c r="E613" s="811">
        <v>7.6</v>
      </c>
      <c r="F613" s="811">
        <v>13.8</v>
      </c>
      <c r="G613" s="1648" t="s">
        <v>4839</v>
      </c>
      <c r="H613" s="1649"/>
      <c r="I613" s="1649"/>
      <c r="J613" s="1649"/>
      <c r="K613" s="1650"/>
      <c r="L613" s="811">
        <v>38.700000000000003</v>
      </c>
      <c r="M613" s="812">
        <v>40</v>
      </c>
      <c r="N613" s="811">
        <v>32.979999999999997</v>
      </c>
      <c r="O613" s="813" t="s">
        <v>142</v>
      </c>
      <c r="P613" s="813" t="s">
        <v>142</v>
      </c>
      <c r="Q613" s="813" t="s">
        <v>142</v>
      </c>
      <c r="R613" s="813" t="s">
        <v>4343</v>
      </c>
      <c r="S613" s="813">
        <v>53.6</v>
      </c>
      <c r="T613" s="814" t="s">
        <v>84</v>
      </c>
      <c r="U613" s="813" t="s">
        <v>236</v>
      </c>
      <c r="V613" s="981"/>
      <c r="CM613"/>
      <c r="CN613"/>
      <c r="CO613"/>
      <c r="CP613"/>
      <c r="CQ613"/>
      <c r="CR613"/>
      <c r="CS613"/>
      <c r="CT613"/>
      <c r="CU613"/>
      <c r="CV613"/>
      <c r="CW613"/>
      <c r="CX613"/>
      <c r="CY613"/>
    </row>
    <row r="614" spans="2:103" s="1" customFormat="1" ht="30" customHeight="1" x14ac:dyDescent="0.25">
      <c r="B614" s="808">
        <v>44995</v>
      </c>
      <c r="C614" s="809">
        <v>0.79166666666666663</v>
      </c>
      <c r="D614" s="810">
        <v>58</v>
      </c>
      <c r="E614" s="811">
        <v>7</v>
      </c>
      <c r="F614" s="811">
        <v>13.4</v>
      </c>
      <c r="G614" s="1648" t="s">
        <v>4839</v>
      </c>
      <c r="H614" s="1649"/>
      <c r="I614" s="1649"/>
      <c r="J614" s="1649"/>
      <c r="K614" s="1650"/>
      <c r="L614" s="811">
        <v>38.5</v>
      </c>
      <c r="M614" s="812">
        <v>40</v>
      </c>
      <c r="N614" s="811">
        <v>31.22</v>
      </c>
      <c r="O614" s="813" t="s">
        <v>142</v>
      </c>
      <c r="P614" s="813" t="s">
        <v>142</v>
      </c>
      <c r="Q614" s="813" t="s">
        <v>142</v>
      </c>
      <c r="R614" s="813" t="s">
        <v>4661</v>
      </c>
      <c r="S614" s="813">
        <v>52.1</v>
      </c>
      <c r="T614" s="814" t="s">
        <v>84</v>
      </c>
      <c r="U614" s="813" t="s">
        <v>236</v>
      </c>
      <c r="V614" s="981"/>
      <c r="CM614"/>
      <c r="CN614"/>
      <c r="CO614"/>
      <c r="CP614"/>
      <c r="CQ614"/>
      <c r="CR614"/>
      <c r="CS614"/>
      <c r="CT614"/>
      <c r="CU614"/>
      <c r="CV614"/>
      <c r="CW614"/>
      <c r="CX614"/>
      <c r="CY614"/>
    </row>
    <row r="615" spans="2:103" s="1" customFormat="1" ht="30" customHeight="1" x14ac:dyDescent="0.25">
      <c r="B615" s="808">
        <v>44996</v>
      </c>
      <c r="C615" s="809">
        <v>0.75</v>
      </c>
      <c r="D615" s="810">
        <v>58</v>
      </c>
      <c r="E615" s="811">
        <v>7.6</v>
      </c>
      <c r="F615" s="811">
        <v>13.8</v>
      </c>
      <c r="G615" s="1648" t="s">
        <v>4839</v>
      </c>
      <c r="H615" s="1649"/>
      <c r="I615" s="1649"/>
      <c r="J615" s="1649"/>
      <c r="K615" s="1650"/>
      <c r="L615" s="811">
        <v>37.950000000000003</v>
      </c>
      <c r="M615" s="812">
        <v>40</v>
      </c>
      <c r="N615" s="811">
        <v>31.68</v>
      </c>
      <c r="O615" s="813" t="s">
        <v>142</v>
      </c>
      <c r="P615" s="813" t="s">
        <v>142</v>
      </c>
      <c r="Q615" s="813" t="s">
        <v>142</v>
      </c>
      <c r="R615" s="813" t="s">
        <v>4343</v>
      </c>
      <c r="S615" s="813">
        <v>53.6</v>
      </c>
      <c r="T615" s="814" t="s">
        <v>84</v>
      </c>
      <c r="U615" s="813" t="s">
        <v>236</v>
      </c>
      <c r="V615" s="981"/>
      <c r="CM615"/>
      <c r="CN615"/>
      <c r="CO615"/>
      <c r="CP615"/>
      <c r="CQ615"/>
      <c r="CR615"/>
      <c r="CS615"/>
      <c r="CT615"/>
      <c r="CU615"/>
      <c r="CV615"/>
      <c r="CW615"/>
      <c r="CX615"/>
      <c r="CY615"/>
    </row>
    <row r="616" spans="2:103" s="1" customFormat="1" ht="30" customHeight="1" x14ac:dyDescent="0.25">
      <c r="B616" s="808">
        <v>44997</v>
      </c>
      <c r="C616" s="809">
        <v>0.75</v>
      </c>
      <c r="D616" s="810">
        <v>58</v>
      </c>
      <c r="E616" s="811">
        <v>6.9</v>
      </c>
      <c r="F616" s="811">
        <v>13.4</v>
      </c>
      <c r="G616" s="1648" t="s">
        <v>4839</v>
      </c>
      <c r="H616" s="1649"/>
      <c r="I616" s="1649"/>
      <c r="J616" s="1649"/>
      <c r="K616" s="1650"/>
      <c r="L616" s="811">
        <v>37.380000000000003</v>
      </c>
      <c r="M616" s="812">
        <v>40</v>
      </c>
      <c r="N616" s="811">
        <v>31.54</v>
      </c>
      <c r="O616" s="813" t="s">
        <v>142</v>
      </c>
      <c r="P616" s="813" t="s">
        <v>142</v>
      </c>
      <c r="Q616" s="813" t="s">
        <v>142</v>
      </c>
      <c r="R616" s="813" t="s">
        <v>4661</v>
      </c>
      <c r="S616" s="813">
        <v>52.1</v>
      </c>
      <c r="T616" s="814" t="s">
        <v>84</v>
      </c>
      <c r="U616" s="813" t="s">
        <v>236</v>
      </c>
      <c r="V616" s="981"/>
      <c r="CM616"/>
      <c r="CN616"/>
      <c r="CO616"/>
      <c r="CP616"/>
      <c r="CQ616"/>
      <c r="CR616"/>
      <c r="CS616"/>
      <c r="CT616"/>
      <c r="CU616"/>
      <c r="CV616"/>
      <c r="CW616"/>
      <c r="CX616"/>
      <c r="CY616"/>
    </row>
    <row r="617" spans="2:103" s="1" customFormat="1" ht="30" customHeight="1" x14ac:dyDescent="0.25">
      <c r="B617" s="808">
        <v>44998</v>
      </c>
      <c r="C617" s="809">
        <v>0.79166666666666663</v>
      </c>
      <c r="D617" s="810">
        <v>58</v>
      </c>
      <c r="E617" s="811">
        <v>6.7</v>
      </c>
      <c r="F617" s="811">
        <v>13.3</v>
      </c>
      <c r="G617" s="1648" t="s">
        <v>4839</v>
      </c>
      <c r="H617" s="1649"/>
      <c r="I617" s="1649"/>
      <c r="J617" s="1649"/>
      <c r="K617" s="1650"/>
      <c r="L617" s="811">
        <v>37.369999999999997</v>
      </c>
      <c r="M617" s="812">
        <v>40</v>
      </c>
      <c r="N617" s="811">
        <v>30.53</v>
      </c>
      <c r="O617" s="813" t="s">
        <v>142</v>
      </c>
      <c r="P617" s="813" t="s">
        <v>142</v>
      </c>
      <c r="Q617" s="813" t="s">
        <v>142</v>
      </c>
      <c r="R617" s="813" t="s">
        <v>5134</v>
      </c>
      <c r="S617" s="813">
        <v>51.7</v>
      </c>
      <c r="T617" s="814" t="s">
        <v>84</v>
      </c>
      <c r="U617" s="813" t="s">
        <v>236</v>
      </c>
      <c r="V617" s="981"/>
      <c r="CM617"/>
      <c r="CN617"/>
      <c r="CO617"/>
      <c r="CP617"/>
      <c r="CQ617"/>
      <c r="CR617"/>
      <c r="CS617"/>
      <c r="CT617"/>
      <c r="CU617"/>
      <c r="CV617"/>
      <c r="CW617"/>
      <c r="CX617"/>
      <c r="CY617"/>
    </row>
    <row r="618" spans="2:103" s="1" customFormat="1" ht="30" customHeight="1" x14ac:dyDescent="0.25">
      <c r="B618" s="808">
        <v>44999</v>
      </c>
      <c r="C618" s="809">
        <v>0.70833333333333337</v>
      </c>
      <c r="D618" s="810">
        <v>58</v>
      </c>
      <c r="E618" s="811">
        <v>6.9</v>
      </c>
      <c r="F618" s="811">
        <v>13.3</v>
      </c>
      <c r="G618" s="1648" t="s">
        <v>4839</v>
      </c>
      <c r="H618" s="1649"/>
      <c r="I618" s="1649"/>
      <c r="J618" s="1649"/>
      <c r="K618" s="1650"/>
      <c r="L618" s="811">
        <v>38.35</v>
      </c>
      <c r="M618" s="812">
        <v>40</v>
      </c>
      <c r="N618" s="811">
        <v>31.02</v>
      </c>
      <c r="O618" s="813" t="s">
        <v>142</v>
      </c>
      <c r="P618" s="813" t="s">
        <v>142</v>
      </c>
      <c r="Q618" s="813" t="s">
        <v>142</v>
      </c>
      <c r="R618" s="813" t="s">
        <v>1782</v>
      </c>
      <c r="S618" s="813">
        <v>51.7</v>
      </c>
      <c r="T618" s="814" t="s">
        <v>84</v>
      </c>
      <c r="U618" s="813" t="s">
        <v>236</v>
      </c>
      <c r="V618" s="981"/>
      <c r="CM618"/>
      <c r="CN618"/>
      <c r="CO618"/>
      <c r="CP618"/>
      <c r="CQ618"/>
      <c r="CR618"/>
      <c r="CS618"/>
      <c r="CT618"/>
      <c r="CU618"/>
      <c r="CV618"/>
      <c r="CW618"/>
      <c r="CX618"/>
      <c r="CY618"/>
    </row>
    <row r="619" spans="2:103" s="1" customFormat="1" ht="30" customHeight="1" x14ac:dyDescent="0.25">
      <c r="B619" s="808">
        <v>45000</v>
      </c>
      <c r="C619" s="809">
        <v>0.75</v>
      </c>
      <c r="D619" s="810">
        <v>58</v>
      </c>
      <c r="E619" s="811">
        <v>7.8</v>
      </c>
      <c r="F619" s="811">
        <v>14.1</v>
      </c>
      <c r="G619" s="1648" t="s">
        <v>4839</v>
      </c>
      <c r="H619" s="1649"/>
      <c r="I619" s="1649"/>
      <c r="J619" s="1649"/>
      <c r="K619" s="1650"/>
      <c r="L619" s="811">
        <v>40.200000000000003</v>
      </c>
      <c r="M619" s="812">
        <v>43</v>
      </c>
      <c r="N619" s="811">
        <v>34</v>
      </c>
      <c r="O619" s="813" t="s">
        <v>142</v>
      </c>
      <c r="P619" s="813" t="s">
        <v>142</v>
      </c>
      <c r="Q619" s="813" t="s">
        <v>142</v>
      </c>
      <c r="R619" s="813" t="s">
        <v>5143</v>
      </c>
      <c r="S619" s="813">
        <v>53</v>
      </c>
      <c r="T619" s="814" t="s">
        <v>84</v>
      </c>
      <c r="U619" s="813" t="s">
        <v>236</v>
      </c>
      <c r="V619" s="981"/>
      <c r="CM619"/>
      <c r="CN619"/>
      <c r="CO619"/>
      <c r="CP619"/>
      <c r="CQ619"/>
      <c r="CR619"/>
      <c r="CS619"/>
      <c r="CT619"/>
      <c r="CU619"/>
      <c r="CV619"/>
      <c r="CW619"/>
      <c r="CX619"/>
      <c r="CY619"/>
    </row>
    <row r="620" spans="2:103" s="1" customFormat="1" ht="30" customHeight="1" x14ac:dyDescent="0.25">
      <c r="B620" s="808">
        <v>45001</v>
      </c>
      <c r="C620" s="809">
        <v>0.875</v>
      </c>
      <c r="D620" s="810">
        <v>58</v>
      </c>
      <c r="E620" s="811">
        <v>7.5</v>
      </c>
      <c r="F620" s="811">
        <v>13.7</v>
      </c>
      <c r="G620" s="1648" t="s">
        <v>4839</v>
      </c>
      <c r="H620" s="1649"/>
      <c r="I620" s="1649"/>
      <c r="J620" s="1649"/>
      <c r="K620" s="1650"/>
      <c r="L620" s="811">
        <v>37.159999999999997</v>
      </c>
      <c r="M620" s="812">
        <v>40</v>
      </c>
      <c r="N620" s="811">
        <v>32.78</v>
      </c>
      <c r="O620" s="813" t="s">
        <v>142</v>
      </c>
      <c r="P620" s="813" t="s">
        <v>142</v>
      </c>
      <c r="Q620" s="813" t="s">
        <v>142</v>
      </c>
      <c r="R620" s="813" t="s">
        <v>3808</v>
      </c>
      <c r="S620" s="813">
        <v>53.3</v>
      </c>
      <c r="T620" s="814" t="s">
        <v>84</v>
      </c>
      <c r="U620" s="813" t="s">
        <v>236</v>
      </c>
      <c r="V620" s="981"/>
      <c r="CM620"/>
      <c r="CN620"/>
      <c r="CO620"/>
      <c r="CP620"/>
      <c r="CQ620"/>
      <c r="CR620"/>
      <c r="CS620"/>
      <c r="CT620"/>
      <c r="CU620"/>
      <c r="CV620"/>
      <c r="CW620"/>
      <c r="CX620"/>
      <c r="CY620"/>
    </row>
    <row r="621" spans="2:103" s="1" customFormat="1" ht="30" customHeight="1" x14ac:dyDescent="0.25">
      <c r="B621" s="808">
        <v>45002</v>
      </c>
      <c r="C621" s="809">
        <v>0.875</v>
      </c>
      <c r="D621" s="810">
        <v>58</v>
      </c>
      <c r="E621" s="811">
        <v>7.8</v>
      </c>
      <c r="F621" s="811">
        <v>13.6</v>
      </c>
      <c r="G621" s="1648" t="s">
        <v>4839</v>
      </c>
      <c r="H621" s="1649"/>
      <c r="I621" s="1649"/>
      <c r="J621" s="1649"/>
      <c r="K621" s="1650"/>
      <c r="L621" s="811">
        <v>37.65</v>
      </c>
      <c r="M621" s="812">
        <v>39</v>
      </c>
      <c r="N621" s="811">
        <v>32.76</v>
      </c>
      <c r="O621" s="813" t="s">
        <v>142</v>
      </c>
      <c r="P621" s="813" t="s">
        <v>142</v>
      </c>
      <c r="Q621" s="813" t="s">
        <v>142</v>
      </c>
      <c r="R621" s="813" t="s">
        <v>3808</v>
      </c>
      <c r="S621" s="813">
        <v>53.3</v>
      </c>
      <c r="T621" s="814" t="s">
        <v>84</v>
      </c>
      <c r="U621" s="813" t="s">
        <v>236</v>
      </c>
      <c r="V621" s="981"/>
      <c r="CM621"/>
      <c r="CN621"/>
      <c r="CO621"/>
      <c r="CP621"/>
      <c r="CQ621"/>
      <c r="CR621"/>
      <c r="CS621"/>
      <c r="CT621"/>
      <c r="CU621"/>
      <c r="CV621"/>
      <c r="CW621"/>
      <c r="CX621"/>
      <c r="CY621"/>
    </row>
    <row r="622" spans="2:103" s="1" customFormat="1" ht="30" customHeight="1" x14ac:dyDescent="0.25">
      <c r="B622" s="808">
        <v>45003</v>
      </c>
      <c r="C622" s="809">
        <v>0.75</v>
      </c>
      <c r="D622" s="810">
        <v>58</v>
      </c>
      <c r="E622" s="811">
        <v>7.4</v>
      </c>
      <c r="F622" s="811">
        <v>13.7</v>
      </c>
      <c r="G622" s="1648" t="s">
        <v>4839</v>
      </c>
      <c r="H622" s="1649"/>
      <c r="I622" s="1649"/>
      <c r="J622" s="1649"/>
      <c r="K622" s="1650"/>
      <c r="L622" s="811">
        <v>35.299999999999997</v>
      </c>
      <c r="M622" s="812">
        <v>38</v>
      </c>
      <c r="N622" s="811">
        <v>32.409999999999997</v>
      </c>
      <c r="O622" s="813" t="s">
        <v>142</v>
      </c>
      <c r="P622" s="813" t="s">
        <v>142</v>
      </c>
      <c r="Q622" s="813" t="s">
        <v>142</v>
      </c>
      <c r="R622" s="813" t="s">
        <v>3808</v>
      </c>
      <c r="S622" s="813">
        <v>53.3</v>
      </c>
      <c r="T622" s="814" t="s">
        <v>84</v>
      </c>
      <c r="U622" s="813" t="s">
        <v>236</v>
      </c>
      <c r="V622" s="981"/>
      <c r="CM622"/>
      <c r="CN622"/>
      <c r="CO622"/>
      <c r="CP622"/>
      <c r="CQ622"/>
      <c r="CR622"/>
      <c r="CS622"/>
      <c r="CT622"/>
      <c r="CU622"/>
      <c r="CV622"/>
      <c r="CW622"/>
      <c r="CX622"/>
      <c r="CY622"/>
    </row>
    <row r="623" spans="2:103" s="1" customFormat="1" ht="30" customHeight="1" x14ac:dyDescent="0.25">
      <c r="B623" s="808">
        <v>45004</v>
      </c>
      <c r="C623" s="809">
        <v>0.8125</v>
      </c>
      <c r="D623" s="810">
        <v>58</v>
      </c>
      <c r="E623" s="811">
        <v>7.6</v>
      </c>
      <c r="F623" s="811">
        <v>13.7</v>
      </c>
      <c r="G623" s="1648" t="s">
        <v>4839</v>
      </c>
      <c r="H623" s="1649"/>
      <c r="I623" s="1649"/>
      <c r="J623" s="1649"/>
      <c r="K623" s="1650"/>
      <c r="L623" s="811">
        <v>32.92</v>
      </c>
      <c r="M623" s="812">
        <v>36</v>
      </c>
      <c r="N623" s="811">
        <v>32.71</v>
      </c>
      <c r="O623" s="813" t="s">
        <v>142</v>
      </c>
      <c r="P623" s="813" t="s">
        <v>142</v>
      </c>
      <c r="Q623" s="813" t="s">
        <v>142</v>
      </c>
      <c r="R623" s="813" t="s">
        <v>5164</v>
      </c>
      <c r="S623" s="813">
        <v>53.3</v>
      </c>
      <c r="T623" s="814" t="s">
        <v>84</v>
      </c>
      <c r="U623" s="813" t="s">
        <v>236</v>
      </c>
      <c r="V623" s="981"/>
      <c r="CM623"/>
      <c r="CN623"/>
      <c r="CO623"/>
      <c r="CP623"/>
      <c r="CQ623"/>
      <c r="CR623"/>
      <c r="CS623"/>
      <c r="CT623"/>
      <c r="CU623"/>
      <c r="CV623"/>
      <c r="CW623"/>
      <c r="CX623"/>
      <c r="CY623"/>
    </row>
    <row r="624" spans="2:103" s="1" customFormat="1" ht="30" customHeight="1" x14ac:dyDescent="0.25">
      <c r="B624" s="808">
        <v>45005</v>
      </c>
      <c r="C624" s="809">
        <v>0.8125</v>
      </c>
      <c r="D624" s="810">
        <v>58</v>
      </c>
      <c r="E624" s="811">
        <v>7.3</v>
      </c>
      <c r="F624" s="811">
        <v>13.6</v>
      </c>
      <c r="G624" s="1648" t="s">
        <v>4839</v>
      </c>
      <c r="H624" s="1649"/>
      <c r="I624" s="1649"/>
      <c r="J624" s="1649"/>
      <c r="K624" s="1650"/>
      <c r="L624" s="811">
        <v>36</v>
      </c>
      <c r="M624" s="812">
        <v>38.5</v>
      </c>
      <c r="N624" s="811">
        <v>31.64</v>
      </c>
      <c r="O624" s="813" t="s">
        <v>142</v>
      </c>
      <c r="P624" s="813" t="s">
        <v>142</v>
      </c>
      <c r="Q624" s="813" t="s">
        <v>142</v>
      </c>
      <c r="R624" s="813" t="s">
        <v>4206</v>
      </c>
      <c r="S624" s="813">
        <v>52.9</v>
      </c>
      <c r="T624" s="814" t="s">
        <v>84</v>
      </c>
      <c r="U624" s="813" t="s">
        <v>236</v>
      </c>
      <c r="V624" s="981"/>
      <c r="CM624"/>
      <c r="CN624"/>
      <c r="CO624"/>
      <c r="CP624"/>
      <c r="CQ624"/>
      <c r="CR624"/>
      <c r="CS624"/>
      <c r="CT624"/>
      <c r="CU624"/>
      <c r="CV624"/>
      <c r="CW624"/>
      <c r="CX624"/>
      <c r="CY624"/>
    </row>
    <row r="625" spans="2:103" s="1" customFormat="1" ht="30" customHeight="1" x14ac:dyDescent="0.25">
      <c r="B625" s="808">
        <v>45006</v>
      </c>
      <c r="C625" s="809">
        <v>0.95833333333333337</v>
      </c>
      <c r="D625" s="810">
        <v>58</v>
      </c>
      <c r="E625" s="811">
        <v>7.1</v>
      </c>
      <c r="F625" s="811">
        <v>13.5</v>
      </c>
      <c r="G625" s="1648" t="s">
        <v>4839</v>
      </c>
      <c r="H625" s="1649"/>
      <c r="I625" s="1649"/>
      <c r="J625" s="1649"/>
      <c r="K625" s="1650"/>
      <c r="L625" s="811">
        <v>40.24</v>
      </c>
      <c r="M625" s="812">
        <v>43</v>
      </c>
      <c r="N625" s="811">
        <v>31.18</v>
      </c>
      <c r="O625" s="813" t="s">
        <v>142</v>
      </c>
      <c r="P625" s="813" t="s">
        <v>142</v>
      </c>
      <c r="Q625" s="813" t="s">
        <v>142</v>
      </c>
      <c r="R625" s="813" t="s">
        <v>4595</v>
      </c>
      <c r="S625" s="813">
        <v>52.5</v>
      </c>
      <c r="T625" s="814" t="s">
        <v>84</v>
      </c>
      <c r="U625" s="813" t="s">
        <v>236</v>
      </c>
      <c r="V625" s="981"/>
      <c r="CM625"/>
      <c r="CN625"/>
      <c r="CO625"/>
      <c r="CP625"/>
      <c r="CQ625"/>
      <c r="CR625"/>
      <c r="CS625"/>
      <c r="CT625"/>
      <c r="CU625"/>
      <c r="CV625"/>
      <c r="CW625"/>
      <c r="CX625"/>
      <c r="CY625"/>
    </row>
    <row r="626" spans="2:103" s="1" customFormat="1" ht="30" customHeight="1" x14ac:dyDescent="0.25">
      <c r="B626" s="808">
        <v>45007</v>
      </c>
      <c r="C626" s="809">
        <v>0.79166666666666663</v>
      </c>
      <c r="D626" s="810">
        <v>58</v>
      </c>
      <c r="E626" s="811">
        <v>7.1</v>
      </c>
      <c r="F626" s="811">
        <v>13.6</v>
      </c>
      <c r="G626" s="1648" t="s">
        <v>4839</v>
      </c>
      <c r="H626" s="1649"/>
      <c r="I626" s="1649"/>
      <c r="J626" s="1649"/>
      <c r="K626" s="1650"/>
      <c r="L626" s="811">
        <v>33.1</v>
      </c>
      <c r="M626" s="812">
        <v>38</v>
      </c>
      <c r="N626" s="811">
        <v>31.18</v>
      </c>
      <c r="O626" s="813" t="s">
        <v>142</v>
      </c>
      <c r="P626" s="813" t="s">
        <v>142</v>
      </c>
      <c r="Q626" s="813" t="s">
        <v>142</v>
      </c>
      <c r="R626" s="813" t="s">
        <v>4661</v>
      </c>
      <c r="S626" s="813">
        <v>52.3</v>
      </c>
      <c r="T626" s="814" t="s">
        <v>84</v>
      </c>
      <c r="U626" s="813" t="s">
        <v>4320</v>
      </c>
      <c r="V626" s="981"/>
      <c r="CM626"/>
      <c r="CN626"/>
      <c r="CO626"/>
      <c r="CP626"/>
      <c r="CQ626"/>
      <c r="CR626"/>
      <c r="CS626"/>
      <c r="CT626"/>
      <c r="CU626"/>
      <c r="CV626"/>
      <c r="CW626"/>
      <c r="CX626"/>
      <c r="CY626"/>
    </row>
    <row r="627" spans="2:103" s="1" customFormat="1" ht="30" customHeight="1" x14ac:dyDescent="0.25">
      <c r="B627" s="808">
        <v>45008</v>
      </c>
      <c r="C627" s="809">
        <v>0.54166666666666663</v>
      </c>
      <c r="D627" s="810">
        <v>58</v>
      </c>
      <c r="E627" s="811">
        <v>7</v>
      </c>
      <c r="F627" s="811">
        <v>13.5</v>
      </c>
      <c r="G627" s="1648" t="s">
        <v>4839</v>
      </c>
      <c r="H627" s="1649"/>
      <c r="I627" s="1649"/>
      <c r="J627" s="1649"/>
      <c r="K627" s="1650"/>
      <c r="L627" s="811">
        <v>36.15</v>
      </c>
      <c r="M627" s="812">
        <v>39</v>
      </c>
      <c r="N627" s="811">
        <v>30.41</v>
      </c>
      <c r="O627" s="813" t="s">
        <v>142</v>
      </c>
      <c r="P627" s="813" t="s">
        <v>142</v>
      </c>
      <c r="Q627" s="813" t="s">
        <v>142</v>
      </c>
      <c r="R627" s="813" t="s">
        <v>4595</v>
      </c>
      <c r="S627" s="813">
        <v>52.5</v>
      </c>
      <c r="T627" s="814" t="s">
        <v>84</v>
      </c>
      <c r="U627" s="813" t="s">
        <v>4320</v>
      </c>
      <c r="V627" s="981"/>
      <c r="CM627"/>
      <c r="CN627"/>
      <c r="CO627"/>
      <c r="CP627"/>
      <c r="CQ627"/>
      <c r="CR627"/>
      <c r="CS627"/>
      <c r="CT627"/>
      <c r="CU627"/>
      <c r="CV627"/>
      <c r="CW627"/>
      <c r="CX627"/>
      <c r="CY627"/>
    </row>
    <row r="628" spans="2:103" s="1" customFormat="1" ht="30" customHeight="1" x14ac:dyDescent="0.25">
      <c r="B628" s="808">
        <v>45009</v>
      </c>
      <c r="C628" s="809">
        <v>0.875</v>
      </c>
      <c r="D628" s="810">
        <v>58</v>
      </c>
      <c r="E628" s="811">
        <v>6.8</v>
      </c>
      <c r="F628" s="811">
        <v>13.2</v>
      </c>
      <c r="G628" s="1648" t="s">
        <v>4839</v>
      </c>
      <c r="H628" s="1649"/>
      <c r="I628" s="1649"/>
      <c r="J628" s="1649"/>
      <c r="K628" s="1650"/>
      <c r="L628" s="811">
        <v>36.93</v>
      </c>
      <c r="M628" s="812">
        <v>38</v>
      </c>
      <c r="N628" s="811">
        <v>29.23</v>
      </c>
      <c r="O628" s="813" t="s">
        <v>142</v>
      </c>
      <c r="P628" s="813" t="s">
        <v>142</v>
      </c>
      <c r="Q628" s="813" t="s">
        <v>142</v>
      </c>
      <c r="R628" s="813" t="s">
        <v>4595</v>
      </c>
      <c r="S628" s="813">
        <v>51.3</v>
      </c>
      <c r="T628" s="814" t="s">
        <v>84</v>
      </c>
      <c r="U628" s="813" t="s">
        <v>4320</v>
      </c>
      <c r="V628" s="981"/>
      <c r="CM628"/>
      <c r="CN628"/>
      <c r="CO628"/>
      <c r="CP628"/>
      <c r="CQ628"/>
      <c r="CR628"/>
      <c r="CS628"/>
      <c r="CT628"/>
      <c r="CU628"/>
      <c r="CV628"/>
      <c r="CW628"/>
      <c r="CX628"/>
      <c r="CY628"/>
    </row>
    <row r="629" spans="2:103" s="1" customFormat="1" ht="30" customHeight="1" x14ac:dyDescent="0.25">
      <c r="B629" s="808">
        <v>45010</v>
      </c>
      <c r="C629" s="809">
        <v>0.875</v>
      </c>
      <c r="D629" s="810">
        <v>58</v>
      </c>
      <c r="E629" s="811">
        <v>6.8</v>
      </c>
      <c r="F629" s="811">
        <v>13.2</v>
      </c>
      <c r="G629" s="1648" t="s">
        <v>4839</v>
      </c>
      <c r="H629" s="1649"/>
      <c r="I629" s="1649"/>
      <c r="J629" s="1649"/>
      <c r="K629" s="1650"/>
      <c r="L629" s="811">
        <v>38.840000000000003</v>
      </c>
      <c r="M629" s="812">
        <v>38</v>
      </c>
      <c r="N629" s="811">
        <v>27.67</v>
      </c>
      <c r="O629" s="813" t="s">
        <v>142</v>
      </c>
      <c r="P629" s="813" t="s">
        <v>142</v>
      </c>
      <c r="Q629" s="813" t="s">
        <v>142</v>
      </c>
      <c r="R629" s="813" t="s">
        <v>4595</v>
      </c>
      <c r="S629" s="813">
        <v>51.3</v>
      </c>
      <c r="T629" s="814" t="s">
        <v>84</v>
      </c>
      <c r="U629" s="813" t="s">
        <v>4320</v>
      </c>
      <c r="V629" s="981"/>
      <c r="CM629"/>
      <c r="CN629"/>
      <c r="CO629"/>
      <c r="CP629"/>
      <c r="CQ629"/>
      <c r="CR629"/>
      <c r="CS629"/>
      <c r="CT629"/>
      <c r="CU629"/>
      <c r="CV629"/>
      <c r="CW629"/>
      <c r="CX629"/>
      <c r="CY629"/>
    </row>
    <row r="630" spans="2:103" s="1" customFormat="1" ht="30" customHeight="1" x14ac:dyDescent="0.25">
      <c r="B630" s="808">
        <v>45011</v>
      </c>
      <c r="C630" s="809">
        <v>0.875</v>
      </c>
      <c r="D630" s="810">
        <v>58</v>
      </c>
      <c r="E630" s="811">
        <v>5.2</v>
      </c>
      <c r="F630" s="811">
        <v>12.7</v>
      </c>
      <c r="G630" s="1648" t="s">
        <v>4839</v>
      </c>
      <c r="H630" s="1649"/>
      <c r="I630" s="1649"/>
      <c r="J630" s="1649"/>
      <c r="K630" s="1650"/>
      <c r="L630" s="811">
        <v>38.28</v>
      </c>
      <c r="M630" s="812">
        <v>38</v>
      </c>
      <c r="N630" s="811">
        <v>26.59</v>
      </c>
      <c r="O630" s="813" t="s">
        <v>142</v>
      </c>
      <c r="P630" s="813" t="s">
        <v>142</v>
      </c>
      <c r="Q630" s="813" t="s">
        <v>142</v>
      </c>
      <c r="R630" s="813" t="s">
        <v>5219</v>
      </c>
      <c r="S630" s="813">
        <v>49.4</v>
      </c>
      <c r="T630" s="814" t="s">
        <v>84</v>
      </c>
      <c r="U630" s="813" t="s">
        <v>4320</v>
      </c>
      <c r="V630" s="981"/>
      <c r="CM630"/>
      <c r="CN630"/>
      <c r="CO630"/>
      <c r="CP630"/>
      <c r="CQ630"/>
      <c r="CR630"/>
      <c r="CS630"/>
      <c r="CT630"/>
      <c r="CU630"/>
      <c r="CV630"/>
      <c r="CW630"/>
      <c r="CX630"/>
      <c r="CY630"/>
    </row>
    <row r="631" spans="2:103" s="1" customFormat="1" ht="30" customHeight="1" x14ac:dyDescent="0.25">
      <c r="B631" s="808">
        <v>45012</v>
      </c>
      <c r="C631" s="809">
        <v>0.875</v>
      </c>
      <c r="D631" s="810">
        <v>58</v>
      </c>
      <c r="E631" s="811">
        <v>5.3</v>
      </c>
      <c r="F631" s="811">
        <v>12.7</v>
      </c>
      <c r="G631" s="1648" t="s">
        <v>4839</v>
      </c>
      <c r="H631" s="1649"/>
      <c r="I631" s="1649"/>
      <c r="J631" s="1649"/>
      <c r="K631" s="1650"/>
      <c r="L631" s="811">
        <v>37</v>
      </c>
      <c r="M631" s="812">
        <v>38</v>
      </c>
      <c r="N631" s="811">
        <v>26.63</v>
      </c>
      <c r="O631" s="813" t="s">
        <v>142</v>
      </c>
      <c r="P631" s="813" t="s">
        <v>142</v>
      </c>
      <c r="Q631" s="813" t="s">
        <v>142</v>
      </c>
      <c r="R631" s="813" t="s">
        <v>5218</v>
      </c>
      <c r="S631" s="813">
        <v>49.4</v>
      </c>
      <c r="T631" s="814" t="s">
        <v>84</v>
      </c>
      <c r="U631" s="813" t="s">
        <v>4320</v>
      </c>
      <c r="V631" s="981"/>
      <c r="CM631"/>
      <c r="CN631"/>
      <c r="CO631"/>
      <c r="CP631"/>
      <c r="CQ631"/>
      <c r="CR631"/>
      <c r="CS631"/>
      <c r="CT631"/>
      <c r="CU631"/>
      <c r="CV631"/>
      <c r="CW631"/>
      <c r="CX631"/>
      <c r="CY631"/>
    </row>
    <row r="632" spans="2:103" s="1" customFormat="1" ht="30" customHeight="1" x14ac:dyDescent="0.25">
      <c r="B632" s="808">
        <v>45013</v>
      </c>
      <c r="C632" s="809">
        <v>0.91666666666666663</v>
      </c>
      <c r="D632" s="810">
        <v>58</v>
      </c>
      <c r="E632" s="811">
        <v>7.8</v>
      </c>
      <c r="F632" s="811">
        <v>13.9</v>
      </c>
      <c r="G632" s="1648" t="s">
        <v>4839</v>
      </c>
      <c r="H632" s="1649"/>
      <c r="I632" s="1649"/>
      <c r="J632" s="1649"/>
      <c r="K632" s="1650"/>
      <c r="L632" s="811">
        <v>37.89</v>
      </c>
      <c r="M632" s="812">
        <v>38</v>
      </c>
      <c r="N632" s="811">
        <v>29.03</v>
      </c>
      <c r="O632" s="813" t="s">
        <v>142</v>
      </c>
      <c r="P632" s="813" t="s">
        <v>142</v>
      </c>
      <c r="Q632" s="813" t="s">
        <v>142</v>
      </c>
      <c r="R632" s="813" t="s">
        <v>5224</v>
      </c>
      <c r="S632" s="813">
        <v>54</v>
      </c>
      <c r="T632" s="814" t="s">
        <v>84</v>
      </c>
      <c r="U632" s="813" t="s">
        <v>4320</v>
      </c>
      <c r="V632" s="981" t="s">
        <v>415</v>
      </c>
      <c r="CM632"/>
      <c r="CN632"/>
      <c r="CO632"/>
      <c r="CP632"/>
      <c r="CQ632"/>
      <c r="CR632"/>
      <c r="CS632"/>
      <c r="CT632"/>
      <c r="CU632"/>
      <c r="CV632"/>
      <c r="CW632"/>
      <c r="CX632"/>
      <c r="CY632"/>
    </row>
    <row r="633" spans="2:103" s="1" customFormat="1" ht="30" customHeight="1" x14ac:dyDescent="0.25">
      <c r="B633" s="808">
        <v>45014</v>
      </c>
      <c r="C633" s="809">
        <v>0.91666666666666663</v>
      </c>
      <c r="D633" s="810">
        <v>58</v>
      </c>
      <c r="E633" s="811">
        <v>6</v>
      </c>
      <c r="F633" s="811">
        <v>13</v>
      </c>
      <c r="G633" s="1648" t="s">
        <v>4839</v>
      </c>
      <c r="H633" s="1649"/>
      <c r="I633" s="1649"/>
      <c r="J633" s="1649"/>
      <c r="K633" s="1650"/>
      <c r="L633" s="811">
        <v>35.97</v>
      </c>
      <c r="M633" s="812">
        <v>38</v>
      </c>
      <c r="N633" s="811">
        <v>28.16</v>
      </c>
      <c r="O633" s="813" t="s">
        <v>142</v>
      </c>
      <c r="P633" s="813" t="s">
        <v>142</v>
      </c>
      <c r="Q633" s="813" t="s">
        <v>142</v>
      </c>
      <c r="R633" s="813" t="s">
        <v>5239</v>
      </c>
      <c r="S633" s="813">
        <v>50.5</v>
      </c>
      <c r="T633" s="814" t="s">
        <v>84</v>
      </c>
      <c r="U633" s="813" t="s">
        <v>4320</v>
      </c>
      <c r="V633" s="981"/>
      <c r="CM633"/>
      <c r="CN633"/>
      <c r="CO633"/>
      <c r="CP633"/>
      <c r="CQ633"/>
      <c r="CR633"/>
      <c r="CS633"/>
      <c r="CT633"/>
      <c r="CU633"/>
      <c r="CV633"/>
      <c r="CW633"/>
      <c r="CX633"/>
      <c r="CY633"/>
    </row>
    <row r="634" spans="2:103" s="1" customFormat="1" ht="30" customHeight="1" x14ac:dyDescent="0.25">
      <c r="B634" s="808">
        <v>45015</v>
      </c>
      <c r="C634" s="809">
        <v>0.91666666666666663</v>
      </c>
      <c r="D634" s="810">
        <v>58</v>
      </c>
      <c r="E634" s="811">
        <v>6.2</v>
      </c>
      <c r="F634" s="811">
        <v>13.1</v>
      </c>
      <c r="G634" s="1648" t="s">
        <v>4839</v>
      </c>
      <c r="H634" s="1649"/>
      <c r="I634" s="1649"/>
      <c r="J634" s="1649"/>
      <c r="K634" s="1650"/>
      <c r="L634" s="811">
        <v>38.08</v>
      </c>
      <c r="M634" s="812">
        <v>38</v>
      </c>
      <c r="N634" s="811">
        <v>27.82</v>
      </c>
      <c r="O634" s="813" t="s">
        <v>142</v>
      </c>
      <c r="P634" s="813" t="s">
        <v>142</v>
      </c>
      <c r="Q634" s="813" t="s">
        <v>142</v>
      </c>
      <c r="R634" s="813" t="s">
        <v>1024</v>
      </c>
      <c r="S634" s="813">
        <v>50.9</v>
      </c>
      <c r="T634" s="814" t="s">
        <v>84</v>
      </c>
      <c r="U634" s="813" t="s">
        <v>4320</v>
      </c>
      <c r="V634" s="981"/>
      <c r="CM634"/>
      <c r="CN634"/>
      <c r="CO634"/>
      <c r="CP634"/>
      <c r="CQ634"/>
      <c r="CR634"/>
      <c r="CS634"/>
      <c r="CT634"/>
      <c r="CU634"/>
      <c r="CV634"/>
      <c r="CW634"/>
      <c r="CX634"/>
      <c r="CY634"/>
    </row>
    <row r="635" spans="2:103" s="1" customFormat="1" ht="30" customHeight="1" x14ac:dyDescent="0.25">
      <c r="B635" s="808">
        <v>45016</v>
      </c>
      <c r="C635" s="809">
        <v>0.91666666666666663</v>
      </c>
      <c r="D635" s="810">
        <v>58</v>
      </c>
      <c r="E635" s="811">
        <v>7.2</v>
      </c>
      <c r="F635" s="811">
        <v>13.5</v>
      </c>
      <c r="G635" s="1648" t="s">
        <v>4839</v>
      </c>
      <c r="H635" s="1649"/>
      <c r="I635" s="1649"/>
      <c r="J635" s="1649"/>
      <c r="K635" s="1650"/>
      <c r="L635" s="811">
        <v>38.31</v>
      </c>
      <c r="M635" s="812">
        <v>38</v>
      </c>
      <c r="N635" s="811">
        <v>28.66</v>
      </c>
      <c r="O635" s="813" t="s">
        <v>142</v>
      </c>
      <c r="P635" s="813" t="s">
        <v>142</v>
      </c>
      <c r="Q635" s="813" t="s">
        <v>142</v>
      </c>
      <c r="R635" s="813" t="s">
        <v>4595</v>
      </c>
      <c r="S635" s="813">
        <v>52.5</v>
      </c>
      <c r="T635" s="814" t="s">
        <v>84</v>
      </c>
      <c r="U635" s="813" t="s">
        <v>4320</v>
      </c>
      <c r="V635" s="981"/>
      <c r="CM635"/>
      <c r="CN635"/>
      <c r="CO635"/>
      <c r="CP635"/>
      <c r="CQ635"/>
      <c r="CR635"/>
      <c r="CS635"/>
      <c r="CT635"/>
      <c r="CU635"/>
      <c r="CV635"/>
      <c r="CW635"/>
      <c r="CX635"/>
      <c r="CY635"/>
    </row>
    <row r="636" spans="2:103" s="1" customFormat="1" ht="30" customHeight="1" x14ac:dyDescent="0.25">
      <c r="B636" s="808">
        <v>45017</v>
      </c>
      <c r="C636" s="809">
        <v>0.95833333333333337</v>
      </c>
      <c r="D636" s="810">
        <v>58</v>
      </c>
      <c r="E636" s="811">
        <v>7.1</v>
      </c>
      <c r="F636" s="811">
        <v>13.4</v>
      </c>
      <c r="G636" s="1648" t="s">
        <v>4839</v>
      </c>
      <c r="H636" s="1649"/>
      <c r="I636" s="1649"/>
      <c r="J636" s="1649"/>
      <c r="K636" s="1650"/>
      <c r="L636" s="811">
        <v>38.33</v>
      </c>
      <c r="M636" s="812">
        <v>38</v>
      </c>
      <c r="N636" s="811">
        <v>28.16</v>
      </c>
      <c r="O636" s="813" t="s">
        <v>142</v>
      </c>
      <c r="P636" s="813" t="s">
        <v>142</v>
      </c>
      <c r="Q636" s="813" t="s">
        <v>142</v>
      </c>
      <c r="R636" s="813" t="s">
        <v>4595</v>
      </c>
      <c r="S636" s="813">
        <v>52.5</v>
      </c>
      <c r="T636" s="814" t="s">
        <v>84</v>
      </c>
      <c r="U636" s="813" t="s">
        <v>4320</v>
      </c>
      <c r="V636" s="981"/>
      <c r="CM636"/>
      <c r="CN636"/>
      <c r="CO636"/>
      <c r="CP636"/>
      <c r="CQ636"/>
      <c r="CR636"/>
      <c r="CS636"/>
      <c r="CT636"/>
      <c r="CU636"/>
      <c r="CV636"/>
      <c r="CW636"/>
      <c r="CX636"/>
      <c r="CY636"/>
    </row>
    <row r="637" spans="2:103" s="1" customFormat="1" ht="30" customHeight="1" x14ac:dyDescent="0.25">
      <c r="B637" s="808">
        <v>45018</v>
      </c>
      <c r="C637" s="809">
        <v>0.95833333333333337</v>
      </c>
      <c r="D637" s="810">
        <v>58</v>
      </c>
      <c r="E637" s="811">
        <v>6.7</v>
      </c>
      <c r="F637" s="811">
        <v>13.3</v>
      </c>
      <c r="G637" s="1648" t="s">
        <v>4839</v>
      </c>
      <c r="H637" s="1649"/>
      <c r="I637" s="1649"/>
      <c r="J637" s="1649"/>
      <c r="K637" s="1650"/>
      <c r="L637" s="811">
        <v>37.39</v>
      </c>
      <c r="M637" s="812">
        <v>37</v>
      </c>
      <c r="N637" s="811">
        <v>28</v>
      </c>
      <c r="O637" s="813" t="s">
        <v>142</v>
      </c>
      <c r="P637" s="813" t="s">
        <v>142</v>
      </c>
      <c r="Q637" s="813" t="s">
        <v>142</v>
      </c>
      <c r="R637" s="813" t="s">
        <v>5134</v>
      </c>
      <c r="S637" s="813">
        <v>51.7</v>
      </c>
      <c r="T637" s="814" t="s">
        <v>84</v>
      </c>
      <c r="U637" s="813" t="s">
        <v>4320</v>
      </c>
      <c r="V637" s="981"/>
      <c r="CM637"/>
      <c r="CN637"/>
      <c r="CO637"/>
      <c r="CP637"/>
      <c r="CQ637"/>
      <c r="CR637"/>
      <c r="CS637"/>
      <c r="CT637"/>
      <c r="CU637"/>
      <c r="CV637"/>
      <c r="CW637"/>
      <c r="CX637"/>
      <c r="CY637"/>
    </row>
    <row r="638" spans="2:103" s="1" customFormat="1" ht="30" customHeight="1" x14ac:dyDescent="0.25">
      <c r="B638" s="808">
        <v>45019</v>
      </c>
      <c r="C638" s="809">
        <v>0.95833333333333337</v>
      </c>
      <c r="D638" s="1657" t="s">
        <v>5280</v>
      </c>
      <c r="E638" s="1658"/>
      <c r="F638" s="1658"/>
      <c r="G638" s="1658"/>
      <c r="H638" s="1658"/>
      <c r="I638" s="1658"/>
      <c r="J638" s="1658"/>
      <c r="K638" s="1658"/>
      <c r="L638" s="1658"/>
      <c r="M638" s="1658"/>
      <c r="N638" s="1658"/>
      <c r="O638" s="1658"/>
      <c r="P638" s="1658"/>
      <c r="Q638" s="1658"/>
      <c r="R638" s="1658"/>
      <c r="S638" s="1659"/>
      <c r="T638" s="814" t="s">
        <v>84</v>
      </c>
      <c r="U638" s="813" t="s">
        <v>4320</v>
      </c>
      <c r="V638" s="1244" t="s">
        <v>5286</v>
      </c>
      <c r="CM638"/>
      <c r="CN638"/>
      <c r="CO638"/>
      <c r="CP638"/>
      <c r="CQ638"/>
      <c r="CR638"/>
      <c r="CS638"/>
      <c r="CT638"/>
      <c r="CU638"/>
      <c r="CV638"/>
      <c r="CW638"/>
      <c r="CX638"/>
      <c r="CY638"/>
    </row>
    <row r="639" spans="2:103" s="1" customFormat="1" x14ac:dyDescent="0.25">
      <c r="B639" s="25"/>
      <c r="C639" s="32"/>
      <c r="D639" s="20"/>
      <c r="E639" s="34"/>
      <c r="F639" s="47"/>
      <c r="G639" s="1646"/>
      <c r="H639" s="1647"/>
      <c r="I639" s="1647"/>
      <c r="J639" s="1647"/>
      <c r="K639" s="167"/>
      <c r="L639" s="48"/>
      <c r="M639" s="33"/>
      <c r="N639" s="33"/>
      <c r="O639" s="35"/>
      <c r="P639" s="35"/>
      <c r="Q639" s="35"/>
      <c r="R639" s="35"/>
      <c r="S639" s="35"/>
      <c r="T639" s="35"/>
      <c r="U639" s="20"/>
      <c r="V639" s="28"/>
      <c r="CM639"/>
      <c r="CN639"/>
      <c r="CO639"/>
      <c r="CP639"/>
      <c r="CQ639"/>
      <c r="CR639"/>
      <c r="CS639"/>
      <c r="CT639"/>
      <c r="CU639"/>
      <c r="CV639"/>
      <c r="CW639"/>
      <c r="CX639"/>
      <c r="CY639"/>
    </row>
    <row r="640" spans="2:103" s="1" customFormat="1" x14ac:dyDescent="0.25">
      <c r="B640" s="25"/>
      <c r="C640" s="32"/>
      <c r="D640" s="20"/>
      <c r="E640" s="34"/>
      <c r="F640" s="47"/>
      <c r="G640" s="1651"/>
      <c r="H640" s="1652"/>
      <c r="I640" s="1652"/>
      <c r="J640" s="1652"/>
      <c r="K640" s="168"/>
      <c r="L640" s="168"/>
      <c r="M640" s="33"/>
      <c r="N640" s="33"/>
      <c r="O640" s="35"/>
      <c r="P640" s="35"/>
      <c r="Q640" s="35"/>
      <c r="R640" s="35"/>
      <c r="S640" s="35"/>
      <c r="T640" s="35"/>
      <c r="U640" s="20"/>
      <c r="V640" s="28"/>
      <c r="CM640"/>
      <c r="CN640"/>
      <c r="CO640"/>
      <c r="CP640"/>
      <c r="CQ640"/>
      <c r="CR640"/>
      <c r="CS640"/>
      <c r="CT640"/>
      <c r="CU640"/>
      <c r="CV640"/>
      <c r="CW640"/>
      <c r="CX640"/>
      <c r="CY640"/>
    </row>
    <row r="641" spans="2:103" s="1" customFormat="1" x14ac:dyDescent="0.25">
      <c r="B641" s="25"/>
      <c r="C641" s="32"/>
      <c r="D641" s="20"/>
      <c r="E641" s="34"/>
      <c r="F641" s="47"/>
      <c r="G641" s="1646"/>
      <c r="H641" s="1647"/>
      <c r="I641" s="1647"/>
      <c r="J641" s="1647"/>
      <c r="K641" s="167"/>
      <c r="L641" s="48"/>
      <c r="M641" s="33"/>
      <c r="N641" s="33"/>
      <c r="O641" s="35"/>
      <c r="P641" s="35"/>
      <c r="Q641" s="35"/>
      <c r="R641" s="35"/>
      <c r="S641" s="35"/>
      <c r="T641" s="35"/>
      <c r="U641" s="20"/>
      <c r="V641" s="28"/>
      <c r="CM641"/>
      <c r="CN641"/>
      <c r="CO641"/>
      <c r="CP641"/>
      <c r="CQ641"/>
      <c r="CR641"/>
      <c r="CS641"/>
      <c r="CT641"/>
      <c r="CU641"/>
      <c r="CV641"/>
      <c r="CW641"/>
      <c r="CX641"/>
      <c r="CY641"/>
    </row>
    <row r="642" spans="2:103" s="1" customFormat="1" x14ac:dyDescent="0.25">
      <c r="B642" s="25"/>
      <c r="C642" s="32"/>
      <c r="D642" s="20"/>
      <c r="E642" s="34"/>
      <c r="F642" s="47"/>
      <c r="G642" s="1646"/>
      <c r="H642" s="1647"/>
      <c r="I642" s="1647"/>
      <c r="J642" s="1647"/>
      <c r="K642" s="167"/>
      <c r="L642" s="48"/>
      <c r="M642" s="33"/>
      <c r="N642" s="33"/>
      <c r="O642" s="35"/>
      <c r="P642" s="35"/>
      <c r="Q642" s="35"/>
      <c r="R642" s="35"/>
      <c r="S642" s="35"/>
      <c r="T642" s="35"/>
      <c r="U642" s="20"/>
      <c r="V642" s="28"/>
      <c r="CM642"/>
      <c r="CN642"/>
      <c r="CO642"/>
      <c r="CP642"/>
      <c r="CQ642"/>
      <c r="CR642"/>
      <c r="CS642"/>
      <c r="CT642"/>
      <c r="CU642"/>
      <c r="CV642"/>
      <c r="CW642"/>
      <c r="CX642"/>
      <c r="CY642"/>
    </row>
    <row r="643" spans="2:103" s="1" customFormat="1" x14ac:dyDescent="0.25">
      <c r="B643" s="25"/>
      <c r="C643" s="32"/>
      <c r="D643" s="20"/>
      <c r="E643" s="34"/>
      <c r="F643" s="47"/>
      <c r="G643" s="1646"/>
      <c r="H643" s="1647"/>
      <c r="I643" s="1647"/>
      <c r="J643" s="1647"/>
      <c r="K643" s="167"/>
      <c r="L643" s="48"/>
      <c r="M643" s="33"/>
      <c r="N643" s="33"/>
      <c r="O643" s="35"/>
      <c r="P643" s="35"/>
      <c r="Q643" s="35"/>
      <c r="R643" s="35"/>
      <c r="S643" s="35"/>
      <c r="T643" s="35"/>
      <c r="U643" s="20"/>
      <c r="V643" s="28"/>
      <c r="CM643"/>
      <c r="CN643"/>
      <c r="CO643"/>
      <c r="CP643"/>
      <c r="CQ643"/>
      <c r="CR643"/>
      <c r="CS643"/>
      <c r="CT643"/>
      <c r="CU643"/>
      <c r="CV643"/>
      <c r="CW643"/>
      <c r="CX643"/>
      <c r="CY643"/>
    </row>
    <row r="644" spans="2:103" s="1" customFormat="1" x14ac:dyDescent="0.25">
      <c r="B644" s="25"/>
      <c r="C644" s="32"/>
      <c r="D644" s="20"/>
      <c r="E644" s="34"/>
      <c r="F644" s="47"/>
      <c r="G644" s="1646"/>
      <c r="H644" s="1647"/>
      <c r="I644" s="1647"/>
      <c r="J644" s="1647"/>
      <c r="K644" s="167"/>
      <c r="L644" s="48"/>
      <c r="M644" s="33"/>
      <c r="N644" s="33"/>
      <c r="O644" s="35"/>
      <c r="P644" s="35"/>
      <c r="Q644" s="35"/>
      <c r="R644" s="35"/>
      <c r="S644" s="35"/>
      <c r="T644" s="35"/>
      <c r="U644" s="20"/>
      <c r="V644" s="28"/>
      <c r="CM644"/>
      <c r="CN644"/>
      <c r="CO644"/>
      <c r="CP644"/>
      <c r="CQ644"/>
      <c r="CR644"/>
      <c r="CS644"/>
      <c r="CT644"/>
      <c r="CU644"/>
      <c r="CV644"/>
      <c r="CW644"/>
      <c r="CX644"/>
      <c r="CY644"/>
    </row>
    <row r="645" spans="2:103" s="1" customFormat="1" x14ac:dyDescent="0.25">
      <c r="B645" s="25"/>
      <c r="C645" s="32"/>
      <c r="D645" s="20"/>
      <c r="E645" s="34"/>
      <c r="F645" s="47"/>
      <c r="G645" s="1646"/>
      <c r="H645" s="1647"/>
      <c r="I645" s="1647"/>
      <c r="J645" s="1647"/>
      <c r="K645" s="167"/>
      <c r="L645" s="48"/>
      <c r="M645" s="33"/>
      <c r="N645" s="33"/>
      <c r="O645" s="35"/>
      <c r="P645" s="35"/>
      <c r="Q645" s="35"/>
      <c r="R645" s="35"/>
      <c r="S645" s="35"/>
      <c r="T645" s="35"/>
      <c r="U645" s="20"/>
      <c r="V645" s="28"/>
      <c r="CM645"/>
      <c r="CN645"/>
      <c r="CO645"/>
      <c r="CP645"/>
      <c r="CQ645"/>
      <c r="CR645"/>
      <c r="CS645"/>
      <c r="CT645"/>
      <c r="CU645"/>
      <c r="CV645"/>
      <c r="CW645"/>
      <c r="CX645"/>
      <c r="CY645"/>
    </row>
    <row r="646" spans="2:103" s="1" customFormat="1" x14ac:dyDescent="0.25">
      <c r="B646" s="25"/>
      <c r="C646" s="32"/>
      <c r="D646" s="20"/>
      <c r="E646" s="34"/>
      <c r="F646" s="47"/>
      <c r="G646" s="1651"/>
      <c r="H646" s="1652"/>
      <c r="I646" s="1652"/>
      <c r="J646" s="1652"/>
      <c r="K646" s="168"/>
      <c r="L646" s="168"/>
      <c r="M646" s="33"/>
      <c r="N646" s="33"/>
      <c r="O646" s="35"/>
      <c r="P646" s="35"/>
      <c r="Q646" s="35"/>
      <c r="R646" s="35"/>
      <c r="S646" s="35"/>
      <c r="T646" s="35"/>
      <c r="U646" s="20"/>
      <c r="V646" s="28"/>
      <c r="CM646"/>
      <c r="CN646"/>
      <c r="CO646"/>
      <c r="CP646"/>
      <c r="CQ646"/>
      <c r="CR646"/>
      <c r="CS646"/>
      <c r="CT646"/>
      <c r="CU646"/>
      <c r="CV646"/>
      <c r="CW646"/>
      <c r="CX646"/>
      <c r="CY646"/>
    </row>
    <row r="647" spans="2:103" s="1" customFormat="1" x14ac:dyDescent="0.25">
      <c r="B647" s="25"/>
      <c r="C647" s="32"/>
      <c r="D647" s="20"/>
      <c r="E647" s="34"/>
      <c r="F647" s="47"/>
      <c r="G647" s="1651"/>
      <c r="H647" s="1652"/>
      <c r="I647" s="1652"/>
      <c r="J647" s="1652"/>
      <c r="K647" s="168"/>
      <c r="L647" s="168"/>
      <c r="M647" s="33"/>
      <c r="N647" s="33"/>
      <c r="O647" s="35"/>
      <c r="P647" s="35"/>
      <c r="Q647" s="35"/>
      <c r="R647" s="35"/>
      <c r="S647" s="35"/>
      <c r="T647" s="35"/>
      <c r="U647" s="20"/>
      <c r="V647" s="28"/>
      <c r="CM647"/>
      <c r="CN647"/>
      <c r="CO647"/>
      <c r="CP647"/>
      <c r="CQ647"/>
      <c r="CR647"/>
      <c r="CS647"/>
      <c r="CT647"/>
      <c r="CU647"/>
      <c r="CV647"/>
      <c r="CW647"/>
      <c r="CX647"/>
      <c r="CY647"/>
    </row>
    <row r="648" spans="2:103" s="1" customFormat="1" x14ac:dyDescent="0.25">
      <c r="B648" s="25"/>
      <c r="C648" s="32"/>
      <c r="D648" s="20"/>
      <c r="E648" s="34"/>
      <c r="F648" s="47"/>
      <c r="G648" s="1651"/>
      <c r="H648" s="1652"/>
      <c r="I648" s="1652"/>
      <c r="J648" s="1652"/>
      <c r="K648" s="168"/>
      <c r="L648" s="168"/>
      <c r="M648" s="33"/>
      <c r="N648" s="33"/>
      <c r="O648" s="35"/>
      <c r="P648" s="35"/>
      <c r="Q648" s="35"/>
      <c r="R648" s="35"/>
      <c r="S648" s="35"/>
      <c r="T648" s="35"/>
      <c r="U648" s="20"/>
      <c r="V648" s="28"/>
      <c r="CM648"/>
      <c r="CN648"/>
      <c r="CO648"/>
      <c r="CP648"/>
      <c r="CQ648"/>
      <c r="CR648"/>
      <c r="CS648"/>
      <c r="CT648"/>
      <c r="CU648"/>
      <c r="CV648"/>
      <c r="CW648"/>
      <c r="CX648"/>
      <c r="CY648"/>
    </row>
    <row r="649" spans="2:103" s="1" customFormat="1" x14ac:dyDescent="0.25">
      <c r="B649" s="25"/>
      <c r="C649" s="32"/>
      <c r="D649" s="20"/>
      <c r="E649" s="34"/>
      <c r="F649" s="47"/>
      <c r="G649" s="1651"/>
      <c r="H649" s="1652"/>
      <c r="I649" s="1652"/>
      <c r="J649" s="1652"/>
      <c r="K649" s="168"/>
      <c r="L649" s="168"/>
      <c r="M649" s="33"/>
      <c r="N649" s="33"/>
      <c r="O649" s="35"/>
      <c r="P649" s="35"/>
      <c r="Q649" s="35"/>
      <c r="R649" s="35"/>
      <c r="S649" s="35"/>
      <c r="T649" s="35"/>
      <c r="U649" s="20"/>
      <c r="V649" s="28"/>
      <c r="CM649"/>
      <c r="CN649"/>
      <c r="CO649"/>
      <c r="CP649"/>
      <c r="CQ649"/>
      <c r="CR649"/>
      <c r="CS649"/>
      <c r="CT649"/>
      <c r="CU649"/>
      <c r="CV649"/>
      <c r="CW649"/>
      <c r="CX649"/>
      <c r="CY649"/>
    </row>
    <row r="650" spans="2:103" s="1" customFormat="1" x14ac:dyDescent="0.25">
      <c r="B650" s="25"/>
      <c r="C650" s="32"/>
      <c r="D650" s="20"/>
      <c r="E650" s="34"/>
      <c r="F650" s="47"/>
      <c r="G650" s="1651"/>
      <c r="H650" s="1652"/>
      <c r="I650" s="1652"/>
      <c r="J650" s="1652"/>
      <c r="K650" s="168"/>
      <c r="L650" s="168"/>
      <c r="M650" s="33"/>
      <c r="N650" s="33"/>
      <c r="O650" s="35"/>
      <c r="P650" s="35"/>
      <c r="Q650" s="35"/>
      <c r="R650" s="35"/>
      <c r="S650" s="35"/>
      <c r="T650" s="35"/>
      <c r="U650" s="20"/>
      <c r="V650" s="28"/>
      <c r="CM650"/>
      <c r="CN650"/>
      <c r="CO650"/>
      <c r="CP650"/>
      <c r="CQ650"/>
      <c r="CR650"/>
      <c r="CS650"/>
      <c r="CT650"/>
      <c r="CU650"/>
      <c r="CV650"/>
      <c r="CW650"/>
      <c r="CX650"/>
      <c r="CY650"/>
    </row>
    <row r="651" spans="2:103" s="1" customFormat="1" x14ac:dyDescent="0.25">
      <c r="B651" s="25"/>
      <c r="C651" s="32"/>
      <c r="D651" s="20"/>
      <c r="E651" s="34"/>
      <c r="F651" s="47"/>
      <c r="G651" s="1651"/>
      <c r="H651" s="1652"/>
      <c r="I651" s="1652"/>
      <c r="J651" s="1652"/>
      <c r="K651" s="168"/>
      <c r="L651" s="168"/>
      <c r="M651" s="33"/>
      <c r="N651" s="33"/>
      <c r="O651" s="35"/>
      <c r="P651" s="35"/>
      <c r="Q651" s="35"/>
      <c r="R651" s="35"/>
      <c r="S651" s="35"/>
      <c r="T651" s="35"/>
      <c r="U651" s="20"/>
      <c r="V651" s="28"/>
      <c r="CM651"/>
      <c r="CN651"/>
      <c r="CO651"/>
      <c r="CP651"/>
      <c r="CQ651"/>
      <c r="CR651"/>
      <c r="CS651"/>
      <c r="CT651"/>
      <c r="CU651"/>
      <c r="CV651"/>
      <c r="CW651"/>
      <c r="CX651"/>
      <c r="CY651"/>
    </row>
    <row r="652" spans="2:103" s="1" customFormat="1" x14ac:dyDescent="0.25">
      <c r="B652" s="25"/>
      <c r="C652" s="32"/>
      <c r="D652" s="20"/>
      <c r="E652" s="34"/>
      <c r="F652" s="47"/>
      <c r="G652" s="1651"/>
      <c r="H652" s="1652"/>
      <c r="I652" s="1652"/>
      <c r="J652" s="1652"/>
      <c r="K652" s="168"/>
      <c r="L652" s="168"/>
      <c r="M652" s="33"/>
      <c r="N652" s="33"/>
      <c r="O652" s="35"/>
      <c r="P652" s="35"/>
      <c r="Q652" s="35"/>
      <c r="R652" s="35"/>
      <c r="S652" s="35"/>
      <c r="T652" s="35"/>
      <c r="U652" s="20"/>
      <c r="V652" s="28"/>
      <c r="CM652"/>
      <c r="CN652"/>
      <c r="CO652"/>
      <c r="CP652"/>
      <c r="CQ652"/>
      <c r="CR652"/>
      <c r="CS652"/>
      <c r="CT652"/>
      <c r="CU652"/>
      <c r="CV652"/>
      <c r="CW652"/>
      <c r="CX652"/>
      <c r="CY652"/>
    </row>
    <row r="653" spans="2:103" s="1" customFormat="1" x14ac:dyDescent="0.25">
      <c r="B653" s="25"/>
      <c r="C653" s="32"/>
      <c r="D653" s="20"/>
      <c r="E653" s="34"/>
      <c r="F653" s="47"/>
      <c r="G653" s="1651"/>
      <c r="H653" s="1652"/>
      <c r="I653" s="1652"/>
      <c r="J653" s="1652"/>
      <c r="K653" s="168"/>
      <c r="L653" s="168"/>
      <c r="M653" s="33"/>
      <c r="N653" s="33"/>
      <c r="O653" s="35"/>
      <c r="P653" s="35"/>
      <c r="Q653" s="35"/>
      <c r="R653" s="35"/>
      <c r="S653" s="35"/>
      <c r="T653" s="35"/>
      <c r="U653" s="20"/>
      <c r="V653" s="28"/>
      <c r="CM653"/>
      <c r="CN653"/>
      <c r="CO653"/>
      <c r="CP653"/>
      <c r="CQ653"/>
      <c r="CR653"/>
      <c r="CS653"/>
      <c r="CT653"/>
      <c r="CU653"/>
      <c r="CV653"/>
      <c r="CW653"/>
      <c r="CX653"/>
      <c r="CY653"/>
    </row>
    <row r="654" spans="2:103" s="1" customFormat="1" x14ac:dyDescent="0.25">
      <c r="B654" s="25"/>
      <c r="C654" s="32"/>
      <c r="D654" s="20"/>
      <c r="E654" s="34"/>
      <c r="F654" s="47"/>
      <c r="G654" s="1646"/>
      <c r="H654" s="1647"/>
      <c r="I654" s="1647"/>
      <c r="J654" s="1647"/>
      <c r="K654" s="167"/>
      <c r="L654" s="48"/>
      <c r="M654" s="33"/>
      <c r="N654" s="33"/>
      <c r="O654" s="35"/>
      <c r="P654" s="35"/>
      <c r="Q654" s="35"/>
      <c r="R654" s="35"/>
      <c r="S654" s="35"/>
      <c r="T654" s="35"/>
      <c r="U654" s="20"/>
      <c r="V654" s="28"/>
      <c r="CM654"/>
      <c r="CN654"/>
      <c r="CO654"/>
      <c r="CP654"/>
      <c r="CQ654"/>
      <c r="CR654"/>
      <c r="CS654"/>
      <c r="CT654"/>
      <c r="CU654"/>
      <c r="CV654"/>
      <c r="CW654"/>
      <c r="CX654"/>
      <c r="CY654"/>
    </row>
    <row r="655" spans="2:103" s="1" customFormat="1" x14ac:dyDescent="0.25">
      <c r="B655" s="25"/>
      <c r="C655" s="32"/>
      <c r="D655" s="20"/>
      <c r="E655" s="34"/>
      <c r="F655" s="47"/>
      <c r="G655" s="1646"/>
      <c r="H655" s="1647"/>
      <c r="I655" s="1647"/>
      <c r="J655" s="1647"/>
      <c r="K655" s="167"/>
      <c r="L655" s="48"/>
      <c r="M655" s="33"/>
      <c r="N655" s="33"/>
      <c r="O655" s="35"/>
      <c r="P655" s="35"/>
      <c r="Q655" s="35"/>
      <c r="R655" s="35"/>
      <c r="S655" s="35"/>
      <c r="T655" s="35"/>
      <c r="U655" s="20"/>
      <c r="V655" s="28"/>
      <c r="CM655"/>
      <c r="CN655"/>
      <c r="CO655"/>
      <c r="CP655"/>
      <c r="CQ655"/>
      <c r="CR655"/>
      <c r="CS655"/>
      <c r="CT655"/>
      <c r="CU655"/>
      <c r="CV655"/>
      <c r="CW655"/>
      <c r="CX655"/>
      <c r="CY655"/>
    </row>
    <row r="656" spans="2:103" s="1" customFormat="1" x14ac:dyDescent="0.25">
      <c r="B656" s="25"/>
      <c r="C656" s="32"/>
      <c r="D656" s="20"/>
      <c r="E656" s="34"/>
      <c r="F656" s="47"/>
      <c r="G656" s="1646"/>
      <c r="H656" s="1647"/>
      <c r="I656" s="1647"/>
      <c r="J656" s="1647"/>
      <c r="K656" s="167"/>
      <c r="L656" s="48"/>
      <c r="M656" s="33"/>
      <c r="N656" s="33"/>
      <c r="O656" s="35"/>
      <c r="P656" s="35"/>
      <c r="Q656" s="35"/>
      <c r="R656" s="35"/>
      <c r="S656" s="35"/>
      <c r="T656" s="35"/>
      <c r="U656" s="20"/>
      <c r="V656" s="28"/>
      <c r="CM656"/>
      <c r="CN656"/>
      <c r="CO656"/>
      <c r="CP656"/>
      <c r="CQ656"/>
      <c r="CR656"/>
      <c r="CS656"/>
      <c r="CT656"/>
      <c r="CU656"/>
      <c r="CV656"/>
      <c r="CW656"/>
      <c r="CX656"/>
      <c r="CY656"/>
    </row>
    <row r="657" spans="2:103" s="1" customFormat="1" x14ac:dyDescent="0.25">
      <c r="B657" s="25"/>
      <c r="C657" s="32"/>
      <c r="D657" s="20"/>
      <c r="E657" s="34"/>
      <c r="F657" s="47"/>
      <c r="G657" s="1651"/>
      <c r="H657" s="1652"/>
      <c r="I657" s="1652"/>
      <c r="J657" s="1652"/>
      <c r="K657" s="168"/>
      <c r="L657" s="168"/>
      <c r="M657" s="33"/>
      <c r="N657" s="33"/>
      <c r="O657" s="35"/>
      <c r="P657" s="35"/>
      <c r="Q657" s="35"/>
      <c r="R657" s="35"/>
      <c r="S657" s="35"/>
      <c r="T657" s="35"/>
      <c r="U657" s="20"/>
      <c r="V657" s="28"/>
      <c r="CM657"/>
      <c r="CN657"/>
      <c r="CO657"/>
      <c r="CP657"/>
      <c r="CQ657"/>
      <c r="CR657"/>
      <c r="CS657"/>
      <c r="CT657"/>
      <c r="CU657"/>
      <c r="CV657"/>
      <c r="CW657"/>
      <c r="CX657"/>
      <c r="CY657"/>
    </row>
    <row r="658" spans="2:103" s="1" customFormat="1" x14ac:dyDescent="0.25">
      <c r="B658" s="25"/>
      <c r="C658" s="32"/>
      <c r="D658" s="20"/>
      <c r="E658" s="34"/>
      <c r="F658" s="47"/>
      <c r="G658" s="1651"/>
      <c r="H658" s="1652"/>
      <c r="I658" s="1652"/>
      <c r="J658" s="1652"/>
      <c r="K658" s="168"/>
      <c r="L658" s="168"/>
      <c r="M658" s="33"/>
      <c r="N658" s="33"/>
      <c r="O658" s="35"/>
      <c r="P658" s="35"/>
      <c r="Q658" s="35"/>
      <c r="R658" s="35"/>
      <c r="S658" s="35"/>
      <c r="T658" s="35"/>
      <c r="U658" s="20"/>
      <c r="V658" s="28"/>
      <c r="CM658"/>
      <c r="CN658"/>
      <c r="CO658"/>
      <c r="CP658"/>
      <c r="CQ658"/>
      <c r="CR658"/>
      <c r="CS658"/>
      <c r="CT658"/>
      <c r="CU658"/>
      <c r="CV658"/>
      <c r="CW658"/>
      <c r="CX658"/>
      <c r="CY658"/>
    </row>
    <row r="659" spans="2:103" s="1" customFormat="1" x14ac:dyDescent="0.25">
      <c r="B659" s="25"/>
      <c r="C659" s="32"/>
      <c r="D659" s="20"/>
      <c r="E659" s="34"/>
      <c r="F659" s="47"/>
      <c r="G659" s="1646"/>
      <c r="H659" s="1647"/>
      <c r="I659" s="1647"/>
      <c r="J659" s="1647"/>
      <c r="K659" s="167"/>
      <c r="L659" s="48"/>
      <c r="M659" s="33"/>
      <c r="N659" s="33"/>
      <c r="O659" s="35"/>
      <c r="P659" s="35"/>
      <c r="Q659" s="35"/>
      <c r="R659" s="35"/>
      <c r="S659" s="35"/>
      <c r="T659" s="35"/>
      <c r="U659" s="20"/>
      <c r="V659" s="28"/>
      <c r="CM659"/>
      <c r="CN659"/>
      <c r="CO659"/>
      <c r="CP659"/>
      <c r="CQ659"/>
      <c r="CR659"/>
      <c r="CS659"/>
      <c r="CT659"/>
      <c r="CU659"/>
      <c r="CV659"/>
      <c r="CW659"/>
      <c r="CX659"/>
      <c r="CY659"/>
    </row>
    <row r="660" spans="2:103" s="1" customFormat="1" x14ac:dyDescent="0.25">
      <c r="B660" s="25"/>
      <c r="C660" s="32"/>
      <c r="D660" s="20"/>
      <c r="E660" s="34"/>
      <c r="F660" s="47"/>
      <c r="G660" s="1646"/>
      <c r="H660" s="1647"/>
      <c r="I660" s="1647"/>
      <c r="J660" s="1647"/>
      <c r="K660" s="167"/>
      <c r="L660" s="48"/>
      <c r="M660" s="33"/>
      <c r="N660" s="33"/>
      <c r="O660" s="35"/>
      <c r="P660" s="35"/>
      <c r="Q660" s="35"/>
      <c r="R660" s="35"/>
      <c r="S660" s="35"/>
      <c r="T660" s="35"/>
      <c r="U660" s="20"/>
      <c r="V660" s="28"/>
      <c r="CM660"/>
      <c r="CN660"/>
      <c r="CO660"/>
      <c r="CP660"/>
      <c r="CQ660"/>
      <c r="CR660"/>
      <c r="CS660"/>
      <c r="CT660"/>
      <c r="CU660"/>
      <c r="CV660"/>
      <c r="CW660"/>
      <c r="CX660"/>
      <c r="CY660"/>
    </row>
    <row r="661" spans="2:103" s="1" customFormat="1" x14ac:dyDescent="0.25">
      <c r="B661" s="25"/>
      <c r="C661" s="32"/>
      <c r="D661" s="20"/>
      <c r="E661" s="34"/>
      <c r="F661" s="47"/>
      <c r="G661" s="1651"/>
      <c r="H661" s="1652"/>
      <c r="I661" s="1652"/>
      <c r="J661" s="1652"/>
      <c r="K661" s="168"/>
      <c r="L661" s="168"/>
      <c r="M661" s="33"/>
      <c r="N661" s="33"/>
      <c r="O661" s="35"/>
      <c r="P661" s="35"/>
      <c r="Q661" s="35"/>
      <c r="R661" s="35"/>
      <c r="S661" s="35"/>
      <c r="T661" s="35"/>
      <c r="U661" s="20"/>
      <c r="V661" s="28"/>
      <c r="CM661"/>
      <c r="CN661"/>
      <c r="CO661"/>
      <c r="CP661"/>
      <c r="CQ661"/>
      <c r="CR661"/>
      <c r="CS661"/>
      <c r="CT661"/>
      <c r="CU661"/>
      <c r="CV661"/>
      <c r="CW661"/>
      <c r="CX661"/>
      <c r="CY661"/>
    </row>
    <row r="662" spans="2:103" s="1" customFormat="1" x14ac:dyDescent="0.25">
      <c r="B662" s="25"/>
      <c r="C662" s="32"/>
      <c r="D662" s="20"/>
      <c r="E662" s="34"/>
      <c r="F662" s="47"/>
      <c r="G662" s="1651"/>
      <c r="H662" s="1652"/>
      <c r="I662" s="1652"/>
      <c r="J662" s="1652"/>
      <c r="K662" s="168"/>
      <c r="L662" s="168"/>
      <c r="M662" s="33"/>
      <c r="N662" s="33"/>
      <c r="O662" s="35"/>
      <c r="P662" s="35"/>
      <c r="Q662" s="35"/>
      <c r="R662" s="35"/>
      <c r="S662" s="35"/>
      <c r="T662" s="35"/>
      <c r="U662" s="20"/>
      <c r="V662" s="28"/>
      <c r="CM662"/>
      <c r="CN662"/>
      <c r="CO662"/>
      <c r="CP662"/>
      <c r="CQ662"/>
      <c r="CR662"/>
      <c r="CS662"/>
      <c r="CT662"/>
      <c r="CU662"/>
      <c r="CV662"/>
      <c r="CW662"/>
      <c r="CX662"/>
      <c r="CY662"/>
    </row>
    <row r="663" spans="2:103" s="1" customFormat="1" x14ac:dyDescent="0.25">
      <c r="B663" s="25"/>
      <c r="C663" s="32"/>
      <c r="D663" s="20"/>
      <c r="E663" s="34"/>
      <c r="F663" s="47"/>
      <c r="G663" s="1651"/>
      <c r="H663" s="1652"/>
      <c r="I663" s="1652"/>
      <c r="J663" s="1652"/>
      <c r="K663" s="168"/>
      <c r="L663" s="168"/>
      <c r="M663" s="33"/>
      <c r="N663" s="33"/>
      <c r="O663" s="35"/>
      <c r="P663" s="35"/>
      <c r="Q663" s="35"/>
      <c r="R663" s="35"/>
      <c r="S663" s="35"/>
      <c r="T663" s="35"/>
      <c r="U663" s="20"/>
      <c r="V663" s="28"/>
      <c r="CM663"/>
      <c r="CN663"/>
      <c r="CO663"/>
      <c r="CP663"/>
      <c r="CQ663"/>
      <c r="CR663"/>
      <c r="CS663"/>
      <c r="CT663"/>
      <c r="CU663"/>
      <c r="CV663"/>
      <c r="CW663"/>
      <c r="CX663"/>
      <c r="CY663"/>
    </row>
    <row r="664" spans="2:103" s="1" customFormat="1" x14ac:dyDescent="0.25">
      <c r="B664" s="25"/>
      <c r="C664" s="32"/>
      <c r="D664" s="20"/>
      <c r="E664" s="34"/>
      <c r="F664" s="47"/>
      <c r="G664" s="1651"/>
      <c r="H664" s="1652"/>
      <c r="I664" s="1652"/>
      <c r="J664" s="1652"/>
      <c r="K664" s="168"/>
      <c r="L664" s="168"/>
      <c r="M664" s="33"/>
      <c r="N664" s="33"/>
      <c r="O664" s="35"/>
      <c r="P664" s="35"/>
      <c r="Q664" s="35"/>
      <c r="R664" s="35"/>
      <c r="S664" s="35"/>
      <c r="T664" s="35"/>
      <c r="U664" s="20"/>
      <c r="V664" s="28"/>
      <c r="CM664"/>
      <c r="CN664"/>
      <c r="CO664"/>
      <c r="CP664"/>
      <c r="CQ664"/>
      <c r="CR664"/>
      <c r="CS664"/>
      <c r="CT664"/>
      <c r="CU664"/>
      <c r="CV664"/>
      <c r="CW664"/>
      <c r="CX664"/>
      <c r="CY664"/>
    </row>
    <row r="665" spans="2:103" s="1" customFormat="1" x14ac:dyDescent="0.25">
      <c r="B665" s="25"/>
      <c r="C665" s="32"/>
      <c r="D665" s="20"/>
      <c r="E665" s="34"/>
      <c r="F665" s="47"/>
      <c r="G665" s="1651"/>
      <c r="H665" s="1652"/>
      <c r="I665" s="1652"/>
      <c r="J665" s="1652"/>
      <c r="K665" s="168"/>
      <c r="L665" s="168"/>
      <c r="M665" s="33"/>
      <c r="N665" s="33"/>
      <c r="O665" s="35"/>
      <c r="P665" s="35"/>
      <c r="Q665" s="35"/>
      <c r="R665" s="35"/>
      <c r="S665" s="35"/>
      <c r="T665" s="35"/>
      <c r="U665" s="20"/>
      <c r="V665" s="28"/>
      <c r="CM665"/>
      <c r="CN665"/>
      <c r="CO665"/>
      <c r="CP665"/>
      <c r="CQ665"/>
      <c r="CR665"/>
      <c r="CS665"/>
      <c r="CT665"/>
      <c r="CU665"/>
      <c r="CV665"/>
      <c r="CW665"/>
      <c r="CX665"/>
      <c r="CY665"/>
    </row>
    <row r="666" spans="2:103" s="1" customFormat="1" x14ac:dyDescent="0.25">
      <c r="B666" s="25"/>
      <c r="C666" s="32"/>
      <c r="D666" s="20"/>
      <c r="E666" s="34"/>
      <c r="F666" s="47"/>
      <c r="G666" s="1651"/>
      <c r="H666" s="1652"/>
      <c r="I666" s="1652"/>
      <c r="J666" s="1652"/>
      <c r="K666" s="168"/>
      <c r="L666" s="168"/>
      <c r="M666" s="33"/>
      <c r="N666" s="33"/>
      <c r="O666" s="35"/>
      <c r="P666" s="35"/>
      <c r="Q666" s="35"/>
      <c r="R666" s="35"/>
      <c r="S666" s="35"/>
      <c r="T666" s="35"/>
      <c r="U666" s="20"/>
      <c r="V666" s="28"/>
      <c r="CM666"/>
      <c r="CN666"/>
      <c r="CO666"/>
      <c r="CP666"/>
      <c r="CQ666"/>
      <c r="CR666"/>
      <c r="CS666"/>
      <c r="CT666"/>
      <c r="CU666"/>
      <c r="CV666"/>
      <c r="CW666"/>
      <c r="CX666"/>
      <c r="CY666"/>
    </row>
    <row r="667" spans="2:103" s="1" customFormat="1" x14ac:dyDescent="0.25">
      <c r="B667" s="25"/>
      <c r="C667" s="32"/>
      <c r="D667" s="20"/>
      <c r="E667" s="34"/>
      <c r="F667" s="47"/>
      <c r="G667" s="1651"/>
      <c r="H667" s="1652"/>
      <c r="I667" s="1652"/>
      <c r="J667" s="1652"/>
      <c r="K667" s="168"/>
      <c r="L667" s="168"/>
      <c r="M667" s="33"/>
      <c r="N667" s="33"/>
      <c r="O667" s="35"/>
      <c r="P667" s="35"/>
      <c r="Q667" s="35"/>
      <c r="R667" s="35"/>
      <c r="S667" s="35"/>
      <c r="T667" s="35"/>
      <c r="U667" s="20"/>
      <c r="V667" s="28"/>
      <c r="CM667"/>
      <c r="CN667"/>
      <c r="CO667"/>
      <c r="CP667"/>
      <c r="CQ667"/>
      <c r="CR667"/>
      <c r="CS667"/>
      <c r="CT667"/>
      <c r="CU667"/>
      <c r="CV667"/>
      <c r="CW667"/>
      <c r="CX667"/>
      <c r="CY667"/>
    </row>
    <row r="668" spans="2:103" s="1" customFormat="1" x14ac:dyDescent="0.25">
      <c r="B668" s="25"/>
      <c r="C668" s="32"/>
      <c r="D668" s="20"/>
      <c r="E668" s="34"/>
      <c r="F668" s="47"/>
      <c r="G668" s="1651"/>
      <c r="H668" s="1652"/>
      <c r="I668" s="1652"/>
      <c r="J668" s="1652"/>
      <c r="K668" s="168"/>
      <c r="L668" s="168"/>
      <c r="M668" s="33"/>
      <c r="N668" s="33"/>
      <c r="O668" s="35"/>
      <c r="P668" s="35"/>
      <c r="Q668" s="35"/>
      <c r="R668" s="35"/>
      <c r="S668" s="35"/>
      <c r="T668" s="35"/>
      <c r="U668" s="20"/>
      <c r="V668" s="28"/>
      <c r="CM668"/>
      <c r="CN668"/>
      <c r="CO668"/>
      <c r="CP668"/>
      <c r="CQ668"/>
      <c r="CR668"/>
      <c r="CS668"/>
      <c r="CT668"/>
      <c r="CU668"/>
      <c r="CV668"/>
      <c r="CW668"/>
      <c r="CX668"/>
      <c r="CY668"/>
    </row>
    <row r="669" spans="2:103" s="1" customFormat="1" x14ac:dyDescent="0.25">
      <c r="B669" s="25"/>
      <c r="C669" s="32"/>
      <c r="D669" s="20"/>
      <c r="E669" s="34"/>
      <c r="F669" s="47"/>
      <c r="G669" s="1651"/>
      <c r="H669" s="1652"/>
      <c r="I669" s="1652"/>
      <c r="J669" s="1652"/>
      <c r="K669" s="168"/>
      <c r="L669" s="168"/>
      <c r="M669" s="33"/>
      <c r="N669" s="33"/>
      <c r="O669" s="35"/>
      <c r="P669" s="35"/>
      <c r="Q669" s="35"/>
      <c r="R669" s="35"/>
      <c r="S669" s="35"/>
      <c r="T669" s="35"/>
      <c r="U669" s="20"/>
      <c r="V669" s="28"/>
      <c r="CM669"/>
      <c r="CN669"/>
      <c r="CO669"/>
      <c r="CP669"/>
      <c r="CQ669"/>
      <c r="CR669"/>
      <c r="CS669"/>
      <c r="CT669"/>
      <c r="CU669"/>
      <c r="CV669"/>
      <c r="CW669"/>
      <c r="CX669"/>
      <c r="CY669"/>
    </row>
    <row r="670" spans="2:103" s="1" customFormat="1" x14ac:dyDescent="0.25">
      <c r="B670" s="25"/>
      <c r="C670" s="32"/>
      <c r="D670" s="20"/>
      <c r="E670" s="34"/>
      <c r="F670" s="47"/>
      <c r="G670" s="166"/>
      <c r="H670" s="167"/>
      <c r="I670" s="167"/>
      <c r="J670" s="167"/>
      <c r="K670" s="167"/>
      <c r="L670" s="48"/>
      <c r="M670" s="33"/>
      <c r="N670" s="33"/>
      <c r="O670" s="35"/>
      <c r="P670" s="35"/>
      <c r="Q670" s="35"/>
      <c r="R670" s="35"/>
      <c r="S670" s="35"/>
      <c r="T670" s="35"/>
      <c r="U670" s="20"/>
      <c r="V670" s="28"/>
      <c r="CM670"/>
      <c r="CN670"/>
      <c r="CO670"/>
      <c r="CP670"/>
      <c r="CQ670"/>
      <c r="CR670"/>
      <c r="CS670"/>
      <c r="CT670"/>
      <c r="CU670"/>
      <c r="CV670"/>
      <c r="CW670"/>
      <c r="CX670"/>
      <c r="CY670"/>
    </row>
    <row r="671" spans="2:103" s="1" customFormat="1" x14ac:dyDescent="0.25">
      <c r="B671" s="25"/>
      <c r="C671" s="32"/>
      <c r="D671" s="20"/>
      <c r="E671" s="34"/>
      <c r="F671" s="47"/>
      <c r="G671" s="166"/>
      <c r="H671" s="167"/>
      <c r="I671" s="167"/>
      <c r="J671" s="167"/>
      <c r="K671" s="167"/>
      <c r="L671" s="48"/>
      <c r="M671" s="33"/>
      <c r="N671" s="33"/>
      <c r="O671" s="35"/>
      <c r="P671" s="35"/>
      <c r="Q671" s="35"/>
      <c r="R671" s="35"/>
      <c r="S671" s="35"/>
      <c r="T671" s="35"/>
      <c r="U671" s="20"/>
      <c r="V671" s="28"/>
      <c r="CM671"/>
      <c r="CN671"/>
      <c r="CO671"/>
      <c r="CP671"/>
      <c r="CQ671"/>
      <c r="CR671"/>
      <c r="CS671"/>
      <c r="CT671"/>
      <c r="CU671"/>
      <c r="CV671"/>
      <c r="CW671"/>
      <c r="CX671"/>
      <c r="CY671"/>
    </row>
    <row r="672" spans="2:103" s="1" customFormat="1" x14ac:dyDescent="0.25">
      <c r="B672" s="25"/>
      <c r="C672" s="32"/>
      <c r="D672" s="20"/>
      <c r="E672" s="34"/>
      <c r="F672" s="47"/>
      <c r="G672" s="166"/>
      <c r="H672" s="167"/>
      <c r="I672" s="167"/>
      <c r="J672" s="167"/>
      <c r="K672" s="167"/>
      <c r="L672" s="48"/>
      <c r="M672" s="33"/>
      <c r="N672" s="33"/>
      <c r="O672" s="35"/>
      <c r="P672" s="35"/>
      <c r="Q672" s="35"/>
      <c r="R672" s="35"/>
      <c r="S672" s="35"/>
      <c r="T672" s="35"/>
      <c r="U672" s="20"/>
      <c r="V672" s="28"/>
      <c r="CM672"/>
      <c r="CN672"/>
      <c r="CO672"/>
      <c r="CP672"/>
      <c r="CQ672"/>
      <c r="CR672"/>
      <c r="CS672"/>
      <c r="CT672"/>
      <c r="CU672"/>
      <c r="CV672"/>
      <c r="CW672"/>
      <c r="CX672"/>
      <c r="CY672"/>
    </row>
    <row r="673" spans="2:103" s="1" customFormat="1" x14ac:dyDescent="0.25">
      <c r="B673" s="25"/>
      <c r="C673" s="32"/>
      <c r="D673" s="20"/>
      <c r="E673" s="34"/>
      <c r="F673" s="47"/>
      <c r="G673" s="1651"/>
      <c r="H673" s="1652"/>
      <c r="I673" s="1652"/>
      <c r="J673" s="1652"/>
      <c r="K673" s="168"/>
      <c r="L673" s="168"/>
      <c r="M673" s="33"/>
      <c r="N673" s="33"/>
      <c r="O673" s="35"/>
      <c r="P673" s="35"/>
      <c r="Q673" s="35"/>
      <c r="R673" s="35"/>
      <c r="S673" s="35"/>
      <c r="T673" s="35"/>
      <c r="U673" s="20"/>
      <c r="V673" s="28"/>
      <c r="CM673"/>
      <c r="CN673"/>
      <c r="CO673"/>
      <c r="CP673"/>
      <c r="CQ673"/>
      <c r="CR673"/>
      <c r="CS673"/>
      <c r="CT673"/>
      <c r="CU673"/>
      <c r="CV673"/>
      <c r="CW673"/>
      <c r="CX673"/>
      <c r="CY673"/>
    </row>
    <row r="674" spans="2:103" s="1" customFormat="1" x14ac:dyDescent="0.25">
      <c r="B674" s="25"/>
      <c r="C674" s="32"/>
      <c r="D674" s="20"/>
      <c r="E674" s="34"/>
      <c r="F674" s="47"/>
      <c r="G674" s="1651"/>
      <c r="H674" s="1652"/>
      <c r="I674" s="1652"/>
      <c r="J674" s="1652"/>
      <c r="K674" s="168"/>
      <c r="L674" s="168"/>
      <c r="M674" s="33"/>
      <c r="N674" s="33"/>
      <c r="O674" s="35"/>
      <c r="P674" s="35"/>
      <c r="Q674" s="35"/>
      <c r="R674" s="35"/>
      <c r="S674" s="35"/>
      <c r="T674" s="35"/>
      <c r="U674" s="20"/>
      <c r="V674" s="28"/>
      <c r="CM674"/>
      <c r="CN674"/>
      <c r="CO674"/>
      <c r="CP674"/>
      <c r="CQ674"/>
      <c r="CR674"/>
      <c r="CS674"/>
      <c r="CT674"/>
      <c r="CU674"/>
      <c r="CV674"/>
      <c r="CW674"/>
      <c r="CX674"/>
      <c r="CY674"/>
    </row>
    <row r="675" spans="2:103" s="1" customFormat="1" x14ac:dyDescent="0.25">
      <c r="B675" s="25"/>
      <c r="C675" s="32"/>
      <c r="D675" s="20"/>
      <c r="E675" s="34"/>
      <c r="F675" s="47"/>
      <c r="G675" s="1651"/>
      <c r="H675" s="1652"/>
      <c r="I675" s="1652"/>
      <c r="J675" s="1652"/>
      <c r="K675" s="168"/>
      <c r="L675" s="168"/>
      <c r="M675" s="33"/>
      <c r="N675" s="33"/>
      <c r="O675" s="35"/>
      <c r="P675" s="35"/>
      <c r="Q675" s="35"/>
      <c r="R675" s="35"/>
      <c r="S675" s="35"/>
      <c r="T675" s="35"/>
      <c r="U675" s="20"/>
      <c r="V675" s="28"/>
      <c r="CM675"/>
      <c r="CN675"/>
      <c r="CO675"/>
      <c r="CP675"/>
      <c r="CQ675"/>
      <c r="CR675"/>
      <c r="CS675"/>
      <c r="CT675"/>
      <c r="CU675"/>
      <c r="CV675"/>
      <c r="CW675"/>
      <c r="CX675"/>
      <c r="CY675"/>
    </row>
    <row r="676" spans="2:103" s="1" customFormat="1" x14ac:dyDescent="0.25">
      <c r="B676" s="25"/>
      <c r="C676" s="32"/>
      <c r="D676" s="20"/>
      <c r="E676" s="34"/>
      <c r="F676" s="47"/>
      <c r="G676" s="166"/>
      <c r="H676" s="167"/>
      <c r="I676" s="167"/>
      <c r="J676" s="167"/>
      <c r="K676" s="167"/>
      <c r="L676" s="48"/>
      <c r="M676" s="33"/>
      <c r="N676" s="33"/>
      <c r="O676" s="35"/>
      <c r="P676" s="35"/>
      <c r="Q676" s="35"/>
      <c r="R676" s="35"/>
      <c r="S676" s="35"/>
      <c r="T676" s="35"/>
      <c r="U676" s="20"/>
      <c r="V676" s="28"/>
      <c r="CM676"/>
      <c r="CN676"/>
      <c r="CO676"/>
      <c r="CP676"/>
      <c r="CQ676"/>
      <c r="CR676"/>
      <c r="CS676"/>
      <c r="CT676"/>
      <c r="CU676"/>
      <c r="CV676"/>
      <c r="CW676"/>
      <c r="CX676"/>
      <c r="CY676"/>
    </row>
    <row r="677" spans="2:103" s="1" customFormat="1" x14ac:dyDescent="0.25">
      <c r="B677" s="25"/>
      <c r="C677" s="32"/>
      <c r="D677" s="20"/>
      <c r="E677" s="34"/>
      <c r="F677" s="47"/>
      <c r="G677" s="166"/>
      <c r="H677" s="167"/>
      <c r="I677" s="167"/>
      <c r="J677" s="167"/>
      <c r="K677" s="167"/>
      <c r="L677" s="48"/>
      <c r="M677" s="33"/>
      <c r="N677" s="33"/>
      <c r="O677" s="35"/>
      <c r="P677" s="35"/>
      <c r="Q677" s="35"/>
      <c r="R677" s="35"/>
      <c r="S677" s="35"/>
      <c r="T677" s="35"/>
      <c r="U677" s="20"/>
      <c r="V677" s="28"/>
      <c r="CM677"/>
      <c r="CN677"/>
      <c r="CO677"/>
      <c r="CP677"/>
      <c r="CQ677"/>
      <c r="CR677"/>
      <c r="CS677"/>
      <c r="CT677"/>
      <c r="CU677"/>
      <c r="CV677"/>
      <c r="CW677"/>
      <c r="CX677"/>
      <c r="CY677"/>
    </row>
    <row r="678" spans="2:103" s="1" customFormat="1" x14ac:dyDescent="0.25">
      <c r="B678" s="25"/>
      <c r="C678" s="32"/>
      <c r="D678" s="20"/>
      <c r="E678" s="34"/>
      <c r="F678" s="47"/>
      <c r="G678" s="1651"/>
      <c r="H678" s="1652"/>
      <c r="I678" s="1652"/>
      <c r="J678" s="1652"/>
      <c r="K678" s="168"/>
      <c r="L678" s="168"/>
      <c r="M678" s="33"/>
      <c r="N678" s="33"/>
      <c r="O678" s="35"/>
      <c r="P678" s="35"/>
      <c r="Q678" s="35"/>
      <c r="R678" s="35"/>
      <c r="S678" s="35"/>
      <c r="T678" s="35"/>
      <c r="U678" s="20"/>
      <c r="V678" s="28"/>
      <c r="CM678"/>
      <c r="CN678"/>
      <c r="CO678"/>
      <c r="CP678"/>
      <c r="CQ678"/>
      <c r="CR678"/>
      <c r="CS678"/>
      <c r="CT678"/>
      <c r="CU678"/>
      <c r="CV678"/>
      <c r="CW678"/>
      <c r="CX678"/>
      <c r="CY678"/>
    </row>
    <row r="679" spans="2:103" s="1" customFormat="1" x14ac:dyDescent="0.25">
      <c r="B679" s="25"/>
      <c r="C679" s="32"/>
      <c r="D679" s="20"/>
      <c r="E679" s="34"/>
      <c r="F679" s="47"/>
      <c r="G679" s="1651"/>
      <c r="H679" s="1652"/>
      <c r="I679" s="1652"/>
      <c r="J679" s="1652"/>
      <c r="K679" s="168"/>
      <c r="L679" s="168"/>
      <c r="M679" s="33"/>
      <c r="N679" s="33"/>
      <c r="O679" s="35"/>
      <c r="P679" s="35"/>
      <c r="Q679" s="35"/>
      <c r="R679" s="35"/>
      <c r="S679" s="35"/>
      <c r="T679" s="35"/>
      <c r="U679" s="20"/>
      <c r="V679" s="28"/>
      <c r="CM679"/>
      <c r="CN679"/>
      <c r="CO679"/>
      <c r="CP679"/>
      <c r="CQ679"/>
      <c r="CR679"/>
      <c r="CS679"/>
      <c r="CT679"/>
      <c r="CU679"/>
      <c r="CV679"/>
      <c r="CW679"/>
      <c r="CX679"/>
      <c r="CY679"/>
    </row>
    <row r="680" spans="2:103" s="1" customFormat="1" x14ac:dyDescent="0.25">
      <c r="B680" s="25"/>
      <c r="C680" s="32"/>
      <c r="D680" s="20"/>
      <c r="E680" s="34"/>
      <c r="F680" s="47"/>
      <c r="G680" s="1651"/>
      <c r="H680" s="1652"/>
      <c r="I680" s="1652"/>
      <c r="J680" s="1652"/>
      <c r="K680" s="168"/>
      <c r="L680" s="168"/>
      <c r="M680" s="33"/>
      <c r="N680" s="33"/>
      <c r="O680" s="35"/>
      <c r="P680" s="35"/>
      <c r="Q680" s="35"/>
      <c r="R680" s="35"/>
      <c r="S680" s="35"/>
      <c r="T680" s="35"/>
      <c r="U680" s="20"/>
      <c r="V680" s="28"/>
      <c r="CM680"/>
      <c r="CN680"/>
      <c r="CO680"/>
      <c r="CP680"/>
      <c r="CQ680"/>
      <c r="CR680"/>
      <c r="CS680"/>
      <c r="CT680"/>
      <c r="CU680"/>
      <c r="CV680"/>
      <c r="CW680"/>
      <c r="CX680"/>
      <c r="CY680"/>
    </row>
    <row r="681" spans="2:103" s="1" customFormat="1" x14ac:dyDescent="0.25">
      <c r="B681" s="25"/>
      <c r="C681" s="32"/>
      <c r="D681" s="20"/>
      <c r="E681" s="34"/>
      <c r="F681" s="47"/>
      <c r="G681" s="1651"/>
      <c r="H681" s="1652"/>
      <c r="I681" s="1652"/>
      <c r="J681" s="1652"/>
      <c r="K681" s="168"/>
      <c r="L681" s="168"/>
      <c r="M681" s="33"/>
      <c r="N681" s="33"/>
      <c r="O681" s="35"/>
      <c r="P681" s="35"/>
      <c r="Q681" s="35"/>
      <c r="R681" s="35"/>
      <c r="S681" s="35"/>
      <c r="T681" s="35"/>
      <c r="U681" s="20"/>
      <c r="V681" s="28"/>
      <c r="CM681"/>
      <c r="CN681"/>
      <c r="CO681"/>
      <c r="CP681"/>
      <c r="CQ681"/>
      <c r="CR681"/>
      <c r="CS681"/>
      <c r="CT681"/>
      <c r="CU681"/>
      <c r="CV681"/>
      <c r="CW681"/>
      <c r="CX681"/>
      <c r="CY681"/>
    </row>
    <row r="682" spans="2:103" s="1" customFormat="1" x14ac:dyDescent="0.25">
      <c r="B682" s="25"/>
      <c r="C682" s="32"/>
      <c r="D682" s="20"/>
      <c r="E682" s="34"/>
      <c r="F682" s="47"/>
      <c r="G682" s="1651"/>
      <c r="H682" s="1652"/>
      <c r="I682" s="1652"/>
      <c r="J682" s="1652"/>
      <c r="K682" s="168"/>
      <c r="L682" s="168"/>
      <c r="M682" s="33"/>
      <c r="N682" s="33"/>
      <c r="O682" s="35"/>
      <c r="P682" s="35"/>
      <c r="Q682" s="35"/>
      <c r="R682" s="35"/>
      <c r="S682" s="35"/>
      <c r="T682" s="35"/>
      <c r="U682" s="20"/>
      <c r="V682" s="28"/>
      <c r="CM682"/>
      <c r="CN682"/>
      <c r="CO682"/>
      <c r="CP682"/>
      <c r="CQ682"/>
      <c r="CR682"/>
      <c r="CS682"/>
      <c r="CT682"/>
      <c r="CU682"/>
      <c r="CV682"/>
      <c r="CW682"/>
      <c r="CX682"/>
      <c r="CY682"/>
    </row>
    <row r="683" spans="2:103" s="1" customFormat="1" x14ac:dyDescent="0.25">
      <c r="B683" s="25"/>
      <c r="C683" s="32"/>
      <c r="D683" s="20"/>
      <c r="E683" s="34"/>
      <c r="F683" s="47"/>
      <c r="G683" s="1651"/>
      <c r="H683" s="1652"/>
      <c r="I683" s="1652"/>
      <c r="J683" s="1652"/>
      <c r="K683" s="168"/>
      <c r="L683" s="168"/>
      <c r="M683" s="33"/>
      <c r="N683" s="33"/>
      <c r="O683" s="35"/>
      <c r="P683" s="35"/>
      <c r="Q683" s="35"/>
      <c r="R683" s="35"/>
      <c r="S683" s="35"/>
      <c r="T683" s="35"/>
      <c r="U683" s="20"/>
      <c r="V683" s="28"/>
      <c r="CM683"/>
      <c r="CN683"/>
      <c r="CO683"/>
      <c r="CP683"/>
      <c r="CQ683"/>
      <c r="CR683"/>
      <c r="CS683"/>
      <c r="CT683"/>
      <c r="CU683"/>
      <c r="CV683"/>
      <c r="CW683"/>
      <c r="CX683"/>
      <c r="CY683"/>
    </row>
    <row r="684" spans="2:103" s="1" customFormat="1" x14ac:dyDescent="0.25">
      <c r="B684" s="25"/>
      <c r="C684" s="32"/>
      <c r="D684" s="20"/>
      <c r="E684" s="34"/>
      <c r="F684" s="47"/>
      <c r="G684" s="1651"/>
      <c r="H684" s="1652"/>
      <c r="I684" s="1652"/>
      <c r="J684" s="1652"/>
      <c r="K684" s="168"/>
      <c r="L684" s="168"/>
      <c r="M684" s="33"/>
      <c r="N684" s="33"/>
      <c r="O684" s="35"/>
      <c r="P684" s="35"/>
      <c r="Q684" s="35"/>
      <c r="R684" s="35"/>
      <c r="S684" s="35"/>
      <c r="T684" s="35"/>
      <c r="U684" s="20"/>
      <c r="V684" s="28"/>
      <c r="CM684"/>
      <c r="CN684"/>
      <c r="CO684"/>
      <c r="CP684"/>
      <c r="CQ684"/>
      <c r="CR684"/>
      <c r="CS684"/>
      <c r="CT684"/>
      <c r="CU684"/>
      <c r="CV684"/>
      <c r="CW684"/>
      <c r="CX684"/>
      <c r="CY684"/>
    </row>
    <row r="685" spans="2:103" s="1" customFormat="1" x14ac:dyDescent="0.25">
      <c r="B685" s="25"/>
      <c r="C685" s="32"/>
      <c r="D685" s="20"/>
      <c r="E685" s="34"/>
      <c r="F685" s="47"/>
      <c r="G685" s="1651"/>
      <c r="H685" s="1652"/>
      <c r="I685" s="1652"/>
      <c r="J685" s="1652"/>
      <c r="K685" s="168"/>
      <c r="L685" s="168"/>
      <c r="M685" s="33"/>
      <c r="N685" s="33"/>
      <c r="O685" s="35"/>
      <c r="P685" s="35"/>
      <c r="Q685" s="35"/>
      <c r="R685" s="35"/>
      <c r="S685" s="35"/>
      <c r="T685" s="35"/>
      <c r="U685" s="20"/>
      <c r="V685" s="28"/>
      <c r="CM685"/>
      <c r="CN685"/>
      <c r="CO685"/>
      <c r="CP685"/>
      <c r="CQ685"/>
      <c r="CR685"/>
      <c r="CS685"/>
      <c r="CT685"/>
      <c r="CU685"/>
      <c r="CV685"/>
      <c r="CW685"/>
      <c r="CX685"/>
      <c r="CY685"/>
    </row>
    <row r="686" spans="2:103" s="1" customFormat="1" x14ac:dyDescent="0.25">
      <c r="B686" s="25"/>
      <c r="C686" s="32"/>
      <c r="D686" s="20"/>
      <c r="E686" s="34"/>
      <c r="F686" s="47"/>
      <c r="G686" s="1651"/>
      <c r="H686" s="1652"/>
      <c r="I686" s="1652"/>
      <c r="J686" s="1652"/>
      <c r="K686" s="168"/>
      <c r="L686" s="168"/>
      <c r="M686" s="33"/>
      <c r="N686" s="33"/>
      <c r="O686" s="35"/>
      <c r="P686" s="35"/>
      <c r="Q686" s="35"/>
      <c r="R686" s="35"/>
      <c r="S686" s="35"/>
      <c r="T686" s="35"/>
      <c r="U686" s="20"/>
      <c r="V686" s="28"/>
      <c r="CM686"/>
      <c r="CN686"/>
      <c r="CO686"/>
      <c r="CP686"/>
      <c r="CQ686"/>
      <c r="CR686"/>
      <c r="CS686"/>
      <c r="CT686"/>
      <c r="CU686"/>
      <c r="CV686"/>
      <c r="CW686"/>
      <c r="CX686"/>
      <c r="CY686"/>
    </row>
    <row r="687" spans="2:103" s="1" customFormat="1" x14ac:dyDescent="0.25">
      <c r="B687" s="25"/>
      <c r="C687" s="32"/>
      <c r="D687" s="20"/>
      <c r="E687" s="34"/>
      <c r="F687" s="47"/>
      <c r="G687" s="1651"/>
      <c r="H687" s="1652"/>
      <c r="I687" s="1652"/>
      <c r="J687" s="1652"/>
      <c r="K687" s="168"/>
      <c r="L687" s="168"/>
      <c r="M687" s="33"/>
      <c r="N687" s="33"/>
      <c r="O687" s="35"/>
      <c r="P687" s="35"/>
      <c r="Q687" s="35"/>
      <c r="R687" s="35"/>
      <c r="S687" s="35"/>
      <c r="T687" s="35"/>
      <c r="U687" s="20"/>
      <c r="V687" s="28"/>
      <c r="CM687"/>
      <c r="CN687"/>
      <c r="CO687"/>
      <c r="CP687"/>
      <c r="CQ687"/>
      <c r="CR687"/>
      <c r="CS687"/>
      <c r="CT687"/>
      <c r="CU687"/>
      <c r="CV687"/>
      <c r="CW687"/>
      <c r="CX687"/>
      <c r="CY687"/>
    </row>
    <row r="688" spans="2:103" s="1" customFormat="1" x14ac:dyDescent="0.25">
      <c r="B688" s="25"/>
      <c r="C688" s="32"/>
      <c r="D688" s="20"/>
      <c r="E688" s="34"/>
      <c r="F688" s="47"/>
      <c r="G688" s="1651"/>
      <c r="H688" s="1652"/>
      <c r="I688" s="1652"/>
      <c r="J688" s="1652"/>
      <c r="K688" s="168"/>
      <c r="L688" s="168"/>
      <c r="M688" s="33"/>
      <c r="N688" s="33"/>
      <c r="O688" s="35"/>
      <c r="P688" s="35"/>
      <c r="Q688" s="35"/>
      <c r="R688" s="35"/>
      <c r="S688" s="35"/>
      <c r="T688" s="35"/>
      <c r="U688" s="20"/>
      <c r="V688" s="28"/>
      <c r="CM688"/>
      <c r="CN688"/>
      <c r="CO688"/>
      <c r="CP688"/>
      <c r="CQ688"/>
      <c r="CR688"/>
      <c r="CS688"/>
      <c r="CT688"/>
      <c r="CU688"/>
      <c r="CV688"/>
      <c r="CW688"/>
      <c r="CX688"/>
      <c r="CY688"/>
    </row>
    <row r="689" spans="2:103" s="1" customFormat="1" x14ac:dyDescent="0.25">
      <c r="B689" s="25"/>
      <c r="C689" s="32"/>
      <c r="D689" s="20"/>
      <c r="E689" s="34"/>
      <c r="F689" s="47"/>
      <c r="G689" s="1651"/>
      <c r="H689" s="1652"/>
      <c r="I689" s="1652"/>
      <c r="J689" s="1652"/>
      <c r="K689" s="168"/>
      <c r="L689" s="168"/>
      <c r="M689" s="33"/>
      <c r="N689" s="33"/>
      <c r="O689" s="35"/>
      <c r="P689" s="35"/>
      <c r="Q689" s="35"/>
      <c r="R689" s="35"/>
      <c r="S689" s="35"/>
      <c r="T689" s="35"/>
      <c r="U689" s="20"/>
      <c r="V689" s="28"/>
      <c r="CM689"/>
      <c r="CN689"/>
      <c r="CO689"/>
      <c r="CP689"/>
      <c r="CQ689"/>
      <c r="CR689"/>
      <c r="CS689"/>
      <c r="CT689"/>
      <c r="CU689"/>
      <c r="CV689"/>
      <c r="CW689"/>
      <c r="CX689"/>
      <c r="CY689"/>
    </row>
    <row r="690" spans="2:103" s="1" customFormat="1" x14ac:dyDescent="0.25">
      <c r="B690" s="25"/>
      <c r="C690" s="32"/>
      <c r="D690" s="20"/>
      <c r="E690" s="34"/>
      <c r="F690" s="47"/>
      <c r="G690" s="1651"/>
      <c r="H690" s="1652"/>
      <c r="I690" s="1652"/>
      <c r="J690" s="1652"/>
      <c r="K690" s="168"/>
      <c r="L690" s="168"/>
      <c r="M690" s="33"/>
      <c r="N690" s="33"/>
      <c r="O690" s="35"/>
      <c r="P690" s="35"/>
      <c r="Q690" s="35"/>
      <c r="R690" s="35"/>
      <c r="S690" s="35"/>
      <c r="T690" s="35"/>
      <c r="U690" s="20"/>
      <c r="V690" s="28"/>
      <c r="CM690"/>
      <c r="CN690"/>
      <c r="CO690"/>
      <c r="CP690"/>
      <c r="CQ690"/>
      <c r="CR690"/>
      <c r="CS690"/>
      <c r="CT690"/>
      <c r="CU690"/>
      <c r="CV690"/>
      <c r="CW690"/>
      <c r="CX690"/>
      <c r="CY690"/>
    </row>
    <row r="691" spans="2:103" s="1" customFormat="1" x14ac:dyDescent="0.25">
      <c r="B691" s="25"/>
      <c r="C691" s="32"/>
      <c r="D691" s="20"/>
      <c r="E691" s="34"/>
      <c r="F691" s="47"/>
      <c r="G691" s="1651"/>
      <c r="H691" s="1652"/>
      <c r="I691" s="1652"/>
      <c r="J691" s="1652"/>
      <c r="K691" s="168"/>
      <c r="L691" s="168"/>
      <c r="M691" s="33"/>
      <c r="N691" s="33"/>
      <c r="O691" s="35"/>
      <c r="P691" s="35"/>
      <c r="Q691" s="35"/>
      <c r="R691" s="35"/>
      <c r="S691" s="35"/>
      <c r="T691" s="35"/>
      <c r="U691" s="20"/>
      <c r="V691" s="28"/>
      <c r="CM691"/>
      <c r="CN691"/>
      <c r="CO691"/>
      <c r="CP691"/>
      <c r="CQ691"/>
      <c r="CR691"/>
      <c r="CS691"/>
      <c r="CT691"/>
      <c r="CU691"/>
      <c r="CV691"/>
      <c r="CW691"/>
      <c r="CX691"/>
      <c r="CY691"/>
    </row>
    <row r="692" spans="2:103" s="1" customFormat="1" x14ac:dyDescent="0.25">
      <c r="B692" s="25"/>
      <c r="C692" s="32"/>
      <c r="D692" s="20"/>
      <c r="E692" s="34"/>
      <c r="F692" s="47"/>
      <c r="G692" s="1651"/>
      <c r="H692" s="1652"/>
      <c r="I692" s="1652"/>
      <c r="J692" s="1652"/>
      <c r="K692" s="168"/>
      <c r="L692" s="168"/>
      <c r="M692" s="33"/>
      <c r="N692" s="33"/>
      <c r="O692" s="35"/>
      <c r="P692" s="35"/>
      <c r="Q692" s="35"/>
      <c r="R692" s="35"/>
      <c r="S692" s="35"/>
      <c r="T692" s="35"/>
      <c r="U692" s="20"/>
      <c r="V692" s="28"/>
      <c r="CM692"/>
      <c r="CN692"/>
      <c r="CO692"/>
      <c r="CP692"/>
      <c r="CQ692"/>
      <c r="CR692"/>
      <c r="CS692"/>
      <c r="CT692"/>
      <c r="CU692"/>
      <c r="CV692"/>
      <c r="CW692"/>
      <c r="CX692"/>
      <c r="CY692"/>
    </row>
    <row r="693" spans="2:103" s="1" customFormat="1" x14ac:dyDescent="0.25">
      <c r="B693" s="25"/>
      <c r="C693" s="32"/>
      <c r="D693" s="20"/>
      <c r="E693" s="34"/>
      <c r="F693" s="47"/>
      <c r="G693" s="1651"/>
      <c r="H693" s="1652"/>
      <c r="I693" s="1652"/>
      <c r="J693" s="1652"/>
      <c r="K693" s="168"/>
      <c r="L693" s="168"/>
      <c r="M693" s="33"/>
      <c r="N693" s="33"/>
      <c r="O693" s="35"/>
      <c r="P693" s="35"/>
      <c r="Q693" s="35"/>
      <c r="R693" s="35"/>
      <c r="S693" s="35"/>
      <c r="T693" s="35"/>
      <c r="U693" s="20"/>
      <c r="V693" s="28"/>
      <c r="CM693"/>
      <c r="CN693"/>
      <c r="CO693"/>
      <c r="CP693"/>
      <c r="CQ693"/>
      <c r="CR693"/>
      <c r="CS693"/>
      <c r="CT693"/>
      <c r="CU693"/>
      <c r="CV693"/>
      <c r="CW693"/>
      <c r="CX693"/>
      <c r="CY693"/>
    </row>
    <row r="694" spans="2:103" s="1" customFormat="1" x14ac:dyDescent="0.25">
      <c r="B694" s="25"/>
      <c r="C694" s="32"/>
      <c r="D694" s="20"/>
      <c r="E694" s="34"/>
      <c r="F694" s="47"/>
      <c r="G694" s="1651"/>
      <c r="H694" s="1652"/>
      <c r="I694" s="1652"/>
      <c r="J694" s="1652"/>
      <c r="K694" s="168"/>
      <c r="L694" s="168"/>
      <c r="M694" s="33"/>
      <c r="N694" s="33"/>
      <c r="O694" s="35"/>
      <c r="P694" s="35"/>
      <c r="Q694" s="35"/>
      <c r="R694" s="35"/>
      <c r="S694" s="35"/>
      <c r="T694" s="35"/>
      <c r="U694" s="20"/>
      <c r="V694" s="28"/>
      <c r="CM694"/>
      <c r="CN694"/>
      <c r="CO694"/>
      <c r="CP694"/>
      <c r="CQ694"/>
      <c r="CR694"/>
      <c r="CS694"/>
      <c r="CT694"/>
      <c r="CU694"/>
      <c r="CV694"/>
      <c r="CW694"/>
      <c r="CX694"/>
      <c r="CY694"/>
    </row>
    <row r="695" spans="2:103" s="1" customFormat="1" x14ac:dyDescent="0.25">
      <c r="B695" s="25"/>
      <c r="C695" s="32"/>
      <c r="D695" s="20"/>
      <c r="E695" s="34"/>
      <c r="F695" s="47"/>
      <c r="G695" s="1651"/>
      <c r="H695" s="1652"/>
      <c r="I695" s="1652"/>
      <c r="J695" s="1652"/>
      <c r="K695" s="168"/>
      <c r="L695" s="168"/>
      <c r="M695" s="33"/>
      <c r="N695" s="33"/>
      <c r="O695" s="35"/>
      <c r="P695" s="35"/>
      <c r="Q695" s="35"/>
      <c r="R695" s="35"/>
      <c r="S695" s="35"/>
      <c r="T695" s="35"/>
      <c r="U695" s="20"/>
      <c r="V695" s="28"/>
      <c r="CM695"/>
      <c r="CN695"/>
      <c r="CO695"/>
      <c r="CP695"/>
      <c r="CQ695"/>
      <c r="CR695"/>
      <c r="CS695"/>
      <c r="CT695"/>
      <c r="CU695"/>
      <c r="CV695"/>
      <c r="CW695"/>
      <c r="CX695"/>
      <c r="CY695"/>
    </row>
    <row r="696" spans="2:103" s="1" customFormat="1" x14ac:dyDescent="0.25">
      <c r="B696" s="25"/>
      <c r="C696" s="32"/>
      <c r="D696" s="20"/>
      <c r="E696" s="34"/>
      <c r="F696" s="47"/>
      <c r="G696" s="166"/>
      <c r="H696" s="167"/>
      <c r="I696" s="167"/>
      <c r="J696" s="167"/>
      <c r="K696" s="167"/>
      <c r="L696" s="48"/>
      <c r="M696" s="33"/>
      <c r="N696" s="33"/>
      <c r="O696" s="35"/>
      <c r="P696" s="35"/>
      <c r="Q696" s="35"/>
      <c r="R696" s="35"/>
      <c r="S696" s="35"/>
      <c r="T696" s="35"/>
      <c r="U696" s="20"/>
      <c r="V696" s="28"/>
      <c r="CM696"/>
      <c r="CN696"/>
      <c r="CO696"/>
      <c r="CP696"/>
      <c r="CQ696"/>
      <c r="CR696"/>
      <c r="CS696"/>
      <c r="CT696"/>
      <c r="CU696"/>
      <c r="CV696"/>
      <c r="CW696"/>
      <c r="CX696"/>
      <c r="CY696"/>
    </row>
    <row r="697" spans="2:103" s="1" customFormat="1" x14ac:dyDescent="0.25">
      <c r="B697" s="25"/>
      <c r="C697" s="32"/>
      <c r="D697" s="20"/>
      <c r="E697" s="34"/>
      <c r="F697" s="47"/>
      <c r="G697" s="166"/>
      <c r="H697" s="167"/>
      <c r="I697" s="167"/>
      <c r="J697" s="167"/>
      <c r="K697" s="167"/>
      <c r="L697" s="48"/>
      <c r="M697" s="33"/>
      <c r="N697" s="33"/>
      <c r="O697" s="35"/>
      <c r="P697" s="35"/>
      <c r="Q697" s="35"/>
      <c r="R697" s="35"/>
      <c r="S697" s="35"/>
      <c r="T697" s="35"/>
      <c r="U697" s="20"/>
      <c r="V697" s="28"/>
      <c r="CM697"/>
      <c r="CN697"/>
      <c r="CO697"/>
      <c r="CP697"/>
      <c r="CQ697"/>
      <c r="CR697"/>
      <c r="CS697"/>
      <c r="CT697"/>
      <c r="CU697"/>
      <c r="CV697"/>
      <c r="CW697"/>
      <c r="CX697"/>
      <c r="CY697"/>
    </row>
    <row r="698" spans="2:103" s="1" customFormat="1" x14ac:dyDescent="0.25">
      <c r="B698" s="25"/>
      <c r="C698" s="32"/>
      <c r="D698" s="20"/>
      <c r="E698" s="34"/>
      <c r="F698" s="47"/>
      <c r="G698" s="166"/>
      <c r="H698" s="167"/>
      <c r="I698" s="167"/>
      <c r="J698" s="167"/>
      <c r="K698" s="167"/>
      <c r="L698" s="48"/>
      <c r="M698" s="33"/>
      <c r="N698" s="33"/>
      <c r="O698" s="35"/>
      <c r="P698" s="35"/>
      <c r="Q698" s="35"/>
      <c r="R698" s="35"/>
      <c r="S698" s="35"/>
      <c r="T698" s="35"/>
      <c r="U698" s="20"/>
      <c r="V698" s="28"/>
      <c r="CM698"/>
      <c r="CN698"/>
      <c r="CO698"/>
      <c r="CP698"/>
      <c r="CQ698"/>
      <c r="CR698"/>
      <c r="CS698"/>
      <c r="CT698"/>
      <c r="CU698"/>
      <c r="CV698"/>
      <c r="CW698"/>
      <c r="CX698"/>
      <c r="CY698"/>
    </row>
    <row r="699" spans="2:103" s="1" customFormat="1" x14ac:dyDescent="0.25">
      <c r="B699" s="25"/>
      <c r="C699" s="32"/>
      <c r="D699" s="20"/>
      <c r="E699" s="34"/>
      <c r="F699" s="47"/>
      <c r="G699" s="1651"/>
      <c r="H699" s="1652"/>
      <c r="I699" s="1652"/>
      <c r="J699" s="1652"/>
      <c r="K699" s="168"/>
      <c r="L699" s="168"/>
      <c r="M699" s="33"/>
      <c r="N699" s="33"/>
      <c r="O699" s="35"/>
      <c r="P699" s="35"/>
      <c r="Q699" s="35"/>
      <c r="R699" s="35"/>
      <c r="S699" s="35"/>
      <c r="T699" s="35"/>
      <c r="U699" s="20"/>
      <c r="V699" s="28"/>
      <c r="CM699"/>
      <c r="CN699"/>
      <c r="CO699"/>
      <c r="CP699"/>
      <c r="CQ699"/>
      <c r="CR699"/>
      <c r="CS699"/>
      <c r="CT699"/>
      <c r="CU699"/>
      <c r="CV699"/>
      <c r="CW699"/>
      <c r="CX699"/>
      <c r="CY699"/>
    </row>
    <row r="700" spans="2:103" s="1" customFormat="1" x14ac:dyDescent="0.25">
      <c r="B700" s="25"/>
      <c r="C700" s="32"/>
      <c r="D700" s="20"/>
      <c r="E700" s="34"/>
      <c r="F700" s="47"/>
      <c r="G700" s="1651"/>
      <c r="H700" s="1652"/>
      <c r="I700" s="1652"/>
      <c r="J700" s="1652"/>
      <c r="K700" s="168"/>
      <c r="L700" s="168"/>
      <c r="M700" s="33"/>
      <c r="N700" s="33"/>
      <c r="O700" s="35"/>
      <c r="P700" s="35"/>
      <c r="Q700" s="35"/>
      <c r="R700" s="35"/>
      <c r="S700" s="35"/>
      <c r="T700" s="35"/>
      <c r="U700" s="20"/>
      <c r="V700" s="28"/>
      <c r="CM700"/>
      <c r="CN700"/>
      <c r="CO700"/>
      <c r="CP700"/>
      <c r="CQ700"/>
      <c r="CR700"/>
      <c r="CS700"/>
      <c r="CT700"/>
      <c r="CU700"/>
      <c r="CV700"/>
      <c r="CW700"/>
      <c r="CX700"/>
      <c r="CY700"/>
    </row>
    <row r="701" spans="2:103" s="1" customFormat="1" x14ac:dyDescent="0.25">
      <c r="B701" s="25"/>
      <c r="C701" s="32"/>
      <c r="D701" s="20"/>
      <c r="E701" s="34"/>
      <c r="F701" s="47"/>
      <c r="G701" s="1651"/>
      <c r="H701" s="1652"/>
      <c r="I701" s="1652"/>
      <c r="J701" s="1652"/>
      <c r="K701" s="168"/>
      <c r="L701" s="168"/>
      <c r="M701" s="33"/>
      <c r="N701" s="33"/>
      <c r="O701" s="35"/>
      <c r="P701" s="35"/>
      <c r="Q701" s="35"/>
      <c r="R701" s="35"/>
      <c r="S701" s="35"/>
      <c r="T701" s="35"/>
      <c r="U701" s="20"/>
      <c r="V701" s="28"/>
      <c r="CM701"/>
      <c r="CN701"/>
      <c r="CO701"/>
      <c r="CP701"/>
      <c r="CQ701"/>
      <c r="CR701"/>
      <c r="CS701"/>
      <c r="CT701"/>
      <c r="CU701"/>
      <c r="CV701"/>
      <c r="CW701"/>
      <c r="CX701"/>
      <c r="CY701"/>
    </row>
    <row r="702" spans="2:103" s="1" customFormat="1" x14ac:dyDescent="0.25">
      <c r="B702" s="25"/>
      <c r="C702" s="32"/>
      <c r="D702" s="20"/>
      <c r="E702" s="34"/>
      <c r="F702" s="47"/>
      <c r="G702" s="1651"/>
      <c r="H702" s="1652"/>
      <c r="I702" s="1652"/>
      <c r="J702" s="1652"/>
      <c r="K702" s="168"/>
      <c r="L702" s="168"/>
      <c r="M702" s="33"/>
      <c r="N702" s="33"/>
      <c r="O702" s="35"/>
      <c r="P702" s="35"/>
      <c r="Q702" s="35"/>
      <c r="R702" s="35"/>
      <c r="S702" s="35"/>
      <c r="T702" s="35"/>
      <c r="U702" s="20"/>
      <c r="V702" s="28"/>
      <c r="CM702"/>
      <c r="CN702"/>
      <c r="CO702"/>
      <c r="CP702"/>
      <c r="CQ702"/>
      <c r="CR702"/>
      <c r="CS702"/>
      <c r="CT702"/>
      <c r="CU702"/>
      <c r="CV702"/>
      <c r="CW702"/>
      <c r="CX702"/>
      <c r="CY702"/>
    </row>
    <row r="703" spans="2:103" s="1" customFormat="1" x14ac:dyDescent="0.25">
      <c r="B703" s="25"/>
      <c r="C703" s="32"/>
      <c r="D703" s="20"/>
      <c r="E703" s="34"/>
      <c r="F703" s="47"/>
      <c r="G703" s="1651"/>
      <c r="H703" s="1652"/>
      <c r="I703" s="1652"/>
      <c r="J703" s="1652"/>
      <c r="K703" s="168"/>
      <c r="L703" s="168"/>
      <c r="M703" s="33"/>
      <c r="N703" s="33"/>
      <c r="O703" s="35"/>
      <c r="P703" s="35"/>
      <c r="Q703" s="35"/>
      <c r="R703" s="35"/>
      <c r="S703" s="35"/>
      <c r="T703" s="35"/>
      <c r="U703" s="20"/>
      <c r="V703" s="28"/>
      <c r="CM703"/>
      <c r="CN703"/>
      <c r="CO703"/>
      <c r="CP703"/>
      <c r="CQ703"/>
      <c r="CR703"/>
      <c r="CS703"/>
      <c r="CT703"/>
      <c r="CU703"/>
      <c r="CV703"/>
      <c r="CW703"/>
      <c r="CX703"/>
      <c r="CY703"/>
    </row>
    <row r="704" spans="2:103" s="1" customFormat="1" x14ac:dyDescent="0.25">
      <c r="B704" s="25"/>
      <c r="C704" s="32"/>
      <c r="D704" s="20"/>
      <c r="E704" s="34"/>
      <c r="F704" s="47"/>
      <c r="G704" s="1651"/>
      <c r="H704" s="1652"/>
      <c r="I704" s="1652"/>
      <c r="J704" s="1652"/>
      <c r="K704" s="168"/>
      <c r="L704" s="168"/>
      <c r="M704" s="33"/>
      <c r="N704" s="33"/>
      <c r="O704" s="35"/>
      <c r="P704" s="35"/>
      <c r="Q704" s="35"/>
      <c r="R704" s="35"/>
      <c r="S704" s="35"/>
      <c r="T704" s="35"/>
      <c r="U704" s="20"/>
      <c r="V704" s="28"/>
      <c r="CM704"/>
      <c r="CN704"/>
      <c r="CO704"/>
      <c r="CP704"/>
      <c r="CQ704"/>
      <c r="CR704"/>
      <c r="CS704"/>
      <c r="CT704"/>
      <c r="CU704"/>
      <c r="CV704"/>
      <c r="CW704"/>
      <c r="CX704"/>
      <c r="CY704"/>
    </row>
    <row r="705" spans="2:103" s="1" customFormat="1" x14ac:dyDescent="0.25">
      <c r="B705" s="25"/>
      <c r="C705" s="32"/>
      <c r="D705" s="20"/>
      <c r="E705" s="34"/>
      <c r="F705" s="47"/>
      <c r="G705" s="1651"/>
      <c r="H705" s="1652"/>
      <c r="I705" s="1652"/>
      <c r="J705" s="1652"/>
      <c r="K705" s="168"/>
      <c r="L705" s="168"/>
      <c r="M705" s="33"/>
      <c r="N705" s="33"/>
      <c r="O705" s="35"/>
      <c r="P705" s="35"/>
      <c r="Q705" s="35"/>
      <c r="R705" s="35"/>
      <c r="S705" s="35"/>
      <c r="T705" s="35"/>
      <c r="U705" s="20"/>
      <c r="V705" s="28"/>
      <c r="CM705"/>
      <c r="CN705"/>
      <c r="CO705"/>
      <c r="CP705"/>
      <c r="CQ705"/>
      <c r="CR705"/>
      <c r="CS705"/>
      <c r="CT705"/>
      <c r="CU705"/>
      <c r="CV705"/>
      <c r="CW705"/>
      <c r="CX705"/>
      <c r="CY705"/>
    </row>
    <row r="706" spans="2:103" s="1" customFormat="1" x14ac:dyDescent="0.25">
      <c r="B706" s="25"/>
      <c r="C706" s="32"/>
      <c r="D706" s="20"/>
      <c r="E706" s="34"/>
      <c r="F706" s="47"/>
      <c r="G706" s="1651"/>
      <c r="H706" s="1652"/>
      <c r="I706" s="1652"/>
      <c r="J706" s="1652"/>
      <c r="K706" s="168"/>
      <c r="L706" s="168"/>
      <c r="M706" s="33"/>
      <c r="N706" s="33"/>
      <c r="O706" s="35"/>
      <c r="P706" s="35"/>
      <c r="Q706" s="35"/>
      <c r="R706" s="35"/>
      <c r="S706" s="35"/>
      <c r="T706" s="35"/>
      <c r="U706" s="20"/>
      <c r="V706" s="28"/>
      <c r="CM706"/>
      <c r="CN706"/>
      <c r="CO706"/>
      <c r="CP706"/>
      <c r="CQ706"/>
      <c r="CR706"/>
      <c r="CS706"/>
      <c r="CT706"/>
      <c r="CU706"/>
      <c r="CV706"/>
      <c r="CW706"/>
      <c r="CX706"/>
      <c r="CY706"/>
    </row>
    <row r="707" spans="2:103" s="1" customFormat="1" x14ac:dyDescent="0.25">
      <c r="B707" s="25"/>
      <c r="C707" s="32"/>
      <c r="D707" s="20"/>
      <c r="E707" s="34"/>
      <c r="F707" s="47"/>
      <c r="G707" s="1651"/>
      <c r="H707" s="1652"/>
      <c r="I707" s="1652"/>
      <c r="J707" s="1652"/>
      <c r="K707" s="168"/>
      <c r="L707" s="168"/>
      <c r="M707" s="33"/>
      <c r="N707" s="33"/>
      <c r="O707" s="35"/>
      <c r="P707" s="35"/>
      <c r="Q707" s="35"/>
      <c r="R707" s="35"/>
      <c r="S707" s="35"/>
      <c r="T707" s="35"/>
      <c r="U707" s="20"/>
      <c r="V707" s="28"/>
      <c r="CM707"/>
      <c r="CN707"/>
      <c r="CO707"/>
      <c r="CP707"/>
      <c r="CQ707"/>
      <c r="CR707"/>
      <c r="CS707"/>
      <c r="CT707"/>
      <c r="CU707"/>
      <c r="CV707"/>
      <c r="CW707"/>
      <c r="CX707"/>
      <c r="CY707"/>
    </row>
    <row r="708" spans="2:103" s="1" customFormat="1" x14ac:dyDescent="0.25">
      <c r="B708" s="25"/>
      <c r="C708" s="32"/>
      <c r="D708" s="20"/>
      <c r="E708" s="34"/>
      <c r="F708" s="47"/>
      <c r="G708" s="166"/>
      <c r="H708" s="167"/>
      <c r="I708" s="167"/>
      <c r="J708" s="167"/>
      <c r="K708" s="167"/>
      <c r="L708" s="48"/>
      <c r="M708" s="33"/>
      <c r="N708" s="33"/>
      <c r="O708" s="35"/>
      <c r="P708" s="35"/>
      <c r="Q708" s="35"/>
      <c r="R708" s="35"/>
      <c r="S708" s="35"/>
      <c r="T708" s="35"/>
      <c r="U708" s="20"/>
      <c r="V708" s="28"/>
      <c r="CM708"/>
      <c r="CN708"/>
      <c r="CO708"/>
      <c r="CP708"/>
      <c r="CQ708"/>
      <c r="CR708"/>
      <c r="CS708"/>
      <c r="CT708"/>
      <c r="CU708"/>
      <c r="CV708"/>
      <c r="CW708"/>
      <c r="CX708"/>
      <c r="CY708"/>
    </row>
    <row r="709" spans="2:103" s="1" customFormat="1" x14ac:dyDescent="0.25">
      <c r="B709" s="25"/>
      <c r="C709" s="32"/>
      <c r="D709" s="20"/>
      <c r="E709" s="34"/>
      <c r="F709" s="47"/>
      <c r="G709" s="166"/>
      <c r="H709" s="167"/>
      <c r="I709" s="167"/>
      <c r="J709" s="167"/>
      <c r="K709" s="167"/>
      <c r="L709" s="48"/>
      <c r="M709" s="33"/>
      <c r="N709" s="33"/>
      <c r="O709" s="35"/>
      <c r="P709" s="35"/>
      <c r="Q709" s="35"/>
      <c r="R709" s="35"/>
      <c r="S709" s="35"/>
      <c r="T709" s="35"/>
      <c r="U709" s="20"/>
      <c r="V709" s="28"/>
      <c r="CM709"/>
      <c r="CN709"/>
      <c r="CO709"/>
      <c r="CP709"/>
      <c r="CQ709"/>
      <c r="CR709"/>
      <c r="CS709"/>
      <c r="CT709"/>
      <c r="CU709"/>
      <c r="CV709"/>
      <c r="CW709"/>
      <c r="CX709"/>
      <c r="CY709"/>
    </row>
    <row r="710" spans="2:103" s="1" customFormat="1" x14ac:dyDescent="0.25">
      <c r="B710" s="25"/>
      <c r="C710" s="32"/>
      <c r="D710" s="20"/>
      <c r="E710" s="34"/>
      <c r="F710" s="47"/>
      <c r="G710" s="1651"/>
      <c r="H710" s="1652"/>
      <c r="I710" s="1652"/>
      <c r="J710" s="1652"/>
      <c r="K710" s="168"/>
      <c r="L710" s="168"/>
      <c r="M710" s="33"/>
      <c r="N710" s="33"/>
      <c r="O710" s="35"/>
      <c r="P710" s="35"/>
      <c r="Q710" s="35"/>
      <c r="R710" s="35"/>
      <c r="S710" s="35"/>
      <c r="T710" s="35"/>
      <c r="U710" s="20"/>
      <c r="V710" s="28"/>
      <c r="CM710"/>
      <c r="CN710"/>
      <c r="CO710"/>
      <c r="CP710"/>
      <c r="CQ710"/>
      <c r="CR710"/>
      <c r="CS710"/>
      <c r="CT710"/>
      <c r="CU710"/>
      <c r="CV710"/>
      <c r="CW710"/>
      <c r="CX710"/>
      <c r="CY710"/>
    </row>
    <row r="711" spans="2:103" s="1" customFormat="1" x14ac:dyDescent="0.25">
      <c r="B711" s="25"/>
      <c r="C711" s="32"/>
      <c r="D711" s="20"/>
      <c r="E711" s="34"/>
      <c r="F711" s="47"/>
      <c r="G711" s="1651"/>
      <c r="H711" s="1652"/>
      <c r="I711" s="1652"/>
      <c r="J711" s="1652"/>
      <c r="K711" s="168"/>
      <c r="L711" s="168"/>
      <c r="M711" s="33"/>
      <c r="N711" s="33"/>
      <c r="O711" s="35"/>
      <c r="P711" s="35"/>
      <c r="Q711" s="35"/>
      <c r="R711" s="35"/>
      <c r="S711" s="35"/>
      <c r="T711" s="35"/>
      <c r="U711" s="20"/>
      <c r="V711" s="28"/>
      <c r="CM711"/>
      <c r="CN711"/>
      <c r="CO711"/>
      <c r="CP711"/>
      <c r="CQ711"/>
      <c r="CR711"/>
      <c r="CS711"/>
      <c r="CT711"/>
      <c r="CU711"/>
      <c r="CV711"/>
      <c r="CW711"/>
      <c r="CX711"/>
      <c r="CY711"/>
    </row>
    <row r="712" spans="2:103" s="1" customFormat="1" x14ac:dyDescent="0.25">
      <c r="B712" s="25"/>
      <c r="C712" s="32"/>
      <c r="D712" s="20"/>
      <c r="E712" s="34"/>
      <c r="F712" s="47"/>
      <c r="G712" s="1651"/>
      <c r="H712" s="1652"/>
      <c r="I712" s="1652"/>
      <c r="J712" s="1652"/>
      <c r="K712" s="168"/>
      <c r="L712" s="168"/>
      <c r="M712" s="33"/>
      <c r="N712" s="33"/>
      <c r="O712" s="35"/>
      <c r="P712" s="35"/>
      <c r="Q712" s="35"/>
      <c r="R712" s="35"/>
      <c r="S712" s="35"/>
      <c r="T712" s="35"/>
      <c r="U712" s="20"/>
      <c r="V712" s="28"/>
      <c r="CM712"/>
      <c r="CN712"/>
      <c r="CO712"/>
      <c r="CP712"/>
      <c r="CQ712"/>
      <c r="CR712"/>
      <c r="CS712"/>
      <c r="CT712"/>
      <c r="CU712"/>
      <c r="CV712"/>
      <c r="CW712"/>
      <c r="CX712"/>
      <c r="CY712"/>
    </row>
    <row r="713" spans="2:103" s="1" customFormat="1" x14ac:dyDescent="0.25">
      <c r="B713" s="25"/>
      <c r="C713" s="32"/>
      <c r="D713" s="20"/>
      <c r="E713" s="34"/>
      <c r="F713" s="47"/>
      <c r="G713" s="1651"/>
      <c r="H713" s="1652"/>
      <c r="I713" s="1652"/>
      <c r="J713" s="1652"/>
      <c r="K713" s="168"/>
      <c r="L713" s="168"/>
      <c r="M713" s="33"/>
      <c r="N713" s="33"/>
      <c r="O713" s="35"/>
      <c r="P713" s="35"/>
      <c r="Q713" s="35"/>
      <c r="R713" s="35"/>
      <c r="S713" s="35"/>
      <c r="T713" s="35"/>
      <c r="U713" s="20"/>
      <c r="V713" s="28"/>
      <c r="CM713"/>
      <c r="CN713"/>
      <c r="CO713"/>
      <c r="CP713"/>
      <c r="CQ713"/>
      <c r="CR713"/>
      <c r="CS713"/>
      <c r="CT713"/>
      <c r="CU713"/>
      <c r="CV713"/>
      <c r="CW713"/>
      <c r="CX713"/>
      <c r="CY713"/>
    </row>
    <row r="714" spans="2:103" s="1" customFormat="1" x14ac:dyDescent="0.25">
      <c r="B714" s="25"/>
      <c r="C714" s="32"/>
      <c r="D714" s="20"/>
      <c r="E714" s="34"/>
      <c r="F714" s="47"/>
      <c r="G714" s="1651"/>
      <c r="H714" s="1652"/>
      <c r="I714" s="1652"/>
      <c r="J714" s="1652"/>
      <c r="K714" s="168"/>
      <c r="L714" s="168"/>
      <c r="M714" s="33"/>
      <c r="N714" s="33"/>
      <c r="O714" s="35"/>
      <c r="P714" s="35"/>
      <c r="Q714" s="35"/>
      <c r="R714" s="35"/>
      <c r="S714" s="35"/>
      <c r="T714" s="35"/>
      <c r="U714" s="20"/>
      <c r="V714" s="28"/>
      <c r="CM714"/>
      <c r="CN714"/>
      <c r="CO714"/>
      <c r="CP714"/>
      <c r="CQ714"/>
      <c r="CR714"/>
      <c r="CS714"/>
      <c r="CT714"/>
      <c r="CU714"/>
      <c r="CV714"/>
      <c r="CW714"/>
      <c r="CX714"/>
      <c r="CY714"/>
    </row>
    <row r="715" spans="2:103" s="1" customFormat="1" x14ac:dyDescent="0.25">
      <c r="B715" s="25"/>
      <c r="C715" s="32"/>
      <c r="D715" s="20"/>
      <c r="E715" s="34"/>
      <c r="F715" s="47"/>
      <c r="G715" s="1651"/>
      <c r="H715" s="1652"/>
      <c r="I715" s="1652"/>
      <c r="J715" s="1652"/>
      <c r="K715" s="168"/>
      <c r="L715" s="168"/>
      <c r="M715" s="33"/>
      <c r="N715" s="33"/>
      <c r="O715" s="35"/>
      <c r="P715" s="35"/>
      <c r="Q715" s="35"/>
      <c r="R715" s="35"/>
      <c r="S715" s="35"/>
      <c r="T715" s="35"/>
      <c r="U715" s="20"/>
      <c r="V715" s="28"/>
      <c r="CM715"/>
      <c r="CN715"/>
      <c r="CO715"/>
      <c r="CP715"/>
      <c r="CQ715"/>
      <c r="CR715"/>
      <c r="CS715"/>
      <c r="CT715"/>
      <c r="CU715"/>
      <c r="CV715"/>
      <c r="CW715"/>
      <c r="CX715"/>
      <c r="CY715"/>
    </row>
    <row r="716" spans="2:103" s="1" customFormat="1" x14ac:dyDescent="0.25">
      <c r="B716" s="25"/>
      <c r="C716" s="32"/>
      <c r="D716" s="20"/>
      <c r="E716" s="34"/>
      <c r="F716" s="47"/>
      <c r="G716" s="1651"/>
      <c r="H716" s="1652"/>
      <c r="I716" s="1652"/>
      <c r="J716" s="1652"/>
      <c r="K716" s="168"/>
      <c r="L716" s="168"/>
      <c r="M716" s="33"/>
      <c r="N716" s="33"/>
      <c r="O716" s="35"/>
      <c r="P716" s="35"/>
      <c r="Q716" s="35"/>
      <c r="R716" s="35"/>
      <c r="S716" s="35"/>
      <c r="T716" s="35"/>
      <c r="U716" s="20"/>
      <c r="V716" s="28"/>
      <c r="CM716"/>
      <c r="CN716"/>
      <c r="CO716"/>
      <c r="CP716"/>
      <c r="CQ716"/>
      <c r="CR716"/>
      <c r="CS716"/>
      <c r="CT716"/>
      <c r="CU716"/>
      <c r="CV716"/>
      <c r="CW716"/>
      <c r="CX716"/>
      <c r="CY716"/>
    </row>
    <row r="717" spans="2:103" s="1" customFormat="1" x14ac:dyDescent="0.25">
      <c r="B717" s="25"/>
      <c r="C717" s="32"/>
      <c r="D717" s="20"/>
      <c r="E717" s="34"/>
      <c r="F717" s="47"/>
      <c r="G717" s="1651"/>
      <c r="H717" s="1652"/>
      <c r="I717" s="1652"/>
      <c r="J717" s="1652"/>
      <c r="K717" s="168"/>
      <c r="L717" s="168"/>
      <c r="M717" s="33"/>
      <c r="N717" s="33"/>
      <c r="O717" s="35"/>
      <c r="P717" s="35"/>
      <c r="Q717" s="35"/>
      <c r="R717" s="35"/>
      <c r="S717" s="35"/>
      <c r="T717" s="35"/>
      <c r="U717" s="20"/>
      <c r="V717" s="28"/>
      <c r="CM717"/>
      <c r="CN717"/>
      <c r="CO717"/>
      <c r="CP717"/>
      <c r="CQ717"/>
      <c r="CR717"/>
      <c r="CS717"/>
      <c r="CT717"/>
      <c r="CU717"/>
      <c r="CV717"/>
      <c r="CW717"/>
      <c r="CX717"/>
      <c r="CY717"/>
    </row>
    <row r="718" spans="2:103" s="1" customFormat="1" x14ac:dyDescent="0.25">
      <c r="B718" s="25"/>
      <c r="C718" s="32"/>
      <c r="D718" s="20"/>
      <c r="E718" s="34"/>
      <c r="F718" s="47"/>
      <c r="G718" s="166"/>
      <c r="H718" s="167"/>
      <c r="I718" s="167"/>
      <c r="J718" s="167"/>
      <c r="K718" s="167"/>
      <c r="L718" s="48"/>
      <c r="M718" s="33"/>
      <c r="N718" s="33"/>
      <c r="O718" s="35"/>
      <c r="P718" s="35"/>
      <c r="Q718" s="35"/>
      <c r="R718" s="35"/>
      <c r="S718" s="35"/>
      <c r="T718" s="35"/>
      <c r="U718" s="20"/>
      <c r="V718" s="28"/>
      <c r="CM718"/>
      <c r="CN718"/>
      <c r="CO718"/>
      <c r="CP718"/>
      <c r="CQ718"/>
      <c r="CR718"/>
      <c r="CS718"/>
      <c r="CT718"/>
      <c r="CU718"/>
      <c r="CV718"/>
      <c r="CW718"/>
      <c r="CX718"/>
      <c r="CY718"/>
    </row>
    <row r="719" spans="2:103" s="1" customFormat="1" x14ac:dyDescent="0.25">
      <c r="B719" s="25"/>
      <c r="C719" s="32"/>
      <c r="D719" s="20"/>
      <c r="E719" s="34"/>
      <c r="F719" s="47"/>
      <c r="G719" s="166"/>
      <c r="H719" s="167"/>
      <c r="I719" s="167"/>
      <c r="J719" s="167"/>
      <c r="K719" s="167"/>
      <c r="L719" s="48"/>
      <c r="M719" s="33"/>
      <c r="N719" s="33"/>
      <c r="O719" s="35"/>
      <c r="P719" s="35"/>
      <c r="Q719" s="35"/>
      <c r="R719" s="35"/>
      <c r="S719" s="35"/>
      <c r="T719" s="35"/>
      <c r="U719" s="20"/>
      <c r="V719" s="28"/>
      <c r="CM719"/>
      <c r="CN719"/>
      <c r="CO719"/>
      <c r="CP719"/>
      <c r="CQ719"/>
      <c r="CR719"/>
      <c r="CS719"/>
      <c r="CT719"/>
      <c r="CU719"/>
      <c r="CV719"/>
      <c r="CW719"/>
      <c r="CX719"/>
      <c r="CY719"/>
    </row>
    <row r="720" spans="2:103" s="1" customFormat="1" x14ac:dyDescent="0.25">
      <c r="B720" s="25"/>
      <c r="C720" s="32"/>
      <c r="D720" s="20"/>
      <c r="E720" s="34"/>
      <c r="F720" s="47"/>
      <c r="G720" s="166"/>
      <c r="H720" s="167"/>
      <c r="I720" s="167"/>
      <c r="J720" s="167"/>
      <c r="K720" s="167"/>
      <c r="L720" s="48"/>
      <c r="M720" s="33"/>
      <c r="N720" s="33"/>
      <c r="O720" s="35"/>
      <c r="P720" s="35"/>
      <c r="Q720" s="35"/>
      <c r="R720" s="35"/>
      <c r="S720" s="35"/>
      <c r="T720" s="35"/>
      <c r="U720" s="20"/>
      <c r="V720" s="28"/>
      <c r="CM720"/>
      <c r="CN720"/>
      <c r="CO720"/>
      <c r="CP720"/>
      <c r="CQ720"/>
      <c r="CR720"/>
      <c r="CS720"/>
      <c r="CT720"/>
      <c r="CU720"/>
      <c r="CV720"/>
      <c r="CW720"/>
      <c r="CX720"/>
      <c r="CY720"/>
    </row>
    <row r="721" spans="2:103" s="1" customFormat="1" x14ac:dyDescent="0.25">
      <c r="B721" s="25"/>
      <c r="C721" s="32"/>
      <c r="D721" s="20"/>
      <c r="E721" s="34"/>
      <c r="F721" s="47"/>
      <c r="G721" s="166"/>
      <c r="H721" s="167"/>
      <c r="I721" s="167"/>
      <c r="J721" s="167"/>
      <c r="K721" s="167"/>
      <c r="L721" s="48"/>
      <c r="M721" s="33"/>
      <c r="N721" s="33"/>
      <c r="O721" s="35"/>
      <c r="P721" s="35"/>
      <c r="Q721" s="35"/>
      <c r="R721" s="35"/>
      <c r="S721" s="35"/>
      <c r="T721" s="35"/>
      <c r="U721" s="20"/>
      <c r="V721" s="28"/>
      <c r="CM721"/>
      <c r="CN721"/>
      <c r="CO721"/>
      <c r="CP721"/>
      <c r="CQ721"/>
      <c r="CR721"/>
      <c r="CS721"/>
      <c r="CT721"/>
      <c r="CU721"/>
      <c r="CV721"/>
      <c r="CW721"/>
      <c r="CX721"/>
      <c r="CY721"/>
    </row>
    <row r="722" spans="2:103" s="1" customFormat="1" x14ac:dyDescent="0.25">
      <c r="B722" s="25"/>
      <c r="C722" s="32"/>
      <c r="D722" s="20"/>
      <c r="E722" s="34"/>
      <c r="F722" s="47"/>
      <c r="G722" s="166"/>
      <c r="H722" s="167"/>
      <c r="I722" s="167"/>
      <c r="J722" s="167"/>
      <c r="K722" s="167"/>
      <c r="L722" s="48"/>
      <c r="M722" s="33"/>
      <c r="N722" s="33"/>
      <c r="O722" s="35"/>
      <c r="P722" s="35"/>
      <c r="Q722" s="35"/>
      <c r="R722" s="35"/>
      <c r="S722" s="35"/>
      <c r="T722" s="35"/>
      <c r="U722" s="20"/>
      <c r="V722" s="28"/>
      <c r="CM722"/>
      <c r="CN722"/>
      <c r="CO722"/>
      <c r="CP722"/>
      <c r="CQ722"/>
      <c r="CR722"/>
      <c r="CS722"/>
      <c r="CT722"/>
      <c r="CU722"/>
      <c r="CV722"/>
      <c r="CW722"/>
      <c r="CX722"/>
      <c r="CY722"/>
    </row>
    <row r="723" spans="2:103" s="1" customFormat="1" x14ac:dyDescent="0.25">
      <c r="B723" s="25"/>
      <c r="C723" s="32"/>
      <c r="D723" s="20"/>
      <c r="E723" s="34"/>
      <c r="F723" s="47"/>
      <c r="G723" s="166"/>
      <c r="H723" s="167"/>
      <c r="I723" s="167"/>
      <c r="J723" s="167"/>
      <c r="K723" s="167"/>
      <c r="L723" s="48"/>
      <c r="M723" s="33"/>
      <c r="N723" s="33"/>
      <c r="O723" s="35"/>
      <c r="P723" s="35"/>
      <c r="Q723" s="35"/>
      <c r="R723" s="35"/>
      <c r="S723" s="35"/>
      <c r="T723" s="35"/>
      <c r="U723" s="20"/>
      <c r="V723" s="28"/>
      <c r="CM723"/>
      <c r="CN723"/>
      <c r="CO723"/>
      <c r="CP723"/>
      <c r="CQ723"/>
      <c r="CR723"/>
      <c r="CS723"/>
      <c r="CT723"/>
      <c r="CU723"/>
      <c r="CV723"/>
      <c r="CW723"/>
      <c r="CX723"/>
      <c r="CY723"/>
    </row>
    <row r="724" spans="2:103" s="1" customFormat="1" x14ac:dyDescent="0.25">
      <c r="B724" s="25"/>
      <c r="C724" s="32"/>
      <c r="D724" s="20"/>
      <c r="E724" s="34"/>
      <c r="F724" s="47"/>
      <c r="G724" s="166"/>
      <c r="H724" s="167"/>
      <c r="I724" s="167"/>
      <c r="J724" s="167"/>
      <c r="K724" s="167"/>
      <c r="L724" s="48"/>
      <c r="M724" s="33"/>
      <c r="N724" s="33"/>
      <c r="O724" s="35"/>
      <c r="P724" s="35"/>
      <c r="Q724" s="35"/>
      <c r="R724" s="35"/>
      <c r="S724" s="35"/>
      <c r="T724" s="35"/>
      <c r="U724" s="20"/>
      <c r="V724" s="28"/>
      <c r="CM724"/>
      <c r="CN724"/>
      <c r="CO724"/>
      <c r="CP724"/>
      <c r="CQ724"/>
      <c r="CR724"/>
      <c r="CS724"/>
      <c r="CT724"/>
      <c r="CU724"/>
      <c r="CV724"/>
      <c r="CW724"/>
      <c r="CX724"/>
      <c r="CY724"/>
    </row>
    <row r="725" spans="2:103" s="1" customFormat="1" x14ac:dyDescent="0.25">
      <c r="B725" s="25"/>
      <c r="C725" s="32"/>
      <c r="D725" s="20"/>
      <c r="E725" s="34"/>
      <c r="F725" s="47"/>
      <c r="G725" s="166"/>
      <c r="H725" s="167"/>
      <c r="I725" s="167"/>
      <c r="J725" s="167"/>
      <c r="K725" s="167"/>
      <c r="L725" s="48"/>
      <c r="M725" s="33"/>
      <c r="N725" s="33"/>
      <c r="O725" s="35"/>
      <c r="P725" s="35"/>
      <c r="Q725" s="35"/>
      <c r="R725" s="35"/>
      <c r="S725" s="35"/>
      <c r="T725" s="35"/>
      <c r="U725" s="20"/>
      <c r="V725" s="28"/>
      <c r="CM725"/>
      <c r="CN725"/>
      <c r="CO725"/>
      <c r="CP725"/>
      <c r="CQ725"/>
      <c r="CR725"/>
      <c r="CS725"/>
      <c r="CT725"/>
      <c r="CU725"/>
      <c r="CV725"/>
      <c r="CW725"/>
      <c r="CX725"/>
      <c r="CY725"/>
    </row>
    <row r="726" spans="2:103" s="1" customFormat="1" x14ac:dyDescent="0.25">
      <c r="B726" s="25"/>
      <c r="C726" s="32"/>
      <c r="D726" s="20"/>
      <c r="E726" s="34"/>
      <c r="F726" s="47"/>
      <c r="G726" s="1651"/>
      <c r="H726" s="1652"/>
      <c r="I726" s="1652"/>
      <c r="J726" s="1652"/>
      <c r="K726" s="168"/>
      <c r="L726" s="168"/>
      <c r="M726" s="33"/>
      <c r="N726" s="33"/>
      <c r="O726" s="35"/>
      <c r="P726" s="35"/>
      <c r="Q726" s="35"/>
      <c r="R726" s="35"/>
      <c r="S726" s="35"/>
      <c r="T726" s="35"/>
      <c r="U726" s="20"/>
      <c r="V726" s="28"/>
      <c r="CM726"/>
      <c r="CN726"/>
      <c r="CO726"/>
      <c r="CP726"/>
      <c r="CQ726"/>
      <c r="CR726"/>
      <c r="CS726"/>
      <c r="CT726"/>
      <c r="CU726"/>
      <c r="CV726"/>
      <c r="CW726"/>
      <c r="CX726"/>
      <c r="CY726"/>
    </row>
    <row r="727" spans="2:103" s="1" customFormat="1" x14ac:dyDescent="0.25">
      <c r="B727" s="25"/>
      <c r="C727" s="32"/>
      <c r="D727" s="20"/>
      <c r="E727" s="34"/>
      <c r="F727" s="47"/>
      <c r="G727" s="1651"/>
      <c r="H727" s="1652"/>
      <c r="I727" s="1652"/>
      <c r="J727" s="1652"/>
      <c r="K727" s="168"/>
      <c r="L727" s="168"/>
      <c r="M727" s="33"/>
      <c r="N727" s="33"/>
      <c r="O727" s="35"/>
      <c r="P727" s="35"/>
      <c r="Q727" s="35"/>
      <c r="R727" s="35"/>
      <c r="S727" s="35"/>
      <c r="T727" s="35"/>
      <c r="U727" s="20"/>
      <c r="V727" s="28"/>
      <c r="CM727"/>
      <c r="CN727"/>
      <c r="CO727"/>
      <c r="CP727"/>
      <c r="CQ727"/>
      <c r="CR727"/>
      <c r="CS727"/>
      <c r="CT727"/>
      <c r="CU727"/>
      <c r="CV727"/>
      <c r="CW727"/>
      <c r="CX727"/>
      <c r="CY727"/>
    </row>
    <row r="728" spans="2:103" s="1" customFormat="1" x14ac:dyDescent="0.25">
      <c r="B728" s="25"/>
      <c r="C728" s="32"/>
      <c r="D728" s="20"/>
      <c r="E728" s="34"/>
      <c r="F728" s="47"/>
      <c r="G728" s="1651"/>
      <c r="H728" s="1652"/>
      <c r="I728" s="1652"/>
      <c r="J728" s="1652"/>
      <c r="K728" s="168"/>
      <c r="L728" s="168"/>
      <c r="M728" s="33"/>
      <c r="N728" s="33"/>
      <c r="O728" s="35"/>
      <c r="P728" s="35"/>
      <c r="Q728" s="35"/>
      <c r="R728" s="35"/>
      <c r="S728" s="35"/>
      <c r="T728" s="35"/>
      <c r="U728" s="20"/>
      <c r="V728" s="28"/>
      <c r="CM728"/>
      <c r="CN728"/>
      <c r="CO728"/>
      <c r="CP728"/>
      <c r="CQ728"/>
      <c r="CR728"/>
      <c r="CS728"/>
      <c r="CT728"/>
      <c r="CU728"/>
      <c r="CV728"/>
      <c r="CW728"/>
      <c r="CX728"/>
      <c r="CY728"/>
    </row>
    <row r="729" spans="2:103" s="1" customFormat="1" x14ac:dyDescent="0.25">
      <c r="B729" s="25"/>
      <c r="C729" s="32"/>
      <c r="D729" s="20"/>
      <c r="E729" s="34"/>
      <c r="F729" s="47"/>
      <c r="G729" s="1651"/>
      <c r="H729" s="1652"/>
      <c r="I729" s="1652"/>
      <c r="J729" s="1652"/>
      <c r="K729" s="168"/>
      <c r="L729" s="168"/>
      <c r="M729" s="33"/>
      <c r="N729" s="33"/>
      <c r="O729" s="35"/>
      <c r="P729" s="35"/>
      <c r="Q729" s="35"/>
      <c r="R729" s="35"/>
      <c r="S729" s="35"/>
      <c r="T729" s="35"/>
      <c r="U729" s="20"/>
      <c r="V729" s="28"/>
      <c r="CM729"/>
      <c r="CN729"/>
      <c r="CO729"/>
      <c r="CP729"/>
      <c r="CQ729"/>
      <c r="CR729"/>
      <c r="CS729"/>
      <c r="CT729"/>
      <c r="CU729"/>
      <c r="CV729"/>
      <c r="CW729"/>
      <c r="CX729"/>
      <c r="CY729"/>
    </row>
    <row r="730" spans="2:103" s="1" customFormat="1" x14ac:dyDescent="0.25">
      <c r="B730" s="25"/>
      <c r="C730" s="32"/>
      <c r="D730" s="20"/>
      <c r="E730" s="34"/>
      <c r="F730" s="47"/>
      <c r="G730" s="1651"/>
      <c r="H730" s="1652"/>
      <c r="I730" s="1652"/>
      <c r="J730" s="1652"/>
      <c r="K730" s="168"/>
      <c r="L730" s="168"/>
      <c r="M730" s="33"/>
      <c r="N730" s="33"/>
      <c r="O730" s="35"/>
      <c r="P730" s="35"/>
      <c r="Q730" s="35"/>
      <c r="R730" s="35"/>
      <c r="S730" s="35"/>
      <c r="T730" s="35"/>
      <c r="U730" s="20"/>
      <c r="V730" s="28"/>
      <c r="CM730"/>
      <c r="CN730"/>
      <c r="CO730"/>
      <c r="CP730"/>
      <c r="CQ730"/>
      <c r="CR730"/>
      <c r="CS730"/>
      <c r="CT730"/>
      <c r="CU730"/>
      <c r="CV730"/>
      <c r="CW730"/>
      <c r="CX730"/>
      <c r="CY730"/>
    </row>
    <row r="731" spans="2:103" s="1" customFormat="1" x14ac:dyDescent="0.25">
      <c r="B731" s="25"/>
      <c r="C731" s="32"/>
      <c r="D731" s="20"/>
      <c r="E731" s="34"/>
      <c r="F731" s="47"/>
      <c r="G731" s="1651"/>
      <c r="H731" s="1652"/>
      <c r="I731" s="1652"/>
      <c r="J731" s="1652"/>
      <c r="K731" s="168"/>
      <c r="L731" s="168"/>
      <c r="M731" s="33"/>
      <c r="N731" s="33"/>
      <c r="O731" s="35"/>
      <c r="P731" s="35"/>
      <c r="Q731" s="35"/>
      <c r="R731" s="35"/>
      <c r="S731" s="35"/>
      <c r="T731" s="35"/>
      <c r="U731" s="20"/>
      <c r="V731" s="28"/>
      <c r="CM731"/>
      <c r="CN731"/>
      <c r="CO731"/>
      <c r="CP731"/>
      <c r="CQ731"/>
      <c r="CR731"/>
      <c r="CS731"/>
      <c r="CT731"/>
      <c r="CU731"/>
      <c r="CV731"/>
      <c r="CW731"/>
      <c r="CX731"/>
      <c r="CY731"/>
    </row>
    <row r="732" spans="2:103" s="1" customFormat="1" x14ac:dyDescent="0.25">
      <c r="B732" s="25"/>
      <c r="C732" s="32"/>
      <c r="D732" s="20"/>
      <c r="E732" s="34"/>
      <c r="F732" s="47"/>
      <c r="G732" s="1651"/>
      <c r="H732" s="1652"/>
      <c r="I732" s="1652"/>
      <c r="J732" s="1652"/>
      <c r="K732" s="168"/>
      <c r="L732" s="168"/>
      <c r="M732" s="33"/>
      <c r="N732" s="33"/>
      <c r="O732" s="35"/>
      <c r="P732" s="35"/>
      <c r="Q732" s="35"/>
      <c r="R732" s="35"/>
      <c r="S732" s="35"/>
      <c r="T732" s="35"/>
      <c r="U732" s="20"/>
      <c r="V732" s="28"/>
      <c r="CM732"/>
      <c r="CN732"/>
      <c r="CO732"/>
      <c r="CP732"/>
      <c r="CQ732"/>
      <c r="CR732"/>
      <c r="CS732"/>
      <c r="CT732"/>
      <c r="CU732"/>
      <c r="CV732"/>
      <c r="CW732"/>
      <c r="CX732"/>
      <c r="CY732"/>
    </row>
    <row r="733" spans="2:103" s="1" customFormat="1" x14ac:dyDescent="0.25">
      <c r="B733" s="25"/>
      <c r="C733" s="32"/>
      <c r="D733" s="20"/>
      <c r="E733" s="34"/>
      <c r="F733" s="47"/>
      <c r="G733" s="1651"/>
      <c r="H733" s="1652"/>
      <c r="I733" s="1652"/>
      <c r="J733" s="1652"/>
      <c r="K733" s="168"/>
      <c r="L733" s="168"/>
      <c r="M733" s="33"/>
      <c r="N733" s="33"/>
      <c r="O733" s="35"/>
      <c r="P733" s="35"/>
      <c r="Q733" s="35"/>
      <c r="R733" s="35"/>
      <c r="S733" s="35"/>
      <c r="T733" s="35"/>
      <c r="U733" s="20"/>
      <c r="V733" s="28"/>
      <c r="CM733"/>
      <c r="CN733"/>
      <c r="CO733"/>
      <c r="CP733"/>
      <c r="CQ733"/>
      <c r="CR733"/>
      <c r="CS733"/>
      <c r="CT733"/>
      <c r="CU733"/>
      <c r="CV733"/>
      <c r="CW733"/>
      <c r="CX733"/>
      <c r="CY733"/>
    </row>
    <row r="734" spans="2:103" s="1" customFormat="1" x14ac:dyDescent="0.25">
      <c r="B734" s="25"/>
      <c r="C734" s="32"/>
      <c r="D734" s="20"/>
      <c r="E734" s="34"/>
      <c r="F734" s="47"/>
      <c r="G734" s="1651"/>
      <c r="H734" s="1652"/>
      <c r="I734" s="1652"/>
      <c r="J734" s="1652"/>
      <c r="K734" s="168"/>
      <c r="L734" s="168"/>
      <c r="M734" s="33"/>
      <c r="N734" s="33"/>
      <c r="O734" s="35"/>
      <c r="P734" s="35"/>
      <c r="Q734" s="35"/>
      <c r="R734" s="35"/>
      <c r="S734" s="35"/>
      <c r="T734" s="35"/>
      <c r="U734" s="20"/>
      <c r="V734" s="28"/>
      <c r="CM734"/>
      <c r="CN734"/>
      <c r="CO734"/>
      <c r="CP734"/>
      <c r="CQ734"/>
      <c r="CR734"/>
      <c r="CS734"/>
      <c r="CT734"/>
      <c r="CU734"/>
      <c r="CV734"/>
      <c r="CW734"/>
      <c r="CX734"/>
      <c r="CY734"/>
    </row>
    <row r="735" spans="2:103" s="1" customFormat="1" x14ac:dyDescent="0.25">
      <c r="B735" s="25"/>
      <c r="C735" s="32"/>
      <c r="D735" s="20"/>
      <c r="E735" s="34"/>
      <c r="F735" s="47"/>
      <c r="G735" s="1651"/>
      <c r="H735" s="1652"/>
      <c r="I735" s="1652"/>
      <c r="J735" s="1652"/>
      <c r="K735" s="168"/>
      <c r="L735" s="168"/>
      <c r="M735" s="33"/>
      <c r="N735" s="33"/>
      <c r="O735" s="35"/>
      <c r="P735" s="35"/>
      <c r="Q735" s="35"/>
      <c r="R735" s="35"/>
      <c r="S735" s="35"/>
      <c r="T735" s="35"/>
      <c r="U735" s="20"/>
      <c r="V735" s="28"/>
      <c r="CM735"/>
      <c r="CN735"/>
      <c r="CO735"/>
      <c r="CP735"/>
      <c r="CQ735"/>
      <c r="CR735"/>
      <c r="CS735"/>
      <c r="CT735"/>
      <c r="CU735"/>
      <c r="CV735"/>
      <c r="CW735"/>
      <c r="CX735"/>
      <c r="CY735"/>
    </row>
    <row r="736" spans="2:103" s="1" customFormat="1" x14ac:dyDescent="0.25">
      <c r="B736" s="25"/>
      <c r="C736" s="32"/>
      <c r="D736" s="20"/>
      <c r="E736" s="34"/>
      <c r="F736" s="47"/>
      <c r="G736" s="1651"/>
      <c r="H736" s="1652"/>
      <c r="I736" s="1652"/>
      <c r="J736" s="1652"/>
      <c r="K736" s="168"/>
      <c r="L736" s="168"/>
      <c r="M736" s="33"/>
      <c r="N736" s="33"/>
      <c r="O736" s="35"/>
      <c r="P736" s="35"/>
      <c r="Q736" s="35"/>
      <c r="R736" s="35"/>
      <c r="S736" s="35"/>
      <c r="T736" s="35"/>
      <c r="U736" s="20"/>
      <c r="V736" s="28"/>
      <c r="CM736"/>
      <c r="CN736"/>
      <c r="CO736"/>
      <c r="CP736"/>
      <c r="CQ736"/>
      <c r="CR736"/>
      <c r="CS736"/>
      <c r="CT736"/>
      <c r="CU736"/>
      <c r="CV736"/>
      <c r="CW736"/>
      <c r="CX736"/>
      <c r="CY736"/>
    </row>
    <row r="737" spans="2:103" s="1" customFormat="1" x14ac:dyDescent="0.25">
      <c r="B737" s="25"/>
      <c r="C737" s="32"/>
      <c r="D737" s="20"/>
      <c r="E737" s="34"/>
      <c r="F737" s="47"/>
      <c r="G737" s="1651"/>
      <c r="H737" s="1652"/>
      <c r="I737" s="1652"/>
      <c r="J737" s="1652"/>
      <c r="K737" s="168"/>
      <c r="L737" s="168"/>
      <c r="M737" s="33"/>
      <c r="N737" s="33"/>
      <c r="O737" s="35"/>
      <c r="P737" s="35"/>
      <c r="Q737" s="35"/>
      <c r="R737" s="35"/>
      <c r="S737" s="35"/>
      <c r="T737" s="35"/>
      <c r="U737" s="20"/>
      <c r="V737" s="28"/>
      <c r="CM737"/>
      <c r="CN737"/>
      <c r="CO737"/>
      <c r="CP737"/>
      <c r="CQ737"/>
      <c r="CR737"/>
      <c r="CS737"/>
      <c r="CT737"/>
      <c r="CU737"/>
      <c r="CV737"/>
      <c r="CW737"/>
      <c r="CX737"/>
      <c r="CY737"/>
    </row>
    <row r="738" spans="2:103" s="1" customFormat="1" x14ac:dyDescent="0.25">
      <c r="B738" s="25"/>
      <c r="C738" s="32"/>
      <c r="D738" s="20"/>
      <c r="E738" s="34"/>
      <c r="F738" s="47"/>
      <c r="G738" s="1651"/>
      <c r="H738" s="1652"/>
      <c r="I738" s="1652"/>
      <c r="J738" s="1652"/>
      <c r="K738" s="168"/>
      <c r="L738" s="168"/>
      <c r="M738" s="33"/>
      <c r="N738" s="33"/>
      <c r="O738" s="35"/>
      <c r="P738" s="35"/>
      <c r="Q738" s="35"/>
      <c r="R738" s="35"/>
      <c r="S738" s="35"/>
      <c r="T738" s="35"/>
      <c r="U738" s="20"/>
      <c r="V738" s="28"/>
      <c r="CM738"/>
      <c r="CN738"/>
      <c r="CO738"/>
      <c r="CP738"/>
      <c r="CQ738"/>
      <c r="CR738"/>
      <c r="CS738"/>
      <c r="CT738"/>
      <c r="CU738"/>
      <c r="CV738"/>
      <c r="CW738"/>
      <c r="CX738"/>
      <c r="CY738"/>
    </row>
    <row r="739" spans="2:103" s="1" customFormat="1" x14ac:dyDescent="0.25">
      <c r="B739" s="25"/>
      <c r="C739" s="32"/>
      <c r="D739" s="20"/>
      <c r="E739" s="34"/>
      <c r="F739" s="47"/>
      <c r="G739" s="1651"/>
      <c r="H739" s="1652"/>
      <c r="I739" s="1652"/>
      <c r="J739" s="1652"/>
      <c r="K739" s="168"/>
      <c r="L739" s="168"/>
      <c r="M739" s="33"/>
      <c r="N739" s="33"/>
      <c r="O739" s="35"/>
      <c r="P739" s="35"/>
      <c r="Q739" s="35"/>
      <c r="R739" s="35"/>
      <c r="S739" s="35"/>
      <c r="T739" s="35"/>
      <c r="U739" s="20"/>
      <c r="V739" s="28"/>
      <c r="CM739"/>
      <c r="CN739"/>
      <c r="CO739"/>
      <c r="CP739"/>
      <c r="CQ739"/>
      <c r="CR739"/>
      <c r="CS739"/>
      <c r="CT739"/>
      <c r="CU739"/>
      <c r="CV739"/>
      <c r="CW739"/>
      <c r="CX739"/>
      <c r="CY739"/>
    </row>
    <row r="740" spans="2:103" s="1" customFormat="1" x14ac:dyDescent="0.25">
      <c r="B740" s="25"/>
      <c r="C740" s="32"/>
      <c r="D740" s="20"/>
      <c r="E740" s="34"/>
      <c r="F740" s="47"/>
      <c r="G740" s="1651"/>
      <c r="H740" s="1652"/>
      <c r="I740" s="1652"/>
      <c r="J740" s="1652"/>
      <c r="K740" s="168"/>
      <c r="L740" s="168"/>
      <c r="M740" s="33"/>
      <c r="N740" s="33"/>
      <c r="O740" s="35"/>
      <c r="P740" s="35"/>
      <c r="Q740" s="35"/>
      <c r="R740" s="35"/>
      <c r="S740" s="35"/>
      <c r="T740" s="35"/>
      <c r="U740" s="20"/>
      <c r="V740" s="28"/>
      <c r="CM740"/>
      <c r="CN740"/>
      <c r="CO740"/>
      <c r="CP740"/>
      <c r="CQ740"/>
      <c r="CR740"/>
      <c r="CS740"/>
      <c r="CT740"/>
      <c r="CU740"/>
      <c r="CV740"/>
      <c r="CW740"/>
      <c r="CX740"/>
      <c r="CY740"/>
    </row>
    <row r="741" spans="2:103" s="1" customFormat="1" x14ac:dyDescent="0.25">
      <c r="B741" s="25"/>
      <c r="C741" s="32"/>
      <c r="D741" s="20"/>
      <c r="E741" s="34"/>
      <c r="F741" s="47"/>
      <c r="G741" s="1651"/>
      <c r="H741" s="1652"/>
      <c r="I741" s="1652"/>
      <c r="J741" s="1652"/>
      <c r="K741" s="168"/>
      <c r="L741" s="168"/>
      <c r="M741" s="33"/>
      <c r="N741" s="33"/>
      <c r="O741" s="35"/>
      <c r="P741" s="35"/>
      <c r="Q741" s="35"/>
      <c r="R741" s="35"/>
      <c r="S741" s="35"/>
      <c r="T741" s="35"/>
      <c r="U741" s="20"/>
      <c r="V741" s="28"/>
      <c r="CM741"/>
      <c r="CN741"/>
      <c r="CO741"/>
      <c r="CP741"/>
      <c r="CQ741"/>
      <c r="CR741"/>
      <c r="CS741"/>
      <c r="CT741"/>
      <c r="CU741"/>
      <c r="CV741"/>
      <c r="CW741"/>
      <c r="CX741"/>
      <c r="CY741"/>
    </row>
    <row r="742" spans="2:103" s="1" customFormat="1" x14ac:dyDescent="0.25">
      <c r="B742" s="25"/>
      <c r="C742" s="32"/>
      <c r="D742" s="20"/>
      <c r="E742" s="34"/>
      <c r="F742" s="47"/>
      <c r="G742" s="1646"/>
      <c r="H742" s="1647"/>
      <c r="I742" s="1647"/>
      <c r="J742" s="1647"/>
      <c r="K742" s="167"/>
      <c r="L742" s="48"/>
      <c r="M742" s="35"/>
      <c r="N742" s="35"/>
      <c r="O742" s="35"/>
      <c r="P742" s="35"/>
      <c r="Q742" s="35"/>
      <c r="R742" s="35"/>
      <c r="S742" s="35"/>
      <c r="T742" s="35"/>
      <c r="U742" s="20"/>
      <c r="V742" s="28"/>
      <c r="CM742"/>
      <c r="CN742"/>
      <c r="CO742"/>
      <c r="CP742"/>
      <c r="CQ742"/>
      <c r="CR742"/>
      <c r="CS742"/>
      <c r="CT742"/>
      <c r="CU742"/>
      <c r="CV742"/>
      <c r="CW742"/>
      <c r="CX742"/>
      <c r="CY742"/>
    </row>
    <row r="743" spans="2:103" s="1" customFormat="1" x14ac:dyDescent="0.25">
      <c r="B743" s="25"/>
      <c r="C743" s="32"/>
      <c r="D743" s="20"/>
      <c r="E743" s="34"/>
      <c r="F743" s="47"/>
      <c r="G743" s="1646"/>
      <c r="H743" s="1647"/>
      <c r="I743" s="1647"/>
      <c r="J743" s="1647"/>
      <c r="K743" s="167"/>
      <c r="L743" s="48"/>
      <c r="M743" s="35"/>
      <c r="N743" s="35"/>
      <c r="O743" s="35"/>
      <c r="P743" s="35"/>
      <c r="Q743" s="35"/>
      <c r="R743" s="35"/>
      <c r="S743" s="35"/>
      <c r="T743" s="35"/>
      <c r="U743" s="20"/>
      <c r="V743" s="28"/>
      <c r="CM743"/>
      <c r="CN743"/>
      <c r="CO743"/>
      <c r="CP743"/>
      <c r="CQ743"/>
      <c r="CR743"/>
      <c r="CS743"/>
      <c r="CT743"/>
      <c r="CU743"/>
      <c r="CV743"/>
      <c r="CW743"/>
      <c r="CX743"/>
      <c r="CY743"/>
    </row>
    <row r="744" spans="2:103" s="1" customFormat="1" x14ac:dyDescent="0.25">
      <c r="B744" s="25"/>
      <c r="C744" s="32"/>
      <c r="D744" s="20"/>
      <c r="E744" s="34"/>
      <c r="F744" s="47"/>
      <c r="G744" s="1646"/>
      <c r="H744" s="1647"/>
      <c r="I744" s="1647"/>
      <c r="J744" s="1647"/>
      <c r="K744" s="167"/>
      <c r="L744" s="48"/>
      <c r="M744" s="35"/>
      <c r="N744" s="35"/>
      <c r="O744" s="35"/>
      <c r="P744" s="35"/>
      <c r="Q744" s="35"/>
      <c r="R744" s="35"/>
      <c r="S744" s="35"/>
      <c r="T744" s="35"/>
      <c r="U744" s="20"/>
      <c r="V744" s="28"/>
      <c r="CM744"/>
      <c r="CN744"/>
      <c r="CO744"/>
      <c r="CP744"/>
      <c r="CQ744"/>
      <c r="CR744"/>
      <c r="CS744"/>
      <c r="CT744"/>
      <c r="CU744"/>
      <c r="CV744"/>
      <c r="CW744"/>
      <c r="CX744"/>
      <c r="CY744"/>
    </row>
    <row r="745" spans="2:103" s="1" customFormat="1" x14ac:dyDescent="0.25">
      <c r="B745" s="25"/>
      <c r="C745" s="32"/>
      <c r="D745" s="20"/>
      <c r="E745" s="34"/>
      <c r="F745" s="47"/>
      <c r="G745" s="1646"/>
      <c r="H745" s="1647"/>
      <c r="I745" s="1647"/>
      <c r="J745" s="1647"/>
      <c r="K745" s="167"/>
      <c r="L745" s="48"/>
      <c r="M745" s="35"/>
      <c r="N745" s="35"/>
      <c r="O745" s="35"/>
      <c r="P745" s="35"/>
      <c r="Q745" s="35"/>
      <c r="R745" s="35"/>
      <c r="S745" s="35"/>
      <c r="T745" s="35"/>
      <c r="U745" s="20"/>
      <c r="V745" s="28"/>
      <c r="CM745"/>
      <c r="CN745"/>
      <c r="CO745"/>
      <c r="CP745"/>
      <c r="CQ745"/>
      <c r="CR745"/>
      <c r="CS745"/>
      <c r="CT745"/>
      <c r="CU745"/>
      <c r="CV745"/>
      <c r="CW745"/>
      <c r="CX745"/>
      <c r="CY745"/>
    </row>
    <row r="746" spans="2:103" s="1" customFormat="1" x14ac:dyDescent="0.25">
      <c r="B746" s="25"/>
      <c r="C746" s="32"/>
      <c r="D746" s="20"/>
      <c r="E746" s="34"/>
      <c r="F746" s="47"/>
      <c r="G746" s="1646"/>
      <c r="H746" s="1647"/>
      <c r="I746" s="1647"/>
      <c r="J746" s="1647"/>
      <c r="K746" s="167"/>
      <c r="L746" s="48"/>
      <c r="M746" s="35"/>
      <c r="N746" s="35"/>
      <c r="O746" s="35"/>
      <c r="P746" s="35"/>
      <c r="Q746" s="35"/>
      <c r="R746" s="35"/>
      <c r="S746" s="35"/>
      <c r="T746" s="35"/>
      <c r="U746" s="20"/>
      <c r="V746" s="28"/>
      <c r="CM746"/>
      <c r="CN746"/>
      <c r="CO746"/>
      <c r="CP746"/>
      <c r="CQ746"/>
      <c r="CR746"/>
      <c r="CS746"/>
      <c r="CT746"/>
      <c r="CU746"/>
      <c r="CV746"/>
      <c r="CW746"/>
      <c r="CX746"/>
      <c r="CY746"/>
    </row>
    <row r="747" spans="2:103" s="1" customFormat="1" x14ac:dyDescent="0.25">
      <c r="B747" s="25"/>
      <c r="C747" s="32"/>
      <c r="D747" s="20"/>
      <c r="E747" s="34"/>
      <c r="F747" s="47"/>
      <c r="G747" s="1646"/>
      <c r="H747" s="1647"/>
      <c r="I747" s="1647"/>
      <c r="J747" s="1647"/>
      <c r="K747" s="167"/>
      <c r="L747" s="48"/>
      <c r="M747" s="35"/>
      <c r="N747" s="35"/>
      <c r="O747" s="35"/>
      <c r="P747" s="35"/>
      <c r="Q747" s="35"/>
      <c r="R747" s="35"/>
      <c r="S747" s="35"/>
      <c r="T747" s="35"/>
      <c r="U747" s="20"/>
      <c r="V747" s="28"/>
      <c r="CM747"/>
      <c r="CN747"/>
      <c r="CO747"/>
      <c r="CP747"/>
      <c r="CQ747"/>
      <c r="CR747"/>
      <c r="CS747"/>
      <c r="CT747"/>
      <c r="CU747"/>
      <c r="CV747"/>
      <c r="CW747"/>
      <c r="CX747"/>
      <c r="CY747"/>
    </row>
    <row r="748" spans="2:103" s="1" customFormat="1" x14ac:dyDescent="0.25">
      <c r="B748" s="25"/>
      <c r="C748" s="32"/>
      <c r="D748" s="20"/>
      <c r="E748" s="34"/>
      <c r="F748" s="47"/>
      <c r="G748" s="1651"/>
      <c r="H748" s="1652"/>
      <c r="I748" s="1652"/>
      <c r="J748" s="1652"/>
      <c r="K748" s="168"/>
      <c r="L748" s="168"/>
      <c r="M748" s="35"/>
      <c r="N748" s="35"/>
      <c r="O748" s="35"/>
      <c r="P748" s="35"/>
      <c r="Q748" s="35"/>
      <c r="R748" s="35"/>
      <c r="S748" s="35"/>
      <c r="T748" s="35"/>
      <c r="U748" s="20"/>
      <c r="V748" s="28"/>
      <c r="CM748"/>
      <c r="CN748"/>
      <c r="CO748"/>
      <c r="CP748"/>
      <c r="CQ748"/>
      <c r="CR748"/>
      <c r="CS748"/>
      <c r="CT748"/>
      <c r="CU748"/>
      <c r="CV748"/>
      <c r="CW748"/>
      <c r="CX748"/>
      <c r="CY748"/>
    </row>
    <row r="749" spans="2:103" s="1" customFormat="1" x14ac:dyDescent="0.25">
      <c r="B749" s="25"/>
      <c r="C749" s="32"/>
      <c r="D749" s="20"/>
      <c r="E749" s="34"/>
      <c r="F749" s="47"/>
      <c r="G749" s="1651"/>
      <c r="H749" s="1652"/>
      <c r="I749" s="1652"/>
      <c r="J749" s="1652"/>
      <c r="K749" s="168"/>
      <c r="L749" s="168"/>
      <c r="M749" s="35"/>
      <c r="N749" s="35"/>
      <c r="O749" s="35"/>
      <c r="P749" s="35"/>
      <c r="Q749" s="35"/>
      <c r="R749" s="35"/>
      <c r="S749" s="35"/>
      <c r="T749" s="35"/>
      <c r="U749" s="20"/>
      <c r="V749" s="28"/>
      <c r="CM749"/>
      <c r="CN749"/>
      <c r="CO749"/>
      <c r="CP749"/>
      <c r="CQ749"/>
      <c r="CR749"/>
      <c r="CS749"/>
      <c r="CT749"/>
      <c r="CU749"/>
      <c r="CV749"/>
      <c r="CW749"/>
      <c r="CX749"/>
      <c r="CY749"/>
    </row>
    <row r="750" spans="2:103" s="1" customFormat="1" x14ac:dyDescent="0.25">
      <c r="B750" s="25"/>
      <c r="C750" s="32"/>
      <c r="D750" s="20"/>
      <c r="E750" s="34"/>
      <c r="F750" s="47"/>
      <c r="G750" s="1651"/>
      <c r="H750" s="1652"/>
      <c r="I750" s="1652"/>
      <c r="J750" s="1652"/>
      <c r="K750" s="168"/>
      <c r="L750" s="168"/>
      <c r="M750" s="35"/>
      <c r="N750" s="35"/>
      <c r="O750" s="35"/>
      <c r="P750" s="35"/>
      <c r="Q750" s="35"/>
      <c r="R750" s="35"/>
      <c r="S750" s="35"/>
      <c r="T750" s="35"/>
      <c r="U750" s="20"/>
      <c r="V750" s="28"/>
      <c r="CM750"/>
      <c r="CN750"/>
      <c r="CO750"/>
      <c r="CP750"/>
      <c r="CQ750"/>
      <c r="CR750"/>
      <c r="CS750"/>
      <c r="CT750"/>
      <c r="CU750"/>
      <c r="CV750"/>
      <c r="CW750"/>
      <c r="CX750"/>
      <c r="CY750"/>
    </row>
    <row r="751" spans="2:103" s="1" customFormat="1" x14ac:dyDescent="0.25">
      <c r="B751" s="25"/>
      <c r="C751" s="32"/>
      <c r="D751" s="20"/>
      <c r="E751" s="34"/>
      <c r="F751" s="47"/>
      <c r="G751" s="1651"/>
      <c r="H751" s="1652"/>
      <c r="I751" s="1652"/>
      <c r="J751" s="1652"/>
      <c r="K751" s="168"/>
      <c r="L751" s="168"/>
      <c r="M751" s="35"/>
      <c r="N751" s="35"/>
      <c r="O751" s="35"/>
      <c r="P751" s="35"/>
      <c r="Q751" s="35"/>
      <c r="R751" s="35"/>
      <c r="S751" s="35"/>
      <c r="T751" s="35"/>
      <c r="U751" s="20"/>
      <c r="V751" s="28"/>
      <c r="CM751"/>
      <c r="CN751"/>
      <c r="CO751"/>
      <c r="CP751"/>
      <c r="CQ751"/>
      <c r="CR751"/>
      <c r="CS751"/>
      <c r="CT751"/>
      <c r="CU751"/>
      <c r="CV751"/>
      <c r="CW751"/>
      <c r="CX751"/>
      <c r="CY751"/>
    </row>
    <row r="752" spans="2:103" s="1" customFormat="1" x14ac:dyDescent="0.25">
      <c r="B752" s="25"/>
      <c r="C752" s="32"/>
      <c r="D752" s="20"/>
      <c r="E752" s="34"/>
      <c r="F752" s="47"/>
      <c r="G752" s="1651"/>
      <c r="H752" s="1652"/>
      <c r="I752" s="1652"/>
      <c r="J752" s="1652"/>
      <c r="K752" s="168"/>
      <c r="L752" s="168"/>
      <c r="M752" s="35"/>
      <c r="N752" s="35"/>
      <c r="O752" s="35"/>
      <c r="P752" s="35"/>
      <c r="Q752" s="35"/>
      <c r="R752" s="35"/>
      <c r="S752" s="35"/>
      <c r="T752" s="35"/>
      <c r="U752" s="20"/>
      <c r="V752" s="28"/>
      <c r="CM752"/>
      <c r="CN752"/>
      <c r="CO752"/>
      <c r="CP752"/>
      <c r="CQ752"/>
      <c r="CR752"/>
      <c r="CS752"/>
      <c r="CT752"/>
      <c r="CU752"/>
      <c r="CV752"/>
      <c r="CW752"/>
      <c r="CX752"/>
      <c r="CY752"/>
    </row>
    <row r="753" spans="2:103" s="1" customFormat="1" x14ac:dyDescent="0.25">
      <c r="B753" s="25"/>
      <c r="C753" s="32"/>
      <c r="D753" s="20"/>
      <c r="E753" s="34"/>
      <c r="F753" s="47"/>
      <c r="G753" s="1651"/>
      <c r="H753" s="1652"/>
      <c r="I753" s="1652"/>
      <c r="J753" s="1652"/>
      <c r="K753" s="168"/>
      <c r="L753" s="168"/>
      <c r="M753" s="35"/>
      <c r="N753" s="35"/>
      <c r="O753" s="35"/>
      <c r="P753" s="35"/>
      <c r="Q753" s="35"/>
      <c r="R753" s="35"/>
      <c r="S753" s="35"/>
      <c r="T753" s="35"/>
      <c r="U753" s="20"/>
      <c r="V753" s="28"/>
      <c r="CM753"/>
      <c r="CN753"/>
      <c r="CO753"/>
      <c r="CP753"/>
      <c r="CQ753"/>
      <c r="CR753"/>
      <c r="CS753"/>
      <c r="CT753"/>
      <c r="CU753"/>
      <c r="CV753"/>
      <c r="CW753"/>
      <c r="CX753"/>
      <c r="CY753"/>
    </row>
    <row r="754" spans="2:103" s="1" customFormat="1" x14ac:dyDescent="0.25">
      <c r="B754" s="25"/>
      <c r="C754" s="32"/>
      <c r="D754" s="20"/>
      <c r="E754" s="34"/>
      <c r="F754" s="47"/>
      <c r="G754" s="1651"/>
      <c r="H754" s="1652"/>
      <c r="I754" s="1652"/>
      <c r="J754" s="1652"/>
      <c r="K754" s="168"/>
      <c r="L754" s="168"/>
      <c r="M754" s="35"/>
      <c r="N754" s="35"/>
      <c r="O754" s="35"/>
      <c r="P754" s="35"/>
      <c r="Q754" s="35"/>
      <c r="R754" s="35"/>
      <c r="S754" s="35"/>
      <c r="T754" s="35"/>
      <c r="U754" s="20"/>
      <c r="V754" s="28"/>
      <c r="CM754"/>
      <c r="CN754"/>
      <c r="CO754"/>
      <c r="CP754"/>
      <c r="CQ754"/>
      <c r="CR754"/>
      <c r="CS754"/>
      <c r="CT754"/>
      <c r="CU754"/>
      <c r="CV754"/>
      <c r="CW754"/>
      <c r="CX754"/>
      <c r="CY754"/>
    </row>
    <row r="755" spans="2:103" s="1" customFormat="1" x14ac:dyDescent="0.25">
      <c r="B755" s="25"/>
      <c r="C755" s="32"/>
      <c r="D755" s="20"/>
      <c r="E755" s="34"/>
      <c r="F755" s="47"/>
      <c r="G755" s="1651"/>
      <c r="H755" s="1652"/>
      <c r="I755" s="1652"/>
      <c r="J755" s="1652"/>
      <c r="K755" s="168"/>
      <c r="L755" s="168"/>
      <c r="M755" s="35"/>
      <c r="N755" s="35"/>
      <c r="O755" s="35"/>
      <c r="P755" s="35"/>
      <c r="Q755" s="35"/>
      <c r="R755" s="35"/>
      <c r="S755" s="35"/>
      <c r="T755" s="35"/>
      <c r="U755" s="20"/>
      <c r="V755" s="28"/>
      <c r="CM755"/>
      <c r="CN755"/>
      <c r="CO755"/>
      <c r="CP755"/>
      <c r="CQ755"/>
      <c r="CR755"/>
      <c r="CS755"/>
      <c r="CT755"/>
      <c r="CU755"/>
      <c r="CV755"/>
      <c r="CW755"/>
      <c r="CX755"/>
      <c r="CY755"/>
    </row>
    <row r="756" spans="2:103" s="1" customFormat="1" x14ac:dyDescent="0.25">
      <c r="B756" s="25"/>
      <c r="C756" s="32"/>
      <c r="D756" s="20"/>
      <c r="E756" s="34"/>
      <c r="F756" s="47"/>
      <c r="G756" s="1651"/>
      <c r="H756" s="1652"/>
      <c r="I756" s="1652"/>
      <c r="J756" s="1652"/>
      <c r="K756" s="168"/>
      <c r="L756" s="168"/>
      <c r="M756" s="35"/>
      <c r="N756" s="35"/>
      <c r="O756" s="35"/>
      <c r="P756" s="35"/>
      <c r="Q756" s="35"/>
      <c r="R756" s="35"/>
      <c r="S756" s="35"/>
      <c r="T756" s="35"/>
      <c r="U756" s="20"/>
      <c r="V756" s="28"/>
      <c r="CM756"/>
      <c r="CN756"/>
      <c r="CO756"/>
      <c r="CP756"/>
      <c r="CQ756"/>
      <c r="CR756"/>
      <c r="CS756"/>
      <c r="CT756"/>
      <c r="CU756"/>
      <c r="CV756"/>
      <c r="CW756"/>
      <c r="CX756"/>
      <c r="CY756"/>
    </row>
    <row r="757" spans="2:103" s="1" customFormat="1" x14ac:dyDescent="0.25">
      <c r="B757" s="25"/>
      <c r="C757" s="32"/>
      <c r="D757" s="20"/>
      <c r="E757" s="34"/>
      <c r="F757" s="47"/>
      <c r="G757" s="1651"/>
      <c r="H757" s="1652"/>
      <c r="I757" s="1652"/>
      <c r="J757" s="1652"/>
      <c r="K757" s="168"/>
      <c r="L757" s="168"/>
      <c r="M757" s="35"/>
      <c r="N757" s="35"/>
      <c r="O757" s="35"/>
      <c r="P757" s="35"/>
      <c r="Q757" s="35"/>
      <c r="R757" s="35"/>
      <c r="S757" s="35"/>
      <c r="T757" s="35"/>
      <c r="U757" s="20"/>
      <c r="V757" s="28"/>
      <c r="CM757"/>
      <c r="CN757"/>
      <c r="CO757"/>
      <c r="CP757"/>
      <c r="CQ757"/>
      <c r="CR757"/>
      <c r="CS757"/>
      <c r="CT757"/>
      <c r="CU757"/>
      <c r="CV757"/>
      <c r="CW757"/>
      <c r="CX757"/>
      <c r="CY757"/>
    </row>
    <row r="758" spans="2:103" s="1" customFormat="1" x14ac:dyDescent="0.25">
      <c r="B758" s="25"/>
      <c r="C758" s="32"/>
      <c r="D758" s="20"/>
      <c r="E758" s="34"/>
      <c r="F758" s="47"/>
      <c r="G758" s="1651"/>
      <c r="H758" s="1652"/>
      <c r="I758" s="1652"/>
      <c r="J758" s="1652"/>
      <c r="K758" s="168"/>
      <c r="L758" s="168"/>
      <c r="M758" s="35"/>
      <c r="N758" s="35"/>
      <c r="O758" s="35"/>
      <c r="P758" s="35"/>
      <c r="Q758" s="35"/>
      <c r="R758" s="35"/>
      <c r="S758" s="35"/>
      <c r="T758" s="35"/>
      <c r="U758" s="20"/>
      <c r="V758" s="28"/>
      <c r="CM758"/>
      <c r="CN758"/>
      <c r="CO758"/>
      <c r="CP758"/>
      <c r="CQ758"/>
      <c r="CR758"/>
      <c r="CS758"/>
      <c r="CT758"/>
      <c r="CU758"/>
      <c r="CV758"/>
      <c r="CW758"/>
      <c r="CX758"/>
      <c r="CY758"/>
    </row>
    <row r="759" spans="2:103" s="1" customFormat="1" x14ac:dyDescent="0.25">
      <c r="B759" s="25"/>
      <c r="C759" s="32"/>
      <c r="D759" s="20"/>
      <c r="E759" s="34"/>
      <c r="F759" s="47"/>
      <c r="G759" s="1651"/>
      <c r="H759" s="1652"/>
      <c r="I759" s="1652"/>
      <c r="J759" s="1652"/>
      <c r="K759" s="168"/>
      <c r="L759" s="168"/>
      <c r="M759" s="35"/>
      <c r="N759" s="35"/>
      <c r="O759" s="35"/>
      <c r="P759" s="35"/>
      <c r="Q759" s="35"/>
      <c r="R759" s="35"/>
      <c r="S759" s="35"/>
      <c r="T759" s="35"/>
      <c r="U759" s="20"/>
      <c r="V759" s="28"/>
      <c r="CM759"/>
      <c r="CN759"/>
      <c r="CO759"/>
      <c r="CP759"/>
      <c r="CQ759"/>
      <c r="CR759"/>
      <c r="CS759"/>
      <c r="CT759"/>
      <c r="CU759"/>
      <c r="CV759"/>
      <c r="CW759"/>
      <c r="CX759"/>
      <c r="CY759"/>
    </row>
    <row r="760" spans="2:103" s="1" customFormat="1" x14ac:dyDescent="0.25">
      <c r="B760" s="25"/>
      <c r="C760" s="32"/>
      <c r="D760" s="20"/>
      <c r="E760" s="34"/>
      <c r="F760" s="47"/>
      <c r="G760" s="1651"/>
      <c r="H760" s="1652"/>
      <c r="I760" s="1652"/>
      <c r="J760" s="1652"/>
      <c r="K760" s="168"/>
      <c r="L760" s="168"/>
      <c r="M760" s="35"/>
      <c r="N760" s="35"/>
      <c r="O760" s="35"/>
      <c r="P760" s="35"/>
      <c r="Q760" s="35"/>
      <c r="R760" s="35"/>
      <c r="S760" s="35"/>
      <c r="T760" s="35"/>
      <c r="U760" s="20"/>
      <c r="V760" s="28"/>
      <c r="CM760"/>
      <c r="CN760"/>
      <c r="CO760"/>
      <c r="CP760"/>
      <c r="CQ760"/>
      <c r="CR760"/>
      <c r="CS760"/>
      <c r="CT760"/>
      <c r="CU760"/>
      <c r="CV760"/>
      <c r="CW760"/>
      <c r="CX760"/>
      <c r="CY760"/>
    </row>
    <row r="761" spans="2:103" s="1" customFormat="1" x14ac:dyDescent="0.25">
      <c r="B761" s="25"/>
      <c r="C761" s="32"/>
      <c r="D761" s="20"/>
      <c r="E761" s="34"/>
      <c r="F761" s="47"/>
      <c r="G761" s="1651"/>
      <c r="H761" s="1652"/>
      <c r="I761" s="1652"/>
      <c r="J761" s="1652"/>
      <c r="K761" s="168"/>
      <c r="L761" s="168"/>
      <c r="M761" s="35"/>
      <c r="N761" s="35"/>
      <c r="O761" s="35"/>
      <c r="P761" s="35"/>
      <c r="Q761" s="35"/>
      <c r="R761" s="35"/>
      <c r="S761" s="35"/>
      <c r="T761" s="35"/>
      <c r="U761" s="20"/>
      <c r="V761" s="28"/>
      <c r="CM761"/>
      <c r="CN761"/>
      <c r="CO761"/>
      <c r="CP761"/>
      <c r="CQ761"/>
      <c r="CR761"/>
      <c r="CS761"/>
      <c r="CT761"/>
      <c r="CU761"/>
      <c r="CV761"/>
      <c r="CW761"/>
      <c r="CX761"/>
      <c r="CY761"/>
    </row>
    <row r="762" spans="2:103" s="1" customFormat="1" x14ac:dyDescent="0.25">
      <c r="B762" s="25"/>
      <c r="C762" s="32"/>
      <c r="D762" s="20"/>
      <c r="E762" s="34"/>
      <c r="F762" s="47"/>
      <c r="G762" s="1651"/>
      <c r="H762" s="1652"/>
      <c r="I762" s="1652"/>
      <c r="J762" s="1652"/>
      <c r="K762" s="168"/>
      <c r="L762" s="168"/>
      <c r="M762" s="35"/>
      <c r="N762" s="35"/>
      <c r="O762" s="35"/>
      <c r="P762" s="35"/>
      <c r="Q762" s="35"/>
      <c r="R762" s="35"/>
      <c r="S762" s="35"/>
      <c r="T762" s="35"/>
      <c r="U762" s="20"/>
      <c r="V762" s="28"/>
      <c r="CM762"/>
      <c r="CN762"/>
      <c r="CO762"/>
      <c r="CP762"/>
      <c r="CQ762"/>
      <c r="CR762"/>
      <c r="CS762"/>
      <c r="CT762"/>
      <c r="CU762"/>
      <c r="CV762"/>
      <c r="CW762"/>
      <c r="CX762"/>
      <c r="CY762"/>
    </row>
    <row r="763" spans="2:103" s="1" customFormat="1" x14ac:dyDescent="0.25">
      <c r="B763" s="25"/>
      <c r="C763" s="32"/>
      <c r="D763" s="20"/>
      <c r="E763" s="34"/>
      <c r="F763" s="47"/>
      <c r="G763" s="1651"/>
      <c r="H763" s="1652"/>
      <c r="I763" s="1652"/>
      <c r="J763" s="1652"/>
      <c r="K763" s="168"/>
      <c r="L763" s="168"/>
      <c r="M763" s="35"/>
      <c r="N763" s="35"/>
      <c r="O763" s="35"/>
      <c r="P763" s="35"/>
      <c r="Q763" s="35"/>
      <c r="R763" s="35"/>
      <c r="S763" s="35"/>
      <c r="T763" s="35"/>
      <c r="U763" s="20"/>
      <c r="V763" s="28"/>
      <c r="CM763"/>
      <c r="CN763"/>
      <c r="CO763"/>
      <c r="CP763"/>
      <c r="CQ763"/>
      <c r="CR763"/>
      <c r="CS763"/>
      <c r="CT763"/>
      <c r="CU763"/>
      <c r="CV763"/>
      <c r="CW763"/>
      <c r="CX763"/>
      <c r="CY763"/>
    </row>
    <row r="764" spans="2:103" s="1" customFormat="1" x14ac:dyDescent="0.25">
      <c r="B764" s="25"/>
      <c r="C764" s="32"/>
      <c r="D764" s="20"/>
      <c r="E764" s="34"/>
      <c r="F764" s="47"/>
      <c r="G764" s="1651"/>
      <c r="H764" s="1652"/>
      <c r="I764" s="1652"/>
      <c r="J764" s="1652"/>
      <c r="K764" s="168"/>
      <c r="L764" s="168"/>
      <c r="M764" s="35"/>
      <c r="N764" s="35"/>
      <c r="O764" s="35"/>
      <c r="P764" s="35"/>
      <c r="Q764" s="35"/>
      <c r="R764" s="35"/>
      <c r="S764" s="35"/>
      <c r="T764" s="35"/>
      <c r="U764" s="20"/>
      <c r="V764" s="28"/>
      <c r="CM764"/>
      <c r="CN764"/>
      <c r="CO764"/>
      <c r="CP764"/>
      <c r="CQ764"/>
      <c r="CR764"/>
      <c r="CS764"/>
      <c r="CT764"/>
      <c r="CU764"/>
      <c r="CV764"/>
      <c r="CW764"/>
      <c r="CX764"/>
      <c r="CY764"/>
    </row>
    <row r="765" spans="2:103" s="1" customFormat="1" x14ac:dyDescent="0.25">
      <c r="B765" s="25"/>
      <c r="C765" s="32"/>
      <c r="D765" s="20"/>
      <c r="E765" s="34"/>
      <c r="F765" s="47"/>
      <c r="G765" s="1651"/>
      <c r="H765" s="1652"/>
      <c r="I765" s="1652"/>
      <c r="J765" s="1652"/>
      <c r="K765" s="168"/>
      <c r="L765" s="168"/>
      <c r="M765" s="35"/>
      <c r="N765" s="35"/>
      <c r="O765" s="35"/>
      <c r="P765" s="35"/>
      <c r="Q765" s="35"/>
      <c r="R765" s="35"/>
      <c r="S765" s="35"/>
      <c r="T765" s="35"/>
      <c r="U765" s="20"/>
      <c r="V765" s="28"/>
      <c r="CM765"/>
      <c r="CN765"/>
      <c r="CO765"/>
      <c r="CP765"/>
      <c r="CQ765"/>
      <c r="CR765"/>
      <c r="CS765"/>
      <c r="CT765"/>
      <c r="CU765"/>
      <c r="CV765"/>
      <c r="CW765"/>
      <c r="CX765"/>
      <c r="CY765"/>
    </row>
    <row r="766" spans="2:103" x14ac:dyDescent="0.25">
      <c r="B766" s="25"/>
      <c r="C766" s="32"/>
      <c r="D766" s="20"/>
      <c r="E766" s="34"/>
      <c r="F766" s="47"/>
      <c r="G766" s="1651"/>
      <c r="H766" s="1652"/>
      <c r="I766" s="1652"/>
      <c r="J766" s="1652"/>
      <c r="K766" s="168"/>
      <c r="L766" s="168"/>
      <c r="M766" s="35"/>
      <c r="N766" s="35"/>
      <c r="O766" s="35"/>
      <c r="P766" s="35"/>
      <c r="Q766" s="35"/>
      <c r="R766" s="35"/>
      <c r="S766" s="35"/>
      <c r="T766" s="35"/>
      <c r="U766" s="20"/>
      <c r="V766" s="28"/>
    </row>
    <row r="767" spans="2:103" s="42" customFormat="1" x14ac:dyDescent="0.25">
      <c r="B767" s="25"/>
      <c r="C767" s="38"/>
      <c r="D767" s="20"/>
      <c r="E767" s="22"/>
      <c r="F767" s="49"/>
      <c r="G767" s="1651"/>
      <c r="H767" s="1652"/>
      <c r="I767" s="1652"/>
      <c r="J767" s="1652"/>
      <c r="K767" s="168"/>
      <c r="L767" s="168"/>
      <c r="M767" s="27"/>
      <c r="N767" s="27"/>
      <c r="O767" s="35"/>
      <c r="P767" s="35"/>
      <c r="Q767" s="35"/>
      <c r="R767" s="35"/>
      <c r="S767" s="35"/>
      <c r="T767" s="35"/>
      <c r="U767" s="20"/>
      <c r="V767" s="28"/>
      <c r="W767" s="41"/>
      <c r="X767" s="41"/>
      <c r="Y767" s="41"/>
      <c r="Z767" s="41"/>
      <c r="AA767" s="41"/>
      <c r="AB767" s="41"/>
      <c r="AC767" s="41"/>
      <c r="AD767" s="41"/>
      <c r="AE767" s="41"/>
      <c r="AF767" s="41"/>
      <c r="AG767" s="41"/>
      <c r="AH767" s="41"/>
      <c r="AI767" s="41"/>
      <c r="AJ767" s="41"/>
      <c r="AK767" s="41"/>
      <c r="AL767" s="41"/>
      <c r="AM767" s="41"/>
      <c r="AN767" s="41"/>
      <c r="AO767" s="41"/>
      <c r="AP767" s="41"/>
      <c r="AQ767" s="41"/>
      <c r="AR767" s="41"/>
      <c r="AS767" s="41"/>
      <c r="AT767" s="41"/>
      <c r="AU767" s="41"/>
      <c r="AV767" s="41"/>
      <c r="AW767" s="41"/>
      <c r="AX767" s="41"/>
      <c r="AY767" s="41"/>
      <c r="AZ767" s="41"/>
      <c r="BA767" s="41"/>
      <c r="BB767" s="41"/>
      <c r="BC767" s="41"/>
      <c r="BD767" s="41"/>
      <c r="BE767" s="41"/>
      <c r="BF767" s="41"/>
      <c r="BG767" s="41"/>
      <c r="BH767" s="41"/>
      <c r="BI767" s="41"/>
      <c r="BJ767" s="41"/>
      <c r="BK767" s="41"/>
      <c r="BL767" s="41"/>
      <c r="BM767" s="41"/>
      <c r="BN767" s="41"/>
      <c r="BO767" s="41"/>
      <c r="BP767" s="41"/>
      <c r="BQ767" s="41"/>
      <c r="BR767" s="41"/>
      <c r="BS767" s="41"/>
      <c r="BT767" s="41"/>
      <c r="BU767" s="41"/>
      <c r="BV767" s="41"/>
      <c r="BW767" s="41"/>
      <c r="BX767" s="41"/>
      <c r="BY767" s="41"/>
      <c r="BZ767" s="41"/>
      <c r="CA767" s="41"/>
      <c r="CB767" s="41"/>
      <c r="CC767" s="41"/>
      <c r="CD767" s="41"/>
      <c r="CE767" s="41"/>
      <c r="CF767" s="41"/>
      <c r="CG767" s="41"/>
      <c r="CH767" s="41"/>
      <c r="CI767" s="41"/>
      <c r="CJ767" s="41"/>
      <c r="CK767" s="41"/>
      <c r="CL767" s="41"/>
    </row>
    <row r="768" spans="2:103" x14ac:dyDescent="0.25">
      <c r="B768" s="25"/>
      <c r="C768" s="38"/>
      <c r="D768" s="20"/>
      <c r="E768" s="34"/>
      <c r="F768" s="47"/>
      <c r="G768" s="1651"/>
      <c r="H768" s="1652"/>
      <c r="I768" s="1652"/>
      <c r="J768" s="1652"/>
      <c r="K768" s="168"/>
      <c r="L768" s="168"/>
      <c r="M768" s="35"/>
      <c r="N768" s="35"/>
      <c r="O768" s="35"/>
      <c r="P768" s="35"/>
      <c r="Q768" s="35"/>
      <c r="R768" s="35"/>
      <c r="S768" s="35"/>
      <c r="T768" s="35"/>
      <c r="U768" s="20"/>
      <c r="V768" s="28"/>
    </row>
    <row r="769" spans="2:103" x14ac:dyDescent="0.25">
      <c r="B769" s="25"/>
      <c r="C769" s="32"/>
      <c r="D769" s="20"/>
      <c r="E769" s="34"/>
      <c r="F769" s="47"/>
      <c r="G769" s="1651"/>
      <c r="H769" s="1652"/>
      <c r="I769" s="1652"/>
      <c r="J769" s="1652"/>
      <c r="K769" s="168"/>
      <c r="L769" s="168"/>
      <c r="M769" s="35"/>
      <c r="N769" s="35"/>
      <c r="O769" s="35"/>
      <c r="P769" s="35"/>
      <c r="Q769" s="35"/>
      <c r="R769" s="35"/>
      <c r="S769" s="35"/>
      <c r="T769" s="35"/>
      <c r="U769" s="20"/>
      <c r="V769" s="28"/>
    </row>
    <row r="770" spans="2:103" x14ac:dyDescent="0.25">
      <c r="B770" s="25"/>
      <c r="C770" s="32"/>
      <c r="D770" s="20"/>
      <c r="E770" s="34"/>
      <c r="F770" s="47"/>
      <c r="G770" s="1651"/>
      <c r="H770" s="1652"/>
      <c r="I770" s="1652"/>
      <c r="J770" s="1652"/>
      <c r="K770" s="168"/>
      <c r="L770" s="168"/>
      <c r="M770" s="35"/>
      <c r="N770" s="35"/>
      <c r="O770" s="35"/>
      <c r="P770" s="35"/>
      <c r="Q770" s="35"/>
      <c r="R770" s="35"/>
      <c r="S770" s="35"/>
      <c r="T770" s="35"/>
      <c r="U770" s="20"/>
      <c r="V770" s="28"/>
    </row>
    <row r="771" spans="2:103" x14ac:dyDescent="0.25">
      <c r="B771" s="25"/>
      <c r="C771" s="32"/>
      <c r="D771" s="20"/>
      <c r="E771" s="34"/>
      <c r="F771" s="47"/>
      <c r="G771" s="1651"/>
      <c r="H771" s="1652"/>
      <c r="I771" s="1652"/>
      <c r="J771" s="1652"/>
      <c r="K771" s="168"/>
      <c r="L771" s="168"/>
      <c r="M771" s="35"/>
      <c r="N771" s="35"/>
      <c r="O771" s="35"/>
      <c r="P771" s="35"/>
      <c r="Q771" s="35"/>
      <c r="R771" s="35"/>
      <c r="S771" s="35"/>
      <c r="T771" s="35"/>
      <c r="U771" s="20"/>
      <c r="V771" s="28"/>
    </row>
    <row r="772" spans="2:103" x14ac:dyDescent="0.25">
      <c r="B772" s="25"/>
      <c r="C772" s="32"/>
      <c r="D772" s="20"/>
      <c r="E772" s="34"/>
      <c r="F772" s="47"/>
      <c r="G772" s="1651"/>
      <c r="H772" s="1652"/>
      <c r="I772" s="1652"/>
      <c r="J772" s="1652"/>
      <c r="K772" s="168"/>
      <c r="L772" s="168"/>
      <c r="M772" s="35"/>
      <c r="N772" s="35"/>
      <c r="O772" s="35"/>
      <c r="P772" s="35"/>
      <c r="Q772" s="35"/>
      <c r="R772" s="35"/>
      <c r="S772" s="35"/>
      <c r="T772" s="35"/>
      <c r="U772" s="20"/>
      <c r="V772" s="28"/>
    </row>
    <row r="773" spans="2:103" x14ac:dyDescent="0.25">
      <c r="B773" s="25"/>
      <c r="C773" s="32"/>
      <c r="D773" s="20"/>
      <c r="E773" s="34"/>
      <c r="F773" s="47"/>
      <c r="G773" s="1651"/>
      <c r="H773" s="1652"/>
      <c r="I773" s="1652"/>
      <c r="J773" s="1652"/>
      <c r="K773" s="168"/>
      <c r="L773" s="168"/>
      <c r="M773" s="35"/>
      <c r="N773" s="35"/>
      <c r="O773" s="35"/>
      <c r="P773" s="35"/>
      <c r="Q773" s="35"/>
      <c r="R773" s="35"/>
      <c r="S773" s="35"/>
      <c r="T773" s="35"/>
      <c r="U773" s="20"/>
      <c r="V773" s="28"/>
    </row>
    <row r="774" spans="2:103" x14ac:dyDescent="0.25">
      <c r="B774" s="25"/>
      <c r="C774" s="32"/>
      <c r="D774" s="20"/>
      <c r="E774" s="34"/>
      <c r="F774" s="47"/>
      <c r="G774" s="1651"/>
      <c r="H774" s="1652"/>
      <c r="I774" s="1652"/>
      <c r="J774" s="1652"/>
      <c r="K774" s="168"/>
      <c r="L774" s="168"/>
      <c r="M774" s="35"/>
      <c r="N774" s="35"/>
      <c r="O774" s="35"/>
      <c r="P774" s="35"/>
      <c r="Q774" s="35"/>
      <c r="R774" s="35"/>
      <c r="S774" s="35"/>
      <c r="T774" s="35"/>
      <c r="U774" s="20"/>
      <c r="V774" s="28"/>
    </row>
    <row r="775" spans="2:103" x14ac:dyDescent="0.25">
      <c r="B775" s="25"/>
      <c r="C775" s="32"/>
      <c r="D775" s="20"/>
      <c r="E775" s="34"/>
      <c r="F775" s="47"/>
      <c r="G775" s="1651"/>
      <c r="H775" s="1652"/>
      <c r="I775" s="1652"/>
      <c r="J775" s="1652"/>
      <c r="K775" s="168"/>
      <c r="L775" s="168"/>
      <c r="M775" s="35"/>
      <c r="N775" s="35"/>
      <c r="O775" s="35"/>
      <c r="P775" s="35"/>
      <c r="Q775" s="35"/>
      <c r="R775" s="35"/>
      <c r="S775" s="35"/>
      <c r="T775" s="35"/>
      <c r="U775" s="20"/>
      <c r="V775" s="28"/>
    </row>
    <row r="776" spans="2:103" x14ac:dyDescent="0.25">
      <c r="B776" s="25"/>
      <c r="C776" s="32"/>
      <c r="D776" s="20"/>
      <c r="E776" s="34"/>
      <c r="F776" s="47"/>
      <c r="G776" s="1651"/>
      <c r="H776" s="1652"/>
      <c r="I776" s="1652"/>
      <c r="J776" s="1652"/>
      <c r="K776" s="168"/>
      <c r="L776" s="168"/>
      <c r="M776" s="35"/>
      <c r="N776" s="35"/>
      <c r="O776" s="35"/>
      <c r="P776" s="35"/>
      <c r="Q776" s="35"/>
      <c r="R776" s="35"/>
      <c r="S776" s="35"/>
      <c r="T776" s="35"/>
      <c r="U776" s="20"/>
      <c r="V776" s="28"/>
    </row>
    <row r="777" spans="2:103" x14ac:dyDescent="0.25">
      <c r="B777" s="25"/>
      <c r="C777" s="32"/>
      <c r="D777" s="20"/>
      <c r="E777" s="34"/>
      <c r="F777" s="47"/>
      <c r="G777" s="1651"/>
      <c r="H777" s="1652"/>
      <c r="I777" s="1652"/>
      <c r="J777" s="1652"/>
      <c r="K777" s="168"/>
      <c r="L777" s="168"/>
      <c r="M777" s="35"/>
      <c r="N777" s="35"/>
      <c r="O777" s="35"/>
      <c r="P777" s="35"/>
      <c r="Q777" s="35"/>
      <c r="R777" s="35"/>
      <c r="S777" s="35"/>
      <c r="T777" s="35"/>
      <c r="U777" s="20"/>
      <c r="V777" s="28"/>
    </row>
    <row r="778" spans="2:103" x14ac:dyDescent="0.25">
      <c r="B778" s="25"/>
      <c r="C778" s="32"/>
      <c r="D778" s="20"/>
      <c r="E778" s="34"/>
      <c r="F778" s="47"/>
      <c r="G778" s="1651"/>
      <c r="H778" s="1652"/>
      <c r="I778" s="1652"/>
      <c r="J778" s="1652"/>
      <c r="K778" s="168"/>
      <c r="L778" s="168"/>
      <c r="M778" s="35"/>
      <c r="N778" s="35"/>
      <c r="O778" s="35"/>
      <c r="P778" s="35"/>
      <c r="Q778" s="35"/>
      <c r="R778" s="35"/>
      <c r="S778" s="35"/>
      <c r="T778" s="35"/>
      <c r="U778" s="20"/>
      <c r="V778" s="28"/>
    </row>
    <row r="779" spans="2:103" x14ac:dyDescent="0.25">
      <c r="B779" s="25"/>
      <c r="C779" s="32"/>
      <c r="D779" s="20"/>
      <c r="E779" s="34"/>
      <c r="F779" s="47"/>
      <c r="G779" s="1651"/>
      <c r="H779" s="1652"/>
      <c r="I779" s="1652"/>
      <c r="J779" s="1652"/>
      <c r="K779" s="168"/>
      <c r="L779" s="168"/>
      <c r="M779" s="35"/>
      <c r="N779" s="35"/>
      <c r="O779" s="35"/>
      <c r="P779" s="35"/>
      <c r="Q779" s="35"/>
      <c r="R779" s="35"/>
      <c r="S779" s="35"/>
      <c r="T779" s="35"/>
      <c r="U779" s="20"/>
      <c r="V779" s="28"/>
    </row>
    <row r="780" spans="2:103" x14ac:dyDescent="0.25">
      <c r="B780" s="25"/>
      <c r="C780" s="32"/>
      <c r="D780" s="20"/>
      <c r="E780" s="34"/>
      <c r="F780" s="47"/>
      <c r="G780" s="1651"/>
      <c r="H780" s="1652"/>
      <c r="I780" s="1652"/>
      <c r="J780" s="1652"/>
      <c r="K780" s="168"/>
      <c r="L780" s="168"/>
      <c r="M780" s="35"/>
      <c r="N780" s="35"/>
      <c r="O780" s="35"/>
      <c r="P780" s="35"/>
      <c r="Q780" s="35"/>
      <c r="R780" s="35"/>
      <c r="S780" s="35"/>
      <c r="T780" s="35"/>
      <c r="U780" s="20"/>
      <c r="V780" s="28"/>
    </row>
    <row r="781" spans="2:103" x14ac:dyDescent="0.25">
      <c r="B781" s="25"/>
      <c r="C781" s="32"/>
      <c r="D781" s="20"/>
      <c r="E781" s="34"/>
      <c r="F781" s="47"/>
      <c r="G781" s="1651"/>
      <c r="H781" s="1652"/>
      <c r="I781" s="1652"/>
      <c r="J781" s="1652"/>
      <c r="K781" s="168"/>
      <c r="L781" s="168"/>
      <c r="M781" s="35"/>
      <c r="N781" s="35"/>
      <c r="O781" s="35"/>
      <c r="P781" s="35"/>
      <c r="Q781" s="35"/>
      <c r="R781" s="35"/>
      <c r="S781" s="35"/>
      <c r="T781" s="35"/>
      <c r="U781" s="20"/>
      <c r="V781" s="28"/>
    </row>
    <row r="782" spans="2:103" s="1" customFormat="1" x14ac:dyDescent="0.25">
      <c r="B782" s="25"/>
      <c r="C782" s="32"/>
      <c r="D782" s="20"/>
      <c r="E782" s="34"/>
      <c r="F782" s="47"/>
      <c r="G782" s="1651"/>
      <c r="H782" s="1652"/>
      <c r="I782" s="1652"/>
      <c r="J782" s="1652"/>
      <c r="K782" s="168"/>
      <c r="L782" s="168"/>
      <c r="M782" s="35"/>
      <c r="N782" s="35"/>
      <c r="O782" s="35"/>
      <c r="P782" s="35"/>
      <c r="Q782" s="35"/>
      <c r="R782" s="35"/>
      <c r="S782" s="35"/>
      <c r="T782" s="35"/>
      <c r="U782" s="20"/>
      <c r="V782" s="28"/>
      <c r="CM782"/>
      <c r="CN782"/>
      <c r="CO782"/>
      <c r="CP782"/>
      <c r="CQ782"/>
      <c r="CR782"/>
      <c r="CS782"/>
      <c r="CT782"/>
      <c r="CU782"/>
      <c r="CV782"/>
      <c r="CW782"/>
      <c r="CX782"/>
      <c r="CY782"/>
    </row>
    <row r="783" spans="2:103" s="1" customFormat="1" x14ac:dyDescent="0.25">
      <c r="B783" s="25"/>
      <c r="C783" s="32"/>
      <c r="D783" s="20"/>
      <c r="E783" s="34"/>
      <c r="F783" s="47"/>
      <c r="G783" s="1651"/>
      <c r="H783" s="1652"/>
      <c r="I783" s="1652"/>
      <c r="J783" s="1652"/>
      <c r="K783" s="168"/>
      <c r="L783" s="168"/>
      <c r="M783" s="35"/>
      <c r="N783" s="35"/>
      <c r="O783" s="35"/>
      <c r="P783" s="35"/>
      <c r="Q783" s="35"/>
      <c r="R783" s="35"/>
      <c r="S783" s="35"/>
      <c r="T783" s="35"/>
      <c r="U783" s="20"/>
      <c r="V783" s="28"/>
      <c r="CM783"/>
      <c r="CN783"/>
      <c r="CO783"/>
      <c r="CP783"/>
      <c r="CQ783"/>
      <c r="CR783"/>
      <c r="CS783"/>
      <c r="CT783"/>
      <c r="CU783"/>
      <c r="CV783"/>
      <c r="CW783"/>
      <c r="CX783"/>
      <c r="CY783"/>
    </row>
    <row r="784" spans="2:103" s="1" customFormat="1" x14ac:dyDescent="0.25">
      <c r="B784" s="25"/>
      <c r="C784" s="32"/>
      <c r="D784" s="20"/>
      <c r="E784" s="34"/>
      <c r="F784" s="47"/>
      <c r="G784" s="1651"/>
      <c r="H784" s="1652"/>
      <c r="I784" s="1652"/>
      <c r="J784" s="1652"/>
      <c r="K784" s="168"/>
      <c r="L784" s="168"/>
      <c r="M784" s="35"/>
      <c r="N784" s="35"/>
      <c r="O784" s="35"/>
      <c r="P784" s="35"/>
      <c r="Q784" s="35"/>
      <c r="R784" s="35"/>
      <c r="S784" s="35"/>
      <c r="T784" s="35"/>
      <c r="U784" s="20"/>
      <c r="V784" s="28"/>
      <c r="CM784"/>
      <c r="CN784"/>
      <c r="CO784"/>
      <c r="CP784"/>
      <c r="CQ784"/>
      <c r="CR784"/>
      <c r="CS784"/>
      <c r="CT784"/>
      <c r="CU784"/>
      <c r="CV784"/>
      <c r="CW784"/>
      <c r="CX784"/>
      <c r="CY784"/>
    </row>
    <row r="785" spans="2:103" s="1" customFormat="1" x14ac:dyDescent="0.25">
      <c r="B785" s="25"/>
      <c r="C785" s="32"/>
      <c r="D785" s="20"/>
      <c r="E785" s="34"/>
      <c r="F785" s="47"/>
      <c r="G785" s="1651"/>
      <c r="H785" s="1652"/>
      <c r="I785" s="1652"/>
      <c r="J785" s="1652"/>
      <c r="K785" s="168"/>
      <c r="L785" s="168"/>
      <c r="M785" s="35"/>
      <c r="N785" s="35"/>
      <c r="O785" s="35"/>
      <c r="P785" s="35"/>
      <c r="Q785" s="35"/>
      <c r="R785" s="35"/>
      <c r="S785" s="35"/>
      <c r="T785" s="35"/>
      <c r="U785" s="20"/>
      <c r="V785" s="28"/>
      <c r="CM785"/>
      <c r="CN785"/>
      <c r="CO785"/>
      <c r="CP785"/>
      <c r="CQ785"/>
      <c r="CR785"/>
      <c r="CS785"/>
      <c r="CT785"/>
      <c r="CU785"/>
      <c r="CV785"/>
      <c r="CW785"/>
      <c r="CX785"/>
      <c r="CY785"/>
    </row>
    <row r="786" spans="2:103" s="1" customFormat="1" x14ac:dyDescent="0.25">
      <c r="B786" s="25"/>
      <c r="C786" s="32"/>
      <c r="D786" s="20"/>
      <c r="E786" s="34"/>
      <c r="F786" s="47"/>
      <c r="G786" s="1651"/>
      <c r="H786" s="1652"/>
      <c r="I786" s="1652"/>
      <c r="J786" s="1652"/>
      <c r="K786" s="168"/>
      <c r="L786" s="168"/>
      <c r="M786" s="35"/>
      <c r="N786" s="35"/>
      <c r="O786" s="35"/>
      <c r="P786" s="35"/>
      <c r="Q786" s="35"/>
      <c r="R786" s="35"/>
      <c r="S786" s="35"/>
      <c r="T786" s="35"/>
      <c r="U786" s="20"/>
      <c r="V786" s="28"/>
      <c r="CM786"/>
      <c r="CN786"/>
      <c r="CO786"/>
      <c r="CP786"/>
      <c r="CQ786"/>
      <c r="CR786"/>
      <c r="CS786"/>
      <c r="CT786"/>
      <c r="CU786"/>
      <c r="CV786"/>
      <c r="CW786"/>
      <c r="CX786"/>
      <c r="CY786"/>
    </row>
    <row r="787" spans="2:103" s="1" customFormat="1" x14ac:dyDescent="0.25">
      <c r="B787" s="25"/>
      <c r="C787" s="32"/>
      <c r="D787" s="20"/>
      <c r="E787" s="34"/>
      <c r="F787" s="47"/>
      <c r="G787" s="1651"/>
      <c r="H787" s="1652"/>
      <c r="I787" s="1652"/>
      <c r="J787" s="1652"/>
      <c r="K787" s="168"/>
      <c r="L787" s="168"/>
      <c r="M787" s="35"/>
      <c r="N787" s="35"/>
      <c r="O787" s="35"/>
      <c r="P787" s="35"/>
      <c r="Q787" s="35"/>
      <c r="R787" s="35"/>
      <c r="S787" s="35"/>
      <c r="T787" s="35"/>
      <c r="U787" s="20"/>
      <c r="V787" s="28"/>
      <c r="CM787"/>
      <c r="CN787"/>
      <c r="CO787"/>
      <c r="CP787"/>
      <c r="CQ787"/>
      <c r="CR787"/>
      <c r="CS787"/>
      <c r="CT787"/>
      <c r="CU787"/>
      <c r="CV787"/>
      <c r="CW787"/>
      <c r="CX787"/>
      <c r="CY787"/>
    </row>
    <row r="788" spans="2:103" s="1" customFormat="1" x14ac:dyDescent="0.25">
      <c r="B788" s="25"/>
      <c r="C788" s="32"/>
      <c r="D788" s="20"/>
      <c r="E788" s="34"/>
      <c r="F788" s="47"/>
      <c r="G788" s="1651"/>
      <c r="H788" s="1652"/>
      <c r="I788" s="1652"/>
      <c r="J788" s="1652"/>
      <c r="K788" s="168"/>
      <c r="L788" s="168"/>
      <c r="M788" s="35"/>
      <c r="N788" s="35"/>
      <c r="O788" s="35"/>
      <c r="P788" s="35"/>
      <c r="Q788" s="35"/>
      <c r="R788" s="35"/>
      <c r="S788" s="35"/>
      <c r="T788" s="35"/>
      <c r="U788" s="20"/>
      <c r="V788" s="28"/>
      <c r="CM788"/>
      <c r="CN788"/>
      <c r="CO788"/>
      <c r="CP788"/>
      <c r="CQ788"/>
      <c r="CR788"/>
      <c r="CS788"/>
      <c r="CT788"/>
      <c r="CU788"/>
      <c r="CV788"/>
      <c r="CW788"/>
      <c r="CX788"/>
      <c r="CY788"/>
    </row>
    <row r="789" spans="2:103" s="1" customFormat="1" x14ac:dyDescent="0.25">
      <c r="B789" s="25"/>
      <c r="C789" s="32"/>
      <c r="D789" s="20"/>
      <c r="E789" s="34"/>
      <c r="F789" s="47"/>
      <c r="G789" s="1651"/>
      <c r="H789" s="1652"/>
      <c r="I789" s="1652"/>
      <c r="J789" s="1652"/>
      <c r="K789" s="168"/>
      <c r="L789" s="168"/>
      <c r="M789" s="35"/>
      <c r="N789" s="35"/>
      <c r="O789" s="35"/>
      <c r="P789" s="35"/>
      <c r="Q789" s="35"/>
      <c r="R789" s="35"/>
      <c r="S789" s="35"/>
      <c r="T789" s="35"/>
      <c r="U789" s="20"/>
      <c r="V789" s="28"/>
      <c r="CM789"/>
      <c r="CN789"/>
      <c r="CO789"/>
      <c r="CP789"/>
      <c r="CQ789"/>
      <c r="CR789"/>
      <c r="CS789"/>
      <c r="CT789"/>
      <c r="CU789"/>
      <c r="CV789"/>
      <c r="CW789"/>
      <c r="CX789"/>
      <c r="CY789"/>
    </row>
    <row r="790" spans="2:103" s="1" customFormat="1" x14ac:dyDescent="0.25">
      <c r="B790" s="25"/>
      <c r="C790" s="32"/>
      <c r="D790" s="20"/>
      <c r="E790" s="34"/>
      <c r="F790" s="47"/>
      <c r="G790" s="1651"/>
      <c r="H790" s="1652"/>
      <c r="I790" s="1652"/>
      <c r="J790" s="1652"/>
      <c r="K790" s="168"/>
      <c r="L790" s="168"/>
      <c r="M790" s="35"/>
      <c r="N790" s="35"/>
      <c r="O790" s="35"/>
      <c r="P790" s="35"/>
      <c r="Q790" s="35"/>
      <c r="R790" s="35"/>
      <c r="S790" s="35"/>
      <c r="T790" s="35"/>
      <c r="U790" s="20"/>
      <c r="V790" s="28"/>
      <c r="CM790"/>
      <c r="CN790"/>
      <c r="CO790"/>
      <c r="CP790"/>
      <c r="CQ790"/>
      <c r="CR790"/>
      <c r="CS790"/>
      <c r="CT790"/>
      <c r="CU790"/>
      <c r="CV790"/>
      <c r="CW790"/>
      <c r="CX790"/>
      <c r="CY790"/>
    </row>
    <row r="791" spans="2:103" s="1" customFormat="1" x14ac:dyDescent="0.25">
      <c r="B791" s="25"/>
      <c r="C791" s="32"/>
      <c r="D791" s="20"/>
      <c r="E791" s="34"/>
      <c r="F791" s="47"/>
      <c r="G791" s="1651"/>
      <c r="H791" s="1652"/>
      <c r="I791" s="1652"/>
      <c r="J791" s="1652"/>
      <c r="K791" s="168"/>
      <c r="L791" s="168"/>
      <c r="M791" s="35"/>
      <c r="N791" s="35"/>
      <c r="O791" s="35"/>
      <c r="P791" s="35"/>
      <c r="Q791" s="35"/>
      <c r="R791" s="35"/>
      <c r="S791" s="35"/>
      <c r="T791" s="35"/>
      <c r="U791" s="20"/>
      <c r="V791" s="28"/>
      <c r="CM791"/>
      <c r="CN791"/>
      <c r="CO791"/>
      <c r="CP791"/>
      <c r="CQ791"/>
      <c r="CR791"/>
      <c r="CS791"/>
      <c r="CT791"/>
      <c r="CU791"/>
      <c r="CV791"/>
      <c r="CW791"/>
      <c r="CX791"/>
      <c r="CY791"/>
    </row>
    <row r="792" spans="2:103" s="1" customFormat="1" x14ac:dyDescent="0.25">
      <c r="B792" s="25"/>
      <c r="C792" s="32"/>
      <c r="D792" s="20"/>
      <c r="E792" s="34"/>
      <c r="F792" s="47"/>
      <c r="G792" s="1651"/>
      <c r="H792" s="1652"/>
      <c r="I792" s="1652"/>
      <c r="J792" s="1652"/>
      <c r="K792" s="168"/>
      <c r="L792" s="168"/>
      <c r="M792" s="35"/>
      <c r="N792" s="35"/>
      <c r="O792" s="35"/>
      <c r="P792" s="35"/>
      <c r="Q792" s="35"/>
      <c r="R792" s="35"/>
      <c r="S792" s="35"/>
      <c r="T792" s="35"/>
      <c r="U792" s="20"/>
      <c r="V792" s="28"/>
      <c r="CM792"/>
      <c r="CN792"/>
      <c r="CO792"/>
      <c r="CP792"/>
      <c r="CQ792"/>
      <c r="CR792"/>
      <c r="CS792"/>
      <c r="CT792"/>
      <c r="CU792"/>
      <c r="CV792"/>
      <c r="CW792"/>
      <c r="CX792"/>
      <c r="CY792"/>
    </row>
    <row r="793" spans="2:103" s="1" customFormat="1" x14ac:dyDescent="0.25">
      <c r="B793" s="25"/>
      <c r="C793" s="32"/>
      <c r="D793" s="20"/>
      <c r="E793" s="34"/>
      <c r="F793" s="47"/>
      <c r="G793" s="1651"/>
      <c r="H793" s="1652"/>
      <c r="I793" s="1652"/>
      <c r="J793" s="1652"/>
      <c r="K793" s="168"/>
      <c r="L793" s="168"/>
      <c r="M793" s="35"/>
      <c r="N793" s="35"/>
      <c r="O793" s="35"/>
      <c r="P793" s="35"/>
      <c r="Q793" s="35"/>
      <c r="R793" s="35"/>
      <c r="S793" s="35"/>
      <c r="T793" s="35"/>
      <c r="U793" s="20"/>
      <c r="V793" s="28"/>
      <c r="CM793"/>
      <c r="CN793"/>
      <c r="CO793"/>
      <c r="CP793"/>
      <c r="CQ793"/>
      <c r="CR793"/>
      <c r="CS793"/>
      <c r="CT793"/>
      <c r="CU793"/>
      <c r="CV793"/>
      <c r="CW793"/>
      <c r="CX793"/>
      <c r="CY793"/>
    </row>
    <row r="794" spans="2:103" s="1" customFormat="1" x14ac:dyDescent="0.25">
      <c r="B794" s="25"/>
      <c r="C794" s="32"/>
      <c r="D794" s="20"/>
      <c r="E794" s="34"/>
      <c r="F794" s="47"/>
      <c r="G794" s="1651"/>
      <c r="H794" s="1652"/>
      <c r="I794" s="1652"/>
      <c r="J794" s="1652"/>
      <c r="K794" s="168"/>
      <c r="L794" s="168"/>
      <c r="M794" s="35"/>
      <c r="N794" s="35"/>
      <c r="O794" s="35"/>
      <c r="P794" s="35"/>
      <c r="Q794" s="35"/>
      <c r="R794" s="35"/>
      <c r="S794" s="35"/>
      <c r="T794" s="35"/>
      <c r="U794" s="20"/>
      <c r="V794" s="28"/>
      <c r="CM794"/>
      <c r="CN794"/>
      <c r="CO794"/>
      <c r="CP794"/>
      <c r="CQ794"/>
      <c r="CR794"/>
      <c r="CS794"/>
      <c r="CT794"/>
      <c r="CU794"/>
      <c r="CV794"/>
      <c r="CW794"/>
      <c r="CX794"/>
      <c r="CY794"/>
    </row>
    <row r="795" spans="2:103" s="1" customFormat="1" x14ac:dyDescent="0.25">
      <c r="B795" s="25"/>
      <c r="C795" s="32"/>
      <c r="D795" s="20"/>
      <c r="E795" s="34"/>
      <c r="F795" s="47"/>
      <c r="G795" s="1651"/>
      <c r="H795" s="1652"/>
      <c r="I795" s="1652"/>
      <c r="J795" s="1652"/>
      <c r="K795" s="168"/>
      <c r="L795" s="168"/>
      <c r="M795" s="35"/>
      <c r="N795" s="35"/>
      <c r="O795" s="35"/>
      <c r="P795" s="35"/>
      <c r="Q795" s="35"/>
      <c r="R795" s="35"/>
      <c r="S795" s="35"/>
      <c r="T795" s="35"/>
      <c r="U795" s="20"/>
      <c r="V795" s="28"/>
      <c r="CM795"/>
      <c r="CN795"/>
      <c r="CO795"/>
      <c r="CP795"/>
      <c r="CQ795"/>
      <c r="CR795"/>
      <c r="CS795"/>
      <c r="CT795"/>
      <c r="CU795"/>
      <c r="CV795"/>
      <c r="CW795"/>
      <c r="CX795"/>
      <c r="CY795"/>
    </row>
    <row r="796" spans="2:103" s="1" customFormat="1" x14ac:dyDescent="0.25">
      <c r="B796" s="25"/>
      <c r="C796" s="32"/>
      <c r="D796" s="20"/>
      <c r="E796" s="34"/>
      <c r="F796" s="47"/>
      <c r="G796" s="1651"/>
      <c r="H796" s="1652"/>
      <c r="I796" s="1652"/>
      <c r="J796" s="1652"/>
      <c r="K796" s="168"/>
      <c r="L796" s="168"/>
      <c r="M796" s="35"/>
      <c r="N796" s="35"/>
      <c r="O796" s="35"/>
      <c r="P796" s="35"/>
      <c r="Q796" s="35"/>
      <c r="R796" s="35"/>
      <c r="S796" s="35"/>
      <c r="T796" s="35"/>
      <c r="U796" s="20"/>
      <c r="V796" s="28"/>
      <c r="CM796"/>
      <c r="CN796"/>
      <c r="CO796"/>
      <c r="CP796"/>
      <c r="CQ796"/>
      <c r="CR796"/>
      <c r="CS796"/>
      <c r="CT796"/>
      <c r="CU796"/>
      <c r="CV796"/>
      <c r="CW796"/>
      <c r="CX796"/>
      <c r="CY796"/>
    </row>
    <row r="797" spans="2:103" s="1" customFormat="1" x14ac:dyDescent="0.25">
      <c r="B797" s="25"/>
      <c r="C797" s="32"/>
      <c r="D797" s="20"/>
      <c r="E797" s="34"/>
      <c r="F797" s="47"/>
      <c r="G797" s="1651"/>
      <c r="H797" s="1652"/>
      <c r="I797" s="1652"/>
      <c r="J797" s="1652"/>
      <c r="K797" s="168"/>
      <c r="L797" s="168"/>
      <c r="M797" s="35"/>
      <c r="N797" s="35"/>
      <c r="O797" s="35"/>
      <c r="P797" s="35"/>
      <c r="Q797" s="35"/>
      <c r="R797" s="35"/>
      <c r="S797" s="35"/>
      <c r="T797" s="35"/>
      <c r="U797" s="20"/>
      <c r="V797" s="28"/>
      <c r="CM797"/>
      <c r="CN797"/>
      <c r="CO797"/>
      <c r="CP797"/>
      <c r="CQ797"/>
      <c r="CR797"/>
      <c r="CS797"/>
      <c r="CT797"/>
      <c r="CU797"/>
      <c r="CV797"/>
      <c r="CW797"/>
      <c r="CX797"/>
      <c r="CY797"/>
    </row>
    <row r="798" spans="2:103" s="1" customFormat="1" x14ac:dyDescent="0.25">
      <c r="B798" s="25"/>
      <c r="C798" s="32"/>
      <c r="D798" s="20"/>
      <c r="E798" s="34"/>
      <c r="F798" s="47"/>
      <c r="G798" s="1651"/>
      <c r="H798" s="1652"/>
      <c r="I798" s="1652"/>
      <c r="J798" s="1652"/>
      <c r="K798" s="168"/>
      <c r="L798" s="168"/>
      <c r="M798" s="35"/>
      <c r="N798" s="35"/>
      <c r="O798" s="35"/>
      <c r="P798" s="35"/>
      <c r="Q798" s="35"/>
      <c r="R798" s="35"/>
      <c r="S798" s="35"/>
      <c r="T798" s="35"/>
      <c r="U798" s="20"/>
      <c r="V798" s="28"/>
      <c r="CM798"/>
      <c r="CN798"/>
      <c r="CO798"/>
      <c r="CP798"/>
      <c r="CQ798"/>
      <c r="CR798"/>
      <c r="CS798"/>
      <c r="CT798"/>
      <c r="CU798"/>
      <c r="CV798"/>
      <c r="CW798"/>
      <c r="CX798"/>
      <c r="CY798"/>
    </row>
    <row r="799" spans="2:103" s="1" customFormat="1" x14ac:dyDescent="0.25">
      <c r="B799" s="25"/>
      <c r="C799" s="32"/>
      <c r="D799" s="20"/>
      <c r="E799" s="34"/>
      <c r="F799" s="47"/>
      <c r="G799" s="1651"/>
      <c r="H799" s="1652"/>
      <c r="I799" s="1652"/>
      <c r="J799" s="1652"/>
      <c r="K799" s="168"/>
      <c r="L799" s="168"/>
      <c r="M799" s="33"/>
      <c r="N799" s="33"/>
      <c r="O799" s="35"/>
      <c r="P799" s="35"/>
      <c r="Q799" s="35"/>
      <c r="R799" s="35"/>
      <c r="S799" s="35"/>
      <c r="T799" s="35"/>
      <c r="U799" s="20"/>
      <c r="V799" s="28"/>
      <c r="CM799"/>
      <c r="CN799"/>
      <c r="CO799"/>
      <c r="CP799"/>
      <c r="CQ799"/>
      <c r="CR799"/>
      <c r="CS799"/>
      <c r="CT799"/>
      <c r="CU799"/>
      <c r="CV799"/>
      <c r="CW799"/>
      <c r="CX799"/>
      <c r="CY799"/>
    </row>
    <row r="800" spans="2:103" s="1" customFormat="1" x14ac:dyDescent="0.25">
      <c r="B800" s="25"/>
      <c r="C800" s="32"/>
      <c r="D800" s="20"/>
      <c r="E800" s="34"/>
      <c r="F800" s="47"/>
      <c r="G800" s="1651"/>
      <c r="H800" s="1652"/>
      <c r="I800" s="1652"/>
      <c r="J800" s="1652"/>
      <c r="K800" s="168"/>
      <c r="L800" s="168"/>
      <c r="M800" s="33"/>
      <c r="N800" s="33"/>
      <c r="O800" s="35"/>
      <c r="P800" s="35"/>
      <c r="Q800" s="35"/>
      <c r="R800" s="35"/>
      <c r="S800" s="35"/>
      <c r="T800" s="35"/>
      <c r="U800" s="20"/>
      <c r="V800" s="28"/>
      <c r="CM800"/>
      <c r="CN800"/>
      <c r="CO800"/>
      <c r="CP800"/>
      <c r="CQ800"/>
      <c r="CR800"/>
      <c r="CS800"/>
      <c r="CT800"/>
      <c r="CU800"/>
      <c r="CV800"/>
      <c r="CW800"/>
      <c r="CX800"/>
      <c r="CY800"/>
    </row>
    <row r="801" spans="2:103" s="1" customFormat="1" x14ac:dyDescent="0.25">
      <c r="B801" s="25"/>
      <c r="C801" s="32"/>
      <c r="D801" s="20"/>
      <c r="E801" s="34"/>
      <c r="F801" s="47"/>
      <c r="G801" s="1651"/>
      <c r="H801" s="1652"/>
      <c r="I801" s="1652"/>
      <c r="J801" s="1652"/>
      <c r="K801" s="168"/>
      <c r="L801" s="168"/>
      <c r="M801" s="33"/>
      <c r="N801" s="33"/>
      <c r="O801" s="35"/>
      <c r="P801" s="35"/>
      <c r="Q801" s="35"/>
      <c r="R801" s="35"/>
      <c r="S801" s="35"/>
      <c r="T801" s="35"/>
      <c r="U801" s="20"/>
      <c r="V801" s="28"/>
      <c r="CM801"/>
      <c r="CN801"/>
      <c r="CO801"/>
      <c r="CP801"/>
      <c r="CQ801"/>
      <c r="CR801"/>
      <c r="CS801"/>
      <c r="CT801"/>
      <c r="CU801"/>
      <c r="CV801"/>
      <c r="CW801"/>
      <c r="CX801"/>
      <c r="CY801"/>
    </row>
    <row r="802" spans="2:103" s="1" customFormat="1" x14ac:dyDescent="0.25">
      <c r="B802" s="25"/>
      <c r="C802" s="32"/>
      <c r="D802" s="20"/>
      <c r="E802" s="34"/>
      <c r="F802" s="47"/>
      <c r="G802" s="1651"/>
      <c r="H802" s="1652"/>
      <c r="I802" s="1652"/>
      <c r="J802" s="1652"/>
      <c r="K802" s="168"/>
      <c r="L802" s="168"/>
      <c r="M802" s="33"/>
      <c r="N802" s="33"/>
      <c r="O802" s="35"/>
      <c r="P802" s="35"/>
      <c r="Q802" s="35"/>
      <c r="R802" s="35"/>
      <c r="S802" s="35"/>
      <c r="T802" s="35"/>
      <c r="U802" s="20"/>
      <c r="V802" s="28"/>
      <c r="CM802"/>
      <c r="CN802"/>
      <c r="CO802"/>
      <c r="CP802"/>
      <c r="CQ802"/>
      <c r="CR802"/>
      <c r="CS802"/>
      <c r="CT802"/>
      <c r="CU802"/>
      <c r="CV802"/>
      <c r="CW802"/>
      <c r="CX802"/>
      <c r="CY802"/>
    </row>
    <row r="803" spans="2:103" s="1" customFormat="1" x14ac:dyDescent="0.25">
      <c r="B803" s="25"/>
      <c r="C803" s="32"/>
      <c r="D803" s="20"/>
      <c r="E803" s="34"/>
      <c r="F803" s="47"/>
      <c r="G803" s="1651"/>
      <c r="H803" s="1652"/>
      <c r="I803" s="1652"/>
      <c r="J803" s="1652"/>
      <c r="K803" s="168"/>
      <c r="L803" s="168"/>
      <c r="M803" s="33"/>
      <c r="N803" s="33"/>
      <c r="O803" s="35"/>
      <c r="P803" s="35"/>
      <c r="Q803" s="35"/>
      <c r="R803" s="35"/>
      <c r="S803" s="35"/>
      <c r="T803" s="35"/>
      <c r="U803" s="20"/>
      <c r="V803" s="28"/>
      <c r="CM803"/>
      <c r="CN803"/>
      <c r="CO803"/>
      <c r="CP803"/>
      <c r="CQ803"/>
      <c r="CR803"/>
      <c r="CS803"/>
      <c r="CT803"/>
      <c r="CU803"/>
      <c r="CV803"/>
      <c r="CW803"/>
      <c r="CX803"/>
      <c r="CY803"/>
    </row>
    <row r="804" spans="2:103" s="1" customFormat="1" x14ac:dyDescent="0.25">
      <c r="B804" s="25"/>
      <c r="C804" s="32"/>
      <c r="D804" s="20"/>
      <c r="E804" s="34"/>
      <c r="F804" s="47"/>
      <c r="G804" s="1651"/>
      <c r="H804" s="1652"/>
      <c r="I804" s="1652"/>
      <c r="J804" s="1652"/>
      <c r="K804" s="168"/>
      <c r="L804" s="168"/>
      <c r="M804" s="33"/>
      <c r="N804" s="33"/>
      <c r="O804" s="35"/>
      <c r="P804" s="35"/>
      <c r="Q804" s="35"/>
      <c r="R804" s="35"/>
      <c r="S804" s="35"/>
      <c r="T804" s="35"/>
      <c r="U804" s="20"/>
      <c r="V804" s="28"/>
      <c r="CM804"/>
      <c r="CN804"/>
      <c r="CO804"/>
      <c r="CP804"/>
      <c r="CQ804"/>
      <c r="CR804"/>
      <c r="CS804"/>
      <c r="CT804"/>
      <c r="CU804"/>
      <c r="CV804"/>
      <c r="CW804"/>
      <c r="CX804"/>
      <c r="CY804"/>
    </row>
    <row r="805" spans="2:103" s="1" customFormat="1" x14ac:dyDescent="0.25">
      <c r="B805" s="25"/>
      <c r="C805" s="32"/>
      <c r="D805" s="20"/>
      <c r="E805" s="34"/>
      <c r="F805" s="47"/>
      <c r="G805" s="1651"/>
      <c r="H805" s="1652"/>
      <c r="I805" s="1652"/>
      <c r="J805" s="1652"/>
      <c r="K805" s="168"/>
      <c r="L805" s="168"/>
      <c r="M805" s="33"/>
      <c r="N805" s="33"/>
      <c r="O805" s="35"/>
      <c r="P805" s="35"/>
      <c r="Q805" s="35"/>
      <c r="R805" s="35"/>
      <c r="S805" s="35"/>
      <c r="T805" s="35"/>
      <c r="U805" s="20"/>
      <c r="V805" s="28"/>
      <c r="CM805"/>
      <c r="CN805"/>
      <c r="CO805"/>
      <c r="CP805"/>
      <c r="CQ805"/>
      <c r="CR805"/>
      <c r="CS805"/>
      <c r="CT805"/>
      <c r="CU805"/>
      <c r="CV805"/>
      <c r="CW805"/>
      <c r="CX805"/>
      <c r="CY805"/>
    </row>
    <row r="806" spans="2:103" s="1" customFormat="1" x14ac:dyDescent="0.25">
      <c r="B806" s="25"/>
      <c r="C806" s="32"/>
      <c r="D806" s="20"/>
      <c r="E806" s="34"/>
      <c r="F806" s="47"/>
      <c r="G806" s="1651"/>
      <c r="H806" s="1652"/>
      <c r="I806" s="1652"/>
      <c r="J806" s="1652"/>
      <c r="K806" s="168"/>
      <c r="L806" s="168"/>
      <c r="M806" s="33"/>
      <c r="N806" s="33"/>
      <c r="O806" s="35"/>
      <c r="P806" s="35"/>
      <c r="Q806" s="35"/>
      <c r="R806" s="35"/>
      <c r="S806" s="35"/>
      <c r="T806" s="35"/>
      <c r="U806" s="20"/>
      <c r="V806" s="28"/>
      <c r="CM806"/>
      <c r="CN806"/>
      <c r="CO806"/>
      <c r="CP806"/>
      <c r="CQ806"/>
      <c r="CR806"/>
      <c r="CS806"/>
      <c r="CT806"/>
      <c r="CU806"/>
      <c r="CV806"/>
      <c r="CW806"/>
      <c r="CX806"/>
      <c r="CY806"/>
    </row>
    <row r="807" spans="2:103" s="1" customFormat="1" x14ac:dyDescent="0.25">
      <c r="B807" s="25"/>
      <c r="C807" s="32"/>
      <c r="D807" s="20"/>
      <c r="E807" s="34"/>
      <c r="F807" s="47"/>
      <c r="G807" s="1651"/>
      <c r="H807" s="1652"/>
      <c r="I807" s="1652"/>
      <c r="J807" s="1652"/>
      <c r="K807" s="168"/>
      <c r="L807" s="168"/>
      <c r="M807" s="33"/>
      <c r="N807" s="33"/>
      <c r="O807" s="35"/>
      <c r="P807" s="35"/>
      <c r="Q807" s="35"/>
      <c r="R807" s="35"/>
      <c r="S807" s="35"/>
      <c r="T807" s="35"/>
      <c r="U807" s="20"/>
      <c r="V807" s="28"/>
      <c r="CM807"/>
      <c r="CN807"/>
      <c r="CO807"/>
      <c r="CP807"/>
      <c r="CQ807"/>
      <c r="CR807"/>
      <c r="CS807"/>
      <c r="CT807"/>
      <c r="CU807"/>
      <c r="CV807"/>
      <c r="CW807"/>
      <c r="CX807"/>
      <c r="CY807"/>
    </row>
    <row r="808" spans="2:103" s="1" customFormat="1" x14ac:dyDescent="0.25">
      <c r="B808" s="25"/>
      <c r="C808" s="32"/>
      <c r="D808" s="20"/>
      <c r="E808" s="34"/>
      <c r="F808" s="47"/>
      <c r="G808" s="1651"/>
      <c r="H808" s="1652"/>
      <c r="I808" s="1652"/>
      <c r="J808" s="1652"/>
      <c r="K808" s="168"/>
      <c r="L808" s="168"/>
      <c r="M808" s="33"/>
      <c r="N808" s="33"/>
      <c r="O808" s="35"/>
      <c r="P808" s="35"/>
      <c r="Q808" s="35"/>
      <c r="R808" s="35"/>
      <c r="S808" s="35"/>
      <c r="T808" s="35"/>
      <c r="U808" s="20"/>
      <c r="V808" s="28"/>
      <c r="CM808"/>
      <c r="CN808"/>
      <c r="CO808"/>
      <c r="CP808"/>
      <c r="CQ808"/>
      <c r="CR808"/>
      <c r="CS808"/>
      <c r="CT808"/>
      <c r="CU808"/>
      <c r="CV808"/>
      <c r="CW808"/>
      <c r="CX808"/>
      <c r="CY808"/>
    </row>
    <row r="809" spans="2:103" s="1" customFormat="1" x14ac:dyDescent="0.25">
      <c r="B809" s="25"/>
      <c r="C809" s="32"/>
      <c r="D809" s="20"/>
      <c r="E809" s="34"/>
      <c r="F809" s="47"/>
      <c r="G809" s="1651"/>
      <c r="H809" s="1652"/>
      <c r="I809" s="1652"/>
      <c r="J809" s="1652"/>
      <c r="K809" s="168"/>
      <c r="L809" s="168"/>
      <c r="M809" s="33"/>
      <c r="N809" s="33"/>
      <c r="O809" s="35"/>
      <c r="P809" s="35"/>
      <c r="Q809" s="35"/>
      <c r="R809" s="35"/>
      <c r="S809" s="35"/>
      <c r="T809" s="35"/>
      <c r="U809" s="20"/>
      <c r="V809" s="28"/>
      <c r="CM809"/>
      <c r="CN809"/>
      <c r="CO809"/>
      <c r="CP809"/>
      <c r="CQ809"/>
      <c r="CR809"/>
      <c r="CS809"/>
      <c r="CT809"/>
      <c r="CU809"/>
      <c r="CV809"/>
      <c r="CW809"/>
      <c r="CX809"/>
      <c r="CY809"/>
    </row>
    <row r="810" spans="2:103" s="1" customFormat="1" x14ac:dyDescent="0.25">
      <c r="B810" s="25"/>
      <c r="C810" s="32"/>
      <c r="D810" s="20"/>
      <c r="E810" s="34"/>
      <c r="F810" s="47"/>
      <c r="G810" s="1651"/>
      <c r="H810" s="1652"/>
      <c r="I810" s="1652"/>
      <c r="J810" s="1652"/>
      <c r="K810" s="168"/>
      <c r="L810" s="168"/>
      <c r="M810" s="33"/>
      <c r="N810" s="33"/>
      <c r="O810" s="35"/>
      <c r="P810" s="35"/>
      <c r="Q810" s="35"/>
      <c r="R810" s="35"/>
      <c r="S810" s="35"/>
      <c r="T810" s="35"/>
      <c r="U810" s="20"/>
      <c r="V810" s="28"/>
      <c r="CM810"/>
      <c r="CN810"/>
      <c r="CO810"/>
      <c r="CP810"/>
      <c r="CQ810"/>
      <c r="CR810"/>
      <c r="CS810"/>
      <c r="CT810"/>
      <c r="CU810"/>
      <c r="CV810"/>
      <c r="CW810"/>
      <c r="CX810"/>
      <c r="CY810"/>
    </row>
    <row r="811" spans="2:103" s="1" customFormat="1" x14ac:dyDescent="0.25">
      <c r="B811" s="25"/>
      <c r="C811" s="32"/>
      <c r="D811" s="20"/>
      <c r="E811" s="34"/>
      <c r="F811" s="47"/>
      <c r="G811" s="1651"/>
      <c r="H811" s="1652"/>
      <c r="I811" s="1652"/>
      <c r="J811" s="1652"/>
      <c r="K811" s="168"/>
      <c r="L811" s="168"/>
      <c r="M811" s="33"/>
      <c r="N811" s="33"/>
      <c r="O811" s="35"/>
      <c r="P811" s="35"/>
      <c r="Q811" s="35"/>
      <c r="R811" s="35"/>
      <c r="S811" s="35"/>
      <c r="T811" s="35"/>
      <c r="U811" s="20"/>
      <c r="V811" s="28"/>
      <c r="CM811"/>
      <c r="CN811"/>
      <c r="CO811"/>
      <c r="CP811"/>
      <c r="CQ811"/>
      <c r="CR811"/>
      <c r="CS811"/>
      <c r="CT811"/>
      <c r="CU811"/>
      <c r="CV811"/>
      <c r="CW811"/>
      <c r="CX811"/>
      <c r="CY811"/>
    </row>
    <row r="812" spans="2:103" s="1" customFormat="1" x14ac:dyDescent="0.25">
      <c r="B812" s="25"/>
      <c r="C812" s="32"/>
      <c r="D812" s="20"/>
      <c r="E812" s="34"/>
      <c r="F812" s="47"/>
      <c r="G812" s="1651"/>
      <c r="H812" s="1652"/>
      <c r="I812" s="1652"/>
      <c r="J812" s="1652"/>
      <c r="K812" s="168"/>
      <c r="L812" s="168"/>
      <c r="M812" s="33"/>
      <c r="N812" s="33"/>
      <c r="O812" s="35"/>
      <c r="P812" s="35"/>
      <c r="Q812" s="35"/>
      <c r="R812" s="35"/>
      <c r="S812" s="35"/>
      <c r="T812" s="35"/>
      <c r="U812" s="20"/>
      <c r="V812" s="28"/>
      <c r="CM812"/>
      <c r="CN812"/>
      <c r="CO812"/>
      <c r="CP812"/>
      <c r="CQ812"/>
      <c r="CR812"/>
      <c r="CS812"/>
      <c r="CT812"/>
      <c r="CU812"/>
      <c r="CV812"/>
      <c r="CW812"/>
      <c r="CX812"/>
      <c r="CY812"/>
    </row>
    <row r="813" spans="2:103" s="1" customFormat="1" x14ac:dyDescent="0.25">
      <c r="B813" s="25"/>
      <c r="C813" s="32"/>
      <c r="D813" s="20"/>
      <c r="E813" s="34"/>
      <c r="F813" s="47"/>
      <c r="G813" s="1651"/>
      <c r="H813" s="1652"/>
      <c r="I813" s="1652"/>
      <c r="J813" s="1652"/>
      <c r="K813" s="168"/>
      <c r="L813" s="168"/>
      <c r="M813" s="33"/>
      <c r="N813" s="33"/>
      <c r="O813" s="35"/>
      <c r="P813" s="35"/>
      <c r="Q813" s="35"/>
      <c r="R813" s="35"/>
      <c r="S813" s="35"/>
      <c r="T813" s="35"/>
      <c r="U813" s="20"/>
      <c r="V813" s="28"/>
      <c r="CM813"/>
      <c r="CN813"/>
      <c r="CO813"/>
      <c r="CP813"/>
      <c r="CQ813"/>
      <c r="CR813"/>
      <c r="CS813"/>
      <c r="CT813"/>
      <c r="CU813"/>
      <c r="CV813"/>
      <c r="CW813"/>
      <c r="CX813"/>
      <c r="CY813"/>
    </row>
    <row r="814" spans="2:103" s="1" customFormat="1" x14ac:dyDescent="0.25">
      <c r="B814" s="25"/>
      <c r="C814" s="32"/>
      <c r="D814" s="20"/>
      <c r="E814" s="34"/>
      <c r="F814" s="47"/>
      <c r="G814" s="1651"/>
      <c r="H814" s="1652"/>
      <c r="I814" s="1652"/>
      <c r="J814" s="1652"/>
      <c r="K814" s="168"/>
      <c r="L814" s="168"/>
      <c r="M814" s="33"/>
      <c r="N814" s="33"/>
      <c r="O814" s="35"/>
      <c r="P814" s="35"/>
      <c r="Q814" s="35"/>
      <c r="R814" s="35"/>
      <c r="S814" s="35"/>
      <c r="T814" s="35"/>
      <c r="U814" s="20"/>
      <c r="V814" s="28"/>
      <c r="CM814"/>
      <c r="CN814"/>
      <c r="CO814"/>
      <c r="CP814"/>
      <c r="CQ814"/>
      <c r="CR814"/>
      <c r="CS814"/>
      <c r="CT814"/>
      <c r="CU814"/>
      <c r="CV814"/>
      <c r="CW814"/>
      <c r="CX814"/>
      <c r="CY814"/>
    </row>
    <row r="815" spans="2:103" s="1" customFormat="1" x14ac:dyDescent="0.25">
      <c r="B815" s="25"/>
      <c r="C815" s="32"/>
      <c r="D815" s="20"/>
      <c r="E815" s="34"/>
      <c r="F815" s="47"/>
      <c r="G815" s="1651"/>
      <c r="H815" s="1652"/>
      <c r="I815" s="1652"/>
      <c r="J815" s="1652"/>
      <c r="K815" s="168"/>
      <c r="L815" s="168"/>
      <c r="M815" s="33"/>
      <c r="N815" s="33"/>
      <c r="O815" s="35"/>
      <c r="P815" s="35"/>
      <c r="Q815" s="35"/>
      <c r="R815" s="35"/>
      <c r="S815" s="35"/>
      <c r="T815" s="35"/>
      <c r="U815" s="20"/>
      <c r="V815" s="28"/>
      <c r="CM815"/>
      <c r="CN815"/>
      <c r="CO815"/>
      <c r="CP815"/>
      <c r="CQ815"/>
      <c r="CR815"/>
      <c r="CS815"/>
      <c r="CT815"/>
      <c r="CU815"/>
      <c r="CV815"/>
      <c r="CW815"/>
      <c r="CX815"/>
      <c r="CY815"/>
    </row>
    <row r="816" spans="2:103" s="1" customFormat="1" x14ac:dyDescent="0.25">
      <c r="B816" s="25"/>
      <c r="C816" s="32"/>
      <c r="D816" s="20"/>
      <c r="E816" s="34"/>
      <c r="F816" s="47"/>
      <c r="G816" s="1651"/>
      <c r="H816" s="1652"/>
      <c r="I816" s="1652"/>
      <c r="J816" s="1652"/>
      <c r="K816" s="168"/>
      <c r="L816" s="168"/>
      <c r="M816" s="33"/>
      <c r="N816" s="33"/>
      <c r="O816" s="35"/>
      <c r="P816" s="35"/>
      <c r="Q816" s="35"/>
      <c r="R816" s="35"/>
      <c r="S816" s="35"/>
      <c r="T816" s="35"/>
      <c r="U816" s="20"/>
      <c r="V816" s="28"/>
      <c r="CM816"/>
      <c r="CN816"/>
      <c r="CO816"/>
      <c r="CP816"/>
      <c r="CQ816"/>
      <c r="CR816"/>
      <c r="CS816"/>
      <c r="CT816"/>
      <c r="CU816"/>
      <c r="CV816"/>
      <c r="CW816"/>
      <c r="CX816"/>
      <c r="CY816"/>
    </row>
    <row r="817" spans="2:103" s="1" customFormat="1" x14ac:dyDescent="0.25">
      <c r="B817" s="25"/>
      <c r="C817" s="32"/>
      <c r="D817" s="20"/>
      <c r="E817" s="34"/>
      <c r="F817" s="47"/>
      <c r="G817" s="1651"/>
      <c r="H817" s="1652"/>
      <c r="I817" s="1652"/>
      <c r="J817" s="1652"/>
      <c r="K817" s="168"/>
      <c r="L817" s="168"/>
      <c r="M817" s="33"/>
      <c r="N817" s="33"/>
      <c r="O817" s="35"/>
      <c r="P817" s="35"/>
      <c r="Q817" s="35"/>
      <c r="R817" s="35"/>
      <c r="S817" s="35"/>
      <c r="T817" s="35"/>
      <c r="U817" s="20"/>
      <c r="V817" s="28"/>
      <c r="CM817"/>
      <c r="CN817"/>
      <c r="CO817"/>
      <c r="CP817"/>
      <c r="CQ817"/>
      <c r="CR817"/>
      <c r="CS817"/>
      <c r="CT817"/>
      <c r="CU817"/>
      <c r="CV817"/>
      <c r="CW817"/>
      <c r="CX817"/>
      <c r="CY817"/>
    </row>
    <row r="818" spans="2:103" s="1" customFormat="1" x14ac:dyDescent="0.25">
      <c r="B818" s="25"/>
      <c r="C818" s="32"/>
      <c r="D818" s="20"/>
      <c r="E818" s="34"/>
      <c r="F818" s="47"/>
      <c r="G818" s="1651"/>
      <c r="H818" s="1652"/>
      <c r="I818" s="1652"/>
      <c r="J818" s="1652"/>
      <c r="K818" s="168"/>
      <c r="L818" s="168"/>
      <c r="M818" s="33"/>
      <c r="N818" s="33"/>
      <c r="O818" s="35"/>
      <c r="P818" s="35"/>
      <c r="Q818" s="35"/>
      <c r="R818" s="35"/>
      <c r="S818" s="35"/>
      <c r="T818" s="35"/>
      <c r="U818" s="20"/>
      <c r="V818" s="28"/>
      <c r="CM818"/>
      <c r="CN818"/>
      <c r="CO818"/>
      <c r="CP818"/>
      <c r="CQ818"/>
      <c r="CR818"/>
      <c r="CS818"/>
      <c r="CT818"/>
      <c r="CU818"/>
      <c r="CV818"/>
      <c r="CW818"/>
      <c r="CX818"/>
      <c r="CY818"/>
    </row>
    <row r="819" spans="2:103" s="1" customFormat="1" x14ac:dyDescent="0.25">
      <c r="B819" s="25"/>
      <c r="C819" s="32"/>
      <c r="D819" s="20"/>
      <c r="E819" s="34"/>
      <c r="F819" s="47"/>
      <c r="G819" s="1651"/>
      <c r="H819" s="1652"/>
      <c r="I819" s="1652"/>
      <c r="J819" s="1652"/>
      <c r="K819" s="168"/>
      <c r="L819" s="168"/>
      <c r="M819" s="33"/>
      <c r="N819" s="33"/>
      <c r="O819" s="35"/>
      <c r="P819" s="35"/>
      <c r="Q819" s="35"/>
      <c r="R819" s="35"/>
      <c r="S819" s="35"/>
      <c r="T819" s="35"/>
      <c r="U819" s="20"/>
      <c r="V819" s="28"/>
      <c r="CM819"/>
      <c r="CN819"/>
      <c r="CO819"/>
      <c r="CP819"/>
      <c r="CQ819"/>
      <c r="CR819"/>
      <c r="CS819"/>
      <c r="CT819"/>
      <c r="CU819"/>
      <c r="CV819"/>
      <c r="CW819"/>
      <c r="CX819"/>
      <c r="CY819"/>
    </row>
    <row r="820" spans="2:103" s="1" customFormat="1" x14ac:dyDescent="0.25">
      <c r="B820" s="25"/>
      <c r="C820" s="32"/>
      <c r="D820" s="20"/>
      <c r="E820" s="34"/>
      <c r="F820" s="47"/>
      <c r="G820" s="1651"/>
      <c r="H820" s="1652"/>
      <c r="I820" s="1652"/>
      <c r="J820" s="1652"/>
      <c r="K820" s="168"/>
      <c r="L820" s="168"/>
      <c r="M820" s="33"/>
      <c r="N820" s="33"/>
      <c r="O820" s="35"/>
      <c r="P820" s="35"/>
      <c r="Q820" s="35"/>
      <c r="R820" s="35"/>
      <c r="S820" s="35"/>
      <c r="T820" s="35"/>
      <c r="U820" s="20"/>
      <c r="V820" s="28"/>
      <c r="CM820"/>
      <c r="CN820"/>
      <c r="CO820"/>
      <c r="CP820"/>
      <c r="CQ820"/>
      <c r="CR820"/>
      <c r="CS820"/>
      <c r="CT820"/>
      <c r="CU820"/>
      <c r="CV820"/>
      <c r="CW820"/>
      <c r="CX820"/>
      <c r="CY820"/>
    </row>
    <row r="821" spans="2:103" s="1" customFormat="1" x14ac:dyDescent="0.25">
      <c r="B821" s="25"/>
      <c r="C821" s="32"/>
      <c r="D821" s="20"/>
      <c r="E821" s="34"/>
      <c r="F821" s="47"/>
      <c r="G821" s="1651"/>
      <c r="H821" s="1652"/>
      <c r="I821" s="1652"/>
      <c r="J821" s="1652"/>
      <c r="K821" s="168"/>
      <c r="L821" s="168"/>
      <c r="M821" s="33"/>
      <c r="N821" s="33"/>
      <c r="O821" s="35"/>
      <c r="P821" s="35"/>
      <c r="Q821" s="35"/>
      <c r="R821" s="35"/>
      <c r="S821" s="35"/>
      <c r="T821" s="35"/>
      <c r="U821" s="20"/>
      <c r="V821" s="28"/>
      <c r="CM821"/>
      <c r="CN821"/>
      <c r="CO821"/>
      <c r="CP821"/>
      <c r="CQ821"/>
      <c r="CR821"/>
      <c r="CS821"/>
      <c r="CT821"/>
      <c r="CU821"/>
      <c r="CV821"/>
      <c r="CW821"/>
      <c r="CX821"/>
      <c r="CY821"/>
    </row>
    <row r="822" spans="2:103" s="1" customFormat="1" x14ac:dyDescent="0.25">
      <c r="B822" s="25"/>
      <c r="C822" s="32"/>
      <c r="D822" s="20"/>
      <c r="E822" s="34"/>
      <c r="F822" s="47"/>
      <c r="G822" s="1651"/>
      <c r="H822" s="1652"/>
      <c r="I822" s="1652"/>
      <c r="J822" s="1652"/>
      <c r="K822" s="168"/>
      <c r="L822" s="168"/>
      <c r="M822" s="33"/>
      <c r="N822" s="33"/>
      <c r="O822" s="35"/>
      <c r="P822" s="35"/>
      <c r="Q822" s="35"/>
      <c r="R822" s="35"/>
      <c r="S822" s="35"/>
      <c r="T822" s="35"/>
      <c r="U822" s="20"/>
      <c r="V822" s="28"/>
      <c r="CM822"/>
      <c r="CN822"/>
      <c r="CO822"/>
      <c r="CP822"/>
      <c r="CQ822"/>
      <c r="CR822"/>
      <c r="CS822"/>
      <c r="CT822"/>
      <c r="CU822"/>
      <c r="CV822"/>
      <c r="CW822"/>
      <c r="CX822"/>
      <c r="CY822"/>
    </row>
    <row r="823" spans="2:103" s="1" customFormat="1" x14ac:dyDescent="0.25">
      <c r="B823" s="25"/>
      <c r="C823" s="32"/>
      <c r="D823" s="20"/>
      <c r="E823" s="34"/>
      <c r="F823" s="47"/>
      <c r="G823" s="1651"/>
      <c r="H823" s="1652"/>
      <c r="I823" s="1652"/>
      <c r="J823" s="1652"/>
      <c r="K823" s="168"/>
      <c r="L823" s="168"/>
      <c r="M823" s="33"/>
      <c r="N823" s="33"/>
      <c r="O823" s="35"/>
      <c r="P823" s="35"/>
      <c r="Q823" s="35"/>
      <c r="R823" s="35"/>
      <c r="S823" s="35"/>
      <c r="T823" s="35"/>
      <c r="U823" s="20"/>
      <c r="V823" s="28"/>
      <c r="CM823"/>
      <c r="CN823"/>
      <c r="CO823"/>
      <c r="CP823"/>
      <c r="CQ823"/>
      <c r="CR823"/>
      <c r="CS823"/>
      <c r="CT823"/>
      <c r="CU823"/>
      <c r="CV823"/>
      <c r="CW823"/>
      <c r="CX823"/>
      <c r="CY823"/>
    </row>
    <row r="824" spans="2:103" s="1" customFormat="1" x14ac:dyDescent="0.25">
      <c r="B824" s="25"/>
      <c r="C824" s="32"/>
      <c r="D824" s="20"/>
      <c r="E824" s="34"/>
      <c r="F824" s="47"/>
      <c r="G824" s="1651"/>
      <c r="H824" s="1652"/>
      <c r="I824" s="1652"/>
      <c r="J824" s="1652"/>
      <c r="K824" s="168"/>
      <c r="L824" s="168"/>
      <c r="M824" s="35"/>
      <c r="N824" s="35"/>
      <c r="O824" s="35"/>
      <c r="P824" s="35"/>
      <c r="Q824" s="35"/>
      <c r="R824" s="35"/>
      <c r="S824" s="35"/>
      <c r="T824" s="35"/>
      <c r="U824" s="20"/>
      <c r="V824" s="28"/>
      <c r="CM824"/>
      <c r="CN824"/>
      <c r="CO824"/>
      <c r="CP824"/>
      <c r="CQ824"/>
      <c r="CR824"/>
      <c r="CS824"/>
      <c r="CT824"/>
      <c r="CU824"/>
      <c r="CV824"/>
      <c r="CW824"/>
      <c r="CX824"/>
      <c r="CY824"/>
    </row>
    <row r="825" spans="2:103" s="1" customFormat="1" x14ac:dyDescent="0.25">
      <c r="B825" s="25"/>
      <c r="C825" s="32"/>
      <c r="D825" s="20"/>
      <c r="E825" s="34"/>
      <c r="F825" s="47"/>
      <c r="G825" s="1651"/>
      <c r="H825" s="1652"/>
      <c r="I825" s="1652"/>
      <c r="J825" s="1652"/>
      <c r="K825" s="168"/>
      <c r="L825" s="168"/>
      <c r="M825" s="35"/>
      <c r="N825" s="35"/>
      <c r="O825" s="35"/>
      <c r="P825" s="35"/>
      <c r="Q825" s="35"/>
      <c r="R825" s="35"/>
      <c r="S825" s="35"/>
      <c r="T825" s="35"/>
      <c r="U825" s="20"/>
      <c r="V825" s="28"/>
      <c r="CM825"/>
      <c r="CN825"/>
      <c r="CO825"/>
      <c r="CP825"/>
      <c r="CQ825"/>
      <c r="CR825"/>
      <c r="CS825"/>
      <c r="CT825"/>
      <c r="CU825"/>
      <c r="CV825"/>
      <c r="CW825"/>
      <c r="CX825"/>
      <c r="CY825"/>
    </row>
    <row r="826" spans="2:103" s="1" customFormat="1" x14ac:dyDescent="0.25">
      <c r="B826" s="25"/>
      <c r="C826" s="32"/>
      <c r="D826" s="20"/>
      <c r="E826" s="34"/>
      <c r="F826" s="47"/>
      <c r="G826" s="1651"/>
      <c r="H826" s="1652"/>
      <c r="I826" s="1652"/>
      <c r="J826" s="1652"/>
      <c r="K826" s="168"/>
      <c r="L826" s="168"/>
      <c r="M826" s="35"/>
      <c r="N826" s="35"/>
      <c r="O826" s="35"/>
      <c r="P826" s="35"/>
      <c r="Q826" s="35"/>
      <c r="R826" s="35"/>
      <c r="S826" s="35"/>
      <c r="T826" s="35"/>
      <c r="U826" s="20"/>
      <c r="V826" s="28"/>
      <c r="CM826"/>
      <c r="CN826"/>
      <c r="CO826"/>
      <c r="CP826"/>
      <c r="CQ826"/>
      <c r="CR826"/>
      <c r="CS826"/>
      <c r="CT826"/>
      <c r="CU826"/>
      <c r="CV826"/>
      <c r="CW826"/>
      <c r="CX826"/>
      <c r="CY826"/>
    </row>
    <row r="827" spans="2:103" s="1" customFormat="1" x14ac:dyDescent="0.25">
      <c r="B827" s="25"/>
      <c r="C827" s="32"/>
      <c r="D827" s="20"/>
      <c r="E827" s="34"/>
      <c r="F827" s="47"/>
      <c r="G827" s="1651"/>
      <c r="H827" s="1652"/>
      <c r="I827" s="1652"/>
      <c r="J827" s="1652"/>
      <c r="K827" s="168"/>
      <c r="L827" s="168"/>
      <c r="M827" s="35"/>
      <c r="N827" s="35"/>
      <c r="O827" s="35"/>
      <c r="P827" s="35"/>
      <c r="Q827" s="35"/>
      <c r="R827" s="35"/>
      <c r="S827" s="35"/>
      <c r="T827" s="35"/>
      <c r="U827" s="20"/>
      <c r="V827" s="28"/>
      <c r="CM827"/>
      <c r="CN827"/>
      <c r="CO827"/>
      <c r="CP827"/>
      <c r="CQ827"/>
      <c r="CR827"/>
      <c r="CS827"/>
      <c r="CT827"/>
      <c r="CU827"/>
      <c r="CV827"/>
      <c r="CW827"/>
      <c r="CX827"/>
      <c r="CY827"/>
    </row>
    <row r="828" spans="2:103" s="1" customFormat="1" x14ac:dyDescent="0.25">
      <c r="B828" s="25"/>
      <c r="C828" s="32"/>
      <c r="D828" s="20"/>
      <c r="E828" s="34"/>
      <c r="F828" s="47"/>
      <c r="G828" s="1651"/>
      <c r="H828" s="1652"/>
      <c r="I828" s="1652"/>
      <c r="J828" s="1652"/>
      <c r="K828" s="168"/>
      <c r="L828" s="168"/>
      <c r="M828" s="35"/>
      <c r="N828" s="35"/>
      <c r="O828" s="35"/>
      <c r="P828" s="35"/>
      <c r="Q828" s="35"/>
      <c r="R828" s="35"/>
      <c r="S828" s="35"/>
      <c r="T828" s="35"/>
      <c r="U828" s="20"/>
      <c r="V828" s="28"/>
      <c r="CM828"/>
      <c r="CN828"/>
      <c r="CO828"/>
      <c r="CP828"/>
      <c r="CQ828"/>
      <c r="CR828"/>
      <c r="CS828"/>
      <c r="CT828"/>
      <c r="CU828"/>
      <c r="CV828"/>
      <c r="CW828"/>
      <c r="CX828"/>
      <c r="CY828"/>
    </row>
    <row r="829" spans="2:103" s="1" customFormat="1" x14ac:dyDescent="0.25">
      <c r="B829" s="25"/>
      <c r="C829" s="32"/>
      <c r="D829" s="20"/>
      <c r="E829" s="34"/>
      <c r="F829" s="47"/>
      <c r="G829" s="1651"/>
      <c r="H829" s="1652"/>
      <c r="I829" s="1652"/>
      <c r="J829" s="1652"/>
      <c r="K829" s="168"/>
      <c r="L829" s="168"/>
      <c r="M829" s="33"/>
      <c r="N829" s="33"/>
      <c r="O829" s="35"/>
      <c r="P829" s="35"/>
      <c r="Q829" s="35"/>
      <c r="R829" s="35"/>
      <c r="S829" s="35"/>
      <c r="T829" s="35"/>
      <c r="U829" s="20"/>
      <c r="V829" s="28"/>
      <c r="CM829"/>
      <c r="CN829"/>
      <c r="CO829"/>
      <c r="CP829"/>
      <c r="CQ829"/>
      <c r="CR829"/>
      <c r="CS829"/>
      <c r="CT829"/>
      <c r="CU829"/>
      <c r="CV829"/>
      <c r="CW829"/>
      <c r="CX829"/>
      <c r="CY829"/>
    </row>
    <row r="830" spans="2:103" s="1" customFormat="1" x14ac:dyDescent="0.25">
      <c r="B830" s="25"/>
      <c r="C830" s="32"/>
      <c r="D830" s="20"/>
      <c r="E830" s="34"/>
      <c r="F830" s="47"/>
      <c r="G830" s="1651"/>
      <c r="H830" s="1652"/>
      <c r="I830" s="1652"/>
      <c r="J830" s="1652"/>
      <c r="K830" s="168"/>
      <c r="L830" s="168"/>
      <c r="M830" s="33"/>
      <c r="N830" s="33"/>
      <c r="O830" s="35"/>
      <c r="P830" s="35"/>
      <c r="Q830" s="35"/>
      <c r="R830" s="35"/>
      <c r="S830" s="35"/>
      <c r="T830" s="35"/>
      <c r="U830" s="20"/>
      <c r="V830" s="28"/>
      <c r="CM830"/>
      <c r="CN830"/>
      <c r="CO830"/>
      <c r="CP830"/>
      <c r="CQ830"/>
      <c r="CR830"/>
      <c r="CS830"/>
      <c r="CT830"/>
      <c r="CU830"/>
      <c r="CV830"/>
      <c r="CW830"/>
      <c r="CX830"/>
      <c r="CY830"/>
    </row>
    <row r="831" spans="2:103" s="1" customFormat="1" x14ac:dyDescent="0.25">
      <c r="B831" s="25"/>
      <c r="C831" s="32"/>
      <c r="D831" s="20"/>
      <c r="E831" s="34"/>
      <c r="F831" s="47"/>
      <c r="G831" s="1651"/>
      <c r="H831" s="1652"/>
      <c r="I831" s="1652"/>
      <c r="J831" s="1652"/>
      <c r="K831" s="168"/>
      <c r="L831" s="168"/>
      <c r="M831" s="33"/>
      <c r="N831" s="33"/>
      <c r="O831" s="35"/>
      <c r="P831" s="35"/>
      <c r="Q831" s="35"/>
      <c r="R831" s="35"/>
      <c r="S831" s="35"/>
      <c r="T831" s="35"/>
      <c r="U831" s="20"/>
      <c r="V831" s="28"/>
      <c r="CM831"/>
      <c r="CN831"/>
      <c r="CO831"/>
      <c r="CP831"/>
      <c r="CQ831"/>
      <c r="CR831"/>
      <c r="CS831"/>
      <c r="CT831"/>
      <c r="CU831"/>
      <c r="CV831"/>
      <c r="CW831"/>
      <c r="CX831"/>
      <c r="CY831"/>
    </row>
    <row r="832" spans="2:103" s="1" customFormat="1" x14ac:dyDescent="0.25">
      <c r="B832" s="25"/>
      <c r="C832" s="32"/>
      <c r="D832" s="20"/>
      <c r="E832" s="34"/>
      <c r="F832" s="47"/>
      <c r="G832" s="1651"/>
      <c r="H832" s="1652"/>
      <c r="I832" s="1652"/>
      <c r="J832" s="1652"/>
      <c r="K832" s="168"/>
      <c r="L832" s="168"/>
      <c r="M832" s="33"/>
      <c r="N832" s="33"/>
      <c r="O832" s="35"/>
      <c r="P832" s="35"/>
      <c r="Q832" s="35"/>
      <c r="R832" s="35"/>
      <c r="S832" s="35"/>
      <c r="T832" s="35"/>
      <c r="U832" s="20"/>
      <c r="V832" s="28"/>
      <c r="CM832"/>
      <c r="CN832"/>
      <c r="CO832"/>
      <c r="CP832"/>
      <c r="CQ832"/>
      <c r="CR832"/>
      <c r="CS832"/>
      <c r="CT832"/>
      <c r="CU832"/>
      <c r="CV832"/>
      <c r="CW832"/>
      <c r="CX832"/>
      <c r="CY832"/>
    </row>
    <row r="833" spans="2:103" s="1" customFormat="1" x14ac:dyDescent="0.25">
      <c r="B833" s="25"/>
      <c r="C833" s="32"/>
      <c r="D833" s="20"/>
      <c r="E833" s="34"/>
      <c r="F833" s="47"/>
      <c r="G833" s="1651"/>
      <c r="H833" s="1652"/>
      <c r="I833" s="1652"/>
      <c r="J833" s="1652"/>
      <c r="K833" s="168"/>
      <c r="L833" s="168"/>
      <c r="M833" s="33"/>
      <c r="N833" s="33"/>
      <c r="O833" s="35"/>
      <c r="P833" s="35"/>
      <c r="Q833" s="35"/>
      <c r="R833" s="35"/>
      <c r="S833" s="35"/>
      <c r="T833" s="35"/>
      <c r="U833" s="20"/>
      <c r="V833" s="28"/>
      <c r="CM833"/>
      <c r="CN833"/>
      <c r="CO833"/>
      <c r="CP833"/>
      <c r="CQ833"/>
      <c r="CR833"/>
      <c r="CS833"/>
      <c r="CT833"/>
      <c r="CU833"/>
      <c r="CV833"/>
      <c r="CW833"/>
      <c r="CX833"/>
      <c r="CY833"/>
    </row>
    <row r="834" spans="2:103" s="1" customFormat="1" x14ac:dyDescent="0.25">
      <c r="B834" s="25"/>
      <c r="C834" s="32"/>
      <c r="D834" s="20"/>
      <c r="E834" s="34"/>
      <c r="F834" s="47"/>
      <c r="G834" s="1651"/>
      <c r="H834" s="1652"/>
      <c r="I834" s="1652"/>
      <c r="J834" s="1652"/>
      <c r="K834" s="168"/>
      <c r="L834" s="168"/>
      <c r="M834" s="33"/>
      <c r="N834" s="33"/>
      <c r="O834" s="35"/>
      <c r="P834" s="35"/>
      <c r="Q834" s="35"/>
      <c r="R834" s="35"/>
      <c r="S834" s="35"/>
      <c r="T834" s="35"/>
      <c r="U834" s="20"/>
      <c r="V834" s="28"/>
      <c r="CM834"/>
      <c r="CN834"/>
      <c r="CO834"/>
      <c r="CP834"/>
      <c r="CQ834"/>
      <c r="CR834"/>
      <c r="CS834"/>
      <c r="CT834"/>
      <c r="CU834"/>
      <c r="CV834"/>
      <c r="CW834"/>
      <c r="CX834"/>
      <c r="CY834"/>
    </row>
    <row r="835" spans="2:103" s="1" customFormat="1" x14ac:dyDescent="0.25">
      <c r="B835" s="25"/>
      <c r="C835" s="32"/>
      <c r="D835" s="20"/>
      <c r="E835" s="34"/>
      <c r="F835" s="47"/>
      <c r="G835" s="1651"/>
      <c r="H835" s="1652"/>
      <c r="I835" s="1652"/>
      <c r="J835" s="1652"/>
      <c r="K835" s="168"/>
      <c r="L835" s="168"/>
      <c r="M835" s="33"/>
      <c r="N835" s="33"/>
      <c r="O835" s="35"/>
      <c r="P835" s="35"/>
      <c r="Q835" s="35"/>
      <c r="R835" s="35"/>
      <c r="S835" s="35"/>
      <c r="T835" s="35"/>
      <c r="U835" s="20"/>
      <c r="V835" s="28"/>
      <c r="CM835"/>
      <c r="CN835"/>
      <c r="CO835"/>
      <c r="CP835"/>
      <c r="CQ835"/>
      <c r="CR835"/>
      <c r="CS835"/>
      <c r="CT835"/>
      <c r="CU835"/>
      <c r="CV835"/>
      <c r="CW835"/>
      <c r="CX835"/>
      <c r="CY835"/>
    </row>
    <row r="836" spans="2:103" s="1" customFormat="1" x14ac:dyDescent="0.25">
      <c r="B836" s="25"/>
      <c r="C836" s="32"/>
      <c r="D836" s="20"/>
      <c r="E836" s="34"/>
      <c r="F836" s="47"/>
      <c r="G836" s="1651"/>
      <c r="H836" s="1652"/>
      <c r="I836" s="1652"/>
      <c r="J836" s="1652"/>
      <c r="K836" s="168"/>
      <c r="L836" s="168"/>
      <c r="M836" s="33"/>
      <c r="N836" s="33"/>
      <c r="O836" s="35"/>
      <c r="P836" s="35"/>
      <c r="Q836" s="35"/>
      <c r="R836" s="35"/>
      <c r="S836" s="35"/>
      <c r="T836" s="35"/>
      <c r="U836" s="20"/>
      <c r="V836" s="28"/>
      <c r="CM836"/>
      <c r="CN836"/>
      <c r="CO836"/>
      <c r="CP836"/>
      <c r="CQ836"/>
      <c r="CR836"/>
      <c r="CS836"/>
      <c r="CT836"/>
      <c r="CU836"/>
      <c r="CV836"/>
      <c r="CW836"/>
      <c r="CX836"/>
      <c r="CY836"/>
    </row>
    <row r="837" spans="2:103" s="1" customFormat="1" x14ac:dyDescent="0.25">
      <c r="B837" s="25"/>
      <c r="C837" s="32"/>
      <c r="D837" s="20"/>
      <c r="E837" s="34"/>
      <c r="F837" s="47"/>
      <c r="G837" s="1651"/>
      <c r="H837" s="1652"/>
      <c r="I837" s="1652"/>
      <c r="J837" s="1652"/>
      <c r="K837" s="168"/>
      <c r="L837" s="168"/>
      <c r="M837" s="33"/>
      <c r="N837" s="33"/>
      <c r="O837" s="35"/>
      <c r="P837" s="35"/>
      <c r="Q837" s="35"/>
      <c r="R837" s="35"/>
      <c r="S837" s="35"/>
      <c r="T837" s="35"/>
      <c r="U837" s="20"/>
      <c r="V837" s="28"/>
      <c r="CM837"/>
      <c r="CN837"/>
      <c r="CO837"/>
      <c r="CP837"/>
      <c r="CQ837"/>
      <c r="CR837"/>
      <c r="CS837"/>
      <c r="CT837"/>
      <c r="CU837"/>
      <c r="CV837"/>
      <c r="CW837"/>
      <c r="CX837"/>
      <c r="CY837"/>
    </row>
    <row r="838" spans="2:103" s="1" customFormat="1" x14ac:dyDescent="0.25">
      <c r="B838" s="25"/>
      <c r="C838" s="32"/>
      <c r="D838" s="20"/>
      <c r="E838" s="34"/>
      <c r="F838" s="47"/>
      <c r="G838" s="1651"/>
      <c r="H838" s="1652"/>
      <c r="I838" s="1652"/>
      <c r="J838" s="1652"/>
      <c r="K838" s="168"/>
      <c r="L838" s="168"/>
      <c r="M838" s="33"/>
      <c r="N838" s="33"/>
      <c r="O838" s="35"/>
      <c r="P838" s="35"/>
      <c r="Q838" s="35"/>
      <c r="R838" s="35"/>
      <c r="S838" s="35"/>
      <c r="T838" s="35"/>
      <c r="U838" s="20"/>
      <c r="V838" s="28"/>
      <c r="CM838"/>
      <c r="CN838"/>
      <c r="CO838"/>
      <c r="CP838"/>
      <c r="CQ838"/>
      <c r="CR838"/>
      <c r="CS838"/>
      <c r="CT838"/>
      <c r="CU838"/>
      <c r="CV838"/>
      <c r="CW838"/>
      <c r="CX838"/>
      <c r="CY838"/>
    </row>
    <row r="839" spans="2:103" s="1" customFormat="1" x14ac:dyDescent="0.25">
      <c r="B839" s="50"/>
      <c r="C839" s="32"/>
      <c r="D839" s="20"/>
      <c r="E839" s="34"/>
      <c r="F839" s="34"/>
      <c r="G839" s="1656"/>
      <c r="H839" s="1656"/>
      <c r="I839" s="1656"/>
      <c r="J839" s="1656"/>
      <c r="K839" s="170"/>
      <c r="L839" s="170"/>
      <c r="M839" s="33"/>
      <c r="N839" s="33"/>
      <c r="O839" s="35"/>
      <c r="P839" s="35"/>
      <c r="Q839" s="35"/>
      <c r="R839" s="35"/>
      <c r="S839" s="35"/>
      <c r="T839" s="35"/>
      <c r="U839" s="20"/>
      <c r="V839" s="28"/>
      <c r="W839" s="28"/>
      <c r="X839" s="28"/>
      <c r="Y839" s="28"/>
      <c r="Z839" s="28"/>
      <c r="AA839" s="28"/>
      <c r="AB839" s="28"/>
      <c r="CM839"/>
      <c r="CN839"/>
      <c r="CO839"/>
      <c r="CP839"/>
      <c r="CQ839"/>
      <c r="CR839"/>
      <c r="CS839"/>
      <c r="CT839"/>
      <c r="CU839"/>
      <c r="CV839"/>
      <c r="CW839"/>
      <c r="CX839"/>
      <c r="CY839"/>
    </row>
    <row r="840" spans="2:103" s="1" customFormat="1" x14ac:dyDescent="0.25">
      <c r="B840" s="50"/>
      <c r="C840" s="32"/>
      <c r="D840" s="20"/>
      <c r="E840" s="34"/>
      <c r="F840" s="34"/>
      <c r="G840" s="1656"/>
      <c r="H840" s="1656"/>
      <c r="I840" s="1656"/>
      <c r="J840" s="1656"/>
      <c r="K840" s="170"/>
      <c r="L840" s="170"/>
      <c r="M840" s="33"/>
      <c r="N840" s="33"/>
      <c r="O840" s="35"/>
      <c r="P840" s="35"/>
      <c r="Q840" s="35"/>
      <c r="R840" s="35"/>
      <c r="S840" s="35"/>
      <c r="T840" s="35"/>
      <c r="U840" s="20"/>
      <c r="V840" s="28"/>
      <c r="W840" s="28"/>
      <c r="X840" s="28"/>
      <c r="Y840" s="28"/>
      <c r="Z840" s="28"/>
      <c r="AA840" s="28"/>
      <c r="AB840" s="28"/>
      <c r="CM840"/>
      <c r="CN840"/>
      <c r="CO840"/>
      <c r="CP840"/>
      <c r="CQ840"/>
      <c r="CR840"/>
      <c r="CS840"/>
      <c r="CT840"/>
      <c r="CU840"/>
      <c r="CV840"/>
      <c r="CW840"/>
      <c r="CX840"/>
      <c r="CY840"/>
    </row>
    <row r="841" spans="2:103" s="1" customFormat="1" x14ac:dyDescent="0.25">
      <c r="B841" s="50"/>
      <c r="C841" s="32"/>
      <c r="D841" s="20"/>
      <c r="E841" s="34"/>
      <c r="F841" s="34"/>
      <c r="G841" s="1656"/>
      <c r="H841" s="1656"/>
      <c r="I841" s="1656"/>
      <c r="J841" s="1656"/>
      <c r="K841" s="170"/>
      <c r="L841" s="170"/>
      <c r="M841" s="33"/>
      <c r="N841" s="33"/>
      <c r="O841" s="35"/>
      <c r="P841" s="35"/>
      <c r="Q841" s="35"/>
      <c r="R841" s="35"/>
      <c r="S841" s="35"/>
      <c r="T841" s="35"/>
      <c r="U841" s="20"/>
      <c r="V841" s="28"/>
      <c r="W841" s="28"/>
      <c r="X841" s="28"/>
      <c r="Y841" s="28"/>
      <c r="Z841" s="28"/>
      <c r="AA841" s="28"/>
      <c r="AB841" s="28"/>
      <c r="CM841"/>
      <c r="CN841"/>
      <c r="CO841"/>
      <c r="CP841"/>
      <c r="CQ841"/>
      <c r="CR841"/>
      <c r="CS841"/>
      <c r="CT841"/>
      <c r="CU841"/>
      <c r="CV841"/>
      <c r="CW841"/>
      <c r="CX841"/>
      <c r="CY841"/>
    </row>
    <row r="842" spans="2:103" s="1" customFormat="1" x14ac:dyDescent="0.25">
      <c r="B842" s="50"/>
      <c r="C842" s="32"/>
      <c r="D842" s="20"/>
      <c r="E842" s="34"/>
      <c r="F842" s="34"/>
      <c r="G842" s="1656"/>
      <c r="H842" s="1656"/>
      <c r="I842" s="1656"/>
      <c r="J842" s="1656"/>
      <c r="K842" s="170"/>
      <c r="L842" s="170"/>
      <c r="M842" s="33"/>
      <c r="N842" s="33"/>
      <c r="O842" s="35"/>
      <c r="P842" s="35"/>
      <c r="Q842" s="35"/>
      <c r="R842" s="35"/>
      <c r="S842" s="35"/>
      <c r="T842" s="35"/>
      <c r="U842" s="20"/>
      <c r="V842" s="28"/>
      <c r="W842" s="28"/>
      <c r="X842" s="28"/>
      <c r="Y842" s="28"/>
      <c r="Z842" s="28"/>
      <c r="AA842" s="28"/>
      <c r="AB842" s="28"/>
      <c r="CM842"/>
      <c r="CN842"/>
      <c r="CO842"/>
      <c r="CP842"/>
      <c r="CQ842"/>
      <c r="CR842"/>
      <c r="CS842"/>
      <c r="CT842"/>
      <c r="CU842"/>
      <c r="CV842"/>
      <c r="CW842"/>
      <c r="CX842"/>
      <c r="CY842"/>
    </row>
    <row r="843" spans="2:103" s="1" customFormat="1" x14ac:dyDescent="0.25">
      <c r="B843" s="25"/>
      <c r="C843" s="32"/>
      <c r="D843" s="20"/>
      <c r="E843" s="34"/>
      <c r="F843" s="34"/>
      <c r="G843" s="1656"/>
      <c r="H843" s="1656"/>
      <c r="I843" s="1656"/>
      <c r="J843" s="1656"/>
      <c r="K843" s="170"/>
      <c r="L843" s="170"/>
      <c r="M843" s="33"/>
      <c r="N843" s="33"/>
      <c r="O843" s="35"/>
      <c r="P843" s="35"/>
      <c r="Q843" s="35"/>
      <c r="R843" s="35"/>
      <c r="S843" s="35"/>
      <c r="T843" s="35"/>
      <c r="U843" s="20"/>
      <c r="V843" s="28"/>
      <c r="CM843"/>
      <c r="CN843"/>
      <c r="CO843"/>
      <c r="CP843"/>
      <c r="CQ843"/>
      <c r="CR843"/>
      <c r="CS843"/>
      <c r="CT843"/>
      <c r="CU843"/>
      <c r="CV843"/>
      <c r="CW843"/>
      <c r="CX843"/>
      <c r="CY843"/>
    </row>
    <row r="844" spans="2:103" s="1" customFormat="1" x14ac:dyDescent="0.25">
      <c r="B844" s="25"/>
      <c r="C844" s="32"/>
      <c r="D844" s="20"/>
      <c r="E844" s="34"/>
      <c r="F844" s="34"/>
      <c r="G844" s="1656"/>
      <c r="H844" s="1656"/>
      <c r="I844" s="1656"/>
      <c r="J844" s="1656"/>
      <c r="K844" s="170"/>
      <c r="L844" s="170"/>
      <c r="M844" s="35"/>
      <c r="N844" s="35"/>
      <c r="O844" s="35"/>
      <c r="P844" s="35"/>
      <c r="Q844" s="35"/>
      <c r="R844" s="35"/>
      <c r="S844" s="35"/>
      <c r="T844" s="35"/>
      <c r="U844" s="20"/>
      <c r="V844" s="28"/>
      <c r="CM844"/>
      <c r="CN844"/>
      <c r="CO844"/>
      <c r="CP844"/>
      <c r="CQ844"/>
      <c r="CR844"/>
      <c r="CS844"/>
      <c r="CT844"/>
      <c r="CU844"/>
      <c r="CV844"/>
      <c r="CW844"/>
      <c r="CX844"/>
      <c r="CY844"/>
    </row>
    <row r="845" spans="2:103" s="1" customFormat="1" x14ac:dyDescent="0.25">
      <c r="B845" s="25"/>
      <c r="C845" s="32"/>
      <c r="D845" s="20"/>
      <c r="E845" s="34"/>
      <c r="F845" s="47"/>
      <c r="G845" s="1651"/>
      <c r="H845" s="1652"/>
      <c r="I845" s="1652"/>
      <c r="J845" s="1652"/>
      <c r="K845" s="168"/>
      <c r="L845" s="168"/>
      <c r="M845" s="35"/>
      <c r="N845" s="35"/>
      <c r="O845" s="35"/>
      <c r="P845" s="35"/>
      <c r="Q845" s="35"/>
      <c r="R845" s="35"/>
      <c r="S845" s="35"/>
      <c r="T845" s="35"/>
      <c r="U845" s="20"/>
      <c r="V845" s="28"/>
      <c r="CM845"/>
      <c r="CN845"/>
      <c r="CO845"/>
      <c r="CP845"/>
      <c r="CQ845"/>
      <c r="CR845"/>
      <c r="CS845"/>
      <c r="CT845"/>
      <c r="CU845"/>
      <c r="CV845"/>
      <c r="CW845"/>
      <c r="CX845"/>
      <c r="CY845"/>
    </row>
    <row r="846" spans="2:103" s="1" customFormat="1" x14ac:dyDescent="0.25">
      <c r="B846" s="25"/>
      <c r="C846" s="32"/>
      <c r="D846" s="20"/>
      <c r="E846" s="34"/>
      <c r="F846" s="47"/>
      <c r="G846" s="1651"/>
      <c r="H846" s="1652"/>
      <c r="I846" s="1652"/>
      <c r="J846" s="1652"/>
      <c r="K846" s="168"/>
      <c r="L846" s="168"/>
      <c r="M846" s="35"/>
      <c r="N846" s="35"/>
      <c r="O846" s="35"/>
      <c r="P846" s="35"/>
      <c r="Q846" s="35"/>
      <c r="R846" s="35"/>
      <c r="S846" s="35"/>
      <c r="T846" s="35"/>
      <c r="U846" s="20"/>
      <c r="V846" s="28"/>
      <c r="CM846"/>
      <c r="CN846"/>
      <c r="CO846"/>
      <c r="CP846"/>
      <c r="CQ846"/>
      <c r="CR846"/>
      <c r="CS846"/>
      <c r="CT846"/>
      <c r="CU846"/>
      <c r="CV846"/>
      <c r="CW846"/>
      <c r="CX846"/>
      <c r="CY846"/>
    </row>
    <row r="847" spans="2:103" s="1" customFormat="1" x14ac:dyDescent="0.25">
      <c r="B847" s="25"/>
      <c r="C847" s="32"/>
      <c r="D847" s="20"/>
      <c r="E847" s="34"/>
      <c r="F847" s="47"/>
      <c r="G847" s="1651"/>
      <c r="H847" s="1652"/>
      <c r="I847" s="1652"/>
      <c r="J847" s="1652"/>
      <c r="K847" s="168"/>
      <c r="L847" s="168"/>
      <c r="M847" s="35"/>
      <c r="N847" s="35"/>
      <c r="O847" s="35"/>
      <c r="P847" s="35"/>
      <c r="Q847" s="35"/>
      <c r="R847" s="35"/>
      <c r="S847" s="35"/>
      <c r="T847" s="35"/>
      <c r="U847" s="20"/>
      <c r="V847" s="28"/>
      <c r="CM847"/>
      <c r="CN847"/>
      <c r="CO847"/>
      <c r="CP847"/>
      <c r="CQ847"/>
      <c r="CR847"/>
      <c r="CS847"/>
      <c r="CT847"/>
      <c r="CU847"/>
      <c r="CV847"/>
      <c r="CW847"/>
      <c r="CX847"/>
      <c r="CY847"/>
    </row>
    <row r="848" spans="2:103" s="1" customFormat="1" x14ac:dyDescent="0.25">
      <c r="B848" s="25"/>
      <c r="C848" s="32"/>
      <c r="D848" s="20"/>
      <c r="E848" s="34"/>
      <c r="F848" s="47"/>
      <c r="G848" s="1651"/>
      <c r="H848" s="1652"/>
      <c r="I848" s="1652"/>
      <c r="J848" s="1652"/>
      <c r="K848" s="168"/>
      <c r="L848" s="168"/>
      <c r="M848" s="35"/>
      <c r="N848" s="35"/>
      <c r="O848" s="35"/>
      <c r="P848" s="35"/>
      <c r="Q848" s="35"/>
      <c r="R848" s="35"/>
      <c r="S848" s="35"/>
      <c r="T848" s="35"/>
      <c r="U848" s="20"/>
      <c r="V848" s="28"/>
      <c r="CM848"/>
      <c r="CN848"/>
      <c r="CO848"/>
      <c r="CP848"/>
      <c r="CQ848"/>
      <c r="CR848"/>
      <c r="CS848"/>
      <c r="CT848"/>
      <c r="CU848"/>
      <c r="CV848"/>
      <c r="CW848"/>
      <c r="CX848"/>
      <c r="CY848"/>
    </row>
    <row r="849" spans="2:103" s="1" customFormat="1" x14ac:dyDescent="0.25">
      <c r="B849" s="25"/>
      <c r="C849" s="32"/>
      <c r="D849" s="20"/>
      <c r="E849" s="34"/>
      <c r="F849" s="47"/>
      <c r="G849" s="1651"/>
      <c r="H849" s="1652"/>
      <c r="I849" s="1652"/>
      <c r="J849" s="1652"/>
      <c r="K849" s="168"/>
      <c r="L849" s="168"/>
      <c r="M849" s="35"/>
      <c r="N849" s="35"/>
      <c r="O849" s="35"/>
      <c r="P849" s="35"/>
      <c r="Q849" s="35"/>
      <c r="R849" s="35"/>
      <c r="S849" s="35"/>
      <c r="T849" s="35"/>
      <c r="U849" s="20"/>
      <c r="V849" s="28"/>
      <c r="CM849"/>
      <c r="CN849"/>
      <c r="CO849"/>
      <c r="CP849"/>
      <c r="CQ849"/>
      <c r="CR849"/>
      <c r="CS849"/>
      <c r="CT849"/>
      <c r="CU849"/>
      <c r="CV849"/>
      <c r="CW849"/>
      <c r="CX849"/>
      <c r="CY849"/>
    </row>
    <row r="850" spans="2:103" s="1" customFormat="1" x14ac:dyDescent="0.25">
      <c r="B850" s="25"/>
      <c r="C850" s="32"/>
      <c r="D850" s="20"/>
      <c r="E850" s="34"/>
      <c r="F850" s="47"/>
      <c r="G850" s="1651"/>
      <c r="H850" s="1652"/>
      <c r="I850" s="1652"/>
      <c r="J850" s="1652"/>
      <c r="K850" s="168"/>
      <c r="L850" s="168"/>
      <c r="M850" s="35"/>
      <c r="N850" s="35"/>
      <c r="O850" s="35"/>
      <c r="P850" s="35"/>
      <c r="Q850" s="35"/>
      <c r="R850" s="35"/>
      <c r="S850" s="35"/>
      <c r="T850" s="35"/>
      <c r="U850" s="20"/>
      <c r="V850" s="28"/>
      <c r="CM850"/>
      <c r="CN850"/>
      <c r="CO850"/>
      <c r="CP850"/>
      <c r="CQ850"/>
      <c r="CR850"/>
      <c r="CS850"/>
      <c r="CT850"/>
      <c r="CU850"/>
      <c r="CV850"/>
      <c r="CW850"/>
      <c r="CX850"/>
      <c r="CY850"/>
    </row>
    <row r="851" spans="2:103" s="1" customFormat="1" x14ac:dyDescent="0.25">
      <c r="B851" s="25"/>
      <c r="C851" s="32"/>
      <c r="D851" s="20"/>
      <c r="E851" s="34"/>
      <c r="F851" s="47"/>
      <c r="G851" s="1651"/>
      <c r="H851" s="1652"/>
      <c r="I851" s="1652"/>
      <c r="J851" s="1652"/>
      <c r="K851" s="168"/>
      <c r="L851" s="168"/>
      <c r="M851" s="35"/>
      <c r="N851" s="35"/>
      <c r="O851" s="35"/>
      <c r="P851" s="35"/>
      <c r="Q851" s="35"/>
      <c r="R851" s="35"/>
      <c r="S851" s="35"/>
      <c r="T851" s="35"/>
      <c r="U851" s="20"/>
      <c r="V851" s="28"/>
      <c r="CM851"/>
      <c r="CN851"/>
      <c r="CO851"/>
      <c r="CP851"/>
      <c r="CQ851"/>
      <c r="CR851"/>
      <c r="CS851"/>
      <c r="CT851"/>
      <c r="CU851"/>
      <c r="CV851"/>
      <c r="CW851"/>
      <c r="CX851"/>
      <c r="CY851"/>
    </row>
    <row r="852" spans="2:103" s="1" customFormat="1" x14ac:dyDescent="0.25">
      <c r="B852" s="25"/>
      <c r="C852" s="32"/>
      <c r="D852" s="20"/>
      <c r="E852" s="34"/>
      <c r="F852" s="47"/>
      <c r="G852" s="1651"/>
      <c r="H852" s="1652"/>
      <c r="I852" s="1652"/>
      <c r="J852" s="1652"/>
      <c r="K852" s="168"/>
      <c r="L852" s="168"/>
      <c r="M852" s="35"/>
      <c r="N852" s="35"/>
      <c r="O852" s="35"/>
      <c r="P852" s="35"/>
      <c r="Q852" s="35"/>
      <c r="R852" s="35"/>
      <c r="S852" s="35"/>
      <c r="T852" s="35"/>
      <c r="U852" s="20"/>
      <c r="V852" s="28"/>
      <c r="CM852"/>
      <c r="CN852"/>
      <c r="CO852"/>
      <c r="CP852"/>
      <c r="CQ852"/>
      <c r="CR852"/>
      <c r="CS852"/>
      <c r="CT852"/>
      <c r="CU852"/>
      <c r="CV852"/>
      <c r="CW852"/>
      <c r="CX852"/>
      <c r="CY852"/>
    </row>
    <row r="853" spans="2:103" s="1" customFormat="1" x14ac:dyDescent="0.25">
      <c r="B853" s="25"/>
      <c r="C853" s="32"/>
      <c r="D853" s="20"/>
      <c r="E853" s="34"/>
      <c r="F853" s="47"/>
      <c r="G853" s="1651"/>
      <c r="H853" s="1652"/>
      <c r="I853" s="1652"/>
      <c r="J853" s="1652"/>
      <c r="K853" s="168"/>
      <c r="L853" s="168"/>
      <c r="M853" s="35"/>
      <c r="N853" s="35"/>
      <c r="O853" s="35"/>
      <c r="P853" s="35"/>
      <c r="Q853" s="35"/>
      <c r="R853" s="35"/>
      <c r="S853" s="35"/>
      <c r="T853" s="35"/>
      <c r="U853" s="20"/>
      <c r="V853" s="28"/>
      <c r="CM853"/>
      <c r="CN853"/>
      <c r="CO853"/>
      <c r="CP853"/>
      <c r="CQ853"/>
      <c r="CR853"/>
      <c r="CS853"/>
      <c r="CT853"/>
      <c r="CU853"/>
      <c r="CV853"/>
      <c r="CW853"/>
      <c r="CX853"/>
      <c r="CY853"/>
    </row>
    <row r="854" spans="2:103" s="1" customFormat="1" x14ac:dyDescent="0.25">
      <c r="B854" s="25"/>
      <c r="C854" s="32"/>
      <c r="D854" s="20"/>
      <c r="E854" s="34"/>
      <c r="F854" s="47"/>
      <c r="G854" s="1651"/>
      <c r="H854" s="1652"/>
      <c r="I854" s="1652"/>
      <c r="J854" s="1652"/>
      <c r="K854" s="168"/>
      <c r="L854" s="168"/>
      <c r="M854" s="35"/>
      <c r="N854" s="35"/>
      <c r="O854" s="35"/>
      <c r="P854" s="35"/>
      <c r="Q854" s="35"/>
      <c r="R854" s="35"/>
      <c r="S854" s="35"/>
      <c r="T854" s="35"/>
      <c r="U854" s="20"/>
      <c r="V854" s="28"/>
      <c r="CM854"/>
      <c r="CN854"/>
      <c r="CO854"/>
      <c r="CP854"/>
      <c r="CQ854"/>
      <c r="CR854"/>
      <c r="CS854"/>
      <c r="CT854"/>
      <c r="CU854"/>
      <c r="CV854"/>
      <c r="CW854"/>
      <c r="CX854"/>
      <c r="CY854"/>
    </row>
    <row r="855" spans="2:103" s="1" customFormat="1" x14ac:dyDescent="0.25">
      <c r="B855" s="25"/>
      <c r="C855" s="32"/>
      <c r="D855" s="20"/>
      <c r="E855" s="34"/>
      <c r="F855" s="47"/>
      <c r="G855" s="1651"/>
      <c r="H855" s="1652"/>
      <c r="I855" s="1652"/>
      <c r="J855" s="1652"/>
      <c r="K855" s="168"/>
      <c r="L855" s="168"/>
      <c r="M855" s="35"/>
      <c r="N855" s="35"/>
      <c r="O855" s="35"/>
      <c r="P855" s="35"/>
      <c r="Q855" s="35"/>
      <c r="R855" s="35"/>
      <c r="S855" s="35"/>
      <c r="T855" s="35"/>
      <c r="U855" s="20"/>
      <c r="V855" s="28"/>
      <c r="CM855"/>
      <c r="CN855"/>
      <c r="CO855"/>
      <c r="CP855"/>
      <c r="CQ855"/>
      <c r="CR855"/>
      <c r="CS855"/>
      <c r="CT855"/>
      <c r="CU855"/>
      <c r="CV855"/>
      <c r="CW855"/>
      <c r="CX855"/>
      <c r="CY855"/>
    </row>
    <row r="856" spans="2:103" s="1" customFormat="1" x14ac:dyDescent="0.25">
      <c r="B856" s="25"/>
      <c r="C856" s="32"/>
      <c r="D856" s="20"/>
      <c r="E856" s="34"/>
      <c r="F856" s="47"/>
      <c r="G856" s="1651"/>
      <c r="H856" s="1652"/>
      <c r="I856" s="1652"/>
      <c r="J856" s="1652"/>
      <c r="K856" s="168"/>
      <c r="L856" s="168"/>
      <c r="M856" s="35"/>
      <c r="N856" s="35"/>
      <c r="O856" s="35"/>
      <c r="P856" s="35"/>
      <c r="Q856" s="35"/>
      <c r="R856" s="35"/>
      <c r="S856" s="35"/>
      <c r="T856" s="35"/>
      <c r="U856" s="20"/>
      <c r="V856" s="28"/>
      <c r="CM856"/>
      <c r="CN856"/>
      <c r="CO856"/>
      <c r="CP856"/>
      <c r="CQ856"/>
      <c r="CR856"/>
      <c r="CS856"/>
      <c r="CT856"/>
      <c r="CU856"/>
      <c r="CV856"/>
      <c r="CW856"/>
      <c r="CX856"/>
      <c r="CY856"/>
    </row>
    <row r="857" spans="2:103" s="1" customFormat="1" x14ac:dyDescent="0.25">
      <c r="B857" s="25"/>
      <c r="C857" s="32"/>
      <c r="D857" s="20"/>
      <c r="E857" s="34"/>
      <c r="F857" s="47"/>
      <c r="G857" s="1651"/>
      <c r="H857" s="1652"/>
      <c r="I857" s="1652"/>
      <c r="J857" s="1652"/>
      <c r="K857" s="168"/>
      <c r="L857" s="168"/>
      <c r="M857" s="35"/>
      <c r="N857" s="35"/>
      <c r="O857" s="35"/>
      <c r="P857" s="35"/>
      <c r="Q857" s="35"/>
      <c r="R857" s="35"/>
      <c r="S857" s="35"/>
      <c r="T857" s="35"/>
      <c r="U857" s="20"/>
      <c r="V857" s="28"/>
      <c r="CM857"/>
      <c r="CN857"/>
      <c r="CO857"/>
      <c r="CP857"/>
      <c r="CQ857"/>
      <c r="CR857"/>
      <c r="CS857"/>
      <c r="CT857"/>
      <c r="CU857"/>
      <c r="CV857"/>
      <c r="CW857"/>
      <c r="CX857"/>
      <c r="CY857"/>
    </row>
    <row r="858" spans="2:103" s="1" customFormat="1" x14ac:dyDescent="0.25">
      <c r="B858" s="25"/>
      <c r="C858" s="32"/>
      <c r="D858" s="20"/>
      <c r="E858" s="34"/>
      <c r="F858" s="47"/>
      <c r="G858" s="1651"/>
      <c r="H858" s="1652"/>
      <c r="I858" s="1652"/>
      <c r="J858" s="1652"/>
      <c r="K858" s="168"/>
      <c r="L858" s="168"/>
      <c r="M858" s="35"/>
      <c r="N858" s="35"/>
      <c r="O858" s="35"/>
      <c r="P858" s="35"/>
      <c r="Q858" s="35"/>
      <c r="R858" s="35"/>
      <c r="S858" s="35"/>
      <c r="T858" s="35"/>
      <c r="U858" s="20"/>
      <c r="V858" s="28"/>
      <c r="CM858"/>
      <c r="CN858"/>
      <c r="CO858"/>
      <c r="CP858"/>
      <c r="CQ858"/>
      <c r="CR858"/>
      <c r="CS858"/>
      <c r="CT858"/>
      <c r="CU858"/>
      <c r="CV858"/>
      <c r="CW858"/>
      <c r="CX858"/>
      <c r="CY858"/>
    </row>
    <row r="859" spans="2:103" s="1" customFormat="1" x14ac:dyDescent="0.25">
      <c r="B859" s="25"/>
      <c r="C859" s="32"/>
      <c r="D859" s="20"/>
      <c r="E859" s="34"/>
      <c r="F859" s="47"/>
      <c r="G859" s="1651"/>
      <c r="H859" s="1652"/>
      <c r="I859" s="1652"/>
      <c r="J859" s="1652"/>
      <c r="K859" s="168"/>
      <c r="L859" s="168"/>
      <c r="M859" s="35"/>
      <c r="N859" s="35"/>
      <c r="O859" s="35"/>
      <c r="P859" s="35"/>
      <c r="Q859" s="35"/>
      <c r="R859" s="35"/>
      <c r="S859" s="35"/>
      <c r="T859" s="35"/>
      <c r="U859" s="20"/>
      <c r="V859" s="28"/>
      <c r="CM859"/>
      <c r="CN859"/>
      <c r="CO859"/>
      <c r="CP859"/>
      <c r="CQ859"/>
      <c r="CR859"/>
      <c r="CS859"/>
      <c r="CT859"/>
      <c r="CU859"/>
      <c r="CV859"/>
      <c r="CW859"/>
      <c r="CX859"/>
      <c r="CY859"/>
    </row>
    <row r="860" spans="2:103" s="1" customFormat="1" x14ac:dyDescent="0.25">
      <c r="B860" s="25"/>
      <c r="C860" s="32"/>
      <c r="D860" s="20"/>
      <c r="E860" s="34"/>
      <c r="F860" s="47"/>
      <c r="G860" s="1651"/>
      <c r="H860" s="1652"/>
      <c r="I860" s="1652"/>
      <c r="J860" s="1652"/>
      <c r="K860" s="168"/>
      <c r="L860" s="168"/>
      <c r="M860" s="35"/>
      <c r="N860" s="35"/>
      <c r="O860" s="35"/>
      <c r="P860" s="35"/>
      <c r="Q860" s="35"/>
      <c r="R860" s="35"/>
      <c r="S860" s="35"/>
      <c r="T860" s="35"/>
      <c r="U860" s="20"/>
      <c r="V860" s="28"/>
      <c r="CM860"/>
      <c r="CN860"/>
      <c r="CO860"/>
      <c r="CP860"/>
      <c r="CQ860"/>
      <c r="CR860"/>
      <c r="CS860"/>
      <c r="CT860"/>
      <c r="CU860"/>
      <c r="CV860"/>
      <c r="CW860"/>
      <c r="CX860"/>
      <c r="CY860"/>
    </row>
    <row r="861" spans="2:103" s="1" customFormat="1" x14ac:dyDescent="0.25">
      <c r="B861" s="25"/>
      <c r="C861" s="32"/>
      <c r="D861" s="20"/>
      <c r="E861" s="34"/>
      <c r="F861" s="47"/>
      <c r="G861" s="1651"/>
      <c r="H861" s="1652"/>
      <c r="I861" s="1652"/>
      <c r="J861" s="1652"/>
      <c r="K861" s="168"/>
      <c r="L861" s="168"/>
      <c r="M861" s="35"/>
      <c r="N861" s="35"/>
      <c r="O861" s="35"/>
      <c r="P861" s="35"/>
      <c r="Q861" s="35"/>
      <c r="R861" s="35"/>
      <c r="S861" s="35"/>
      <c r="T861" s="35"/>
      <c r="U861" s="20"/>
      <c r="V861" s="28"/>
      <c r="CM861"/>
      <c r="CN861"/>
      <c r="CO861"/>
      <c r="CP861"/>
      <c r="CQ861"/>
      <c r="CR861"/>
      <c r="CS861"/>
      <c r="CT861"/>
      <c r="CU861"/>
      <c r="CV861"/>
      <c r="CW861"/>
      <c r="CX861"/>
      <c r="CY861"/>
    </row>
    <row r="862" spans="2:103" s="1" customFormat="1" x14ac:dyDescent="0.25">
      <c r="B862" s="25"/>
      <c r="C862" s="32"/>
      <c r="D862" s="20"/>
      <c r="E862" s="34"/>
      <c r="F862" s="47"/>
      <c r="G862" s="1651"/>
      <c r="H862" s="1652"/>
      <c r="I862" s="1652"/>
      <c r="J862" s="1652"/>
      <c r="K862" s="168"/>
      <c r="L862" s="168"/>
      <c r="M862" s="35"/>
      <c r="N862" s="35"/>
      <c r="O862" s="35"/>
      <c r="P862" s="35"/>
      <c r="Q862" s="35"/>
      <c r="R862" s="35"/>
      <c r="S862" s="35"/>
      <c r="T862" s="35"/>
      <c r="U862" s="20"/>
      <c r="V862" s="28"/>
      <c r="CM862"/>
      <c r="CN862"/>
      <c r="CO862"/>
      <c r="CP862"/>
      <c r="CQ862"/>
      <c r="CR862"/>
      <c r="CS862"/>
      <c r="CT862"/>
      <c r="CU862"/>
      <c r="CV862"/>
      <c r="CW862"/>
      <c r="CX862"/>
      <c r="CY862"/>
    </row>
    <row r="863" spans="2:103" s="1" customFormat="1" x14ac:dyDescent="0.25">
      <c r="B863" s="25"/>
      <c r="C863" s="32"/>
      <c r="D863" s="20"/>
      <c r="E863" s="34"/>
      <c r="F863" s="47"/>
      <c r="G863" s="1651"/>
      <c r="H863" s="1652"/>
      <c r="I863" s="1652"/>
      <c r="J863" s="1652"/>
      <c r="K863" s="168"/>
      <c r="L863" s="168"/>
      <c r="M863" s="35"/>
      <c r="N863" s="35"/>
      <c r="O863" s="35"/>
      <c r="P863" s="35"/>
      <c r="Q863" s="35"/>
      <c r="R863" s="35"/>
      <c r="S863" s="35"/>
      <c r="T863" s="35"/>
      <c r="U863" s="20"/>
      <c r="V863" s="28"/>
      <c r="CM863"/>
      <c r="CN863"/>
      <c r="CO863"/>
      <c r="CP863"/>
      <c r="CQ863"/>
      <c r="CR863"/>
      <c r="CS863"/>
      <c r="CT863"/>
      <c r="CU863"/>
      <c r="CV863"/>
      <c r="CW863"/>
      <c r="CX863"/>
      <c r="CY863"/>
    </row>
    <row r="864" spans="2:103" s="1" customFormat="1" x14ac:dyDescent="0.25">
      <c r="B864" s="25"/>
      <c r="C864" s="32"/>
      <c r="D864" s="20"/>
      <c r="E864" s="34"/>
      <c r="F864" s="47"/>
      <c r="G864" s="1651"/>
      <c r="H864" s="1652"/>
      <c r="I864" s="1652"/>
      <c r="J864" s="1652"/>
      <c r="K864" s="168"/>
      <c r="L864" s="168"/>
      <c r="M864" s="35"/>
      <c r="N864" s="35"/>
      <c r="O864" s="35"/>
      <c r="P864" s="35"/>
      <c r="Q864" s="35"/>
      <c r="R864" s="35"/>
      <c r="S864" s="35"/>
      <c r="T864" s="35"/>
      <c r="U864" s="20"/>
      <c r="V864" s="28"/>
      <c r="CM864"/>
      <c r="CN864"/>
      <c r="CO864"/>
      <c r="CP864"/>
      <c r="CQ864"/>
      <c r="CR864"/>
      <c r="CS864"/>
      <c r="CT864"/>
      <c r="CU864"/>
      <c r="CV864"/>
      <c r="CW864"/>
      <c r="CX864"/>
      <c r="CY864"/>
    </row>
    <row r="865" spans="2:103" s="1" customFormat="1" x14ac:dyDescent="0.25">
      <c r="B865" s="25"/>
      <c r="C865" s="32"/>
      <c r="D865" s="20"/>
      <c r="E865" s="34"/>
      <c r="F865" s="34"/>
      <c r="G865" s="1656"/>
      <c r="H865" s="1656"/>
      <c r="I865" s="1656"/>
      <c r="J865" s="1656"/>
      <c r="K865" s="170"/>
      <c r="L865" s="170"/>
      <c r="M865" s="35"/>
      <c r="N865" s="35"/>
      <c r="O865" s="35"/>
      <c r="P865" s="35"/>
      <c r="Q865" s="35"/>
      <c r="R865" s="35"/>
      <c r="S865" s="35"/>
      <c r="T865" s="35"/>
      <c r="U865" s="20"/>
      <c r="V865" s="28"/>
      <c r="CM865"/>
      <c r="CN865"/>
      <c r="CO865"/>
      <c r="CP865"/>
      <c r="CQ865"/>
      <c r="CR865"/>
      <c r="CS865"/>
      <c r="CT865"/>
      <c r="CU865"/>
      <c r="CV865"/>
      <c r="CW865"/>
      <c r="CX865"/>
      <c r="CY865"/>
    </row>
    <row r="866" spans="2:103" s="1" customFormat="1" x14ac:dyDescent="0.25">
      <c r="B866" s="25"/>
      <c r="C866" s="32"/>
      <c r="D866" s="20"/>
      <c r="E866" s="34"/>
      <c r="F866" s="34"/>
      <c r="G866" s="1656"/>
      <c r="H866" s="1656"/>
      <c r="I866" s="1656"/>
      <c r="J866" s="1656"/>
      <c r="K866" s="170"/>
      <c r="L866" s="170"/>
      <c r="M866" s="35"/>
      <c r="N866" s="35"/>
      <c r="O866" s="35"/>
      <c r="P866" s="35"/>
      <c r="Q866" s="35"/>
      <c r="R866" s="35"/>
      <c r="S866" s="35"/>
      <c r="T866" s="35"/>
      <c r="U866" s="20"/>
      <c r="V866" s="28"/>
      <c r="CM866"/>
      <c r="CN866"/>
      <c r="CO866"/>
      <c r="CP866"/>
      <c r="CQ866"/>
      <c r="CR866"/>
      <c r="CS866"/>
      <c r="CT866"/>
      <c r="CU866"/>
      <c r="CV866"/>
      <c r="CW866"/>
      <c r="CX866"/>
      <c r="CY866"/>
    </row>
    <row r="867" spans="2:103" s="1" customFormat="1" x14ac:dyDescent="0.25">
      <c r="B867" s="25"/>
      <c r="C867" s="32"/>
      <c r="D867" s="20"/>
      <c r="E867" s="34"/>
      <c r="F867" s="34"/>
      <c r="G867" s="1656"/>
      <c r="H867" s="1656"/>
      <c r="I867" s="1656"/>
      <c r="J867" s="1656"/>
      <c r="K867" s="170"/>
      <c r="L867" s="170"/>
      <c r="M867" s="35"/>
      <c r="N867" s="35"/>
      <c r="O867" s="35"/>
      <c r="P867" s="35"/>
      <c r="Q867" s="35"/>
      <c r="R867" s="35"/>
      <c r="S867" s="35"/>
      <c r="T867" s="35"/>
      <c r="U867" s="20"/>
      <c r="V867" s="28"/>
      <c r="CM867"/>
      <c r="CN867"/>
      <c r="CO867"/>
      <c r="CP867"/>
      <c r="CQ867"/>
      <c r="CR867"/>
      <c r="CS867"/>
      <c r="CT867"/>
      <c r="CU867"/>
      <c r="CV867"/>
      <c r="CW867"/>
      <c r="CX867"/>
      <c r="CY867"/>
    </row>
    <row r="868" spans="2:103" s="1" customFormat="1" x14ac:dyDescent="0.25">
      <c r="B868" s="25"/>
      <c r="C868" s="32"/>
      <c r="D868" s="20"/>
      <c r="E868" s="34"/>
      <c r="F868" s="34"/>
      <c r="G868" s="1656"/>
      <c r="H868" s="1656"/>
      <c r="I868" s="1656"/>
      <c r="J868" s="1656"/>
      <c r="K868" s="170"/>
      <c r="L868" s="170"/>
      <c r="M868" s="35"/>
      <c r="N868" s="35"/>
      <c r="O868" s="35"/>
      <c r="P868" s="35"/>
      <c r="Q868" s="35"/>
      <c r="R868" s="35"/>
      <c r="S868" s="35"/>
      <c r="T868" s="35"/>
      <c r="U868" s="20"/>
      <c r="V868" s="28"/>
      <c r="CM868"/>
      <c r="CN868"/>
      <c r="CO868"/>
      <c r="CP868"/>
      <c r="CQ868"/>
      <c r="CR868"/>
      <c r="CS868"/>
      <c r="CT868"/>
      <c r="CU868"/>
      <c r="CV868"/>
      <c r="CW868"/>
      <c r="CX868"/>
      <c r="CY868"/>
    </row>
    <row r="869" spans="2:103" s="1" customFormat="1" x14ac:dyDescent="0.25">
      <c r="B869" s="25"/>
      <c r="C869" s="32"/>
      <c r="D869" s="20"/>
      <c r="E869" s="34"/>
      <c r="F869" s="34"/>
      <c r="G869" s="1656"/>
      <c r="H869" s="1656"/>
      <c r="I869" s="1656"/>
      <c r="J869" s="1656"/>
      <c r="K869" s="170"/>
      <c r="L869" s="170"/>
      <c r="M869" s="35"/>
      <c r="N869" s="35"/>
      <c r="O869" s="35"/>
      <c r="P869" s="35"/>
      <c r="Q869" s="35"/>
      <c r="R869" s="35"/>
      <c r="S869" s="35"/>
      <c r="T869" s="35"/>
      <c r="U869" s="20"/>
      <c r="V869" s="28"/>
      <c r="CM869"/>
      <c r="CN869"/>
      <c r="CO869"/>
      <c r="CP869"/>
      <c r="CQ869"/>
      <c r="CR869"/>
      <c r="CS869"/>
      <c r="CT869"/>
      <c r="CU869"/>
      <c r="CV869"/>
      <c r="CW869"/>
      <c r="CX869"/>
      <c r="CY869"/>
    </row>
    <row r="870" spans="2:103" s="1" customFormat="1" x14ac:dyDescent="0.25">
      <c r="B870" s="25"/>
      <c r="C870" s="32"/>
      <c r="D870" s="20"/>
      <c r="E870" s="34"/>
      <c r="F870" s="34"/>
      <c r="G870" s="1656"/>
      <c r="H870" s="1656"/>
      <c r="I870" s="1656"/>
      <c r="J870" s="1656"/>
      <c r="K870" s="170"/>
      <c r="L870" s="170"/>
      <c r="M870" s="35"/>
      <c r="N870" s="35"/>
      <c r="O870" s="35"/>
      <c r="P870" s="35"/>
      <c r="Q870" s="35"/>
      <c r="R870" s="35"/>
      <c r="S870" s="35"/>
      <c r="T870" s="35"/>
      <c r="U870" s="20"/>
      <c r="V870" s="28"/>
      <c r="CM870"/>
      <c r="CN870"/>
      <c r="CO870"/>
      <c r="CP870"/>
      <c r="CQ870"/>
      <c r="CR870"/>
      <c r="CS870"/>
      <c r="CT870"/>
      <c r="CU870"/>
      <c r="CV870"/>
      <c r="CW870"/>
      <c r="CX870"/>
      <c r="CY870"/>
    </row>
    <row r="871" spans="2:103" s="1" customFormat="1" x14ac:dyDescent="0.25">
      <c r="B871" s="25"/>
      <c r="C871" s="32"/>
      <c r="D871" s="20"/>
      <c r="E871" s="34"/>
      <c r="F871" s="34"/>
      <c r="G871" s="1656"/>
      <c r="H871" s="1656"/>
      <c r="I871" s="1656"/>
      <c r="J871" s="1656"/>
      <c r="K871" s="170"/>
      <c r="L871" s="170"/>
      <c r="M871" s="35"/>
      <c r="N871" s="35"/>
      <c r="O871" s="35"/>
      <c r="P871" s="35"/>
      <c r="Q871" s="35"/>
      <c r="R871" s="35"/>
      <c r="S871" s="35"/>
      <c r="T871" s="35"/>
      <c r="U871" s="20"/>
      <c r="V871" s="28"/>
      <c r="CM871"/>
      <c r="CN871"/>
      <c r="CO871"/>
      <c r="CP871"/>
      <c r="CQ871"/>
      <c r="CR871"/>
      <c r="CS871"/>
      <c r="CT871"/>
      <c r="CU871"/>
      <c r="CV871"/>
      <c r="CW871"/>
      <c r="CX871"/>
      <c r="CY871"/>
    </row>
    <row r="872" spans="2:103" s="1" customFormat="1" x14ac:dyDescent="0.25">
      <c r="B872" s="25"/>
      <c r="C872" s="32"/>
      <c r="D872" s="20"/>
      <c r="E872" s="34"/>
      <c r="F872" s="34"/>
      <c r="G872" s="1656"/>
      <c r="H872" s="1656"/>
      <c r="I872" s="1656"/>
      <c r="J872" s="1656"/>
      <c r="K872" s="170"/>
      <c r="L872" s="170"/>
      <c r="M872" s="35"/>
      <c r="N872" s="35"/>
      <c r="O872" s="35"/>
      <c r="P872" s="35"/>
      <c r="Q872" s="35"/>
      <c r="R872" s="35"/>
      <c r="S872" s="35"/>
      <c r="T872" s="35"/>
      <c r="U872" s="20"/>
      <c r="V872" s="28"/>
      <c r="CM872"/>
      <c r="CN872"/>
      <c r="CO872"/>
      <c r="CP872"/>
      <c r="CQ872"/>
      <c r="CR872"/>
      <c r="CS872"/>
      <c r="CT872"/>
      <c r="CU872"/>
      <c r="CV872"/>
      <c r="CW872"/>
      <c r="CX872"/>
      <c r="CY872"/>
    </row>
    <row r="873" spans="2:103" s="1" customFormat="1" x14ac:dyDescent="0.25">
      <c r="B873" s="25"/>
      <c r="C873" s="32"/>
      <c r="D873" s="20"/>
      <c r="E873" s="34"/>
      <c r="F873" s="34"/>
      <c r="G873" s="1656"/>
      <c r="H873" s="1656"/>
      <c r="I873" s="1656"/>
      <c r="J873" s="1656"/>
      <c r="K873" s="170"/>
      <c r="L873" s="170"/>
      <c r="M873" s="35"/>
      <c r="N873" s="35"/>
      <c r="O873" s="35"/>
      <c r="P873" s="35"/>
      <c r="Q873" s="35"/>
      <c r="R873" s="35"/>
      <c r="S873" s="35"/>
      <c r="T873" s="35"/>
      <c r="U873" s="20"/>
      <c r="V873" s="28"/>
      <c r="CM873"/>
      <c r="CN873"/>
      <c r="CO873"/>
      <c r="CP873"/>
      <c r="CQ873"/>
      <c r="CR873"/>
      <c r="CS873"/>
      <c r="CT873"/>
      <c r="CU873"/>
      <c r="CV873"/>
      <c r="CW873"/>
      <c r="CX873"/>
      <c r="CY873"/>
    </row>
    <row r="874" spans="2:103" s="1" customFormat="1" x14ac:dyDescent="0.25">
      <c r="B874" s="25"/>
      <c r="C874" s="32"/>
      <c r="D874" s="20"/>
      <c r="E874" s="34"/>
      <c r="F874" s="34"/>
      <c r="G874" s="1656"/>
      <c r="H874" s="1656"/>
      <c r="I874" s="1656"/>
      <c r="J874" s="1656"/>
      <c r="K874" s="170"/>
      <c r="L874" s="170"/>
      <c r="M874" s="35"/>
      <c r="N874" s="35"/>
      <c r="O874" s="35"/>
      <c r="P874" s="35"/>
      <c r="Q874" s="35"/>
      <c r="R874" s="35"/>
      <c r="S874" s="35"/>
      <c r="T874" s="35"/>
      <c r="U874" s="20"/>
      <c r="V874" s="28"/>
      <c r="CM874"/>
      <c r="CN874"/>
      <c r="CO874"/>
      <c r="CP874"/>
      <c r="CQ874"/>
      <c r="CR874"/>
      <c r="CS874"/>
      <c r="CT874"/>
      <c r="CU874"/>
      <c r="CV874"/>
      <c r="CW874"/>
      <c r="CX874"/>
      <c r="CY874"/>
    </row>
    <row r="875" spans="2:103" s="1" customFormat="1" x14ac:dyDescent="0.25">
      <c r="B875" s="25"/>
      <c r="C875" s="32"/>
      <c r="D875" s="20"/>
      <c r="E875" s="34"/>
      <c r="F875" s="34"/>
      <c r="G875" s="1656"/>
      <c r="H875" s="1656"/>
      <c r="I875" s="1656"/>
      <c r="J875" s="1656"/>
      <c r="K875" s="170"/>
      <c r="L875" s="170"/>
      <c r="M875" s="35"/>
      <c r="N875" s="35"/>
      <c r="O875" s="35"/>
      <c r="P875" s="35"/>
      <c r="Q875" s="35"/>
      <c r="R875" s="35"/>
      <c r="S875" s="35"/>
      <c r="T875" s="35"/>
      <c r="U875" s="20"/>
      <c r="V875" s="28"/>
      <c r="CM875"/>
      <c r="CN875"/>
      <c r="CO875"/>
      <c r="CP875"/>
      <c r="CQ875"/>
      <c r="CR875"/>
      <c r="CS875"/>
      <c r="CT875"/>
      <c r="CU875"/>
      <c r="CV875"/>
      <c r="CW875"/>
      <c r="CX875"/>
      <c r="CY875"/>
    </row>
    <row r="876" spans="2:103" s="1" customFormat="1" x14ac:dyDescent="0.25">
      <c r="B876" s="25"/>
      <c r="C876" s="32"/>
      <c r="D876" s="20"/>
      <c r="E876" s="34"/>
      <c r="F876" s="47"/>
      <c r="G876" s="1651"/>
      <c r="H876" s="1652"/>
      <c r="I876" s="1652"/>
      <c r="J876" s="1652"/>
      <c r="K876" s="168"/>
      <c r="L876" s="168"/>
      <c r="M876" s="35"/>
      <c r="N876" s="35"/>
      <c r="O876" s="35"/>
      <c r="P876" s="35"/>
      <c r="Q876" s="35"/>
      <c r="R876" s="35"/>
      <c r="S876" s="35"/>
      <c r="T876" s="35"/>
      <c r="U876" s="20"/>
      <c r="V876" s="28"/>
      <c r="CM876"/>
      <c r="CN876"/>
      <c r="CO876"/>
      <c r="CP876"/>
      <c r="CQ876"/>
      <c r="CR876"/>
      <c r="CS876"/>
      <c r="CT876"/>
      <c r="CU876"/>
      <c r="CV876"/>
      <c r="CW876"/>
      <c r="CX876"/>
      <c r="CY876"/>
    </row>
    <row r="877" spans="2:103" s="1" customFormat="1" x14ac:dyDescent="0.25">
      <c r="B877" s="25"/>
      <c r="C877" s="32"/>
      <c r="D877" s="20"/>
      <c r="E877" s="34"/>
      <c r="F877" s="47"/>
      <c r="G877" s="1651"/>
      <c r="H877" s="1652"/>
      <c r="I877" s="1652"/>
      <c r="J877" s="1652"/>
      <c r="K877" s="168"/>
      <c r="L877" s="168"/>
      <c r="M877" s="35"/>
      <c r="N877" s="35"/>
      <c r="O877" s="35"/>
      <c r="P877" s="35"/>
      <c r="Q877" s="35"/>
      <c r="R877" s="35"/>
      <c r="S877" s="35"/>
      <c r="T877" s="35"/>
      <c r="U877" s="20"/>
      <c r="V877" s="28"/>
      <c r="CM877"/>
      <c r="CN877"/>
      <c r="CO877"/>
      <c r="CP877"/>
      <c r="CQ877"/>
      <c r="CR877"/>
      <c r="CS877"/>
      <c r="CT877"/>
      <c r="CU877"/>
      <c r="CV877"/>
      <c r="CW877"/>
      <c r="CX877"/>
      <c r="CY877"/>
    </row>
    <row r="878" spans="2:103" s="1" customFormat="1" x14ac:dyDescent="0.25">
      <c r="B878" s="25"/>
      <c r="C878" s="32"/>
      <c r="D878" s="20"/>
      <c r="E878" s="34"/>
      <c r="F878" s="47"/>
      <c r="G878" s="1651"/>
      <c r="H878" s="1652"/>
      <c r="I878" s="1652"/>
      <c r="J878" s="1652"/>
      <c r="K878" s="168"/>
      <c r="L878" s="168"/>
      <c r="M878" s="35"/>
      <c r="N878" s="35"/>
      <c r="O878" s="35"/>
      <c r="P878" s="35"/>
      <c r="Q878" s="35"/>
      <c r="R878" s="35"/>
      <c r="S878" s="35"/>
      <c r="T878" s="35"/>
      <c r="U878" s="20"/>
      <c r="V878" s="28"/>
      <c r="CM878"/>
      <c r="CN878"/>
      <c r="CO878"/>
      <c r="CP878"/>
      <c r="CQ878"/>
      <c r="CR878"/>
      <c r="CS878"/>
      <c r="CT878"/>
      <c r="CU878"/>
      <c r="CV878"/>
      <c r="CW878"/>
      <c r="CX878"/>
      <c r="CY878"/>
    </row>
    <row r="879" spans="2:103" s="1" customFormat="1" x14ac:dyDescent="0.25">
      <c r="B879" s="25"/>
      <c r="C879" s="32"/>
      <c r="D879" s="20"/>
      <c r="E879" s="34"/>
      <c r="F879" s="47"/>
      <c r="G879" s="1651"/>
      <c r="H879" s="1652"/>
      <c r="I879" s="1652"/>
      <c r="J879" s="1652"/>
      <c r="K879" s="168"/>
      <c r="L879" s="168"/>
      <c r="M879" s="35"/>
      <c r="N879" s="35"/>
      <c r="O879" s="35"/>
      <c r="P879" s="35"/>
      <c r="Q879" s="35"/>
      <c r="R879" s="35"/>
      <c r="S879" s="35"/>
      <c r="T879" s="35"/>
      <c r="U879" s="20"/>
      <c r="V879" s="28"/>
      <c r="CM879"/>
      <c r="CN879"/>
      <c r="CO879"/>
      <c r="CP879"/>
      <c r="CQ879"/>
      <c r="CR879"/>
      <c r="CS879"/>
      <c r="CT879"/>
      <c r="CU879"/>
      <c r="CV879"/>
      <c r="CW879"/>
      <c r="CX879"/>
      <c r="CY879"/>
    </row>
    <row r="880" spans="2:103" s="1" customFormat="1" x14ac:dyDescent="0.25">
      <c r="B880" s="25"/>
      <c r="C880" s="32"/>
      <c r="D880" s="20"/>
      <c r="E880" s="34"/>
      <c r="F880" s="47"/>
      <c r="G880" s="1651"/>
      <c r="H880" s="1652"/>
      <c r="I880" s="1652"/>
      <c r="J880" s="1652"/>
      <c r="K880" s="168"/>
      <c r="L880" s="168"/>
      <c r="M880" s="35"/>
      <c r="N880" s="35"/>
      <c r="O880" s="35"/>
      <c r="P880" s="35"/>
      <c r="Q880" s="35"/>
      <c r="R880" s="35"/>
      <c r="S880" s="35"/>
      <c r="T880" s="35"/>
      <c r="U880" s="20"/>
      <c r="V880" s="28"/>
      <c r="CM880"/>
      <c r="CN880"/>
      <c r="CO880"/>
      <c r="CP880"/>
      <c r="CQ880"/>
      <c r="CR880"/>
      <c r="CS880"/>
      <c r="CT880"/>
      <c r="CU880"/>
      <c r="CV880"/>
      <c r="CW880"/>
      <c r="CX880"/>
      <c r="CY880"/>
    </row>
    <row r="881" spans="2:103" s="1" customFormat="1" x14ac:dyDescent="0.25">
      <c r="B881" s="25"/>
      <c r="C881" s="32"/>
      <c r="D881" s="20"/>
      <c r="E881" s="34"/>
      <c r="F881" s="47"/>
      <c r="G881" s="1651"/>
      <c r="H881" s="1652"/>
      <c r="I881" s="1652"/>
      <c r="J881" s="1652"/>
      <c r="K881" s="168"/>
      <c r="L881" s="168"/>
      <c r="M881" s="35"/>
      <c r="N881" s="35"/>
      <c r="O881" s="35"/>
      <c r="P881" s="35"/>
      <c r="Q881" s="35"/>
      <c r="R881" s="35"/>
      <c r="S881" s="35"/>
      <c r="T881" s="35"/>
      <c r="U881" s="20"/>
      <c r="V881" s="28"/>
      <c r="CM881"/>
      <c r="CN881"/>
      <c r="CO881"/>
      <c r="CP881"/>
      <c r="CQ881"/>
      <c r="CR881"/>
      <c r="CS881"/>
      <c r="CT881"/>
      <c r="CU881"/>
      <c r="CV881"/>
      <c r="CW881"/>
      <c r="CX881"/>
      <c r="CY881"/>
    </row>
    <row r="882" spans="2:103" s="1" customFormat="1" x14ac:dyDescent="0.25">
      <c r="B882" s="25"/>
      <c r="C882" s="32"/>
      <c r="D882" s="20"/>
      <c r="E882" s="34"/>
      <c r="F882" s="47"/>
      <c r="G882" s="1651"/>
      <c r="H882" s="1652"/>
      <c r="I882" s="1652"/>
      <c r="J882" s="1652"/>
      <c r="K882" s="168"/>
      <c r="L882" s="168"/>
      <c r="M882" s="35"/>
      <c r="N882" s="35"/>
      <c r="O882" s="35"/>
      <c r="P882" s="35"/>
      <c r="Q882" s="35"/>
      <c r="R882" s="35"/>
      <c r="S882" s="35"/>
      <c r="T882" s="35"/>
      <c r="U882" s="20"/>
      <c r="V882" s="28"/>
      <c r="CM882"/>
      <c r="CN882"/>
      <c r="CO882"/>
      <c r="CP882"/>
      <c r="CQ882"/>
      <c r="CR882"/>
      <c r="CS882"/>
      <c r="CT882"/>
      <c r="CU882"/>
      <c r="CV882"/>
      <c r="CW882"/>
      <c r="CX882"/>
      <c r="CY882"/>
    </row>
    <row r="883" spans="2:103" s="1" customFormat="1" x14ac:dyDescent="0.25">
      <c r="B883" s="25"/>
      <c r="C883" s="32"/>
      <c r="D883" s="20"/>
      <c r="E883" s="34"/>
      <c r="F883" s="47"/>
      <c r="G883" s="1651"/>
      <c r="H883" s="1652"/>
      <c r="I883" s="1652"/>
      <c r="J883" s="1652"/>
      <c r="K883" s="168"/>
      <c r="L883" s="168"/>
      <c r="M883" s="35"/>
      <c r="N883" s="35"/>
      <c r="O883" s="35"/>
      <c r="P883" s="35"/>
      <c r="Q883" s="35"/>
      <c r="R883" s="35"/>
      <c r="S883" s="35"/>
      <c r="T883" s="35"/>
      <c r="U883" s="20"/>
      <c r="V883" s="28"/>
      <c r="CM883"/>
      <c r="CN883"/>
      <c r="CO883"/>
      <c r="CP883"/>
      <c r="CQ883"/>
      <c r="CR883"/>
      <c r="CS883"/>
      <c r="CT883"/>
      <c r="CU883"/>
      <c r="CV883"/>
      <c r="CW883"/>
      <c r="CX883"/>
      <c r="CY883"/>
    </row>
    <row r="884" spans="2:103" s="1" customFormat="1" x14ac:dyDescent="0.25">
      <c r="B884" s="25"/>
      <c r="C884" s="32"/>
      <c r="D884" s="20"/>
      <c r="E884" s="34"/>
      <c r="F884" s="47"/>
      <c r="G884" s="1651"/>
      <c r="H884" s="1652"/>
      <c r="I884" s="1652"/>
      <c r="J884" s="1652"/>
      <c r="K884" s="168"/>
      <c r="L884" s="168"/>
      <c r="M884" s="35"/>
      <c r="N884" s="35"/>
      <c r="O884" s="35"/>
      <c r="P884" s="35"/>
      <c r="Q884" s="35"/>
      <c r="R884" s="35"/>
      <c r="S884" s="35"/>
      <c r="T884" s="35"/>
      <c r="U884" s="20"/>
      <c r="V884" s="28"/>
      <c r="CM884"/>
      <c r="CN884"/>
      <c r="CO884"/>
      <c r="CP884"/>
      <c r="CQ884"/>
      <c r="CR884"/>
      <c r="CS884"/>
      <c r="CT884"/>
      <c r="CU884"/>
      <c r="CV884"/>
      <c r="CW884"/>
      <c r="CX884"/>
      <c r="CY884"/>
    </row>
    <row r="885" spans="2:103" s="1" customFormat="1" x14ac:dyDescent="0.25">
      <c r="B885" s="25"/>
      <c r="C885" s="32"/>
      <c r="D885" s="20"/>
      <c r="E885" s="34"/>
      <c r="F885" s="47"/>
      <c r="G885" s="1651"/>
      <c r="H885" s="1652"/>
      <c r="I885" s="1652"/>
      <c r="J885" s="1652"/>
      <c r="K885" s="168"/>
      <c r="L885" s="168"/>
      <c r="M885" s="35"/>
      <c r="N885" s="35"/>
      <c r="O885" s="35"/>
      <c r="P885" s="35"/>
      <c r="Q885" s="35"/>
      <c r="R885" s="35"/>
      <c r="S885" s="35"/>
      <c r="T885" s="35"/>
      <c r="U885" s="20"/>
      <c r="V885" s="28"/>
      <c r="CM885"/>
      <c r="CN885"/>
      <c r="CO885"/>
      <c r="CP885"/>
      <c r="CQ885"/>
      <c r="CR885"/>
      <c r="CS885"/>
      <c r="CT885"/>
      <c r="CU885"/>
      <c r="CV885"/>
      <c r="CW885"/>
      <c r="CX885"/>
      <c r="CY885"/>
    </row>
    <row r="886" spans="2:103" s="1" customFormat="1" x14ac:dyDescent="0.25">
      <c r="B886" s="25"/>
      <c r="C886" s="32"/>
      <c r="D886" s="20"/>
      <c r="E886" s="34"/>
      <c r="F886" s="34"/>
      <c r="G886" s="1656"/>
      <c r="H886" s="1656"/>
      <c r="I886" s="1656"/>
      <c r="J886" s="1656"/>
      <c r="K886" s="170"/>
      <c r="L886" s="170"/>
      <c r="M886" s="35"/>
      <c r="N886" s="35"/>
      <c r="O886" s="35"/>
      <c r="P886" s="35"/>
      <c r="Q886" s="35"/>
      <c r="R886" s="35"/>
      <c r="S886" s="35"/>
      <c r="T886" s="35"/>
      <c r="U886" s="20"/>
      <c r="V886" s="28"/>
      <c r="CM886"/>
      <c r="CN886"/>
      <c r="CO886"/>
      <c r="CP886"/>
      <c r="CQ886"/>
      <c r="CR886"/>
      <c r="CS886"/>
      <c r="CT886"/>
      <c r="CU886"/>
      <c r="CV886"/>
      <c r="CW886"/>
      <c r="CX886"/>
      <c r="CY886"/>
    </row>
    <row r="887" spans="2:103" s="1" customFormat="1" x14ac:dyDescent="0.25">
      <c r="B887" s="25"/>
      <c r="C887" s="32"/>
      <c r="D887" s="20"/>
      <c r="E887" s="34"/>
      <c r="F887" s="34"/>
      <c r="G887" s="1656"/>
      <c r="H887" s="1656"/>
      <c r="I887" s="1656"/>
      <c r="J887" s="1656"/>
      <c r="K887" s="170"/>
      <c r="L887" s="170"/>
      <c r="M887" s="35"/>
      <c r="N887" s="35"/>
      <c r="O887" s="35"/>
      <c r="P887" s="35"/>
      <c r="Q887" s="35"/>
      <c r="R887" s="35"/>
      <c r="S887" s="35"/>
      <c r="T887" s="35"/>
      <c r="U887" s="20"/>
      <c r="V887" s="28"/>
      <c r="CM887"/>
      <c r="CN887"/>
      <c r="CO887"/>
      <c r="CP887"/>
      <c r="CQ887"/>
      <c r="CR887"/>
      <c r="CS887"/>
      <c r="CT887"/>
      <c r="CU887"/>
      <c r="CV887"/>
      <c r="CW887"/>
      <c r="CX887"/>
      <c r="CY887"/>
    </row>
    <row r="888" spans="2:103" s="1" customFormat="1" x14ac:dyDescent="0.25">
      <c r="B888" s="25"/>
      <c r="C888" s="32"/>
      <c r="D888" s="20"/>
      <c r="E888" s="34"/>
      <c r="F888" s="34"/>
      <c r="G888" s="1656"/>
      <c r="H888" s="1656"/>
      <c r="I888" s="1656"/>
      <c r="J888" s="1656"/>
      <c r="K888" s="170"/>
      <c r="L888" s="170"/>
      <c r="M888" s="35"/>
      <c r="N888" s="35"/>
      <c r="O888" s="35"/>
      <c r="P888" s="35"/>
      <c r="Q888" s="35"/>
      <c r="R888" s="35"/>
      <c r="S888" s="35"/>
      <c r="T888" s="35"/>
      <c r="U888" s="20"/>
      <c r="V888" s="28"/>
      <c r="CM888"/>
      <c r="CN888"/>
      <c r="CO888"/>
      <c r="CP888"/>
      <c r="CQ888"/>
      <c r="CR888"/>
      <c r="CS888"/>
      <c r="CT888"/>
      <c r="CU888"/>
      <c r="CV888"/>
      <c r="CW888"/>
      <c r="CX888"/>
      <c r="CY888"/>
    </row>
    <row r="889" spans="2:103" s="1" customFormat="1" x14ac:dyDescent="0.25">
      <c r="B889" s="25"/>
      <c r="C889" s="32"/>
      <c r="D889" s="20"/>
      <c r="E889" s="34"/>
      <c r="F889" s="34"/>
      <c r="G889" s="1656"/>
      <c r="H889" s="1656"/>
      <c r="I889" s="1656"/>
      <c r="J889" s="1656"/>
      <c r="K889" s="170"/>
      <c r="L889" s="170"/>
      <c r="M889" s="35"/>
      <c r="N889" s="35"/>
      <c r="O889" s="35"/>
      <c r="P889" s="35"/>
      <c r="Q889" s="35"/>
      <c r="R889" s="35"/>
      <c r="S889" s="35"/>
      <c r="T889" s="35"/>
      <c r="U889" s="20"/>
      <c r="V889" s="28"/>
      <c r="CM889"/>
      <c r="CN889"/>
      <c r="CO889"/>
      <c r="CP889"/>
      <c r="CQ889"/>
      <c r="CR889"/>
      <c r="CS889"/>
      <c r="CT889"/>
      <c r="CU889"/>
      <c r="CV889"/>
      <c r="CW889"/>
      <c r="CX889"/>
      <c r="CY889"/>
    </row>
    <row r="890" spans="2:103" s="1" customFormat="1" x14ac:dyDescent="0.25">
      <c r="B890" s="25"/>
      <c r="C890" s="32"/>
      <c r="D890" s="20"/>
      <c r="E890" s="34"/>
      <c r="F890" s="47"/>
      <c r="G890" s="1651"/>
      <c r="H890" s="1652"/>
      <c r="I890" s="1652"/>
      <c r="J890" s="1652"/>
      <c r="K890" s="168"/>
      <c r="L890" s="168"/>
      <c r="M890" s="35"/>
      <c r="N890" s="35"/>
      <c r="O890" s="35"/>
      <c r="P890" s="35"/>
      <c r="Q890" s="35"/>
      <c r="R890" s="35"/>
      <c r="S890" s="35"/>
      <c r="T890" s="35"/>
      <c r="U890" s="20"/>
      <c r="V890" s="28"/>
      <c r="CM890"/>
      <c r="CN890"/>
      <c r="CO890"/>
      <c r="CP890"/>
      <c r="CQ890"/>
      <c r="CR890"/>
      <c r="CS890"/>
      <c r="CT890"/>
      <c r="CU890"/>
      <c r="CV890"/>
      <c r="CW890"/>
      <c r="CX890"/>
      <c r="CY890"/>
    </row>
    <row r="891" spans="2:103" s="1" customFormat="1" x14ac:dyDescent="0.25">
      <c r="B891" s="25"/>
      <c r="C891" s="32"/>
      <c r="D891" s="20"/>
      <c r="E891" s="34"/>
      <c r="F891" s="47"/>
      <c r="G891" s="1651"/>
      <c r="H891" s="1652"/>
      <c r="I891" s="1652"/>
      <c r="J891" s="1652"/>
      <c r="K891" s="168"/>
      <c r="L891" s="168"/>
      <c r="M891" s="35"/>
      <c r="N891" s="35"/>
      <c r="O891" s="35"/>
      <c r="P891" s="35"/>
      <c r="Q891" s="35"/>
      <c r="R891" s="35"/>
      <c r="S891" s="35"/>
      <c r="T891" s="35"/>
      <c r="U891" s="20"/>
      <c r="V891" s="28"/>
      <c r="CM891"/>
      <c r="CN891"/>
      <c r="CO891"/>
      <c r="CP891"/>
      <c r="CQ891"/>
      <c r="CR891"/>
      <c r="CS891"/>
      <c r="CT891"/>
      <c r="CU891"/>
      <c r="CV891"/>
      <c r="CW891"/>
      <c r="CX891"/>
      <c r="CY891"/>
    </row>
    <row r="892" spans="2:103" s="1" customFormat="1" x14ac:dyDescent="0.25">
      <c r="B892" s="25"/>
      <c r="C892" s="32"/>
      <c r="D892" s="20"/>
      <c r="E892" s="34"/>
      <c r="F892" s="47"/>
      <c r="G892" s="1651"/>
      <c r="H892" s="1652"/>
      <c r="I892" s="1652"/>
      <c r="J892" s="1652"/>
      <c r="K892" s="168"/>
      <c r="L892" s="168"/>
      <c r="M892" s="35"/>
      <c r="N892" s="35"/>
      <c r="O892" s="35"/>
      <c r="P892" s="35"/>
      <c r="Q892" s="35"/>
      <c r="R892" s="35"/>
      <c r="S892" s="35"/>
      <c r="T892" s="35"/>
      <c r="U892" s="20"/>
      <c r="V892" s="28"/>
      <c r="CM892"/>
      <c r="CN892"/>
      <c r="CO892"/>
      <c r="CP892"/>
      <c r="CQ892"/>
      <c r="CR892"/>
      <c r="CS892"/>
      <c r="CT892"/>
      <c r="CU892"/>
      <c r="CV892"/>
      <c r="CW892"/>
      <c r="CX892"/>
      <c r="CY892"/>
    </row>
    <row r="893" spans="2:103" s="1" customFormat="1" x14ac:dyDescent="0.25">
      <c r="B893" s="25"/>
      <c r="C893" s="32"/>
      <c r="D893" s="20"/>
      <c r="E893" s="34"/>
      <c r="F893" s="47"/>
      <c r="G893" s="1651"/>
      <c r="H893" s="1652"/>
      <c r="I893" s="1652"/>
      <c r="J893" s="1652"/>
      <c r="K893" s="168"/>
      <c r="L893" s="168"/>
      <c r="M893" s="35"/>
      <c r="N893" s="35"/>
      <c r="O893" s="35"/>
      <c r="P893" s="35"/>
      <c r="Q893" s="35"/>
      <c r="R893" s="35"/>
      <c r="S893" s="35"/>
      <c r="T893" s="35"/>
      <c r="U893" s="20"/>
      <c r="V893" s="28"/>
      <c r="CM893"/>
      <c r="CN893"/>
      <c r="CO893"/>
      <c r="CP893"/>
      <c r="CQ893"/>
      <c r="CR893"/>
      <c r="CS893"/>
      <c r="CT893"/>
      <c r="CU893"/>
      <c r="CV893"/>
      <c r="CW893"/>
      <c r="CX893"/>
      <c r="CY893"/>
    </row>
    <row r="894" spans="2:103" s="1" customFormat="1" x14ac:dyDescent="0.25">
      <c r="B894" s="25"/>
      <c r="C894" s="32"/>
      <c r="D894" s="20"/>
      <c r="E894" s="34"/>
      <c r="F894" s="47"/>
      <c r="G894" s="1651"/>
      <c r="H894" s="1652"/>
      <c r="I894" s="1652"/>
      <c r="J894" s="1652"/>
      <c r="K894" s="168"/>
      <c r="L894" s="168"/>
      <c r="M894" s="35"/>
      <c r="N894" s="35"/>
      <c r="O894" s="35"/>
      <c r="P894" s="35"/>
      <c r="Q894" s="35"/>
      <c r="R894" s="35"/>
      <c r="S894" s="35"/>
      <c r="T894" s="35"/>
      <c r="U894" s="20"/>
      <c r="V894" s="28"/>
      <c r="CM894"/>
      <c r="CN894"/>
      <c r="CO894"/>
      <c r="CP894"/>
      <c r="CQ894"/>
      <c r="CR894"/>
      <c r="CS894"/>
      <c r="CT894"/>
      <c r="CU894"/>
      <c r="CV894"/>
      <c r="CW894"/>
      <c r="CX894"/>
      <c r="CY894"/>
    </row>
    <row r="895" spans="2:103" s="1" customFormat="1" x14ac:dyDescent="0.25">
      <c r="B895" s="25"/>
      <c r="C895" s="32"/>
      <c r="D895" s="20"/>
      <c r="E895" s="34"/>
      <c r="F895" s="47"/>
      <c r="G895" s="1651"/>
      <c r="H895" s="1652"/>
      <c r="I895" s="1652"/>
      <c r="J895" s="1652"/>
      <c r="K895" s="168"/>
      <c r="L895" s="168"/>
      <c r="M895" s="35"/>
      <c r="N895" s="35"/>
      <c r="O895" s="35"/>
      <c r="P895" s="35"/>
      <c r="Q895" s="35"/>
      <c r="R895" s="35"/>
      <c r="S895" s="35"/>
      <c r="T895" s="35"/>
      <c r="U895" s="20"/>
      <c r="V895" s="28"/>
      <c r="CM895"/>
      <c r="CN895"/>
      <c r="CO895"/>
      <c r="CP895"/>
      <c r="CQ895"/>
      <c r="CR895"/>
      <c r="CS895"/>
      <c r="CT895"/>
      <c r="CU895"/>
      <c r="CV895"/>
      <c r="CW895"/>
      <c r="CX895"/>
      <c r="CY895"/>
    </row>
    <row r="896" spans="2:103" s="1" customFormat="1" x14ac:dyDescent="0.25">
      <c r="B896" s="25"/>
      <c r="C896" s="32"/>
      <c r="D896" s="20"/>
      <c r="E896" s="34"/>
      <c r="F896" s="47"/>
      <c r="G896" s="1651"/>
      <c r="H896" s="1652"/>
      <c r="I896" s="1652"/>
      <c r="J896" s="1652"/>
      <c r="K896" s="168"/>
      <c r="L896" s="168"/>
      <c r="M896" s="35"/>
      <c r="N896" s="35"/>
      <c r="O896" s="35"/>
      <c r="P896" s="35"/>
      <c r="Q896" s="35"/>
      <c r="R896" s="35"/>
      <c r="S896" s="35"/>
      <c r="T896" s="35"/>
      <c r="U896" s="20"/>
      <c r="V896" s="28"/>
      <c r="CM896"/>
      <c r="CN896"/>
      <c r="CO896"/>
      <c r="CP896"/>
      <c r="CQ896"/>
      <c r="CR896"/>
      <c r="CS896"/>
      <c r="CT896"/>
      <c r="CU896"/>
      <c r="CV896"/>
      <c r="CW896"/>
      <c r="CX896"/>
      <c r="CY896"/>
    </row>
    <row r="897" spans="2:103" s="1" customFormat="1" x14ac:dyDescent="0.25">
      <c r="B897" s="25"/>
      <c r="C897" s="32"/>
      <c r="D897" s="20"/>
      <c r="E897" s="34"/>
      <c r="F897" s="47"/>
      <c r="G897" s="1651"/>
      <c r="H897" s="1652"/>
      <c r="I897" s="1652"/>
      <c r="J897" s="1652"/>
      <c r="K897" s="168"/>
      <c r="L897" s="168"/>
      <c r="M897" s="35"/>
      <c r="N897" s="35"/>
      <c r="O897" s="35"/>
      <c r="P897" s="35"/>
      <c r="Q897" s="35"/>
      <c r="R897" s="35"/>
      <c r="S897" s="35"/>
      <c r="T897" s="35"/>
      <c r="U897" s="20"/>
      <c r="V897" s="28"/>
      <c r="CM897"/>
      <c r="CN897"/>
      <c r="CO897"/>
      <c r="CP897"/>
      <c r="CQ897"/>
      <c r="CR897"/>
      <c r="CS897"/>
      <c r="CT897"/>
      <c r="CU897"/>
      <c r="CV897"/>
      <c r="CW897"/>
      <c r="CX897"/>
      <c r="CY897"/>
    </row>
    <row r="898" spans="2:103" s="1" customFormat="1" x14ac:dyDescent="0.25">
      <c r="B898" s="25"/>
      <c r="C898" s="32"/>
      <c r="D898" s="20"/>
      <c r="E898" s="34"/>
      <c r="F898" s="47"/>
      <c r="G898" s="1651"/>
      <c r="H898" s="1652"/>
      <c r="I898" s="1652"/>
      <c r="J898" s="1652"/>
      <c r="K898" s="168"/>
      <c r="L898" s="168"/>
      <c r="M898" s="35"/>
      <c r="N898" s="35"/>
      <c r="O898" s="35"/>
      <c r="P898" s="35"/>
      <c r="Q898" s="35"/>
      <c r="R898" s="35"/>
      <c r="S898" s="35"/>
      <c r="T898" s="35"/>
      <c r="U898" s="20"/>
      <c r="V898" s="28"/>
      <c r="CM898"/>
      <c r="CN898"/>
      <c r="CO898"/>
      <c r="CP898"/>
      <c r="CQ898"/>
      <c r="CR898"/>
      <c r="CS898"/>
      <c r="CT898"/>
      <c r="CU898"/>
      <c r="CV898"/>
      <c r="CW898"/>
      <c r="CX898"/>
      <c r="CY898"/>
    </row>
    <row r="899" spans="2:103" s="1" customFormat="1" x14ac:dyDescent="0.25">
      <c r="B899" s="25"/>
      <c r="C899" s="32"/>
      <c r="D899" s="20"/>
      <c r="E899" s="34"/>
      <c r="F899" s="47"/>
      <c r="G899" s="1651"/>
      <c r="H899" s="1652"/>
      <c r="I899" s="1652"/>
      <c r="J899" s="1652"/>
      <c r="K899" s="168"/>
      <c r="L899" s="168"/>
      <c r="M899" s="35"/>
      <c r="N899" s="35"/>
      <c r="O899" s="35"/>
      <c r="P899" s="35"/>
      <c r="Q899" s="35"/>
      <c r="R899" s="35"/>
      <c r="S899" s="35"/>
      <c r="T899" s="35"/>
      <c r="U899" s="20"/>
      <c r="V899" s="28"/>
      <c r="CM899"/>
      <c r="CN899"/>
      <c r="CO899"/>
      <c r="CP899"/>
      <c r="CQ899"/>
      <c r="CR899"/>
      <c r="CS899"/>
      <c r="CT899"/>
      <c r="CU899"/>
      <c r="CV899"/>
      <c r="CW899"/>
      <c r="CX899"/>
      <c r="CY899"/>
    </row>
    <row r="900" spans="2:103" s="1" customFormat="1" x14ac:dyDescent="0.25">
      <c r="B900" s="25"/>
      <c r="C900" s="32"/>
      <c r="D900" s="20"/>
      <c r="E900" s="34"/>
      <c r="F900" s="47"/>
      <c r="G900" s="1651"/>
      <c r="H900" s="1652"/>
      <c r="I900" s="1652"/>
      <c r="J900" s="1652"/>
      <c r="K900" s="168"/>
      <c r="L900" s="168"/>
      <c r="M900" s="35"/>
      <c r="N900" s="35"/>
      <c r="O900" s="35"/>
      <c r="P900" s="35"/>
      <c r="Q900" s="35"/>
      <c r="R900" s="35"/>
      <c r="S900" s="35"/>
      <c r="T900" s="35"/>
      <c r="U900" s="20"/>
      <c r="V900" s="28"/>
      <c r="CM900"/>
      <c r="CN900"/>
      <c r="CO900"/>
      <c r="CP900"/>
      <c r="CQ900"/>
      <c r="CR900"/>
      <c r="CS900"/>
      <c r="CT900"/>
      <c r="CU900"/>
      <c r="CV900"/>
      <c r="CW900"/>
      <c r="CX900"/>
      <c r="CY900"/>
    </row>
    <row r="901" spans="2:103" s="1" customFormat="1" x14ac:dyDescent="0.25">
      <c r="B901" s="25"/>
      <c r="C901" s="32"/>
      <c r="D901" s="20"/>
      <c r="E901" s="34"/>
      <c r="F901" s="47"/>
      <c r="G901" s="1651"/>
      <c r="H901" s="1652"/>
      <c r="I901" s="1652"/>
      <c r="J901" s="1652"/>
      <c r="K901" s="168"/>
      <c r="L901" s="168"/>
      <c r="M901" s="35"/>
      <c r="N901" s="35"/>
      <c r="O901" s="35"/>
      <c r="P901" s="35"/>
      <c r="Q901" s="35"/>
      <c r="R901" s="35"/>
      <c r="S901" s="35"/>
      <c r="T901" s="35"/>
      <c r="U901" s="20"/>
      <c r="V901" s="28"/>
      <c r="CM901"/>
      <c r="CN901"/>
      <c r="CO901"/>
      <c r="CP901"/>
      <c r="CQ901"/>
      <c r="CR901"/>
      <c r="CS901"/>
      <c r="CT901"/>
      <c r="CU901"/>
      <c r="CV901"/>
      <c r="CW901"/>
      <c r="CX901"/>
      <c r="CY901"/>
    </row>
    <row r="902" spans="2:103" s="1" customFormat="1" x14ac:dyDescent="0.25">
      <c r="B902" s="25"/>
      <c r="C902" s="32"/>
      <c r="D902" s="20"/>
      <c r="E902" s="34"/>
      <c r="F902" s="47"/>
      <c r="G902" s="1651"/>
      <c r="H902" s="1652"/>
      <c r="I902" s="1652"/>
      <c r="J902" s="1652"/>
      <c r="K902" s="168"/>
      <c r="L902" s="168"/>
      <c r="M902" s="35"/>
      <c r="N902" s="35"/>
      <c r="O902" s="35"/>
      <c r="P902" s="35"/>
      <c r="Q902" s="35"/>
      <c r="R902" s="35"/>
      <c r="S902" s="35"/>
      <c r="T902" s="35"/>
      <c r="U902" s="20"/>
      <c r="V902" s="28"/>
      <c r="CM902"/>
      <c r="CN902"/>
      <c r="CO902"/>
      <c r="CP902"/>
      <c r="CQ902"/>
      <c r="CR902"/>
      <c r="CS902"/>
      <c r="CT902"/>
      <c r="CU902"/>
      <c r="CV902"/>
      <c r="CW902"/>
      <c r="CX902"/>
      <c r="CY902"/>
    </row>
    <row r="903" spans="2:103" s="1" customFormat="1" x14ac:dyDescent="0.25">
      <c r="B903" s="25"/>
      <c r="C903" s="32"/>
      <c r="D903" s="20"/>
      <c r="E903" s="34"/>
      <c r="F903" s="47"/>
      <c r="G903" s="1651"/>
      <c r="H903" s="1652"/>
      <c r="I903" s="1652"/>
      <c r="J903" s="1652"/>
      <c r="K903" s="168"/>
      <c r="L903" s="168"/>
      <c r="M903" s="35"/>
      <c r="N903" s="35"/>
      <c r="O903" s="35"/>
      <c r="P903" s="35"/>
      <c r="Q903" s="35"/>
      <c r="R903" s="35"/>
      <c r="S903" s="35"/>
      <c r="T903" s="35"/>
      <c r="U903" s="20"/>
      <c r="V903" s="28"/>
      <c r="CM903"/>
      <c r="CN903"/>
      <c r="CO903"/>
      <c r="CP903"/>
      <c r="CQ903"/>
      <c r="CR903"/>
      <c r="CS903"/>
      <c r="CT903"/>
      <c r="CU903"/>
      <c r="CV903"/>
      <c r="CW903"/>
      <c r="CX903"/>
      <c r="CY903"/>
    </row>
    <row r="904" spans="2:103" s="1" customFormat="1" x14ac:dyDescent="0.25">
      <c r="B904" s="25"/>
      <c r="C904" s="32"/>
      <c r="D904" s="20"/>
      <c r="E904" s="34"/>
      <c r="F904" s="47"/>
      <c r="G904" s="1651"/>
      <c r="H904" s="1652"/>
      <c r="I904" s="1652"/>
      <c r="J904" s="1652"/>
      <c r="K904" s="168"/>
      <c r="L904" s="168"/>
      <c r="M904" s="35"/>
      <c r="N904" s="35"/>
      <c r="O904" s="35"/>
      <c r="P904" s="35"/>
      <c r="Q904" s="35"/>
      <c r="R904" s="35"/>
      <c r="S904" s="35"/>
      <c r="T904" s="35"/>
      <c r="U904" s="20"/>
      <c r="V904" s="28"/>
      <c r="CM904"/>
      <c r="CN904"/>
      <c r="CO904"/>
      <c r="CP904"/>
      <c r="CQ904"/>
      <c r="CR904"/>
      <c r="CS904"/>
      <c r="CT904"/>
      <c r="CU904"/>
      <c r="CV904"/>
      <c r="CW904"/>
      <c r="CX904"/>
      <c r="CY904"/>
    </row>
    <row r="905" spans="2:103" s="1" customFormat="1" x14ac:dyDescent="0.25">
      <c r="B905" s="25"/>
      <c r="C905" s="32"/>
      <c r="D905" s="20"/>
      <c r="E905" s="34"/>
      <c r="F905" s="47"/>
      <c r="G905" s="1651"/>
      <c r="H905" s="1652"/>
      <c r="I905" s="1652"/>
      <c r="J905" s="1652"/>
      <c r="K905" s="168"/>
      <c r="L905" s="168"/>
      <c r="M905" s="35"/>
      <c r="N905" s="35"/>
      <c r="O905" s="35"/>
      <c r="P905" s="35"/>
      <c r="Q905" s="35"/>
      <c r="R905" s="35"/>
      <c r="S905" s="35"/>
      <c r="T905" s="35"/>
      <c r="U905" s="20"/>
      <c r="V905" s="28"/>
      <c r="CM905"/>
      <c r="CN905"/>
      <c r="CO905"/>
      <c r="CP905"/>
      <c r="CQ905"/>
      <c r="CR905"/>
      <c r="CS905"/>
      <c r="CT905"/>
      <c r="CU905"/>
      <c r="CV905"/>
      <c r="CW905"/>
      <c r="CX905"/>
      <c r="CY905"/>
    </row>
    <row r="906" spans="2:103" s="1" customFormat="1" x14ac:dyDescent="0.25">
      <c r="B906" s="25"/>
      <c r="C906" s="32"/>
      <c r="D906" s="20"/>
      <c r="E906" s="34"/>
      <c r="F906" s="47"/>
      <c r="G906" s="1651"/>
      <c r="H906" s="1652"/>
      <c r="I906" s="1652"/>
      <c r="J906" s="1652"/>
      <c r="K906" s="168"/>
      <c r="L906" s="168"/>
      <c r="M906" s="35"/>
      <c r="N906" s="35"/>
      <c r="O906" s="35"/>
      <c r="P906" s="35"/>
      <c r="Q906" s="35"/>
      <c r="R906" s="35"/>
      <c r="S906" s="35"/>
      <c r="T906" s="35"/>
      <c r="U906" s="20"/>
      <c r="V906" s="28"/>
      <c r="CM906"/>
      <c r="CN906"/>
      <c r="CO906"/>
      <c r="CP906"/>
      <c r="CQ906"/>
      <c r="CR906"/>
      <c r="CS906"/>
      <c r="CT906"/>
      <c r="CU906"/>
      <c r="CV906"/>
      <c r="CW906"/>
      <c r="CX906"/>
      <c r="CY906"/>
    </row>
    <row r="907" spans="2:103" s="1" customFormat="1" x14ac:dyDescent="0.25">
      <c r="B907" s="25"/>
      <c r="C907" s="32"/>
      <c r="D907" s="20"/>
      <c r="E907" s="34"/>
      <c r="F907" s="47"/>
      <c r="G907" s="1651"/>
      <c r="H907" s="1652"/>
      <c r="I907" s="1652"/>
      <c r="J907" s="1652"/>
      <c r="K907" s="168"/>
      <c r="L907" s="168"/>
      <c r="M907" s="35"/>
      <c r="N907" s="35"/>
      <c r="O907" s="35"/>
      <c r="P907" s="35"/>
      <c r="Q907" s="35"/>
      <c r="R907" s="35"/>
      <c r="S907" s="35"/>
      <c r="T907" s="35"/>
      <c r="U907" s="20"/>
      <c r="V907" s="28"/>
      <c r="CM907"/>
      <c r="CN907"/>
      <c r="CO907"/>
      <c r="CP907"/>
      <c r="CQ907"/>
      <c r="CR907"/>
      <c r="CS907"/>
      <c r="CT907"/>
      <c r="CU907"/>
      <c r="CV907"/>
      <c r="CW907"/>
      <c r="CX907"/>
      <c r="CY907"/>
    </row>
    <row r="908" spans="2:103" s="1" customFormat="1" x14ac:dyDescent="0.25">
      <c r="B908" s="25"/>
      <c r="C908" s="32"/>
      <c r="D908" s="20"/>
      <c r="E908" s="34"/>
      <c r="F908" s="47"/>
      <c r="G908" s="1651"/>
      <c r="H908" s="1652"/>
      <c r="I908" s="1652"/>
      <c r="J908" s="1652"/>
      <c r="K908" s="168"/>
      <c r="L908" s="168"/>
      <c r="M908" s="35"/>
      <c r="N908" s="35"/>
      <c r="O908" s="35"/>
      <c r="P908" s="35"/>
      <c r="Q908" s="35"/>
      <c r="R908" s="35"/>
      <c r="S908" s="35"/>
      <c r="T908" s="35"/>
      <c r="U908" s="20"/>
      <c r="V908" s="28"/>
      <c r="CM908"/>
      <c r="CN908"/>
      <c r="CO908"/>
      <c r="CP908"/>
      <c r="CQ908"/>
      <c r="CR908"/>
      <c r="CS908"/>
      <c r="CT908"/>
      <c r="CU908"/>
      <c r="CV908"/>
      <c r="CW908"/>
      <c r="CX908"/>
      <c r="CY908"/>
    </row>
    <row r="909" spans="2:103" s="1" customFormat="1" x14ac:dyDescent="0.25">
      <c r="B909" s="25"/>
      <c r="C909" s="32"/>
      <c r="D909" s="20"/>
      <c r="E909" s="34"/>
      <c r="F909" s="47"/>
      <c r="G909" s="1651"/>
      <c r="H909" s="1652"/>
      <c r="I909" s="1652"/>
      <c r="J909" s="1652"/>
      <c r="K909" s="168"/>
      <c r="L909" s="168"/>
      <c r="M909" s="35"/>
      <c r="N909" s="35"/>
      <c r="O909" s="35"/>
      <c r="P909" s="35"/>
      <c r="Q909" s="35"/>
      <c r="R909" s="35"/>
      <c r="S909" s="35"/>
      <c r="T909" s="35"/>
      <c r="U909" s="20"/>
      <c r="V909" s="28"/>
      <c r="CM909"/>
      <c r="CN909"/>
      <c r="CO909"/>
      <c r="CP909"/>
      <c r="CQ909"/>
      <c r="CR909"/>
      <c r="CS909"/>
      <c r="CT909"/>
      <c r="CU909"/>
      <c r="CV909"/>
      <c r="CW909"/>
      <c r="CX909"/>
      <c r="CY909"/>
    </row>
    <row r="910" spans="2:103" s="1" customFormat="1" x14ac:dyDescent="0.25">
      <c r="B910" s="25"/>
      <c r="C910" s="32"/>
      <c r="D910" s="20"/>
      <c r="E910" s="34"/>
      <c r="F910" s="47"/>
      <c r="G910" s="1651"/>
      <c r="H910" s="1652"/>
      <c r="I910" s="1652"/>
      <c r="J910" s="1652"/>
      <c r="K910" s="168"/>
      <c r="L910" s="168"/>
      <c r="M910" s="35"/>
      <c r="N910" s="35"/>
      <c r="O910" s="35"/>
      <c r="P910" s="35"/>
      <c r="Q910" s="35"/>
      <c r="R910" s="35"/>
      <c r="S910" s="35"/>
      <c r="T910" s="35"/>
      <c r="U910" s="20"/>
      <c r="V910" s="28"/>
      <c r="CM910"/>
      <c r="CN910"/>
      <c r="CO910"/>
      <c r="CP910"/>
      <c r="CQ910"/>
      <c r="CR910"/>
      <c r="CS910"/>
      <c r="CT910"/>
      <c r="CU910"/>
      <c r="CV910"/>
      <c r="CW910"/>
      <c r="CX910"/>
      <c r="CY910"/>
    </row>
    <row r="911" spans="2:103" s="1" customFormat="1" x14ac:dyDescent="0.25">
      <c r="B911" s="25"/>
      <c r="C911" s="32"/>
      <c r="D911" s="20"/>
      <c r="E911" s="34"/>
      <c r="F911" s="47"/>
      <c r="G911" s="1651"/>
      <c r="H911" s="1652"/>
      <c r="I911" s="1652"/>
      <c r="J911" s="1652"/>
      <c r="K911" s="168"/>
      <c r="L911" s="168"/>
      <c r="M911" s="35"/>
      <c r="N911" s="35"/>
      <c r="O911" s="35"/>
      <c r="P911" s="35"/>
      <c r="Q911" s="35"/>
      <c r="R911" s="35"/>
      <c r="S911" s="35"/>
      <c r="T911" s="35"/>
      <c r="U911" s="20"/>
      <c r="V911" s="28"/>
      <c r="CM911"/>
      <c r="CN911"/>
      <c r="CO911"/>
      <c r="CP911"/>
      <c r="CQ911"/>
      <c r="CR911"/>
      <c r="CS911"/>
      <c r="CT911"/>
      <c r="CU911"/>
      <c r="CV911"/>
      <c r="CW911"/>
      <c r="CX911"/>
      <c r="CY911"/>
    </row>
    <row r="912" spans="2:103" s="1" customFormat="1" x14ac:dyDescent="0.25">
      <c r="B912" s="25"/>
      <c r="C912" s="32"/>
      <c r="D912" s="20"/>
      <c r="E912" s="34"/>
      <c r="F912" s="47"/>
      <c r="G912" s="1651"/>
      <c r="H912" s="1652"/>
      <c r="I912" s="1652"/>
      <c r="J912" s="1652"/>
      <c r="K912" s="168"/>
      <c r="L912" s="168"/>
      <c r="M912" s="35"/>
      <c r="N912" s="35"/>
      <c r="O912" s="35"/>
      <c r="P912" s="35"/>
      <c r="Q912" s="35"/>
      <c r="R912" s="35"/>
      <c r="S912" s="35"/>
      <c r="T912" s="35"/>
      <c r="U912" s="20"/>
      <c r="V912" s="28"/>
      <c r="CM912"/>
      <c r="CN912"/>
      <c r="CO912"/>
      <c r="CP912"/>
      <c r="CQ912"/>
      <c r="CR912"/>
      <c r="CS912"/>
      <c r="CT912"/>
      <c r="CU912"/>
      <c r="CV912"/>
      <c r="CW912"/>
      <c r="CX912"/>
      <c r="CY912"/>
    </row>
    <row r="913" spans="2:103" s="1" customFormat="1" x14ac:dyDescent="0.25">
      <c r="B913" s="25"/>
      <c r="C913" s="32"/>
      <c r="D913" s="20"/>
      <c r="E913" s="34"/>
      <c r="F913" s="47"/>
      <c r="G913" s="1651"/>
      <c r="H913" s="1652"/>
      <c r="I913" s="1652"/>
      <c r="J913" s="1652"/>
      <c r="K913" s="168"/>
      <c r="L913" s="168"/>
      <c r="M913" s="35"/>
      <c r="N913" s="35"/>
      <c r="O913" s="35"/>
      <c r="P913" s="35"/>
      <c r="Q913" s="35"/>
      <c r="R913" s="35"/>
      <c r="S913" s="35"/>
      <c r="T913" s="35"/>
      <c r="U913" s="20"/>
      <c r="V913" s="28"/>
      <c r="CM913"/>
      <c r="CN913"/>
      <c r="CO913"/>
      <c r="CP913"/>
      <c r="CQ913"/>
      <c r="CR913"/>
      <c r="CS913"/>
      <c r="CT913"/>
      <c r="CU913"/>
      <c r="CV913"/>
      <c r="CW913"/>
      <c r="CX913"/>
      <c r="CY913"/>
    </row>
    <row r="914" spans="2:103" s="1" customFormat="1" x14ac:dyDescent="0.25">
      <c r="B914" s="25"/>
      <c r="C914" s="32"/>
      <c r="D914" s="20"/>
      <c r="E914" s="34"/>
      <c r="F914" s="47"/>
      <c r="G914" s="1651"/>
      <c r="H914" s="1652"/>
      <c r="I914" s="1652"/>
      <c r="J914" s="1652"/>
      <c r="K914" s="168"/>
      <c r="L914" s="168"/>
      <c r="M914" s="35"/>
      <c r="N914" s="35"/>
      <c r="O914" s="35"/>
      <c r="P914" s="35"/>
      <c r="Q914" s="35"/>
      <c r="R914" s="35"/>
      <c r="S914" s="35"/>
      <c r="T914" s="35"/>
      <c r="U914" s="20"/>
      <c r="V914" s="28"/>
      <c r="CM914"/>
      <c r="CN914"/>
      <c r="CO914"/>
      <c r="CP914"/>
      <c r="CQ914"/>
      <c r="CR914"/>
      <c r="CS914"/>
      <c r="CT914"/>
      <c r="CU914"/>
      <c r="CV914"/>
      <c r="CW914"/>
      <c r="CX914"/>
      <c r="CY914"/>
    </row>
    <row r="915" spans="2:103" s="1" customFormat="1" x14ac:dyDescent="0.25">
      <c r="B915" s="25"/>
      <c r="C915" s="32"/>
      <c r="D915" s="20"/>
      <c r="E915" s="34"/>
      <c r="F915" s="47"/>
      <c r="G915" s="1651"/>
      <c r="H915" s="1652"/>
      <c r="I915" s="1652"/>
      <c r="J915" s="1652"/>
      <c r="K915" s="168"/>
      <c r="L915" s="168"/>
      <c r="M915" s="35"/>
      <c r="N915" s="35"/>
      <c r="O915" s="35"/>
      <c r="P915" s="35"/>
      <c r="Q915" s="35"/>
      <c r="R915" s="35"/>
      <c r="S915" s="35"/>
      <c r="T915" s="35"/>
      <c r="U915" s="20"/>
      <c r="V915" s="28"/>
      <c r="CM915"/>
      <c r="CN915"/>
      <c r="CO915"/>
      <c r="CP915"/>
      <c r="CQ915"/>
      <c r="CR915"/>
      <c r="CS915"/>
      <c r="CT915"/>
      <c r="CU915"/>
      <c r="CV915"/>
      <c r="CW915"/>
      <c r="CX915"/>
      <c r="CY915"/>
    </row>
    <row r="916" spans="2:103" s="1" customFormat="1" x14ac:dyDescent="0.25">
      <c r="B916" s="25"/>
      <c r="C916" s="32"/>
      <c r="D916" s="20"/>
      <c r="E916" s="34"/>
      <c r="F916" s="47"/>
      <c r="G916" s="1651"/>
      <c r="H916" s="1652"/>
      <c r="I916" s="1652"/>
      <c r="J916" s="1652"/>
      <c r="K916" s="168"/>
      <c r="L916" s="168"/>
      <c r="M916" s="35"/>
      <c r="N916" s="35"/>
      <c r="O916" s="35"/>
      <c r="P916" s="35"/>
      <c r="Q916" s="35"/>
      <c r="R916" s="35"/>
      <c r="S916" s="35"/>
      <c r="T916" s="35"/>
      <c r="U916" s="20"/>
      <c r="V916" s="28"/>
      <c r="CM916"/>
      <c r="CN916"/>
      <c r="CO916"/>
      <c r="CP916"/>
      <c r="CQ916"/>
      <c r="CR916"/>
      <c r="CS916"/>
      <c r="CT916"/>
      <c r="CU916"/>
      <c r="CV916"/>
      <c r="CW916"/>
      <c r="CX916"/>
      <c r="CY916"/>
    </row>
    <row r="917" spans="2:103" s="1" customFormat="1" x14ac:dyDescent="0.25">
      <c r="B917" s="25"/>
      <c r="C917" s="32"/>
      <c r="D917" s="20"/>
      <c r="E917" s="34"/>
      <c r="F917" s="47"/>
      <c r="G917" s="1651"/>
      <c r="H917" s="1652"/>
      <c r="I917" s="1652"/>
      <c r="J917" s="1652"/>
      <c r="K917" s="168"/>
      <c r="L917" s="168"/>
      <c r="M917" s="35"/>
      <c r="N917" s="35"/>
      <c r="O917" s="35"/>
      <c r="P917" s="35"/>
      <c r="Q917" s="35"/>
      <c r="R917" s="35"/>
      <c r="S917" s="35"/>
      <c r="T917" s="35"/>
      <c r="U917" s="20"/>
      <c r="V917" s="28"/>
      <c r="CM917"/>
      <c r="CN917"/>
      <c r="CO917"/>
      <c r="CP917"/>
      <c r="CQ917"/>
      <c r="CR917"/>
      <c r="CS917"/>
      <c r="CT917"/>
      <c r="CU917"/>
      <c r="CV917"/>
      <c r="CW917"/>
      <c r="CX917"/>
      <c r="CY917"/>
    </row>
    <row r="918" spans="2:103" s="1" customFormat="1" x14ac:dyDescent="0.25">
      <c r="B918" s="25"/>
      <c r="C918" s="32"/>
      <c r="D918" s="20"/>
      <c r="E918" s="34"/>
      <c r="F918" s="47"/>
      <c r="G918" s="1651"/>
      <c r="H918" s="1652"/>
      <c r="I918" s="1652"/>
      <c r="J918" s="1652"/>
      <c r="K918" s="168"/>
      <c r="L918" s="168"/>
      <c r="M918" s="35"/>
      <c r="N918" s="35"/>
      <c r="O918" s="35"/>
      <c r="P918" s="35"/>
      <c r="Q918" s="35"/>
      <c r="R918" s="35"/>
      <c r="S918" s="35"/>
      <c r="T918" s="35"/>
      <c r="U918" s="20"/>
      <c r="V918" s="28"/>
      <c r="CM918"/>
      <c r="CN918"/>
      <c r="CO918"/>
      <c r="CP918"/>
      <c r="CQ918"/>
      <c r="CR918"/>
      <c r="CS918"/>
      <c r="CT918"/>
      <c r="CU918"/>
      <c r="CV918"/>
      <c r="CW918"/>
      <c r="CX918"/>
      <c r="CY918"/>
    </row>
    <row r="919" spans="2:103" s="1" customFormat="1" x14ac:dyDescent="0.25">
      <c r="B919" s="25"/>
      <c r="C919" s="32"/>
      <c r="D919" s="20"/>
      <c r="E919" s="34"/>
      <c r="F919" s="47"/>
      <c r="G919" s="1651"/>
      <c r="H919" s="1652"/>
      <c r="I919" s="1652"/>
      <c r="J919" s="1652"/>
      <c r="K919" s="168"/>
      <c r="L919" s="168"/>
      <c r="M919" s="35"/>
      <c r="N919" s="35"/>
      <c r="O919" s="35"/>
      <c r="P919" s="35"/>
      <c r="Q919" s="35"/>
      <c r="R919" s="35"/>
      <c r="S919" s="35"/>
      <c r="T919" s="35"/>
      <c r="U919" s="20"/>
      <c r="V919" s="28"/>
      <c r="CM919"/>
      <c r="CN919"/>
      <c r="CO919"/>
      <c r="CP919"/>
      <c r="CQ919"/>
      <c r="CR919"/>
      <c r="CS919"/>
      <c r="CT919"/>
      <c r="CU919"/>
      <c r="CV919"/>
      <c r="CW919"/>
      <c r="CX919"/>
      <c r="CY919"/>
    </row>
    <row r="920" spans="2:103" s="1" customFormat="1" x14ac:dyDescent="0.25">
      <c r="B920" s="25"/>
      <c r="C920" s="32"/>
      <c r="D920" s="20"/>
      <c r="E920" s="34"/>
      <c r="F920" s="47"/>
      <c r="G920" s="1651"/>
      <c r="H920" s="1652"/>
      <c r="I920" s="1652"/>
      <c r="J920" s="1652"/>
      <c r="K920" s="168"/>
      <c r="L920" s="168"/>
      <c r="M920" s="35"/>
      <c r="N920" s="35"/>
      <c r="O920" s="35"/>
      <c r="P920" s="35"/>
      <c r="Q920" s="35"/>
      <c r="R920" s="35"/>
      <c r="S920" s="35"/>
      <c r="T920" s="35"/>
      <c r="U920" s="20"/>
      <c r="V920" s="28"/>
      <c r="CM920"/>
      <c r="CN920"/>
      <c r="CO920"/>
      <c r="CP920"/>
      <c r="CQ920"/>
      <c r="CR920"/>
      <c r="CS920"/>
      <c r="CT920"/>
      <c r="CU920"/>
      <c r="CV920"/>
      <c r="CW920"/>
      <c r="CX920"/>
      <c r="CY920"/>
    </row>
    <row r="921" spans="2:103" s="1" customFormat="1" x14ac:dyDescent="0.25">
      <c r="B921" s="25"/>
      <c r="C921" s="32"/>
      <c r="D921" s="20"/>
      <c r="E921" s="34"/>
      <c r="F921" s="47"/>
      <c r="G921" s="1651"/>
      <c r="H921" s="1652"/>
      <c r="I921" s="1652"/>
      <c r="J921" s="1652"/>
      <c r="K921" s="168"/>
      <c r="L921" s="168"/>
      <c r="M921" s="35"/>
      <c r="N921" s="35"/>
      <c r="O921" s="35"/>
      <c r="P921" s="35"/>
      <c r="Q921" s="35"/>
      <c r="R921" s="35"/>
      <c r="S921" s="35"/>
      <c r="T921" s="35"/>
      <c r="U921" s="20"/>
      <c r="V921" s="28"/>
      <c r="CM921"/>
      <c r="CN921"/>
      <c r="CO921"/>
      <c r="CP921"/>
      <c r="CQ921"/>
      <c r="CR921"/>
      <c r="CS921"/>
      <c r="CT921"/>
      <c r="CU921"/>
      <c r="CV921"/>
      <c r="CW921"/>
      <c r="CX921"/>
      <c r="CY921"/>
    </row>
    <row r="922" spans="2:103" s="1" customFormat="1" x14ac:dyDescent="0.25">
      <c r="B922" s="25"/>
      <c r="C922" s="32"/>
      <c r="D922" s="20"/>
      <c r="E922" s="34"/>
      <c r="F922" s="47"/>
      <c r="G922" s="1651"/>
      <c r="H922" s="1652"/>
      <c r="I922" s="1652"/>
      <c r="J922" s="1652"/>
      <c r="K922" s="168"/>
      <c r="L922" s="168"/>
      <c r="M922" s="35"/>
      <c r="N922" s="35"/>
      <c r="O922" s="35"/>
      <c r="P922" s="35"/>
      <c r="Q922" s="35"/>
      <c r="R922" s="35"/>
      <c r="S922" s="35"/>
      <c r="T922" s="35"/>
      <c r="U922" s="20"/>
      <c r="V922" s="28"/>
      <c r="CM922"/>
      <c r="CN922"/>
      <c r="CO922"/>
      <c r="CP922"/>
      <c r="CQ922"/>
      <c r="CR922"/>
      <c r="CS922"/>
      <c r="CT922"/>
      <c r="CU922"/>
      <c r="CV922"/>
      <c r="CW922"/>
      <c r="CX922"/>
      <c r="CY922"/>
    </row>
    <row r="923" spans="2:103" s="1" customFormat="1" x14ac:dyDescent="0.25">
      <c r="B923" s="25"/>
      <c r="C923" s="32"/>
      <c r="D923" s="20"/>
      <c r="E923" s="34"/>
      <c r="F923" s="47"/>
      <c r="G923" s="1651"/>
      <c r="H923" s="1652"/>
      <c r="I923" s="1652"/>
      <c r="J923" s="1652"/>
      <c r="K923" s="168"/>
      <c r="L923" s="168"/>
      <c r="M923" s="35"/>
      <c r="N923" s="35"/>
      <c r="O923" s="35"/>
      <c r="P923" s="35"/>
      <c r="Q923" s="35"/>
      <c r="R923" s="35"/>
      <c r="S923" s="35"/>
      <c r="T923" s="35"/>
      <c r="U923" s="20"/>
      <c r="V923" s="28"/>
      <c r="CM923"/>
      <c r="CN923"/>
      <c r="CO923"/>
      <c r="CP923"/>
      <c r="CQ923"/>
      <c r="CR923"/>
      <c r="CS923"/>
      <c r="CT923"/>
      <c r="CU923"/>
      <c r="CV923"/>
      <c r="CW923"/>
      <c r="CX923"/>
      <c r="CY923"/>
    </row>
    <row r="924" spans="2:103" s="1" customFormat="1" x14ac:dyDescent="0.25">
      <c r="B924" s="25"/>
      <c r="C924" s="32"/>
      <c r="D924" s="20"/>
      <c r="E924" s="34"/>
      <c r="F924" s="47"/>
      <c r="G924" s="1651"/>
      <c r="H924" s="1652"/>
      <c r="I924" s="1652"/>
      <c r="J924" s="1652"/>
      <c r="K924" s="168"/>
      <c r="L924" s="168"/>
      <c r="M924" s="35"/>
      <c r="N924" s="35"/>
      <c r="O924" s="35"/>
      <c r="P924" s="35"/>
      <c r="Q924" s="35"/>
      <c r="R924" s="35"/>
      <c r="S924" s="35"/>
      <c r="T924" s="35"/>
      <c r="U924" s="20"/>
      <c r="V924" s="28"/>
      <c r="CM924"/>
      <c r="CN924"/>
      <c r="CO924"/>
      <c r="CP924"/>
      <c r="CQ924"/>
      <c r="CR924"/>
      <c r="CS924"/>
      <c r="CT924"/>
      <c r="CU924"/>
      <c r="CV924"/>
      <c r="CW924"/>
      <c r="CX924"/>
      <c r="CY924"/>
    </row>
    <row r="925" spans="2:103" s="1" customFormat="1" x14ac:dyDescent="0.25">
      <c r="B925" s="25"/>
      <c r="C925" s="32"/>
      <c r="D925" s="20"/>
      <c r="E925" s="34"/>
      <c r="F925" s="47"/>
      <c r="G925" s="1651"/>
      <c r="H925" s="1652"/>
      <c r="I925" s="1652"/>
      <c r="J925" s="1652"/>
      <c r="K925" s="168"/>
      <c r="L925" s="168"/>
      <c r="M925" s="35"/>
      <c r="N925" s="35"/>
      <c r="O925" s="35"/>
      <c r="P925" s="35"/>
      <c r="Q925" s="35"/>
      <c r="R925" s="35"/>
      <c r="S925" s="35"/>
      <c r="T925" s="35"/>
      <c r="U925" s="20"/>
      <c r="V925" s="28"/>
      <c r="CM925"/>
      <c r="CN925"/>
      <c r="CO925"/>
      <c r="CP925"/>
      <c r="CQ925"/>
      <c r="CR925"/>
      <c r="CS925"/>
      <c r="CT925"/>
      <c r="CU925"/>
      <c r="CV925"/>
      <c r="CW925"/>
      <c r="CX925"/>
      <c r="CY925"/>
    </row>
    <row r="926" spans="2:103" s="1" customFormat="1" x14ac:dyDescent="0.25">
      <c r="B926" s="25"/>
      <c r="C926" s="32"/>
      <c r="D926" s="20"/>
      <c r="E926" s="34"/>
      <c r="F926" s="47"/>
      <c r="G926" s="1651"/>
      <c r="H926" s="1652"/>
      <c r="I926" s="1652"/>
      <c r="J926" s="1652"/>
      <c r="K926" s="168"/>
      <c r="L926" s="168"/>
      <c r="M926" s="35"/>
      <c r="N926" s="35"/>
      <c r="O926" s="35"/>
      <c r="P926" s="35"/>
      <c r="Q926" s="35"/>
      <c r="R926" s="35"/>
      <c r="S926" s="35"/>
      <c r="T926" s="35"/>
      <c r="U926" s="20"/>
      <c r="V926" s="28"/>
      <c r="CM926"/>
      <c r="CN926"/>
      <c r="CO926"/>
      <c r="CP926"/>
      <c r="CQ926"/>
      <c r="CR926"/>
      <c r="CS926"/>
      <c r="CT926"/>
      <c r="CU926"/>
      <c r="CV926"/>
      <c r="CW926"/>
      <c r="CX926"/>
      <c r="CY926"/>
    </row>
    <row r="927" spans="2:103" s="1" customFormat="1" x14ac:dyDescent="0.25">
      <c r="B927" s="25"/>
      <c r="C927" s="32"/>
      <c r="D927" s="20"/>
      <c r="E927" s="34"/>
      <c r="F927" s="47"/>
      <c r="G927" s="1651"/>
      <c r="H927" s="1652"/>
      <c r="I927" s="1652"/>
      <c r="J927" s="1652"/>
      <c r="K927" s="168"/>
      <c r="L927" s="168"/>
      <c r="M927" s="35"/>
      <c r="N927" s="35"/>
      <c r="O927" s="35"/>
      <c r="P927" s="35"/>
      <c r="Q927" s="35"/>
      <c r="R927" s="35"/>
      <c r="S927" s="35"/>
      <c r="T927" s="35"/>
      <c r="U927" s="20"/>
      <c r="V927" s="28"/>
      <c r="CM927"/>
      <c r="CN927"/>
      <c r="CO927"/>
      <c r="CP927"/>
      <c r="CQ927"/>
      <c r="CR927"/>
      <c r="CS927"/>
      <c r="CT927"/>
      <c r="CU927"/>
      <c r="CV927"/>
      <c r="CW927"/>
      <c r="CX927"/>
      <c r="CY927"/>
    </row>
    <row r="928" spans="2:103" s="1" customFormat="1" x14ac:dyDescent="0.25">
      <c r="B928" s="25"/>
      <c r="C928" s="32"/>
      <c r="D928" s="20"/>
      <c r="E928" s="34"/>
      <c r="F928" s="47"/>
      <c r="G928" s="1651"/>
      <c r="H928" s="1652"/>
      <c r="I928" s="1652"/>
      <c r="J928" s="1652"/>
      <c r="K928" s="168"/>
      <c r="L928" s="168"/>
      <c r="M928" s="35"/>
      <c r="N928" s="35"/>
      <c r="O928" s="35"/>
      <c r="P928" s="35"/>
      <c r="Q928" s="35"/>
      <c r="R928" s="35"/>
      <c r="S928" s="35"/>
      <c r="T928" s="35"/>
      <c r="U928" s="20"/>
      <c r="V928" s="28"/>
      <c r="CM928"/>
      <c r="CN928"/>
      <c r="CO928"/>
      <c r="CP928"/>
      <c r="CQ928"/>
      <c r="CR928"/>
      <c r="CS928"/>
      <c r="CT928"/>
      <c r="CU928"/>
      <c r="CV928"/>
      <c r="CW928"/>
      <c r="CX928"/>
      <c r="CY928"/>
    </row>
    <row r="929" spans="2:103" s="1" customFormat="1" x14ac:dyDescent="0.25">
      <c r="B929" s="25"/>
      <c r="C929" s="32"/>
      <c r="D929" s="20"/>
      <c r="E929" s="34"/>
      <c r="F929" s="47"/>
      <c r="G929" s="1651"/>
      <c r="H929" s="1652"/>
      <c r="I929" s="1652"/>
      <c r="J929" s="1652"/>
      <c r="K929" s="168"/>
      <c r="L929" s="168"/>
      <c r="M929" s="35"/>
      <c r="N929" s="35"/>
      <c r="O929" s="35"/>
      <c r="P929" s="35"/>
      <c r="Q929" s="35"/>
      <c r="R929" s="35"/>
      <c r="S929" s="35"/>
      <c r="T929" s="35"/>
      <c r="U929" s="20"/>
      <c r="V929" s="28"/>
      <c r="CM929"/>
      <c r="CN929"/>
      <c r="CO929"/>
      <c r="CP929"/>
      <c r="CQ929"/>
      <c r="CR929"/>
      <c r="CS929"/>
      <c r="CT929"/>
      <c r="CU929"/>
      <c r="CV929"/>
      <c r="CW929"/>
      <c r="CX929"/>
      <c r="CY929"/>
    </row>
    <row r="930" spans="2:103" s="1" customFormat="1" x14ac:dyDescent="0.25">
      <c r="B930" s="25"/>
      <c r="C930" s="32"/>
      <c r="D930" s="20"/>
      <c r="E930" s="34"/>
      <c r="F930" s="47"/>
      <c r="G930" s="1651"/>
      <c r="H930" s="1652"/>
      <c r="I930" s="1652"/>
      <c r="J930" s="1652"/>
      <c r="K930" s="168"/>
      <c r="L930" s="168"/>
      <c r="M930" s="35"/>
      <c r="N930" s="35"/>
      <c r="O930" s="35"/>
      <c r="P930" s="35"/>
      <c r="Q930" s="35"/>
      <c r="R930" s="35"/>
      <c r="S930" s="35"/>
      <c r="T930" s="35"/>
      <c r="U930" s="20"/>
      <c r="V930" s="28"/>
      <c r="CM930"/>
      <c r="CN930"/>
      <c r="CO930"/>
      <c r="CP930"/>
      <c r="CQ930"/>
      <c r="CR930"/>
      <c r="CS930"/>
      <c r="CT930"/>
      <c r="CU930"/>
      <c r="CV930"/>
      <c r="CW930"/>
      <c r="CX930"/>
      <c r="CY930"/>
    </row>
    <row r="931" spans="2:103" s="1" customFormat="1" x14ac:dyDescent="0.25">
      <c r="B931" s="25"/>
      <c r="C931" s="32"/>
      <c r="D931" s="20"/>
      <c r="E931" s="34"/>
      <c r="F931" s="47"/>
      <c r="G931" s="1651"/>
      <c r="H931" s="1652"/>
      <c r="I931" s="1652"/>
      <c r="J931" s="1652"/>
      <c r="K931" s="168"/>
      <c r="L931" s="168"/>
      <c r="M931" s="35"/>
      <c r="N931" s="35"/>
      <c r="O931" s="35"/>
      <c r="P931" s="35"/>
      <c r="Q931" s="35"/>
      <c r="R931" s="35"/>
      <c r="S931" s="35"/>
      <c r="T931" s="35"/>
      <c r="U931" s="20"/>
      <c r="V931" s="28"/>
      <c r="CM931"/>
      <c r="CN931"/>
      <c r="CO931"/>
      <c r="CP931"/>
      <c r="CQ931"/>
      <c r="CR931"/>
      <c r="CS931"/>
      <c r="CT931"/>
      <c r="CU931"/>
      <c r="CV931"/>
      <c r="CW931"/>
      <c r="CX931"/>
      <c r="CY931"/>
    </row>
    <row r="932" spans="2:103" s="1" customFormat="1" x14ac:dyDescent="0.25">
      <c r="B932" s="25"/>
      <c r="C932" s="32"/>
      <c r="D932" s="20"/>
      <c r="E932" s="34"/>
      <c r="F932" s="47"/>
      <c r="G932" s="1651"/>
      <c r="H932" s="1652"/>
      <c r="I932" s="1652"/>
      <c r="J932" s="1652"/>
      <c r="K932" s="168"/>
      <c r="L932" s="168"/>
      <c r="M932" s="35"/>
      <c r="N932" s="35"/>
      <c r="O932" s="35"/>
      <c r="P932" s="35"/>
      <c r="Q932" s="35"/>
      <c r="R932" s="35"/>
      <c r="S932" s="35"/>
      <c r="T932" s="35"/>
      <c r="U932" s="20"/>
      <c r="V932" s="28"/>
      <c r="CM932"/>
      <c r="CN932"/>
      <c r="CO932"/>
      <c r="CP932"/>
      <c r="CQ932"/>
      <c r="CR932"/>
      <c r="CS932"/>
      <c r="CT932"/>
      <c r="CU932"/>
      <c r="CV932"/>
      <c r="CW932"/>
      <c r="CX932"/>
      <c r="CY932"/>
    </row>
    <row r="933" spans="2:103" s="1" customFormat="1" x14ac:dyDescent="0.25">
      <c r="B933" s="25"/>
      <c r="C933" s="32"/>
      <c r="D933" s="20"/>
      <c r="E933" s="34"/>
      <c r="F933" s="47"/>
      <c r="G933" s="1651"/>
      <c r="H933" s="1652"/>
      <c r="I933" s="1652"/>
      <c r="J933" s="1652"/>
      <c r="K933" s="168"/>
      <c r="L933" s="168"/>
      <c r="M933" s="35"/>
      <c r="N933" s="35"/>
      <c r="O933" s="35"/>
      <c r="P933" s="35"/>
      <c r="Q933" s="35"/>
      <c r="R933" s="35"/>
      <c r="S933" s="35"/>
      <c r="T933" s="35"/>
      <c r="U933" s="20"/>
      <c r="V933" s="28"/>
      <c r="CM933"/>
      <c r="CN933"/>
      <c r="CO933"/>
      <c r="CP933"/>
      <c r="CQ933"/>
      <c r="CR933"/>
      <c r="CS933"/>
      <c r="CT933"/>
      <c r="CU933"/>
      <c r="CV933"/>
      <c r="CW933"/>
      <c r="CX933"/>
      <c r="CY933"/>
    </row>
    <row r="934" spans="2:103" s="1" customFormat="1" x14ac:dyDescent="0.25">
      <c r="B934" s="25"/>
      <c r="C934" s="32"/>
      <c r="D934" s="20"/>
      <c r="E934" s="34"/>
      <c r="F934" s="47"/>
      <c r="G934" s="1651"/>
      <c r="H934" s="1652"/>
      <c r="I934" s="1652"/>
      <c r="J934" s="1652"/>
      <c r="K934" s="168"/>
      <c r="L934" s="168"/>
      <c r="M934" s="35"/>
      <c r="N934" s="35"/>
      <c r="O934" s="35"/>
      <c r="P934" s="35"/>
      <c r="Q934" s="35"/>
      <c r="R934" s="35"/>
      <c r="S934" s="35"/>
      <c r="T934" s="35"/>
      <c r="U934" s="20"/>
      <c r="V934" s="28"/>
      <c r="CM934"/>
      <c r="CN934"/>
      <c r="CO934"/>
      <c r="CP934"/>
      <c r="CQ934"/>
      <c r="CR934"/>
      <c r="CS934"/>
      <c r="CT934"/>
      <c r="CU934"/>
      <c r="CV934"/>
      <c r="CW934"/>
      <c r="CX934"/>
      <c r="CY934"/>
    </row>
    <row r="935" spans="2:103" s="1" customFormat="1" x14ac:dyDescent="0.25">
      <c r="B935" s="25"/>
      <c r="C935" s="32"/>
      <c r="D935" s="20"/>
      <c r="E935" s="34"/>
      <c r="F935" s="47"/>
      <c r="G935" s="1651"/>
      <c r="H935" s="1652"/>
      <c r="I935" s="1652"/>
      <c r="J935" s="1652"/>
      <c r="K935" s="168"/>
      <c r="L935" s="168"/>
      <c r="M935" s="35"/>
      <c r="N935" s="35"/>
      <c r="O935" s="35"/>
      <c r="P935" s="35"/>
      <c r="Q935" s="35"/>
      <c r="R935" s="35"/>
      <c r="S935" s="35"/>
      <c r="T935" s="35"/>
      <c r="U935" s="20"/>
      <c r="V935" s="28"/>
      <c r="CM935"/>
      <c r="CN935"/>
      <c r="CO935"/>
      <c r="CP935"/>
      <c r="CQ935"/>
      <c r="CR935"/>
      <c r="CS935"/>
      <c r="CT935"/>
      <c r="CU935"/>
      <c r="CV935"/>
      <c r="CW935"/>
      <c r="CX935"/>
      <c r="CY935"/>
    </row>
    <row r="936" spans="2:103" s="1" customFormat="1" x14ac:dyDescent="0.25">
      <c r="B936" s="25"/>
      <c r="C936" s="32"/>
      <c r="D936" s="20"/>
      <c r="E936" s="34"/>
      <c r="F936" s="47"/>
      <c r="G936" s="1651"/>
      <c r="H936" s="1652"/>
      <c r="I936" s="1652"/>
      <c r="J936" s="1652"/>
      <c r="K936" s="168"/>
      <c r="L936" s="168"/>
      <c r="M936" s="35"/>
      <c r="N936" s="35"/>
      <c r="O936" s="35"/>
      <c r="P936" s="35"/>
      <c r="Q936" s="35"/>
      <c r="R936" s="35"/>
      <c r="S936" s="35"/>
      <c r="T936" s="35"/>
      <c r="U936" s="20"/>
      <c r="V936" s="28"/>
      <c r="CM936"/>
      <c r="CN936"/>
      <c r="CO936"/>
      <c r="CP936"/>
      <c r="CQ936"/>
      <c r="CR936"/>
      <c r="CS936"/>
      <c r="CT936"/>
      <c r="CU936"/>
      <c r="CV936"/>
      <c r="CW936"/>
      <c r="CX936"/>
      <c r="CY936"/>
    </row>
    <row r="937" spans="2:103" s="1" customFormat="1" x14ac:dyDescent="0.25">
      <c r="B937" s="25"/>
      <c r="C937" s="32"/>
      <c r="D937" s="20"/>
      <c r="E937" s="34"/>
      <c r="F937" s="47"/>
      <c r="G937" s="1651"/>
      <c r="H937" s="1652"/>
      <c r="I937" s="1652"/>
      <c r="J937" s="1652"/>
      <c r="K937" s="168"/>
      <c r="L937" s="168"/>
      <c r="M937" s="35"/>
      <c r="N937" s="35"/>
      <c r="O937" s="35"/>
      <c r="P937" s="35"/>
      <c r="Q937" s="35"/>
      <c r="R937" s="35"/>
      <c r="S937" s="35"/>
      <c r="T937" s="35"/>
      <c r="U937" s="20"/>
      <c r="V937" s="28"/>
      <c r="CM937"/>
      <c r="CN937"/>
      <c r="CO937"/>
      <c r="CP937"/>
      <c r="CQ937"/>
      <c r="CR937"/>
      <c r="CS937"/>
      <c r="CT937"/>
      <c r="CU937"/>
      <c r="CV937"/>
      <c r="CW937"/>
      <c r="CX937"/>
      <c r="CY937"/>
    </row>
    <row r="938" spans="2:103" s="1" customFormat="1" x14ac:dyDescent="0.25">
      <c r="B938" s="25"/>
      <c r="C938" s="32"/>
      <c r="D938" s="20"/>
      <c r="E938" s="34"/>
      <c r="F938" s="47"/>
      <c r="G938" s="1651"/>
      <c r="H938" s="1652"/>
      <c r="I938" s="1652"/>
      <c r="J938" s="1652"/>
      <c r="K938" s="168"/>
      <c r="L938" s="168"/>
      <c r="M938" s="35"/>
      <c r="N938" s="35"/>
      <c r="O938" s="35"/>
      <c r="P938" s="35"/>
      <c r="Q938" s="35"/>
      <c r="R938" s="35"/>
      <c r="S938" s="35"/>
      <c r="T938" s="35"/>
      <c r="U938" s="20"/>
      <c r="V938" s="28"/>
      <c r="CM938"/>
      <c r="CN938"/>
      <c r="CO938"/>
      <c r="CP938"/>
      <c r="CQ938"/>
      <c r="CR938"/>
      <c r="CS938"/>
      <c r="CT938"/>
      <c r="CU938"/>
      <c r="CV938"/>
      <c r="CW938"/>
      <c r="CX938"/>
      <c r="CY938"/>
    </row>
    <row r="939" spans="2:103" s="1" customFormat="1" x14ac:dyDescent="0.25">
      <c r="B939" s="25"/>
      <c r="C939" s="32"/>
      <c r="D939" s="20"/>
      <c r="E939" s="34"/>
      <c r="F939" s="47"/>
      <c r="G939" s="1651"/>
      <c r="H939" s="1652"/>
      <c r="I939" s="1652"/>
      <c r="J939" s="1652"/>
      <c r="K939" s="168"/>
      <c r="L939" s="168"/>
      <c r="M939" s="35"/>
      <c r="N939" s="35"/>
      <c r="O939" s="35"/>
      <c r="P939" s="35"/>
      <c r="Q939" s="35"/>
      <c r="R939" s="35"/>
      <c r="S939" s="35"/>
      <c r="T939" s="35"/>
      <c r="U939" s="20"/>
      <c r="V939" s="28"/>
      <c r="CM939"/>
      <c r="CN939"/>
      <c r="CO939"/>
      <c r="CP939"/>
      <c r="CQ939"/>
      <c r="CR939"/>
      <c r="CS939"/>
      <c r="CT939"/>
      <c r="CU939"/>
      <c r="CV939"/>
      <c r="CW939"/>
      <c r="CX939"/>
      <c r="CY939"/>
    </row>
    <row r="940" spans="2:103" s="1" customFormat="1" x14ac:dyDescent="0.25">
      <c r="B940" s="25"/>
      <c r="C940" s="32"/>
      <c r="D940" s="20"/>
      <c r="E940" s="34"/>
      <c r="F940" s="47"/>
      <c r="G940" s="1651"/>
      <c r="H940" s="1652"/>
      <c r="I940" s="1652"/>
      <c r="J940" s="1652"/>
      <c r="K940" s="168"/>
      <c r="L940" s="168"/>
      <c r="M940" s="35"/>
      <c r="N940" s="35"/>
      <c r="O940" s="35"/>
      <c r="P940" s="35"/>
      <c r="Q940" s="35"/>
      <c r="R940" s="35"/>
      <c r="S940" s="35"/>
      <c r="T940" s="35"/>
      <c r="U940" s="20"/>
      <c r="V940" s="28"/>
      <c r="CM940"/>
      <c r="CN940"/>
      <c r="CO940"/>
      <c r="CP940"/>
      <c r="CQ940"/>
      <c r="CR940"/>
      <c r="CS940"/>
      <c r="CT940"/>
      <c r="CU940"/>
      <c r="CV940"/>
      <c r="CW940"/>
      <c r="CX940"/>
      <c r="CY940"/>
    </row>
    <row r="941" spans="2:103" s="1" customFormat="1" x14ac:dyDescent="0.25">
      <c r="B941" s="25"/>
      <c r="C941" s="32"/>
      <c r="D941" s="20"/>
      <c r="E941" s="34"/>
      <c r="F941" s="47"/>
      <c r="G941" s="1651"/>
      <c r="H941" s="1652"/>
      <c r="I941" s="1652"/>
      <c r="J941" s="1652"/>
      <c r="K941" s="168"/>
      <c r="L941" s="168"/>
      <c r="M941" s="35"/>
      <c r="N941" s="35"/>
      <c r="O941" s="35"/>
      <c r="P941" s="35"/>
      <c r="Q941" s="35"/>
      <c r="R941" s="35"/>
      <c r="S941" s="35"/>
      <c r="T941" s="35"/>
      <c r="U941" s="20"/>
      <c r="V941" s="28"/>
      <c r="CM941"/>
      <c r="CN941"/>
      <c r="CO941"/>
      <c r="CP941"/>
      <c r="CQ941"/>
      <c r="CR941"/>
      <c r="CS941"/>
      <c r="CT941"/>
      <c r="CU941"/>
      <c r="CV941"/>
      <c r="CW941"/>
      <c r="CX941"/>
      <c r="CY941"/>
    </row>
    <row r="942" spans="2:103" s="1" customFormat="1" x14ac:dyDescent="0.25">
      <c r="B942" s="25"/>
      <c r="C942" s="32"/>
      <c r="D942" s="20"/>
      <c r="E942" s="34"/>
      <c r="F942" s="47"/>
      <c r="G942" s="1651"/>
      <c r="H942" s="1652"/>
      <c r="I942" s="1652"/>
      <c r="J942" s="1652"/>
      <c r="K942" s="168"/>
      <c r="L942" s="168"/>
      <c r="M942" s="35"/>
      <c r="N942" s="35"/>
      <c r="O942" s="35"/>
      <c r="P942" s="35"/>
      <c r="Q942" s="35"/>
      <c r="R942" s="35"/>
      <c r="S942" s="35"/>
      <c r="T942" s="35"/>
      <c r="U942" s="20"/>
      <c r="V942" s="28"/>
      <c r="CM942"/>
      <c r="CN942"/>
      <c r="CO942"/>
      <c r="CP942"/>
      <c r="CQ942"/>
      <c r="CR942"/>
      <c r="CS942"/>
      <c r="CT942"/>
      <c r="CU942"/>
      <c r="CV942"/>
      <c r="CW942"/>
      <c r="CX942"/>
      <c r="CY942"/>
    </row>
    <row r="943" spans="2:103" s="1" customFormat="1" x14ac:dyDescent="0.25">
      <c r="B943" s="25"/>
      <c r="C943" s="32"/>
      <c r="D943" s="20"/>
      <c r="E943" s="34"/>
      <c r="F943" s="47"/>
      <c r="G943" s="1651"/>
      <c r="H943" s="1652"/>
      <c r="I943" s="1652"/>
      <c r="J943" s="1652"/>
      <c r="K943" s="168"/>
      <c r="L943" s="168"/>
      <c r="M943" s="35"/>
      <c r="N943" s="35"/>
      <c r="O943" s="35"/>
      <c r="P943" s="35"/>
      <c r="Q943" s="35"/>
      <c r="R943" s="35"/>
      <c r="S943" s="35"/>
      <c r="T943" s="35"/>
      <c r="U943" s="20"/>
      <c r="V943" s="28"/>
      <c r="CM943"/>
      <c r="CN943"/>
      <c r="CO943"/>
      <c r="CP943"/>
      <c r="CQ943"/>
      <c r="CR943"/>
      <c r="CS943"/>
      <c r="CT943"/>
      <c r="CU943"/>
      <c r="CV943"/>
      <c r="CW943"/>
      <c r="CX943"/>
      <c r="CY943"/>
    </row>
    <row r="944" spans="2:103" s="1" customFormat="1" x14ac:dyDescent="0.25">
      <c r="B944" s="25"/>
      <c r="C944" s="32"/>
      <c r="D944" s="20"/>
      <c r="E944" s="34"/>
      <c r="F944" s="47"/>
      <c r="G944" s="1651"/>
      <c r="H944" s="1652"/>
      <c r="I944" s="1652"/>
      <c r="J944" s="1652"/>
      <c r="K944" s="168"/>
      <c r="L944" s="168"/>
      <c r="M944" s="35"/>
      <c r="N944" s="35"/>
      <c r="O944" s="35"/>
      <c r="P944" s="35"/>
      <c r="Q944" s="35"/>
      <c r="R944" s="35"/>
      <c r="S944" s="35"/>
      <c r="T944" s="35"/>
      <c r="U944" s="20"/>
      <c r="V944" s="28"/>
      <c r="CM944"/>
      <c r="CN944"/>
      <c r="CO944"/>
      <c r="CP944"/>
      <c r="CQ944"/>
      <c r="CR944"/>
      <c r="CS944"/>
      <c r="CT944"/>
      <c r="CU944"/>
      <c r="CV944"/>
      <c r="CW944"/>
      <c r="CX944"/>
      <c r="CY944"/>
    </row>
    <row r="945" spans="2:103" s="1" customFormat="1" x14ac:dyDescent="0.25">
      <c r="B945" s="25"/>
      <c r="C945" s="32"/>
      <c r="D945" s="20"/>
      <c r="E945" s="34"/>
      <c r="F945" s="47"/>
      <c r="G945" s="1651"/>
      <c r="H945" s="1652"/>
      <c r="I945" s="1652"/>
      <c r="J945" s="1652"/>
      <c r="K945" s="168"/>
      <c r="L945" s="168"/>
      <c r="M945" s="35"/>
      <c r="N945" s="35"/>
      <c r="O945" s="35"/>
      <c r="P945" s="35"/>
      <c r="Q945" s="35"/>
      <c r="R945" s="35"/>
      <c r="S945" s="35"/>
      <c r="T945" s="35"/>
      <c r="U945" s="20"/>
      <c r="V945" s="28"/>
      <c r="CM945"/>
      <c r="CN945"/>
      <c r="CO945"/>
      <c r="CP945"/>
      <c r="CQ945"/>
      <c r="CR945"/>
      <c r="CS945"/>
      <c r="CT945"/>
      <c r="CU945"/>
      <c r="CV945"/>
      <c r="CW945"/>
      <c r="CX945"/>
      <c r="CY945"/>
    </row>
    <row r="946" spans="2:103" s="1" customFormat="1" x14ac:dyDescent="0.25">
      <c r="B946" s="25"/>
      <c r="C946" s="32"/>
      <c r="D946" s="20"/>
      <c r="E946" s="34"/>
      <c r="F946" s="47"/>
      <c r="G946" s="1651"/>
      <c r="H946" s="1652"/>
      <c r="I946" s="1652"/>
      <c r="J946" s="1652"/>
      <c r="K946" s="168"/>
      <c r="L946" s="168"/>
      <c r="M946" s="35"/>
      <c r="N946" s="35"/>
      <c r="O946" s="35"/>
      <c r="P946" s="35"/>
      <c r="Q946" s="35"/>
      <c r="R946" s="35"/>
      <c r="S946" s="35"/>
      <c r="T946" s="35"/>
      <c r="U946" s="20"/>
      <c r="V946" s="28"/>
      <c r="CM946"/>
      <c r="CN946"/>
      <c r="CO946"/>
      <c r="CP946"/>
      <c r="CQ946"/>
      <c r="CR946"/>
      <c r="CS946"/>
      <c r="CT946"/>
      <c r="CU946"/>
      <c r="CV946"/>
      <c r="CW946"/>
      <c r="CX946"/>
      <c r="CY946"/>
    </row>
    <row r="947" spans="2:103" s="1" customFormat="1" x14ac:dyDescent="0.25">
      <c r="B947" s="25"/>
      <c r="C947" s="32"/>
      <c r="D947" s="20"/>
      <c r="E947" s="34"/>
      <c r="F947" s="47"/>
      <c r="G947" s="1651"/>
      <c r="H947" s="1652"/>
      <c r="I947" s="1652"/>
      <c r="J947" s="1652"/>
      <c r="K947" s="168"/>
      <c r="L947" s="168"/>
      <c r="M947" s="35"/>
      <c r="N947" s="35"/>
      <c r="O947" s="35"/>
      <c r="P947" s="35"/>
      <c r="Q947" s="35"/>
      <c r="R947" s="35"/>
      <c r="S947" s="35"/>
      <c r="T947" s="35"/>
      <c r="U947" s="20"/>
      <c r="V947" s="28"/>
      <c r="CM947"/>
      <c r="CN947"/>
      <c r="CO947"/>
      <c r="CP947"/>
      <c r="CQ947"/>
      <c r="CR947"/>
      <c r="CS947"/>
      <c r="CT947"/>
      <c r="CU947"/>
      <c r="CV947"/>
      <c r="CW947"/>
      <c r="CX947"/>
      <c r="CY947"/>
    </row>
    <row r="948" spans="2:103" s="1" customFormat="1" x14ac:dyDescent="0.25">
      <c r="B948" s="25"/>
      <c r="C948" s="32"/>
      <c r="D948" s="20"/>
      <c r="E948" s="34"/>
      <c r="F948" s="47"/>
      <c r="G948" s="1651"/>
      <c r="H948" s="1652"/>
      <c r="I948" s="1652"/>
      <c r="J948" s="1652"/>
      <c r="K948" s="168"/>
      <c r="L948" s="168"/>
      <c r="M948" s="35"/>
      <c r="N948" s="35"/>
      <c r="O948" s="35"/>
      <c r="P948" s="35"/>
      <c r="Q948" s="35"/>
      <c r="R948" s="35"/>
      <c r="S948" s="35"/>
      <c r="T948" s="35"/>
      <c r="U948" s="20"/>
      <c r="V948" s="28"/>
      <c r="CM948"/>
      <c r="CN948"/>
      <c r="CO948"/>
      <c r="CP948"/>
      <c r="CQ948"/>
      <c r="CR948"/>
      <c r="CS948"/>
      <c r="CT948"/>
      <c r="CU948"/>
      <c r="CV948"/>
      <c r="CW948"/>
      <c r="CX948"/>
      <c r="CY948"/>
    </row>
    <row r="949" spans="2:103" s="1" customFormat="1" x14ac:dyDescent="0.25">
      <c r="B949" s="25"/>
      <c r="C949" s="32"/>
      <c r="D949" s="20"/>
      <c r="E949" s="34"/>
      <c r="F949" s="47"/>
      <c r="G949" s="1651"/>
      <c r="H949" s="1652"/>
      <c r="I949" s="1652"/>
      <c r="J949" s="1652"/>
      <c r="K949" s="168"/>
      <c r="L949" s="168"/>
      <c r="M949" s="35"/>
      <c r="N949" s="35"/>
      <c r="O949" s="35"/>
      <c r="P949" s="35"/>
      <c r="Q949" s="35"/>
      <c r="R949" s="35"/>
      <c r="S949" s="35"/>
      <c r="T949" s="35"/>
      <c r="U949" s="20"/>
      <c r="V949" s="28"/>
      <c r="CM949"/>
      <c r="CN949"/>
      <c r="CO949"/>
      <c r="CP949"/>
      <c r="CQ949"/>
      <c r="CR949"/>
      <c r="CS949"/>
      <c r="CT949"/>
      <c r="CU949"/>
      <c r="CV949"/>
      <c r="CW949"/>
      <c r="CX949"/>
      <c r="CY949"/>
    </row>
    <row r="950" spans="2:103" s="1" customFormat="1" x14ac:dyDescent="0.25">
      <c r="B950" s="25"/>
      <c r="C950" s="32"/>
      <c r="D950" s="20"/>
      <c r="E950" s="34"/>
      <c r="F950" s="47"/>
      <c r="G950" s="1651"/>
      <c r="H950" s="1652"/>
      <c r="I950" s="1652"/>
      <c r="J950" s="1652"/>
      <c r="K950" s="168"/>
      <c r="L950" s="168"/>
      <c r="M950" s="35"/>
      <c r="N950" s="35"/>
      <c r="O950" s="35"/>
      <c r="P950" s="35"/>
      <c r="Q950" s="35"/>
      <c r="R950" s="35"/>
      <c r="S950" s="35"/>
      <c r="T950" s="35"/>
      <c r="U950" s="20"/>
      <c r="V950" s="28"/>
      <c r="CM950"/>
      <c r="CN950"/>
      <c r="CO950"/>
      <c r="CP950"/>
      <c r="CQ950"/>
      <c r="CR950"/>
      <c r="CS950"/>
      <c r="CT950"/>
      <c r="CU950"/>
      <c r="CV950"/>
      <c r="CW950"/>
      <c r="CX950"/>
      <c r="CY950"/>
    </row>
    <row r="951" spans="2:103" s="1" customFormat="1" x14ac:dyDescent="0.25">
      <c r="B951" s="25"/>
      <c r="C951" s="32"/>
      <c r="D951" s="20"/>
      <c r="E951" s="34"/>
      <c r="F951" s="47"/>
      <c r="G951" s="1651"/>
      <c r="H951" s="1652"/>
      <c r="I951" s="1652"/>
      <c r="J951" s="1652"/>
      <c r="K951" s="168"/>
      <c r="L951" s="168"/>
      <c r="M951" s="35"/>
      <c r="N951" s="35"/>
      <c r="O951" s="35"/>
      <c r="P951" s="35"/>
      <c r="Q951" s="35"/>
      <c r="R951" s="35"/>
      <c r="S951" s="35"/>
      <c r="T951" s="35"/>
      <c r="U951" s="20"/>
      <c r="V951" s="28"/>
      <c r="CM951"/>
      <c r="CN951"/>
      <c r="CO951"/>
      <c r="CP951"/>
      <c r="CQ951"/>
      <c r="CR951"/>
      <c r="CS951"/>
      <c r="CT951"/>
      <c r="CU951"/>
      <c r="CV951"/>
      <c r="CW951"/>
      <c r="CX951"/>
      <c r="CY951"/>
    </row>
    <row r="952" spans="2:103" s="1" customFormat="1" x14ac:dyDescent="0.25">
      <c r="B952" s="25"/>
      <c r="C952" s="32"/>
      <c r="D952" s="20"/>
      <c r="E952" s="34"/>
      <c r="F952" s="47"/>
      <c r="G952" s="1651"/>
      <c r="H952" s="1652"/>
      <c r="I952" s="1652"/>
      <c r="J952" s="1652"/>
      <c r="K952" s="168"/>
      <c r="L952" s="168"/>
      <c r="M952" s="35"/>
      <c r="N952" s="35"/>
      <c r="O952" s="35"/>
      <c r="P952" s="35"/>
      <c r="Q952" s="35"/>
      <c r="R952" s="35"/>
      <c r="S952" s="35"/>
      <c r="T952" s="35"/>
      <c r="U952" s="20"/>
      <c r="V952" s="28"/>
      <c r="CM952"/>
      <c r="CN952"/>
      <c r="CO952"/>
      <c r="CP952"/>
      <c r="CQ952"/>
      <c r="CR952"/>
      <c r="CS952"/>
      <c r="CT952"/>
      <c r="CU952"/>
      <c r="CV952"/>
      <c r="CW952"/>
      <c r="CX952"/>
      <c r="CY952"/>
    </row>
    <row r="953" spans="2:103" s="1" customFormat="1" x14ac:dyDescent="0.25">
      <c r="B953" s="25"/>
      <c r="C953" s="32"/>
      <c r="D953" s="20"/>
      <c r="E953" s="34"/>
      <c r="F953" s="47"/>
      <c r="G953" s="1651"/>
      <c r="H953" s="1652"/>
      <c r="I953" s="1652"/>
      <c r="J953" s="1652"/>
      <c r="K953" s="168"/>
      <c r="L953" s="168"/>
      <c r="M953" s="35"/>
      <c r="N953" s="35"/>
      <c r="O953" s="35"/>
      <c r="P953" s="35"/>
      <c r="Q953" s="35"/>
      <c r="R953" s="35"/>
      <c r="S953" s="35"/>
      <c r="T953" s="35"/>
      <c r="U953" s="20"/>
      <c r="V953" s="28"/>
      <c r="CM953"/>
      <c r="CN953"/>
      <c r="CO953"/>
      <c r="CP953"/>
      <c r="CQ953"/>
      <c r="CR953"/>
      <c r="CS953"/>
      <c r="CT953"/>
      <c r="CU953"/>
      <c r="CV953"/>
      <c r="CW953"/>
      <c r="CX953"/>
      <c r="CY953"/>
    </row>
    <row r="954" spans="2:103" s="1" customFormat="1" x14ac:dyDescent="0.25">
      <c r="B954" s="25"/>
      <c r="C954" s="32"/>
      <c r="D954" s="20"/>
      <c r="E954" s="34"/>
      <c r="F954" s="47"/>
      <c r="G954" s="1651"/>
      <c r="H954" s="1652"/>
      <c r="I954" s="1652"/>
      <c r="J954" s="1652"/>
      <c r="K954" s="168"/>
      <c r="L954" s="168"/>
      <c r="M954" s="35"/>
      <c r="N954" s="35"/>
      <c r="O954" s="35"/>
      <c r="P954" s="35"/>
      <c r="Q954" s="35"/>
      <c r="R954" s="35"/>
      <c r="S954" s="35"/>
      <c r="T954" s="35"/>
      <c r="U954" s="20"/>
      <c r="V954" s="28"/>
      <c r="CM954"/>
      <c r="CN954"/>
      <c r="CO954"/>
      <c r="CP954"/>
      <c r="CQ954"/>
      <c r="CR954"/>
      <c r="CS954"/>
      <c r="CT954"/>
      <c r="CU954"/>
      <c r="CV954"/>
      <c r="CW954"/>
      <c r="CX954"/>
      <c r="CY954"/>
    </row>
    <row r="955" spans="2:103" s="1" customFormat="1" x14ac:dyDescent="0.25">
      <c r="B955" s="25"/>
      <c r="C955" s="32"/>
      <c r="D955" s="20"/>
      <c r="E955" s="34"/>
      <c r="F955" s="47"/>
      <c r="G955" s="1651"/>
      <c r="H955" s="1652"/>
      <c r="I955" s="1652"/>
      <c r="J955" s="1652"/>
      <c r="K955" s="168"/>
      <c r="L955" s="168"/>
      <c r="M955" s="35"/>
      <c r="N955" s="35"/>
      <c r="O955" s="35"/>
      <c r="P955" s="35"/>
      <c r="Q955" s="35"/>
      <c r="R955" s="35"/>
      <c r="S955" s="35"/>
      <c r="T955" s="35"/>
      <c r="U955" s="20"/>
      <c r="V955" s="28"/>
      <c r="CM955"/>
      <c r="CN955"/>
      <c r="CO955"/>
      <c r="CP955"/>
      <c r="CQ955"/>
      <c r="CR955"/>
      <c r="CS955"/>
      <c r="CT955"/>
      <c r="CU955"/>
      <c r="CV955"/>
      <c r="CW955"/>
      <c r="CX955"/>
      <c r="CY955"/>
    </row>
    <row r="956" spans="2:103" s="1" customFormat="1" x14ac:dyDescent="0.25">
      <c r="B956" s="25"/>
      <c r="C956" s="32"/>
      <c r="D956" s="20"/>
      <c r="E956" s="34"/>
      <c r="F956" s="47"/>
      <c r="G956" s="1651"/>
      <c r="H956" s="1652"/>
      <c r="I956" s="1652"/>
      <c r="J956" s="1652"/>
      <c r="K956" s="168"/>
      <c r="L956" s="168"/>
      <c r="M956" s="35"/>
      <c r="N956" s="35"/>
      <c r="O956" s="45"/>
      <c r="P956" s="45"/>
      <c r="Q956" s="45"/>
      <c r="R956" s="45"/>
      <c r="S956" s="45"/>
      <c r="T956" s="45"/>
      <c r="U956" s="169"/>
      <c r="V956" s="46"/>
      <c r="CM956"/>
      <c r="CN956"/>
      <c r="CO956"/>
      <c r="CP956"/>
      <c r="CQ956"/>
      <c r="CR956"/>
      <c r="CS956"/>
      <c r="CT956"/>
      <c r="CU956"/>
      <c r="CV956"/>
      <c r="CW956"/>
      <c r="CX956"/>
      <c r="CY956"/>
    </row>
    <row r="957" spans="2:103" s="1" customFormat="1" x14ac:dyDescent="0.25">
      <c r="B957" s="25"/>
      <c r="C957" s="32"/>
      <c r="D957" s="20"/>
      <c r="E957" s="34"/>
      <c r="F957" s="47"/>
      <c r="G957" s="1651"/>
      <c r="H957" s="1652"/>
      <c r="I957" s="1652"/>
      <c r="J957" s="1652"/>
      <c r="K957" s="168"/>
      <c r="L957" s="168"/>
      <c r="M957" s="35"/>
      <c r="N957" s="35"/>
      <c r="O957" s="45"/>
      <c r="P957" s="45"/>
      <c r="Q957" s="45"/>
      <c r="R957" s="45"/>
      <c r="S957" s="45"/>
      <c r="T957" s="45"/>
      <c r="U957" s="169"/>
      <c r="V957" s="46"/>
      <c r="CM957"/>
      <c r="CN957"/>
      <c r="CO957"/>
      <c r="CP957"/>
      <c r="CQ957"/>
      <c r="CR957"/>
      <c r="CS957"/>
      <c r="CT957"/>
      <c r="CU957"/>
      <c r="CV957"/>
      <c r="CW957"/>
      <c r="CX957"/>
      <c r="CY957"/>
    </row>
  </sheetData>
  <mergeCells count="588">
    <mergeCell ref="D159:S159"/>
    <mergeCell ref="D158:S158"/>
    <mergeCell ref="D174:S174"/>
    <mergeCell ref="D138:S138"/>
    <mergeCell ref="D139:S139"/>
    <mergeCell ref="D140:S140"/>
    <mergeCell ref="D141:S141"/>
    <mergeCell ref="D160:S160"/>
    <mergeCell ref="D142:S142"/>
    <mergeCell ref="D161:S161"/>
    <mergeCell ref="D157:S157"/>
    <mergeCell ref="D168:S168"/>
    <mergeCell ref="D148:S148"/>
    <mergeCell ref="D152:S152"/>
    <mergeCell ref="D144:S144"/>
    <mergeCell ref="D145:S145"/>
    <mergeCell ref="D146:S146"/>
    <mergeCell ref="D154:S154"/>
    <mergeCell ref="D162:S162"/>
    <mergeCell ref="D143:S143"/>
    <mergeCell ref="D149:S149"/>
    <mergeCell ref="D164:S164"/>
    <mergeCell ref="D171:S171"/>
    <mergeCell ref="D532:S532"/>
    <mergeCell ref="D185:S185"/>
    <mergeCell ref="D341:S341"/>
    <mergeCell ref="D195:S195"/>
    <mergeCell ref="D192:S192"/>
    <mergeCell ref="G550:K550"/>
    <mergeCell ref="D194:S194"/>
    <mergeCell ref="D193:S193"/>
    <mergeCell ref="D196:S196"/>
    <mergeCell ref="D199:S199"/>
    <mergeCell ref="D188:S188"/>
    <mergeCell ref="D191:S191"/>
    <mergeCell ref="D186:S186"/>
    <mergeCell ref="D177:S177"/>
    <mergeCell ref="G579:K579"/>
    <mergeCell ref="G580:K580"/>
    <mergeCell ref="G578:K578"/>
    <mergeCell ref="G569:K569"/>
    <mergeCell ref="G570:K570"/>
    <mergeCell ref="G571:K571"/>
    <mergeCell ref="G572:K572"/>
    <mergeCell ref="D178:S178"/>
    <mergeCell ref="D179:S179"/>
    <mergeCell ref="D442:R442"/>
    <mergeCell ref="D372:S372"/>
    <mergeCell ref="D486:S486"/>
    <mergeCell ref="G551:K551"/>
    <mergeCell ref="G549:K549"/>
    <mergeCell ref="D485:S485"/>
    <mergeCell ref="G573:K573"/>
    <mergeCell ref="G574:K574"/>
    <mergeCell ref="D200:S200"/>
    <mergeCell ref="D182:S182"/>
    <mergeCell ref="D190:S190"/>
    <mergeCell ref="D198:S198"/>
    <mergeCell ref="D563:S563"/>
    <mergeCell ref="D181:S181"/>
    <mergeCell ref="D127:S127"/>
    <mergeCell ref="D117:S117"/>
    <mergeCell ref="D114:S114"/>
    <mergeCell ref="D115:S115"/>
    <mergeCell ref="D116:S116"/>
    <mergeCell ref="G602:K602"/>
    <mergeCell ref="G603:K603"/>
    <mergeCell ref="D166:S166"/>
    <mergeCell ref="D150:S150"/>
    <mergeCell ref="D151:S151"/>
    <mergeCell ref="D153:S153"/>
    <mergeCell ref="D155:S155"/>
    <mergeCell ref="D197:S197"/>
    <mergeCell ref="D183:S183"/>
    <mergeCell ref="D184:S184"/>
    <mergeCell ref="D180:S180"/>
    <mergeCell ref="D176:S176"/>
    <mergeCell ref="D175:S175"/>
    <mergeCell ref="D173:S173"/>
    <mergeCell ref="G599:K599"/>
    <mergeCell ref="G577:K577"/>
    <mergeCell ref="G568:K568"/>
    <mergeCell ref="D187:S187"/>
    <mergeCell ref="D189:S189"/>
    <mergeCell ref="D137:S137"/>
    <mergeCell ref="D147:S147"/>
    <mergeCell ref="D163:S163"/>
    <mergeCell ref="D170:S170"/>
    <mergeCell ref="D172:S172"/>
    <mergeCell ref="D105:S105"/>
    <mergeCell ref="D118:S118"/>
    <mergeCell ref="D119:S119"/>
    <mergeCell ref="D120:S120"/>
    <mergeCell ref="D121:S121"/>
    <mergeCell ref="D134:S134"/>
    <mergeCell ref="D135:S135"/>
    <mergeCell ref="D136:S136"/>
    <mergeCell ref="D156:S156"/>
    <mergeCell ref="D133:S133"/>
    <mergeCell ref="D132:S132"/>
    <mergeCell ref="D129:S129"/>
    <mergeCell ref="D124:S124"/>
    <mergeCell ref="D122:S122"/>
    <mergeCell ref="D126:S126"/>
    <mergeCell ref="D125:S125"/>
    <mergeCell ref="D111:S111"/>
    <mergeCell ref="D123:S123"/>
    <mergeCell ref="D128:S128"/>
    <mergeCell ref="D86:S86"/>
    <mergeCell ref="D96:S96"/>
    <mergeCell ref="D94:S94"/>
    <mergeCell ref="D93:S93"/>
    <mergeCell ref="R4:S4"/>
    <mergeCell ref="R6:S6"/>
    <mergeCell ref="P10:Q10"/>
    <mergeCell ref="D45:S45"/>
    <mergeCell ref="D55:S55"/>
    <mergeCell ref="O12:P12"/>
    <mergeCell ref="D62:S62"/>
    <mergeCell ref="D63:S63"/>
    <mergeCell ref="D67:S67"/>
    <mergeCell ref="D64:S64"/>
    <mergeCell ref="D65:S65"/>
    <mergeCell ref="D36:S36"/>
    <mergeCell ref="D37:S37"/>
    <mergeCell ref="D66:S66"/>
    <mergeCell ref="D60:S60"/>
    <mergeCell ref="D61:S61"/>
    <mergeCell ref="D85:S85"/>
    <mergeCell ref="D71:S71"/>
    <mergeCell ref="D73:S73"/>
    <mergeCell ref="D72:S72"/>
    <mergeCell ref="D81:S81"/>
    <mergeCell ref="D80:S80"/>
    <mergeCell ref="D79:S79"/>
    <mergeCell ref="D77:S77"/>
    <mergeCell ref="D75:S75"/>
    <mergeCell ref="D82:S82"/>
    <mergeCell ref="D74:S74"/>
    <mergeCell ref="D83:S83"/>
    <mergeCell ref="D84:S84"/>
    <mergeCell ref="D69:S69"/>
    <mergeCell ref="D68:S68"/>
    <mergeCell ref="D76:S76"/>
    <mergeCell ref="D78:S78"/>
    <mergeCell ref="D70:S70"/>
    <mergeCell ref="D49:S49"/>
    <mergeCell ref="D50:S50"/>
    <mergeCell ref="D51:S51"/>
    <mergeCell ref="D57:S57"/>
    <mergeCell ref="D58:S58"/>
    <mergeCell ref="D59:S59"/>
    <mergeCell ref="B1:V3"/>
    <mergeCell ref="I4:K4"/>
    <mergeCell ref="M4:N4"/>
    <mergeCell ref="I5:Q5"/>
    <mergeCell ref="I6:K6"/>
    <mergeCell ref="M6:N6"/>
    <mergeCell ref="U13:U14"/>
    <mergeCell ref="B15:B16"/>
    <mergeCell ref="D8:E8"/>
    <mergeCell ref="I8:I9"/>
    <mergeCell ref="J8:L9"/>
    <mergeCell ref="M8:N8"/>
    <mergeCell ref="D9:E9"/>
    <mergeCell ref="M9:N9"/>
    <mergeCell ref="D10:E10"/>
    <mergeCell ref="I10:I11"/>
    <mergeCell ref="J10:L11"/>
    <mergeCell ref="M10:N10"/>
    <mergeCell ref="B13:B14"/>
    <mergeCell ref="O13:O14"/>
    <mergeCell ref="P13:P14"/>
    <mergeCell ref="Q13:Q14"/>
    <mergeCell ref="D11:E11"/>
    <mergeCell ref="T13:T14"/>
    <mergeCell ref="E12:J12"/>
    <mergeCell ref="D34:S34"/>
    <mergeCell ref="D29:S29"/>
    <mergeCell ref="D30:S30"/>
    <mergeCell ref="D56:S56"/>
    <mergeCell ref="D52:S52"/>
    <mergeCell ref="D54:S54"/>
    <mergeCell ref="D53:S53"/>
    <mergeCell ref="D38:S38"/>
    <mergeCell ref="D39:S39"/>
    <mergeCell ref="D40:S40"/>
    <mergeCell ref="D46:S46"/>
    <mergeCell ref="D41:S41"/>
    <mergeCell ref="D48:S48"/>
    <mergeCell ref="D43:S43"/>
    <mergeCell ref="D42:S42"/>
    <mergeCell ref="D44:S44"/>
    <mergeCell ref="D47:S47"/>
    <mergeCell ref="D31:S31"/>
    <mergeCell ref="D32:S32"/>
    <mergeCell ref="D33:S33"/>
    <mergeCell ref="D35:S35"/>
    <mergeCell ref="D100:S100"/>
    <mergeCell ref="D106:S106"/>
    <mergeCell ref="D87:S87"/>
    <mergeCell ref="D88:S88"/>
    <mergeCell ref="D131:S131"/>
    <mergeCell ref="D98:S98"/>
    <mergeCell ref="D99:S99"/>
    <mergeCell ref="D97:S97"/>
    <mergeCell ref="D101:S101"/>
    <mergeCell ref="D95:S95"/>
    <mergeCell ref="D92:S92"/>
    <mergeCell ref="D89:S89"/>
    <mergeCell ref="D90:S90"/>
    <mergeCell ref="D91:S91"/>
    <mergeCell ref="D107:S107"/>
    <mergeCell ref="D110:S110"/>
    <mergeCell ref="D108:S108"/>
    <mergeCell ref="D102:S102"/>
    <mergeCell ref="D104:S104"/>
    <mergeCell ref="D103:S103"/>
    <mergeCell ref="D112:S112"/>
    <mergeCell ref="D130:S130"/>
    <mergeCell ref="D113:S113"/>
    <mergeCell ref="D109:S109"/>
    <mergeCell ref="G629:K629"/>
    <mergeCell ref="G630:K630"/>
    <mergeCell ref="G637:K637"/>
    <mergeCell ref="G632:K632"/>
    <mergeCell ref="G631:K631"/>
    <mergeCell ref="D638:S638"/>
    <mergeCell ref="D201:S201"/>
    <mergeCell ref="G567:K567"/>
    <mergeCell ref="G640:J640"/>
    <mergeCell ref="G636:K636"/>
    <mergeCell ref="G606:K606"/>
    <mergeCell ref="G619:K619"/>
    <mergeCell ref="G566:K566"/>
    <mergeCell ref="G611:K611"/>
    <mergeCell ref="G605:K605"/>
    <mergeCell ref="G624:K624"/>
    <mergeCell ref="G625:K625"/>
    <mergeCell ref="G626:K626"/>
    <mergeCell ref="G627:K627"/>
    <mergeCell ref="G575:K575"/>
    <mergeCell ref="G576:K576"/>
    <mergeCell ref="D376:S376"/>
    <mergeCell ref="G564:K564"/>
    <mergeCell ref="G565:K565"/>
    <mergeCell ref="G641:J641"/>
    <mergeCell ref="G642:J642"/>
    <mergeCell ref="G643:J643"/>
    <mergeCell ref="G644:J644"/>
    <mergeCell ref="G645:J645"/>
    <mergeCell ref="G646:J646"/>
    <mergeCell ref="G610:K610"/>
    <mergeCell ref="G581:K581"/>
    <mergeCell ref="G607:K607"/>
    <mergeCell ref="G600:K600"/>
    <mergeCell ref="G608:K608"/>
    <mergeCell ref="G604:K604"/>
    <mergeCell ref="G613:K613"/>
    <mergeCell ref="G612:K612"/>
    <mergeCell ref="G617:K617"/>
    <mergeCell ref="G614:K614"/>
    <mergeCell ref="G609:K609"/>
    <mergeCell ref="G618:K618"/>
    <mergeCell ref="G620:K620"/>
    <mergeCell ref="G621:K621"/>
    <mergeCell ref="G622:K622"/>
    <mergeCell ref="G623:K623"/>
    <mergeCell ref="G639:J639"/>
    <mergeCell ref="G628:K628"/>
    <mergeCell ref="G663:J663"/>
    <mergeCell ref="G664:J664"/>
    <mergeCell ref="G653:J653"/>
    <mergeCell ref="G654:J654"/>
    <mergeCell ref="G655:J655"/>
    <mergeCell ref="G656:J656"/>
    <mergeCell ref="G657:J657"/>
    <mergeCell ref="G658:J658"/>
    <mergeCell ref="G647:J647"/>
    <mergeCell ref="G648:J648"/>
    <mergeCell ref="G649:J649"/>
    <mergeCell ref="G650:J650"/>
    <mergeCell ref="G651:J651"/>
    <mergeCell ref="G652:J652"/>
    <mergeCell ref="G662:J662"/>
    <mergeCell ref="G659:J659"/>
    <mergeCell ref="G660:J660"/>
    <mergeCell ref="G661:J661"/>
    <mergeCell ref="G666:J666"/>
    <mergeCell ref="G667:J667"/>
    <mergeCell ref="G668:J668"/>
    <mergeCell ref="G669:J669"/>
    <mergeCell ref="G673:J673"/>
    <mergeCell ref="G678:J678"/>
    <mergeCell ref="G674:J674"/>
    <mergeCell ref="G675:J675"/>
    <mergeCell ref="G679:J679"/>
    <mergeCell ref="G953:J953"/>
    <mergeCell ref="G954:J954"/>
    <mergeCell ref="G955:J955"/>
    <mergeCell ref="G956:J956"/>
    <mergeCell ref="G957:J957"/>
    <mergeCell ref="G947:J947"/>
    <mergeCell ref="G948:J948"/>
    <mergeCell ref="G949:J949"/>
    <mergeCell ref="G950:J950"/>
    <mergeCell ref="G951:J951"/>
    <mergeCell ref="G952:J952"/>
    <mergeCell ref="G941:J941"/>
    <mergeCell ref="G942:J942"/>
    <mergeCell ref="G943:J943"/>
    <mergeCell ref="G944:J944"/>
    <mergeCell ref="G945:J945"/>
    <mergeCell ref="G946:J946"/>
    <mergeCell ref="G935:J935"/>
    <mergeCell ref="G936:J936"/>
    <mergeCell ref="G937:J937"/>
    <mergeCell ref="G938:J938"/>
    <mergeCell ref="G939:J939"/>
    <mergeCell ref="G940:J940"/>
    <mergeCell ref="G929:J929"/>
    <mergeCell ref="G930:J930"/>
    <mergeCell ref="G931:J931"/>
    <mergeCell ref="G932:J932"/>
    <mergeCell ref="G933:J933"/>
    <mergeCell ref="G934:J934"/>
    <mergeCell ref="G923:J923"/>
    <mergeCell ref="G924:J924"/>
    <mergeCell ref="G925:J925"/>
    <mergeCell ref="G926:J926"/>
    <mergeCell ref="G927:J927"/>
    <mergeCell ref="G928:J928"/>
    <mergeCell ref="G922:J922"/>
    <mergeCell ref="G911:J911"/>
    <mergeCell ref="G912:J912"/>
    <mergeCell ref="G913:J913"/>
    <mergeCell ref="G914:J914"/>
    <mergeCell ref="G915:J915"/>
    <mergeCell ref="G916:J916"/>
    <mergeCell ref="G905:J905"/>
    <mergeCell ref="G906:J906"/>
    <mergeCell ref="G907:J907"/>
    <mergeCell ref="G908:J908"/>
    <mergeCell ref="G909:J909"/>
    <mergeCell ref="G910:J910"/>
    <mergeCell ref="G921:J921"/>
    <mergeCell ref="G920:J920"/>
    <mergeCell ref="G917:J917"/>
    <mergeCell ref="G918:J918"/>
    <mergeCell ref="G919:J919"/>
    <mergeCell ref="G904:J904"/>
    <mergeCell ref="G893:J893"/>
    <mergeCell ref="G894:J894"/>
    <mergeCell ref="G895:J895"/>
    <mergeCell ref="G896:J896"/>
    <mergeCell ref="G897:J897"/>
    <mergeCell ref="G898:J898"/>
    <mergeCell ref="G890:J890"/>
    <mergeCell ref="G891:J891"/>
    <mergeCell ref="G892:J892"/>
    <mergeCell ref="G899:J899"/>
    <mergeCell ref="G900:J900"/>
    <mergeCell ref="G901:J901"/>
    <mergeCell ref="G902:J902"/>
    <mergeCell ref="G903:J903"/>
    <mergeCell ref="G876:J876"/>
    <mergeCell ref="G877:J877"/>
    <mergeCell ref="G878:J878"/>
    <mergeCell ref="G879:J879"/>
    <mergeCell ref="G880:J880"/>
    <mergeCell ref="G865:J865"/>
    <mergeCell ref="G866:J866"/>
    <mergeCell ref="G867:J867"/>
    <mergeCell ref="G868:J868"/>
    <mergeCell ref="G875:J875"/>
    <mergeCell ref="G874:J874"/>
    <mergeCell ref="G871:J871"/>
    <mergeCell ref="G872:J872"/>
    <mergeCell ref="G873:J873"/>
    <mergeCell ref="G869:J869"/>
    <mergeCell ref="G870:J870"/>
    <mergeCell ref="G889:J889"/>
    <mergeCell ref="G881:J881"/>
    <mergeCell ref="G882:J882"/>
    <mergeCell ref="G883:J883"/>
    <mergeCell ref="G884:J884"/>
    <mergeCell ref="G885:J885"/>
    <mergeCell ref="G886:J886"/>
    <mergeCell ref="G888:J888"/>
    <mergeCell ref="G887:J887"/>
    <mergeCell ref="G863:J863"/>
    <mergeCell ref="G864:J864"/>
    <mergeCell ref="G851:J851"/>
    <mergeCell ref="G852:J852"/>
    <mergeCell ref="G853:J853"/>
    <mergeCell ref="G830:J830"/>
    <mergeCell ref="G831:J831"/>
    <mergeCell ref="G832:J832"/>
    <mergeCell ref="G854:J854"/>
    <mergeCell ref="G855:J855"/>
    <mergeCell ref="G856:J856"/>
    <mergeCell ref="G845:J845"/>
    <mergeCell ref="G846:J846"/>
    <mergeCell ref="G847:J847"/>
    <mergeCell ref="G833:J833"/>
    <mergeCell ref="G834:J834"/>
    <mergeCell ref="G835:J835"/>
    <mergeCell ref="G836:J836"/>
    <mergeCell ref="G837:J837"/>
    <mergeCell ref="G838:J838"/>
    <mergeCell ref="G821:J821"/>
    <mergeCell ref="G822:J822"/>
    <mergeCell ref="G860:J860"/>
    <mergeCell ref="G861:J861"/>
    <mergeCell ref="G862:J862"/>
    <mergeCell ref="G839:J839"/>
    <mergeCell ref="G840:J840"/>
    <mergeCell ref="G841:J841"/>
    <mergeCell ref="G842:J842"/>
    <mergeCell ref="G843:J843"/>
    <mergeCell ref="G844:J844"/>
    <mergeCell ref="G857:J857"/>
    <mergeCell ref="G858:J858"/>
    <mergeCell ref="G848:J848"/>
    <mergeCell ref="G849:J849"/>
    <mergeCell ref="G850:J850"/>
    <mergeCell ref="G859:J859"/>
    <mergeCell ref="G823:J823"/>
    <mergeCell ref="G824:J824"/>
    <mergeCell ref="G825:J825"/>
    <mergeCell ref="G826:J826"/>
    <mergeCell ref="G827:J827"/>
    <mergeCell ref="G828:J828"/>
    <mergeCell ref="G829:J829"/>
    <mergeCell ref="G815:J815"/>
    <mergeCell ref="G816:J816"/>
    <mergeCell ref="G817:J817"/>
    <mergeCell ref="G818:J818"/>
    <mergeCell ref="G819:J819"/>
    <mergeCell ref="G820:J820"/>
    <mergeCell ref="G809:J809"/>
    <mergeCell ref="G810:J810"/>
    <mergeCell ref="G811:J811"/>
    <mergeCell ref="G812:J812"/>
    <mergeCell ref="G813:J813"/>
    <mergeCell ref="G814:J814"/>
    <mergeCell ref="G803:J803"/>
    <mergeCell ref="G804:J804"/>
    <mergeCell ref="G805:J805"/>
    <mergeCell ref="G806:J806"/>
    <mergeCell ref="G807:J807"/>
    <mergeCell ref="G808:J808"/>
    <mergeCell ref="G797:J797"/>
    <mergeCell ref="G798:J798"/>
    <mergeCell ref="G799:J799"/>
    <mergeCell ref="G800:J800"/>
    <mergeCell ref="G801:J801"/>
    <mergeCell ref="G802:J802"/>
    <mergeCell ref="G796:J796"/>
    <mergeCell ref="G785:J785"/>
    <mergeCell ref="G786:J786"/>
    <mergeCell ref="G787:J787"/>
    <mergeCell ref="G788:J788"/>
    <mergeCell ref="G789:J789"/>
    <mergeCell ref="G790:J790"/>
    <mergeCell ref="G764:J764"/>
    <mergeCell ref="G765:J765"/>
    <mergeCell ref="G766:J766"/>
    <mergeCell ref="G742:J742"/>
    <mergeCell ref="G791:J791"/>
    <mergeCell ref="G792:J792"/>
    <mergeCell ref="G793:J793"/>
    <mergeCell ref="G794:J794"/>
    <mergeCell ref="G795:J795"/>
    <mergeCell ref="G759:J759"/>
    <mergeCell ref="G749:J749"/>
    <mergeCell ref="G750:J750"/>
    <mergeCell ref="G751:J751"/>
    <mergeCell ref="G752:J752"/>
    <mergeCell ref="G753:J753"/>
    <mergeCell ref="G754:J754"/>
    <mergeCell ref="G758:J758"/>
    <mergeCell ref="G760:J760"/>
    <mergeCell ref="G763:J763"/>
    <mergeCell ref="G743:J743"/>
    <mergeCell ref="G744:J744"/>
    <mergeCell ref="G745:J745"/>
    <mergeCell ref="G761:J761"/>
    <mergeCell ref="G762:J762"/>
    <mergeCell ref="G755:J755"/>
    <mergeCell ref="G756:J756"/>
    <mergeCell ref="G757:J757"/>
    <mergeCell ref="G734:J734"/>
    <mergeCell ref="G735:J735"/>
    <mergeCell ref="G736:J736"/>
    <mergeCell ref="G784:J784"/>
    <mergeCell ref="G773:J773"/>
    <mergeCell ref="G774:J774"/>
    <mergeCell ref="G775:J775"/>
    <mergeCell ref="G776:J776"/>
    <mergeCell ref="G777:J777"/>
    <mergeCell ref="G778:J778"/>
    <mergeCell ref="G767:J767"/>
    <mergeCell ref="G768:J768"/>
    <mergeCell ref="G769:J769"/>
    <mergeCell ref="G770:J770"/>
    <mergeCell ref="G771:J771"/>
    <mergeCell ref="G772:J772"/>
    <mergeCell ref="G783:J783"/>
    <mergeCell ref="G782:J782"/>
    <mergeCell ref="G781:J781"/>
    <mergeCell ref="G780:J780"/>
    <mergeCell ref="G779:J779"/>
    <mergeCell ref="G740:J740"/>
    <mergeCell ref="G741:J741"/>
    <mergeCell ref="G748:J748"/>
    <mergeCell ref="G694:J694"/>
    <mergeCell ref="G695:J695"/>
    <mergeCell ref="G699:J699"/>
    <mergeCell ref="G700:J700"/>
    <mergeCell ref="D167:S167"/>
    <mergeCell ref="D165:S165"/>
    <mergeCell ref="D169:S169"/>
    <mergeCell ref="G701:J701"/>
    <mergeCell ref="G702:J702"/>
    <mergeCell ref="G688:J688"/>
    <mergeCell ref="G689:J689"/>
    <mergeCell ref="G690:J690"/>
    <mergeCell ref="G691:J691"/>
    <mergeCell ref="G692:J692"/>
    <mergeCell ref="G693:J693"/>
    <mergeCell ref="G682:J682"/>
    <mergeCell ref="G683:J683"/>
    <mergeCell ref="G684:J684"/>
    <mergeCell ref="G685:J685"/>
    <mergeCell ref="G686:J686"/>
    <mergeCell ref="G687:J687"/>
    <mergeCell ref="G680:J680"/>
    <mergeCell ref="G681:J681"/>
    <mergeCell ref="G665:J665"/>
    <mergeCell ref="G703:J703"/>
    <mergeCell ref="G704:J704"/>
    <mergeCell ref="G705:J705"/>
    <mergeCell ref="G706:J706"/>
    <mergeCell ref="G707:J707"/>
    <mergeCell ref="G710:J710"/>
    <mergeCell ref="G737:J737"/>
    <mergeCell ref="G738:J738"/>
    <mergeCell ref="G739:J739"/>
    <mergeCell ref="G727:J727"/>
    <mergeCell ref="G728:J728"/>
    <mergeCell ref="G729:J729"/>
    <mergeCell ref="G730:J730"/>
    <mergeCell ref="G711:J711"/>
    <mergeCell ref="G712:J712"/>
    <mergeCell ref="G713:J713"/>
    <mergeCell ref="G714:J714"/>
    <mergeCell ref="G715:J715"/>
    <mergeCell ref="G716:J716"/>
    <mergeCell ref="G717:J717"/>
    <mergeCell ref="G726:J726"/>
    <mergeCell ref="G731:J731"/>
    <mergeCell ref="G732:J732"/>
    <mergeCell ref="G733:J733"/>
    <mergeCell ref="G746:J746"/>
    <mergeCell ref="G747:J747"/>
    <mergeCell ref="G582:K582"/>
    <mergeCell ref="G583:K583"/>
    <mergeCell ref="G584:K584"/>
    <mergeCell ref="G585:K585"/>
    <mergeCell ref="G588:K588"/>
    <mergeCell ref="G589:K589"/>
    <mergeCell ref="G590:K590"/>
    <mergeCell ref="G587:K587"/>
    <mergeCell ref="G597:K597"/>
    <mergeCell ref="G596:K596"/>
    <mergeCell ref="G591:K591"/>
    <mergeCell ref="G586:K586"/>
    <mergeCell ref="G635:K635"/>
    <mergeCell ref="G634:K634"/>
    <mergeCell ref="G633:K633"/>
    <mergeCell ref="G601:K601"/>
    <mergeCell ref="G595:K595"/>
    <mergeCell ref="G593:K593"/>
    <mergeCell ref="G592:K592"/>
    <mergeCell ref="G616:K616"/>
    <mergeCell ref="G615:K615"/>
    <mergeCell ref="G598:K598"/>
  </mergeCells>
  <phoneticPr fontId="12"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Summary R9A4 January 2021</vt:lpstr>
      <vt:lpstr>Summary R9A February 2021</vt:lpstr>
      <vt:lpstr>Summary R9A March 2021</vt:lpstr>
      <vt:lpstr>Summary R9A April 2021</vt:lpstr>
      <vt:lpstr>Summary R9A May 2021</vt:lpstr>
      <vt:lpstr>Summary R9A June 2021</vt:lpstr>
      <vt:lpstr>Summary R9A July 2021</vt:lpstr>
      <vt:lpstr>Summary R9A Aug 2021</vt:lpstr>
      <vt:lpstr>Summary R9A Sep 2021</vt:lpstr>
      <vt:lpstr>Summary R9A Oct 2021 </vt:lpstr>
      <vt:lpstr>Summary R9A Nov 2021 </vt:lpstr>
      <vt:lpstr>Summary R9A Dec 2021 </vt:lpstr>
      <vt:lpstr>Summary R9A January 2022 </vt:lpstr>
      <vt:lpstr>Summary R9A February 2022 </vt:lpstr>
      <vt:lpstr>Summary R9A March 2022 </vt:lpstr>
      <vt:lpstr>Summary R9A April 2022 </vt:lpstr>
      <vt:lpstr>Summary R9A May 2022 </vt:lpstr>
      <vt:lpstr>Summary R9A June 2022 </vt:lpstr>
      <vt:lpstr>Summary R9A July 2022 </vt:lpstr>
      <vt:lpstr>Summary R9A August 2022 </vt:lpstr>
      <vt:lpstr>Summary R9A Sep 2022 </vt:lpstr>
      <vt:lpstr>Summary R9A Oct 2022 </vt:lpstr>
      <vt:lpstr>Summary R9A November2022</vt:lpstr>
      <vt:lpstr>Summary R9A December 2022 </vt:lpstr>
      <vt:lpstr>Summary R9A January 2023</vt:lpstr>
      <vt:lpstr>Summary R9A Feb 2023</vt:lpstr>
      <vt:lpstr>Summary R9A March 2023</vt:lpstr>
      <vt:lpstr>Summary R9A April 2023</vt:lpstr>
      <vt:lpstr>Summary R9A May 2023</vt:lpstr>
      <vt:lpstr>Summary R9A June 2023</vt:lpstr>
      <vt:lpstr>Summary R9A July 2023</vt:lpstr>
      <vt:lpstr>R9A#1</vt:lpstr>
      <vt:lpstr>R9A#2</vt:lpstr>
      <vt:lpstr>R9A4</vt:lpstr>
      <vt:lpstr>Start_Stop Counter R9A#1</vt:lpstr>
      <vt:lpstr>Start_Stop Counter R9A#2</vt:lpstr>
      <vt:lpstr>Start_Stop Counter R9A4</vt:lpstr>
      <vt:lpstr>Start_Stop Counter R9A5</vt:lpstr>
      <vt:lpstr>R9A5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Mikhail Ivanov</dc:creator>
  <cp:lastModifiedBy>Novomet</cp:lastModifiedBy>
  <cp:lastPrinted>2021-06-19T13:17:54Z</cp:lastPrinted>
  <dcterms:created xsi:type="dcterms:W3CDTF">2015-06-05T18:17:20Z</dcterms:created>
  <dcterms:modified xsi:type="dcterms:W3CDTF">2023-07-27T15:31:44Z</dcterms:modified>
</cp:coreProperties>
</file>